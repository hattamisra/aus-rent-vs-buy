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250" documentId="8_{4B61B10B-2DAB-46C6-8FB0-35F6E0D05629}" xr6:coauthVersionLast="47" xr6:coauthVersionMax="47" xr10:uidLastSave="{0869B009-14D9-46C1-98F7-B990F1320513}"/>
  <bookViews>
    <workbookView xWindow="240" yWindow="2085" windowWidth="21600" windowHeight="12645" tabRatio="903" xr2:uid="{D8AAAA89-5358-4611-B113-99C6929A3BCB}"/>
  </bookViews>
  <sheets>
    <sheet name="analysis" sheetId="13" r:id="rId1"/>
    <sheet name="cpi" sheetId="23" r:id="rId2"/>
    <sheet name="msci-indices" sheetId="20" r:id="rId3"/>
    <sheet name="mortgage-rates" sheetId="19" r:id="rId4"/>
    <sheet name="qld-rent &gt;&gt;" sheetId="6" r:id="rId5"/>
    <sheet name="7 lga-rents " sheetId="29" r:id="rId6"/>
    <sheet name="8 lga-new-bonds" sheetId="32" r:id="rId7"/>
    <sheet name="lga-weighted-average" sheetId="31" r:id="rId8"/>
    <sheet name="qld-rent-combined" sheetId="33" r:id="rId9"/>
    <sheet name="2BR_F-processed" sheetId="2" r:id="rId10"/>
    <sheet name="3BR_H-processed" sheetId="11" r:id="rId11"/>
    <sheet name="chart-2bflat" sheetId="3" r:id="rId12"/>
    <sheet name="chart-3bhouse" sheetId="12" r:id="rId13"/>
    <sheet name="qld-buy &gt;&gt;" sheetId="14" r:id="rId14"/>
    <sheet name="ABS-total-value-dwellings" sheetId="24" r:id="rId15"/>
    <sheet name="ns-combined" sheetId="18" r:id="rId16"/>
    <sheet name="s-combined" sheetId="22" r:id="rId17"/>
  </sheets>
  <definedNames>
    <definedName name="_xlnm._FilterDatabase" localSheetId="9" hidden="1">'2BR_F-processed'!$A$1:$E$97</definedName>
    <definedName name="_xlnm._FilterDatabase" localSheetId="10" hidden="1">'3BR_H-processed'!$A$1:$E$97</definedName>
    <definedName name="_xlnm._FilterDatabase" localSheetId="5" hidden="1">'7 lga-rents '!$C$8:$BH$395</definedName>
    <definedName name="_xlnm._FilterDatabase" localSheetId="6" hidden="1">'8 lga-new-bonds'!$C$8:$BH$438</definedName>
    <definedName name="_xlnm._FilterDatabase" localSheetId="15" hidden="1">'ns-combined'!$B$1:$D$102</definedName>
    <definedName name="_xlnm._FilterDatabase" localSheetId="16" hidden="1">'s-combined'!$B$1:$D$97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10">'3BR_H-processed'!$A$1</definedName>
    <definedName name="HouseNumberOfBedrooms" localSheetId="10">'3BR_H-processed'!$A$2</definedName>
    <definedName name="InvestFees">analysis!$B$43</definedName>
    <definedName name="MortgageRate">analysis!$B$19</definedName>
    <definedName name="Q_end">analysis!$B$12</definedName>
    <definedName name="Q_start">analysis!$B$11</definedName>
    <definedName name="Qstart">analysis!$B$11</definedName>
    <definedName name="TopOfTable_Table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3" i="13" l="1"/>
  <c r="BB4" i="13"/>
  <c r="BB5" i="13"/>
  <c r="BB6" i="13"/>
  <c r="BB7" i="13"/>
  <c r="BB8" i="13"/>
  <c r="BB9" i="13"/>
  <c r="BB10" i="13"/>
  <c r="BB11" i="13"/>
  <c r="BB12" i="13"/>
  <c r="BB13" i="13"/>
  <c r="BB14" i="13"/>
  <c r="BB15" i="13"/>
  <c r="BB16" i="13"/>
  <c r="BB17" i="13"/>
  <c r="BB18" i="13"/>
  <c r="BB19" i="13"/>
  <c r="BB20" i="13"/>
  <c r="BB21" i="13"/>
  <c r="BB22" i="13"/>
  <c r="BB23" i="13"/>
  <c r="BB24" i="13"/>
  <c r="BB25" i="13"/>
  <c r="BB26" i="13"/>
  <c r="BB27" i="13"/>
  <c r="BB28" i="13"/>
  <c r="BB29" i="13"/>
  <c r="BB30" i="13"/>
  <c r="BB31" i="13"/>
  <c r="BB32" i="13"/>
  <c r="BB33" i="13"/>
  <c r="BB34" i="13"/>
  <c r="BB35" i="13"/>
  <c r="BB36" i="13"/>
  <c r="BB37" i="13"/>
  <c r="BB38" i="13"/>
  <c r="BB39" i="13"/>
  <c r="BB40" i="13"/>
  <c r="BB41" i="13"/>
  <c r="BB42" i="13"/>
  <c r="BB43" i="13"/>
  <c r="BB44" i="13"/>
  <c r="BB45" i="13"/>
  <c r="BB46" i="13"/>
  <c r="BB47" i="13"/>
  <c r="BB48" i="13"/>
  <c r="BB49" i="13"/>
  <c r="BB50" i="13"/>
  <c r="BB51" i="13"/>
  <c r="BB52" i="13"/>
  <c r="BB53" i="13"/>
  <c r="BB54" i="13"/>
  <c r="BB55" i="13"/>
  <c r="BB56" i="13"/>
  <c r="BB57" i="13"/>
  <c r="BB58" i="13"/>
  <c r="BB59" i="13"/>
  <c r="BB60" i="13"/>
  <c r="BB61" i="13"/>
  <c r="BB62" i="13"/>
  <c r="BB63" i="13"/>
  <c r="BB64" i="13"/>
  <c r="BB65" i="13"/>
  <c r="BB66" i="13"/>
  <c r="BB67" i="13"/>
  <c r="BB68" i="13"/>
  <c r="BB69" i="13"/>
  <c r="BB70" i="13"/>
  <c r="BB71" i="13"/>
  <c r="BB72" i="13"/>
  <c r="BB73" i="13"/>
  <c r="BB74" i="13"/>
  <c r="BB75" i="13"/>
  <c r="BB76" i="13"/>
  <c r="BB77" i="13"/>
  <c r="BB78" i="13"/>
  <c r="BB79" i="13"/>
  <c r="BB80" i="13"/>
  <c r="BB81" i="13"/>
  <c r="BB82" i="13"/>
  <c r="E31" i="11"/>
  <c r="E32" i="11"/>
  <c r="E33" i="11"/>
  <c r="E34" i="11"/>
  <c r="E35" i="11"/>
  <c r="E36" i="11"/>
  <c r="E37" i="11"/>
  <c r="E38" i="11"/>
  <c r="E39" i="11"/>
  <c r="E40" i="11"/>
  <c r="E41" i="11"/>
  <c r="E42" i="11"/>
  <c r="E43" i="11"/>
  <c r="E44" i="11"/>
  <c r="E45" i="11"/>
  <c r="E46" i="11"/>
  <c r="E47" i="11"/>
  <c r="E48" i="11"/>
  <c r="E49" i="11"/>
  <c r="E50" i="11"/>
  <c r="E51" i="11" s="1"/>
  <c r="E52" i="11" s="1"/>
  <c r="E53" i="11" s="1"/>
  <c r="E30" i="11"/>
  <c r="E53" i="2"/>
  <c r="E52" i="2"/>
  <c r="E51" i="2"/>
  <c r="E31" i="2"/>
  <c r="E32" i="2"/>
  <c r="E33" i="2"/>
  <c r="E34" i="2"/>
  <c r="E35" i="2"/>
  <c r="E36" i="2"/>
  <c r="E37" i="2"/>
  <c r="E38" i="2"/>
  <c r="E39" i="2"/>
  <c r="E40" i="2"/>
  <c r="E41" i="2"/>
  <c r="E42" i="2"/>
  <c r="E43" i="2"/>
  <c r="E44" i="2"/>
  <c r="E45" i="2"/>
  <c r="E46" i="2"/>
  <c r="E47" i="2"/>
  <c r="E48" i="2"/>
  <c r="E49" i="2"/>
  <c r="E50" i="2"/>
  <c r="E30" i="2"/>
  <c r="C55" i="2"/>
  <c r="E2" i="13"/>
  <c r="C30" i="31" a="1"/>
  <c r="C24" i="31" a="1"/>
  <c r="C28" i="31" a="1"/>
  <c r="C27" i="31" a="1"/>
  <c r="C26" i="31" a="1"/>
  <c r="C25" i="31" a="1"/>
  <c r="C21" i="31" a="1"/>
  <c r="C20" i="31" a="1"/>
  <c r="C19" i="31" a="1"/>
  <c r="C18" i="31" a="1"/>
  <c r="C17" i="31" a="1"/>
  <c r="C10" i="31" a="1"/>
  <c r="C11" i="31" a="1"/>
  <c r="C12" i="31" a="1"/>
  <c r="C13" i="31" a="1"/>
  <c r="C9" i="31" a="1"/>
  <c r="C3" i="31" a="1"/>
  <c r="C4" i="31" a="1"/>
  <c r="C5" i="31" a="1"/>
  <c r="C6" i="31" a="1"/>
  <c r="C2" i="31" a="1"/>
  <c r="D2" i="22" a="1"/>
  <c r="C2" i="22" a="1"/>
  <c r="D2" i="18" a="1"/>
  <c r="C2" i="18" a="1"/>
  <c r="C2" i="11"/>
  <c r="D2" i="11"/>
  <c r="C3" i="11"/>
  <c r="D3" i="11"/>
  <c r="C4" i="11"/>
  <c r="D4" i="11"/>
  <c r="C5" i="11"/>
  <c r="D5" i="11"/>
  <c r="C6" i="11"/>
  <c r="D6" i="11"/>
  <c r="C7" i="11"/>
  <c r="D7" i="11"/>
  <c r="C8" i="11"/>
  <c r="D8" i="11"/>
  <c r="C9" i="11"/>
  <c r="D9" i="11"/>
  <c r="C10" i="11"/>
  <c r="D10" i="11"/>
  <c r="C11" i="11"/>
  <c r="D11" i="11"/>
  <c r="C12" i="11"/>
  <c r="D12" i="11"/>
  <c r="C13" i="11"/>
  <c r="D13" i="11"/>
  <c r="C14" i="11"/>
  <c r="D14" i="11"/>
  <c r="C15" i="11"/>
  <c r="D15" i="11"/>
  <c r="C16" i="11"/>
  <c r="D16" i="11"/>
  <c r="C17" i="11"/>
  <c r="D17" i="11"/>
  <c r="C18" i="11"/>
  <c r="D18" i="11"/>
  <c r="C19" i="11"/>
  <c r="D19" i="11"/>
  <c r="C20" i="11"/>
  <c r="D20" i="11"/>
  <c r="C21" i="11"/>
  <c r="D21" i="11"/>
  <c r="C22" i="11"/>
  <c r="D22" i="11"/>
  <c r="C23" i="11"/>
  <c r="D23" i="11"/>
  <c r="C24" i="11"/>
  <c r="D24" i="11"/>
  <c r="C25" i="11"/>
  <c r="D25" i="11"/>
  <c r="C26" i="11"/>
  <c r="D26" i="11"/>
  <c r="C27" i="11"/>
  <c r="D27" i="11"/>
  <c r="C28" i="11"/>
  <c r="D28" i="11"/>
  <c r="C29" i="11"/>
  <c r="D29" i="11"/>
  <c r="C30" i="11"/>
  <c r="D30" i="11"/>
  <c r="C31" i="11"/>
  <c r="D31" i="11"/>
  <c r="C32" i="11"/>
  <c r="D32" i="11"/>
  <c r="C33" i="11"/>
  <c r="D33" i="11"/>
  <c r="C34" i="11"/>
  <c r="D34" i="11"/>
  <c r="C35" i="11"/>
  <c r="D35" i="11"/>
  <c r="C36" i="11"/>
  <c r="D36" i="11"/>
  <c r="C37" i="11"/>
  <c r="D37" i="11"/>
  <c r="C38" i="11"/>
  <c r="D38" i="11"/>
  <c r="C39" i="11"/>
  <c r="D39" i="11"/>
  <c r="C40" i="11"/>
  <c r="D40" i="11"/>
  <c r="C41" i="11"/>
  <c r="D41" i="11"/>
  <c r="C42" i="11"/>
  <c r="D42" i="11"/>
  <c r="C43" i="11"/>
  <c r="D43" i="11"/>
  <c r="C44" i="11"/>
  <c r="D44" i="11"/>
  <c r="C45" i="11"/>
  <c r="D45" i="11"/>
  <c r="C46" i="11"/>
  <c r="D46" i="11"/>
  <c r="C47" i="11"/>
  <c r="D47" i="11"/>
  <c r="C48" i="11"/>
  <c r="D48" i="11"/>
  <c r="C49" i="11"/>
  <c r="D49" i="11"/>
  <c r="C50" i="11"/>
  <c r="D50" i="11"/>
  <c r="C51" i="11"/>
  <c r="D51" i="11"/>
  <c r="C52" i="11"/>
  <c r="D52" i="11"/>
  <c r="C53" i="11"/>
  <c r="D53" i="11"/>
  <c r="C54" i="11"/>
  <c r="D54" i="11"/>
  <c r="C55" i="11"/>
  <c r="D55" i="11"/>
  <c r="C56" i="11"/>
  <c r="D56" i="11"/>
  <c r="C57" i="11"/>
  <c r="D57" i="11"/>
  <c r="C58" i="11"/>
  <c r="D58" i="11"/>
  <c r="C59" i="11"/>
  <c r="D59" i="11"/>
  <c r="C60" i="11"/>
  <c r="D60" i="11"/>
  <c r="C61" i="11"/>
  <c r="D61" i="11"/>
  <c r="C62" i="11"/>
  <c r="D62" i="11"/>
  <c r="C63" i="11"/>
  <c r="D63" i="11"/>
  <c r="C64" i="11"/>
  <c r="D64" i="11"/>
  <c r="C65" i="11"/>
  <c r="D65" i="11"/>
  <c r="C66" i="11"/>
  <c r="D66" i="11"/>
  <c r="C67" i="11"/>
  <c r="D67" i="11"/>
  <c r="C68" i="11"/>
  <c r="D68" i="11"/>
  <c r="C69" i="11"/>
  <c r="D69" i="11"/>
  <c r="C70" i="11"/>
  <c r="D70" i="11"/>
  <c r="C71" i="11"/>
  <c r="D71" i="11"/>
  <c r="C72" i="11"/>
  <c r="D72" i="11"/>
  <c r="C73" i="11"/>
  <c r="D73" i="11"/>
  <c r="C74" i="11"/>
  <c r="D74" i="11"/>
  <c r="C75" i="11"/>
  <c r="D75" i="11"/>
  <c r="C76" i="11"/>
  <c r="D76" i="11"/>
  <c r="C77" i="11"/>
  <c r="D77" i="11"/>
  <c r="C78" i="11"/>
  <c r="D78" i="11"/>
  <c r="C79" i="11"/>
  <c r="D79" i="11"/>
  <c r="C80" i="11"/>
  <c r="D80" i="11"/>
  <c r="C81" i="11"/>
  <c r="D81" i="11"/>
  <c r="C82" i="11"/>
  <c r="D82" i="11"/>
  <c r="C83" i="11"/>
  <c r="D83" i="11"/>
  <c r="C84" i="11"/>
  <c r="D84" i="11"/>
  <c r="C85" i="11"/>
  <c r="D85" i="11"/>
  <c r="C86" i="11"/>
  <c r="D86" i="11"/>
  <c r="C87" i="11"/>
  <c r="D87" i="11"/>
  <c r="C88" i="11"/>
  <c r="D88" i="11"/>
  <c r="C89" i="11"/>
  <c r="D89" i="11"/>
  <c r="C90" i="11"/>
  <c r="D90" i="11"/>
  <c r="C91" i="11"/>
  <c r="D91" i="11"/>
  <c r="C92" i="11"/>
  <c r="D92" i="11"/>
  <c r="C93" i="11"/>
  <c r="D93" i="11"/>
  <c r="C94" i="11"/>
  <c r="D94" i="11"/>
  <c r="C95" i="11"/>
  <c r="D95" i="11"/>
  <c r="C96" i="11"/>
  <c r="D96" i="11"/>
  <c r="C97" i="11"/>
  <c r="D97" i="11"/>
  <c r="C98" i="11"/>
  <c r="D98" i="11"/>
  <c r="C99" i="11"/>
  <c r="D99" i="11"/>
  <c r="C100" i="11"/>
  <c r="D100" i="11"/>
  <c r="C101" i="11"/>
  <c r="D101" i="11"/>
  <c r="C102" i="11"/>
  <c r="D102" i="11"/>
  <c r="C103" i="11"/>
  <c r="D103" i="11"/>
  <c r="C104" i="11"/>
  <c r="D104" i="11"/>
  <c r="C105" i="11"/>
  <c r="D105" i="11"/>
  <c r="C106" i="11"/>
  <c r="D106" i="11"/>
  <c r="C107" i="11"/>
  <c r="D107" i="11"/>
  <c r="C108" i="11"/>
  <c r="D108" i="11"/>
  <c r="C109" i="11"/>
  <c r="D109" i="11"/>
  <c r="C3" i="2"/>
  <c r="D3" i="2"/>
  <c r="C4" i="2"/>
  <c r="D4" i="2"/>
  <c r="C5" i="2"/>
  <c r="D5" i="2"/>
  <c r="C6" i="2"/>
  <c r="D6" i="2"/>
  <c r="C7" i="2"/>
  <c r="D7" i="2"/>
  <c r="C8" i="2"/>
  <c r="D8"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C76" i="2"/>
  <c r="D76" i="2"/>
  <c r="C77" i="2"/>
  <c r="D77" i="2"/>
  <c r="C78" i="2"/>
  <c r="D78" i="2"/>
  <c r="C79" i="2"/>
  <c r="D79" i="2"/>
  <c r="C80" i="2"/>
  <c r="D80" i="2"/>
  <c r="C81" i="2"/>
  <c r="D81" i="2"/>
  <c r="C82" i="2"/>
  <c r="D82" i="2"/>
  <c r="C83" i="2"/>
  <c r="D83" i="2"/>
  <c r="C84" i="2"/>
  <c r="D84" i="2"/>
  <c r="C85" i="2"/>
  <c r="D85" i="2"/>
  <c r="C86" i="2"/>
  <c r="D86" i="2"/>
  <c r="C87" i="2"/>
  <c r="D87" i="2"/>
  <c r="C88" i="2"/>
  <c r="D88" i="2"/>
  <c r="C89" i="2"/>
  <c r="D89" i="2"/>
  <c r="C90" i="2"/>
  <c r="D90" i="2"/>
  <c r="C91" i="2"/>
  <c r="D91" i="2"/>
  <c r="C92" i="2"/>
  <c r="D92" i="2"/>
  <c r="C93" i="2"/>
  <c r="D93" i="2"/>
  <c r="C94" i="2"/>
  <c r="D94" i="2"/>
  <c r="C95" i="2"/>
  <c r="D95" i="2"/>
  <c r="C96" i="2"/>
  <c r="D96" i="2"/>
  <c r="C97" i="2"/>
  <c r="D97" i="2"/>
  <c r="C98" i="2"/>
  <c r="D98" i="2"/>
  <c r="C99" i="2"/>
  <c r="D99" i="2"/>
  <c r="C100" i="2"/>
  <c r="D100" i="2"/>
  <c r="C101" i="2"/>
  <c r="D101" i="2"/>
  <c r="C102" i="2"/>
  <c r="D102" i="2"/>
  <c r="C103" i="2"/>
  <c r="D103" i="2"/>
  <c r="C104" i="2"/>
  <c r="D104" i="2"/>
  <c r="C105" i="2"/>
  <c r="D105" i="2"/>
  <c r="C106" i="2"/>
  <c r="D106" i="2"/>
  <c r="C107" i="2"/>
  <c r="D107" i="2"/>
  <c r="C108" i="2"/>
  <c r="D108" i="2"/>
  <c r="C109" i="2"/>
  <c r="D109" i="2"/>
  <c r="D2" i="2"/>
  <c r="C2" i="2"/>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C32" i="31" l="1"/>
  <c r="AW32" i="31"/>
  <c r="H32" i="31"/>
  <c r="I32" i="31"/>
  <c r="J32" i="31"/>
  <c r="K32" i="31"/>
  <c r="L32" i="31"/>
  <c r="M32" i="31"/>
  <c r="N32" i="31"/>
  <c r="O32" i="31"/>
  <c r="P32" i="31"/>
  <c r="Q32" i="31"/>
  <c r="R32" i="31"/>
  <c r="S32" i="31"/>
  <c r="T32" i="31"/>
  <c r="U32" i="31"/>
  <c r="V32" i="31"/>
  <c r="W32" i="31"/>
  <c r="X32" i="31"/>
  <c r="Y32" i="31"/>
  <c r="Z32" i="31"/>
  <c r="AA32" i="31"/>
  <c r="AB32" i="31"/>
  <c r="AC32" i="31"/>
  <c r="AD32" i="31"/>
  <c r="AE32" i="31"/>
  <c r="AF32" i="31"/>
  <c r="AG32" i="31"/>
  <c r="AH32" i="31"/>
  <c r="AI32" i="31"/>
  <c r="AJ32" i="31"/>
  <c r="AK32" i="31"/>
  <c r="AL32" i="31"/>
  <c r="AM32" i="31"/>
  <c r="AN32" i="31"/>
  <c r="AO32" i="31"/>
  <c r="AP32" i="31"/>
  <c r="AQ32" i="31"/>
  <c r="AR32" i="31"/>
  <c r="AS32" i="31"/>
  <c r="AT32" i="31"/>
  <c r="AU32" i="31"/>
  <c r="AV32" i="31"/>
  <c r="G32" i="31"/>
  <c r="AX32" i="31"/>
  <c r="AY32" i="31"/>
  <c r="AZ32" i="31"/>
  <c r="BA32" i="31"/>
  <c r="BB32" i="31"/>
  <c r="BC32" i="31"/>
  <c r="BD32" i="31"/>
  <c r="BE32" i="31"/>
  <c r="BF32" i="31"/>
  <c r="D32" i="31"/>
  <c r="E32" i="31"/>
  <c r="F32" i="31"/>
  <c r="O31" i="31"/>
  <c r="BE31" i="31"/>
  <c r="C31" i="31"/>
  <c r="L31" i="31"/>
  <c r="I31" i="31"/>
  <c r="K31" i="31"/>
  <c r="N31" i="31"/>
  <c r="J31" i="31"/>
  <c r="D31" i="31"/>
  <c r="E31" i="31"/>
  <c r="P31" i="31"/>
  <c r="Q31" i="31"/>
  <c r="R31" i="31"/>
  <c r="T31" i="31"/>
  <c r="U31" i="31"/>
  <c r="V31" i="31"/>
  <c r="W31" i="31"/>
  <c r="X31" i="31"/>
  <c r="Y31" i="31"/>
  <c r="Z31" i="31"/>
  <c r="AA31" i="31"/>
  <c r="AB31" i="31"/>
  <c r="AC31" i="31"/>
  <c r="AD31" i="31"/>
  <c r="AE31" i="31"/>
  <c r="AF31" i="31"/>
  <c r="AG31" i="31"/>
  <c r="AH31" i="31"/>
  <c r="AI31" i="31"/>
  <c r="AJ31" i="31"/>
  <c r="AK31" i="31"/>
  <c r="AL31" i="31"/>
  <c r="AM31" i="31"/>
  <c r="AN31" i="31"/>
  <c r="AO31" i="31"/>
  <c r="AP31" i="31"/>
  <c r="AQ31" i="31"/>
  <c r="AR31" i="31"/>
  <c r="AS31" i="31"/>
  <c r="AT31" i="31"/>
  <c r="AU31" i="31"/>
  <c r="AW31" i="31"/>
  <c r="AX31" i="31"/>
  <c r="AY31" i="31"/>
  <c r="AZ31" i="31"/>
  <c r="BA31" i="31"/>
  <c r="BB31" i="31"/>
  <c r="BC31" i="31"/>
  <c r="BD31" i="31"/>
  <c r="BF31" i="31"/>
  <c r="S31" i="31"/>
  <c r="AV31" i="31"/>
  <c r="M31" i="31"/>
  <c r="H31" i="31"/>
  <c r="F31" i="31"/>
  <c r="G31" i="31"/>
  <c r="L3" i="13"/>
  <c r="E54" i="11" l="1" a="1"/>
  <c r="E54" i="2" a="1"/>
  <c r="AG3" i="13" a="1"/>
  <c r="AF3" i="13" a="1"/>
  <c r="BH3" i="13"/>
  <c r="L4" i="13"/>
  <c r="AR3" i="13"/>
  <c r="B26" i="13" s="1"/>
  <c r="T3" i="13"/>
  <c r="U3" i="13" s="1"/>
  <c r="AC3" i="13" a="1"/>
  <c r="BJ3" i="13" s="1"/>
  <c r="AD3" i="13" a="1"/>
  <c r="BK3" i="13" s="1"/>
  <c r="R3" i="13"/>
  <c r="V3" i="13" l="1"/>
  <c r="BC3" i="13"/>
  <c r="BI3" i="13"/>
  <c r="W3" i="13"/>
  <c r="AV3" i="13"/>
  <c r="BN3" i="13"/>
  <c r="L5" i="13"/>
  <c r="AF4" i="13" a="1"/>
  <c r="AG4" i="13" a="1"/>
  <c r="BL3" i="13"/>
  <c r="AR4" i="13"/>
  <c r="AV4" i="13" s="1"/>
  <c r="BH4" i="13"/>
  <c r="AU3" i="13"/>
  <c r="AS3" i="13"/>
  <c r="T4" i="13"/>
  <c r="AC4" i="13" a="1"/>
  <c r="BJ4" i="13" s="1"/>
  <c r="AD4" i="13" a="1"/>
  <c r="BK4" i="13" s="1"/>
  <c r="U4" i="13"/>
  <c r="R4" i="13"/>
  <c r="X3" i="13" l="1"/>
  <c r="BI4" i="13"/>
  <c r="W4" i="13"/>
  <c r="AW3" i="13"/>
  <c r="BD3" i="13"/>
  <c r="AW4" i="13"/>
  <c r="AS4" i="13"/>
  <c r="AT3" i="13"/>
  <c r="BH5" i="13"/>
  <c r="AU4" i="13"/>
  <c r="BN4" i="13"/>
  <c r="AG5" i="13" a="1"/>
  <c r="AF5" i="13" a="1"/>
  <c r="L6" i="13"/>
  <c r="BL4" i="13"/>
  <c r="BE3" i="13"/>
  <c r="AR5" i="13"/>
  <c r="AV5" i="13" s="1"/>
  <c r="T5" i="13"/>
  <c r="V4" i="13"/>
  <c r="AC5" i="13" a="1"/>
  <c r="BJ5" i="13" s="1"/>
  <c r="R5" i="13"/>
  <c r="AD5" i="13" a="1"/>
  <c r="BK5" i="13" s="1"/>
  <c r="U5" i="13"/>
  <c r="AY3" i="13"/>
  <c r="BI5" i="13" l="1"/>
  <c r="W5" i="13"/>
  <c r="AX3" i="13"/>
  <c r="N3" i="13" s="1"/>
  <c r="BG3" i="13"/>
  <c r="AW5" i="13"/>
  <c r="AX4" i="13"/>
  <c r="AU5" i="13"/>
  <c r="BN5" i="13"/>
  <c r="AG6" i="13" a="1"/>
  <c r="AF6" i="13" a="1"/>
  <c r="L7" i="13"/>
  <c r="BL5" i="13"/>
  <c r="AR6" i="13"/>
  <c r="AV6" i="13" s="1"/>
  <c r="BH6" i="13"/>
  <c r="AS5" i="13"/>
  <c r="BA3" i="13"/>
  <c r="AZ3" i="13"/>
  <c r="BF3" i="13"/>
  <c r="BC4" i="13" s="1"/>
  <c r="T6" i="13"/>
  <c r="AD6" i="13" a="1"/>
  <c r="BK6" i="13" s="1"/>
  <c r="AC6" i="13" a="1"/>
  <c r="BJ6" i="13" s="1"/>
  <c r="R6" i="13"/>
  <c r="V5" i="13"/>
  <c r="U6" i="13"/>
  <c r="AY4" i="13"/>
  <c r="X4" i="13"/>
  <c r="X5" i="13" l="1"/>
  <c r="BI6" i="13"/>
  <c r="W6" i="13"/>
  <c r="BO3" i="13"/>
  <c r="Y3" i="13"/>
  <c r="AW6" i="13"/>
  <c r="AX5" i="13"/>
  <c r="BO4" i="13"/>
  <c r="AU6" i="13"/>
  <c r="BN6" i="13"/>
  <c r="AG7" i="13" a="1"/>
  <c r="AF7" i="13" a="1"/>
  <c r="L8" i="13"/>
  <c r="BL6" i="13"/>
  <c r="AR7" i="13"/>
  <c r="AV7" i="13" s="1"/>
  <c r="BH7" i="13"/>
  <c r="AS6" i="13"/>
  <c r="BD4" i="13"/>
  <c r="BG4" i="13" s="1"/>
  <c r="BE4" i="13"/>
  <c r="P3" i="13"/>
  <c r="AD7" i="13" a="1"/>
  <c r="BK7" i="13" s="1"/>
  <c r="R7" i="13"/>
  <c r="T7" i="13"/>
  <c r="U7" i="13" s="1"/>
  <c r="AZ4" i="13"/>
  <c r="BA4" i="13"/>
  <c r="AC7" i="13" a="1"/>
  <c r="BJ7" i="13" s="1"/>
  <c r="V6" i="13"/>
  <c r="AY6" i="13" s="1"/>
  <c r="AY5" i="13"/>
  <c r="BI7" i="13" l="1"/>
  <c r="W7" i="13"/>
  <c r="Y4" i="13"/>
  <c r="Z3" i="13"/>
  <c r="AA3" i="13" s="1" a="1"/>
  <c r="AE3" i="13" s="1"/>
  <c r="BM3" i="13" s="1"/>
  <c r="AX6" i="13"/>
  <c r="AW7" i="13"/>
  <c r="BO5" i="13"/>
  <c r="AU7" i="13"/>
  <c r="BN7" i="13"/>
  <c r="AG8" i="13" a="1"/>
  <c r="AF8" i="13" a="1"/>
  <c r="L9" i="13"/>
  <c r="BL7" i="13"/>
  <c r="AR8" i="13"/>
  <c r="AV8" i="13" s="1"/>
  <c r="BH8" i="13"/>
  <c r="BF4" i="13"/>
  <c r="BC5" i="13" s="1"/>
  <c r="BD5" i="13" s="1"/>
  <c r="BG5" i="13" s="1"/>
  <c r="AS7" i="13"/>
  <c r="V7" i="13"/>
  <c r="AY7" i="13" s="1"/>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L8" i="13"/>
  <c r="AU8" i="13"/>
  <c r="AD9" i="13" a="1"/>
  <c r="BK9" i="13" s="1"/>
  <c r="BH9" i="13"/>
  <c r="AS8" i="13"/>
  <c r="BE5" i="13"/>
  <c r="BF5" i="13" s="1"/>
  <c r="BC6" i="13" s="1"/>
  <c r="BE6" i="13" s="1"/>
  <c r="R9" i="13"/>
  <c r="V9" i="13" s="1"/>
  <c r="AC9" i="13" a="1"/>
  <c r="BJ9" i="13" s="1"/>
  <c r="AR9" i="13"/>
  <c r="AV9" i="13" s="1"/>
  <c r="X7"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L9" i="13"/>
  <c r="AR10" i="13"/>
  <c r="AV10" i="13" s="1"/>
  <c r="BH10" i="13"/>
  <c r="AS9" i="13"/>
  <c r="BD6" i="13"/>
  <c r="BG6" i="13" s="1"/>
  <c r="AU9" i="13"/>
  <c r="AD10" i="13" a="1"/>
  <c r="BK10" i="13" s="1"/>
  <c r="AC10" i="13" a="1"/>
  <c r="BJ10" i="13" s="1"/>
  <c r="R10" i="13"/>
  <c r="V10" i="13" s="1"/>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L10" i="13"/>
  <c r="AU10" i="13"/>
  <c r="AR11" i="13"/>
  <c r="AV11" i="13" s="1"/>
  <c r="BH11" i="13"/>
  <c r="AS10" i="13"/>
  <c r="BF6" i="13"/>
  <c r="BC7" i="13" s="1"/>
  <c r="BE7" i="13" s="1"/>
  <c r="T11" i="13"/>
  <c r="U11" i="13" s="1"/>
  <c r="U12" i="13" s="1"/>
  <c r="AD11" i="13" a="1"/>
  <c r="BK11" i="13" s="1"/>
  <c r="R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L11" i="13"/>
  <c r="AU11" i="13"/>
  <c r="AR12" i="13"/>
  <c r="AV12" i="13" s="1"/>
  <c r="BH12" i="13"/>
  <c r="BD7" i="13"/>
  <c r="BG7" i="13" s="1"/>
  <c r="AS11" i="13"/>
  <c r="T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L12" i="13"/>
  <c r="AH5" i="13"/>
  <c r="AU12" i="13"/>
  <c r="AR13" i="13"/>
  <c r="AV13" i="13" s="1"/>
  <c r="BH13" i="13"/>
  <c r="BF7" i="13"/>
  <c r="BC8" i="13" s="1"/>
  <c r="N8" i="13" s="1"/>
  <c r="AS12" i="13"/>
  <c r="AD13" i="13" a="1"/>
  <c r="BK13" i="13" s="1"/>
  <c r="AC13" i="13" a="1"/>
  <c r="BJ13" i="13" s="1"/>
  <c r="T13" i="13"/>
  <c r="R13" i="13"/>
  <c r="V13" i="13" s="1"/>
  <c r="AY11" i="13"/>
  <c r="P7" i="13"/>
  <c r="U14" i="13"/>
  <c r="AY12" i="13"/>
  <c r="BI13" i="13" l="1"/>
  <c r="W13" i="13"/>
  <c r="X13" i="13" s="1"/>
  <c r="Z7" i="13"/>
  <c r="AA7" i="13" s="1" a="1"/>
  <c r="M4" i="13"/>
  <c r="O4" i="13" s="1"/>
  <c r="AW13" i="13"/>
  <c r="AX12" i="13"/>
  <c r="BN13" i="13"/>
  <c r="BO11" i="13"/>
  <c r="AZ11" i="13"/>
  <c r="AG14" i="13" a="1"/>
  <c r="AF14" i="13" a="1"/>
  <c r="L15" i="13"/>
  <c r="BL13" i="13"/>
  <c r="AI5" i="13"/>
  <c r="AE6" i="13" s="1"/>
  <c r="BM6" i="13" s="1"/>
  <c r="AU13" i="13"/>
  <c r="AR14" i="13"/>
  <c r="AV14" i="13" s="1"/>
  <c r="BH14" i="13"/>
  <c r="BD8" i="13"/>
  <c r="BG8" i="13" s="1"/>
  <c r="Y8" i="13" s="1"/>
  <c r="BE8" i="13"/>
  <c r="AS13" i="13"/>
  <c r="AC14" i="13" a="1"/>
  <c r="BJ14" i="13" s="1"/>
  <c r="T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L14" i="13"/>
  <c r="AN5" i="13"/>
  <c r="AO5" i="13" s="1"/>
  <c r="AP5" i="13" s="1"/>
  <c r="Z8" i="13"/>
  <c r="AA8" i="13" s="1" a="1"/>
  <c r="AK5" i="13"/>
  <c r="AU14" i="13"/>
  <c r="AR15" i="13"/>
  <c r="AV15" i="13" s="1"/>
  <c r="BH15" i="13"/>
  <c r="BF8" i="13"/>
  <c r="BC9" i="13" s="1"/>
  <c r="BE9" i="13" s="1"/>
  <c r="AS14" i="13"/>
  <c r="T15" i="13"/>
  <c r="U15" i="13" s="1"/>
  <c r="U16" i="13" s="1"/>
  <c r="R15" i="13"/>
  <c r="AC15" i="13" a="1"/>
  <c r="BJ15" i="13" s="1"/>
  <c r="AD15" i="13" a="1"/>
  <c r="BK15" i="13" s="1"/>
  <c r="AZ13" i="13"/>
  <c r="BA13" i="13"/>
  <c r="P8" i="13"/>
  <c r="AY14" i="13"/>
  <c r="BI15" i="13" l="1"/>
  <c r="W15" i="13"/>
  <c r="AW15" i="13"/>
  <c r="AX14" i="13"/>
  <c r="BN15" i="13"/>
  <c r="BO13" i="13"/>
  <c r="AG16" i="13" a="1"/>
  <c r="AF16" i="13" a="1"/>
  <c r="L17" i="13"/>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AZ14" i="13"/>
  <c r="BA14" i="13"/>
  <c r="U17" i="13"/>
  <c r="N9" i="13"/>
  <c r="X15" i="13" l="1"/>
  <c r="BI16" i="13"/>
  <c r="W16" i="13"/>
  <c r="X16" i="13" s="1"/>
  <c r="AX15" i="13"/>
  <c r="AW16" i="13"/>
  <c r="BN16" i="13"/>
  <c r="BO14" i="13"/>
  <c r="AG17" i="13" a="1"/>
  <c r="AF17" i="13" a="1"/>
  <c r="L18" i="13"/>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AD17" i="13" a="1"/>
  <c r="BK17" i="13" s="1"/>
  <c r="P9" i="13"/>
  <c r="U18" i="13"/>
  <c r="AY16" i="13"/>
  <c r="BI17" i="13" l="1"/>
  <c r="W17" i="13"/>
  <c r="X17" i="13" s="1"/>
  <c r="AX16" i="13"/>
  <c r="AW17" i="13"/>
  <c r="BN17" i="13"/>
  <c r="BO15" i="13"/>
  <c r="AZ15" i="13"/>
  <c r="AG18" i="13" a="1"/>
  <c r="AF18" i="13" a="1"/>
  <c r="L19" i="13"/>
  <c r="BL17" i="13"/>
  <c r="AK6" i="13"/>
  <c r="AN6" i="13"/>
  <c r="AO6" i="13" s="1"/>
  <c r="AP6" i="13" s="1"/>
  <c r="AM9" i="13" a="1"/>
  <c r="AB9" i="13"/>
  <c r="AJ9" i="13"/>
  <c r="AL9" i="13" s="1"/>
  <c r="AU17" i="13"/>
  <c r="BH18" i="13"/>
  <c r="BE10" i="13"/>
  <c r="BF10" i="13" s="1"/>
  <c r="BC11" i="13" s="1"/>
  <c r="BA15" i="13"/>
  <c r="AS17" i="13"/>
  <c r="Z10" i="13"/>
  <c r="AA10" i="13" s="1" a="1"/>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AH7" i="13"/>
  <c r="M6" i="13"/>
  <c r="O6" i="13" s="1"/>
  <c r="AM10" i="13" a="1"/>
  <c r="AB10" i="13"/>
  <c r="AJ10" i="13"/>
  <c r="AL10" i="13" s="1"/>
  <c r="AD19" i="13" a="1"/>
  <c r="BK19" i="13" s="1"/>
  <c r="BH19" i="13"/>
  <c r="AS18" i="13"/>
  <c r="BE11" i="13"/>
  <c r="BD11" i="13"/>
  <c r="BG11" i="13" s="1"/>
  <c r="Y11" i="13" s="1"/>
  <c r="AC19" i="13" a="1"/>
  <c r="BJ19" i="13" s="1"/>
  <c r="T19" i="13"/>
  <c r="U19" i="13" s="1"/>
  <c r="U20" i="13" s="1"/>
  <c r="AR19" i="13"/>
  <c r="AV19" i="13" s="1"/>
  <c r="AU18" i="13"/>
  <c r="R19" i="13"/>
  <c r="AZ17" i="13"/>
  <c r="BA17" i="13"/>
  <c r="P10" i="13"/>
  <c r="BI19" i="13" l="1"/>
  <c r="W19" i="13"/>
  <c r="AW19" i="13"/>
  <c r="AX18" i="13"/>
  <c r="BO17" i="13"/>
  <c r="AU19" i="13"/>
  <c r="BN19" i="13"/>
  <c r="AG20" i="13" a="1"/>
  <c r="AF20" i="13" a="1"/>
  <c r="L21" i="13"/>
  <c r="BH21" i="13" s="1"/>
  <c r="BL19" i="13"/>
  <c r="AI7" i="13"/>
  <c r="AE8" i="13" s="1"/>
  <c r="BM8" i="13" s="1"/>
  <c r="AR20" i="13"/>
  <c r="AV20" i="13" s="1"/>
  <c r="BH20" i="13"/>
  <c r="AS19" i="13"/>
  <c r="Z11" i="13"/>
  <c r="AA11" i="13" s="1" a="1"/>
  <c r="V19" i="13"/>
  <c r="AC20" i="13" a="1"/>
  <c r="BJ20" i="13" s="1"/>
  <c r="AD20" i="13" a="1"/>
  <c r="BK20" i="13" s="1"/>
  <c r="T20" i="13"/>
  <c r="R20" i="13"/>
  <c r="V20" i="13" s="1"/>
  <c r="AZ18" i="13"/>
  <c r="BA18" i="13"/>
  <c r="BF11" i="13"/>
  <c r="BC12" i="13" s="1"/>
  <c r="U21" i="13"/>
  <c r="N11" i="13"/>
  <c r="X19" i="13" l="1"/>
  <c r="BI21" i="13"/>
  <c r="W21" i="13"/>
  <c r="BI20" i="13"/>
  <c r="W20" i="13"/>
  <c r="X20" i="13" s="1"/>
  <c r="AX19" i="13"/>
  <c r="AW20" i="13"/>
  <c r="BO18" i="13"/>
  <c r="BN20" i="13"/>
  <c r="AG21" i="13" a="1"/>
  <c r="AF21" i="13" a="1"/>
  <c r="L22" i="13"/>
  <c r="BL20" i="13"/>
  <c r="AK7" i="13"/>
  <c r="AN7" i="13"/>
  <c r="AO7" i="13" s="1"/>
  <c r="AP7" i="13" s="1"/>
  <c r="AM11" i="13" a="1"/>
  <c r="AB11" i="13"/>
  <c r="AJ11" i="13"/>
  <c r="AL11" i="13" s="1"/>
  <c r="AU20" i="13"/>
  <c r="AR21" i="13"/>
  <c r="AV21" i="13" s="1"/>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L21" i="13"/>
  <c r="AH8" i="13"/>
  <c r="M7" i="13"/>
  <c r="O7" i="13" s="1"/>
  <c r="AR22" i="13"/>
  <c r="AV22" i="13" s="1"/>
  <c r="BH22" i="13"/>
  <c r="AU21" i="13"/>
  <c r="AS21" i="13"/>
  <c r="BA19" i="13"/>
  <c r="T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L22" i="13"/>
  <c r="AI8" i="13"/>
  <c r="AE9" i="13" s="1"/>
  <c r="BM9" i="13" s="1"/>
  <c r="AU22" i="13"/>
  <c r="AR23" i="13"/>
  <c r="AV23" i="13" s="1"/>
  <c r="BH23" i="13"/>
  <c r="AS22" i="13"/>
  <c r="BE13" i="13"/>
  <c r="BD13" i="13"/>
  <c r="BG13" i="13" s="1"/>
  <c r="Y13" i="13" s="1"/>
  <c r="Z12" i="13"/>
  <c r="AA12" i="13" s="1" a="1"/>
  <c r="AD23" i="13" a="1"/>
  <c r="BK23" i="13" s="1"/>
  <c r="T23" i="13"/>
  <c r="U23" i="13" s="1"/>
  <c r="U24" i="13" s="1"/>
  <c r="R23" i="13"/>
  <c r="AC23" i="13" a="1"/>
  <c r="BJ23" i="13" s="1"/>
  <c r="AZ21" i="13"/>
  <c r="BA21" i="13"/>
  <c r="P12" i="13"/>
  <c r="AY22" i="13"/>
  <c r="BI23" i="13" l="1"/>
  <c r="W23" i="13"/>
  <c r="AX22" i="13"/>
  <c r="AW23" i="13"/>
  <c r="BN23" i="13"/>
  <c r="BO21" i="13"/>
  <c r="AG24" i="13" a="1"/>
  <c r="AF24" i="13" a="1"/>
  <c r="L25" i="13"/>
  <c r="BL23" i="13"/>
  <c r="AK8" i="13"/>
  <c r="AN8" i="13"/>
  <c r="AO8" i="13" s="1"/>
  <c r="AP8" i="13" s="1"/>
  <c r="AM12" i="13" a="1"/>
  <c r="AB12" i="13"/>
  <c r="AJ12" i="13"/>
  <c r="AL12" i="13" s="1"/>
  <c r="AU23" i="13"/>
  <c r="AR24" i="13"/>
  <c r="AV24" i="13" s="1"/>
  <c r="BH24" i="13"/>
  <c r="AS23" i="13"/>
  <c r="Z13" i="13"/>
  <c r="AA13" i="13" s="1" a="1"/>
  <c r="V23" i="13"/>
  <c r="T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L24" i="13"/>
  <c r="M8" i="13"/>
  <c r="O8" i="13" s="1"/>
  <c r="AM13" i="13" a="1"/>
  <c r="AJ13" i="13"/>
  <c r="AL13" i="13" s="1"/>
  <c r="AB13" i="13"/>
  <c r="AU24" i="13"/>
  <c r="AR25" i="13"/>
  <c r="AV25" i="13" s="1"/>
  <c r="BH25" i="13"/>
  <c r="AS24" i="13"/>
  <c r="BE14" i="13"/>
  <c r="Y14" i="13"/>
  <c r="AY23" i="13"/>
  <c r="T25" i="13"/>
  <c r="R25" i="13"/>
  <c r="V25" i="13" s="1"/>
  <c r="AD25" i="13" a="1"/>
  <c r="BK25" i="13" s="1"/>
  <c r="AC25" i="13" a="1"/>
  <c r="BJ25" i="13" s="1"/>
  <c r="U26" i="13"/>
  <c r="AY24" i="13"/>
  <c r="BI25" i="13" l="1"/>
  <c r="W25" i="13"/>
  <c r="X25" i="13" s="1"/>
  <c r="AX24" i="13"/>
  <c r="AW25" i="13"/>
  <c r="BN25" i="13"/>
  <c r="BO23" i="13"/>
  <c r="AF26" i="13" a="1"/>
  <c r="AG26" i="13" a="1"/>
  <c r="L27" i="13"/>
  <c r="BH27" i="13" s="1"/>
  <c r="BL25" i="13"/>
  <c r="AH9" i="13"/>
  <c r="AI9" i="13" s="1"/>
  <c r="AE10" i="13" s="1"/>
  <c r="BM10" i="13" s="1"/>
  <c r="AU25" i="13"/>
  <c r="AR26" i="13"/>
  <c r="AV26" i="13" s="1"/>
  <c r="BH26" i="13"/>
  <c r="AZ23" i="13"/>
  <c r="BA23" i="13"/>
  <c r="AS25" i="13"/>
  <c r="Z14" i="13"/>
  <c r="AA14" i="13" s="1" a="1"/>
  <c r="R26" i="13"/>
  <c r="V26" i="13" s="1"/>
  <c r="AC26" i="13" a="1"/>
  <c r="BJ26" i="13" s="1"/>
  <c r="T26" i="13"/>
  <c r="AD26" i="13" a="1"/>
  <c r="BK26" i="13" s="1"/>
  <c r="BF14" i="13"/>
  <c r="BC15" i="13" s="1"/>
  <c r="AZ24" i="13"/>
  <c r="BA24" i="13"/>
  <c r="P14" i="13"/>
  <c r="AY25" i="13"/>
  <c r="N14" i="13"/>
  <c r="BI27" i="13" l="1"/>
  <c r="W27" i="13"/>
  <c r="BI26" i="13"/>
  <c r="W26" i="13"/>
  <c r="X26" i="13" s="1"/>
  <c r="AX25" i="13"/>
  <c r="AW26" i="13"/>
  <c r="BO24" i="13"/>
  <c r="BN26" i="13"/>
  <c r="AG27" i="13" a="1"/>
  <c r="AF27" i="13" a="1"/>
  <c r="L28" i="13"/>
  <c r="BL26" i="13"/>
  <c r="AN9" i="13"/>
  <c r="AO9" i="13" s="1"/>
  <c r="AP9" i="13" s="1"/>
  <c r="AK9" i="13"/>
  <c r="AM14" i="13" a="1"/>
  <c r="AB14" i="13"/>
  <c r="AJ14" i="13"/>
  <c r="AL14" i="13" s="1"/>
  <c r="AU26" i="13"/>
  <c r="AR27" i="13"/>
  <c r="AV27" i="13" s="1"/>
  <c r="T27" i="13"/>
  <c r="AS26" i="13"/>
  <c r="R27" i="13"/>
  <c r="BE15" i="13"/>
  <c r="BD15" i="13"/>
  <c r="BG15" i="13" s="1"/>
  <c r="Y15" i="13" s="1"/>
  <c r="AC27" i="13" a="1"/>
  <c r="BJ27" i="13" s="1"/>
  <c r="AD27" i="13" a="1"/>
  <c r="BK27" i="13" s="1"/>
  <c r="AZ25" i="13"/>
  <c r="BA25" i="13"/>
  <c r="AY26" i="13"/>
  <c r="AW27" i="13" l="1"/>
  <c r="AX26" i="13"/>
  <c r="BN27" i="13"/>
  <c r="BO25" i="13"/>
  <c r="AF28" i="13" a="1"/>
  <c r="AG28" i="13" a="1"/>
  <c r="L29" i="13"/>
  <c r="BL27" i="13"/>
  <c r="M9" i="13"/>
  <c r="O9" i="13" s="1"/>
  <c r="AR28" i="13"/>
  <c r="AV28" i="13" s="1"/>
  <c r="BH28" i="13"/>
  <c r="AU27" i="13"/>
  <c r="AS27" i="13"/>
  <c r="AD28" i="13" a="1"/>
  <c r="BK28" i="13" s="1"/>
  <c r="AC28" i="13" a="1"/>
  <c r="BJ28" i="13" s="1"/>
  <c r="T28" i="13"/>
  <c r="R28" i="13"/>
  <c r="P15" i="13"/>
  <c r="BF15" i="13"/>
  <c r="BC16" i="13" s="1"/>
  <c r="AZ26" i="13"/>
  <c r="BA26" i="13"/>
  <c r="N15" i="13"/>
  <c r="BI28" i="13" l="1"/>
  <c r="W28" i="13"/>
  <c r="AW28" i="13"/>
  <c r="AX27" i="13"/>
  <c r="BN28" i="13"/>
  <c r="BO26" i="13"/>
  <c r="AF29" i="13" a="1"/>
  <c r="AG29" i="13" a="1"/>
  <c r="L30" i="13"/>
  <c r="BL28" i="13"/>
  <c r="AH10" i="13"/>
  <c r="AI10" i="13" s="1"/>
  <c r="AE11" i="13" s="1"/>
  <c r="BM11" i="13" s="1"/>
  <c r="AU28" i="13"/>
  <c r="AR29" i="13"/>
  <c r="AV29" i="13" s="1"/>
  <c r="BH29" i="13"/>
  <c r="AS28" i="13"/>
  <c r="T29" i="13"/>
  <c r="AC29" i="13" a="1"/>
  <c r="BJ29" i="13" s="1"/>
  <c r="R29" i="13"/>
  <c r="AD29" i="13" a="1"/>
  <c r="BK29" i="13" s="1"/>
  <c r="BE16" i="13"/>
  <c r="BD16" i="13"/>
  <c r="BG16" i="13" s="1"/>
  <c r="Y16" i="13" s="1"/>
  <c r="Z15" i="13"/>
  <c r="AA15" i="13" s="1" a="1"/>
  <c r="BI29" i="13" l="1"/>
  <c r="W29" i="13"/>
  <c r="AW29" i="13"/>
  <c r="AX28" i="13"/>
  <c r="BN29" i="13"/>
  <c r="BO27" i="13"/>
  <c r="AF30" i="13" a="1"/>
  <c r="AG30" i="13" a="1"/>
  <c r="L31" i="13"/>
  <c r="BL29" i="13"/>
  <c r="AK10" i="13"/>
  <c r="AN10" i="13"/>
  <c r="AO10" i="13" s="1"/>
  <c r="AP10" i="13" s="1"/>
  <c r="AM15" i="13" a="1"/>
  <c r="AB15" i="13"/>
  <c r="AJ15" i="13"/>
  <c r="AL15" i="13" s="1"/>
  <c r="AU29" i="13"/>
  <c r="AR30" i="13"/>
  <c r="AV30" i="13" s="1"/>
  <c r="BH30" i="13"/>
  <c r="AS29" i="13"/>
  <c r="AC30" i="13" a="1"/>
  <c r="BJ30" i="13" s="1"/>
  <c r="AD30" i="13" a="1"/>
  <c r="BK30" i="13" s="1"/>
  <c r="T30" i="13"/>
  <c r="R30" i="13"/>
  <c r="Z16" i="13"/>
  <c r="AA16" i="13" s="1" a="1"/>
  <c r="BF16" i="13"/>
  <c r="BC17" i="13" s="1"/>
  <c r="P16" i="13"/>
  <c r="N16" i="13"/>
  <c r="BI30" i="13" l="1"/>
  <c r="W30" i="13"/>
  <c r="AX29" i="13"/>
  <c r="AW30" i="13"/>
  <c r="BN30" i="13"/>
  <c r="BO28" i="13"/>
  <c r="AG31" i="13" a="1"/>
  <c r="AF31" i="13" a="1"/>
  <c r="L32" i="13"/>
  <c r="BL30" i="13"/>
  <c r="M10" i="13"/>
  <c r="O10" i="13" s="1"/>
  <c r="AM16" i="13" a="1"/>
  <c r="AJ16" i="13"/>
  <c r="AL16" i="13" s="1"/>
  <c r="AB16" i="13"/>
  <c r="AU30" i="13"/>
  <c r="AR31" i="13"/>
  <c r="AV31" i="13" s="1"/>
  <c r="BH31" i="13"/>
  <c r="R31" i="13"/>
  <c r="AS30" i="13"/>
  <c r="AD31" i="13" a="1"/>
  <c r="BK31" i="13" s="1"/>
  <c r="T31" i="13"/>
  <c r="U31" i="13" s="1"/>
  <c r="U32" i="13" s="1"/>
  <c r="AC31" i="13" a="1"/>
  <c r="BJ31" i="13" s="1"/>
  <c r="BE17" i="13"/>
  <c r="BD17" i="13"/>
  <c r="BG17" i="13" s="1"/>
  <c r="BI31" i="13" l="1"/>
  <c r="W31" i="13"/>
  <c r="AW31" i="13"/>
  <c r="AX30" i="13"/>
  <c r="BO29" i="13"/>
  <c r="BN31" i="13"/>
  <c r="AF32" i="13" a="1"/>
  <c r="AG32" i="13" a="1"/>
  <c r="L33" i="13"/>
  <c r="BL31" i="13"/>
  <c r="AH11" i="13"/>
  <c r="AI11" i="13" s="1"/>
  <c r="AE12" i="13" s="1"/>
  <c r="BM12" i="13" s="1"/>
  <c r="AU31" i="13"/>
  <c r="AR32" i="13"/>
  <c r="AV32" i="13" s="1"/>
  <c r="BH32" i="13"/>
  <c r="AS31" i="13"/>
  <c r="R32" i="13"/>
  <c r="V32" i="13" s="1"/>
  <c r="AD32" i="13" a="1"/>
  <c r="BK32" i="13" s="1"/>
  <c r="AC32" i="13" a="1"/>
  <c r="BJ32" i="13" s="1"/>
  <c r="T32" i="13"/>
  <c r="V31" i="13"/>
  <c r="AY31" i="13" s="1"/>
  <c r="BF17" i="13"/>
  <c r="BC18" i="13" s="1"/>
  <c r="BE18" i="13" s="1"/>
  <c r="Y17" i="13"/>
  <c r="U33" i="13"/>
  <c r="N17" i="13"/>
  <c r="BI32" i="13" l="1"/>
  <c r="W32" i="13"/>
  <c r="X32" i="13" s="1"/>
  <c r="AX31" i="13"/>
  <c r="AW32" i="13"/>
  <c r="BN32" i="13"/>
  <c r="BO30" i="13"/>
  <c r="AG33" i="13" a="1"/>
  <c r="AF33" i="13" a="1"/>
  <c r="L34" i="13"/>
  <c r="BH34" i="13" s="1"/>
  <c r="BL32" i="13"/>
  <c r="AK11" i="13"/>
  <c r="AN11" i="13"/>
  <c r="AO11" i="13" s="1"/>
  <c r="AP11" i="13" s="1"/>
  <c r="AU32" i="13"/>
  <c r="AR33" i="13"/>
  <c r="AV33" i="13" s="1"/>
  <c r="BH33" i="13"/>
  <c r="AS32" i="13"/>
  <c r="AD33" i="13" a="1"/>
  <c r="BK33" i="13" s="1"/>
  <c r="R33" i="13"/>
  <c r="V33" i="13" s="1"/>
  <c r="AC33" i="13" a="1"/>
  <c r="BJ33" i="13" s="1"/>
  <c r="T33" i="13"/>
  <c r="X31" i="13"/>
  <c r="BD18" i="13"/>
  <c r="BG18" i="13" s="1"/>
  <c r="Y18" i="13" s="1"/>
  <c r="P17" i="13"/>
  <c r="AZ31" i="13"/>
  <c r="BA31" i="13"/>
  <c r="U34" i="13"/>
  <c r="AY32" i="13"/>
  <c r="BI34" i="13" l="1"/>
  <c r="W34" i="13"/>
  <c r="BI33" i="13"/>
  <c r="W33" i="13"/>
  <c r="X33" i="13" s="1"/>
  <c r="AW33" i="13"/>
  <c r="AX32" i="13"/>
  <c r="BO31" i="13"/>
  <c r="BN33" i="13"/>
  <c r="AG34" i="13" a="1"/>
  <c r="AF34" i="13" a="1"/>
  <c r="L35" i="13"/>
  <c r="BL33" i="13"/>
  <c r="M11" i="13"/>
  <c r="O11" i="13" s="1"/>
  <c r="Z18" i="13"/>
  <c r="AA18" i="13" s="1" a="1"/>
  <c r="AU33" i="13"/>
  <c r="AR34" i="13"/>
  <c r="AV34" i="13" s="1"/>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H36" i="13" s="1"/>
  <c r="BL34" i="13"/>
  <c r="AH12" i="13"/>
  <c r="AI12" i="13" s="1"/>
  <c r="AE13" i="13" s="1"/>
  <c r="BM13" i="13" s="1"/>
  <c r="AB18" i="13"/>
  <c r="AM18" i="13" a="1"/>
  <c r="AM17" i="13" a="1"/>
  <c r="AB17" i="13"/>
  <c r="AJ17" i="13"/>
  <c r="AC35" i="13" a="1"/>
  <c r="BJ35" i="13" s="1"/>
  <c r="BH35" i="13"/>
  <c r="AU34" i="13"/>
  <c r="AR35" i="13"/>
  <c r="AV35" i="13" s="1"/>
  <c r="T35" i="13"/>
  <c r="U35" i="13" s="1"/>
  <c r="U36" i="13" s="1"/>
  <c r="R35" i="13"/>
  <c r="AD35" i="13" a="1"/>
  <c r="BK35" i="13" s="1"/>
  <c r="AS34" i="13"/>
  <c r="BE19" i="13"/>
  <c r="BF19" i="13" s="1"/>
  <c r="BC20" i="13" s="1"/>
  <c r="Z19" i="13"/>
  <c r="AA19" i="13" s="1" a="1"/>
  <c r="AZ33" i="13"/>
  <c r="BA33" i="13"/>
  <c r="P19" i="13"/>
  <c r="AY34" i="13"/>
  <c r="X34" i="13"/>
  <c r="BI36" i="13" l="1"/>
  <c r="W36" i="13"/>
  <c r="BI35" i="13"/>
  <c r="W35" i="13"/>
  <c r="AW35" i="13"/>
  <c r="AX34" i="13"/>
  <c r="BO33" i="13"/>
  <c r="BN35" i="13"/>
  <c r="AF36" i="13" a="1"/>
  <c r="AG36" i="13" a="1"/>
  <c r="L37" i="13"/>
  <c r="BL35" i="13"/>
  <c r="AK12" i="13"/>
  <c r="AN12" i="13"/>
  <c r="AO12" i="13" s="1"/>
  <c r="AP12" i="13" s="1"/>
  <c r="AM19" i="13" a="1"/>
  <c r="AJ18" i="13"/>
  <c r="AL17" i="13"/>
  <c r="AB19" i="13"/>
  <c r="AU35" i="13"/>
  <c r="V35" i="13"/>
  <c r="AR36" i="13"/>
  <c r="AV36" i="13" s="1"/>
  <c r="T36" i="13"/>
  <c r="AC36" i="13" a="1"/>
  <c r="BJ36" i="13" s="1"/>
  <c r="AD36" i="13" a="1"/>
  <c r="BK36" i="13" s="1"/>
  <c r="R36" i="13"/>
  <c r="V36" i="13" s="1"/>
  <c r="AS35" i="13"/>
  <c r="BE20" i="13"/>
  <c r="BD20" i="13"/>
  <c r="BG20" i="13" s="1"/>
  <c r="Y20" i="13" s="1"/>
  <c r="AZ34" i="13"/>
  <c r="BA34" i="13"/>
  <c r="U37" i="13"/>
  <c r="N19" i="13"/>
  <c r="AW36" i="13" l="1"/>
  <c r="AX35" i="13"/>
  <c r="BO34" i="13"/>
  <c r="BN36" i="13"/>
  <c r="AG37" i="13" a="1"/>
  <c r="AF37" i="13" a="1"/>
  <c r="L38" i="13"/>
  <c r="BH38" i="13" s="1"/>
  <c r="BL36" i="13"/>
  <c r="M12" i="13"/>
  <c r="O12" i="13" s="1"/>
  <c r="AL18" i="13"/>
  <c r="AJ19" i="13"/>
  <c r="AL19" i="13" s="1"/>
  <c r="BH37" i="13"/>
  <c r="AU36" i="13"/>
  <c r="AR37" i="13"/>
  <c r="AV37" i="13" s="1"/>
  <c r="T37" i="13"/>
  <c r="AC37" i="13" a="1"/>
  <c r="BJ37" i="13" s="1"/>
  <c r="AD37" i="13" a="1"/>
  <c r="BK37" i="13" s="1"/>
  <c r="R37" i="13"/>
  <c r="V37" i="13" s="1"/>
  <c r="X35" i="13"/>
  <c r="AY35" i="13"/>
  <c r="AS36" i="13"/>
  <c r="P20" i="13"/>
  <c r="BF20" i="13"/>
  <c r="BC21" i="13" s="1"/>
  <c r="U38" i="13"/>
  <c r="AY36" i="13"/>
  <c r="X36" i="13"/>
  <c r="BI38" i="13" l="1"/>
  <c r="W38" i="13"/>
  <c r="BI37" i="13"/>
  <c r="W37" i="13"/>
  <c r="X37" i="13" s="1"/>
  <c r="AW37" i="13"/>
  <c r="AX36" i="13"/>
  <c r="BO35" i="13"/>
  <c r="BN37" i="13"/>
  <c r="AF38" i="13" a="1"/>
  <c r="AG38" i="13" a="1"/>
  <c r="L39" i="13"/>
  <c r="BH39" i="13" s="1"/>
  <c r="BL37" i="13"/>
  <c r="AH13" i="13"/>
  <c r="AI13" i="13" s="1"/>
  <c r="AE14" i="13" s="1"/>
  <c r="BM14" i="13" s="1"/>
  <c r="AC38" i="13" a="1"/>
  <c r="BJ38" i="13" s="1"/>
  <c r="BA35" i="13"/>
  <c r="AZ35" i="13"/>
  <c r="AU37" i="13"/>
  <c r="T38" i="13"/>
  <c r="AR38" i="13"/>
  <c r="AV38" i="13" s="1"/>
  <c r="AD38" i="13" a="1"/>
  <c r="BK38" i="13" s="1"/>
  <c r="R38" i="13"/>
  <c r="V38" i="13" s="1"/>
  <c r="AS37" i="13"/>
  <c r="BE21" i="13"/>
  <c r="BD21" i="13"/>
  <c r="BG21" i="13" s="1"/>
  <c r="Y21" i="13" s="1"/>
  <c r="Z20" i="13"/>
  <c r="AA20" i="13" s="1" a="1"/>
  <c r="AZ36" i="13"/>
  <c r="BA36" i="13"/>
  <c r="AY37" i="13"/>
  <c r="BI39" i="13" l="1"/>
  <c r="W39" i="13"/>
  <c r="AX37" i="13"/>
  <c r="AW38" i="13"/>
  <c r="BN38" i="13"/>
  <c r="BO36" i="13"/>
  <c r="AF39" i="13" a="1"/>
  <c r="AG39" i="13" a="1"/>
  <c r="L40" i="13"/>
  <c r="BH40" i="13" s="1"/>
  <c r="BL38" i="13"/>
  <c r="AK13" i="13"/>
  <c r="AN13" i="13"/>
  <c r="AO13" i="13" s="1"/>
  <c r="AP13" i="13" s="1"/>
  <c r="AM20" i="13" a="1"/>
  <c r="AB20" i="13"/>
  <c r="AJ20" i="13"/>
  <c r="AL20" i="13" s="1"/>
  <c r="T39" i="13"/>
  <c r="U39" i="13" s="1"/>
  <c r="AC39" i="13" a="1"/>
  <c r="BJ39" i="13" s="1"/>
  <c r="AD39" i="13" a="1"/>
  <c r="BK39" i="13" s="1"/>
  <c r="R39" i="13"/>
  <c r="AU38" i="13"/>
  <c r="AR39" i="13"/>
  <c r="AV39" i="13" s="1"/>
  <c r="AS38" i="13"/>
  <c r="Z21" i="13"/>
  <c r="AA21" i="13" s="1" a="1"/>
  <c r="BF21" i="13"/>
  <c r="BC22" i="13" s="1"/>
  <c r="AZ37" i="13"/>
  <c r="BA37" i="13"/>
  <c r="P21" i="13"/>
  <c r="AY38" i="13"/>
  <c r="X38" i="13"/>
  <c r="BI40" i="13" l="1"/>
  <c r="W40" i="13"/>
  <c r="AX38" i="13"/>
  <c r="AW39" i="13"/>
  <c r="BN39" i="13"/>
  <c r="BO37" i="13"/>
  <c r="AF40" i="13" a="1"/>
  <c r="AG40" i="13" a="1"/>
  <c r="L41" i="13"/>
  <c r="BL39" i="13"/>
  <c r="M13" i="13"/>
  <c r="O13" i="13" s="1"/>
  <c r="AM21" i="13" a="1"/>
  <c r="AB21" i="13"/>
  <c r="AJ21" i="13"/>
  <c r="AL21" i="13" s="1"/>
  <c r="V39" i="13"/>
  <c r="U40" i="13"/>
  <c r="AU39" i="13"/>
  <c r="T40" i="13"/>
  <c r="R40" i="13"/>
  <c r="AR40" i="13"/>
  <c r="AV40" i="13" s="1"/>
  <c r="AC40" i="13" a="1"/>
  <c r="BJ40" i="13" s="1"/>
  <c r="AD40" i="13" a="1"/>
  <c r="BK40" i="13" s="1"/>
  <c r="AS39" i="13"/>
  <c r="BE22" i="13"/>
  <c r="BD22" i="13"/>
  <c r="BG22" i="13" s="1"/>
  <c r="Y22" i="13" s="1"/>
  <c r="AZ38" i="13"/>
  <c r="BA38" i="13"/>
  <c r="AW40" i="13" l="1"/>
  <c r="AX39" i="13"/>
  <c r="BN40" i="13"/>
  <c r="BO38" i="13"/>
  <c r="AF41" i="13" a="1"/>
  <c r="AG41" i="13" a="1"/>
  <c r="L42" i="13"/>
  <c r="BH42" i="13" s="1"/>
  <c r="BL40" i="13"/>
  <c r="AH14" i="13"/>
  <c r="AI14" i="13" s="1"/>
  <c r="AE15" i="13" s="1"/>
  <c r="BM15" i="13" s="1"/>
  <c r="BH41" i="13"/>
  <c r="AY39" i="13"/>
  <c r="X39" i="13"/>
  <c r="V40" i="13"/>
  <c r="U41" i="13"/>
  <c r="U42" i="13" s="1"/>
  <c r="T41" i="13"/>
  <c r="AC41" i="13" a="1"/>
  <c r="BJ41" i="13" s="1"/>
  <c r="AU40" i="13"/>
  <c r="AR41" i="13"/>
  <c r="AV41" i="13" s="1"/>
  <c r="AD41" i="13" a="1"/>
  <c r="BK41" i="13" s="1"/>
  <c r="R41" i="13"/>
  <c r="AS40" i="13"/>
  <c r="Z22" i="13"/>
  <c r="AA22" i="13" s="1" a="1"/>
  <c r="BF22" i="13"/>
  <c r="BC23" i="13" s="1"/>
  <c r="P22" i="13"/>
  <c r="BI42" i="13" l="1"/>
  <c r="W42" i="13"/>
  <c r="BI41" i="13"/>
  <c r="W41" i="13"/>
  <c r="AW41" i="13"/>
  <c r="AX40" i="13"/>
  <c r="BO39" i="13"/>
  <c r="BN41" i="13"/>
  <c r="AG42" i="13" a="1"/>
  <c r="AF42" i="13" a="1"/>
  <c r="L43" i="13"/>
  <c r="BH43" i="13" s="1"/>
  <c r="BL41" i="13"/>
  <c r="AK14" i="13"/>
  <c r="AN14" i="13"/>
  <c r="AO14" i="13" s="1"/>
  <c r="AP14" i="13" s="1"/>
  <c r="AM22" i="13" a="1"/>
  <c r="AB22" i="13"/>
  <c r="AJ22" i="13"/>
  <c r="AL22" i="13" s="1"/>
  <c r="AZ39" i="13"/>
  <c r="BA39" i="13"/>
  <c r="AR42" i="13"/>
  <c r="AV42" i="13" s="1"/>
  <c r="T42" i="13"/>
  <c r="AC42" i="13" a="1"/>
  <c r="BJ42" i="13" s="1"/>
  <c r="AD42" i="13" a="1"/>
  <c r="BK42" i="13" s="1"/>
  <c r="R42" i="13"/>
  <c r="V42" i="13" s="1"/>
  <c r="V41" i="13"/>
  <c r="AY40" i="13"/>
  <c r="X40" i="13"/>
  <c r="AU41" i="13"/>
  <c r="AS41" i="13"/>
  <c r="BE23" i="13"/>
  <c r="BD23" i="13"/>
  <c r="BG23" i="13" s="1"/>
  <c r="Y23" i="13" s="1"/>
  <c r="N22" i="13"/>
  <c r="BI43" i="13" l="1"/>
  <c r="W43" i="13"/>
  <c r="AX41" i="13"/>
  <c r="AW42" i="13"/>
  <c r="BN42" i="13"/>
  <c r="BO40" i="13"/>
  <c r="AG43" i="13" a="1"/>
  <c r="AF43" i="13" a="1"/>
  <c r="L44" i="13"/>
  <c r="BH44" i="13" s="1"/>
  <c r="BL42" i="13"/>
  <c r="M14" i="13"/>
  <c r="O14" i="13" s="1"/>
  <c r="X41" i="13"/>
  <c r="AY41" i="13"/>
  <c r="AR43" i="13"/>
  <c r="AV43" i="13" s="1"/>
  <c r="R43" i="13"/>
  <c r="AC43" i="13" a="1"/>
  <c r="BJ43" i="13" s="1"/>
  <c r="AD43" i="13" a="1"/>
  <c r="BK43" i="13" s="1"/>
  <c r="T43" i="13"/>
  <c r="U43" i="13" s="1"/>
  <c r="AU42" i="13"/>
  <c r="AZ40" i="13"/>
  <c r="BA40" i="13"/>
  <c r="AS42" i="13"/>
  <c r="Z23" i="13"/>
  <c r="AA23" i="13" s="1" a="1"/>
  <c r="BF23" i="13"/>
  <c r="BC24" i="13" s="1"/>
  <c r="P23" i="13"/>
  <c r="AY42" i="13"/>
  <c r="X42" i="13"/>
  <c r="BI44" i="13" l="1"/>
  <c r="W44" i="13"/>
  <c r="AW43" i="13"/>
  <c r="AX42" i="13"/>
  <c r="BN43" i="13"/>
  <c r="BO41" i="13"/>
  <c r="AG44" i="13" a="1"/>
  <c r="AF44" i="13" a="1"/>
  <c r="L45" i="13"/>
  <c r="BH45" i="13" s="1"/>
  <c r="BL43" i="13"/>
  <c r="AH15" i="13"/>
  <c r="AI15" i="13" s="1"/>
  <c r="AE16" i="13" s="1"/>
  <c r="BM16" i="13" s="1"/>
  <c r="AM23" i="13" a="1"/>
  <c r="AB23" i="13"/>
  <c r="AJ23" i="13"/>
  <c r="AL23" i="13" s="1"/>
  <c r="AZ41" i="13"/>
  <c r="BA41" i="13"/>
  <c r="AU43" i="13"/>
  <c r="T44" i="13"/>
  <c r="AR44" i="13"/>
  <c r="AV44" i="13" s="1"/>
  <c r="AC44" i="13" a="1"/>
  <c r="BJ44" i="13" s="1"/>
  <c r="AD44" i="13" a="1"/>
  <c r="BK44" i="13" s="1"/>
  <c r="R44" i="13"/>
  <c r="U44" i="13"/>
  <c r="V43" i="13"/>
  <c r="AS43" i="13"/>
  <c r="BE24" i="13"/>
  <c r="BD24" i="13"/>
  <c r="BG24" i="13" s="1"/>
  <c r="Y24" i="13" s="1"/>
  <c r="AZ42" i="13"/>
  <c r="BA42" i="13"/>
  <c r="N23" i="13"/>
  <c r="BI45" i="13" l="1"/>
  <c r="W45" i="13"/>
  <c r="AX43" i="13"/>
  <c r="AW44" i="13"/>
  <c r="BN44" i="13"/>
  <c r="BO42" i="13"/>
  <c r="AF45" i="13" a="1"/>
  <c r="AG45" i="13" a="1"/>
  <c r="L46" i="13"/>
  <c r="BH46" i="13" s="1"/>
  <c r="BL44" i="13"/>
  <c r="AK15" i="13"/>
  <c r="AN15" i="13"/>
  <c r="AO15" i="13" s="1"/>
  <c r="AP15" i="13" s="1"/>
  <c r="AU44" i="13"/>
  <c r="AR45" i="13"/>
  <c r="AV45" i="13" s="1"/>
  <c r="T45" i="13"/>
  <c r="AC45" i="13" a="1"/>
  <c r="BJ45" i="13" s="1"/>
  <c r="AD45" i="13" a="1"/>
  <c r="BK45" i="13" s="1"/>
  <c r="R45" i="13"/>
  <c r="U45" i="13"/>
  <c r="V44" i="13"/>
  <c r="AY43" i="13"/>
  <c r="X43" i="13"/>
  <c r="AS44" i="13"/>
  <c r="Z24" i="13"/>
  <c r="AA24" i="13" s="1" a="1"/>
  <c r="BF24" i="13"/>
  <c r="BC25" i="13" s="1"/>
  <c r="P24" i="13"/>
  <c r="BI46" i="13" l="1"/>
  <c r="W46" i="13"/>
  <c r="AX44" i="13"/>
  <c r="AW45" i="13"/>
  <c r="BN45" i="13"/>
  <c r="BO43" i="13"/>
  <c r="AF46" i="13" a="1"/>
  <c r="AG46" i="13" a="1"/>
  <c r="L47" i="13"/>
  <c r="BH47" i="13" s="1"/>
  <c r="BL45" i="13"/>
  <c r="M15" i="13"/>
  <c r="O15" i="13" s="1"/>
  <c r="AM24" i="13" a="1"/>
  <c r="AB24" i="13"/>
  <c r="AJ24" i="13"/>
  <c r="AL24" i="13" s="1"/>
  <c r="AU45" i="13"/>
  <c r="AR46" i="13"/>
  <c r="AV46" i="13" s="1"/>
  <c r="T46" i="13"/>
  <c r="AC46" i="13" a="1"/>
  <c r="BJ46" i="13" s="1"/>
  <c r="AD46" i="13" a="1"/>
  <c r="BK46" i="13" s="1"/>
  <c r="R46" i="13"/>
  <c r="V45" i="13"/>
  <c r="U46" i="13"/>
  <c r="AY44" i="13"/>
  <c r="X44" i="13"/>
  <c r="AZ43" i="13"/>
  <c r="BA43" i="13"/>
  <c r="AS45" i="13"/>
  <c r="BE25" i="13"/>
  <c r="BD25" i="13"/>
  <c r="BG25" i="13" s="1"/>
  <c r="Y25" i="13" s="1"/>
  <c r="N24" i="13"/>
  <c r="BI47" i="13" l="1"/>
  <c r="W47" i="13"/>
  <c r="AX45" i="13"/>
  <c r="AW46" i="13"/>
  <c r="BN46" i="13"/>
  <c r="BO44" i="13"/>
  <c r="AF47" i="13" a="1"/>
  <c r="AG47" i="13" a="1"/>
  <c r="L48" i="13"/>
  <c r="BH48" i="13" s="1"/>
  <c r="BL46" i="13"/>
  <c r="AH16" i="13"/>
  <c r="AI16" i="13" s="1"/>
  <c r="AE17" i="13" s="1"/>
  <c r="BM17" i="13" s="1"/>
  <c r="V46" i="13"/>
  <c r="AU46" i="13"/>
  <c r="T47" i="13"/>
  <c r="U47" i="13" s="1"/>
  <c r="AD47" i="13" a="1"/>
  <c r="BK47" i="13" s="1"/>
  <c r="AC47" i="13" a="1"/>
  <c r="BJ47" i="13" s="1"/>
  <c r="AZ44" i="13"/>
  <c r="BA44" i="13"/>
  <c r="AR47" i="13"/>
  <c r="AV47" i="13" s="1"/>
  <c r="R47" i="13"/>
  <c r="AY45" i="13"/>
  <c r="X45" i="13"/>
  <c r="AS46" i="13"/>
  <c r="Z25" i="13"/>
  <c r="AA25" i="13" s="1" a="1"/>
  <c r="BF25" i="13"/>
  <c r="BC26" i="13" s="1"/>
  <c r="P25" i="13"/>
  <c r="BI48" i="13" l="1"/>
  <c r="W48" i="13"/>
  <c r="BO45" i="13"/>
  <c r="AW47" i="13"/>
  <c r="AX46" i="13"/>
  <c r="BN47" i="13"/>
  <c r="AG48" i="13" a="1"/>
  <c r="AF48" i="13" a="1"/>
  <c r="L49" i="13"/>
  <c r="BH49" i="13" s="1"/>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T48" i="13"/>
  <c r="AS47" i="13"/>
  <c r="BE26" i="13"/>
  <c r="BD26" i="13"/>
  <c r="BG26" i="13" s="1"/>
  <c r="Y26" i="13" s="1"/>
  <c r="N25" i="13"/>
  <c r="BI49" i="13" l="1"/>
  <c r="W49" i="13"/>
  <c r="AW48" i="13"/>
  <c r="AX47" i="13"/>
  <c r="BO46" i="13"/>
  <c r="BN48" i="13"/>
  <c r="AF49" i="13" a="1"/>
  <c r="AG49" i="13" a="1"/>
  <c r="L50" i="13"/>
  <c r="BH50" i="13" s="1"/>
  <c r="BL48" i="13"/>
  <c r="M16" i="13"/>
  <c r="O16" i="13" s="1"/>
  <c r="BA46" i="13"/>
  <c r="AZ46" i="13"/>
  <c r="U49" i="13"/>
  <c r="U50" i="13" s="1"/>
  <c r="V48" i="13"/>
  <c r="AY47" i="13"/>
  <c r="X47" i="13"/>
  <c r="AU48" i="13"/>
  <c r="T49" i="13"/>
  <c r="AR49" i="13"/>
  <c r="AV49" i="13" s="1"/>
  <c r="AC49" i="13" a="1"/>
  <c r="BJ49" i="13" s="1"/>
  <c r="AD49" i="13" a="1"/>
  <c r="BK49" i="13" s="1"/>
  <c r="R49" i="13"/>
  <c r="AS48" i="13"/>
  <c r="Z26" i="13"/>
  <c r="AA26" i="13" s="1" a="1"/>
  <c r="BF26" i="13"/>
  <c r="BC27" i="13" s="1"/>
  <c r="P26" i="13"/>
  <c r="BI50" i="13" l="1"/>
  <c r="W50" i="13"/>
  <c r="AW49" i="13"/>
  <c r="AX48" i="13"/>
  <c r="BN49" i="13"/>
  <c r="BO47" i="13"/>
  <c r="AF50" i="13" a="1"/>
  <c r="AG50" i="13" a="1"/>
  <c r="L51" i="13"/>
  <c r="BH51" i="13" s="1"/>
  <c r="BL49" i="13"/>
  <c r="AH17" i="13"/>
  <c r="AI17" i="13" s="1"/>
  <c r="AE18" i="13" s="1"/>
  <c r="BM18" i="13" s="1"/>
  <c r="AM26" i="13" a="1"/>
  <c r="AB26" i="13"/>
  <c r="AJ26" i="13"/>
  <c r="AL26" i="13" s="1"/>
  <c r="V49" i="13"/>
  <c r="AY48" i="13"/>
  <c r="X48" i="13"/>
  <c r="AZ47" i="13"/>
  <c r="BA47" i="13"/>
  <c r="AU49" i="13"/>
  <c r="AR50" i="13"/>
  <c r="AV50" i="13" s="1"/>
  <c r="T50" i="13"/>
  <c r="R50" i="13"/>
  <c r="V50" i="13" s="1"/>
  <c r="AC50" i="13" a="1"/>
  <c r="BJ50" i="13" s="1"/>
  <c r="AD50" i="13" a="1"/>
  <c r="BK50" i="13" s="1"/>
  <c r="AS49" i="13"/>
  <c r="BE27" i="13"/>
  <c r="BD27" i="13"/>
  <c r="N26" i="13"/>
  <c r="BI51" i="13" l="1"/>
  <c r="W51" i="13"/>
  <c r="AX49" i="13"/>
  <c r="AW50" i="13"/>
  <c r="BN50" i="13"/>
  <c r="BO48" i="13"/>
  <c r="AF51" i="13" a="1"/>
  <c r="AG51" i="13" a="1"/>
  <c r="L52" i="13"/>
  <c r="BH52" i="13" s="1"/>
  <c r="BL50" i="13"/>
  <c r="AK17" i="13"/>
  <c r="AN17" i="13"/>
  <c r="AO17" i="13" s="1"/>
  <c r="AP17" i="13" s="1"/>
  <c r="X49" i="13"/>
  <c r="AY49" i="13"/>
  <c r="AZ48" i="13"/>
  <c r="BA48" i="13"/>
  <c r="AU50" i="13"/>
  <c r="AR51" i="13"/>
  <c r="AV51" i="13" s="1"/>
  <c r="T51" i="13"/>
  <c r="U51" i="13" s="1"/>
  <c r="AC51" i="13" a="1"/>
  <c r="BJ51" i="13" s="1"/>
  <c r="AD51" i="13" a="1"/>
  <c r="BK51" i="13" s="1"/>
  <c r="R51" i="13"/>
  <c r="BF27" i="13"/>
  <c r="BC28" i="13" s="1"/>
  <c r="BE28" i="13" s="1"/>
  <c r="AS50" i="13"/>
  <c r="AY50" i="13"/>
  <c r="X50" i="13"/>
  <c r="BI52" i="13" l="1"/>
  <c r="W52" i="13"/>
  <c r="AX50" i="13"/>
  <c r="AW51" i="13"/>
  <c r="BO49" i="13"/>
  <c r="BN51" i="13"/>
  <c r="AF52" i="13" a="1"/>
  <c r="AG52" i="13" a="1"/>
  <c r="L53" i="13"/>
  <c r="BH53" i="13" s="1"/>
  <c r="BL51" i="13"/>
  <c r="M17" i="13"/>
  <c r="O17" i="13" s="1"/>
  <c r="AZ49" i="13"/>
  <c r="BA49" i="13"/>
  <c r="AU51" i="13"/>
  <c r="V51" i="13"/>
  <c r="U52" i="13"/>
  <c r="AR52" i="13"/>
  <c r="AV52" i="13" s="1"/>
  <c r="T52" i="13"/>
  <c r="AC52" i="13" a="1"/>
  <c r="BJ52" i="13" s="1"/>
  <c r="R52" i="13"/>
  <c r="AD52" i="13" a="1"/>
  <c r="BK52" i="13" s="1"/>
  <c r="BD28" i="13"/>
  <c r="BF28" i="13" s="1"/>
  <c r="BC29" i="13" s="1"/>
  <c r="AS51" i="13"/>
  <c r="AZ50" i="13"/>
  <c r="BA50" i="13"/>
  <c r="N27" i="13"/>
  <c r="BI53" i="13" l="1"/>
  <c r="W53" i="13"/>
  <c r="BO50" i="13"/>
  <c r="AX51" i="13"/>
  <c r="AW52" i="13"/>
  <c r="BN52" i="13"/>
  <c r="AF53" i="13" a="1"/>
  <c r="AG53" i="13" a="1"/>
  <c r="L54" i="13"/>
  <c r="BL52" i="13"/>
  <c r="AH18" i="13"/>
  <c r="AI18" i="13" s="1"/>
  <c r="AE19" i="13" s="1"/>
  <c r="BM19" i="13" s="1"/>
  <c r="AY51" i="13"/>
  <c r="X51" i="13"/>
  <c r="AU52" i="13"/>
  <c r="AD53" i="13" a="1"/>
  <c r="BK53" i="13" s="1"/>
  <c r="U53" i="13"/>
  <c r="U54" i="13" s="1"/>
  <c r="V52" i="13"/>
  <c r="T53" i="13"/>
  <c r="AC53" i="13" a="1"/>
  <c r="BJ53" i="13" s="1"/>
  <c r="AR53" i="13"/>
  <c r="AV53" i="13" s="1"/>
  <c r="R53" i="13"/>
  <c r="AS52" i="13"/>
  <c r="BE29" i="13"/>
  <c r="BD29" i="13"/>
  <c r="AW53" i="13" l="1"/>
  <c r="AX52" i="13"/>
  <c r="BO51" i="13"/>
  <c r="BN53" i="13"/>
  <c r="AF54" i="13" a="1"/>
  <c r="AG54" i="13" a="1"/>
  <c r="L55" i="13"/>
  <c r="BH55" i="13" s="1"/>
  <c r="BL53" i="13"/>
  <c r="AK18" i="13"/>
  <c r="AN18" i="13"/>
  <c r="AO18" i="13" s="1"/>
  <c r="AP18" i="13" s="1"/>
  <c r="BH54" i="13"/>
  <c r="V53" i="13"/>
  <c r="BA51" i="13"/>
  <c r="AZ51" i="13"/>
  <c r="AY52" i="13"/>
  <c r="X52" i="13"/>
  <c r="AU53" i="13"/>
  <c r="AR54" i="13"/>
  <c r="AV54" i="13" s="1"/>
  <c r="AC54" i="13" a="1"/>
  <c r="BJ54" i="13" s="1"/>
  <c r="AD54" i="13" a="1"/>
  <c r="BK54" i="13" s="1"/>
  <c r="R54" i="13"/>
  <c r="V54" i="13" s="1"/>
  <c r="T54" i="13"/>
  <c r="AS53" i="13"/>
  <c r="BF29" i="13"/>
  <c r="BC30" i="13" s="1"/>
  <c r="N28" i="13"/>
  <c r="BI55" i="13" l="1"/>
  <c r="W55" i="13"/>
  <c r="BI54" i="13"/>
  <c r="W54" i="13"/>
  <c r="X54" i="13" s="1"/>
  <c r="AX53" i="13"/>
  <c r="AW54" i="13"/>
  <c r="BN54" i="13"/>
  <c r="BO52" i="13"/>
  <c r="AF55" i="13" a="1"/>
  <c r="AG55" i="13" a="1"/>
  <c r="L56" i="13"/>
  <c r="BH56" i="13" s="1"/>
  <c r="BL54" i="13"/>
  <c r="M18" i="13"/>
  <c r="O18" i="13" s="1"/>
  <c r="AU54" i="13"/>
  <c r="AY53" i="13"/>
  <c r="X53" i="13"/>
  <c r="AZ52" i="13"/>
  <c r="BA52" i="13"/>
  <c r="AR55" i="13"/>
  <c r="AV55" i="13" s="1"/>
  <c r="T55" i="13"/>
  <c r="U55" i="13" s="1"/>
  <c r="AD55" i="13" a="1"/>
  <c r="BK55" i="13" s="1"/>
  <c r="AC55" i="13" a="1"/>
  <c r="BJ55" i="13" s="1"/>
  <c r="R55" i="13"/>
  <c r="AS54" i="13"/>
  <c r="BE30" i="13"/>
  <c r="BD30" i="13"/>
  <c r="N29" i="13"/>
  <c r="AY54" i="13"/>
  <c r="BI56" i="13" l="1"/>
  <c r="W56" i="13"/>
  <c r="AW55" i="13"/>
  <c r="AX54" i="13"/>
  <c r="BN55" i="13"/>
  <c r="BO53" i="13"/>
  <c r="AG56" i="13" a="1"/>
  <c r="AF56" i="13" a="1"/>
  <c r="L57" i="13"/>
  <c r="BH57" i="13" s="1"/>
  <c r="BL55" i="13"/>
  <c r="AH19" i="13"/>
  <c r="AI19" i="13" s="1"/>
  <c r="AE20" i="13" s="1"/>
  <c r="BM20" i="13" s="1"/>
  <c r="AZ53" i="13"/>
  <c r="BA53" i="13"/>
  <c r="AU55" i="13"/>
  <c r="T56" i="13"/>
  <c r="AD56" i="13" a="1"/>
  <c r="BK56" i="13" s="1"/>
  <c r="U56" i="13"/>
  <c r="V55" i="13"/>
  <c r="AR56" i="13"/>
  <c r="AV56" i="13" s="1"/>
  <c r="AC56" i="13" a="1"/>
  <c r="BJ56" i="13" s="1"/>
  <c r="R56" i="13"/>
  <c r="AS55" i="13"/>
  <c r="AZ54" i="13"/>
  <c r="BA54" i="13"/>
  <c r="BF30" i="13"/>
  <c r="BC31" i="13" s="1"/>
  <c r="BI57" i="13" l="1"/>
  <c r="W57" i="13"/>
  <c r="AX55" i="13"/>
  <c r="AW56" i="13"/>
  <c r="BN56" i="13"/>
  <c r="BO54" i="13"/>
  <c r="AF57" i="13" a="1"/>
  <c r="AG57" i="13" a="1"/>
  <c r="L58" i="13"/>
  <c r="BH58" i="13" s="1"/>
  <c r="BL56" i="13"/>
  <c r="AK19" i="13"/>
  <c r="AN19" i="13"/>
  <c r="AO19" i="13" s="1"/>
  <c r="AP19" i="13" s="1"/>
  <c r="AU56" i="13"/>
  <c r="V56" i="13"/>
  <c r="U57" i="13"/>
  <c r="U58" i="13" s="1"/>
  <c r="AY55" i="13"/>
  <c r="X55" i="13"/>
  <c r="AR57" i="13"/>
  <c r="AV57" i="13" s="1"/>
  <c r="T57" i="13"/>
  <c r="R57" i="13"/>
  <c r="AC57" i="13" a="1"/>
  <c r="BJ57" i="13" s="1"/>
  <c r="AD57" i="13" a="1"/>
  <c r="BK57" i="13" s="1"/>
  <c r="AS56" i="13"/>
  <c r="BE31" i="13"/>
  <c r="BD31" i="13"/>
  <c r="BG31" i="13" s="1"/>
  <c r="Y31" i="13" s="1"/>
  <c r="BI58" i="13" l="1"/>
  <c r="W58" i="13"/>
  <c r="AX56" i="13"/>
  <c r="AW57" i="13"/>
  <c r="BN57" i="13"/>
  <c r="BO55" i="13"/>
  <c r="AG58" i="13" a="1"/>
  <c r="AF58" i="13" a="1"/>
  <c r="L59" i="13"/>
  <c r="BH59" i="13" s="1"/>
  <c r="BL57" i="13"/>
  <c r="M19" i="13"/>
  <c r="O19" i="13" s="1"/>
  <c r="V57" i="13"/>
  <c r="AU57" i="13"/>
  <c r="AY56" i="13"/>
  <c r="X56" i="13"/>
  <c r="AZ55" i="13"/>
  <c r="BA55" i="13"/>
  <c r="AR58" i="13"/>
  <c r="AV58" i="13" s="1"/>
  <c r="T58" i="13"/>
  <c r="AD58" i="13" a="1"/>
  <c r="BK58" i="13" s="1"/>
  <c r="R58" i="13"/>
  <c r="V58" i="13" s="1"/>
  <c r="AC58" i="13" a="1"/>
  <c r="BJ58" i="13" s="1"/>
  <c r="AS57" i="13"/>
  <c r="Z31" i="13"/>
  <c r="AA31" i="13" s="1" a="1"/>
  <c r="AB31" i="13" s="1"/>
  <c r="BF31" i="13"/>
  <c r="BC32" i="13" s="1"/>
  <c r="N30" i="13"/>
  <c r="BI59" i="13" l="1"/>
  <c r="W59" i="13"/>
  <c r="AX57" i="13"/>
  <c r="AW58" i="13"/>
  <c r="BN58" i="13"/>
  <c r="BO56" i="13"/>
  <c r="AF59" i="13" a="1"/>
  <c r="AG59" i="13" a="1"/>
  <c r="L60" i="13"/>
  <c r="BH60" i="13" s="1"/>
  <c r="BL58" i="13"/>
  <c r="AH20" i="13"/>
  <c r="AI20" i="13" s="1"/>
  <c r="AE21" i="13" s="1"/>
  <c r="BM21" i="13" s="1"/>
  <c r="AY57" i="13"/>
  <c r="X57" i="13"/>
  <c r="AU58" i="13"/>
  <c r="AZ56" i="13"/>
  <c r="BA56" i="13"/>
  <c r="AR59" i="13"/>
  <c r="AV59" i="13" s="1"/>
  <c r="T59" i="13"/>
  <c r="U59" i="13" s="1"/>
  <c r="AD59" i="13" a="1"/>
  <c r="BK59" i="13" s="1"/>
  <c r="AC59" i="13" a="1"/>
  <c r="BJ59" i="13" s="1"/>
  <c r="R59" i="13"/>
  <c r="AS58" i="13"/>
  <c r="BE32" i="13"/>
  <c r="BD32" i="13"/>
  <c r="BG32" i="13" s="1"/>
  <c r="Y32" i="13" s="1"/>
  <c r="P31" i="13"/>
  <c r="AY58" i="13"/>
  <c r="X58" i="13"/>
  <c r="BI60" i="13" l="1"/>
  <c r="W60" i="13"/>
  <c r="AW59" i="13"/>
  <c r="AX58" i="13"/>
  <c r="BN59" i="13"/>
  <c r="BO57" i="13"/>
  <c r="AG60" i="13" a="1"/>
  <c r="AF60" i="13" a="1"/>
  <c r="L61" i="13"/>
  <c r="BH61" i="13" s="1"/>
  <c r="BL59" i="13"/>
  <c r="AK20" i="13"/>
  <c r="AN20" i="13"/>
  <c r="AO20" i="13" s="1"/>
  <c r="AP20" i="13" s="1"/>
  <c r="AZ57" i="13"/>
  <c r="BA57" i="13"/>
  <c r="AU59" i="13"/>
  <c r="V59" i="13"/>
  <c r="U60" i="13"/>
  <c r="AR60" i="13"/>
  <c r="AV60" i="13" s="1"/>
  <c r="T60" i="13"/>
  <c r="AC60" i="13" a="1"/>
  <c r="BJ60" i="13" s="1"/>
  <c r="AD60" i="13" a="1"/>
  <c r="BK60" i="13" s="1"/>
  <c r="R60" i="13"/>
  <c r="AS59" i="13"/>
  <c r="Z32" i="13"/>
  <c r="AA32" i="13" s="1" a="1"/>
  <c r="AB32" i="13" s="1"/>
  <c r="AZ58" i="13"/>
  <c r="BA58" i="13"/>
  <c r="P32" i="13"/>
  <c r="BF32" i="13"/>
  <c r="BC33" i="13" s="1"/>
  <c r="N31" i="13"/>
  <c r="BI61" i="13" l="1"/>
  <c r="W61" i="13"/>
  <c r="AW60" i="13"/>
  <c r="AX59" i="13"/>
  <c r="BN60" i="13"/>
  <c r="BO58" i="13"/>
  <c r="AF61" i="13" a="1"/>
  <c r="AG61" i="13" a="1"/>
  <c r="L62" i="13"/>
  <c r="BH62" i="13" s="1"/>
  <c r="BL60" i="13"/>
  <c r="M20" i="13"/>
  <c r="AU60" i="13"/>
  <c r="AC61" i="13" a="1"/>
  <c r="BJ61" i="13" s="1"/>
  <c r="R61" i="13"/>
  <c r="AY59" i="13"/>
  <c r="X59" i="13"/>
  <c r="V60" i="13"/>
  <c r="U61" i="13"/>
  <c r="AR61" i="13"/>
  <c r="AV61" i="13" s="1"/>
  <c r="T61" i="13"/>
  <c r="AD61" i="13" a="1"/>
  <c r="BK61" i="13" s="1"/>
  <c r="AS60" i="13"/>
  <c r="BE33" i="13"/>
  <c r="BD33" i="13"/>
  <c r="BG33" i="13" s="1"/>
  <c r="Y33" i="13" s="1"/>
  <c r="BI62" i="13" l="1"/>
  <c r="W62" i="13"/>
  <c r="AX60" i="13"/>
  <c r="AW61" i="13"/>
  <c r="BN61" i="13"/>
  <c r="BO59" i="13"/>
  <c r="AF62" i="13" a="1"/>
  <c r="AG62" i="13" a="1"/>
  <c r="L63" i="13"/>
  <c r="BL61" i="13"/>
  <c r="AH21" i="13"/>
  <c r="AI21" i="13" s="1"/>
  <c r="AE22" i="13" s="1"/>
  <c r="BM22" i="13" s="1"/>
  <c r="AR62" i="13"/>
  <c r="AV62" i="13" s="1"/>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L62" i="13"/>
  <c r="AK21" i="13"/>
  <c r="AN21" i="13"/>
  <c r="AO21" i="13" s="1"/>
  <c r="AP21" i="13" s="1"/>
  <c r="BH63" i="13"/>
  <c r="AU62" i="13"/>
  <c r="V62" i="13"/>
  <c r="AR63" i="13"/>
  <c r="AV63" i="13" s="1"/>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L63" i="13"/>
  <c r="M21"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L64" i="13"/>
  <c r="AH22" i="13"/>
  <c r="AI22" i="13" s="1"/>
  <c r="AE23" i="13" s="1"/>
  <c r="BM23" i="13" s="1"/>
  <c r="AR65" i="13"/>
  <c r="AV65" i="13" s="1"/>
  <c r="BH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L65" i="13"/>
  <c r="AK22" i="13"/>
  <c r="AN22" i="13"/>
  <c r="AO22" i="13" s="1"/>
  <c r="AP22" i="13" s="1"/>
  <c r="AU65" i="13"/>
  <c r="AR66" i="13"/>
  <c r="AV66" i="13" s="1"/>
  <c r="BH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L66" i="13"/>
  <c r="M22" i="13"/>
  <c r="O22" i="13" s="1"/>
  <c r="BH67" i="13"/>
  <c r="AR67" i="13"/>
  <c r="AV67" i="13" s="1"/>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L67" i="13"/>
  <c r="AH23" i="13"/>
  <c r="AI23" i="13" s="1"/>
  <c r="AE24" i="13" s="1"/>
  <c r="BM24" i="13" s="1"/>
  <c r="V67" i="13"/>
  <c r="AU67" i="13"/>
  <c r="AY66" i="13"/>
  <c r="X66"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H69" i="13"/>
  <c r="AR69" i="13"/>
  <c r="AV69" i="13" s="1"/>
  <c r="T69" i="13"/>
  <c r="AF69" i="13" a="1"/>
  <c r="AG69" i="13" a="1"/>
  <c r="L70" i="13"/>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L69" i="13"/>
  <c r="M23" i="13"/>
  <c r="O23" i="13" s="1"/>
  <c r="AZ67" i="13"/>
  <c r="BA67" i="13"/>
  <c r="AR70" i="13"/>
  <c r="AV70" i="13" s="1"/>
  <c r="R70" i="13"/>
  <c r="V70" i="13" s="1"/>
  <c r="BH70" i="13"/>
  <c r="T70" i="13"/>
  <c r="AC70" i="13" a="1"/>
  <c r="BJ70" i="13" s="1"/>
  <c r="AD70" i="13" a="1"/>
  <c r="BK70" i="13" s="1"/>
  <c r="AS69" i="13"/>
  <c r="Z37" i="13"/>
  <c r="AA37" i="13" s="1" a="1"/>
  <c r="AB37" i="13" s="1"/>
  <c r="AZ68" i="13"/>
  <c r="BA68" i="13"/>
  <c r="BF37" i="13"/>
  <c r="BC38" i="13" s="1"/>
  <c r="AY69" i="13"/>
  <c r="N36" i="13"/>
  <c r="BI70" i="13" l="1"/>
  <c r="W70" i="13"/>
  <c r="X70" i="13" s="1"/>
  <c r="AX69" i="13"/>
  <c r="AW70" i="13"/>
  <c r="BN70" i="13"/>
  <c r="BO68" i="13"/>
  <c r="AG71" i="13" a="1"/>
  <c r="AF71" i="13" a="1"/>
  <c r="L72" i="13"/>
  <c r="AR72" i="13" s="1"/>
  <c r="AV72" i="13" s="1"/>
  <c r="BL70" i="13"/>
  <c r="AH24" i="13"/>
  <c r="AI24" i="13" s="1"/>
  <c r="AE25" i="13" s="1"/>
  <c r="BM25" i="13" s="1"/>
  <c r="AU70" i="13"/>
  <c r="AR71" i="13"/>
  <c r="AV71" i="13" s="1"/>
  <c r="BH71" i="13"/>
  <c r="T71" i="13"/>
  <c r="U71" i="13" s="1"/>
  <c r="AC71" i="13" a="1"/>
  <c r="BJ71" i="13" s="1"/>
  <c r="AD71" i="13" a="1"/>
  <c r="BK71" i="13" s="1"/>
  <c r="R71" i="13"/>
  <c r="AS70" i="13"/>
  <c r="BE38" i="13"/>
  <c r="BD38" i="13"/>
  <c r="BG38" i="13" s="1"/>
  <c r="Y38" i="13" s="1"/>
  <c r="AZ69" i="13"/>
  <c r="BA69" i="13"/>
  <c r="P37" i="13"/>
  <c r="AY70" i="13"/>
  <c r="BI71" i="13" l="1"/>
  <c r="W71" i="13"/>
  <c r="AW71" i="13"/>
  <c r="AW72" i="13"/>
  <c r="AX70" i="13"/>
  <c r="BN71" i="13"/>
  <c r="BO69" i="13"/>
  <c r="AU72" i="13"/>
  <c r="BN72" i="13"/>
  <c r="AF72" i="13" a="1"/>
  <c r="AG72" i="13" a="1"/>
  <c r="L73" i="13"/>
  <c r="BL71" i="13"/>
  <c r="AK24" i="13"/>
  <c r="AN24" i="13"/>
  <c r="AO24" i="13" s="1"/>
  <c r="AP24" i="13" s="1"/>
  <c r="BH72" i="13"/>
  <c r="T72" i="13"/>
  <c r="AC72" i="13" a="1"/>
  <c r="BJ72" i="13" s="1"/>
  <c r="AD72" i="13" a="1"/>
  <c r="BK72" i="13" s="1"/>
  <c r="R72" i="13"/>
  <c r="AU71" i="13"/>
  <c r="V71" i="13"/>
  <c r="U72" i="13"/>
  <c r="AS71" i="13"/>
  <c r="Z38" i="13"/>
  <c r="AA38" i="13" s="1" a="1"/>
  <c r="AB38" i="13" s="1"/>
  <c r="AZ70" i="13"/>
  <c r="BA70" i="13"/>
  <c r="P38" i="13"/>
  <c r="BF38" i="13"/>
  <c r="BC39" i="13" s="1"/>
  <c r="N37" i="13"/>
  <c r="BI72" i="13" l="1"/>
  <c r="W72" i="13"/>
  <c r="AX71" i="13"/>
  <c r="BO70" i="13"/>
  <c r="AC73" i="13" a="1"/>
  <c r="BJ73" i="13" s="1"/>
  <c r="T73" i="13"/>
  <c r="AF73" i="13" a="1"/>
  <c r="AG73" i="13" a="1"/>
  <c r="L74" i="13"/>
  <c r="AR74" i="13" s="1"/>
  <c r="AV74" i="13" s="1"/>
  <c r="BL72" i="13"/>
  <c r="M24" i="13"/>
  <c r="O24" i="13" s="1"/>
  <c r="AR73" i="13"/>
  <c r="AV73" i="13" s="1"/>
  <c r="BH73" i="13"/>
  <c r="AD73" i="13" a="1"/>
  <c r="BK73" i="13" s="1"/>
  <c r="R73" i="13"/>
  <c r="AY71" i="13"/>
  <c r="X71" i="13"/>
  <c r="V72" i="13"/>
  <c r="U73" i="13"/>
  <c r="AS72" i="13"/>
  <c r="AX72" i="13" s="1"/>
  <c r="BE39" i="13"/>
  <c r="BD39" i="13"/>
  <c r="BG39" i="13" s="1"/>
  <c r="Y39" i="13" s="1"/>
  <c r="BI73" i="13" l="1"/>
  <c r="W73" i="13"/>
  <c r="AW73" i="13"/>
  <c r="AW74" i="13"/>
  <c r="BN73" i="13"/>
  <c r="BO71" i="13"/>
  <c r="BL73" i="13"/>
  <c r="AU74" i="13"/>
  <c r="BN74" i="13"/>
  <c r="BH74" i="13"/>
  <c r="T74" i="13"/>
  <c r="AF74" i="13" a="1"/>
  <c r="AG74" i="13" a="1"/>
  <c r="L75" i="13"/>
  <c r="AH25" i="13"/>
  <c r="AI25" i="13" s="1"/>
  <c r="AE26" i="13" s="1"/>
  <c r="BM26" i="13" s="1"/>
  <c r="AU73" i="13"/>
  <c r="AC74" i="13" a="1"/>
  <c r="BJ74" i="13" s="1"/>
  <c r="AD74" i="13" a="1"/>
  <c r="BK74" i="13" s="1"/>
  <c r="R74" i="13"/>
  <c r="AY72" i="13"/>
  <c r="X72" i="13"/>
  <c r="V73" i="13"/>
  <c r="U74" i="13"/>
  <c r="AZ71" i="13"/>
  <c r="BA71" i="13"/>
  <c r="AS73" i="13"/>
  <c r="BO72" i="13"/>
  <c r="Z39" i="13"/>
  <c r="AA39" i="13" s="1" a="1"/>
  <c r="AB39" i="13" s="1"/>
  <c r="BF39" i="13"/>
  <c r="BC40" i="13" s="1"/>
  <c r="N38" i="13"/>
  <c r="BI74" i="13" l="1"/>
  <c r="W74" i="13"/>
  <c r="AX73" i="13"/>
  <c r="AF75" i="13" a="1"/>
  <c r="AG75" i="13" a="1"/>
  <c r="L76" i="13"/>
  <c r="BL74" i="13"/>
  <c r="AK25" i="13"/>
  <c r="AN25" i="13"/>
  <c r="AO25" i="13" s="1"/>
  <c r="AP25" i="13" s="1"/>
  <c r="V74" i="13"/>
  <c r="AZ72" i="13"/>
  <c r="BA72" i="13"/>
  <c r="AR75" i="13"/>
  <c r="AV75" i="13" s="1"/>
  <c r="BH75" i="13"/>
  <c r="T75" i="13"/>
  <c r="U75" i="13" s="1"/>
  <c r="AD75" i="13" a="1"/>
  <c r="BK75" i="13" s="1"/>
  <c r="AC75" i="13" a="1"/>
  <c r="BJ75" i="13" s="1"/>
  <c r="R75" i="13"/>
  <c r="AY73" i="13"/>
  <c r="X73" i="13"/>
  <c r="AS74" i="13"/>
  <c r="AX74" i="13" s="1"/>
  <c r="BE40" i="13"/>
  <c r="BD40" i="13"/>
  <c r="BG40" i="13" s="1"/>
  <c r="Y40" i="13" s="1"/>
  <c r="P39" i="13"/>
  <c r="BI75" i="13" l="1"/>
  <c r="W75" i="13"/>
  <c r="AW75" i="13"/>
  <c r="BN75" i="13"/>
  <c r="BO73" i="13"/>
  <c r="AR76" i="13"/>
  <c r="AV76" i="13" s="1"/>
  <c r="BH76" i="13"/>
  <c r="AF76" i="13" a="1"/>
  <c r="AG76" i="13" a="1"/>
  <c r="L77" i="13"/>
  <c r="BL75" i="13"/>
  <c r="M25" i="13"/>
  <c r="O25" i="13" s="1"/>
  <c r="AY74" i="13"/>
  <c r="X74" i="13"/>
  <c r="T76" i="13"/>
  <c r="AC76" i="13" a="1"/>
  <c r="BJ76" i="13" s="1"/>
  <c r="AD76" i="13" a="1"/>
  <c r="BK76" i="13" s="1"/>
  <c r="R76" i="13"/>
  <c r="AU75" i="13"/>
  <c r="V75" i="13"/>
  <c r="U76" i="13"/>
  <c r="AZ73" i="13"/>
  <c r="BA73" i="13"/>
  <c r="AS75" i="13"/>
  <c r="BO74" i="13"/>
  <c r="Z40" i="13"/>
  <c r="AA40" i="13" s="1" a="1"/>
  <c r="AB40" i="13" s="1"/>
  <c r="P40" i="13"/>
  <c r="BF40" i="13"/>
  <c r="BC41" i="13" s="1"/>
  <c r="N39" i="13"/>
  <c r="BI76" i="13" l="1"/>
  <c r="W76" i="13"/>
  <c r="AX75" i="13"/>
  <c r="AW76" i="13"/>
  <c r="BN76" i="13"/>
  <c r="AU76" i="13"/>
  <c r="AR77" i="13"/>
  <c r="AV77" i="13" s="1"/>
  <c r="BH77" i="13"/>
  <c r="AF77" i="13" a="1"/>
  <c r="AG77" i="13" a="1"/>
  <c r="L78" i="13"/>
  <c r="AR78" i="13" s="1"/>
  <c r="AV78" i="13" s="1"/>
  <c r="BL76" i="13"/>
  <c r="AH26" i="13"/>
  <c r="AI26" i="13" s="1"/>
  <c r="AZ74" i="13"/>
  <c r="BA74" i="13"/>
  <c r="T77" i="13"/>
  <c r="AC77" i="13" a="1"/>
  <c r="BJ77" i="13" s="1"/>
  <c r="AD77" i="13" a="1"/>
  <c r="BK77" i="13" s="1"/>
  <c r="R77" i="13"/>
  <c r="AY75" i="13"/>
  <c r="X75" i="13"/>
  <c r="V76" i="13"/>
  <c r="U77" i="13"/>
  <c r="AS76" i="13"/>
  <c r="BE41" i="13"/>
  <c r="BD41" i="13"/>
  <c r="BG41" i="13" s="1"/>
  <c r="Y41" i="13" s="1"/>
  <c r="BI77" i="13" l="1"/>
  <c r="W77" i="13"/>
  <c r="AX76" i="13"/>
  <c r="AW77" i="13"/>
  <c r="AW78" i="13"/>
  <c r="BN77" i="13"/>
  <c r="BO75" i="13"/>
  <c r="AU78" i="13"/>
  <c r="BN78" i="13"/>
  <c r="AU77" i="13"/>
  <c r="AG78" i="13" a="1"/>
  <c r="AF78" i="13" a="1"/>
  <c r="L79" i="13"/>
  <c r="BL77" i="13"/>
  <c r="AK26" i="13"/>
  <c r="AN26" i="13"/>
  <c r="AO26" i="13" s="1"/>
  <c r="AP26" i="13" s="1"/>
  <c r="M26" i="13" s="1"/>
  <c r="O26" i="13" s="1"/>
  <c r="BH78" i="13"/>
  <c r="T78" i="13"/>
  <c r="AC78" i="13" a="1"/>
  <c r="BJ78" i="13" s="1"/>
  <c r="AD78" i="13" a="1"/>
  <c r="BK78" i="13" s="1"/>
  <c r="R78" i="13"/>
  <c r="AZ75" i="13"/>
  <c r="BA75" i="13"/>
  <c r="AY76" i="13"/>
  <c r="X76" i="13"/>
  <c r="V77" i="13"/>
  <c r="U78" i="13"/>
  <c r="AS77" i="13"/>
  <c r="Z41" i="13"/>
  <c r="AA41" i="13" s="1" a="1"/>
  <c r="AB41" i="13" s="1"/>
  <c r="BF41" i="13"/>
  <c r="BC42" i="13" s="1"/>
  <c r="N40" i="13"/>
  <c r="BI78" i="13" l="1"/>
  <c r="W78" i="13"/>
  <c r="AX77" i="13"/>
  <c r="BO76" i="13"/>
  <c r="AF79" i="13" a="1"/>
  <c r="AG79" i="13" a="1"/>
  <c r="L80" i="13"/>
  <c r="BL78" i="13"/>
  <c r="V78" i="13"/>
  <c r="AR79" i="13"/>
  <c r="AV79" i="13" s="1"/>
  <c r="BH79" i="13"/>
  <c r="AD79" i="13" a="1"/>
  <c r="BK79" i="13" s="1"/>
  <c r="T79" i="13"/>
  <c r="U79" i="13" s="1"/>
  <c r="AC79" i="13" a="1"/>
  <c r="BJ79" i="13" s="1"/>
  <c r="R79" i="13"/>
  <c r="BA76" i="13"/>
  <c r="AZ76" i="13"/>
  <c r="AY77" i="13"/>
  <c r="X77" i="13"/>
  <c r="AS78" i="13"/>
  <c r="AX78" i="13" s="1"/>
  <c r="BE42" i="13"/>
  <c r="BD42" i="13"/>
  <c r="BG42" i="13" s="1"/>
  <c r="Y42" i="13" s="1"/>
  <c r="P41" i="13"/>
  <c r="BI79" i="13" l="1"/>
  <c r="W79" i="13"/>
  <c r="AW79" i="13"/>
  <c r="BN79" i="13"/>
  <c r="BO77" i="13"/>
  <c r="AG80" i="13" a="1"/>
  <c r="AF80" i="13" a="1"/>
  <c r="L81" i="13"/>
  <c r="AR81" i="13" s="1"/>
  <c r="AV81" i="13" s="1"/>
  <c r="BL79" i="13"/>
  <c r="AY78" i="13"/>
  <c r="X78" i="13"/>
  <c r="AU79" i="13"/>
  <c r="V79" i="13"/>
  <c r="U80" i="13"/>
  <c r="AR80" i="13"/>
  <c r="AV80" i="13" s="1"/>
  <c r="AD80" i="13" a="1"/>
  <c r="BK80" i="13" s="1"/>
  <c r="BH80" i="13"/>
  <c r="T80" i="13"/>
  <c r="AC80" i="13" a="1"/>
  <c r="BJ80" i="13" s="1"/>
  <c r="R80" i="13"/>
  <c r="AZ77" i="13"/>
  <c r="BA77" i="13"/>
  <c r="AS79" i="13"/>
  <c r="BO78" i="13"/>
  <c r="Z42" i="13"/>
  <c r="AA42" i="13" s="1" a="1"/>
  <c r="AB42" i="13" s="1"/>
  <c r="P42" i="13"/>
  <c r="BF42" i="13"/>
  <c r="BC43" i="13" s="1"/>
  <c r="N41" i="13"/>
  <c r="BI80" i="13" l="1"/>
  <c r="W80" i="13"/>
  <c r="AX79" i="13"/>
  <c r="AW80" i="13"/>
  <c r="AW81" i="13"/>
  <c r="BN80" i="13"/>
  <c r="AU81" i="13"/>
  <c r="BN81" i="13"/>
  <c r="AG81" i="13" a="1"/>
  <c r="AF81" i="13" a="1"/>
  <c r="L82" i="13"/>
  <c r="BL80" i="13"/>
  <c r="AZ78" i="13"/>
  <c r="BA78" i="13"/>
  <c r="AY79" i="13"/>
  <c r="X79" i="13"/>
  <c r="U81" i="13"/>
  <c r="V80" i="13"/>
  <c r="AU80" i="13"/>
  <c r="BH81" i="13"/>
  <c r="T81" i="13"/>
  <c r="AC81" i="13" a="1"/>
  <c r="BJ81" i="13" s="1"/>
  <c r="AD81" i="13" a="1"/>
  <c r="BK81" i="13" s="1"/>
  <c r="R81" i="13"/>
  <c r="AS80" i="13"/>
  <c r="BE43" i="13"/>
  <c r="BD43" i="13"/>
  <c r="BG43" i="13" s="1"/>
  <c r="Y43" i="13" s="1"/>
  <c r="BI81" i="13" l="1"/>
  <c r="W81" i="13"/>
  <c r="AX80" i="13"/>
  <c r="BO79" i="13"/>
  <c r="AC82" i="13" a="1"/>
  <c r="BJ82" i="13" s="1"/>
  <c r="AD82" i="13" a="1"/>
  <c r="BK82" i="13" s="1"/>
  <c r="R82" i="13"/>
  <c r="T82" i="13"/>
  <c r="AR82" i="13"/>
  <c r="BH82" i="13"/>
  <c r="AG82" i="13" a="1"/>
  <c r="AF82" i="13" a="1"/>
  <c r="BL81" i="13"/>
  <c r="AZ79" i="13"/>
  <c r="BA79" i="13"/>
  <c r="U82" i="13"/>
  <c r="V81" i="13"/>
  <c r="AY80" i="13"/>
  <c r="X80" i="13"/>
  <c r="AS81" i="13"/>
  <c r="AX81" i="13" s="1"/>
  <c r="Z43" i="13"/>
  <c r="AA43" i="13" s="1" a="1"/>
  <c r="AB43" i="13" s="1"/>
  <c r="BF43" i="13"/>
  <c r="BC44" i="13" s="1"/>
  <c r="N42" i="13"/>
  <c r="BI82" i="13" l="1"/>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l="1"/>
  <c r="BE82" i="13"/>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s="1" a="1"/>
  <c r="X1" i="13" l="1"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B26" authorId="0" shapeId="0" xr:uid="{38E18596-781B-4FCF-A741-A26E08C20CD3}">
      <text>
        <r>
          <rPr>
            <b/>
            <sz val="9"/>
            <color indexed="81"/>
            <rFont val="Tahoma"/>
            <family val="2"/>
          </rPr>
          <t>Hatta Misra:</t>
        </r>
        <r>
          <rPr>
            <sz val="9"/>
            <color indexed="81"/>
            <rFont val="Tahoma"/>
            <family val="2"/>
          </rPr>
          <t xml:space="preserve">
Queensland Revenue Office. Previous transfer duty rates. https://qro.qld.gov.au/duties/transfer-duty/calculate/rates/. Accessed 09 August 2026.</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A1" authorId="0" shapeId="0" xr:uid="{B47EA1F4-0CF3-4188-B289-D8716D27809F}">
      <text>
        <r>
          <rPr>
            <b/>
            <sz val="9"/>
            <color indexed="81"/>
            <rFont val="Tahoma"/>
            <family val="2"/>
          </rPr>
          <t>Hatta Misra:</t>
        </r>
        <r>
          <rPr>
            <sz val="9"/>
            <color indexed="81"/>
            <rFont val="Tahoma"/>
            <family val="2"/>
          </rPr>
          <t xml:space="preserve">
QLD RTA median rents, archived on Wayback Machine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55" authorId="0" shapeId="0" xr:uid="{EF23F778-2FB1-4589-B4A8-9AC08DFC7AD3}">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55" authorId="0" shapeId="0" xr:uid="{F42DAEFA-7BA8-4FDC-BFD0-39782D6EE819}">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<sst xmlns="http://schemas.openxmlformats.org/spreadsheetml/2006/main" count="6973" uniqueCount="768">
  <si>
    <t>Median Rent ($ per Week) by Quarter</t>
  </si>
  <si>
    <t>LGA/Ring/SD NAME</t>
  </si>
  <si>
    <t>Quarter</t>
  </si>
  <si>
    <t>2 Bedrooms</t>
  </si>
  <si>
    <t>3 Bedrooms</t>
  </si>
  <si>
    <t>House</t>
  </si>
  <si>
    <t>Flat/Unit</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</si>
  <si>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</si>
  <si>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</si>
  <si>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</si>
  <si>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</si>
  <si>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</si>
  <si>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</si>
  <si>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</si>
  <si>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</si>
  <si>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</si>
  <si>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</si>
  <si>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</si>
  <si>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</si>
  <si>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</si>
  <si>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</si>
  <si>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</si>
  <si>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</si>
  <si>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</si>
  <si>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</si>
  <si>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</si>
  <si>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</si>
  <si>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</si>
  <si>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</si>
  <si>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</si>
  <si>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</si>
  <si>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</si>
  <si>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</si>
  <si>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</si>
  <si>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</si>
  <si>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</si>
  <si>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</si>
  <si>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</si>
  <si>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</si>
  <si>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</si>
  <si>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</si>
  <si>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</si>
  <si>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</si>
  <si>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</si>
  <si>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</si>
  <si>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</si>
  <si>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</si>
  <si>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</si>
  <si>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</si>
  <si>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</si>
  <si>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</si>
  <si>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</si>
  <si>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</si>
  <si>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</si>
  <si>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</si>
  <si>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</si>
  <si>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</si>
  <si>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</si>
  <si>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</si>
  <si>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</si>
  <si>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</si>
  <si>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</si>
  <si>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</si>
  <si>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</si>
  <si>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</si>
  <si>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</si>
  <si>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</si>
  <si>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</si>
  <si>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</si>
  <si>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</si>
  <si>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</si>
  <si>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</si>
  <si>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</si>
  <si>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</si>
  <si>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</si>
  <si>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</si>
  <si>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</si>
  <si>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</si>
  <si>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</si>
  <si>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</si>
  <si>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</si>
  <si>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</si>
  <si>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</si>
  <si>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</si>
  <si>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</si>
  <si>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</si>
  <si>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</si>
  <si>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</si>
  <si>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</si>
  <si>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</si>
  <si>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</si>
  <si>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</si>
  <si>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</si>
  <si>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</si>
  <si>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</si>
  <si>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</si>
  <si>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</si>
  <si>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</si>
  <si>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</si>
  <si>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</si>
  <si>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</si>
  <si>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</si>
  <si>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</si>
  <si>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</si>
  <si>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</si>
  <si>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</si>
  <si>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</si>
  <si>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</si>
  <si>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</si>
  <si>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</si>
  <si>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</si>
  <si>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</si>
  <si>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</si>
  <si>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</si>
  <si>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</si>
  <si>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</si>
  <si>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</si>
  <si>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</si>
  <si>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</si>
  <si>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</si>
  <si>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</si>
  <si>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</si>
  <si>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</si>
  <si>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</si>
  <si>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</si>
  <si>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</si>
  <si>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</si>
  <si>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</si>
  <si>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</si>
  <si>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</si>
  <si>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</si>
  <si>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</si>
  <si>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</si>
  <si>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</si>
  <si>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</si>
  <si>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</si>
  <si>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</si>
  <si>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</si>
  <si>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</si>
  <si>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</si>
  <si>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</si>
  <si>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</si>
  <si>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</si>
  <si>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</si>
  <si>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</si>
  <si>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</si>
  <si>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</si>
  <si>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</si>
  <si>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</si>
  <si>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</si>
  <si>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</si>
  <si>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</si>
  <si>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</si>
  <si>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</si>
  <si>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</si>
  <si>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</si>
  <si>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</si>
  <si>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</si>
  <si>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</si>
  <si>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</si>
  <si>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</si>
  <si>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</si>
  <si>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</si>
  <si>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</si>
  <si>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</si>
  <si>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</si>
  <si>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</si>
  <si>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</si>
  <si>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</si>
  <si>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</si>
  <si>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</si>
  <si>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</si>
  <si>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</si>
  <si>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</si>
  <si>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</si>
  <si>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</si>
  <si>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</si>
  <si>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</si>
  <si>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</si>
  <si>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</si>
  <si>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</si>
  <si>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</si>
  <si>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</si>
  <si>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</si>
  <si>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</si>
  <si>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</si>
  <si>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</si>
  <si>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</si>
  <si>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</si>
  <si>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</si>
  <si>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</si>
  <si>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</si>
  <si>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</si>
  <si>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</si>
  <si>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</si>
  <si>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</si>
  <si>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</si>
  <si>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</si>
  <si>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</si>
  <si>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</si>
  <si>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</si>
  <si>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</si>
  <si>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</si>
  <si>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</si>
  <si>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</si>
  <si>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</si>
  <si>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</si>
  <si>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</si>
  <si>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</si>
  <si>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</si>
  <si>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</si>
  <si>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</si>
  <si>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</si>
  <si>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</si>
  <si>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</si>
  <si>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</si>
  <si>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</si>
  <si>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</si>
  <si>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</si>
  <si>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</si>
  <si>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</si>
  <si>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</si>
  <si>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</si>
  <si>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</si>
  <si>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</si>
  <si>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</si>
  <si>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</si>
  <si>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</si>
  <si>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</si>
  <si>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</si>
  <si>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</si>
  <si>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</si>
  <si>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</si>
  <si>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</si>
  <si>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</si>
  <si>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</si>
  <si>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</si>
  <si>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</si>
  <si>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</si>
  <si>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</si>
  <si>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</si>
  <si>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</si>
  <si>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</si>
  <si>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</si>
  <si>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</si>
  <si>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</si>
  <si>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</si>
  <si>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</si>
  <si>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</si>
  <si>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</si>
  <si>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</si>
  <si>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</si>
  <si>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</si>
  <si>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</si>
  <si>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</si>
  <si>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</si>
  <si>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</si>
  <si>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</si>
  <si>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</si>
  <si>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</si>
  <si>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</si>
  <si>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</si>
  <si>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</si>
  <si>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</si>
  <si>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</si>
  <si>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</si>
  <si>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</si>
  <si>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</si>
  <si>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</si>
  <si>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</si>
  <si>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</si>
  <si>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</si>
  <si>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</si>
  <si>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</si>
  <si>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</si>
  <si>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</si>
  <si>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</si>
  <si>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</si>
  <si>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</si>
  <si>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</si>
  <si>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</si>
  <si>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</si>
  <si>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</si>
  <si>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</si>
  <si>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</si>
  <si>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</si>
  <si>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</si>
  <si>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</si>
  <si>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</si>
  <si>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</si>
  <si>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</si>
  <si>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</si>
  <si>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</si>
  <si>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</si>
  <si>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</si>
  <si>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</si>
  <si>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</si>
  <si>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</si>
  <si>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</si>
  <si>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</si>
  <si>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</si>
  <si>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</si>
  <si>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</si>
  <si>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</si>
  <si>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</si>
  <si>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</si>
  <si>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</si>
  <si>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</si>
  <si>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</si>
  <si>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</si>
  <si>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</si>
  <si>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</si>
  <si>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</si>
  <si>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</si>
  <si>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</si>
  <si>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</si>
  <si>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</si>
  <si>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</si>
  <si>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</si>
  <si>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</si>
  <si>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</si>
  <si>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</si>
  <si>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</si>
  <si>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</si>
  <si>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</si>
  <si>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</si>
  <si>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</si>
  <si>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</si>
  <si>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</si>
  <si>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</si>
  <si>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</si>
  <si>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</si>
  <si>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</si>
  <si>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</si>
  <si>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</si>
  <si>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</si>
  <si>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</si>
  <si>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</si>
  <si>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</si>
  <si>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</si>
  <si>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</si>
  <si>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</si>
  <si>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</si>
  <si>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</si>
  <si>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</si>
  <si>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</si>
  <si>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</si>
  <si>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</si>
  <si>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</si>
  <si>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</si>
  <si>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</si>
  <si>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</si>
  <si>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</si>
  <si>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</si>
  <si>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</si>
  <si>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</si>
  <si>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</si>
  <si>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</si>
  <si>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</si>
  <si>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</si>
  <si>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</si>
  <si>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</si>
  <si>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</si>
  <si>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</si>
  <si>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</si>
  <si>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</si>
  <si>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</si>
  <si>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</si>
  <si>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</si>
  <si>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</si>
  <si>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</si>
  <si>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</si>
  <si>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</si>
  <si>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</si>
  <si>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</si>
  <si>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</si>
  <si>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</si>
  <si>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</si>
  <si>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</si>
  <si>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</si>
  <si>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</si>
  <si>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</si>
  <si>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</si>
  <si>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</si>
  <si>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</si>
  <si>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</si>
  <si>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</si>
  <si>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</si>
  <si>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</si>
  <si>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</si>
  <si>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</si>
  <si>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</si>
  <si>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</si>
  <si>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</si>
  <si>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</si>
  <si>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</si>
  <si>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</si>
  <si>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</si>
  <si>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</si>
  <si>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</si>
  <si>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</si>
  <si>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</si>
  <si>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</si>
  <si>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</si>
  <si>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</si>
  <si>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</si>
  <si>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</si>
  <si>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</si>
  <si>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</si>
  <si>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</si>
  <si>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</si>
  <si>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</si>
  <si>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</si>
  <si>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</si>
  <si>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</si>
  <si>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</si>
  <si>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</si>
  <si>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</si>
  <si>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</si>
  <si>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</si>
  <si>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</si>
  <si>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</si>
  <si>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</si>
  <si>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</si>
  <si>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</si>
  <si>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</si>
  <si>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</si>
  <si>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</si>
  <si>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</si>
  <si>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</si>
  <si>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</si>
  <si>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</si>
  <si>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</si>
  <si>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</si>
  <si>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</si>
  <si>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</si>
  <si>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</si>
  <si>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</si>
  <si>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</si>
  <si>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</si>
  <si>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</si>
  <si>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</si>
  <si>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</si>
  <si>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</si>
  <si>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</si>
  <si>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</si>
  <si>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</si>
  <si>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</si>
  <si>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</si>
  <si>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</si>
  <si>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</si>
  <si>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</si>
  <si>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</si>
  <si>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</si>
  <si>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</si>
  <si>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</si>
  <si>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</si>
  <si>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</si>
  <si>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</si>
  <si>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</si>
  <si>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</si>
  <si>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</si>
  <si>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</si>
  <si>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</si>
  <si>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</si>
  <si>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</si>
  <si>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</si>
  <si>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</si>
  <si>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</si>
  <si>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</si>
  <si>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</si>
  <si>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</si>
  <si>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</si>
  <si>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</si>
  <si>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</si>
  <si>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</si>
  <si>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</si>
  <si>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</si>
  <si>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</si>
  <si>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</si>
  <si>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</si>
  <si>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</si>
  <si>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</si>
  <si>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</si>
  <si>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</si>
  <si>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</si>
  <si>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</si>
  <si>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</si>
  <si>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</si>
  <si>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</si>
  <si>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</si>
  <si>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</si>
  <si>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</si>
  <si>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Consider CGT? Note: Unlikely  to reflect realistic tax liabilities</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</si>
  <si>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</si>
  <si>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</si>
  <si>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</si>
  <si>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</si>
  <si>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</si>
  <si>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</si>
  <si>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</si>
  <si>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</si>
  <si>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</si>
  <si>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</si>
  <si>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</si>
  <si>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</si>
  <si>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</si>
  <si>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</si>
  <si>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</si>
  <si>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</si>
  <si>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</si>
  <si>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</si>
  <si>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</si>
  <si>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</si>
  <si>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</si>
  <si>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</si>
  <si>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</si>
  <si>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</si>
  <si>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</si>
  <si>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</si>
  <si>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</si>
  <si>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</si>
  <si>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</si>
  <si>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</si>
  <si>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</si>
  <si>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</si>
  <si>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</si>
  <si>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</si>
  <si>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</si>
  <si>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</si>
  <si>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</si>
  <si>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</si>
  <si>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</si>
  <si>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</si>
  <si>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</si>
  <si>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</si>
  <si>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</si>
  <si>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</si>
  <si>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</si>
  <si>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</si>
  <si>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</si>
  <si>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</si>
  <si>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</si>
  <si>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</si>
  <si>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</si>
  <si>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</si>
  <si>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</si>
  <si>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</si>
  <si>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</si>
  <si>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</si>
  <si>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</si>
  <si>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</si>
  <si>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</si>
  <si>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</si>
  <si>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</si>
  <si>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</si>
  <si>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</si>
  <si>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</si>
  <si>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</si>
  <si>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</si>
  <si>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</si>
  <si>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</si>
  <si>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</si>
  <si>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</si>
  <si>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</si>
  <si>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</si>
  <si>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</si>
  <si>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</si>
  <si>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</si>
  <si>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</si>
  <si>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</si>
  <si>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</si>
  <si>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</si>
  <si>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</si>
  <si>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</si>
  <si>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</si>
  <si>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</si>
  <si>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</si>
  <si>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</si>
  <si>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</si>
  <si>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</si>
  <si>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</si>
  <si>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</si>
  <si>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</si>
  <si>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</si>
  <si>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</si>
  <si>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</si>
  <si>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</si>
  <si>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</si>
  <si>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</si>
  <si>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</si>
  <si>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</si>
  <si>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</si>
  <si>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</si>
  <si>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</si>
  <si>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</si>
  <si>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</si>
  <si>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</si>
  <si>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</si>
  <si>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</si>
  <si>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</si>
  <si>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</si>
  <si>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</si>
  <si>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</si>
  <si>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</si>
  <si>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</si>
  <si>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</si>
  <si>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</si>
  <si>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</si>
  <si>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</si>
  <si>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</si>
  <si>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</si>
  <si>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</si>
  <si>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</si>
  <si>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</si>
  <si>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</si>
  <si>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</si>
  <si>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</si>
  <si>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</si>
  <si>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</si>
  <si>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</si>
  <si>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</si>
  <si>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</si>
  <si>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</si>
  <si>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</si>
  <si>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</si>
  <si>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</si>
  <si>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</si>
  <si>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Metro</t>
  </si>
  <si>
    <t>Portfolio index (Q_start=100)</t>
  </si>
  <si>
    <t>Renter's insurance and other costs ($ per year, end-quarter dollars)</t>
  </si>
  <si>
    <t>Investment efficiency</t>
  </si>
  <si>
    <t>Other renter costs</t>
  </si>
  <si>
    <t>Year</t>
  </si>
  <si>
    <t>Month</t>
  </si>
  <si>
    <t>Brisbane</t>
  </si>
  <si>
    <t>Rest of QLD</t>
  </si>
  <si>
    <t>h</t>
  </si>
  <si>
    <t>Click '+' symbol above to see previous quarters data</t>
  </si>
  <si>
    <t>Median rents, by Local Government Area</t>
  </si>
  <si>
    <t>Median value of weekly rent paid for new tenancies commencing in each quarter</t>
  </si>
  <si>
    <t>Local Government Area</t>
  </si>
  <si>
    <t>Dwelling</t>
  </si>
  <si>
    <t>Mar</t>
  </si>
  <si>
    <t>Jun</t>
  </si>
  <si>
    <t>Sep</t>
  </si>
  <si>
    <t>Dec</t>
  </si>
  <si>
    <t>Banana (S)</t>
  </si>
  <si>
    <t>Flat 1</t>
  </si>
  <si>
    <t>Flat 2</t>
  </si>
  <si>
    <t>Flat 3</t>
  </si>
  <si>
    <t>House 2</t>
  </si>
  <si>
    <t>House 3</t>
  </si>
  <si>
    <t>House 4</t>
  </si>
  <si>
    <t>Townhouse 2</t>
  </si>
  <si>
    <t>Townhouse 3</t>
  </si>
  <si>
    <t>All dwellings</t>
  </si>
  <si>
    <t>Brisbane (C)</t>
  </si>
  <si>
    <t>Bundaberg (R)</t>
  </si>
  <si>
    <t>Burdekin (S)</t>
  </si>
  <si>
    <t>Cairns (R)</t>
  </si>
  <si>
    <t>Cassowary Coast (R)</t>
  </si>
  <si>
    <t>Central Highlands (R) (Qld)</t>
  </si>
  <si>
    <t>Charters Towers (R)</t>
  </si>
  <si>
    <t>Cloncurry (S)</t>
  </si>
  <si>
    <t>Cook (S)</t>
  </si>
  <si>
    <t>Douglas (S)</t>
  </si>
  <si>
    <t>Fraser Coast (R)</t>
  </si>
  <si>
    <t>Gladstone (R)</t>
  </si>
  <si>
    <t>Gold Coast (C)</t>
  </si>
  <si>
    <t>Goondiwindi (R)</t>
  </si>
  <si>
    <t>Gympie (R)</t>
  </si>
  <si>
    <t>Hinchinbrook (S)</t>
  </si>
  <si>
    <t>Ipswich (C)</t>
  </si>
  <si>
    <t>Isaac (R)</t>
  </si>
  <si>
    <t>Livingstone (S)</t>
  </si>
  <si>
    <t>Lockyer Valley (R)</t>
  </si>
  <si>
    <t>Logan (C)</t>
  </si>
  <si>
    <t>Longreach (R)</t>
  </si>
  <si>
    <t>Mackay (R)</t>
  </si>
  <si>
    <t>Maranoa (R)</t>
  </si>
  <si>
    <t>Mareeba (S)</t>
  </si>
  <si>
    <t>Moreton Bay (R)</t>
  </si>
  <si>
    <t>Mount Isa (C)</t>
  </si>
  <si>
    <t>Noosa (S)</t>
  </si>
  <si>
    <t>North Burnett (R)</t>
  </si>
  <si>
    <t>Redland (C)</t>
  </si>
  <si>
    <t>Rockhampton (R)</t>
  </si>
  <si>
    <t>Scenic Rim (R)</t>
  </si>
  <si>
    <t>Somerset (R)</t>
  </si>
  <si>
    <t>South Burnett (R)</t>
  </si>
  <si>
    <t>Southern Downs (R)</t>
  </si>
  <si>
    <t>Sunshine Coast (R)</t>
  </si>
  <si>
    <t>Tablelands (R)</t>
  </si>
  <si>
    <t>Toowoomba (R)</t>
  </si>
  <si>
    <t>Townsville (C)</t>
  </si>
  <si>
    <t>Weipa (T)</t>
  </si>
  <si>
    <t>Western Downs (R)</t>
  </si>
  <si>
    <t>Whitsunday (R)</t>
  </si>
  <si>
    <t>Other</t>
  </si>
  <si>
    <t>Rents</t>
  </si>
  <si>
    <t>Total new bonds</t>
  </si>
  <si>
    <t>Weighted average of medians</t>
  </si>
  <si>
    <t>Bonds lodged, by Local Government Area</t>
  </si>
  <si>
    <t>Number of new bonds lodged with the RTA during each quarter</t>
  </si>
  <si>
    <t>Bond Statistics, QLD Residential Tenancies Authority (2025)</t>
  </si>
  <si>
    <t>Rent vs buy analysis - Brisbane</t>
  </si>
  <si>
    <t>Brisbane - RTA annual reports</t>
  </si>
  <si>
    <t>Warwick</t>
  </si>
  <si>
    <t>Townsville</t>
  </si>
  <si>
    <t>Toowoomba</t>
  </si>
  <si>
    <t>Noosa (coastal region)</t>
  </si>
  <si>
    <t>Maroochy (coastal region)</t>
  </si>
  <si>
    <t>Caloundra (coastal region)</t>
  </si>
  <si>
    <t>Sunshine Coast</t>
  </si>
  <si>
    <t>Roma</t>
  </si>
  <si>
    <t>Rockhampton</t>
  </si>
  <si>
    <t>Redland</t>
  </si>
  <si>
    <t>Redcliffe</t>
  </si>
  <si>
    <t>Pine Rivers</t>
  </si>
  <si>
    <t>Nambour</t>
  </si>
  <si>
    <t>Mount Isa</t>
  </si>
  <si>
    <t>Maryborough</t>
  </si>
  <si>
    <t>Mareeba</t>
  </si>
  <si>
    <t>Mackay</t>
  </si>
  <si>
    <t>Logan</t>
  </si>
  <si>
    <t>Kingaroy</t>
  </si>
  <si>
    <t>Ipswich</t>
  </si>
  <si>
    <t>Hervey Bay</t>
  </si>
  <si>
    <t>Gympie</t>
  </si>
  <si>
    <t>Gold Coast West</t>
  </si>
  <si>
    <t>Gold Coast South</t>
  </si>
  <si>
    <t>Gold Coast Central</t>
  </si>
  <si>
    <t>Gold Coast North</t>
  </si>
  <si>
    <t>Gold Coast #</t>
  </si>
  <si>
    <t>Gladstone</t>
  </si>
  <si>
    <t>Gatton</t>
  </si>
  <si>
    <t>Emerald</t>
  </si>
  <si>
    <t>Charters Towers</t>
  </si>
  <si>
    <t>Cairns</t>
  </si>
  <si>
    <t>Caboolture</t>
  </si>
  <si>
    <t>Bundaberg</t>
  </si>
  <si>
    <t>Beaudesert</t>
  </si>
  <si>
    <t>Atherton</t>
  </si>
  <si>
    <t>South West - Outer</t>
  </si>
  <si>
    <t>South West - Inner</t>
  </si>
  <si>
    <t>South East - Outer</t>
  </si>
  <si>
    <t>South East - Inner</t>
  </si>
  <si>
    <t>South - Outer</t>
  </si>
  <si>
    <t>South - Inner</t>
  </si>
  <si>
    <t>North West - Outer</t>
  </si>
  <si>
    <t>North West - Inner</t>
  </si>
  <si>
    <t>North - Outer</t>
  </si>
  <si>
    <t>North - Inner</t>
  </si>
  <si>
    <t>City Inner</t>
  </si>
  <si>
    <t>Bayside</t>
  </si>
  <si>
    <t>Thuringowa (coastal region)</t>
  </si>
  <si>
    <t xml:space="preserve">  n.a.</t>
  </si>
  <si>
    <t>Thuringowa Pt A</t>
  </si>
  <si>
    <t>Noosa (S) Pt A</t>
  </si>
  <si>
    <t>Maroochy (S) Pt A</t>
  </si>
  <si>
    <t>Caloundra (S) Pt A</t>
  </si>
  <si>
    <t>Gold Coast (C) Pt B</t>
  </si>
  <si>
    <t>Gold Coast (C) Pt A#</t>
  </si>
  <si>
    <t>n.a.</t>
  </si>
  <si>
    <t>Count</t>
  </si>
  <si>
    <t>Rent ($)</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</si>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</sst>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 numFmtId="171" formatCode="&quot;$&quot;#,##0"/>
  </numFmts>
  <fonts count="24"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sz val="11"/>
      <color indexed="8"/>
      <name val="Calibri"/>
      <family val="2"/>
    </font>
    <font>
      <b/>
      <sz val="12"/>
      <name val="Arial"/>
      <family val="2"/>
    </font>
    <font>
      <u/>
      <sz val="11"/>
      <color theme="10"/>
      <name val="Arial"/>
      <family val="2"/>
    </font>
    <font>
      <sz val="11"/>
      <color theme="1"/>
      <name val="Arial"/>
      <family val="2"/>
    </font>
    <font>
      <sz val="11"/>
      <color theme="1"/>
      <name val="Wingdings 3"/>
      <family val="1"/>
      <charset val="2"/>
    </font>
    <font>
      <i/>
      <sz val="11"/>
      <color theme="1"/>
      <name val="Arial"/>
      <family val="2"/>
    </font>
    <font>
      <b/>
      <sz val="10"/>
      <color rgb="FF000000"/>
      <name val="Arial"/>
      <family val="2"/>
    </font>
    <font>
      <b/>
      <sz val="10"/>
      <color rgb="FFFFFFFF"/>
      <name val="Arial"/>
      <family val="2"/>
    </font>
    <font>
      <sz val="8"/>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theme="8" tint="0.39997558519241921"/>
        <bgColor rgb="FF000000"/>
      </patternFill>
    </fill>
    <fill>
      <patternFill patternType="solid">
        <fgColor theme="8" tint="0.59999389629810485"/>
        <bgColor rgb="FF000000"/>
      </patternFill>
    </fill>
    <fill>
      <patternFill patternType="solid">
        <fgColor theme="8" tint="0.79998168889431442"/>
        <bgColor rgb="FF000000"/>
      </patternFill>
    </fill>
  </fills>
  <borders count="1">
    <border>
      <left/>
      <right/>
      <top/>
      <bottom/>
      <diagonal/>
    </border>
  </borders>
  <cellStyleXfs count="8">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 fillId="0" borderId="0" applyFill="0" applyBorder="0" applyAlignment="0" applyProtection="0"/>
    <xf numFmtId="0" fontId="17" fillId="0" borderId="0" applyNumberFormat="0" applyFill="0" applyBorder="0" applyAlignment="0" applyProtection="0"/>
    <xf numFmtId="0" fontId="18" fillId="0" borderId="0"/>
  </cellStyleXfs>
  <cellXfs count="65">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0" fillId="4" borderId="0" xfId="0" applyFill="1"/>
    <xf numFmtId="2" fontId="0" fillId="4" borderId="0" xfId="0" applyNumberFormat="1" applyFill="1"/>
    <xf numFmtId="0" fontId="18" fillId="0" borderId="0" xfId="7"/>
    <xf numFmtId="0" fontId="19" fillId="2" borderId="0" xfId="7" applyFont="1" applyFill="1" applyAlignment="1">
      <alignment horizontal="center"/>
    </xf>
    <xf numFmtId="0" fontId="20" fillId="0" borderId="0" xfId="7" applyFont="1"/>
    <xf numFmtId="0" fontId="16" fillId="0" borderId="0" xfId="7" applyFont="1" applyAlignment="1">
      <alignment vertical="center"/>
    </xf>
    <xf numFmtId="0" fontId="1" fillId="0" borderId="0" xfId="7" applyFont="1" applyAlignment="1">
      <alignment vertical="center"/>
    </xf>
    <xf numFmtId="0" fontId="21" fillId="5" borderId="0" xfId="7" applyFont="1" applyFill="1" applyAlignment="1">
      <alignment vertical="center"/>
    </xf>
    <xf numFmtId="0" fontId="21" fillId="5" borderId="0" xfId="7" applyFont="1" applyFill="1" applyAlignment="1">
      <alignment horizontal="left" vertical="center" indent="1"/>
    </xf>
    <xf numFmtId="0" fontId="22" fillId="6" borderId="0" xfId="7" applyFont="1" applyFill="1" applyAlignment="1">
      <alignment vertical="center"/>
    </xf>
    <xf numFmtId="0" fontId="21" fillId="6" borderId="0" xfId="7" applyFont="1" applyFill="1" applyAlignment="1">
      <alignment horizontal="right" vertical="center"/>
    </xf>
    <xf numFmtId="14" fontId="18" fillId="0" borderId="0" xfId="7" applyNumberFormat="1"/>
    <xf numFmtId="0" fontId="1" fillId="7" borderId="0" xfId="7" applyFont="1" applyFill="1" applyAlignment="1">
      <alignment horizontal="left" vertical="center"/>
    </xf>
    <xf numFmtId="171" fontId="1" fillId="7" borderId="0" xfId="7" applyNumberFormat="1" applyFont="1" applyFill="1" applyAlignment="1">
      <alignment horizontal="right" vertical="center"/>
    </xf>
    <xf numFmtId="0" fontId="1" fillId="0" borderId="0" xfId="7" applyFont="1" applyAlignment="1">
      <alignment horizontal="left" vertical="center"/>
    </xf>
    <xf numFmtId="171" fontId="1" fillId="0" borderId="0" xfId="7" applyNumberFormat="1" applyFont="1" applyAlignment="1">
      <alignment horizontal="right" vertical="center"/>
    </xf>
    <xf numFmtId="171" fontId="18" fillId="0" borderId="0" xfId="7" applyNumberFormat="1"/>
    <xf numFmtId="3" fontId="1" fillId="7" borderId="0" xfId="7" applyNumberFormat="1" applyFont="1" applyFill="1" applyAlignment="1">
      <alignment vertical="center"/>
    </xf>
    <xf numFmtId="3" fontId="1" fillId="0" borderId="0" xfId="7" applyNumberFormat="1" applyFont="1" applyAlignment="1">
      <alignment vertical="center"/>
    </xf>
    <xf numFmtId="2" fontId="0" fillId="2" borderId="0" xfId="0" applyNumberFormat="1" applyFill="1"/>
  </cellXfs>
  <cellStyles count="8">
    <cellStyle name="Comma" xfId="2" builtinId="3"/>
    <cellStyle name="Comma 2" xfId="4" xr:uid="{08858974-E26C-4C8C-A06B-AA9505693D98}"/>
    <cellStyle name="Comma 3" xfId="5" xr:uid="{2E7F94B6-BC7E-43E6-AF74-4A0A33FAFB5F}"/>
    <cellStyle name="Hyperlink 2" xfId="6" xr:uid="{1869A5C3-0A3F-429E-8621-BEACBAB5CE53}"/>
    <cellStyle name="Normal" xfId="0" builtinId="0"/>
    <cellStyle name="Normal 2" xfId="1" xr:uid="{EA054D48-7445-4D79-A4CC-930395C15F80}"/>
    <cellStyle name="Normal 3" xfId="7" xr:uid="{5E19C680-7C1F-4703-995A-94C079162749}"/>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5.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1.5750328081431306</c:v>
                </c:pt>
                <c:pt idx="1">
                  <c:v>1.5115492125740899</c:v>
                </c:pt>
                <c:pt idx="2">
                  <c:v>1.5208842317793423</c:v>
                </c:pt>
                <c:pt idx="3">
                  <c:v>1.5405460998915763</c:v>
                </c:pt>
                <c:pt idx="4">
                  <c:v>1.4972917380180519</c:v>
                </c:pt>
                <c:pt idx="5">
                  <c:v>1.287198364524023</c:v>
                </c:pt>
                <c:pt idx="6">
                  <c:v>1.1995312140613719</c:v>
                </c:pt>
                <c:pt idx="7">
                  <c:v>0.99484624985231185</c:v>
                </c:pt>
                <c:pt idx="8">
                  <c:v>0.85933026982611438</c:v>
                </c:pt>
                <c:pt idx="9">
                  <c:v>0.87903978949885575</c:v>
                </c:pt>
                <c:pt idx="10">
                  <c:v>0.87418913501087181</c:v>
                </c:pt>
                <c:pt idx="11">
                  <c:v>0.77531818976856959</c:v>
                </c:pt>
                <c:pt idx="12">
                  <c:v>0.72085515371896813</c:v>
                </c:pt>
                <c:pt idx="13">
                  <c:v>0.75306142910447538</c:v>
                </c:pt>
                <c:pt idx="14">
                  <c:v>0.85673344137239971</c:v>
                </c:pt>
                <c:pt idx="15">
                  <c:v>0.77806554061935607</c:v>
                </c:pt>
                <c:pt idx="16">
                  <c:v>0.79555523606796164</c:v>
                </c:pt>
                <c:pt idx="17">
                  <c:v>0.69268945678213489</c:v>
                </c:pt>
                <c:pt idx="18">
                  <c:v>0.81800150418642992</c:v>
                </c:pt>
                <c:pt idx="19">
                  <c:v>0.90311108683873176</c:v>
                </c:pt>
                <c:pt idx="20">
                  <c:v>1.0193970426700116</c:v>
                </c:pt>
                <c:pt idx="21">
                  <c:v>1.0781884916689464</c:v>
                </c:pt>
                <c:pt idx="22">
                  <c:v>0.98111800954708905</c:v>
                </c:pt>
                <c:pt idx="23">
                  <c:v>1.0800560493670031</c:v>
                </c:pt>
                <c:pt idx="24">
                  <c:v>1.2184203996086265</c:v>
                </c:pt>
                <c:pt idx="25">
                  <c:v>1.1318638095706197</c:v>
                </c:pt>
                <c:pt idx="26">
                  <c:v>1.2312877819832284</c:v>
                </c:pt>
                <c:pt idx="27">
                  <c:v>1.2519938961046131</c:v>
                </c:pt>
                <c:pt idx="28">
                  <c:v>1.3681496429120843</c:v>
                </c:pt>
                <c:pt idx="29">
                  <c:v>1.3287045534435975</c:v>
                </c:pt>
                <c:pt idx="30">
                  <c:v>1.4244052493720338</c:v>
                </c:pt>
                <c:pt idx="31">
                  <c:v>1.389607824171444</c:v>
                </c:pt>
                <c:pt idx="32">
                  <c:v>1.5737522615836974</c:v>
                </c:pt>
                <c:pt idx="33">
                  <c:v>1.5323376043342938</c:v>
                </c:pt>
                <c:pt idx="34">
                  <c:v>1.581798278840389</c:v>
                </c:pt>
                <c:pt idx="35">
                  <c:v>1.4715344497312026</c:v>
                </c:pt>
                <c:pt idx="36">
                  <c:v>1.5882438773467422</c:v>
                </c:pt>
                <c:pt idx="37">
                  <c:v>1.5478818017066971</c:v>
                </c:pt>
                <c:pt idx="38">
                  <c:v>1.3505397553237977</c:v>
                </c:pt>
                <c:pt idx="39">
                  <c:v>1.3261183878123783</c:v>
                </c:pt>
                <c:pt idx="40">
                  <c:v>1.3622141938378451</c:v>
                </c:pt>
                <c:pt idx="41">
                  <c:v>1.3162400502434994</c:v>
                </c:pt>
                <c:pt idx="42">
                  <c:v>1.3566162128430739</c:v>
                </c:pt>
                <c:pt idx="43">
                  <c:v>1.3090832830651105</c:v>
                </c:pt>
                <c:pt idx="44">
                  <c:v>1.4207771434365621</c:v>
                </c:pt>
                <c:pt idx="45">
                  <c:v>1.4054699830550819</c:v>
                </c:pt>
                <c:pt idx="46">
                  <c:v>1.4188838547530616</c:v>
                </c:pt>
                <c:pt idx="47">
                  <c:v>1.4482806588646837</c:v>
                </c:pt>
                <c:pt idx="48">
                  <c:v>1.4751849820770735</c:v>
                </c:pt>
                <c:pt idx="49">
                  <c:v>1.4993389174959637</c:v>
                </c:pt>
                <c:pt idx="50">
                  <c:v>1.5057554432014204</c:v>
                </c:pt>
                <c:pt idx="51">
                  <c:v>1.3227994262562506</c:v>
                </c:pt>
                <c:pt idx="52">
                  <c:v>1.5274618199691343</c:v>
                </c:pt>
                <c:pt idx="53">
                  <c:v>1.5739204397088977</c:v>
                </c:pt>
                <c:pt idx="54">
                  <c:v>1.57895071961487</c:v>
                </c:pt>
                <c:pt idx="55">
                  <c:v>1.6125161554664742</c:v>
                </c:pt>
                <c:pt idx="56">
                  <c:v>1.2949148453306221</c:v>
                </c:pt>
                <c:pt idx="57">
                  <c:v>1.5008897921492605</c:v>
                </c:pt>
                <c:pt idx="58">
                  <c:v>1.5354686516839287</c:v>
                </c:pt>
                <c:pt idx="59">
                  <c:v>1.640588383113186</c:v>
                </c:pt>
                <c:pt idx="60">
                  <c:v>1.5876318750083724</c:v>
                </c:pt>
                <c:pt idx="61">
                  <c:v>1.561379583287904</c:v>
                </c:pt>
                <c:pt idx="62">
                  <c:v>1.4521037985244774</c:v>
                </c:pt>
                <c:pt idx="63">
                  <c:v>1.2288081581113093</c:v>
                </c:pt>
                <c:pt idx="64">
                  <c:v>1.1547894704217365</c:v>
                </c:pt>
                <c:pt idx="65">
                  <c:v>0.964659576065789</c:v>
                </c:pt>
                <c:pt idx="66">
                  <c:v>0.97054665798983131</c:v>
                </c:pt>
                <c:pt idx="67">
                  <c:v>1.0654226911060813</c:v>
                </c:pt>
                <c:pt idx="68">
                  <c:v>1.1140313446948029</c:v>
                </c:pt>
                <c:pt idx="69">
                  <c:v>1.1252054087809249</c:v>
                </c:pt>
                <c:pt idx="70">
                  <c:v>1.0429038011557257</c:v>
                </c:pt>
                <c:pt idx="71">
                  <c:v>1.0910805393879721</c:v>
                </c:pt>
                <c:pt idx="72">
                  <c:v>1.1313371072734297</c:v>
                </c:pt>
                <c:pt idx="73">
                  <c:v>1.0687127716771072</c:v>
                </c:pt>
                <c:pt idx="74">
                  <c:v>1.1425172436090347</c:v>
                </c:pt>
                <c:pt idx="75">
                  <c:v>1.0565760669149669</c:v>
                </c:pt>
                <c:pt idx="76">
                  <c:v>1.0125803284253752</c:v>
                </c:pt>
                <c:pt idx="77">
                  <c:v>1.0847490507432402</c:v>
                </c:pt>
                <c:pt idx="78">
                  <c:v>1.0764173685466849</c:v>
                </c:pt>
                <c:pt idx="79">
                  <c:v>0.98793046123754236</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101.53846153846153</c:v>
                </c:pt>
                <c:pt idx="2">
                  <c:v>103.07692307692308</c:v>
                </c:pt>
                <c:pt idx="3">
                  <c:v>105.69230769230769</c:v>
                </c:pt>
                <c:pt idx="4">
                  <c:v>108.30769230769231</c:v>
                </c:pt>
                <c:pt idx="5">
                  <c:v>115.38461538461539</c:v>
                </c:pt>
                <c:pt idx="6">
                  <c:v>120</c:v>
                </c:pt>
                <c:pt idx="7">
                  <c:v>127.69230769230769</c:v>
                </c:pt>
                <c:pt idx="8">
                  <c:v>130.76923076923077</c:v>
                </c:pt>
                <c:pt idx="9">
                  <c:v>130.76923076923077</c:v>
                </c:pt>
                <c:pt idx="10">
                  <c:v>126.15384615384616</c:v>
                </c:pt>
                <c:pt idx="11">
                  <c:v>122.76923076923077</c:v>
                </c:pt>
                <c:pt idx="12">
                  <c:v>123.07692307692308</c:v>
                </c:pt>
                <c:pt idx="13">
                  <c:v>129.23076923076923</c:v>
                </c:pt>
                <c:pt idx="14">
                  <c:v>132.30769230769232</c:v>
                </c:pt>
                <c:pt idx="15">
                  <c:v>140</c:v>
                </c:pt>
                <c:pt idx="16">
                  <c:v>141.53846153846155</c:v>
                </c:pt>
                <c:pt idx="17">
                  <c:v>143.07692307692307</c:v>
                </c:pt>
                <c:pt idx="18">
                  <c:v>141.53846153846155</c:v>
                </c:pt>
                <c:pt idx="19">
                  <c:v>141.53846153846155</c:v>
                </c:pt>
                <c:pt idx="20">
                  <c:v>138.46153846153845</c:v>
                </c:pt>
                <c:pt idx="21">
                  <c:v>136</c:v>
                </c:pt>
                <c:pt idx="22">
                  <c:v>133.23076923076923</c:v>
                </c:pt>
                <c:pt idx="23">
                  <c:v>132.30769230769232</c:v>
                </c:pt>
                <c:pt idx="24">
                  <c:v>132.30769230769232</c:v>
                </c:pt>
                <c:pt idx="25">
                  <c:v>133.84615384615384</c:v>
                </c:pt>
                <c:pt idx="26">
                  <c:v>133.84615384615384</c:v>
                </c:pt>
                <c:pt idx="27">
                  <c:v>135.38461538461539</c:v>
                </c:pt>
                <c:pt idx="28">
                  <c:v>135.38461538461539</c:v>
                </c:pt>
                <c:pt idx="29">
                  <c:v>136.92307692307693</c:v>
                </c:pt>
                <c:pt idx="30">
                  <c:v>138.15384615384616</c:v>
                </c:pt>
                <c:pt idx="31">
                  <c:v>143.07692307692307</c:v>
                </c:pt>
                <c:pt idx="32">
                  <c:v>137.84615384615384</c:v>
                </c:pt>
                <c:pt idx="33">
                  <c:v>141.23076923076923</c:v>
                </c:pt>
                <c:pt idx="34">
                  <c:v>138.76923076923077</c:v>
                </c:pt>
                <c:pt idx="35">
                  <c:v>143.69230769230768</c:v>
                </c:pt>
                <c:pt idx="36">
                  <c:v>142.4</c:v>
                </c:pt>
                <c:pt idx="37">
                  <c:v>143.07692307692307</c:v>
                </c:pt>
                <c:pt idx="38">
                  <c:v>146.15384615384616</c:v>
                </c:pt>
                <c:pt idx="39">
                  <c:v>150.76923076923077</c:v>
                </c:pt>
                <c:pt idx="40">
                  <c:v>148.76923076923077</c:v>
                </c:pt>
                <c:pt idx="41">
                  <c:v>152.30769230769232</c:v>
                </c:pt>
                <c:pt idx="42">
                  <c:v>153.84615384615384</c:v>
                </c:pt>
                <c:pt idx="43">
                  <c:v>158.46153846153845</c:v>
                </c:pt>
                <c:pt idx="44">
                  <c:v>156.92307692307693</c:v>
                </c:pt>
                <c:pt idx="45">
                  <c:v>159.38461538461539</c:v>
                </c:pt>
                <c:pt idx="46">
                  <c:v>161.53846153846155</c:v>
                </c:pt>
                <c:pt idx="47">
                  <c:v>164.61538461538461</c:v>
                </c:pt>
                <c:pt idx="48">
                  <c:v>161.84615384615384</c:v>
                </c:pt>
                <c:pt idx="49">
                  <c:v>163.69230769230768</c:v>
                </c:pt>
                <c:pt idx="50">
                  <c:v>166.15384615384616</c:v>
                </c:pt>
                <c:pt idx="51">
                  <c:v>166.15384615384616</c:v>
                </c:pt>
                <c:pt idx="52">
                  <c:v>164</c:v>
                </c:pt>
                <c:pt idx="53">
                  <c:v>165.53846153846155</c:v>
                </c:pt>
                <c:pt idx="54">
                  <c:v>166.15384615384616</c:v>
                </c:pt>
                <c:pt idx="55">
                  <c:v>169.23076923076923</c:v>
                </c:pt>
                <c:pt idx="56">
                  <c:v>166.15384615384616</c:v>
                </c:pt>
                <c:pt idx="57">
                  <c:v>168.30769230769232</c:v>
                </c:pt>
                <c:pt idx="58">
                  <c:v>170.76923076923077</c:v>
                </c:pt>
                <c:pt idx="59">
                  <c:v>176.92307692307693</c:v>
                </c:pt>
                <c:pt idx="60">
                  <c:v>184.61538461538461</c:v>
                </c:pt>
                <c:pt idx="61">
                  <c:v>193.84615384615384</c:v>
                </c:pt>
                <c:pt idx="62">
                  <c:v>202.15384615384616</c:v>
                </c:pt>
                <c:pt idx="63">
                  <c:v>230.76923076923077</c:v>
                </c:pt>
                <c:pt idx="64">
                  <c:v>235.38461538461539</c:v>
                </c:pt>
                <c:pt idx="65">
                  <c:v>237.84615384615384</c:v>
                </c:pt>
                <c:pt idx="66">
                  <c:v>230.76923076923077</c:v>
                </c:pt>
                <c:pt idx="67">
                  <c:v>230.76923076923077</c:v>
                </c:pt>
                <c:pt idx="68">
                  <c:v>232.92307692307693</c:v>
                </c:pt>
                <c:pt idx="69">
                  <c:v>238.46153846153845</c:v>
                </c:pt>
                <c:pt idx="70">
                  <c:v>246.15384615384616</c:v>
                </c:pt>
                <c:pt idx="71">
                  <c:v>255.38461538461539</c:v>
                </c:pt>
                <c:pt idx="72">
                  <c:v>261.6307692307692</c:v>
                </c:pt>
                <c:pt idx="73">
                  <c:v>273.84615384615387</c:v>
                </c:pt>
                <c:pt idx="74">
                  <c:v>273.84615384615387</c:v>
                </c:pt>
                <c:pt idx="75">
                  <c:v>287.69230769230768</c:v>
                </c:pt>
                <c:pt idx="76">
                  <c:v>291.53846153846155</c:v>
                </c:pt>
                <c:pt idx="77">
                  <c:v>298.46153846153845</c:v>
                </c:pt>
                <c:pt idx="78">
                  <c:v>313.84615384615387</c:v>
                </c:pt>
                <c:pt idx="79">
                  <c:v>338.46153846153845</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100.99091366501909</c:v>
                </c:pt>
                <c:pt idx="2">
                  <c:v>101.97728909541145</c:v>
                </c:pt>
                <c:pt idx="3">
                  <c:v>104.03881177178599</c:v>
                </c:pt>
                <c:pt idx="4">
                  <c:v>106.0926194492951</c:v>
                </c:pt>
                <c:pt idx="5">
                  <c:v>112.61169483331854</c:v>
                </c:pt>
                <c:pt idx="6">
                  <c:v>116.64204181095293</c:v>
                </c:pt>
                <c:pt idx="7">
                  <c:v>123.74358974358974</c:v>
                </c:pt>
                <c:pt idx="8">
                  <c:v>126.195223014769</c:v>
                </c:pt>
                <c:pt idx="9">
                  <c:v>125.55296415781217</c:v>
                </c:pt>
                <c:pt idx="10">
                  <c:v>120.28348181253145</c:v>
                </c:pt>
                <c:pt idx="11">
                  <c:v>116.26154043468395</c:v>
                </c:pt>
                <c:pt idx="12">
                  <c:v>115.95136196367439</c:v>
                </c:pt>
                <c:pt idx="13">
                  <c:v>121.50142559761645</c:v>
                </c:pt>
                <c:pt idx="14">
                  <c:v>123.94852063416896</c:v>
                </c:pt>
                <c:pt idx="15">
                  <c:v>131.01376268979192</c:v>
                </c:pt>
                <c:pt idx="16">
                  <c:v>131.88668225451605</c:v>
                </c:pt>
                <c:pt idx="17">
                  <c:v>132.75506358461342</c:v>
                </c:pt>
                <c:pt idx="18">
                  <c:v>130.53409102120145</c:v>
                </c:pt>
                <c:pt idx="19">
                  <c:v>129.86006452185751</c:v>
                </c:pt>
                <c:pt idx="20">
                  <c:v>126.10122236363098</c:v>
                </c:pt>
                <c:pt idx="21">
                  <c:v>122.96841980643443</c:v>
                </c:pt>
                <c:pt idx="22">
                  <c:v>119.53439685875237</c:v>
                </c:pt>
                <c:pt idx="23">
                  <c:v>117.95943212872801</c:v>
                </c:pt>
                <c:pt idx="24">
                  <c:v>117.31263503714446</c:v>
                </c:pt>
                <c:pt idx="25">
                  <c:v>118.20824577500223</c:v>
                </c:pt>
                <c:pt idx="26">
                  <c:v>117.55691044879194</c:v>
                </c:pt>
                <c:pt idx="27">
                  <c:v>118.44798295202297</c:v>
                </c:pt>
                <c:pt idx="28">
                  <c:v>117.79210939118596</c:v>
                </c:pt>
                <c:pt idx="29">
                  <c:v>118.67864365979025</c:v>
                </c:pt>
                <c:pt idx="30">
                  <c:v>119.25215812787955</c:v>
                </c:pt>
                <c:pt idx="31">
                  <c:v>123.52382079892661</c:v>
                </c:pt>
                <c:pt idx="32">
                  <c:v>117.60106944485551</c:v>
                </c:pt>
                <c:pt idx="33">
                  <c:v>120.3312319333866</c:v>
                </c:pt>
                <c:pt idx="34">
                  <c:v>117.19026055386193</c:v>
                </c:pt>
                <c:pt idx="35">
                  <c:v>121.4601079310583</c:v>
                </c:pt>
                <c:pt idx="36">
                  <c:v>119.48410532650625</c:v>
                </c:pt>
                <c:pt idx="37">
                  <c:v>119.48619686072553</c:v>
                </c:pt>
                <c:pt idx="38">
                  <c:v>121.89244778563747</c:v>
                </c:pt>
                <c:pt idx="39">
                  <c:v>125.83203007073726</c:v>
                </c:pt>
                <c:pt idx="40">
                  <c:v>123.12564398535926</c:v>
                </c:pt>
                <c:pt idx="41">
                  <c:v>125.9778257909847</c:v>
                </c:pt>
                <c:pt idx="42">
                  <c:v>126.81443947869496</c:v>
                </c:pt>
                <c:pt idx="43">
                  <c:v>130.73133059066112</c:v>
                </c:pt>
                <c:pt idx="44">
                  <c:v>128.46497568098184</c:v>
                </c:pt>
                <c:pt idx="45">
                  <c:v>130.21341936247669</c:v>
                </c:pt>
                <c:pt idx="46">
                  <c:v>131.64612030268052</c:v>
                </c:pt>
                <c:pt idx="47">
                  <c:v>133.99791241207171</c:v>
                </c:pt>
                <c:pt idx="48">
                  <c:v>130.47947830033249</c:v>
                </c:pt>
                <c:pt idx="49">
                  <c:v>131.59643649924527</c:v>
                </c:pt>
                <c:pt idx="50">
                  <c:v>133.32491194838252</c:v>
                </c:pt>
                <c:pt idx="51">
                  <c:v>132.57827369501089</c:v>
                </c:pt>
                <c:pt idx="52">
                  <c:v>129.67226448042146</c:v>
                </c:pt>
                <c:pt idx="53">
                  <c:v>130.47438758496858</c:v>
                </c:pt>
                <c:pt idx="54">
                  <c:v>130.34652775722418</c:v>
                </c:pt>
                <c:pt idx="55">
                  <c:v>132.68470516273518</c:v>
                </c:pt>
                <c:pt idx="56">
                  <c:v>128.84417478122748</c:v>
                </c:pt>
                <c:pt idx="57">
                  <c:v>130.25690748907371</c:v>
                </c:pt>
                <c:pt idx="58">
                  <c:v>131.97176823433077</c:v>
                </c:pt>
                <c:pt idx="59">
                  <c:v>137.38114659484418</c:v>
                </c:pt>
                <c:pt idx="60">
                  <c:v>144.31477984629197</c:v>
                </c:pt>
                <c:pt idx="61">
                  <c:v>152.76812975404741</c:v>
                </c:pt>
                <c:pt idx="62">
                  <c:v>160.26880555637769</c:v>
                </c:pt>
                <c:pt idx="63">
                  <c:v>188.10475824034881</c:v>
                </c:pt>
                <c:pt idx="64">
                  <c:v>191.79473762097845</c:v>
                </c:pt>
                <c:pt idx="65">
                  <c:v>193.31173133651006</c:v>
                </c:pt>
                <c:pt idx="66">
                  <c:v>185.25853533410285</c:v>
                </c:pt>
                <c:pt idx="67">
                  <c:v>184.32129122640856</c:v>
                </c:pt>
                <c:pt idx="68">
                  <c:v>185.54341807993211</c:v>
                </c:pt>
                <c:pt idx="69">
                  <c:v>190.15248862974909</c:v>
                </c:pt>
                <c:pt idx="70">
                  <c:v>196.90459249612769</c:v>
                </c:pt>
                <c:pt idx="71">
                  <c:v>205.17641301881392</c:v>
                </c:pt>
                <c:pt idx="72">
                  <c:v>210.42873294462368</c:v>
                </c:pt>
                <c:pt idx="73">
                  <c:v>221.64717001608113</c:v>
                </c:pt>
                <c:pt idx="74">
                  <c:v>220.58285533883841</c:v>
                </c:pt>
                <c:pt idx="75">
                  <c:v>233.40021112656743</c:v>
                </c:pt>
                <c:pt idx="76">
                  <c:v>236.15107191128737</c:v>
                </c:pt>
                <c:pt idx="77">
                  <c:v>241.97540276832314</c:v>
                </c:pt>
                <c:pt idx="78">
                  <c:v>256.26255463146578</c:v>
                </c:pt>
                <c:pt idx="79">
                  <c:v>279.75877112498893</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Brisbane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56753.125</c:v>
                </c:pt>
                <c:pt idx="1">
                  <c:v>60922.407446297992</c:v>
                </c:pt>
                <c:pt idx="2">
                  <c:v>65049.023827566387</c:v>
                </c:pt>
                <c:pt idx="3">
                  <c:v>72554.591719289805</c:v>
                </c:pt>
                <c:pt idx="4">
                  <c:v>80016.497241328761</c:v>
                </c:pt>
                <c:pt idx="5">
                  <c:v>101640.13863649179</c:v>
                </c:pt>
                <c:pt idx="6">
                  <c:v>115398.84945658449</c:v>
                </c:pt>
                <c:pt idx="7">
                  <c:v>138867.88327449534</c:v>
                </c:pt>
                <c:pt idx="8">
                  <c:v>147591.51980616586</c:v>
                </c:pt>
                <c:pt idx="9">
                  <c:v>146436.05652710077</c:v>
                </c:pt>
                <c:pt idx="10">
                  <c:v>130624.84759518839</c:v>
                </c:pt>
                <c:pt idx="11">
                  <c:v>118795.03831198331</c:v>
                </c:pt>
                <c:pt idx="12">
                  <c:v>119131.75127515433</c:v>
                </c:pt>
                <c:pt idx="13">
                  <c:v>138240.00528690289</c:v>
                </c:pt>
                <c:pt idx="14">
                  <c:v>147547.10216274278</c:v>
                </c:pt>
                <c:pt idx="15">
                  <c:v>171502.3166709372</c:v>
                </c:pt>
                <c:pt idx="16">
                  <c:v>175702.42436670559</c:v>
                </c:pt>
                <c:pt idx="17">
                  <c:v>179865.35896489365</c:v>
                </c:pt>
                <c:pt idx="18">
                  <c:v>174179.19983079523</c:v>
                </c:pt>
                <c:pt idx="19">
                  <c:v>173415.8023863089</c:v>
                </c:pt>
                <c:pt idx="20">
                  <c:v>162838.55475077036</c:v>
                </c:pt>
                <c:pt idx="21">
                  <c:v>154274.54067395508</c:v>
                </c:pt>
                <c:pt idx="22">
                  <c:v>144791.98903490603</c:v>
                </c:pt>
                <c:pt idx="23">
                  <c:v>141224.25385665358</c:v>
                </c:pt>
                <c:pt idx="24">
                  <c:v>140704.03407619504</c:v>
                </c:pt>
                <c:pt idx="25">
                  <c:v>145065.34481145343</c:v>
                </c:pt>
                <c:pt idx="26">
                  <c:v>144653.36112477822</c:v>
                </c:pt>
                <c:pt idx="27">
                  <c:v>149161.26124702944</c:v>
                </c:pt>
                <c:pt idx="28">
                  <c:v>148867.7196771343</c:v>
                </c:pt>
                <c:pt idx="29">
                  <c:v>153496.26401251921</c:v>
                </c:pt>
                <c:pt idx="30">
                  <c:v>157207.61838736522</c:v>
                </c:pt>
                <c:pt idx="31">
                  <c:v>172711.79375351671</c:v>
                </c:pt>
                <c:pt idx="32">
                  <c:v>155946.06819077698</c:v>
                </c:pt>
                <c:pt idx="33">
                  <c:v>166617.97594026415</c:v>
                </c:pt>
                <c:pt idx="34">
                  <c:v>158718.58890566981</c:v>
                </c:pt>
                <c:pt idx="35">
                  <c:v>174319.23354323613</c:v>
                </c:pt>
                <c:pt idx="36">
                  <c:v>170162.31545519954</c:v>
                </c:pt>
                <c:pt idx="37">
                  <c:v>172347.06467220193</c:v>
                </c:pt>
                <c:pt idx="38">
                  <c:v>182201.97717530673</c:v>
                </c:pt>
                <c:pt idx="39">
                  <c:v>196941.7444464748</c:v>
                </c:pt>
                <c:pt idx="40">
                  <c:v>190624.46296663978</c:v>
                </c:pt>
                <c:pt idx="41">
                  <c:v>201941.35150512325</c:v>
                </c:pt>
                <c:pt idx="42">
                  <c:v>206946.19618556631</c:v>
                </c:pt>
                <c:pt idx="43">
                  <c:v>221749.89083495751</c:v>
                </c:pt>
                <c:pt idx="44">
                  <c:v>216994.98462589559</c:v>
                </c:pt>
                <c:pt idx="45">
                  <c:v>224980.72389024729</c:v>
                </c:pt>
                <c:pt idx="46">
                  <c:v>232003.19165443949</c:v>
                </c:pt>
                <c:pt idx="47">
                  <c:v>241966.54746077373</c:v>
                </c:pt>
                <c:pt idx="48">
                  <c:v>233356.69330749253</c:v>
                </c:pt>
                <c:pt idx="49">
                  <c:v>239458.17010488309</c:v>
                </c:pt>
                <c:pt idx="50">
                  <c:v>247525.55010316422</c:v>
                </c:pt>
                <c:pt idx="51">
                  <c:v>247763.08956803652</c:v>
                </c:pt>
                <c:pt idx="52">
                  <c:v>241185.6866001469</c:v>
                </c:pt>
                <c:pt idx="53">
                  <c:v>246379.39082392564</c:v>
                </c:pt>
                <c:pt idx="54">
                  <c:v>248695.24075601681</c:v>
                </c:pt>
                <c:pt idx="55">
                  <c:v>258887.76413285997</c:v>
                </c:pt>
                <c:pt idx="56">
                  <c:v>249555.23963332342</c:v>
                </c:pt>
                <c:pt idx="57">
                  <c:v>256931.53685989638</c:v>
                </c:pt>
                <c:pt idx="58">
                  <c:v>265335.84523699537</c:v>
                </c:pt>
                <c:pt idx="59">
                  <c:v>285469.77706866036</c:v>
                </c:pt>
                <c:pt idx="60">
                  <c:v>310459.20485641435</c:v>
                </c:pt>
                <c:pt idx="61">
                  <c:v>340290.00336023152</c:v>
                </c:pt>
                <c:pt idx="62">
                  <c:v>367140.29138858506</c:v>
                </c:pt>
                <c:pt idx="63">
                  <c:v>458452.1841576146</c:v>
                </c:pt>
                <c:pt idx="64">
                  <c:v>473308.03997052711</c:v>
                </c:pt>
                <c:pt idx="65">
                  <c:v>481308.21746170102</c:v>
                </c:pt>
                <c:pt idx="66">
                  <c:v>458916.30532807653</c:v>
                </c:pt>
                <c:pt idx="67">
                  <c:v>458897.46400415566</c:v>
                </c:pt>
                <c:pt idx="68">
                  <c:v>465726.27932742797</c:v>
                </c:pt>
                <c:pt idx="69">
                  <c:v>483270.8979433261</c:v>
                </c:pt>
                <c:pt idx="70">
                  <c:v>507576.2353623705</c:v>
                </c:pt>
                <c:pt idx="71">
                  <c:v>536746.82261186105</c:v>
                </c:pt>
                <c:pt idx="72">
                  <c:v>556377.31248493562</c:v>
                </c:pt>
                <c:pt idx="73">
                  <c:v>594960.37294137804</c:v>
                </c:pt>
                <c:pt idx="74">
                  <c:v>594713.6007343235</c:v>
                </c:pt>
                <c:pt idx="75">
                  <c:v>638498.34083510714</c:v>
                </c:pt>
                <c:pt idx="76">
                  <c:v>650453.44476404716</c:v>
                </c:pt>
                <c:pt idx="77">
                  <c:v>672226.22591645771</c:v>
                </c:pt>
                <c:pt idx="78">
                  <c:v>720912.96483144606</c:v>
                </c:pt>
                <c:pt idx="79">
                  <c:v>798847.68354906375</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89388.033839648109</c:v>
                </c:pt>
                <c:pt idx="1">
                  <c:v>92087.217003569604</c:v>
                </c:pt>
                <c:pt idx="2">
                  <c:v>98932.034631984439</c:v>
                </c:pt>
                <c:pt idx="3">
                  <c:v>111773.69330237756</c:v>
                </c:pt>
                <c:pt idx="4">
                  <c:v>119808.0402245858</c:v>
                </c:pt>
                <c:pt idx="5">
                  <c:v>130831.02022288719</c:v>
                </c:pt>
                <c:pt idx="6">
                  <c:v>138424.52198994227</c:v>
                </c:pt>
                <c:pt idx="7">
                  <c:v>138152.19290056027</c:v>
                </c:pt>
                <c:pt idx="8">
                  <c:v>126829.86053907881</c:v>
                </c:pt>
                <c:pt idx="9">
                  <c:v>128723.12030462519</c:v>
                </c:pt>
                <c:pt idx="10">
                  <c:v>114190.82253016469</c:v>
                </c:pt>
                <c:pt idx="11">
                  <c:v>92103.954057534778</c:v>
                </c:pt>
                <c:pt idx="12">
                  <c:v>85876.736878261247</c:v>
                </c:pt>
                <c:pt idx="13">
                  <c:v>104103.21594076532</c:v>
                </c:pt>
                <c:pt idx="14">
                  <c:v>126408.53660041167</c:v>
                </c:pt>
                <c:pt idx="15">
                  <c:v>133440.04273804475</c:v>
                </c:pt>
                <c:pt idx="16">
                  <c:v>139780.98369476764</c:v>
                </c:pt>
                <c:pt idx="17">
                  <c:v>124590.83779531588</c:v>
                </c:pt>
                <c:pt idx="18">
                  <c:v>142478.84745957926</c:v>
                </c:pt>
                <c:pt idx="19">
                  <c:v>156613.73376811016</c:v>
                </c:pt>
                <c:pt idx="20">
                  <c:v>165997.14114559407</c:v>
                </c:pt>
                <c:pt idx="21">
                  <c:v>166337.03431217116</c:v>
                </c:pt>
                <c:pt idx="22">
                  <c:v>142058.02808029094</c:v>
                </c:pt>
                <c:pt idx="23">
                  <c:v>152530.10969522002</c:v>
                </c:pt>
                <c:pt idx="24">
                  <c:v>171436.66542566335</c:v>
                </c:pt>
                <c:pt idx="25">
                  <c:v>164194.2138149672</c:v>
                </c:pt>
                <c:pt idx="26">
                  <c:v>178109.91617574714</c:v>
                </c:pt>
                <c:pt idx="27">
                  <c:v>186748.98861654644</c:v>
                </c:pt>
                <c:pt idx="28">
                  <c:v>203673.31751740756</c:v>
                </c:pt>
                <c:pt idx="29">
                  <c:v>203951.18493001489</c:v>
                </c:pt>
                <c:pt idx="30">
                  <c:v>223927.35687223848</c:v>
                </c:pt>
                <c:pt idx="31">
                  <c:v>240001.65992657156</c:v>
                </c:pt>
                <c:pt idx="32">
                  <c:v>245420.47750032076</c:v>
                </c:pt>
                <c:pt idx="33">
                  <c:v>255314.99009133337</c:v>
                </c:pt>
                <c:pt idx="34">
                  <c:v>251060.79075096376</c:v>
                </c:pt>
                <c:pt idx="35">
                  <c:v>256516.75740961096</c:v>
                </c:pt>
                <c:pt idx="36">
                  <c:v>270259.25567686558</c:v>
                </c:pt>
                <c:pt idx="37">
                  <c:v>266772.88498366857</c:v>
                </c:pt>
                <c:pt idx="38">
                  <c:v>246071.01367385092</c:v>
                </c:pt>
                <c:pt idx="39">
                  <c:v>261168.06863831656</c:v>
                </c:pt>
                <c:pt idx="40">
                  <c:v>259671.34914587336</c:v>
                </c:pt>
                <c:pt idx="41">
                  <c:v>265803.2946513436</c:v>
                </c:pt>
                <c:pt idx="42">
                  <c:v>280746.56493154273</c:v>
                </c:pt>
                <c:pt idx="43">
                  <c:v>290289.075113556</c:v>
                </c:pt>
                <c:pt idx="44">
                  <c:v>308301.51439684065</c:v>
                </c:pt>
                <c:pt idx="45">
                  <c:v>316203.65419374593</c:v>
                </c:pt>
                <c:pt idx="46">
                  <c:v>329185.58288966445</c:v>
                </c:pt>
                <c:pt idx="47">
                  <c:v>350435.47077970213</c:v>
                </c:pt>
                <c:pt idx="48">
                  <c:v>344244.2894343785</c:v>
                </c:pt>
                <c:pt idx="49">
                  <c:v>359028.95355061977</c:v>
                </c:pt>
                <c:pt idx="50">
                  <c:v>372712.94439926546</c:v>
                </c:pt>
                <c:pt idx="51">
                  <c:v>327740.87272807473</c:v>
                </c:pt>
                <c:pt idx="52">
                  <c:v>368401.92780476564</c:v>
                </c:pt>
                <c:pt idx="53">
                  <c:v>387781.55914080341</c:v>
                </c:pt>
                <c:pt idx="54">
                  <c:v>392677.52935650607</c:v>
                </c:pt>
                <c:pt idx="55">
                  <c:v>417460.70211683074</c:v>
                </c:pt>
                <c:pt idx="56">
                  <c:v>323152.78453123133</c:v>
                </c:pt>
                <c:pt idx="57">
                  <c:v>385625.92095423996</c:v>
                </c:pt>
                <c:pt idx="58">
                  <c:v>407414.87252946483</c:v>
                </c:pt>
                <c:pt idx="59">
                  <c:v>468338.39998875518</c:v>
                </c:pt>
                <c:pt idx="60">
                  <c:v>492894.9295197975</c:v>
                </c:pt>
                <c:pt idx="61">
                  <c:v>531321.86364363774</c:v>
                </c:pt>
                <c:pt idx="62">
                  <c:v>533125.81171674782</c:v>
                </c:pt>
                <c:pt idx="63">
                  <c:v>563349.78399682511</c:v>
                </c:pt>
                <c:pt idx="64">
                  <c:v>546571.14082391514</c:v>
                </c:pt>
                <c:pt idx="65">
                  <c:v>464298.58101358509</c:v>
                </c:pt>
                <c:pt idx="66">
                  <c:v>445399.68643320567</c:v>
                </c:pt>
                <c:pt idx="67">
                  <c:v>488919.77104106359</c:v>
                </c:pt>
                <c:pt idx="68">
                  <c:v>518833.67321884196</c:v>
                </c:pt>
                <c:pt idx="69">
                  <c:v>543779.02827224485</c:v>
                </c:pt>
                <c:pt idx="70">
                  <c:v>529353.18523572944</c:v>
                </c:pt>
                <c:pt idx="71">
                  <c:v>585634.01273012953</c:v>
                </c:pt>
                <c:pt idx="72">
                  <c:v>629450.29925927217</c:v>
                </c:pt>
                <c:pt idx="73">
                  <c:v>635841.74920422549</c:v>
                </c:pt>
                <c:pt idx="74">
                  <c:v>679470.54384778335</c:v>
                </c:pt>
                <c:pt idx="75">
                  <c:v>674622.06569128949</c:v>
                </c:pt>
                <c:pt idx="76">
                  <c:v>658636.36272459547</c:v>
                </c:pt>
                <c:pt idx="77">
                  <c:v>729196.7604475884</c:v>
                </c:pt>
                <c:pt idx="78">
                  <c:v>776003.23655505397</c:v>
                </c:pt>
                <c:pt idx="79">
                  <c:v>789205.96046716883</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inorUnit val="4"/>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'2BR_F-processed'!$E$1</c:f>
              <c:strCache>
                <c:ptCount val="1"/>
                <c:pt idx="0">
                  <c:v>Brisbane</c:v>
                </c:pt>
              </c:strCache>
            </c:strRef>
          </c:tx>
          <c:spPr>
            <a:ln w="28575" cap="rnd">
              <a:solidFill>
                <a:schemeClr val="accent1"/>
              </a:solidFill>
              <a:round/>
            </a:ln>
            <a:effectLst/>
          </c:spPr>
          <c:marker>
            <c:symbol val="none"/>
          </c:marker>
          <c:cat>
            <c:numRef>
              <c:f>'2BR_F-processed'!$B$2:$B$109</c:f>
              <c:numCache>
                <c:formatCode>mmm\-yy</c:formatCode>
                <c:ptCount val="108"/>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pt idx="96">
                  <c:v>44986</c:v>
                </c:pt>
                <c:pt idx="97">
                  <c:v>45078</c:v>
                </c:pt>
                <c:pt idx="98">
                  <c:v>45170</c:v>
                </c:pt>
                <c:pt idx="99">
                  <c:v>45261</c:v>
                </c:pt>
                <c:pt idx="100">
                  <c:v>45352</c:v>
                </c:pt>
                <c:pt idx="101">
                  <c:v>45444</c:v>
                </c:pt>
                <c:pt idx="102">
                  <c:v>45536</c:v>
                </c:pt>
                <c:pt idx="103">
                  <c:v>45627</c:v>
                </c:pt>
                <c:pt idx="104">
                  <c:v>45717</c:v>
                </c:pt>
                <c:pt idx="105">
                  <c:v>45809</c:v>
                </c:pt>
                <c:pt idx="106">
                  <c:v>45901</c:v>
                </c:pt>
                <c:pt idx="107">
                  <c:v>45992</c:v>
                </c:pt>
              </c:numCache>
            </c:numRef>
          </c:cat>
          <c:val>
            <c:numRef>
              <c:f>'2BR_F-processed'!$E$2:$E$109</c:f>
              <c:numCache>
                <c:formatCode>0.00</c:formatCode>
                <c:ptCount val="108"/>
                <c:pt idx="28">
                  <c:v>220</c:v>
                </c:pt>
                <c:pt idx="29">
                  <c:v>220</c:v>
                </c:pt>
                <c:pt idx="30">
                  <c:v>230</c:v>
                </c:pt>
                <c:pt idx="31">
                  <c:v>230</c:v>
                </c:pt>
                <c:pt idx="32">
                  <c:v>240</c:v>
                </c:pt>
                <c:pt idx="33">
                  <c:v>240</c:v>
                </c:pt>
                <c:pt idx="34">
                  <c:v>250</c:v>
                </c:pt>
                <c:pt idx="35">
                  <c:v>250</c:v>
                </c:pt>
                <c:pt idx="36">
                  <c:v>260</c:v>
                </c:pt>
                <c:pt idx="37">
                  <c:v>260</c:v>
                </c:pt>
                <c:pt idx="38">
                  <c:v>280</c:v>
                </c:pt>
                <c:pt idx="39">
                  <c:v>280</c:v>
                </c:pt>
                <c:pt idx="40">
                  <c:v>300</c:v>
                </c:pt>
                <c:pt idx="41">
                  <c:v>300</c:v>
                </c:pt>
                <c:pt idx="42">
                  <c:v>305</c:v>
                </c:pt>
                <c:pt idx="43">
                  <c:v>310</c:v>
                </c:pt>
                <c:pt idx="44">
                  <c:v>320</c:v>
                </c:pt>
                <c:pt idx="45">
                  <c:v>340</c:v>
                </c:pt>
                <c:pt idx="46">
                  <c:v>345</c:v>
                </c:pt>
                <c:pt idx="47">
                  <c:v>350</c:v>
                </c:pt>
                <c:pt idx="48">
                  <c:v>360</c:v>
                </c:pt>
                <c:pt idx="49">
                  <c:v>362.84813554077056</c:v>
                </c:pt>
                <c:pt idx="50">
                  <c:v>365.69627108154111</c:v>
                </c:pt>
                <c:pt idx="51">
                  <c:v>368.54440662231167</c:v>
                </c:pt>
                <c:pt idx="52">
                  <c:v>371.39254216308217</c:v>
                </c:pt>
                <c:pt idx="53">
                  <c:v>365.410989010989</c:v>
                </c:pt>
                <c:pt idx="54">
                  <c:v>373.88494045332311</c:v>
                </c:pt>
                <c:pt idx="55">
                  <c:v>365.91248303934873</c:v>
                </c:pt>
                <c:pt idx="56">
                  <c:v>377.24376079108458</c:v>
                </c:pt>
                <c:pt idx="57">
                  <c:v>367.70628473706711</c:v>
                </c:pt>
                <c:pt idx="58">
                  <c:v>373.70840546258898</c:v>
                </c:pt>
                <c:pt idx="59">
                  <c:v>373.86238126794785</c:v>
                </c:pt>
                <c:pt idx="60">
                  <c:v>382.91883752446921</c:v>
                </c:pt>
                <c:pt idx="61">
                  <c:v>372.4828252468871</c:v>
                </c:pt>
                <c:pt idx="62">
                  <c:v>376.81692222427489</c:v>
                </c:pt>
                <c:pt idx="63">
                  <c:v>378.17672682016178</c:v>
                </c:pt>
                <c:pt idx="64">
                  <c:v>383.38621679827708</c:v>
                </c:pt>
                <c:pt idx="65">
                  <c:v>378.66693116445151</c:v>
                </c:pt>
                <c:pt idx="66">
                  <c:v>379.91553465691396</c:v>
                </c:pt>
                <c:pt idx="67">
                  <c:v>379.33762737935012</c:v>
                </c:pt>
                <c:pt idx="68">
                  <c:v>392.7373461012312</c:v>
                </c:pt>
                <c:pt idx="69">
                  <c:v>380.62956871345028</c:v>
                </c:pt>
                <c:pt idx="70">
                  <c:v>381.9736842105263</c:v>
                </c:pt>
                <c:pt idx="71">
                  <c:v>400.0148887721142</c:v>
                </c:pt>
                <c:pt idx="72">
                  <c:v>403.78747501665555</c:v>
                </c:pt>
                <c:pt idx="73">
                  <c:v>382.58409014463507</c:v>
                </c:pt>
                <c:pt idx="74">
                  <c:v>383.55452674897117</c:v>
                </c:pt>
                <c:pt idx="75">
                  <c:v>383.44907026493337</c:v>
                </c:pt>
                <c:pt idx="76">
                  <c:v>405.29803145276588</c:v>
                </c:pt>
                <c:pt idx="77">
                  <c:v>390.59054749649039</c:v>
                </c:pt>
                <c:pt idx="78">
                  <c:v>401.02602905569006</c:v>
                </c:pt>
                <c:pt idx="79">
                  <c:v>399.74854063762911</c:v>
                </c:pt>
                <c:pt idx="80">
                  <c:v>414.52888995444738</c:v>
                </c:pt>
                <c:pt idx="81">
                  <c:v>399.31354964943745</c:v>
                </c:pt>
                <c:pt idx="82">
                  <c:v>407.70040160642571</c:v>
                </c:pt>
                <c:pt idx="83">
                  <c:v>398.31415929203541</c:v>
                </c:pt>
                <c:pt idx="84">
                  <c:v>422.45527452190004</c:v>
                </c:pt>
                <c:pt idx="85">
                  <c:v>390.56280712530713</c:v>
                </c:pt>
                <c:pt idx="86">
                  <c:v>403.66463414634148</c:v>
                </c:pt>
                <c:pt idx="87">
                  <c:v>408.22685512367491</c:v>
                </c:pt>
                <c:pt idx="88">
                  <c:v>421.41623284429721</c:v>
                </c:pt>
                <c:pt idx="89">
                  <c:v>413.78804347826087</c:v>
                </c:pt>
                <c:pt idx="90">
                  <c:v>431.51789865178989</c:v>
                </c:pt>
                <c:pt idx="91">
                  <c:v>433.07956542578688</c:v>
                </c:pt>
                <c:pt idx="92">
                  <c:v>446.08034593388197</c:v>
                </c:pt>
                <c:pt idx="93">
                  <c:v>461.9064499394778</c:v>
                </c:pt>
                <c:pt idx="94">
                  <c:v>481.55121951219513</c:v>
                </c:pt>
                <c:pt idx="95">
                  <c:v>498.72424557752339</c:v>
                </c:pt>
                <c:pt idx="96">
                  <c:v>529.66630395357276</c:v>
                </c:pt>
                <c:pt idx="97">
                  <c:v>549.84795321637432</c:v>
                </c:pt>
                <c:pt idx="98">
                  <c:v>569.62572674418607</c:v>
                </c:pt>
                <c:pt idx="99">
                  <c:v>570.99659284497443</c:v>
                </c:pt>
                <c:pt idx="100">
                  <c:v>614.76835236541604</c:v>
                </c:pt>
                <c:pt idx="101">
                  <c:v>600.74889867841409</c:v>
                </c:pt>
                <c:pt idx="102">
                  <c:v>602.50047465350292</c:v>
                </c:pt>
                <c:pt idx="103">
                  <c:v>620.86740770146889</c:v>
                </c:pt>
                <c:pt idx="104">
                  <c:v>648.04511278195491</c:v>
                </c:pt>
                <c:pt idx="105">
                  <c:v>635.62795275590554</c:v>
                </c:pt>
                <c:pt idx="106">
                  <c:v>646.06879129420906</c:v>
                </c:pt>
                <c:pt idx="107">
                  <c:v>656.57393292682923</c:v>
                </c:pt>
              </c:numCache>
            </c:numRef>
          </c:val>
          <c:smooth val="0"/>
          <c:extLst>
            <c:ext xmlns:c16="http://schemas.microsoft.com/office/drawing/2014/chart" uri="{C3380CC4-5D6E-409C-BE32-E72D297353CC}">
              <c16:uniqueId val="{00000000-617F-4C2B-A3D4-409ECC1B6286}"/>
            </c:ext>
          </c:extLst>
        </c:ser>
        <c:ser>
          <c:idx val="1"/>
          <c:order val="1"/>
          <c:tx>
            <c:strRef>
              <c:f>'2BR_F-processed'!#REF!</c:f>
              <c:strCache>
                <c:ptCount val="1"/>
                <c:pt idx="0">
                  <c:v>#REF!</c:v>
                </c:pt>
              </c:strCache>
            </c:strRef>
          </c:tx>
          <c:spPr>
            <a:ln w="28575" cap="rnd">
              <a:solidFill>
                <a:schemeClr val="accent2"/>
              </a:solidFill>
              <a:round/>
            </a:ln>
            <a:effectLst/>
          </c:spPr>
          <c:marker>
            <c:symbol val="none"/>
          </c:marker>
          <c:cat>
            <c:numRef>
              <c:f>'2BR_F-processed'!$B$2:$B$109</c:f>
              <c:numCache>
                <c:formatCode>mmm\-yy</c:formatCode>
                <c:ptCount val="108"/>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pt idx="96">
                  <c:v>44986</c:v>
                </c:pt>
                <c:pt idx="97">
                  <c:v>45078</c:v>
                </c:pt>
                <c:pt idx="98">
                  <c:v>45170</c:v>
                </c:pt>
                <c:pt idx="99">
                  <c:v>45261</c:v>
                </c:pt>
                <c:pt idx="100">
                  <c:v>45352</c:v>
                </c:pt>
                <c:pt idx="101">
                  <c:v>45444</c:v>
                </c:pt>
                <c:pt idx="102">
                  <c:v>45536</c:v>
                </c:pt>
                <c:pt idx="103">
                  <c:v>45627</c:v>
                </c:pt>
                <c:pt idx="104">
                  <c:v>45717</c:v>
                </c:pt>
                <c:pt idx="105">
                  <c:v>45809</c:v>
                </c:pt>
                <c:pt idx="106">
                  <c:v>45901</c:v>
                </c:pt>
                <c:pt idx="107">
                  <c:v>45992</c:v>
                </c:pt>
              </c:numCache>
            </c:numRef>
          </c:cat>
          <c:val>
            <c:numRef>
              <c:f>'2BR_F-processed'!#REF!</c:f>
              <c:numCache>
                <c:formatCode>General</c:formatCode>
                <c:ptCount val="1"/>
                <c:pt idx="0">
                  <c:v>1</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min val="38777"/>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'3BR_H-processed'!$E$1</c:f>
              <c:strCache>
                <c:ptCount val="1"/>
                <c:pt idx="0">
                  <c:v>Brisbane</c:v>
                </c:pt>
              </c:strCache>
            </c:strRef>
          </c:tx>
          <c:spPr>
            <a:ln w="28575" cap="rnd">
              <a:solidFill>
                <a:schemeClr val="accent1"/>
              </a:solidFill>
              <a:round/>
            </a:ln>
            <a:effectLst/>
          </c:spPr>
          <c:marker>
            <c:symbol val="none"/>
          </c:marker>
          <c:cat>
            <c:numRef>
              <c:f>'3BR_H-processed'!$B$2:$B$97</c:f>
              <c:numCache>
                <c:formatCode>mmm\-yy</c:formatCode>
                <c:ptCount val="96"/>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numCache>
            </c:numRef>
          </c:cat>
          <c:val>
            <c:numRef>
              <c:f>'3BR_H-processed'!$E$2:$E$97</c:f>
              <c:numCache>
                <c:formatCode>0.00</c:formatCode>
                <c:ptCount val="96"/>
                <c:pt idx="28" formatCode="General">
                  <c:v>245</c:v>
                </c:pt>
                <c:pt idx="29" formatCode="General">
                  <c:v>240</c:v>
                </c:pt>
                <c:pt idx="30" formatCode="General">
                  <c:v>250</c:v>
                </c:pt>
                <c:pt idx="31" formatCode="General">
                  <c:v>250</c:v>
                </c:pt>
                <c:pt idx="32" formatCode="General">
                  <c:v>260</c:v>
                </c:pt>
                <c:pt idx="33" formatCode="General">
                  <c:v>260</c:v>
                </c:pt>
                <c:pt idx="34" formatCode="General">
                  <c:v>265</c:v>
                </c:pt>
                <c:pt idx="35" formatCode="General">
                  <c:v>270</c:v>
                </c:pt>
                <c:pt idx="36" formatCode="General">
                  <c:v>280</c:v>
                </c:pt>
                <c:pt idx="37" formatCode="General">
                  <c:v>280</c:v>
                </c:pt>
                <c:pt idx="38" formatCode="General">
                  <c:v>285</c:v>
                </c:pt>
                <c:pt idx="39" formatCode="General">
                  <c:v>300</c:v>
                </c:pt>
                <c:pt idx="40" formatCode="General">
                  <c:v>315</c:v>
                </c:pt>
                <c:pt idx="41" formatCode="General">
                  <c:v>315</c:v>
                </c:pt>
                <c:pt idx="42" formatCode="General">
                  <c:v>325</c:v>
                </c:pt>
                <c:pt idx="43" formatCode="General">
                  <c:v>330</c:v>
                </c:pt>
                <c:pt idx="44" formatCode="General">
                  <c:v>350</c:v>
                </c:pt>
                <c:pt idx="45" formatCode="General">
                  <c:v>350</c:v>
                </c:pt>
                <c:pt idx="46" formatCode="General">
                  <c:v>360</c:v>
                </c:pt>
                <c:pt idx="47" formatCode="General">
                  <c:v>360</c:v>
                </c:pt>
                <c:pt idx="48" formatCode="General">
                  <c:v>370</c:v>
                </c:pt>
                <c:pt idx="49">
                  <c:v>368.02414833980163</c:v>
                </c:pt>
                <c:pt idx="50">
                  <c:v>366.04829667960325</c:v>
                </c:pt>
                <c:pt idx="51">
                  <c:v>364.07244501940488</c:v>
                </c:pt>
                <c:pt idx="52">
                  <c:v>362.09659335920657</c:v>
                </c:pt>
                <c:pt idx="53">
                  <c:v>352.71793054571225</c:v>
                </c:pt>
                <c:pt idx="54">
                  <c:v>358.10837118754057</c:v>
                </c:pt>
                <c:pt idx="55">
                  <c:v>360.26912691269126</c:v>
                </c:pt>
                <c:pt idx="56">
                  <c:v>371.55948314272985</c:v>
                </c:pt>
                <c:pt idx="57">
                  <c:v>362.18946266573624</c:v>
                </c:pt>
                <c:pt idx="58">
                  <c:v>367.98432703183067</c:v>
                </c:pt>
                <c:pt idx="59">
                  <c:v>368.57789855072463</c:v>
                </c:pt>
                <c:pt idx="60">
                  <c:v>376.53270171149143</c:v>
                </c:pt>
                <c:pt idx="61">
                  <c:v>370.15855658829963</c:v>
                </c:pt>
                <c:pt idx="62">
                  <c:v>372.53434861777851</c:v>
                </c:pt>
                <c:pt idx="63">
                  <c:v>375.41411327762302</c:v>
                </c:pt>
                <c:pt idx="64">
                  <c:v>385.76418523786947</c:v>
                </c:pt>
                <c:pt idx="65">
                  <c:v>377.69061985737795</c:v>
                </c:pt>
                <c:pt idx="66">
                  <c:v>379.11856602532481</c:v>
                </c:pt>
                <c:pt idx="67">
                  <c:v>380.03407899335895</c:v>
                </c:pt>
                <c:pt idx="68">
                  <c:v>392.60130922693264</c:v>
                </c:pt>
                <c:pt idx="69">
                  <c:v>378.64815491413958</c:v>
                </c:pt>
                <c:pt idx="70">
                  <c:v>385.78683710485404</c:v>
                </c:pt>
                <c:pt idx="71">
                  <c:v>381.60815402038503</c:v>
                </c:pt>
                <c:pt idx="72">
                  <c:v>395.69596520173991</c:v>
                </c:pt>
                <c:pt idx="73">
                  <c:v>381.18278631284915</c:v>
                </c:pt>
                <c:pt idx="74">
                  <c:v>382.14948363381762</c:v>
                </c:pt>
                <c:pt idx="75">
                  <c:v>382.47985004686035</c:v>
                </c:pt>
                <c:pt idx="76">
                  <c:v>395.01840588988478</c:v>
                </c:pt>
                <c:pt idx="77">
                  <c:v>384.39705107951551</c:v>
                </c:pt>
                <c:pt idx="78">
                  <c:v>385.65232784563642</c:v>
                </c:pt>
                <c:pt idx="79">
                  <c:v>388.41040462427748</c:v>
                </c:pt>
                <c:pt idx="80">
                  <c:v>400.61833869057688</c:v>
                </c:pt>
                <c:pt idx="81">
                  <c:v>387.90104662226452</c:v>
                </c:pt>
                <c:pt idx="82">
                  <c:v>387.72017184143721</c:v>
                </c:pt>
                <c:pt idx="83">
                  <c:v>397.23078170613041</c:v>
                </c:pt>
                <c:pt idx="84">
                  <c:v>404.26059001512857</c:v>
                </c:pt>
                <c:pt idx="85">
                  <c:v>388.74624874958317</c:v>
                </c:pt>
                <c:pt idx="86">
                  <c:v>402.53276792598302</c:v>
                </c:pt>
                <c:pt idx="87">
                  <c:v>411.12756952841596</c:v>
                </c:pt>
                <c:pt idx="88">
                  <c:v>424.74896187240466</c:v>
                </c:pt>
                <c:pt idx="89">
                  <c:v>427.69645448890731</c:v>
                </c:pt>
                <c:pt idx="90">
                  <c:v>441.22423742786481</c:v>
                </c:pt>
                <c:pt idx="91">
                  <c:v>453.82841328413286</c:v>
                </c:pt>
                <c:pt idx="92">
                  <c:v>473.89864728447407</c:v>
                </c:pt>
                <c:pt idx="93">
                  <c:v>494.07716371220022</c:v>
                </c:pt>
                <c:pt idx="94">
                  <c:v>503.0238726790451</c:v>
                </c:pt>
                <c:pt idx="95">
                  <c:v>520.03557927507222</c:v>
                </c:pt>
              </c:numCache>
            </c:numRef>
          </c:val>
          <c:smooth val="0"/>
          <c:extLst>
            <c:ext xmlns:c16="http://schemas.microsoft.com/office/drawing/2014/chart" uri="{C3380CC4-5D6E-409C-BE32-E72D297353CC}">
              <c16:uniqueId val="{00000000-BD94-4DDC-8360-46B49DD12A0E}"/>
            </c:ext>
          </c:extLst>
        </c:ser>
        <c:ser>
          <c:idx val="1"/>
          <c:order val="1"/>
          <c:tx>
            <c:strRef>
              <c:f>'3BR_H-processed'!#REF!</c:f>
              <c:strCache>
                <c:ptCount val="1"/>
                <c:pt idx="0">
                  <c:v>#REF!</c:v>
                </c:pt>
              </c:strCache>
            </c:strRef>
          </c:tx>
          <c:spPr>
            <a:ln w="28575" cap="rnd">
              <a:solidFill>
                <a:schemeClr val="accent2"/>
              </a:solidFill>
              <a:round/>
            </a:ln>
            <a:effectLst/>
          </c:spPr>
          <c:marker>
            <c:symbol val="none"/>
          </c:marker>
          <c:cat>
            <c:numRef>
              <c:f>'3BR_H-processed'!$B$2:$B$97</c:f>
              <c:numCache>
                <c:formatCode>mmm\-yy</c:formatCode>
                <c:ptCount val="96"/>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numCache>
            </c:numRef>
          </c:cat>
          <c:val>
            <c:numRef>
              <c:f>'3BR_H-processed'!#REF!</c:f>
              <c:numCache>
                <c:formatCode>General</c:formatCode>
                <c:ptCount val="1"/>
                <c:pt idx="0">
                  <c:v>1</c:v>
                </c:pt>
              </c:numCache>
            </c:numRef>
          </c:val>
          <c:smooth val="0"/>
          <c:extLst>
            <c:ext xmlns:c16="http://schemas.microsoft.com/office/drawing/2014/chart" uri="{C3380CC4-5D6E-409C-BE32-E72D297353CC}">
              <c16:uniqueId val="{00000001-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in val="38777"/>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150"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9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6197600" cy="4047067"/>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5774" cy="6077857"/>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70" zoomScaleNormal="70" workbookViewId="0">
      <selection activeCell="B21" sqref="B21"/>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9" t="s">
        <v>706</v>
      </c>
      <c r="B1" s="5" t="s">
        <v>491</v>
      </c>
      <c r="C1" s="5" t="s">
        <v>490</v>
      </c>
      <c r="O1" s="7"/>
      <c r="S1" s="11"/>
      <c r="T1" t="s">
        <v>14</v>
      </c>
      <c r="X1" s="11" cm="1">
        <f t="array" ref="X1">SUM(_xlfn._xlws.FILTER(X3:X82,ISNUMBER(X3:X82)))</f>
        <v>426808.35440022498</v>
      </c>
      <c r="Y1" s="33"/>
      <c r="AA1" s="34"/>
      <c r="AI1" t="s">
        <v>469</v>
      </c>
      <c r="AP1" s="11"/>
      <c r="AQ1" s="11"/>
      <c r="AR1" t="s">
        <v>21</v>
      </c>
      <c r="AT1" s="11"/>
      <c r="AX1" s="6"/>
      <c r="AY1" t="s">
        <v>326</v>
      </c>
      <c r="BB1" t="s">
        <v>323</v>
      </c>
      <c r="BG1" s="11" cm="1">
        <f t="array" ref="BG1">SUM(_xlfn._xlws.FILTER(BG3:BG82,ISNUMBER(BG3:BG82)))</f>
        <v>622431.05931246618</v>
      </c>
      <c r="BH1" t="s">
        <v>477</v>
      </c>
    </row>
    <row r="2" spans="1:67" x14ac:dyDescent="0.25">
      <c r="A2" s="5" t="s">
        <v>328</v>
      </c>
      <c r="B2" s="32">
        <f>_xlfn.XLOOKUP(Q_end,L:L,O:O)</f>
        <v>0.98793046123754236</v>
      </c>
      <c r="E2" t="str">
        <f>"Renter vs owner wealth, "&amp;Council_Area&amp;IF(B10="2BR_F"," 2-bedroom flat"," 3-bedroom house")</f>
        <v>Renter vs owner wealth, Brisbane 3-bedroom house</v>
      </c>
      <c r="L2" t="s">
        <v>54</v>
      </c>
      <c r="M2" s="5" t="s">
        <v>62</v>
      </c>
      <c r="N2" s="5" t="s">
        <v>61</v>
      </c>
      <c r="O2" t="s">
        <v>316</v>
      </c>
      <c r="P2" t="s">
        <v>318</v>
      </c>
      <c r="Q2" t="s">
        <v>58</v>
      </c>
      <c r="R2" t="s">
        <v>53</v>
      </c>
      <c r="S2" s="5"/>
      <c r="T2" t="s">
        <v>305</v>
      </c>
      <c r="U2" t="s">
        <v>306</v>
      </c>
      <c r="V2" t="s">
        <v>10</v>
      </c>
      <c r="W2" t="s">
        <v>632</v>
      </c>
      <c r="X2" s="5" t="s">
        <v>60</v>
      </c>
      <c r="Y2" t="s">
        <v>307</v>
      </c>
      <c r="Z2" t="s">
        <v>342</v>
      </c>
      <c r="AA2" t="s">
        <v>346</v>
      </c>
      <c r="AB2" t="s">
        <v>475</v>
      </c>
      <c r="AC2" t="s">
        <v>312</v>
      </c>
      <c r="AD2" t="s">
        <v>313</v>
      </c>
      <c r="AE2" t="s">
        <v>314</v>
      </c>
      <c r="AF2" t="s">
        <v>309</v>
      </c>
      <c r="AG2" t="s">
        <v>308</v>
      </c>
      <c r="AH2" t="s">
        <v>317</v>
      </c>
      <c r="AI2" s="5" t="s">
        <v>473</v>
      </c>
      <c r="AJ2" t="s">
        <v>472</v>
      </c>
      <c r="AK2" t="s">
        <v>468</v>
      </c>
      <c r="AL2" t="s">
        <v>474</v>
      </c>
      <c r="AM2" t="s">
        <v>476</v>
      </c>
      <c r="AN2" t="s">
        <v>467</v>
      </c>
      <c r="AO2" t="s">
        <v>470</v>
      </c>
      <c r="AP2" s="5" t="s">
        <v>315</v>
      </c>
      <c r="AQ2" s="5"/>
      <c r="AR2" t="s">
        <v>22</v>
      </c>
      <c r="AS2" t="s">
        <v>52</v>
      </c>
      <c r="AT2" t="s">
        <v>26</v>
      </c>
      <c r="AU2" t="s">
        <v>340</v>
      </c>
      <c r="AV2" t="s">
        <v>319</v>
      </c>
      <c r="AW2" t="s">
        <v>492</v>
      </c>
      <c r="AX2" s="9" t="s">
        <v>320</v>
      </c>
      <c r="AY2" t="s">
        <v>321</v>
      </c>
      <c r="AZ2" t="s">
        <v>322</v>
      </c>
      <c r="BA2" t="s">
        <v>325</v>
      </c>
      <c r="BB2" t="s">
        <v>51</v>
      </c>
      <c r="BC2" t="s">
        <v>57</v>
      </c>
      <c r="BD2" t="s">
        <v>56</v>
      </c>
      <c r="BE2" t="s">
        <v>24</v>
      </c>
      <c r="BF2" t="s">
        <v>25</v>
      </c>
      <c r="BG2" s="5" t="s">
        <v>59</v>
      </c>
      <c r="BH2" t="s">
        <v>465</v>
      </c>
      <c r="BI2" t="s">
        <v>479</v>
      </c>
      <c r="BJ2" t="s">
        <v>480</v>
      </c>
      <c r="BK2" t="s">
        <v>481</v>
      </c>
      <c r="BL2" t="s">
        <v>629</v>
      </c>
      <c r="BM2" t="s">
        <v>482</v>
      </c>
      <c r="BN2" t="s">
        <v>484</v>
      </c>
      <c r="BO2" t="s">
        <v>483</v>
      </c>
    </row>
    <row r="3" spans="1:67" x14ac:dyDescent="0.25">
      <c r="A3" s="5" t="s">
        <v>497</v>
      </c>
      <c r="B3" s="32" cm="1">
        <f t="array" ref="B3">SUM(_xlfn._xlws.FILTER($X$3:$X$82,ISNUMBER($X$3:$X$82)))/(SUM(_xlfn._xlws.FILTER($BG$3:$BG$82,ISNUMBER($BG$3:$BG$82)))-AT3)</f>
        <v>0.7864447928606737</v>
      </c>
      <c r="L3" s="1">
        <f>Q_start</f>
        <v>38777</v>
      </c>
      <c r="M3" s="10">
        <f t="shared" ref="M3:M34" si="0">AP3</f>
        <v>89388.033839648109</v>
      </c>
      <c r="N3" s="10">
        <f>AX3-BC3</f>
        <v>56753.125</v>
      </c>
      <c r="O3" s="7">
        <f>M3/N3</f>
        <v>1.5750328081431306</v>
      </c>
      <c r="P3" s="7">
        <f t="shared" ref="P3:P34" si="1">X3/BG3</f>
        <v>3.7910858872950468E-2</v>
      </c>
      <c r="Q3">
        <v>1</v>
      </c>
      <c r="R3">
        <f t="shared" ref="R3:R34" si="2">EOMONTH(L3,0)-EOMONTH(L3,-3)</f>
        <v>90</v>
      </c>
      <c r="S3" s="22"/>
      <c r="T3" s="22">
        <f>IF($B$10="3BR_H",
INDEX('3BR_H-processed'!$E:$E,MATCH($L3,'3BR_H-processed'!$B:$B,0),MATCH(Council_Area,'3BR_H-processed'!$E$1:$E$1,0)),
INDEX('2BR_F-processed'!$E:$E,MATCH($L3,'2BR_F-processed'!$B:$B,0),MATCH(Council_Area,'2BR_F-processed'!$E$1:$E$1,0)))</f>
        <v>245</v>
      </c>
      <c r="U3" s="22">
        <f>IF(MOD(Q3,4)=1,T3,U2)</f>
        <v>245</v>
      </c>
      <c r="V3" s="22">
        <f>U3*(R3)/7</f>
        <v>3150</v>
      </c>
      <c r="W3" s="22">
        <f>$B$53/4*BH3/_xlfn.XLOOKUP(Q_end,cpi!A:A,cpi!B:B)</f>
        <v>116.93158258465792</v>
      </c>
      <c r="X3" s="22">
        <f>V3+W3</f>
        <v>3266.9315825846579</v>
      </c>
      <c r="Y3" s="22">
        <f t="shared" ref="Y3:Y34" si="3">BG3-X3</f>
        <v>82907.100863713335</v>
      </c>
      <c r="Z3" s="29">
        <f>MAX(0,Y3*$B$47)</f>
        <v>0</v>
      </c>
      <c r="AA3" s="22" cm="1">
        <f t="array" ref="AA3">(Y3+Z3)*eff_invest</f>
        <v>82907.100863713335</v>
      </c>
      <c r="AB3" s="22">
        <f>AA3*(_xlfn.XLOOKUP(Q_end,cpi!A:A,cpi!B:B)/BH3)</f>
        <v>141804.4621155948</v>
      </c>
      <c r="AC3" s="22" cm="1">
        <f t="array" ref="AC3">INDEX('msci-indices'!C:C,MATCH($L3,'msci-indices'!$B:$B)-2)</f>
        <v>754.87961099999995</v>
      </c>
      <c r="AD3" s="22" cm="1">
        <f t="array" ref="AD3">INDEX('msci-indices'!D:D,MATCH($L3,'msci-indices'!$B:$B)-2)</f>
        <v>712.95624699999996</v>
      </c>
      <c r="AE3" s="29">
        <f>AA3</f>
        <v>82907.100863713335</v>
      </c>
      <c r="AF3" s="22" cm="1">
        <f t="array" ref="AF3">INDEX('msci-indices'!C:C,MATCH($L3,'msci-indices'!$B:$B)+1)</f>
        <v>809.32011899999998</v>
      </c>
      <c r="AG3" s="22" cm="1">
        <f t="array" ref="AG3">INDEX('msci-indices'!D:D,MATCH($L3,'msci-indices'!$B:$B)+1)</f>
        <v>780.24346800000001</v>
      </c>
      <c r="AH3" s="22">
        <f t="shared" ref="AH3:AH34" si="4">(InvestFees/4)*AE3</f>
        <v>51.816938039820833</v>
      </c>
      <c r="AI3" s="22">
        <f t="shared" ref="AI3:AI34" si="5">((AF3/AC3)*GlobalPortfolio+(AG3/AD3)*AusPortfolio)*AE3-AH3</f>
        <v>89388.033839648109</v>
      </c>
      <c r="AJ3" s="29">
        <f>AA3</f>
        <v>82907.100863713335</v>
      </c>
      <c r="AK3" s="22">
        <f t="shared" ref="AK3:AK34" si="6">AI3-AJ3</f>
        <v>6480.9329759347747</v>
      </c>
      <c r="AL3" s="22">
        <f>AJ3*(_xlfn.XLOOKUP(Q_end,cpi!A:A,cpi!B:B)/BH3)</f>
        <v>141804.4621155948</v>
      </c>
      <c r="AM3" s="29">
        <f>AA3</f>
        <v>82907.100863713335</v>
      </c>
      <c r="AN3" s="22">
        <f>AI3-AM3</f>
        <v>6480.9329759347747</v>
      </c>
      <c r="AO3" s="22">
        <f t="shared" ref="AO3:AO34" si="7">IF($B$49="Real gains",MAX($B$50*AN3,0),IF($B$49="Discounted nominal gains",MAX($B$50*AK3/2,0),0))</f>
        <v>0</v>
      </c>
      <c r="AP3" s="22">
        <f>AI3-AO3</f>
        <v>89388.033839648109</v>
      </c>
      <c r="AQ3" s="22"/>
      <c r="AR3" s="10">
        <f>IF($B$10="3BR_H",
INDEX('ns-combined'!$C:$D,MATCH($L3,'ns-combined'!$B:$B,0),MATCH(Council_Area,'ns-combined'!$C$1:$D$1,0))*1000,
INDEX('s-combined'!$C:$D,MATCH($L3,'s-combined'!$B:$B,0),MATCH(Council_Area,'s-combined'!$C$1:$D$1,0))*1000)</f>
        <v>325000</v>
      </c>
      <c r="AS3" s="29">
        <f>AR3*$B$14/4</f>
        <v>812.5</v>
      </c>
      <c r="AT3" s="13">
        <f>SUM(B20:B26)*AR3</f>
        <v>79725.000000000015</v>
      </c>
      <c r="AU3" s="22">
        <f t="shared" ref="AU3:AU34" si="8">SUM($B$28:$B$29)*AR3</f>
        <v>6500</v>
      </c>
      <c r="AV3" s="22">
        <f t="shared" ref="AV3:AV34" si="9">AR3*$B$15/4</f>
        <v>934.375</v>
      </c>
      <c r="AW3" s="22">
        <f>SUM($AV$3:AV3)</f>
        <v>934.375</v>
      </c>
      <c r="AX3" s="22">
        <f>AR3-AS3-AU3-AW3</f>
        <v>316753.125</v>
      </c>
      <c r="AY3" s="22">
        <f t="shared" ref="AY3:AY34" si="10">$B$36*V3</f>
        <v>1102.5</v>
      </c>
      <c r="AZ3" s="24">
        <f t="shared" ref="AZ3:AZ34" si="11">SUM(AY3:AY3)*4/AR3</f>
        <v>1.3569230769230769E-2</v>
      </c>
      <c r="BA3" s="24">
        <f t="shared" ref="BA3:BA34" si="12">SUM(AY3:AY3)/V3</f>
        <v>0.35</v>
      </c>
      <c r="BB3" s="25">
        <f>IF(MortgageRate="Discounted",_xlfn.XLOOKUP(L3,'mortgage-rates'!$A:$A,'mortgage-rates'!$E:$E)/100,_xlfn.XLOOKUP(L3,'mortgage-rates'!$A:$A,'mortgage-rates'!$D:$D)/100)</f>
        <v>6.6400000000000001E-2</v>
      </c>
      <c r="BC3" s="10">
        <f>(1-B20)*AR3</f>
        <v>260000</v>
      </c>
      <c r="BD3" s="10">
        <f t="shared" ref="BD3:BD34" si="13">IF($B$16*12/3-Q3+1&gt;0,-PMT($BB3/4,$B$16*12/3-Q3+1,BC3),0)</f>
        <v>5346.5324462979779</v>
      </c>
      <c r="BE3" s="10">
        <f t="shared" ref="BE3:BE34" si="14">BC3*($BB3/4)</f>
        <v>4316</v>
      </c>
      <c r="BF3" s="10">
        <f>BD3-BE3</f>
        <v>1030.5324462979779</v>
      </c>
      <c r="BG3" s="12">
        <f t="shared" ref="BG3:BG34" si="15">AT3+AY3+BD3</f>
        <v>86174.032446297992</v>
      </c>
      <c r="BH3" s="22">
        <f>INDEX(cpi!B:B,MATCH($L3,cpi!A:A))</f>
        <v>84.6</v>
      </c>
      <c r="BI3" s="22">
        <f t="shared" ref="BI3:BI34" si="16">100*BH3/BH$3</f>
        <v>100</v>
      </c>
      <c r="BJ3" s="22">
        <f t="shared" ref="BJ3:BJ34" si="17">100*AC3/AC$3</f>
        <v>100</v>
      </c>
      <c r="BK3" s="22">
        <f t="shared" ref="BK3:BK34" si="18">100*AD3/AD$3</f>
        <v>100</v>
      </c>
      <c r="BL3" s="22">
        <f t="shared" ref="BL3:BL34" si="19">BJ3*GlobalPortfolio+BK3*AusPortfolio</f>
        <v>100</v>
      </c>
      <c r="BM3" s="22">
        <f t="shared" ref="BM3:BM34" si="20">100*AE3/$AE$3</f>
        <v>100</v>
      </c>
      <c r="BN3" s="22">
        <f t="shared" ref="BN3:BN34" si="21">100*AR3/AR$3</f>
        <v>100</v>
      </c>
      <c r="BO3">
        <f t="shared" ref="BO3:BO34" si="22">100*AX3/AX$3</f>
        <v>100</v>
      </c>
    </row>
    <row r="4" spans="1:67" x14ac:dyDescent="0.25">
      <c r="A4" t="s">
        <v>485</v>
      </c>
      <c r="B4" s="4">
        <f>((_xlfn.XLOOKUP(Q_end,L:L,AR:AR)/_xlfn.XLOOKUP(Q_start,L:L,AR:AR))^(1/YEARFRAC(EOMONTH(Q_start,-3)+1,EOMONTH(Q_end,0))))-1</f>
        <v>6.2858539487578913E-2</v>
      </c>
      <c r="L4" s="1">
        <f>IF(DATE(YEAR(L3),MONTH(L3)+3,1)&lt;=Q_end,DATE(YEAR(L3),MONTH(L3)+3,1),"")</f>
        <v>38869</v>
      </c>
      <c r="M4" s="10">
        <f t="shared" si="0"/>
        <v>92087.217003569604</v>
      </c>
      <c r="N4" s="10">
        <f t="shared" ref="N4:N34" si="23">AX4-BC4</f>
        <v>60922.407446297992</v>
      </c>
      <c r="O4" s="7">
        <f t="shared" ref="O4:O67" si="24">M4/N4</f>
        <v>1.5115492125740899</v>
      </c>
      <c r="P4" s="7">
        <f t="shared" si="1"/>
        <v>0.500289189148027</v>
      </c>
      <c r="Q4">
        <v>2</v>
      </c>
      <c r="R4">
        <f t="shared" si="2"/>
        <v>91</v>
      </c>
      <c r="S4" s="22"/>
      <c r="T4" s="22">
        <f>IF($B$10="3BR_H",
INDEX('3BR_H-processed'!$E:$E,MATCH($L4,'3BR_H-processed'!$B:$B,0),MATCH(Council_Area,'3BR_H-processed'!$E$1:$E$1,0)),
INDEX('2BR_F-processed'!$E:$E,MATCH($L4,'2BR_F-processed'!$B:$B,0),MATCH(Council_Area,'2BR_F-processed'!$E$1:$E$1,0)))</f>
        <v>240</v>
      </c>
      <c r="U4" s="22">
        <f t="shared" ref="U4:U67" si="25">IF(MOD(Q4,4)=1,T4,U3)</f>
        <v>245</v>
      </c>
      <c r="V4" s="22">
        <f>U4*(R4)/7</f>
        <v>3185</v>
      </c>
      <c r="W4" s="22">
        <f>$B$53/4*BH4/_xlfn.XLOOKUP(Q_end,cpi!A:A,cpi!B:B)</f>
        <v>118.72840359364203</v>
      </c>
      <c r="X4" s="22">
        <f t="shared" ref="X4:X34" si="26">V4+W4</f>
        <v>3303.7284035936418</v>
      </c>
      <c r="Y4" s="22">
        <f t="shared" si="3"/>
        <v>3299.9090030426323</v>
      </c>
      <c r="Z4" s="22">
        <f t="shared" ref="Z4:Z35" si="27">Y4*$B$47</f>
        <v>0</v>
      </c>
      <c r="AA4" s="22" cm="1">
        <f t="array" ref="AA4">(Y4+Z4)*eff_invest</f>
        <v>3299.9090030426323</v>
      </c>
      <c r="AB4" s="22">
        <f>AA4*(_xlfn.XLOOKUP(Q_end,cpi!A:A,cpi!B:B)/BH4)</f>
        <v>5558.7524183966107</v>
      </c>
      <c r="AC4" s="22" cm="1">
        <f t="array" ref="AC4">INDEX('msci-indices'!C:C,MATCH($L4,'msci-indices'!$B:$B)-2)</f>
        <v>809.32011899999998</v>
      </c>
      <c r="AD4" s="22" cm="1">
        <f t="array" ref="AD4">INDEX('msci-indices'!D:D,MATCH($L4,'msci-indices'!$B:$B)-2)</f>
        <v>780.24346800000001</v>
      </c>
      <c r="AE4" s="22">
        <f t="shared" ref="AE4:AE35" si="28">AI3+AA4</f>
        <v>92687.94284269074</v>
      </c>
      <c r="AF4" s="22" cm="1">
        <f t="array" ref="AF4">INDEX('msci-indices'!C:C,MATCH($L4,'msci-indices'!$B:$B)+1)</f>
        <v>802.64573099999996</v>
      </c>
      <c r="AG4" s="22" cm="1">
        <f t="array" ref="AG4">INDEX('msci-indices'!D:D,MATCH($L4,'msci-indices'!$B:$B)+1)</f>
        <v>780.02674300000001</v>
      </c>
      <c r="AH4" s="22">
        <f t="shared" si="4"/>
        <v>57.929964276681716</v>
      </c>
      <c r="AI4" s="22">
        <f t="shared" si="5"/>
        <v>92087.217003569604</v>
      </c>
      <c r="AJ4" s="22">
        <f t="shared" ref="AJ4:AJ35" si="29">AJ3+AA4</f>
        <v>86207.009866755965</v>
      </c>
      <c r="AK4" s="22">
        <f t="shared" si="6"/>
        <v>5880.2071368136385</v>
      </c>
      <c r="AL4" s="22">
        <f>AJ4*(_xlfn.XLOOKUP(Q_end,cpi!A:A,cpi!B:B)/BH4)</f>
        <v>145217.16330290557</v>
      </c>
      <c r="AM4" s="22" cm="1">
        <f t="array" ref="AM4">SUMPRODUCT($AA$3:AA4,_xlfn.SORTBY($BH$3:BH4,_xlfn.SEQUENCE(ROWS($BH$3:BH4)),-1)/$BH$3)</f>
        <v>87480.996050240923</v>
      </c>
      <c r="AN4" s="22">
        <f t="shared" ref="AN4:AN67" si="30">AI4-AM4</f>
        <v>4606.2209533286805</v>
      </c>
      <c r="AO4" s="22">
        <f t="shared" si="7"/>
        <v>0</v>
      </c>
      <c r="AP4" s="22">
        <f t="shared" ref="AP4:AP67" si="31">AI4-AO4</f>
        <v>92087.217003569604</v>
      </c>
      <c r="AQ4" s="22"/>
      <c r="AR4" s="10">
        <f>IF($B$10="3BR_H",
INDEX('ns-combined'!$C:$D,MATCH($L4,'ns-combined'!$B:$B,0),MATCH(Council_Area,'ns-combined'!$C$1:$D$1,0))*1000,
INDEX('s-combined'!$C:$D,MATCH($L4,'s-combined'!$B:$B,0),MATCH(Council_Area,'s-combined'!$C$1:$D$1,0))*1000)</f>
        <v>330000</v>
      </c>
      <c r="AS4" s="22">
        <f>AS3+$AS$3</f>
        <v>1625</v>
      </c>
      <c r="AT4" s="10">
        <v>0</v>
      </c>
      <c r="AU4" s="22">
        <f t="shared" si="8"/>
        <v>6600</v>
      </c>
      <c r="AV4" s="22">
        <f t="shared" si="9"/>
        <v>948.75</v>
      </c>
      <c r="AW4" s="22">
        <f>SUM($AV$3:AV4)</f>
        <v>1883.125</v>
      </c>
      <c r="AX4" s="22">
        <f t="shared" ref="AX4:AX34" si="32">AR4-AS4-AU4-AW4</f>
        <v>319891.875</v>
      </c>
      <c r="AY4" s="22">
        <f t="shared" si="10"/>
        <v>1114.75</v>
      </c>
      <c r="AZ4" s="24">
        <f t="shared" si="11"/>
        <v>1.3512121212121211E-2</v>
      </c>
      <c r="BA4" s="24">
        <f t="shared" si="12"/>
        <v>0.35</v>
      </c>
      <c r="BB4" s="25">
        <f>IF(MortgageRate="Discounted",_xlfn.XLOOKUP(L4,'mortgage-rates'!$A:$A,'mortgage-rates'!$E:$E)/100,_xlfn.XLOOKUP(L4,'mortgage-rates'!$A:$A,'mortgage-rates'!$D:$D)/100)</f>
        <v>6.93E-2</v>
      </c>
      <c r="BC4" s="10">
        <f>BC3-BF3</f>
        <v>258969.46755370201</v>
      </c>
      <c r="BD4" s="10">
        <f t="shared" si="13"/>
        <v>5488.8874066362741</v>
      </c>
      <c r="BE4" s="10">
        <f t="shared" si="14"/>
        <v>4486.646025367887</v>
      </c>
      <c r="BF4" s="10">
        <f>BD4-BE4</f>
        <v>1002.2413812683872</v>
      </c>
      <c r="BG4" s="12">
        <f t="shared" si="15"/>
        <v>6603.6374066362741</v>
      </c>
      <c r="BH4" s="22">
        <f>INDEX(cpi!B:B,MATCH($L4,cpi!A:A))</f>
        <v>85.9</v>
      </c>
      <c r="BI4" s="22">
        <f t="shared" si="16"/>
        <v>101.53664302600474</v>
      </c>
      <c r="BJ4" s="22">
        <f t="shared" si="17"/>
        <v>107.21181327548136</v>
      </c>
      <c r="BK4" s="22">
        <f t="shared" si="18"/>
        <v>109.43777704215839</v>
      </c>
      <c r="BL4" s="22">
        <f t="shared" si="19"/>
        <v>107.87960240548446</v>
      </c>
      <c r="BM4" s="22">
        <f t="shared" si="20"/>
        <v>111.79735134515875</v>
      </c>
      <c r="BN4" s="22">
        <f t="shared" si="21"/>
        <v>101.53846153846153</v>
      </c>
      <c r="BO4">
        <f t="shared" si="22"/>
        <v>100.99091366501909</v>
      </c>
    </row>
    <row r="5" spans="1:67" x14ac:dyDescent="0.25">
      <c r="A5" t="s">
        <v>496</v>
      </c>
      <c r="B5" s="4">
        <f>((_xlfn.XLOOKUP(Q_end,L:L,AX:AX)/_xlfn.XLOOKUP(Q_start,L:L,AX:AX))^(1/YEARFRAC(EOMONTH(Q_start,-3)+1,EOMONTH(Q_end,0))))-1</f>
        <v>5.2783780813137504E-2</v>
      </c>
      <c r="L5" s="1">
        <f t="shared" ref="L5:L68" si="33">DATE(YEAR(L4),MONTH(L4)+3,1)</f>
        <v>38961</v>
      </c>
      <c r="M5" s="10">
        <f t="shared" si="0"/>
        <v>98932.034631984439</v>
      </c>
      <c r="N5" s="10">
        <f t="shared" si="23"/>
        <v>65049.023827566387</v>
      </c>
      <c r="O5" s="7">
        <f t="shared" si="24"/>
        <v>1.5208842317793423</v>
      </c>
      <c r="P5" s="7">
        <f t="shared" si="1"/>
        <v>0.49411542395865293</v>
      </c>
      <c r="Q5">
        <v>3</v>
      </c>
      <c r="R5">
        <f t="shared" si="2"/>
        <v>92</v>
      </c>
      <c r="S5" s="22"/>
      <c r="T5" s="22">
        <f>IF($B$10="3BR_H",
INDEX('3BR_H-processed'!$E:$E,MATCH($L5,'3BR_H-processed'!$B:$B,0),MATCH(Council_Area,'3BR_H-processed'!$E$1:$E$1,0)),
INDEX('2BR_F-processed'!$E:$E,MATCH($L5,'2BR_F-processed'!$B:$B,0),MATCH(Council_Area,'2BR_F-processed'!$E$1:$E$1,0)))</f>
        <v>250</v>
      </c>
      <c r="U5" s="22">
        <f t="shared" si="25"/>
        <v>245</v>
      </c>
      <c r="V5" s="22">
        <f t="shared" ref="V5:V67" si="34">U5*(R5)/7</f>
        <v>3220</v>
      </c>
      <c r="W5" s="22">
        <f>$B$53/4*BH5/_xlfn.XLOOKUP(Q_end,cpi!A:A,cpi!B:B)</f>
        <v>119.69592259847963</v>
      </c>
      <c r="X5" s="22">
        <f t="shared" si="26"/>
        <v>3339.6959225984797</v>
      </c>
      <c r="Y5" s="22">
        <f t="shared" si="3"/>
        <v>3419.2429015373605</v>
      </c>
      <c r="Z5" s="22">
        <f t="shared" si="27"/>
        <v>0</v>
      </c>
      <c r="AA5" s="22" cm="1">
        <f t="array" ref="AA5">(Y5+Z5)*eff_invest</f>
        <v>3419.2429015373605</v>
      </c>
      <c r="AB5" s="22">
        <f>AA5*(_xlfn.XLOOKUP(Q_end,cpi!A:A,cpi!B:B)/BH5)</f>
        <v>5713.2153331692389</v>
      </c>
      <c r="AC5" s="22" cm="1">
        <f t="array" ref="AC5">INDEX('msci-indices'!C:C,MATCH($L5,'msci-indices'!$B:$B)-2)</f>
        <v>802.64573099999996</v>
      </c>
      <c r="AD5" s="22" cm="1">
        <f t="array" ref="AD5">INDEX('msci-indices'!D:D,MATCH($L5,'msci-indices'!$B:$B)-2)</f>
        <v>780.02674300000001</v>
      </c>
      <c r="AE5" s="22">
        <f t="shared" si="28"/>
        <v>95506.459905106967</v>
      </c>
      <c r="AF5" s="22" cm="1">
        <f t="array" ref="AF5">INDEX('msci-indices'!C:C,MATCH($L5,'msci-indices'!$B:$B)+1)</f>
        <v>835.13401499999998</v>
      </c>
      <c r="AG5" s="22" cm="1">
        <f t="array" ref="AG5">INDEX('msci-indices'!D:D,MATCH($L5,'msci-indices'!$B:$B)+1)</f>
        <v>801.24066600000003</v>
      </c>
      <c r="AH5" s="22">
        <f t="shared" si="4"/>
        <v>59.691537440691853</v>
      </c>
      <c r="AI5" s="22">
        <f t="shared" si="5"/>
        <v>98932.034631984439</v>
      </c>
      <c r="AJ5" s="22">
        <f t="shared" si="29"/>
        <v>89626.252768293329</v>
      </c>
      <c r="AK5" s="22">
        <f t="shared" si="6"/>
        <v>9305.7818636911106</v>
      </c>
      <c r="AL5" s="22">
        <f>AJ5*(_xlfn.XLOOKUP(Q_end,cpi!A:A,cpi!B:B)/BH5)</f>
        <v>149756.56784725224</v>
      </c>
      <c r="AM5" s="22" cm="1">
        <f t="array" ref="AM5">SUMPRODUCT($AA$3:AA5,_xlfn.SORTBY($BH$3:BH5,_xlfn.SEQUENCE(ROWS($BH$3:BH5)),-1)/$BH$3)</f>
        <v>91636.939333676099</v>
      </c>
      <c r="AN5" s="22">
        <f t="shared" si="30"/>
        <v>7295.0952983083407</v>
      </c>
      <c r="AO5" s="22">
        <f t="shared" si="7"/>
        <v>0</v>
      </c>
      <c r="AP5" s="22">
        <f t="shared" si="31"/>
        <v>98932.034631984439</v>
      </c>
      <c r="AQ5" s="22"/>
      <c r="AR5" s="10">
        <f>IF($B$10="3BR_H",
INDEX('ns-combined'!$C:$D,MATCH($L5,'ns-combined'!$B:$B,0),MATCH(Council_Area,'ns-combined'!$C$1:$D$1,0))*1000,
INDEX('s-combined'!$C:$D,MATCH($L5,'s-combined'!$B:$B,0),MATCH(Council_Area,'s-combined'!$C$1:$D$1,0))*1000)</f>
        <v>335000</v>
      </c>
      <c r="AS5" s="22">
        <f t="shared" ref="AS5:AS68" si="35">AS4+$AS$3</f>
        <v>2437.5</v>
      </c>
      <c r="AT5" s="10">
        <v>0</v>
      </c>
      <c r="AU5" s="22">
        <f t="shared" si="8"/>
        <v>6700</v>
      </c>
      <c r="AV5" s="22">
        <f t="shared" si="9"/>
        <v>963.125</v>
      </c>
      <c r="AW5" s="22">
        <f>SUM($AV$3:AV5)</f>
        <v>2846.25</v>
      </c>
      <c r="AX5" s="22">
        <f t="shared" si="32"/>
        <v>323016.25</v>
      </c>
      <c r="AY5" s="22">
        <f t="shared" si="10"/>
        <v>1127</v>
      </c>
      <c r="AZ5" s="24">
        <f t="shared" si="11"/>
        <v>1.3456716417910448E-2</v>
      </c>
      <c r="BA5" s="24">
        <f t="shared" si="12"/>
        <v>0.35</v>
      </c>
      <c r="BB5" s="25">
        <f>IF(MortgageRate="Discounted",_xlfn.XLOOKUP(L5,'mortgage-rates'!$A:$A,'mortgage-rates'!$E:$E)/100,_xlfn.XLOOKUP(L5,'mortgage-rates'!$A:$A,'mortgage-rates'!$D:$D)/100)</f>
        <v>7.22E-2</v>
      </c>
      <c r="BC5" s="10">
        <f>BC4-BF4</f>
        <v>257967.22617243361</v>
      </c>
      <c r="BD5" s="10">
        <f t="shared" si="13"/>
        <v>5631.9388241358402</v>
      </c>
      <c r="BE5" s="10">
        <f t="shared" si="14"/>
        <v>4656.3084324124266</v>
      </c>
      <c r="BF5" s="10">
        <f t="shared" ref="BF5:BF68" si="36">BD5-BE5</f>
        <v>975.6303917234136</v>
      </c>
      <c r="BG5" s="12">
        <f t="shared" si="15"/>
        <v>6758.9388241358402</v>
      </c>
      <c r="BH5" s="22">
        <f>INDEX(cpi!B:B,MATCH($L5,cpi!A:A))</f>
        <v>86.6</v>
      </c>
      <c r="BI5" s="22">
        <f t="shared" si="16"/>
        <v>102.36406619385343</v>
      </c>
      <c r="BJ5" s="22">
        <f t="shared" si="17"/>
        <v>106.3276473895915</v>
      </c>
      <c r="BK5" s="22">
        <f t="shared" si="18"/>
        <v>109.40737896360702</v>
      </c>
      <c r="BL5" s="22">
        <f t="shared" si="19"/>
        <v>107.25156686179616</v>
      </c>
      <c r="BM5" s="22">
        <f t="shared" si="20"/>
        <v>115.19696010370096</v>
      </c>
      <c r="BN5" s="22">
        <f t="shared" si="21"/>
        <v>103.07692307692308</v>
      </c>
      <c r="BO5">
        <f t="shared" si="22"/>
        <v>101.97728909541145</v>
      </c>
    </row>
    <row r="6" spans="1:67" x14ac:dyDescent="0.25">
      <c r="A6" t="s">
        <v>462</v>
      </c>
      <c r="B6" s="4">
        <f>((_xlfn.XLOOKUP(Q_end,L:L,U:U)/_xlfn.XLOOKUP(Q_start,L:L,U:U))^(1/YEARFRAC(EOMONTH(Q_start,-3)+1,EOMONTH(Q_end,0))))-1</f>
        <v>4.6836133744807107E-2</v>
      </c>
      <c r="L6" s="1">
        <f t="shared" si="33"/>
        <v>39052</v>
      </c>
      <c r="M6" s="10">
        <f t="shared" si="0"/>
        <v>111773.69330237756</v>
      </c>
      <c r="N6" s="10">
        <f t="shared" si="23"/>
        <v>72554.591719289805</v>
      </c>
      <c r="O6" s="7">
        <f t="shared" si="24"/>
        <v>1.5405460998915763</v>
      </c>
      <c r="P6" s="7">
        <f t="shared" si="1"/>
        <v>0.48524891404655968</v>
      </c>
      <c r="Q6">
        <v>4</v>
      </c>
      <c r="R6">
        <f t="shared" si="2"/>
        <v>92</v>
      </c>
      <c r="S6" s="22"/>
      <c r="T6" s="22">
        <f>IF($B$10="3BR_H",
INDEX('3BR_H-processed'!$E:$E,MATCH($L6,'3BR_H-processed'!$B:$B,0),MATCH(Council_Area,'3BR_H-processed'!$E$1:$E$1,0)),
INDEX('2BR_F-processed'!$E:$E,MATCH($L6,'2BR_F-processed'!$B:$B,0),MATCH(Council_Area,'2BR_F-processed'!$E$1:$E$1,0)))</f>
        <v>250</v>
      </c>
      <c r="U6" s="22">
        <f t="shared" si="25"/>
        <v>245</v>
      </c>
      <c r="V6" s="22">
        <f t="shared" si="34"/>
        <v>3220</v>
      </c>
      <c r="W6" s="22">
        <f>$B$53/4*BH6/_xlfn.XLOOKUP(Q_end,cpi!A:A,cpi!B:B)</f>
        <v>119.83413959917071</v>
      </c>
      <c r="X6" s="22">
        <f t="shared" si="26"/>
        <v>3339.8341395991706</v>
      </c>
      <c r="Y6" s="22">
        <f t="shared" si="3"/>
        <v>3542.8894336445469</v>
      </c>
      <c r="Z6" s="22">
        <f t="shared" si="27"/>
        <v>0</v>
      </c>
      <c r="AA6" s="22" cm="1">
        <f t="array" ref="AA6">(Y6+Z6)*eff_invest</f>
        <v>3542.8894336445469</v>
      </c>
      <c r="AB6" s="22">
        <f>AA6*(_xlfn.XLOOKUP(Q_end,cpi!A:A,cpi!B:B)/BH6)</f>
        <v>5912.9884780665034</v>
      </c>
      <c r="AC6" s="22" cm="1">
        <f t="array" ref="AC6">INDEX('msci-indices'!C:C,MATCH($L6,'msci-indices'!$B:$B)-2)</f>
        <v>835.13401499999998</v>
      </c>
      <c r="AD6" s="22" cm="1">
        <f t="array" ref="AD6">INDEX('msci-indices'!D:D,MATCH($L6,'msci-indices'!$B:$B)-2)</f>
        <v>801.24066600000003</v>
      </c>
      <c r="AE6" s="22">
        <f t="shared" si="28"/>
        <v>102474.92406562899</v>
      </c>
      <c r="AF6" s="22" cm="1">
        <f t="array" ref="AF6">INDEX('msci-indices'!C:C,MATCH($L6,'msci-indices'!$B:$B)+1)</f>
        <v>906.58022200000005</v>
      </c>
      <c r="AG6" s="22" cm="1">
        <f t="array" ref="AG6">INDEX('msci-indices'!D:D,MATCH($L6,'msci-indices'!$B:$B)+1)</f>
        <v>885.32149100000004</v>
      </c>
      <c r="AH6" s="22">
        <f t="shared" si="4"/>
        <v>64.046827541018118</v>
      </c>
      <c r="AI6" s="22">
        <f t="shared" si="5"/>
        <v>111773.69330237756</v>
      </c>
      <c r="AJ6" s="22">
        <f t="shared" si="29"/>
        <v>93169.142201937881</v>
      </c>
      <c r="AK6" s="22">
        <f t="shared" si="6"/>
        <v>18604.551100439683</v>
      </c>
      <c r="AL6" s="22">
        <f>AJ6*(_xlfn.XLOOKUP(Q_end,cpi!A:A,cpi!B:B)/BH6)</f>
        <v>155496.8267199586</v>
      </c>
      <c r="AM6" s="22" cm="1">
        <f t="array" ref="AM6">SUMPRODUCT($AA$3:AA6,_xlfn.SORTBY($BH$3:BH6,_xlfn.SEQUENCE(ROWS($BH$3:BH6)),-1)/$BH$3)</f>
        <v>95357.673473709525</v>
      </c>
      <c r="AN6" s="22">
        <f t="shared" si="30"/>
        <v>16416.019828668039</v>
      </c>
      <c r="AO6" s="22">
        <f t="shared" si="7"/>
        <v>0</v>
      </c>
      <c r="AP6" s="22">
        <f t="shared" si="31"/>
        <v>111773.69330237756</v>
      </c>
      <c r="AQ6" s="22"/>
      <c r="AR6" s="10">
        <f>IF($B$10="3BR_H",
INDEX('ns-combined'!$C:$D,MATCH($L6,'ns-combined'!$B:$B,0),MATCH(Council_Area,'ns-combined'!$C$1:$D$1,0))*1000,
INDEX('s-combined'!$C:$D,MATCH($L6,'s-combined'!$B:$B,0),MATCH(Council_Area,'s-combined'!$C$1:$D$1,0))*1000)</f>
        <v>343500</v>
      </c>
      <c r="AS6" s="22">
        <f t="shared" si="35"/>
        <v>3250</v>
      </c>
      <c r="AT6" s="10">
        <v>0</v>
      </c>
      <c r="AU6" s="22">
        <f t="shared" si="8"/>
        <v>6870</v>
      </c>
      <c r="AV6" s="22">
        <f t="shared" si="9"/>
        <v>987.5625</v>
      </c>
      <c r="AW6" s="22">
        <f>SUM($AV$3:AV6)</f>
        <v>3833.8125</v>
      </c>
      <c r="AX6" s="22">
        <f t="shared" si="32"/>
        <v>329546.1875</v>
      </c>
      <c r="AY6" s="22">
        <f t="shared" si="10"/>
        <v>1127</v>
      </c>
      <c r="AZ6" s="24">
        <f t="shared" si="11"/>
        <v>1.3123726346433769E-2</v>
      </c>
      <c r="BA6" s="24">
        <f t="shared" si="12"/>
        <v>0.35</v>
      </c>
      <c r="BB6" s="25">
        <f>IF(MortgageRate="Discounted",_xlfn.XLOOKUP(L6,'mortgage-rates'!$A:$A,'mortgage-rates'!$E:$E)/100,_xlfn.XLOOKUP(L6,'mortgage-rates'!$A:$A,'mortgage-rates'!$D:$D)/100)</f>
        <v>7.4700000000000003E-2</v>
      </c>
      <c r="BC6" s="10">
        <f t="shared" ref="BC6:BC35" si="37">BC5-BF5</f>
        <v>256991.59578071019</v>
      </c>
      <c r="BD6" s="10">
        <f t="shared" si="13"/>
        <v>5755.7235732437175</v>
      </c>
      <c r="BE6" s="10">
        <f t="shared" si="14"/>
        <v>4799.3180512047629</v>
      </c>
      <c r="BF6" s="10">
        <f t="shared" si="36"/>
        <v>956.40552203895459</v>
      </c>
      <c r="BG6" s="12">
        <f t="shared" si="15"/>
        <v>6882.7235732437175</v>
      </c>
      <c r="BH6" s="22">
        <f>INDEX(cpi!B:B,MATCH($L6,cpi!A:A))</f>
        <v>86.7</v>
      </c>
      <c r="BI6" s="22">
        <f t="shared" si="16"/>
        <v>102.48226950354611</v>
      </c>
      <c r="BJ6" s="22">
        <f t="shared" si="17"/>
        <v>110.63141762349176</v>
      </c>
      <c r="BK6" s="22">
        <f t="shared" si="18"/>
        <v>112.38286632194978</v>
      </c>
      <c r="BL6" s="22">
        <f t="shared" si="19"/>
        <v>111.15685223302917</v>
      </c>
      <c r="BM6" s="22">
        <f t="shared" si="20"/>
        <v>123.60210765792206</v>
      </c>
      <c r="BN6" s="22">
        <f t="shared" si="21"/>
        <v>105.69230769230769</v>
      </c>
      <c r="BO6">
        <f t="shared" si="22"/>
        <v>104.03881177178599</v>
      </c>
    </row>
    <row r="7" spans="1:67" x14ac:dyDescent="0.25">
      <c r="A7" t="s">
        <v>486</v>
      </c>
      <c r="B7" s="4">
        <f>((_xlfn.XLOOKUP(Q_end,L:L,BL:BL)/_xlfn.XLOOKUP(Q_start,L:L,BL:BL))^(1/YEARFRAC(EOMONTH(Q_start,-3)+1,EOMONTH(Q_end,0))))-1</f>
        <v>8.0631421747286103E-2</v>
      </c>
      <c r="L7" s="1">
        <f t="shared" si="33"/>
        <v>39142</v>
      </c>
      <c r="M7" s="10">
        <f t="shared" si="0"/>
        <v>119808.0402245858</v>
      </c>
      <c r="N7" s="10">
        <f t="shared" si="23"/>
        <v>80016.497241328761</v>
      </c>
      <c r="O7" s="7">
        <f t="shared" si="24"/>
        <v>1.4972917380180519</v>
      </c>
      <c r="P7" s="7">
        <f t="shared" si="1"/>
        <v>0.49997538103221378</v>
      </c>
      <c r="Q7">
        <v>5</v>
      </c>
      <c r="R7">
        <f t="shared" si="2"/>
        <v>90</v>
      </c>
      <c r="S7" s="22"/>
      <c r="T7" s="22">
        <f>IF($B$10="3BR_H",
INDEX('3BR_H-processed'!$E:$E,MATCH($L7,'3BR_H-processed'!$B:$B,0),MATCH(Council_Area,'3BR_H-processed'!$E$1:$E$1,0)),
INDEX('2BR_F-processed'!$E:$E,MATCH($L7,'2BR_F-processed'!$B:$B,0),MATCH(Council_Area,'2BR_F-processed'!$E$1:$E$1,0)))</f>
        <v>260</v>
      </c>
      <c r="U7" s="22">
        <f>IF(MOD(Q7,4)=1,T7,U6)</f>
        <v>260</v>
      </c>
      <c r="V7" s="22">
        <f t="shared" si="34"/>
        <v>3342.8571428571427</v>
      </c>
      <c r="W7" s="22">
        <f>$B$53/4*BH7/_xlfn.XLOOKUP(Q_end,cpi!A:A,cpi!B:B)</f>
        <v>119.83413959917071</v>
      </c>
      <c r="X7" s="22">
        <f t="shared" si="26"/>
        <v>3462.6912824563133</v>
      </c>
      <c r="Y7" s="22">
        <f t="shared" si="3"/>
        <v>3463.0322907874051</v>
      </c>
      <c r="Z7" s="22">
        <f t="shared" si="27"/>
        <v>0</v>
      </c>
      <c r="AA7" s="22" cm="1">
        <f t="array" ref="AA7">(Y7+Z7)*eff_invest</f>
        <v>3463.0322907874051</v>
      </c>
      <c r="AB7" s="22">
        <f>AA7*(_xlfn.XLOOKUP(Q_end,cpi!A:A,cpi!B:B)/BH7)</f>
        <v>5779.7090251088521</v>
      </c>
      <c r="AC7" s="22" cm="1">
        <f t="array" ref="AC7">INDEX('msci-indices'!C:C,MATCH($L7,'msci-indices'!$B:$B)-2)</f>
        <v>906.58022200000005</v>
      </c>
      <c r="AD7" s="22" cm="1">
        <f t="array" ref="AD7">INDEX('msci-indices'!D:D,MATCH($L7,'msci-indices'!$B:$B)-2)</f>
        <v>885.32149100000004</v>
      </c>
      <c r="AE7" s="22">
        <f t="shared" si="28"/>
        <v>115236.72559316497</v>
      </c>
      <c r="AF7" s="22" cm="1">
        <f t="array" ref="AF7">INDEX('msci-indices'!C:C,MATCH($L7,'msci-indices'!$B:$B)+1)</f>
        <v>932.09759399999996</v>
      </c>
      <c r="AG7" s="22" cm="1">
        <f t="array" ref="AG7">INDEX('msci-indices'!D:D,MATCH($L7,'msci-indices'!$B:$B)+1)</f>
        <v>946.08734200000004</v>
      </c>
      <c r="AH7" s="22">
        <f t="shared" si="4"/>
        <v>72.022953495728103</v>
      </c>
      <c r="AI7" s="22">
        <f t="shared" si="5"/>
        <v>119808.0402245858</v>
      </c>
      <c r="AJ7" s="22">
        <f t="shared" si="29"/>
        <v>96632.174492725288</v>
      </c>
      <c r="AK7" s="22">
        <f t="shared" si="6"/>
        <v>23175.865731860511</v>
      </c>
      <c r="AL7" s="22">
        <f>AJ7*(_xlfn.XLOOKUP(Q_end,cpi!A:A,cpi!B:B)/BH7)</f>
        <v>161276.53574506743</v>
      </c>
      <c r="AM7" s="22" cm="1">
        <f t="array" ref="AM7">SUMPRODUCT($AA$3:AA7,_xlfn.SORTBY($BH$3:BH7,_xlfn.SEQUENCE(ROWS($BH$3:BH7)),-1)/$BH$3)</f>
        <v>98907.339537488879</v>
      </c>
      <c r="AN7" s="22">
        <f t="shared" si="30"/>
        <v>20900.70068709692</v>
      </c>
      <c r="AO7" s="22">
        <f t="shared" si="7"/>
        <v>0</v>
      </c>
      <c r="AP7" s="22">
        <f t="shared" si="31"/>
        <v>119808.0402245858</v>
      </c>
      <c r="AQ7" s="22"/>
      <c r="AR7" s="10">
        <f>IF($B$10="3BR_H",
INDEX('ns-combined'!$C:$D,MATCH($L7,'ns-combined'!$B:$B,0),MATCH(Council_Area,'ns-combined'!$C$1:$D$1,0))*1000,
INDEX('s-combined'!$C:$D,MATCH($L7,'s-combined'!$B:$B,0),MATCH(Council_Area,'s-combined'!$C$1:$D$1,0))*1000)</f>
        <v>352000</v>
      </c>
      <c r="AS7" s="22">
        <f t="shared" si="35"/>
        <v>4062.5</v>
      </c>
      <c r="AT7" s="10">
        <v>0</v>
      </c>
      <c r="AU7" s="22">
        <f t="shared" si="8"/>
        <v>7040</v>
      </c>
      <c r="AV7" s="22">
        <f t="shared" si="9"/>
        <v>1012</v>
      </c>
      <c r="AW7" s="22">
        <f>SUM($AV$3:AV7)</f>
        <v>4845.8125</v>
      </c>
      <c r="AX7" s="22">
        <f t="shared" si="32"/>
        <v>336051.6875</v>
      </c>
      <c r="AY7" s="22">
        <f t="shared" si="10"/>
        <v>1170</v>
      </c>
      <c r="AZ7" s="24">
        <f t="shared" si="11"/>
        <v>1.3295454545454546E-2</v>
      </c>
      <c r="BA7" s="24">
        <f t="shared" si="12"/>
        <v>0.35000000000000003</v>
      </c>
      <c r="BB7" s="25">
        <f>IF(MortgageRate="Discounted",_xlfn.XLOOKUP(L7,'mortgage-rates'!$A:$A,'mortgage-rates'!$E:$E)/100,_xlfn.XLOOKUP(L7,'mortgage-rates'!$A:$A,'mortgage-rates'!$D:$D)/100)</f>
        <v>7.4700000000000003E-2</v>
      </c>
      <c r="BC7" s="10">
        <f t="shared" si="37"/>
        <v>256035.19025867124</v>
      </c>
      <c r="BD7" s="10">
        <f t="shared" si="13"/>
        <v>5755.7235732437184</v>
      </c>
      <c r="BE7" s="10">
        <f t="shared" si="14"/>
        <v>4781.4571780806855</v>
      </c>
      <c r="BF7" s="10">
        <f t="shared" si="36"/>
        <v>974.26639516303294</v>
      </c>
      <c r="BG7" s="12">
        <f t="shared" si="15"/>
        <v>6925.7235732437184</v>
      </c>
      <c r="BH7" s="22">
        <f>INDEX(cpi!B:B,MATCH($L7,cpi!A:A))</f>
        <v>86.7</v>
      </c>
      <c r="BI7" s="22">
        <f t="shared" si="16"/>
        <v>102.48226950354611</v>
      </c>
      <c r="BJ7" s="22">
        <f t="shared" si="17"/>
        <v>120.09600057935597</v>
      </c>
      <c r="BK7" s="22">
        <f t="shared" si="18"/>
        <v>124.17613208738743</v>
      </c>
      <c r="BL7" s="22">
        <f t="shared" si="19"/>
        <v>121.32004003176542</v>
      </c>
      <c r="BM7" s="22">
        <f t="shared" si="20"/>
        <v>138.99500090178842</v>
      </c>
      <c r="BN7" s="22">
        <f t="shared" si="21"/>
        <v>108.30769230769231</v>
      </c>
      <c r="BO7">
        <f t="shared" si="22"/>
        <v>106.0926194492951</v>
      </c>
    </row>
    <row r="8" spans="1:67" x14ac:dyDescent="0.25">
      <c r="A8" t="s">
        <v>487</v>
      </c>
      <c r="B8" s="4">
        <f>((_xlfn.XLOOKUP(Q_end,L:L,BI:BI)/_xlfn.XLOOKUP(Q_start,L:L,BI:BI))^(1/YEARFRAC(EOMONTH(Q_start,-3)+1,EOMONTH(Q_end,0))))-1</f>
        <v>2.7199757989349482E-2</v>
      </c>
      <c r="L8" s="1">
        <f t="shared" si="33"/>
        <v>39234</v>
      </c>
      <c r="M8" s="10">
        <f t="shared" si="0"/>
        <v>130831.02022288719</v>
      </c>
      <c r="N8" s="10">
        <f t="shared" si="23"/>
        <v>101640.13863649179</v>
      </c>
      <c r="O8" s="7">
        <f t="shared" si="24"/>
        <v>1.287198364524023</v>
      </c>
      <c r="P8" s="7">
        <f t="shared" si="1"/>
        <v>0.50459083326320364</v>
      </c>
      <c r="Q8">
        <v>6</v>
      </c>
      <c r="R8">
        <f t="shared" si="2"/>
        <v>91</v>
      </c>
      <c r="S8" s="22"/>
      <c r="T8" s="22">
        <f>IF($B$10="3BR_H",
INDEX('3BR_H-processed'!$E:$E,MATCH($L8,'3BR_H-processed'!$B:$B,0),MATCH(Council_Area,'3BR_H-processed'!$E$1:$E$1,0)),
INDEX('2BR_F-processed'!$E:$E,MATCH($L8,'2BR_F-processed'!$B:$B,0),MATCH(Council_Area,'2BR_F-processed'!$E$1:$E$1,0)))</f>
        <v>260</v>
      </c>
      <c r="U8" s="22">
        <f t="shared" si="25"/>
        <v>260</v>
      </c>
      <c r="V8" s="22">
        <f t="shared" si="34"/>
        <v>3380</v>
      </c>
      <c r="W8" s="22">
        <f>$B$53/4*BH8/_xlfn.XLOOKUP(Q_end,cpi!A:A,cpi!B:B)</f>
        <v>121.21630960608155</v>
      </c>
      <c r="X8" s="22">
        <f t="shared" si="26"/>
        <v>3501.2163096060817</v>
      </c>
      <c r="Y8" s="22">
        <f t="shared" si="3"/>
        <v>3437.5072636376367</v>
      </c>
      <c r="Z8" s="22">
        <f t="shared" si="27"/>
        <v>0</v>
      </c>
      <c r="AA8" s="22" cm="1">
        <f t="array" ref="AA8">(Y8+Z8)*eff_invest</f>
        <v>3437.5072636376367</v>
      </c>
      <c r="AB8" s="22">
        <f>AA8*(_xlfn.XLOOKUP(Q_end,cpi!A:A,cpi!B:B)/BH8)</f>
        <v>5671.6910039722461</v>
      </c>
      <c r="AC8" s="22" cm="1">
        <f t="array" ref="AC8">INDEX('msci-indices'!C:C,MATCH($L8,'msci-indices'!$B:$B)-2)</f>
        <v>932.09759399999996</v>
      </c>
      <c r="AD8" s="22" cm="1">
        <f t="array" ref="AD8">INDEX('msci-indices'!D:D,MATCH($L8,'msci-indices'!$B:$B)-2)</f>
        <v>946.08734200000004</v>
      </c>
      <c r="AE8" s="22">
        <f t="shared" si="28"/>
        <v>123245.54748822344</v>
      </c>
      <c r="AF8" s="22" cm="1">
        <f t="array" ref="AF8">INDEX('msci-indices'!C:C,MATCH($L8,'msci-indices'!$B:$B)+1)</f>
        <v>991.70582300000001</v>
      </c>
      <c r="AG8" s="22" cm="1">
        <f t="array" ref="AG8">INDEX('msci-indices'!D:D,MATCH($L8,'msci-indices'!$B:$B)+1)</f>
        <v>1000.983113</v>
      </c>
      <c r="AH8" s="22">
        <f t="shared" si="4"/>
        <v>77.028467180139657</v>
      </c>
      <c r="AI8" s="22">
        <f t="shared" si="5"/>
        <v>130831.02022288719</v>
      </c>
      <c r="AJ8" s="22">
        <f t="shared" si="29"/>
        <v>100069.68175636293</v>
      </c>
      <c r="AK8" s="22">
        <f t="shared" si="6"/>
        <v>30761.338466524263</v>
      </c>
      <c r="AL8" s="22">
        <f>AJ8*(_xlfn.XLOOKUP(Q_end,cpi!A:A,cpi!B:B)/BH8)</f>
        <v>165109.26967098875</v>
      </c>
      <c r="AM8" s="22" cm="1">
        <f t="array" ref="AM8">SUMPRODUCT($AA$3:AA8,_xlfn.SORTBY($BH$3:BH8,_xlfn.SEQUENCE(ROWS($BH$3:BH8)),-1)/$BH$3)</f>
        <v>103411.406963484</v>
      </c>
      <c r="AN8" s="22">
        <f t="shared" si="30"/>
        <v>27419.613259403195</v>
      </c>
      <c r="AO8" s="22">
        <f t="shared" si="7"/>
        <v>0</v>
      </c>
      <c r="AP8" s="22">
        <f t="shared" si="31"/>
        <v>130831.02022288719</v>
      </c>
      <c r="AQ8" s="22"/>
      <c r="AR8" s="10">
        <f>IF($B$10="3BR_H",
INDEX('ns-combined'!$C:$D,MATCH($L8,'ns-combined'!$B:$B,0),MATCH(Council_Area,'ns-combined'!$C$1:$D$1,0))*1000,
INDEX('s-combined'!$C:$D,MATCH($L8,'s-combined'!$B:$B,0),MATCH(Council_Area,'s-combined'!$C$1:$D$1,0))*1000)</f>
        <v>375000</v>
      </c>
      <c r="AS8" s="22">
        <f t="shared" si="35"/>
        <v>4875</v>
      </c>
      <c r="AT8" s="10">
        <v>0</v>
      </c>
      <c r="AU8" s="22">
        <f t="shared" si="8"/>
        <v>7500</v>
      </c>
      <c r="AV8" s="22">
        <f t="shared" si="9"/>
        <v>1078.125</v>
      </c>
      <c r="AW8" s="22">
        <f>SUM($AV$3:AV8)</f>
        <v>5923.9375</v>
      </c>
      <c r="AX8" s="22">
        <f t="shared" si="32"/>
        <v>356701.0625</v>
      </c>
      <c r="AY8" s="22">
        <f t="shared" si="10"/>
        <v>1183</v>
      </c>
      <c r="AZ8" s="24">
        <f t="shared" si="11"/>
        <v>1.2618666666666667E-2</v>
      </c>
      <c r="BA8" s="24">
        <f t="shared" si="12"/>
        <v>0.35</v>
      </c>
      <c r="BB8" s="25">
        <f>IF(MortgageRate="Discounted",_xlfn.XLOOKUP(L8,'mortgage-rates'!$A:$A,'mortgage-rates'!$E:$E)/100,_xlfn.XLOOKUP(L8,'mortgage-rates'!$A:$A,'mortgage-rates'!$D:$D)/100)</f>
        <v>7.4700000000000003E-2</v>
      </c>
      <c r="BC8" s="10">
        <f t="shared" si="37"/>
        <v>255060.92386350821</v>
      </c>
      <c r="BD8" s="10">
        <f t="shared" si="13"/>
        <v>5755.7235732437184</v>
      </c>
      <c r="BE8" s="10">
        <f t="shared" si="14"/>
        <v>4763.2627531510161</v>
      </c>
      <c r="BF8" s="10">
        <f t="shared" si="36"/>
        <v>992.46082009270231</v>
      </c>
      <c r="BG8" s="12">
        <f t="shared" si="15"/>
        <v>6938.7235732437184</v>
      </c>
      <c r="BH8" s="22">
        <f>INDEX(cpi!B:B,MATCH($L8,cpi!A:A))</f>
        <v>87.7</v>
      </c>
      <c r="BI8" s="22">
        <f t="shared" si="16"/>
        <v>103.66430260047282</v>
      </c>
      <c r="BJ8" s="22">
        <f t="shared" si="17"/>
        <v>123.47632396180853</v>
      </c>
      <c r="BK8" s="22">
        <f t="shared" si="18"/>
        <v>132.69921485097811</v>
      </c>
      <c r="BL8" s="22">
        <f t="shared" si="19"/>
        <v>126.2431912285594</v>
      </c>
      <c r="BM8" s="22">
        <f t="shared" si="20"/>
        <v>148.65499601876127</v>
      </c>
      <c r="BN8" s="22">
        <f t="shared" si="21"/>
        <v>115.38461538461539</v>
      </c>
      <c r="BO8">
        <f t="shared" si="22"/>
        <v>112.61169483331854</v>
      </c>
    </row>
    <row r="9" spans="1:67" x14ac:dyDescent="0.25">
      <c r="L9" s="1">
        <f t="shared" si="33"/>
        <v>39326</v>
      </c>
      <c r="M9" s="10">
        <f t="shared" si="0"/>
        <v>138424.52198994227</v>
      </c>
      <c r="N9" s="10">
        <f t="shared" si="23"/>
        <v>115398.84945658449</v>
      </c>
      <c r="O9" s="7">
        <f t="shared" si="24"/>
        <v>1.1995312140613719</v>
      </c>
      <c r="P9" s="7">
        <f t="shared" si="1"/>
        <v>0.50027708856505693</v>
      </c>
      <c r="Q9">
        <v>7</v>
      </c>
      <c r="R9">
        <f t="shared" si="2"/>
        <v>92</v>
      </c>
      <c r="S9" s="22"/>
      <c r="T9" s="22">
        <f>IF($B$10="3BR_H",
INDEX('3BR_H-processed'!$E:$E,MATCH($L9,'3BR_H-processed'!$B:$B,0),MATCH(Council_Area,'3BR_H-processed'!$E$1:$E$1,0)),
INDEX('2BR_F-processed'!$E:$E,MATCH($L9,'2BR_F-processed'!$B:$B,0),MATCH(Council_Area,'2BR_F-processed'!$E$1:$E$1,0)))</f>
        <v>265</v>
      </c>
      <c r="U9" s="22">
        <f t="shared" si="25"/>
        <v>260</v>
      </c>
      <c r="V9" s="22">
        <f t="shared" si="34"/>
        <v>3417.1428571428573</v>
      </c>
      <c r="W9" s="22">
        <f>$B$53/4*BH9/_xlfn.XLOOKUP(Q_end,cpi!A:A,cpi!B:B)</f>
        <v>121.90739460953698</v>
      </c>
      <c r="X9" s="22">
        <f t="shared" si="26"/>
        <v>3539.0502517523942</v>
      </c>
      <c r="Y9" s="22">
        <f t="shared" si="3"/>
        <v>3535.1299028963826</v>
      </c>
      <c r="Z9" s="22">
        <f t="shared" si="27"/>
        <v>0</v>
      </c>
      <c r="AA9" s="22" cm="1">
        <f t="array" ref="AA9">(Y9+Z9)*eff_invest</f>
        <v>3535.1299028963826</v>
      </c>
      <c r="AB9" s="22">
        <f>AA9*(_xlfn.XLOOKUP(Q_end,cpi!A:A,cpi!B:B)/BH9)</f>
        <v>5799.6972443209352</v>
      </c>
      <c r="AC9" s="22" cm="1">
        <f t="array" ref="AC9">INDEX('msci-indices'!C:C,MATCH($L9,'msci-indices'!$B:$B)-2)</f>
        <v>991.70582300000001</v>
      </c>
      <c r="AD9" s="22" cm="1">
        <f t="array" ref="AD9">INDEX('msci-indices'!D:D,MATCH($L9,'msci-indices'!$B:$B)-2)</f>
        <v>1000.983113</v>
      </c>
      <c r="AE9" s="22">
        <f t="shared" si="28"/>
        <v>134366.15012578358</v>
      </c>
      <c r="AF9" s="22" cm="1">
        <f t="array" ref="AF9">INDEX('msci-indices'!C:C,MATCH($L9,'msci-indices'!$B:$B)+1)</f>
        <v>1009.870131</v>
      </c>
      <c r="AG9" s="22" cm="1">
        <f t="array" ref="AG9">INDEX('msci-indices'!D:D,MATCH($L9,'msci-indices'!$B:$B)+1)</f>
        <v>1061.067018</v>
      </c>
      <c r="AH9" s="22">
        <f t="shared" si="4"/>
        <v>83.978843828614743</v>
      </c>
      <c r="AI9" s="22">
        <f t="shared" si="5"/>
        <v>138424.52198994227</v>
      </c>
      <c r="AJ9" s="22">
        <f t="shared" si="29"/>
        <v>103604.81165925931</v>
      </c>
      <c r="AK9" s="22">
        <f t="shared" si="6"/>
        <v>34819.710330682952</v>
      </c>
      <c r="AL9" s="22">
        <f>AJ9*(_xlfn.XLOOKUP(Q_end,cpi!A:A,cpi!B:B)/BH9)</f>
        <v>169972.97332307053</v>
      </c>
      <c r="AM9" s="22" cm="1">
        <f t="array" ref="AM9">SUMPRODUCT($AA$3:AA9,_xlfn.SORTBY($BH$3:BH9,_xlfn.SEQUENCE(ROWS($BH$3:BH9)),-1)/$BH$3)</f>
        <v>107561.20152860902</v>
      </c>
      <c r="AN9" s="22">
        <f t="shared" si="30"/>
        <v>30863.320461333249</v>
      </c>
      <c r="AO9" s="22">
        <f t="shared" si="7"/>
        <v>0</v>
      </c>
      <c r="AP9" s="22">
        <f t="shared" si="31"/>
        <v>138424.52198994227</v>
      </c>
      <c r="AQ9" s="22"/>
      <c r="AR9" s="10">
        <f>IF($B$10="3BR_H",
INDEX('ns-combined'!$C:$D,MATCH($L9,'ns-combined'!$B:$B,0),MATCH(Council_Area,'ns-combined'!$C$1:$D$1,0))*1000,
INDEX('s-combined'!$C:$D,MATCH($L9,'s-combined'!$B:$B,0),MATCH(Council_Area,'s-combined'!$C$1:$D$1,0))*1000)</f>
        <v>390000</v>
      </c>
      <c r="AS9" s="22">
        <f t="shared" si="35"/>
        <v>5687.5</v>
      </c>
      <c r="AT9" s="10">
        <v>0</v>
      </c>
      <c r="AU9" s="22">
        <f t="shared" si="8"/>
        <v>7800</v>
      </c>
      <c r="AV9" s="22">
        <f t="shared" si="9"/>
        <v>1121.25</v>
      </c>
      <c r="AW9" s="22">
        <f>SUM($AV$3:AV9)</f>
        <v>7045.1875</v>
      </c>
      <c r="AX9" s="22">
        <f t="shared" si="32"/>
        <v>369467.3125</v>
      </c>
      <c r="AY9" s="22">
        <f t="shared" si="10"/>
        <v>1196.0000000000002</v>
      </c>
      <c r="AZ9" s="24">
        <f t="shared" si="11"/>
        <v>1.2266666666666669E-2</v>
      </c>
      <c r="BA9" s="24">
        <f t="shared" si="12"/>
        <v>0.35000000000000003</v>
      </c>
      <c r="BB9" s="25">
        <f>IF(MortgageRate="Discounted",_xlfn.XLOOKUP(L9,'mortgage-rates'!$A:$A,'mortgage-rates'!$E:$E)/100,_xlfn.XLOOKUP(L9,'mortgage-rates'!$A:$A,'mortgage-rates'!$D:$D)/100)</f>
        <v>7.7199999999999991E-2</v>
      </c>
      <c r="BC9" s="10">
        <f t="shared" si="37"/>
        <v>254068.46304341551</v>
      </c>
      <c r="BD9" s="10">
        <f t="shared" si="13"/>
        <v>5878.1801546487768</v>
      </c>
      <c r="BE9" s="10">
        <f t="shared" si="14"/>
        <v>4903.5213367379192</v>
      </c>
      <c r="BF9" s="10">
        <f t="shared" si="36"/>
        <v>974.65881791085758</v>
      </c>
      <c r="BG9" s="12">
        <f t="shared" si="15"/>
        <v>7074.1801546487768</v>
      </c>
      <c r="BH9" s="22">
        <f>INDEX(cpi!B:B,MATCH($L9,cpi!A:A))</f>
        <v>88.2</v>
      </c>
      <c r="BI9" s="22">
        <f t="shared" si="16"/>
        <v>104.25531914893618</v>
      </c>
      <c r="BJ9" s="22">
        <f t="shared" si="17"/>
        <v>131.37271275432553</v>
      </c>
      <c r="BK9" s="22">
        <f t="shared" si="18"/>
        <v>140.39895396273877</v>
      </c>
      <c r="BL9" s="22">
        <f t="shared" si="19"/>
        <v>134.08058511684951</v>
      </c>
      <c r="BM9" s="22">
        <f t="shared" si="20"/>
        <v>162.06832554265898</v>
      </c>
      <c r="BN9" s="22">
        <f t="shared" si="21"/>
        <v>120</v>
      </c>
      <c r="BO9">
        <f t="shared" si="22"/>
        <v>116.64204181095293</v>
      </c>
    </row>
    <row r="10" spans="1:67" x14ac:dyDescent="0.25">
      <c r="A10" t="s">
        <v>327</v>
      </c>
      <c r="B10" t="s">
        <v>464</v>
      </c>
      <c r="C10" t="s">
        <v>464</v>
      </c>
      <c r="L10" s="1">
        <f t="shared" si="33"/>
        <v>39417</v>
      </c>
      <c r="M10" s="10">
        <f t="shared" si="0"/>
        <v>138152.19290056027</v>
      </c>
      <c r="N10" s="10">
        <f t="shared" si="23"/>
        <v>138867.88327449534</v>
      </c>
      <c r="O10" s="7">
        <f t="shared" si="24"/>
        <v>0.99484624985231185</v>
      </c>
      <c r="P10" s="7">
        <f t="shared" si="1"/>
        <v>0.49195735569662635</v>
      </c>
      <c r="Q10">
        <v>8</v>
      </c>
      <c r="R10">
        <f t="shared" si="2"/>
        <v>92</v>
      </c>
      <c r="S10" s="22"/>
      <c r="T10" s="22">
        <f>IF($B$10="3BR_H",
INDEX('3BR_H-processed'!$E:$E,MATCH($L10,'3BR_H-processed'!$B:$B,0),MATCH(Council_Area,'3BR_H-processed'!$E$1:$E$1,0)),
INDEX('2BR_F-processed'!$E:$E,MATCH($L10,'2BR_F-processed'!$B:$B,0),MATCH(Council_Area,'2BR_F-processed'!$E$1:$E$1,0)))</f>
        <v>270</v>
      </c>
      <c r="U10" s="22">
        <f t="shared" si="25"/>
        <v>260</v>
      </c>
      <c r="V10" s="22">
        <f t="shared" si="34"/>
        <v>3417.1428571428573</v>
      </c>
      <c r="W10" s="22">
        <f>$B$53/4*BH10/_xlfn.XLOOKUP(Q_end,cpi!A:A,cpi!B:B)</f>
        <v>123.42778161713892</v>
      </c>
      <c r="X10" s="22">
        <f t="shared" si="26"/>
        <v>3540.5706387599962</v>
      </c>
      <c r="Y10" s="22">
        <f t="shared" si="3"/>
        <v>3656.3349421036987</v>
      </c>
      <c r="Z10" s="22">
        <f t="shared" si="27"/>
        <v>0</v>
      </c>
      <c r="AA10" s="22" cm="1">
        <f t="array" ref="AA10">(Y10+Z10)*eff_invest</f>
        <v>3656.3349421036987</v>
      </c>
      <c r="AB10" s="22">
        <f>AA10*(_xlfn.XLOOKUP(Q_end,cpi!A:A,cpi!B:B)/BH10)</f>
        <v>5924.6547158164076</v>
      </c>
      <c r="AC10" s="22" cm="1">
        <f t="array" ref="AC10">INDEX('msci-indices'!C:C,MATCH($L10,'msci-indices'!$B:$B)-2)</f>
        <v>1009.870131</v>
      </c>
      <c r="AD10" s="22" cm="1">
        <f t="array" ref="AD10">INDEX('msci-indices'!D:D,MATCH($L10,'msci-indices'!$B:$B)-2)</f>
        <v>1061.067018</v>
      </c>
      <c r="AE10" s="22">
        <f t="shared" si="28"/>
        <v>142080.85693204598</v>
      </c>
      <c r="AF10" s="22" cm="1">
        <f t="array" ref="AF10">INDEX('msci-indices'!C:C,MATCH($L10,'msci-indices'!$B:$B)+1)</f>
        <v>983.50383399999998</v>
      </c>
      <c r="AG10" s="22" cm="1">
        <f t="array" ref="AG10">INDEX('msci-indices'!D:D,MATCH($L10,'msci-indices'!$B:$B)+1)</f>
        <v>1030.119647</v>
      </c>
      <c r="AH10" s="22">
        <f t="shared" si="4"/>
        <v>88.800535582528738</v>
      </c>
      <c r="AI10" s="22">
        <f t="shared" si="5"/>
        <v>138152.19290056027</v>
      </c>
      <c r="AJ10" s="22">
        <f t="shared" si="29"/>
        <v>107261.14660136301</v>
      </c>
      <c r="AK10" s="22">
        <f t="shared" si="6"/>
        <v>30891.04629919726</v>
      </c>
      <c r="AL10" s="22">
        <f>AJ10*(_xlfn.XLOOKUP(Q_end,cpi!A:A,cpi!B:B)/BH10)</f>
        <v>173803.89600467219</v>
      </c>
      <c r="AM10" s="22" cm="1">
        <f t="array" ref="AM10">SUMPRODUCT($AA$3:AA10,_xlfn.SORTBY($BH$3:BH10,_xlfn.SEQUENCE(ROWS($BH$3:BH10)),-1)/$BH$3)</f>
        <v>112442.30284826043</v>
      </c>
      <c r="AN10" s="22">
        <f t="shared" si="30"/>
        <v>25709.890052299845</v>
      </c>
      <c r="AO10" s="22">
        <f t="shared" si="7"/>
        <v>0</v>
      </c>
      <c r="AP10" s="22">
        <f t="shared" si="31"/>
        <v>138152.19290056027</v>
      </c>
      <c r="AQ10" s="22"/>
      <c r="AR10" s="10">
        <f>IF($B$10="3BR_H",
INDEX('ns-combined'!$C:$D,MATCH($L10,'ns-combined'!$B:$B,0),MATCH(Council_Area,'ns-combined'!$C$1:$D$1,0))*1000,
INDEX('s-combined'!$C:$D,MATCH($L10,'s-combined'!$B:$B,0),MATCH(Council_Area,'s-combined'!$C$1:$D$1,0))*1000)</f>
        <v>415000</v>
      </c>
      <c r="AS10" s="22">
        <f t="shared" si="35"/>
        <v>6500</v>
      </c>
      <c r="AT10" s="10">
        <v>0</v>
      </c>
      <c r="AU10" s="22">
        <f t="shared" si="8"/>
        <v>8300</v>
      </c>
      <c r="AV10" s="22">
        <f t="shared" si="9"/>
        <v>1193.125</v>
      </c>
      <c r="AW10" s="22">
        <f>SUM($AV$3:AV10)</f>
        <v>8238.3125</v>
      </c>
      <c r="AX10" s="22">
        <f t="shared" si="32"/>
        <v>391961.6875</v>
      </c>
      <c r="AY10" s="22">
        <f t="shared" si="10"/>
        <v>1196.0000000000002</v>
      </c>
      <c r="AZ10" s="24">
        <f t="shared" si="11"/>
        <v>1.1527710843373496E-2</v>
      </c>
      <c r="BA10" s="24">
        <f t="shared" si="12"/>
        <v>0.35000000000000003</v>
      </c>
      <c r="BB10" s="25">
        <f>IF(MortgageRate="Discounted",_xlfn.XLOOKUP(L10,'mortgage-rates'!$A:$A,'mortgage-rates'!$E:$E)/100,_xlfn.XLOOKUP(L10,'mortgage-rates'!$A:$A,'mortgage-rates'!$D:$D)/100)</f>
        <v>7.9699999999999993E-2</v>
      </c>
      <c r="BC10" s="10">
        <f t="shared" si="37"/>
        <v>253093.80422550466</v>
      </c>
      <c r="BD10" s="10">
        <f t="shared" si="13"/>
        <v>6000.9055808636949</v>
      </c>
      <c r="BE10" s="10">
        <f t="shared" si="14"/>
        <v>5042.8940491931799</v>
      </c>
      <c r="BF10" s="10">
        <f t="shared" si="36"/>
        <v>958.01153167051507</v>
      </c>
      <c r="BG10" s="12">
        <f t="shared" si="15"/>
        <v>7196.9055808636949</v>
      </c>
      <c r="BH10" s="22">
        <f>INDEX(cpi!B:B,MATCH($L10,cpi!A:A))</f>
        <v>89.3</v>
      </c>
      <c r="BI10" s="22">
        <f t="shared" si="16"/>
        <v>105.55555555555556</v>
      </c>
      <c r="BJ10" s="22">
        <f t="shared" si="17"/>
        <v>133.77896505407139</v>
      </c>
      <c r="BK10" s="22">
        <f t="shared" si="18"/>
        <v>148.82638625649071</v>
      </c>
      <c r="BL10" s="22">
        <f t="shared" si="19"/>
        <v>138.29319141479718</v>
      </c>
      <c r="BM10" s="22">
        <f t="shared" si="20"/>
        <v>171.37356806819878</v>
      </c>
      <c r="BN10" s="22">
        <f t="shared" si="21"/>
        <v>127.69230769230769</v>
      </c>
      <c r="BO10">
        <f t="shared" si="22"/>
        <v>123.74358974358974</v>
      </c>
    </row>
    <row r="11" spans="1:67" x14ac:dyDescent="0.25">
      <c r="A11" t="s">
        <v>7</v>
      </c>
      <c r="B11" s="1">
        <v>38777</v>
      </c>
      <c r="C11" s="1">
        <v>38777</v>
      </c>
      <c r="L11" s="1">
        <f t="shared" si="33"/>
        <v>39508</v>
      </c>
      <c r="M11" s="10">
        <f t="shared" si="0"/>
        <v>126829.86053907881</v>
      </c>
      <c r="N11" s="10">
        <f t="shared" si="23"/>
        <v>147591.51980616586</v>
      </c>
      <c r="O11" s="7">
        <f t="shared" si="24"/>
        <v>0.85933026982611438</v>
      </c>
      <c r="P11" s="7">
        <f t="shared" si="1"/>
        <v>0.49299654558470735</v>
      </c>
      <c r="Q11">
        <v>9</v>
      </c>
      <c r="R11">
        <f t="shared" si="2"/>
        <v>91</v>
      </c>
      <c r="S11" s="22"/>
      <c r="T11" s="22">
        <f>IF($B$10="3BR_H",
INDEX('3BR_H-processed'!$E:$E,MATCH($L11,'3BR_H-processed'!$B:$B,0),MATCH(Council_Area,'3BR_H-processed'!$E$1:$E$1,0)),
INDEX('2BR_F-processed'!$E:$E,MATCH($L11,'2BR_F-processed'!$B:$B,0),MATCH(Council_Area,'2BR_F-processed'!$E$1:$E$1,0)))</f>
        <v>280</v>
      </c>
      <c r="U11" s="22">
        <f t="shared" si="25"/>
        <v>280</v>
      </c>
      <c r="V11" s="22">
        <f t="shared" si="34"/>
        <v>3640</v>
      </c>
      <c r="W11" s="22">
        <f>$B$53/4*BH11/_xlfn.XLOOKUP(Q_end,cpi!A:A,cpi!B:B)</f>
        <v>124.94816862474086</v>
      </c>
      <c r="X11" s="22">
        <f t="shared" si="26"/>
        <v>3764.9481686247409</v>
      </c>
      <c r="Y11" s="22">
        <f t="shared" si="3"/>
        <v>3871.9170434010548</v>
      </c>
      <c r="Z11" s="22">
        <f t="shared" si="27"/>
        <v>0</v>
      </c>
      <c r="AA11" s="22" cm="1">
        <f t="array" ref="AA11">(Y11+Z11)*eff_invest</f>
        <v>3871.9170434010548</v>
      </c>
      <c r="AB11" s="22">
        <f>AA11*(_xlfn.XLOOKUP(Q_end,cpi!A:A,cpi!B:B)/BH11)</f>
        <v>6197.6371258864219</v>
      </c>
      <c r="AC11" s="22" cm="1">
        <f t="array" ref="AC11">INDEX('msci-indices'!C:C,MATCH($L11,'msci-indices'!$B:$B)-2)</f>
        <v>983.50383399999998</v>
      </c>
      <c r="AD11" s="22" cm="1">
        <f t="array" ref="AD11">INDEX('msci-indices'!D:D,MATCH($L11,'msci-indices'!$B:$B)-2)</f>
        <v>1030.119647</v>
      </c>
      <c r="AE11" s="22">
        <f t="shared" si="28"/>
        <v>142024.10994396132</v>
      </c>
      <c r="AF11" s="22" cm="1">
        <f t="array" ref="AF11">INDEX('msci-indices'!C:C,MATCH($L11,'msci-indices'!$B:$B)+1)</f>
        <v>894.99836200000004</v>
      </c>
      <c r="AG11" s="22" cm="1">
        <f t="array" ref="AG11">INDEX('msci-indices'!D:D,MATCH($L11,'msci-indices'!$B:$B)+1)</f>
        <v>881.21372699999995</v>
      </c>
      <c r="AH11" s="22">
        <f t="shared" si="4"/>
        <v>88.765068714975826</v>
      </c>
      <c r="AI11" s="22">
        <f t="shared" si="5"/>
        <v>126829.86053907881</v>
      </c>
      <c r="AJ11" s="22">
        <f t="shared" si="29"/>
        <v>111133.06364476407</v>
      </c>
      <c r="AK11" s="22">
        <f t="shared" si="6"/>
        <v>15696.796894314743</v>
      </c>
      <c r="AL11" s="22">
        <f>AJ11*(_xlfn.XLOOKUP(Q_end,cpi!A:A,cpi!B:B)/BH11)</f>
        <v>177886.66271457257</v>
      </c>
      <c r="AM11" s="22" cm="1">
        <f t="array" ref="AM11">SUMPRODUCT($AA$3:AA11,_xlfn.SORTBY($BH$3:BH11,_xlfn.SEQUENCE(ROWS($BH$3:BH11)),-1)/$BH$3)</f>
        <v>117586.69978316232</v>
      </c>
      <c r="AN11" s="22">
        <f t="shared" si="30"/>
        <v>9243.1607559164986</v>
      </c>
      <c r="AO11" s="22">
        <f t="shared" si="7"/>
        <v>0</v>
      </c>
      <c r="AP11" s="22">
        <f t="shared" si="31"/>
        <v>126829.86053907881</v>
      </c>
      <c r="AQ11" s="22"/>
      <c r="AR11" s="10">
        <f>IF($B$10="3BR_H",
INDEX('ns-combined'!$C:$D,MATCH($L11,'ns-combined'!$B:$B,0),MATCH(Council_Area,'ns-combined'!$C$1:$D$1,0))*1000,
INDEX('s-combined'!$C:$D,MATCH($L11,'s-combined'!$B:$B,0),MATCH(Council_Area,'s-combined'!$C$1:$D$1,0))*1000)</f>
        <v>425000</v>
      </c>
      <c r="AS11" s="22">
        <f t="shared" si="35"/>
        <v>7312.5</v>
      </c>
      <c r="AT11" s="10">
        <v>0</v>
      </c>
      <c r="AU11" s="22">
        <f t="shared" si="8"/>
        <v>8500</v>
      </c>
      <c r="AV11" s="22">
        <f t="shared" si="9"/>
        <v>1221.875</v>
      </c>
      <c r="AW11" s="22">
        <f>SUM($AV$3:AV11)</f>
        <v>9460.1875</v>
      </c>
      <c r="AX11" s="22">
        <f t="shared" si="32"/>
        <v>399727.3125</v>
      </c>
      <c r="AY11" s="22">
        <f t="shared" si="10"/>
        <v>1274.0000000000002</v>
      </c>
      <c r="AZ11" s="24">
        <f t="shared" si="11"/>
        <v>1.1990588235294119E-2</v>
      </c>
      <c r="BA11" s="24">
        <f t="shared" si="12"/>
        <v>0.35000000000000009</v>
      </c>
      <c r="BB11" s="25">
        <f>IF(MortgageRate="Discounted",_xlfn.XLOOKUP(L11,'mortgage-rates'!$A:$A,'mortgage-rates'!$E:$E)/100,_xlfn.XLOOKUP(L11,'mortgage-rates'!$A:$A,'mortgage-rates'!$D:$D)/100)</f>
        <v>8.6999999999999994E-2</v>
      </c>
      <c r="BC11" s="10">
        <f t="shared" si="37"/>
        <v>252135.79269383414</v>
      </c>
      <c r="BD11" s="10">
        <f t="shared" si="13"/>
        <v>6362.8652120257957</v>
      </c>
      <c r="BE11" s="10">
        <f t="shared" si="14"/>
        <v>5483.9534910908924</v>
      </c>
      <c r="BF11" s="10">
        <f t="shared" si="36"/>
        <v>878.91172093490331</v>
      </c>
      <c r="BG11" s="12">
        <f t="shared" si="15"/>
        <v>7636.8652120257957</v>
      </c>
      <c r="BH11" s="22">
        <f>INDEX(cpi!B:B,MATCH($L11,cpi!A:A))</f>
        <v>90.4</v>
      </c>
      <c r="BI11" s="22">
        <f t="shared" si="16"/>
        <v>106.85579196217495</v>
      </c>
      <c r="BJ11" s="22">
        <f t="shared" si="17"/>
        <v>130.28618334215415</v>
      </c>
      <c r="BK11" s="22">
        <f t="shared" si="18"/>
        <v>144.48567514971225</v>
      </c>
      <c r="BL11" s="22">
        <f t="shared" si="19"/>
        <v>134.54603088442158</v>
      </c>
      <c r="BM11" s="22">
        <f t="shared" si="20"/>
        <v>171.30512159317615</v>
      </c>
      <c r="BN11" s="22">
        <f t="shared" si="21"/>
        <v>130.76923076923077</v>
      </c>
      <c r="BO11">
        <f t="shared" si="22"/>
        <v>126.195223014769</v>
      </c>
    </row>
    <row r="12" spans="1:67" x14ac:dyDescent="0.25">
      <c r="A12" t="s">
        <v>8</v>
      </c>
      <c r="B12" s="1">
        <v>45992</v>
      </c>
      <c r="C12" s="1">
        <v>45992</v>
      </c>
      <c r="L12" s="1">
        <f t="shared" si="33"/>
        <v>39600</v>
      </c>
      <c r="M12" s="10">
        <f t="shared" si="0"/>
        <v>128723.12030462519</v>
      </c>
      <c r="N12" s="10">
        <f t="shared" si="23"/>
        <v>146436.05652710077</v>
      </c>
      <c r="O12" s="7">
        <f t="shared" si="24"/>
        <v>0.87903978949885575</v>
      </c>
      <c r="P12" s="7">
        <f t="shared" si="1"/>
        <v>0.48873694764666287</v>
      </c>
      <c r="Q12">
        <v>10</v>
      </c>
      <c r="R12">
        <f t="shared" si="2"/>
        <v>91</v>
      </c>
      <c r="S12" s="22"/>
      <c r="T12" s="22">
        <f>IF($B$10="3BR_H",
INDEX('3BR_H-processed'!$E:$E,MATCH($L12,'3BR_H-processed'!$B:$B,0),MATCH(Council_Area,'3BR_H-processed'!$E$1:$E$1,0)),
INDEX('2BR_F-processed'!$E:$E,MATCH($L12,'2BR_F-processed'!$B:$B,0),MATCH(Council_Area,'2BR_F-processed'!$E$1:$E$1,0)))</f>
        <v>280</v>
      </c>
      <c r="U12" s="22">
        <f t="shared" si="25"/>
        <v>280</v>
      </c>
      <c r="V12" s="22">
        <f t="shared" si="34"/>
        <v>3640</v>
      </c>
      <c r="W12" s="22">
        <f>$B$53/4*BH12/_xlfn.XLOOKUP(Q_end,cpi!A:A,cpi!B:B)</f>
        <v>126.60677263303387</v>
      </c>
      <c r="X12" s="22">
        <f t="shared" si="26"/>
        <v>3766.6067726330339</v>
      </c>
      <c r="Y12" s="22">
        <f t="shared" si="3"/>
        <v>3940.2113649556532</v>
      </c>
      <c r="Z12" s="22">
        <f t="shared" si="27"/>
        <v>0</v>
      </c>
      <c r="AA12" s="22" cm="1">
        <f t="array" ref="AA12">(Y12+Z12)*eff_invest</f>
        <v>3940.2113649556532</v>
      </c>
      <c r="AB12" s="22">
        <f>AA12*(_xlfn.XLOOKUP(Q_end,cpi!A:A,cpi!B:B)/BH12)</f>
        <v>6224.3295252083299</v>
      </c>
      <c r="AC12" s="22" cm="1">
        <f t="array" ref="AC12">INDEX('msci-indices'!C:C,MATCH($L12,'msci-indices'!$B:$B)-2)</f>
        <v>894.99836200000004</v>
      </c>
      <c r="AD12" s="22" cm="1">
        <f t="array" ref="AD12">INDEX('msci-indices'!D:D,MATCH($L12,'msci-indices'!$B:$B)-2)</f>
        <v>881.21372699999995</v>
      </c>
      <c r="AE12" s="22">
        <f t="shared" si="28"/>
        <v>130770.07190403447</v>
      </c>
      <c r="AF12" s="22" cm="1">
        <f t="array" ref="AF12">INDEX('msci-indices'!C:C,MATCH($L12,'msci-indices'!$B:$B)+1)</f>
        <v>881.79173700000001</v>
      </c>
      <c r="AG12" s="22" cm="1">
        <f t="array" ref="AG12">INDEX('msci-indices'!D:D,MATCH($L12,'msci-indices'!$B:$B)+1)</f>
        <v>867.41146500000002</v>
      </c>
      <c r="AH12" s="22">
        <f t="shared" si="4"/>
        <v>81.731294940021542</v>
      </c>
      <c r="AI12" s="22">
        <f t="shared" si="5"/>
        <v>128723.12030462519</v>
      </c>
      <c r="AJ12" s="22">
        <f t="shared" si="29"/>
        <v>115073.27500971973</v>
      </c>
      <c r="AK12" s="22">
        <f t="shared" si="6"/>
        <v>13649.845294905463</v>
      </c>
      <c r="AL12" s="22">
        <f>AJ12*(_xlfn.XLOOKUP(Q_end,cpi!A:A,cpi!B:B)/BH12)</f>
        <v>181780.59927845464</v>
      </c>
      <c r="AM12" s="22" cm="1">
        <f t="array" ref="AM12">SUMPRODUCT($AA$3:AA12,_xlfn.SORTBY($BH$3:BH12,_xlfn.SEQUENCE(ROWS($BH$3:BH12)),-1)/$BH$3)</f>
        <v>122946.0660505445</v>
      </c>
      <c r="AN12" s="22">
        <f t="shared" si="30"/>
        <v>5777.0542540806928</v>
      </c>
      <c r="AO12" s="22">
        <f t="shared" si="7"/>
        <v>0</v>
      </c>
      <c r="AP12" s="22">
        <f t="shared" si="31"/>
        <v>128723.12030462519</v>
      </c>
      <c r="AQ12" s="22"/>
      <c r="AR12" s="10">
        <f>IF($B$10="3BR_H",
INDEX('ns-combined'!$C:$D,MATCH($L12,'ns-combined'!$B:$B,0),MATCH(Council_Area,'ns-combined'!$C$1:$D$1,0))*1000,
INDEX('s-combined'!$C:$D,MATCH($L12,'s-combined'!$B:$B,0),MATCH(Council_Area,'s-combined'!$C$1:$D$1,0))*1000)</f>
        <v>425000</v>
      </c>
      <c r="AS12" s="22">
        <f t="shared" si="35"/>
        <v>8125</v>
      </c>
      <c r="AT12" s="10">
        <v>0</v>
      </c>
      <c r="AU12" s="22">
        <f t="shared" si="8"/>
        <v>8500</v>
      </c>
      <c r="AV12" s="22">
        <f t="shared" si="9"/>
        <v>1221.875</v>
      </c>
      <c r="AW12" s="22">
        <f>SUM($AV$3:AV12)</f>
        <v>10682.0625</v>
      </c>
      <c r="AX12" s="22">
        <f t="shared" si="32"/>
        <v>397692.9375</v>
      </c>
      <c r="AY12" s="22">
        <f t="shared" si="10"/>
        <v>1274.0000000000002</v>
      </c>
      <c r="AZ12" s="24">
        <f t="shared" si="11"/>
        <v>1.1990588235294119E-2</v>
      </c>
      <c r="BA12" s="24">
        <f t="shared" si="12"/>
        <v>0.35000000000000009</v>
      </c>
      <c r="BB12" s="25">
        <f>IF(MortgageRate="Discounted",_xlfn.XLOOKUP(L12,'mortgage-rates'!$A:$A,'mortgage-rates'!$E:$E)/100,_xlfn.XLOOKUP(L12,'mortgage-rates'!$A:$A,'mortgage-rates'!$D:$D)/100)</f>
        <v>8.8399999999999992E-2</v>
      </c>
      <c r="BC12" s="10">
        <f t="shared" si="37"/>
        <v>251256.88097289923</v>
      </c>
      <c r="BD12" s="10">
        <f t="shared" si="13"/>
        <v>6432.818137588687</v>
      </c>
      <c r="BE12" s="10">
        <f t="shared" si="14"/>
        <v>5552.7770695010722</v>
      </c>
      <c r="BF12" s="10">
        <f t="shared" si="36"/>
        <v>880.0410680876148</v>
      </c>
      <c r="BG12" s="12">
        <f t="shared" si="15"/>
        <v>7706.818137588687</v>
      </c>
      <c r="BH12" s="22">
        <f>INDEX(cpi!B:B,MATCH($L12,cpi!A:A))</f>
        <v>91.6</v>
      </c>
      <c r="BI12" s="22">
        <f t="shared" si="16"/>
        <v>108.274231678487</v>
      </c>
      <c r="BJ12" s="22">
        <f t="shared" si="17"/>
        <v>118.56173473997831</v>
      </c>
      <c r="BK12" s="22">
        <f t="shared" si="18"/>
        <v>123.59997274839783</v>
      </c>
      <c r="BL12" s="22">
        <f t="shared" si="19"/>
        <v>120.07320614250416</v>
      </c>
      <c r="BM12" s="22">
        <f t="shared" si="20"/>
        <v>157.73084638311087</v>
      </c>
      <c r="BN12" s="22">
        <f t="shared" si="21"/>
        <v>130.76923076923077</v>
      </c>
      <c r="BO12">
        <f t="shared" si="22"/>
        <v>125.55296415781217</v>
      </c>
    </row>
    <row r="13" spans="1:67" x14ac:dyDescent="0.25">
      <c r="A13" t="s">
        <v>9</v>
      </c>
      <c r="B13" s="1" t="s">
        <v>635</v>
      </c>
      <c r="C13" s="1" t="s">
        <v>635</v>
      </c>
      <c r="L13" s="1">
        <f t="shared" si="33"/>
        <v>39692</v>
      </c>
      <c r="M13" s="10">
        <f t="shared" si="0"/>
        <v>114190.82253016469</v>
      </c>
      <c r="N13" s="10">
        <f t="shared" si="23"/>
        <v>130624.84759518839</v>
      </c>
      <c r="O13" s="7">
        <f t="shared" si="24"/>
        <v>0.87418913501087181</v>
      </c>
      <c r="P13" s="7">
        <f t="shared" si="1"/>
        <v>0.49576291857443705</v>
      </c>
      <c r="Q13">
        <v>11</v>
      </c>
      <c r="R13">
        <f t="shared" si="2"/>
        <v>92</v>
      </c>
      <c r="S13" s="22"/>
      <c r="T13" s="22">
        <f>IF($B$10="3BR_H",
INDEX('3BR_H-processed'!$E:$E,MATCH($L13,'3BR_H-processed'!$B:$B,0),MATCH(Council_Area,'3BR_H-processed'!$E$1:$E$1,0)),
INDEX('2BR_F-processed'!$E:$E,MATCH($L13,'2BR_F-processed'!$B:$B,0),MATCH(Council_Area,'2BR_F-processed'!$E$1:$E$1,0)))</f>
        <v>285</v>
      </c>
      <c r="U13" s="22">
        <f t="shared" si="25"/>
        <v>280</v>
      </c>
      <c r="V13" s="22">
        <f t="shared" si="34"/>
        <v>3680</v>
      </c>
      <c r="W13" s="22">
        <f>$B$53/4*BH13/_xlfn.XLOOKUP(Q_end,cpi!A:A,cpi!B:B)</f>
        <v>127.98894263994472</v>
      </c>
      <c r="X13" s="22">
        <f t="shared" si="26"/>
        <v>3807.9889426399445</v>
      </c>
      <c r="Y13" s="22">
        <f t="shared" si="3"/>
        <v>3873.0795680703591</v>
      </c>
      <c r="Z13" s="22">
        <f t="shared" si="27"/>
        <v>0</v>
      </c>
      <c r="AA13" s="22" cm="1">
        <f t="array" ref="AA13">(Y13+Z13)*eff_invest</f>
        <v>3873.0795680703591</v>
      </c>
      <c r="AB13" s="22">
        <f>AA13*(_xlfn.XLOOKUP(Q_end,cpi!A:A,cpi!B:B)/BH13)</f>
        <v>6052.2096490257127</v>
      </c>
      <c r="AC13" s="22" cm="1">
        <f t="array" ref="AC13">INDEX('msci-indices'!C:C,MATCH($L13,'msci-indices'!$B:$B)-2)</f>
        <v>881.79173700000001</v>
      </c>
      <c r="AD13" s="22" cm="1">
        <f t="array" ref="AD13">INDEX('msci-indices'!D:D,MATCH($L13,'msci-indices'!$B:$B)-2)</f>
        <v>867.41146500000002</v>
      </c>
      <c r="AE13" s="22">
        <f t="shared" si="28"/>
        <v>132596.19987269555</v>
      </c>
      <c r="AF13" s="22" cm="1">
        <f t="array" ref="AF13">INDEX('msci-indices'!C:C,MATCH($L13,'msci-indices'!$B:$B)+1)</f>
        <v>747.65997700000003</v>
      </c>
      <c r="AG13" s="22" cm="1">
        <f t="array" ref="AG13">INDEX('msci-indices'!D:D,MATCH($L13,'msci-indices'!$B:$B)+1)</f>
        <v>775.74397499999998</v>
      </c>
      <c r="AH13" s="22">
        <f t="shared" si="4"/>
        <v>82.872624920434717</v>
      </c>
      <c r="AI13" s="22">
        <f t="shared" si="5"/>
        <v>114190.82253016469</v>
      </c>
      <c r="AJ13" s="22">
        <f t="shared" si="29"/>
        <v>118946.35457779009</v>
      </c>
      <c r="AK13" s="22">
        <f t="shared" si="6"/>
        <v>-4755.5320476253983</v>
      </c>
      <c r="AL13" s="22">
        <f>AJ13*(_xlfn.XLOOKUP(Q_end,cpi!A:A,cpi!B:B)/BH13)</f>
        <v>185869.73550114714</v>
      </c>
      <c r="AM13" s="22" cm="1">
        <f t="array" ref="AM13">SUMPRODUCT($AA$3:AA13,_xlfn.SORTBY($BH$3:BH13,_xlfn.SEQUENCE(ROWS($BH$3:BH13)),-1)/$BH$3)</f>
        <v>128094.47198793081</v>
      </c>
      <c r="AN13" s="22">
        <f t="shared" si="30"/>
        <v>-13903.649457766121</v>
      </c>
      <c r="AO13" s="22">
        <f t="shared" si="7"/>
        <v>0</v>
      </c>
      <c r="AP13" s="22">
        <f t="shared" si="31"/>
        <v>114190.82253016469</v>
      </c>
      <c r="AQ13" s="22"/>
      <c r="AR13" s="10">
        <f>IF($B$10="3BR_H",
INDEX('ns-combined'!$C:$D,MATCH($L13,'ns-combined'!$B:$B,0),MATCH(Council_Area,'ns-combined'!$C$1:$D$1,0))*1000,
INDEX('s-combined'!$C:$D,MATCH($L13,'s-combined'!$B:$B,0),MATCH(Council_Area,'s-combined'!$C$1:$D$1,0))*1000)</f>
        <v>410000</v>
      </c>
      <c r="AS13" s="22">
        <f t="shared" si="35"/>
        <v>8937.5</v>
      </c>
      <c r="AT13" s="10">
        <v>0</v>
      </c>
      <c r="AU13" s="22">
        <f t="shared" si="8"/>
        <v>8200</v>
      </c>
      <c r="AV13" s="22">
        <f t="shared" si="9"/>
        <v>1178.75</v>
      </c>
      <c r="AW13" s="22">
        <f>SUM($AV$3:AV13)</f>
        <v>11860.8125</v>
      </c>
      <c r="AX13" s="22">
        <f t="shared" si="32"/>
        <v>381001.6875</v>
      </c>
      <c r="AY13" s="22">
        <f t="shared" si="10"/>
        <v>1288.0000000000002</v>
      </c>
      <c r="AZ13" s="24">
        <f t="shared" si="11"/>
        <v>1.2565853658536588E-2</v>
      </c>
      <c r="BA13" s="24">
        <f t="shared" si="12"/>
        <v>0.35000000000000009</v>
      </c>
      <c r="BB13" s="25">
        <f>IF(MortgageRate="Discounted",_xlfn.XLOOKUP(L13,'mortgage-rates'!$A:$A,'mortgage-rates'!$E:$E)/100,_xlfn.XLOOKUP(L13,'mortgage-rates'!$A:$A,'mortgage-rates'!$D:$D)/100)</f>
        <v>8.7599999999999997E-2</v>
      </c>
      <c r="BC13" s="10">
        <f t="shared" si="37"/>
        <v>250376.83990481161</v>
      </c>
      <c r="BD13" s="10">
        <f t="shared" si="13"/>
        <v>6393.0685107103036</v>
      </c>
      <c r="BE13" s="10">
        <f t="shared" si="14"/>
        <v>5483.2527939153742</v>
      </c>
      <c r="BF13" s="10">
        <f t="shared" si="36"/>
        <v>909.81571679492936</v>
      </c>
      <c r="BG13" s="12">
        <f t="shared" si="15"/>
        <v>7681.0685107103036</v>
      </c>
      <c r="BH13" s="22">
        <f>INDEX(cpi!B:B,MATCH($L13,cpi!A:A))</f>
        <v>92.6</v>
      </c>
      <c r="BI13" s="22">
        <f t="shared" si="16"/>
        <v>109.45626477541371</v>
      </c>
      <c r="BJ13" s="22">
        <f t="shared" si="17"/>
        <v>116.8122339179194</v>
      </c>
      <c r="BK13" s="22">
        <f t="shared" si="18"/>
        <v>121.6640528293176</v>
      </c>
      <c r="BL13" s="22">
        <f t="shared" si="19"/>
        <v>118.26777959133886</v>
      </c>
      <c r="BM13" s="22">
        <f t="shared" si="20"/>
        <v>159.93346588088218</v>
      </c>
      <c r="BN13" s="22">
        <f t="shared" si="21"/>
        <v>126.15384615384616</v>
      </c>
      <c r="BO13">
        <f t="shared" si="22"/>
        <v>120.28348181253145</v>
      </c>
    </row>
    <row r="14" spans="1:67" x14ac:dyDescent="0.25">
      <c r="A14" t="s">
        <v>333</v>
      </c>
      <c r="B14" s="4">
        <v>0.01</v>
      </c>
      <c r="C14" s="4">
        <v>0.01</v>
      </c>
      <c r="L14" s="1">
        <f t="shared" si="33"/>
        <v>39783</v>
      </c>
      <c r="M14" s="10">
        <f t="shared" si="0"/>
        <v>92103.954057534778</v>
      </c>
      <c r="N14" s="10">
        <f t="shared" si="23"/>
        <v>118795.03831198331</v>
      </c>
      <c r="O14" s="7">
        <f t="shared" si="24"/>
        <v>0.77531818976856959</v>
      </c>
      <c r="P14" s="7">
        <f t="shared" si="1"/>
        <v>0.58820161747854427</v>
      </c>
      <c r="Q14">
        <v>12</v>
      </c>
      <c r="R14">
        <f t="shared" si="2"/>
        <v>92</v>
      </c>
      <c r="S14" s="22"/>
      <c r="T14" s="22">
        <f>IF($B$10="3BR_H",
INDEX('3BR_H-processed'!$E:$E,MATCH($L14,'3BR_H-processed'!$B:$B,0),MATCH(Council_Area,'3BR_H-processed'!$E$1:$E$1,0)),
INDEX('2BR_F-processed'!$E:$E,MATCH($L14,'2BR_F-processed'!$B:$B,0),MATCH(Council_Area,'2BR_F-processed'!$E$1:$E$1,0)))</f>
        <v>300</v>
      </c>
      <c r="U14" s="22">
        <f t="shared" si="25"/>
        <v>280</v>
      </c>
      <c r="V14" s="22">
        <f t="shared" si="34"/>
        <v>3680</v>
      </c>
      <c r="W14" s="22">
        <f>$B$53/4*BH14/_xlfn.XLOOKUP(Q_end,cpi!A:A,cpi!B:B)</f>
        <v>127.98894263994472</v>
      </c>
      <c r="X14" s="22">
        <f t="shared" si="26"/>
        <v>3807.9889426399445</v>
      </c>
      <c r="Y14" s="22">
        <f t="shared" si="3"/>
        <v>2665.9628954453151</v>
      </c>
      <c r="Z14" s="22">
        <f t="shared" si="27"/>
        <v>0</v>
      </c>
      <c r="AA14" s="22" cm="1">
        <f t="array" ref="AA14">(Y14+Z14)*eff_invest</f>
        <v>2665.9628954453151</v>
      </c>
      <c r="AB14" s="22">
        <f>AA14*(_xlfn.XLOOKUP(Q_end,cpi!A:A,cpi!B:B)/BH14)</f>
        <v>4165.9269003340942</v>
      </c>
      <c r="AC14" s="22" cm="1">
        <f t="array" ref="AC14">INDEX('msci-indices'!C:C,MATCH($L14,'msci-indices'!$B:$B)-2)</f>
        <v>747.65997700000003</v>
      </c>
      <c r="AD14" s="22" cm="1">
        <f t="array" ref="AD14">INDEX('msci-indices'!D:D,MATCH($L14,'msci-indices'!$B:$B)-2)</f>
        <v>775.74397499999998</v>
      </c>
      <c r="AE14" s="22">
        <f t="shared" si="28"/>
        <v>116856.78542561001</v>
      </c>
      <c r="AF14" s="22" cm="1">
        <f t="array" ref="AF14">INDEX('msci-indices'!C:C,MATCH($L14,'msci-indices'!$B:$B)+1)</f>
        <v>582.01081599999998</v>
      </c>
      <c r="AG14" s="22" cm="1">
        <f t="array" ref="AG14">INDEX('msci-indices'!D:D,MATCH($L14,'msci-indices'!$B:$B)+1)</f>
        <v>630.66129899999999</v>
      </c>
      <c r="AH14" s="22">
        <f t="shared" si="4"/>
        <v>73.035490891006262</v>
      </c>
      <c r="AI14" s="22">
        <f t="shared" si="5"/>
        <v>92103.954057534778</v>
      </c>
      <c r="AJ14" s="22">
        <f t="shared" si="29"/>
        <v>121612.31747323541</v>
      </c>
      <c r="AK14" s="22">
        <f t="shared" si="6"/>
        <v>-29508.363415700631</v>
      </c>
      <c r="AL14" s="22">
        <f>AJ14*(_xlfn.XLOOKUP(Q_end,cpi!A:A,cpi!B:B)/BH14)</f>
        <v>190035.66240148124</v>
      </c>
      <c r="AM14" s="22" cm="1">
        <f t="array" ref="AM14">SUMPRODUCT($AA$3:AA14,_xlfn.SORTBY($BH$3:BH14,_xlfn.SEQUENCE(ROWS($BH$3:BH14)),-1)/$BH$3)</f>
        <v>131097.83134927184</v>
      </c>
      <c r="AN14" s="22">
        <f t="shared" si="30"/>
        <v>-38993.877291737066</v>
      </c>
      <c r="AO14" s="22">
        <f t="shared" si="7"/>
        <v>0</v>
      </c>
      <c r="AP14" s="22">
        <f t="shared" si="31"/>
        <v>92103.954057534778</v>
      </c>
      <c r="AQ14" s="22"/>
      <c r="AR14" s="10">
        <f>IF($B$10="3BR_H",
INDEX('ns-combined'!$C:$D,MATCH($L14,'ns-combined'!$B:$B,0),MATCH(Council_Area,'ns-combined'!$C$1:$D$1,0))*1000,
INDEX('s-combined'!$C:$D,MATCH($L14,'s-combined'!$B:$B,0),MATCH(Council_Area,'s-combined'!$C$1:$D$1,0))*1000)</f>
        <v>399000</v>
      </c>
      <c r="AS14" s="22">
        <f t="shared" si="35"/>
        <v>9750</v>
      </c>
      <c r="AT14" s="10">
        <v>0</v>
      </c>
      <c r="AU14" s="22">
        <f t="shared" si="8"/>
        <v>7980</v>
      </c>
      <c r="AV14" s="22">
        <f t="shared" si="9"/>
        <v>1147.125</v>
      </c>
      <c r="AW14" s="22">
        <f>SUM($AV$3:AV14)</f>
        <v>13007.9375</v>
      </c>
      <c r="AX14" s="22">
        <f t="shared" si="32"/>
        <v>368262.0625</v>
      </c>
      <c r="AY14" s="22">
        <f t="shared" si="10"/>
        <v>1288.0000000000002</v>
      </c>
      <c r="AZ14" s="24">
        <f t="shared" si="11"/>
        <v>1.2912280701754389E-2</v>
      </c>
      <c r="BA14" s="24">
        <f t="shared" si="12"/>
        <v>0.35000000000000009</v>
      </c>
      <c r="BB14" s="25">
        <f>IF(MortgageRate="Discounted",_xlfn.XLOOKUP(L14,'mortgage-rates'!$A:$A,'mortgage-rates'!$E:$E)/100,_xlfn.XLOOKUP(L14,'mortgage-rates'!$A:$A,'mortgage-rates'!$D:$D)/100)</f>
        <v>6.2E-2</v>
      </c>
      <c r="BC14" s="10">
        <f t="shared" si="37"/>
        <v>249467.02418801669</v>
      </c>
      <c r="BD14" s="10">
        <f t="shared" si="13"/>
        <v>5185.9518380852596</v>
      </c>
      <c r="BE14" s="10">
        <f t="shared" si="14"/>
        <v>3866.7388749142588</v>
      </c>
      <c r="BF14" s="10">
        <f t="shared" si="36"/>
        <v>1319.2129631710009</v>
      </c>
      <c r="BG14" s="12">
        <f t="shared" si="15"/>
        <v>6473.9518380852596</v>
      </c>
      <c r="BH14" s="22">
        <f>INDEX(cpi!B:B,MATCH($L14,cpi!A:A))</f>
        <v>92.6</v>
      </c>
      <c r="BI14" s="22">
        <f t="shared" si="16"/>
        <v>109.45626477541371</v>
      </c>
      <c r="BJ14" s="22">
        <f t="shared" si="17"/>
        <v>99.043604583459881</v>
      </c>
      <c r="BK14" s="22">
        <f t="shared" si="18"/>
        <v>108.80667337781247</v>
      </c>
      <c r="BL14" s="22">
        <f t="shared" si="19"/>
        <v>101.97252522176566</v>
      </c>
      <c r="BM14" s="22">
        <f t="shared" si="20"/>
        <v>140.94906733948494</v>
      </c>
      <c r="BN14" s="22">
        <f t="shared" si="21"/>
        <v>122.76923076923077</v>
      </c>
      <c r="BO14">
        <f t="shared" si="22"/>
        <v>116.26154043468395</v>
      </c>
    </row>
    <row r="15" spans="1:67" x14ac:dyDescent="0.25">
      <c r="A15" t="s">
        <v>489</v>
      </c>
      <c r="B15" s="4">
        <v>1.15E-2</v>
      </c>
      <c r="C15" s="4">
        <v>1.15E-2</v>
      </c>
      <c r="L15" s="1">
        <f t="shared" si="33"/>
        <v>39873</v>
      </c>
      <c r="M15" s="10">
        <f t="shared" si="0"/>
        <v>85876.736878261247</v>
      </c>
      <c r="N15" s="10">
        <f t="shared" si="23"/>
        <v>119131.75127515433</v>
      </c>
      <c r="O15" s="7">
        <f t="shared" si="24"/>
        <v>0.72085515371896813</v>
      </c>
      <c r="P15" s="7">
        <f t="shared" si="1"/>
        <v>0.67830310554562656</v>
      </c>
      <c r="Q15">
        <v>13</v>
      </c>
      <c r="R15">
        <f t="shared" si="2"/>
        <v>90</v>
      </c>
      <c r="S15" s="22"/>
      <c r="T15" s="22">
        <f>IF($B$10="3BR_H",
INDEX('3BR_H-processed'!$E:$E,MATCH($L15,'3BR_H-processed'!$B:$B,0),MATCH(Council_Area,'3BR_H-processed'!$E$1:$E$1,0)),
INDEX('2BR_F-processed'!$E:$E,MATCH($L15,'2BR_F-processed'!$B:$B,0),MATCH(Council_Area,'2BR_F-processed'!$E$1:$E$1,0)))</f>
        <v>315</v>
      </c>
      <c r="U15" s="22">
        <f t="shared" si="25"/>
        <v>315</v>
      </c>
      <c r="V15" s="22">
        <f t="shared" si="34"/>
        <v>4050</v>
      </c>
      <c r="W15" s="22">
        <f>$B$53/4*BH15/_xlfn.XLOOKUP(Q_end,cpi!A:A,cpi!B:B)</f>
        <v>127.85072563925364</v>
      </c>
      <c r="X15" s="22">
        <f t="shared" si="26"/>
        <v>4177.8507256392541</v>
      </c>
      <c r="Y15" s="22">
        <f t="shared" si="3"/>
        <v>1981.4174414710733</v>
      </c>
      <c r="Z15" s="22">
        <f t="shared" si="27"/>
        <v>0</v>
      </c>
      <c r="AA15" s="22" cm="1">
        <f t="array" ref="AA15">(Y15+Z15)*eff_invest</f>
        <v>1981.4174414710733</v>
      </c>
      <c r="AB15" s="22">
        <f>AA15*(_xlfn.XLOOKUP(Q_end,cpi!A:A,cpi!B:B)/BH15)</f>
        <v>3099.579500333668</v>
      </c>
      <c r="AC15" s="22" cm="1">
        <f t="array" ref="AC15">INDEX('msci-indices'!C:C,MATCH($L15,'msci-indices'!$B:$B)-2)</f>
        <v>582.01081599999998</v>
      </c>
      <c r="AD15" s="22" cm="1">
        <f t="array" ref="AD15">INDEX('msci-indices'!D:D,MATCH($L15,'msci-indices'!$B:$B)-2)</f>
        <v>630.66129899999999</v>
      </c>
      <c r="AE15" s="22">
        <f t="shared" si="28"/>
        <v>94085.371499005851</v>
      </c>
      <c r="AF15" s="22" cm="1">
        <f t="array" ref="AF15">INDEX('msci-indices'!C:C,MATCH($L15,'msci-indices'!$B:$B)+1)</f>
        <v>513.55423199999996</v>
      </c>
      <c r="AG15" s="22" cm="1">
        <f t="array" ref="AG15">INDEX('msci-indices'!D:D,MATCH($L15,'msci-indices'!$B:$B)+1)</f>
        <v>621.64895000000001</v>
      </c>
      <c r="AH15" s="22">
        <f t="shared" si="4"/>
        <v>58.803357186878657</v>
      </c>
      <c r="AI15" s="22">
        <f t="shared" si="5"/>
        <v>85876.736878261247</v>
      </c>
      <c r="AJ15" s="22">
        <f t="shared" si="29"/>
        <v>123593.73491470648</v>
      </c>
      <c r="AK15" s="22">
        <f t="shared" si="6"/>
        <v>-37716.998036445235</v>
      </c>
      <c r="AL15" s="22">
        <f>AJ15*(_xlfn.XLOOKUP(Q_end,cpi!A:A,cpi!B:B)/BH15)</f>
        <v>193340.68586116785</v>
      </c>
      <c r="AM15" s="22" cm="1">
        <f t="array" ref="AM15">SUMPRODUCT($AA$3:AA15,_xlfn.SORTBY($BH$3:BH15,_xlfn.SEQUENCE(ROWS($BH$3:BH15)),-1)/$BH$3)</f>
        <v>133303.4263573763</v>
      </c>
      <c r="AN15" s="22">
        <f t="shared" si="30"/>
        <v>-47426.689479115055</v>
      </c>
      <c r="AO15" s="22">
        <f t="shared" si="7"/>
        <v>0</v>
      </c>
      <c r="AP15" s="22">
        <f t="shared" si="31"/>
        <v>85876.736878261247</v>
      </c>
      <c r="AQ15" s="22"/>
      <c r="AR15" s="10">
        <f>IF($B$10="3BR_H",
INDEX('ns-combined'!$C:$D,MATCH($L15,'ns-combined'!$B:$B,0),MATCH(Council_Area,'ns-combined'!$C$1:$D$1,0))*1000,
INDEX('s-combined'!$C:$D,MATCH($L15,'s-combined'!$B:$B,0),MATCH(Council_Area,'s-combined'!$C$1:$D$1,0))*1000)</f>
        <v>400000</v>
      </c>
      <c r="AS15" s="22">
        <f t="shared" si="35"/>
        <v>10562.5</v>
      </c>
      <c r="AT15" s="10">
        <v>0</v>
      </c>
      <c r="AU15" s="22">
        <f t="shared" si="8"/>
        <v>8000</v>
      </c>
      <c r="AV15" s="22">
        <f t="shared" si="9"/>
        <v>1150</v>
      </c>
      <c r="AW15" s="22">
        <f>SUM($AV$3:AV15)</f>
        <v>14157.9375</v>
      </c>
      <c r="AX15" s="22">
        <f t="shared" si="32"/>
        <v>367279.5625</v>
      </c>
      <c r="AY15" s="22">
        <f t="shared" si="10"/>
        <v>1417.5000000000002</v>
      </c>
      <c r="AZ15" s="24">
        <f t="shared" si="11"/>
        <v>1.4175000000000002E-2</v>
      </c>
      <c r="BA15" s="24">
        <f t="shared" si="12"/>
        <v>0.35000000000000003</v>
      </c>
      <c r="BB15" s="25">
        <f>IF(MortgageRate="Discounted",_xlfn.XLOOKUP(L15,'mortgage-rates'!$A:$A,'mortgage-rates'!$E:$E)/100,_xlfn.XLOOKUP(L15,'mortgage-rates'!$A:$A,'mortgage-rates'!$D:$D)/100)</f>
        <v>5.1799999999999999E-2</v>
      </c>
      <c r="BC15" s="10">
        <f t="shared" si="37"/>
        <v>248147.81122484567</v>
      </c>
      <c r="BD15" s="10">
        <f t="shared" si="13"/>
        <v>4741.7681671103273</v>
      </c>
      <c r="BE15" s="10">
        <f t="shared" si="14"/>
        <v>3213.5141553617514</v>
      </c>
      <c r="BF15" s="10">
        <f t="shared" si="36"/>
        <v>1528.254011748576</v>
      </c>
      <c r="BG15" s="12">
        <f t="shared" si="15"/>
        <v>6159.2681671103273</v>
      </c>
      <c r="BH15" s="22">
        <f>INDEX(cpi!B:B,MATCH($L15,cpi!A:A))</f>
        <v>92.5</v>
      </c>
      <c r="BI15" s="22">
        <f t="shared" si="16"/>
        <v>109.33806146572105</v>
      </c>
      <c r="BJ15" s="22">
        <f t="shared" si="17"/>
        <v>77.099819298205958</v>
      </c>
      <c r="BK15" s="22">
        <f t="shared" si="18"/>
        <v>88.457223238272576</v>
      </c>
      <c r="BL15" s="22">
        <f t="shared" si="19"/>
        <v>80.507040480225939</v>
      </c>
      <c r="BM15" s="22">
        <f t="shared" si="20"/>
        <v>113.48288689248452</v>
      </c>
      <c r="BN15" s="22">
        <f t="shared" si="21"/>
        <v>123.07692307692308</v>
      </c>
      <c r="BO15">
        <f t="shared" si="22"/>
        <v>115.95136196367439</v>
      </c>
    </row>
    <row r="16" spans="1:67" x14ac:dyDescent="0.25">
      <c r="A16" t="s">
        <v>55</v>
      </c>
      <c r="B16" s="23">
        <v>25</v>
      </c>
      <c r="C16" s="23">
        <v>25</v>
      </c>
      <c r="L16" s="1">
        <f t="shared" si="33"/>
        <v>39965</v>
      </c>
      <c r="M16" s="10">
        <f t="shared" si="0"/>
        <v>104103.21594076532</v>
      </c>
      <c r="N16" s="10">
        <f t="shared" si="23"/>
        <v>138240.00528690289</v>
      </c>
      <c r="O16" s="7">
        <f t="shared" si="24"/>
        <v>0.75306142910447538</v>
      </c>
      <c r="P16" s="7">
        <f t="shared" si="1"/>
        <v>0.68584496907293002</v>
      </c>
      <c r="Q16">
        <v>14</v>
      </c>
      <c r="R16">
        <f t="shared" si="2"/>
        <v>91</v>
      </c>
      <c r="S16" s="22"/>
      <c r="T16" s="22">
        <f>IF($B$10="3BR_H",
INDEX('3BR_H-processed'!$E:$E,MATCH($L16,'3BR_H-processed'!$B:$B,0),MATCH(Council_Area,'3BR_H-processed'!$E$1:$E$1,0)),
INDEX('2BR_F-processed'!$E:$E,MATCH($L16,'2BR_F-processed'!$B:$B,0),MATCH(Council_Area,'2BR_F-processed'!$E$1:$E$1,0)))</f>
        <v>315</v>
      </c>
      <c r="U16" s="22">
        <f t="shared" si="25"/>
        <v>315</v>
      </c>
      <c r="V16" s="22">
        <f t="shared" si="34"/>
        <v>4095</v>
      </c>
      <c r="W16" s="22">
        <f>$B$53/4*BH16/_xlfn.XLOOKUP(Q_end,cpi!A:A,cpi!B:B)</f>
        <v>128.54181064270907</v>
      </c>
      <c r="X16" s="22">
        <f t="shared" si="26"/>
        <v>4223.5418106427087</v>
      </c>
      <c r="Y16" s="22">
        <f t="shared" si="3"/>
        <v>1934.6163753854726</v>
      </c>
      <c r="Z16" s="22">
        <f t="shared" si="27"/>
        <v>0</v>
      </c>
      <c r="AA16" s="22" cm="1">
        <f t="array" ref="AA16">(Y16+Z16)*eff_invest</f>
        <v>1934.6163753854726</v>
      </c>
      <c r="AB16" s="22">
        <f>AA16*(_xlfn.XLOOKUP(Q_end,cpi!A:A,cpi!B:B)/BH16)</f>
        <v>3010.0966614868585</v>
      </c>
      <c r="AC16" s="22" cm="1">
        <f t="array" ref="AC16">INDEX('msci-indices'!C:C,MATCH($L16,'msci-indices'!$B:$B)-2)</f>
        <v>513.55423199999996</v>
      </c>
      <c r="AD16" s="22" cm="1">
        <f t="array" ref="AD16">INDEX('msci-indices'!D:D,MATCH($L16,'msci-indices'!$B:$B)-2)</f>
        <v>621.64895000000001</v>
      </c>
      <c r="AE16" s="22">
        <f t="shared" si="28"/>
        <v>87811.353253646725</v>
      </c>
      <c r="AF16" s="22" cm="1">
        <f t="array" ref="AF16">INDEX('msci-indices'!C:C,MATCH($L16,'msci-indices'!$B:$B)+1)</f>
        <v>624.35597900000005</v>
      </c>
      <c r="AG16" s="22" cm="1">
        <f t="array" ref="AG16">INDEX('msci-indices'!D:D,MATCH($L16,'msci-indices'!$B:$B)+1)</f>
        <v>694.44244900000001</v>
      </c>
      <c r="AH16" s="22">
        <f t="shared" si="4"/>
        <v>54.882095783529202</v>
      </c>
      <c r="AI16" s="22">
        <f t="shared" si="5"/>
        <v>104103.21594076532</v>
      </c>
      <c r="AJ16" s="22">
        <f t="shared" si="29"/>
        <v>125528.35129009196</v>
      </c>
      <c r="AK16" s="22">
        <f t="shared" si="6"/>
        <v>-21425.135349326636</v>
      </c>
      <c r="AL16" s="22">
        <f>AJ16*(_xlfn.XLOOKUP(Q_end,cpi!A:A,cpi!B:B)/BH16)</f>
        <v>195311.31646963768</v>
      </c>
      <c r="AM16" s="22" cm="1">
        <f t="array" ref="AM16">SUMPRODUCT($AA$3:AA16,_xlfn.SORTBY($BH$3:BH16,_xlfn.SEQUENCE(ROWS($BH$3:BH16)),-1)/$BH$3)</f>
        <v>136030.25783641794</v>
      </c>
      <c r="AN16" s="22">
        <f t="shared" si="30"/>
        <v>-31927.041895652612</v>
      </c>
      <c r="AO16" s="22">
        <f t="shared" si="7"/>
        <v>0</v>
      </c>
      <c r="AP16" s="22">
        <f t="shared" si="31"/>
        <v>104103.21594076532</v>
      </c>
      <c r="AQ16" s="22"/>
      <c r="AR16" s="10">
        <f>IF($B$10="3BR_H",
INDEX('ns-combined'!$C:$D,MATCH($L16,'ns-combined'!$B:$B,0),MATCH(Council_Area,'ns-combined'!$C$1:$D$1,0))*1000,
INDEX('s-combined'!$C:$D,MATCH($L16,'s-combined'!$B:$B,0),MATCH(Council_Area,'s-combined'!$C$1:$D$1,0))*1000)</f>
        <v>420000</v>
      </c>
      <c r="AS16" s="22">
        <f t="shared" si="35"/>
        <v>11375</v>
      </c>
      <c r="AT16" s="10">
        <v>0</v>
      </c>
      <c r="AU16" s="22">
        <f t="shared" si="8"/>
        <v>8400</v>
      </c>
      <c r="AV16" s="22">
        <f t="shared" si="9"/>
        <v>1207.5</v>
      </c>
      <c r="AW16" s="22">
        <f>SUM($AV$3:AV16)</f>
        <v>15365.4375</v>
      </c>
      <c r="AX16" s="22">
        <f t="shared" si="32"/>
        <v>384859.5625</v>
      </c>
      <c r="AY16" s="22">
        <f t="shared" si="10"/>
        <v>1433.2500000000002</v>
      </c>
      <c r="AZ16" s="24">
        <f t="shared" si="11"/>
        <v>1.3650000000000002E-2</v>
      </c>
      <c r="BA16" s="24">
        <f t="shared" si="12"/>
        <v>0.35000000000000003</v>
      </c>
      <c r="BB16" s="25">
        <f>IF(MortgageRate="Discounted",_xlfn.XLOOKUP(L16,'mortgage-rates'!$A:$A,'mortgage-rates'!$E:$E)/100,_xlfn.XLOOKUP(L16,'mortgage-rates'!$A:$A,'mortgage-rates'!$D:$D)/100)</f>
        <v>5.1399999999999994E-2</v>
      </c>
      <c r="BC16" s="10">
        <f t="shared" si="37"/>
        <v>246619.55721309711</v>
      </c>
      <c r="BD16" s="10">
        <f t="shared" si="13"/>
        <v>4724.9081860281813</v>
      </c>
      <c r="BE16" s="10">
        <f t="shared" si="14"/>
        <v>3169.0613101882977</v>
      </c>
      <c r="BF16" s="10">
        <f t="shared" si="36"/>
        <v>1555.8468758398835</v>
      </c>
      <c r="BG16" s="12">
        <f t="shared" si="15"/>
        <v>6158.1581860281813</v>
      </c>
      <c r="BH16" s="22">
        <f>INDEX(cpi!B:B,MATCH($L16,cpi!A:A))</f>
        <v>93</v>
      </c>
      <c r="BI16" s="22">
        <f t="shared" si="16"/>
        <v>109.9290780141844</v>
      </c>
      <c r="BJ16" s="22">
        <f t="shared" si="17"/>
        <v>68.031276049393796</v>
      </c>
      <c r="BK16" s="22">
        <f t="shared" si="18"/>
        <v>87.193141601016094</v>
      </c>
      <c r="BL16" s="22">
        <f t="shared" si="19"/>
        <v>73.779835714880477</v>
      </c>
      <c r="BM16" s="22">
        <f t="shared" si="20"/>
        <v>105.91535868320281</v>
      </c>
      <c r="BN16" s="22">
        <f t="shared" si="21"/>
        <v>129.23076923076923</v>
      </c>
      <c r="BO16">
        <f t="shared" si="22"/>
        <v>121.50142559761645</v>
      </c>
    </row>
    <row r="17" spans="1:67" x14ac:dyDescent="0.25">
      <c r="L17" s="1">
        <f t="shared" si="33"/>
        <v>40057</v>
      </c>
      <c r="M17" s="10">
        <f t="shared" si="0"/>
        <v>126408.53660041167</v>
      </c>
      <c r="N17" s="10">
        <f t="shared" si="23"/>
        <v>147547.10216274278</v>
      </c>
      <c r="O17" s="7">
        <f t="shared" si="24"/>
        <v>0.85673344137239971</v>
      </c>
      <c r="P17" s="7">
        <f t="shared" si="1"/>
        <v>0.69154078761806492</v>
      </c>
      <c r="Q17">
        <v>15</v>
      </c>
      <c r="R17">
        <f t="shared" si="2"/>
        <v>92</v>
      </c>
      <c r="S17" s="22"/>
      <c r="T17" s="22">
        <f>IF($B$10="3BR_H",
INDEX('3BR_H-processed'!$E:$E,MATCH($L17,'3BR_H-processed'!$B:$B,0),MATCH(Council_Area,'3BR_H-processed'!$E$1:$E$1,0)),
INDEX('2BR_F-processed'!$E:$E,MATCH($L17,'2BR_F-processed'!$B:$B,0),MATCH(Council_Area,'2BR_F-processed'!$E$1:$E$1,0)))</f>
        <v>325</v>
      </c>
      <c r="U17" s="22">
        <f t="shared" si="25"/>
        <v>315</v>
      </c>
      <c r="V17" s="22">
        <f t="shared" si="34"/>
        <v>4140</v>
      </c>
      <c r="W17" s="22">
        <f>$B$53/4*BH17/_xlfn.XLOOKUP(Q_end,cpi!A:A,cpi!B:B)</f>
        <v>129.50932964754665</v>
      </c>
      <c r="X17" s="22">
        <f t="shared" si="26"/>
        <v>4269.509329647547</v>
      </c>
      <c r="Y17" s="22">
        <f t="shared" si="3"/>
        <v>1904.3988563806342</v>
      </c>
      <c r="Z17" s="22">
        <f t="shared" si="27"/>
        <v>0</v>
      </c>
      <c r="AA17" s="22" cm="1">
        <f t="array" ref="AA17">(Y17+Z17)*eff_invest</f>
        <v>1904.3988563806342</v>
      </c>
      <c r="AB17" s="22">
        <f>AA17*(_xlfn.XLOOKUP(Q_end,cpi!A:A,cpi!B:B)/BH17)</f>
        <v>2940.9446586795916</v>
      </c>
      <c r="AC17" s="22" cm="1">
        <f t="array" ref="AC17">INDEX('msci-indices'!C:C,MATCH($L17,'msci-indices'!$B:$B)-2)</f>
        <v>624.35597900000005</v>
      </c>
      <c r="AD17" s="22" cm="1">
        <f t="array" ref="AD17">INDEX('msci-indices'!D:D,MATCH($L17,'msci-indices'!$B:$B)-2)</f>
        <v>694.44244900000001</v>
      </c>
      <c r="AE17" s="22">
        <f t="shared" si="28"/>
        <v>106007.61479714596</v>
      </c>
      <c r="AF17" s="22" cm="1">
        <f t="array" ref="AF17">INDEX('msci-indices'!C:C,MATCH($L17,'msci-indices'!$B:$B)+1)</f>
        <v>736.86332800000002</v>
      </c>
      <c r="AG17" s="22" cm="1">
        <f t="array" ref="AG17">INDEX('msci-indices'!D:D,MATCH($L17,'msci-indices'!$B:$B)+1)</f>
        <v>849.38296100000002</v>
      </c>
      <c r="AH17" s="22">
        <f t="shared" si="4"/>
        <v>66.254759248216232</v>
      </c>
      <c r="AI17" s="22">
        <f t="shared" si="5"/>
        <v>126408.53660041167</v>
      </c>
      <c r="AJ17" s="22">
        <f t="shared" si="29"/>
        <v>127432.75014647259</v>
      </c>
      <c r="AK17" s="22">
        <f t="shared" si="6"/>
        <v>-1024.2135460609279</v>
      </c>
      <c r="AL17" s="22">
        <f>AJ17*(_xlfn.XLOOKUP(Q_end,cpi!A:A,cpi!B:B)/BH17)</f>
        <v>196793.15844391228</v>
      </c>
      <c r="AM17" s="22" cm="1">
        <f t="array" ref="AM17">SUMPRODUCT($AA$3:AA17,_xlfn.SORTBY($BH$3:BH17,_xlfn.SEQUENCE(ROWS($BH$3:BH17)),-1)/$BH$3)</f>
        <v>138938.04218719399</v>
      </c>
      <c r="AN17" s="22">
        <f t="shared" si="30"/>
        <v>-12529.505586782325</v>
      </c>
      <c r="AO17" s="22">
        <f t="shared" si="7"/>
        <v>0</v>
      </c>
      <c r="AP17" s="22">
        <f t="shared" si="31"/>
        <v>126408.53660041167</v>
      </c>
      <c r="AQ17" s="22"/>
      <c r="AR17" s="10">
        <f>IF($B$10="3BR_H",
INDEX('ns-combined'!$C:$D,MATCH($L17,'ns-combined'!$B:$B,0),MATCH(Council_Area,'ns-combined'!$C$1:$D$1,0))*1000,
INDEX('s-combined'!$C:$D,MATCH($L17,'s-combined'!$B:$B,0),MATCH(Council_Area,'s-combined'!$C$1:$D$1,0))*1000)</f>
        <v>430000</v>
      </c>
      <c r="AS17" s="22">
        <f t="shared" si="35"/>
        <v>12187.5</v>
      </c>
      <c r="AT17" s="10">
        <v>0</v>
      </c>
      <c r="AU17" s="22">
        <f t="shared" si="8"/>
        <v>8600</v>
      </c>
      <c r="AV17" s="22">
        <f t="shared" si="9"/>
        <v>1236.25</v>
      </c>
      <c r="AW17" s="22">
        <f>SUM($AV$3:AV17)</f>
        <v>16601.6875</v>
      </c>
      <c r="AX17" s="22">
        <f t="shared" si="32"/>
        <v>392610.8125</v>
      </c>
      <c r="AY17" s="22">
        <f t="shared" si="10"/>
        <v>1449.0000000000002</v>
      </c>
      <c r="AZ17" s="24">
        <f t="shared" si="11"/>
        <v>1.3479069767441863E-2</v>
      </c>
      <c r="BA17" s="24">
        <f t="shared" si="12"/>
        <v>0.35000000000000003</v>
      </c>
      <c r="BB17" s="25">
        <f>IF(MortgageRate="Discounted",_xlfn.XLOOKUP(L17,'mortgage-rates'!$A:$A,'mortgage-rates'!$E:$E)/100,_xlfn.XLOOKUP(L17,'mortgage-rates'!$A:$A,'mortgage-rates'!$D:$D)/100)</f>
        <v>5.1399999999999994E-2</v>
      </c>
      <c r="BC17" s="10">
        <f t="shared" si="37"/>
        <v>245063.71033725722</v>
      </c>
      <c r="BD17" s="10">
        <f t="shared" si="13"/>
        <v>4724.9081860281813</v>
      </c>
      <c r="BE17" s="10">
        <f t="shared" si="14"/>
        <v>3149.0686778337549</v>
      </c>
      <c r="BF17" s="10">
        <f t="shared" si="36"/>
        <v>1575.8395081944263</v>
      </c>
      <c r="BG17" s="12">
        <f t="shared" si="15"/>
        <v>6173.9081860281813</v>
      </c>
      <c r="BH17" s="22">
        <f>INDEX(cpi!B:B,MATCH($L17,cpi!A:A))</f>
        <v>93.7</v>
      </c>
      <c r="BI17" s="22">
        <f t="shared" si="16"/>
        <v>110.75650118203311</v>
      </c>
      <c r="BJ17" s="22">
        <f t="shared" si="17"/>
        <v>82.709344629523997</v>
      </c>
      <c r="BK17" s="22">
        <f t="shared" si="18"/>
        <v>97.403235040312381</v>
      </c>
      <c r="BL17" s="22">
        <f t="shared" si="19"/>
        <v>87.117511752760507</v>
      </c>
      <c r="BM17" s="22">
        <f t="shared" si="20"/>
        <v>127.86313077260579</v>
      </c>
      <c r="BN17" s="22">
        <f t="shared" si="21"/>
        <v>132.30769230769232</v>
      </c>
      <c r="BO17">
        <f t="shared" si="22"/>
        <v>123.94852063416896</v>
      </c>
    </row>
    <row r="18" spans="1:67" x14ac:dyDescent="0.25">
      <c r="A18" s="5" t="s">
        <v>323</v>
      </c>
      <c r="L18" s="1">
        <f t="shared" si="33"/>
        <v>40148</v>
      </c>
      <c r="M18" s="10">
        <f t="shared" si="0"/>
        <v>133440.04273804475</v>
      </c>
      <c r="N18" s="10">
        <f t="shared" si="23"/>
        <v>171502.3166709372</v>
      </c>
      <c r="O18" s="7">
        <f t="shared" si="24"/>
        <v>0.77806554061935607</v>
      </c>
      <c r="P18" s="7">
        <f t="shared" si="1"/>
        <v>0.65335631790703352</v>
      </c>
      <c r="Q18">
        <v>16</v>
      </c>
      <c r="R18">
        <f t="shared" si="2"/>
        <v>92</v>
      </c>
      <c r="S18" s="22"/>
      <c r="T18" s="22">
        <f>IF($B$10="3BR_H",
INDEX('3BR_H-processed'!$E:$E,MATCH($L18,'3BR_H-processed'!$B:$B,0),MATCH(Council_Area,'3BR_H-processed'!$E$1:$E$1,0)),
INDEX('2BR_F-processed'!$E:$E,MATCH($L18,'2BR_F-processed'!$B:$B,0),MATCH(Council_Area,'2BR_F-processed'!$E$1:$E$1,0)))</f>
        <v>330</v>
      </c>
      <c r="U18" s="22">
        <f t="shared" si="25"/>
        <v>315</v>
      </c>
      <c r="V18" s="22">
        <f t="shared" si="34"/>
        <v>4140</v>
      </c>
      <c r="W18" s="22">
        <f>$B$53/4*BH18/_xlfn.XLOOKUP(Q_end,cpi!A:A,cpi!B:B)</f>
        <v>130.61506565307533</v>
      </c>
      <c r="X18" s="22">
        <f t="shared" si="26"/>
        <v>4270.6150656530754</v>
      </c>
      <c r="Y18" s="22">
        <f t="shared" si="3"/>
        <v>2265.810692551262</v>
      </c>
      <c r="Z18" s="22">
        <f t="shared" si="27"/>
        <v>0</v>
      </c>
      <c r="AA18" s="22" cm="1">
        <f t="array" ref="AA18">(Y18+Z18)*eff_invest</f>
        <v>2265.810692551262</v>
      </c>
      <c r="AB18" s="22">
        <f>AA18*(_xlfn.XLOOKUP(Q_end,cpi!A:A,cpi!B:B)/BH18)</f>
        <v>3469.4476953668527</v>
      </c>
      <c r="AC18" s="22" cm="1">
        <f t="array" ref="AC18">INDEX('msci-indices'!C:C,MATCH($L18,'msci-indices'!$B:$B)-2)</f>
        <v>736.86332800000002</v>
      </c>
      <c r="AD18" s="22" cm="1">
        <f t="array" ref="AD18">INDEX('msci-indices'!D:D,MATCH($L18,'msci-indices'!$B:$B)-2)</f>
        <v>849.38296100000002</v>
      </c>
      <c r="AE18" s="22">
        <f t="shared" si="28"/>
        <v>128674.34729296292</v>
      </c>
      <c r="AF18" s="22" cm="1">
        <f t="array" ref="AF18">INDEX('msci-indices'!C:C,MATCH($L18,'msci-indices'!$B:$B)+1)</f>
        <v>765.74116200000003</v>
      </c>
      <c r="AG18" s="22" cm="1">
        <f t="array" ref="AG18">INDEX('msci-indices'!D:D,MATCH($L18,'msci-indices'!$B:$B)+1)</f>
        <v>878.343298</v>
      </c>
      <c r="AH18" s="22">
        <f t="shared" si="4"/>
        <v>80.421467058101825</v>
      </c>
      <c r="AI18" s="22">
        <f t="shared" si="5"/>
        <v>133440.04273804475</v>
      </c>
      <c r="AJ18" s="22">
        <f t="shared" si="29"/>
        <v>129698.56083902385</v>
      </c>
      <c r="AK18" s="22">
        <f t="shared" si="6"/>
        <v>3741.4818990209023</v>
      </c>
      <c r="AL18" s="22">
        <f>AJ18*(_xlfn.XLOOKUP(Q_end,cpi!A:A,cpi!B:B)/BH18)</f>
        <v>198596.63231118253</v>
      </c>
      <c r="AM18" s="22" cm="1">
        <f t="array" ref="AM18">SUMPRODUCT($AA$3:AA18,_xlfn.SORTBY($BH$3:BH18,_xlfn.SEQUENCE(ROWS($BH$3:BH18)),-1)/$BH$3)</f>
        <v>142336.51206180707</v>
      </c>
      <c r="AN18" s="22">
        <f t="shared" si="30"/>
        <v>-8896.4693237623142</v>
      </c>
      <c r="AO18" s="22">
        <f t="shared" si="7"/>
        <v>0</v>
      </c>
      <c r="AP18" s="22">
        <f t="shared" si="31"/>
        <v>133440.04273804475</v>
      </c>
      <c r="AQ18" s="22"/>
      <c r="AR18" s="10">
        <f>IF($B$10="3BR_H",
INDEX('ns-combined'!$C:$D,MATCH($L18,'ns-combined'!$B:$B,0),MATCH(Council_Area,'ns-combined'!$C$1:$D$1,0))*1000,
INDEX('s-combined'!$C:$D,MATCH($L18,'s-combined'!$B:$B,0),MATCH(Council_Area,'s-combined'!$C$1:$D$1,0))*1000)</f>
        <v>455000</v>
      </c>
      <c r="AS18" s="22">
        <f t="shared" si="35"/>
        <v>13000</v>
      </c>
      <c r="AT18" s="10">
        <v>0</v>
      </c>
      <c r="AU18" s="22">
        <f t="shared" si="8"/>
        <v>9100</v>
      </c>
      <c r="AV18" s="22">
        <f t="shared" si="9"/>
        <v>1308.125</v>
      </c>
      <c r="AW18" s="22">
        <f>SUM($AV$3:AV18)</f>
        <v>17909.8125</v>
      </c>
      <c r="AX18" s="22">
        <f t="shared" si="32"/>
        <v>414990.1875</v>
      </c>
      <c r="AY18" s="22">
        <f>$B$36*V18</f>
        <v>1449.0000000000002</v>
      </c>
      <c r="AZ18" s="24">
        <f t="shared" si="11"/>
        <v>1.2738461538461541E-2</v>
      </c>
      <c r="BA18" s="24">
        <f t="shared" si="12"/>
        <v>0.35000000000000003</v>
      </c>
      <c r="BB18" s="25">
        <f>IF(MortgageRate="Discounted",_xlfn.XLOOKUP(L18,'mortgage-rates'!$A:$A,'mortgage-rates'!$E:$E)/100,_xlfn.XLOOKUP(L18,'mortgage-rates'!$A:$A,'mortgage-rates'!$D:$D)/100)</f>
        <v>0.06</v>
      </c>
      <c r="BC18" s="10">
        <f t="shared" si="37"/>
        <v>243487.8708290628</v>
      </c>
      <c r="BD18" s="10">
        <f t="shared" si="13"/>
        <v>5087.4257582043374</v>
      </c>
      <c r="BE18" s="10">
        <f t="shared" si="14"/>
        <v>3652.318062435942</v>
      </c>
      <c r="BF18" s="10">
        <f t="shared" si="36"/>
        <v>1435.1076957683954</v>
      </c>
      <c r="BG18" s="12">
        <f t="shared" si="15"/>
        <v>6536.4257582043374</v>
      </c>
      <c r="BH18" s="22">
        <f>INDEX(cpi!B:B,MATCH($L18,cpi!A:A))</f>
        <v>94.5</v>
      </c>
      <c r="BI18" s="22">
        <f t="shared" si="16"/>
        <v>111.70212765957447</v>
      </c>
      <c r="BJ18" s="22">
        <f t="shared" si="17"/>
        <v>97.613356787298372</v>
      </c>
      <c r="BK18" s="22">
        <f t="shared" si="18"/>
        <v>119.1353557212046</v>
      </c>
      <c r="BL18" s="22">
        <f t="shared" si="19"/>
        <v>104.06995646747023</v>
      </c>
      <c r="BM18" s="22">
        <f t="shared" si="20"/>
        <v>155.20304769127551</v>
      </c>
      <c r="BN18" s="22">
        <f t="shared" si="21"/>
        <v>140</v>
      </c>
      <c r="BO18">
        <f t="shared" si="22"/>
        <v>131.01376268979192</v>
      </c>
    </row>
    <row r="19" spans="1:67" x14ac:dyDescent="0.25">
      <c r="A19" t="s">
        <v>324</v>
      </c>
      <c r="B19" t="s">
        <v>329</v>
      </c>
      <c r="C19" t="s">
        <v>329</v>
      </c>
      <c r="L19" s="1">
        <f>DATE(YEAR(L18),MONTH(L18)+3,1)</f>
        <v>40238</v>
      </c>
      <c r="M19" s="10">
        <f t="shared" si="0"/>
        <v>139780.98369476764</v>
      </c>
      <c r="N19" s="10">
        <f t="shared" si="23"/>
        <v>175702.42436670559</v>
      </c>
      <c r="O19" s="7">
        <f t="shared" si="24"/>
        <v>0.79555523606796164</v>
      </c>
      <c r="P19" s="7">
        <f t="shared" si="1"/>
        <v>0.68419557370446971</v>
      </c>
      <c r="Q19">
        <v>17</v>
      </c>
      <c r="R19">
        <f t="shared" si="2"/>
        <v>90</v>
      </c>
      <c r="S19" s="22"/>
      <c r="T19" s="22">
        <f>IF($B$10="3BR_H",
INDEX('3BR_H-processed'!$E:$E,MATCH($L19,'3BR_H-processed'!$B:$B,0),MATCH(Council_Area,'3BR_H-processed'!$E$1:$E$1,0)),
INDEX('2BR_F-processed'!$E:$E,MATCH($L19,'2BR_F-processed'!$B:$B,0),MATCH(Council_Area,'2BR_F-processed'!$E$1:$E$1,0)))</f>
        <v>350</v>
      </c>
      <c r="U19" s="22">
        <f t="shared" si="25"/>
        <v>350</v>
      </c>
      <c r="V19" s="22">
        <f t="shared" si="34"/>
        <v>4500</v>
      </c>
      <c r="W19" s="22">
        <f>$B$53/4*BH19/_xlfn.XLOOKUP(Q_end,cpi!A:A,cpi!B:B)</f>
        <v>131.58258465791295</v>
      </c>
      <c r="X19" s="22">
        <f t="shared" si="26"/>
        <v>4631.5825846579128</v>
      </c>
      <c r="Y19" s="22">
        <f t="shared" si="3"/>
        <v>2137.8014374878821</v>
      </c>
      <c r="Z19" s="22">
        <f t="shared" si="27"/>
        <v>0</v>
      </c>
      <c r="AA19" s="22" cm="1">
        <f t="array" ref="AA19">(Y19+Z19)*eff_invest</f>
        <v>2137.8014374878821</v>
      </c>
      <c r="AB19" s="22">
        <f>AA19*(_xlfn.XLOOKUP(Q_end,cpi!A:A,cpi!B:B)/BH19)</f>
        <v>3249.3683613917701</v>
      </c>
      <c r="AC19" s="22" cm="1">
        <f t="array" ref="AC19">INDEX('msci-indices'!C:C,MATCH($L19,'msci-indices'!$B:$B)-2)</f>
        <v>765.74116200000003</v>
      </c>
      <c r="AD19" s="22" cm="1">
        <f t="array" ref="AD19">INDEX('msci-indices'!D:D,MATCH($L19,'msci-indices'!$B:$B)-2)</f>
        <v>878.343298</v>
      </c>
      <c r="AE19" s="22">
        <f t="shared" si="28"/>
        <v>135577.84417553263</v>
      </c>
      <c r="AF19" s="22" cm="1">
        <f t="array" ref="AF19">INDEX('msci-indices'!C:C,MATCH($L19,'msci-indices'!$B:$B)+1)</f>
        <v>794.63717599999995</v>
      </c>
      <c r="AG19" s="22" cm="1">
        <f t="array" ref="AG19">INDEX('msci-indices'!D:D,MATCH($L19,'msci-indices'!$B:$B)+1)</f>
        <v>893.60148100000004</v>
      </c>
      <c r="AH19" s="22">
        <f t="shared" si="4"/>
        <v>84.736152609707901</v>
      </c>
      <c r="AI19" s="22">
        <f t="shared" si="5"/>
        <v>139780.98369476764</v>
      </c>
      <c r="AJ19" s="22">
        <f t="shared" si="29"/>
        <v>131836.36227651173</v>
      </c>
      <c r="AK19" s="22">
        <f t="shared" si="6"/>
        <v>7944.6214182559052</v>
      </c>
      <c r="AL19" s="22">
        <f>AJ19*(_xlfn.XLOOKUP(Q_end,cpi!A:A,cpi!B:B)/BH19)</f>
        <v>200385.73131734502</v>
      </c>
      <c r="AM19" s="22" cm="1">
        <f t="array" ref="AM19">SUMPRODUCT($AA$3:AA19,_xlfn.SORTBY($BH$3:BH19,_xlfn.SEQUENCE(ROWS($BH$3:BH19)),-1)/$BH$3)</f>
        <v>145539.13831992465</v>
      </c>
      <c r="AN19" s="22">
        <f t="shared" si="30"/>
        <v>-5758.1546251570107</v>
      </c>
      <c r="AO19" s="22">
        <f t="shared" si="7"/>
        <v>0</v>
      </c>
      <c r="AP19" s="22">
        <f t="shared" si="31"/>
        <v>139780.98369476764</v>
      </c>
      <c r="AQ19" s="22"/>
      <c r="AR19" s="10">
        <f>IF($B$10="3BR_H",
INDEX('ns-combined'!$C:$D,MATCH($L19,'ns-combined'!$B:$B,0),MATCH(Council_Area,'ns-combined'!$C$1:$D$1,0))*1000,
INDEX('s-combined'!$C:$D,MATCH($L19,'s-combined'!$B:$B,0),MATCH(Council_Area,'s-combined'!$C$1:$D$1,0))*1000)</f>
        <v>460000</v>
      </c>
      <c r="AS19" s="22">
        <f t="shared" si="35"/>
        <v>13812.5</v>
      </c>
      <c r="AT19" s="10">
        <v>0</v>
      </c>
      <c r="AU19" s="22">
        <f t="shared" si="8"/>
        <v>9200</v>
      </c>
      <c r="AV19" s="22">
        <f t="shared" si="9"/>
        <v>1322.5</v>
      </c>
      <c r="AW19" s="22">
        <f>SUM($AV$3:AV19)</f>
        <v>19232.3125</v>
      </c>
      <c r="AX19" s="22">
        <f t="shared" si="32"/>
        <v>417755.1875</v>
      </c>
      <c r="AY19" s="22">
        <f t="shared" si="10"/>
        <v>1575.0000000000002</v>
      </c>
      <c r="AZ19" s="24">
        <f t="shared" si="11"/>
        <v>1.3695652173913046E-2</v>
      </c>
      <c r="BA19" s="24">
        <f t="shared" si="12"/>
        <v>0.35000000000000003</v>
      </c>
      <c r="BB19" s="25">
        <f>IF(MortgageRate="Discounted",_xlfn.XLOOKUP(L19,'mortgage-rates'!$A:$A,'mortgage-rates'!$E:$E)/100,_xlfn.XLOOKUP(L19,'mortgage-rates'!$A:$A,'mortgage-rates'!$D:$D)/100)</f>
        <v>6.25E-2</v>
      </c>
      <c r="BC19" s="10">
        <f t="shared" si="37"/>
        <v>242052.76313329441</v>
      </c>
      <c r="BD19" s="10">
        <f t="shared" si="13"/>
        <v>5194.3840221457949</v>
      </c>
      <c r="BE19" s="10">
        <f t="shared" si="14"/>
        <v>3782.0744239577252</v>
      </c>
      <c r="BF19" s="10">
        <f t="shared" si="36"/>
        <v>1412.3095981880697</v>
      </c>
      <c r="BG19" s="12">
        <f t="shared" si="15"/>
        <v>6769.3840221457949</v>
      </c>
      <c r="BH19" s="22">
        <f>INDEX(cpi!B:B,MATCH($L19,cpi!A:A))</f>
        <v>95.2</v>
      </c>
      <c r="BI19" s="22">
        <f t="shared" si="16"/>
        <v>112.52955082742318</v>
      </c>
      <c r="BJ19" s="22">
        <f t="shared" si="17"/>
        <v>101.43884545849789</v>
      </c>
      <c r="BK19" s="22">
        <f t="shared" si="18"/>
        <v>123.19736332992677</v>
      </c>
      <c r="BL19" s="22">
        <f t="shared" si="19"/>
        <v>107.96640081992655</v>
      </c>
      <c r="BM19" s="22">
        <f t="shared" si="20"/>
        <v>163.52983370918008</v>
      </c>
      <c r="BN19" s="22">
        <f t="shared" si="21"/>
        <v>141.53846153846155</v>
      </c>
      <c r="BO19">
        <f t="shared" si="22"/>
        <v>131.88668225451605</v>
      </c>
    </row>
    <row r="20" spans="1:67" x14ac:dyDescent="0.25">
      <c r="A20" t="s">
        <v>335</v>
      </c>
      <c r="B20" s="8">
        <v>0.2</v>
      </c>
      <c r="C20" s="8">
        <v>0.2</v>
      </c>
      <c r="L20" s="1">
        <f t="shared" si="33"/>
        <v>40330</v>
      </c>
      <c r="M20" s="10">
        <f t="shared" si="0"/>
        <v>124590.83779531588</v>
      </c>
      <c r="N20" s="10">
        <f t="shared" si="23"/>
        <v>179865.35896489365</v>
      </c>
      <c r="O20" s="7">
        <f t="shared" si="24"/>
        <v>0.69268945678213489</v>
      </c>
      <c r="P20" s="7">
        <f t="shared" si="1"/>
        <v>0.66871073553375604</v>
      </c>
      <c r="Q20">
        <v>18</v>
      </c>
      <c r="R20">
        <f t="shared" si="2"/>
        <v>91</v>
      </c>
      <c r="S20" s="22"/>
      <c r="T20" s="22">
        <f>IF($B$10="3BR_H",
INDEX('3BR_H-processed'!$E:$E,MATCH($L20,'3BR_H-processed'!$B:$B,0),MATCH(Council_Area,'3BR_H-processed'!$E$1:$E$1,0)),
INDEX('2BR_F-processed'!$E:$E,MATCH($L20,'2BR_F-processed'!$B:$B,0),MATCH(Council_Area,'2BR_F-processed'!$E$1:$E$1,0)))</f>
        <v>350</v>
      </c>
      <c r="U20" s="22">
        <f t="shared" si="25"/>
        <v>350</v>
      </c>
      <c r="V20" s="22">
        <f t="shared" si="34"/>
        <v>4550</v>
      </c>
      <c r="W20" s="22">
        <f>$B$53/4*BH20/_xlfn.XLOOKUP(Q_end,cpi!A:A,cpi!B:B)</f>
        <v>132.41188666205943</v>
      </c>
      <c r="X20" s="22">
        <f t="shared" si="26"/>
        <v>4682.4118866620593</v>
      </c>
      <c r="Y20" s="22">
        <f t="shared" si="3"/>
        <v>2319.7366326444544</v>
      </c>
      <c r="Z20" s="22">
        <f t="shared" si="27"/>
        <v>0</v>
      </c>
      <c r="AA20" s="22" cm="1">
        <f t="array" ref="AA20">(Y20+Z20)*eff_invest</f>
        <v>2319.7366326444544</v>
      </c>
      <c r="AB20" s="22">
        <f>AA20*(_xlfn.XLOOKUP(Q_end,cpi!A:A,cpi!B:B)/BH20)</f>
        <v>3503.8193188272708</v>
      </c>
      <c r="AC20" s="22" cm="1">
        <f t="array" ref="AC20">INDEX('msci-indices'!C:C,MATCH($L20,'msci-indices'!$B:$B)-2)</f>
        <v>794.63717599999995</v>
      </c>
      <c r="AD20" s="22" cm="1">
        <f t="array" ref="AD20">INDEX('msci-indices'!D:D,MATCH($L20,'msci-indices'!$B:$B)-2)</f>
        <v>893.60148100000004</v>
      </c>
      <c r="AE20" s="22">
        <f t="shared" si="28"/>
        <v>142100.7203274121</v>
      </c>
      <c r="AF20" s="22" cm="1">
        <f t="array" ref="AF20">INDEX('msci-indices'!C:C,MATCH($L20,'msci-indices'!$B:$B)+1)</f>
        <v>696.18017999999995</v>
      </c>
      <c r="AG20" s="22" cm="1">
        <f t="array" ref="AG20">INDEX('msci-indices'!D:D,MATCH($L20,'msci-indices'!$B:$B)+1)</f>
        <v>786.77036999999996</v>
      </c>
      <c r="AH20" s="22">
        <f t="shared" si="4"/>
        <v>88.812950204632557</v>
      </c>
      <c r="AI20" s="22">
        <f t="shared" si="5"/>
        <v>124590.83779531588</v>
      </c>
      <c r="AJ20" s="22">
        <f t="shared" si="29"/>
        <v>134156.09890915619</v>
      </c>
      <c r="AK20" s="22">
        <f t="shared" si="6"/>
        <v>-9565.2611138403154</v>
      </c>
      <c r="AL20" s="22">
        <f>AJ20*(_xlfn.XLOOKUP(Q_end,cpi!A:A,cpi!B:B)/BH20)</f>
        <v>202634.52517906993</v>
      </c>
      <c r="AM20" s="22" cm="1">
        <f t="array" ref="AM20">SUMPRODUCT($AA$3:AA20,_xlfn.SORTBY($BH$3:BH20,_xlfn.SEQUENCE(ROWS($BH$3:BH20)),-1)/$BH$3)</f>
        <v>148844.98231324324</v>
      </c>
      <c r="AN20" s="22">
        <f t="shared" si="30"/>
        <v>-24254.144517927358</v>
      </c>
      <c r="AO20" s="22">
        <f t="shared" si="7"/>
        <v>0</v>
      </c>
      <c r="AP20" s="22">
        <f t="shared" si="31"/>
        <v>124590.83779531588</v>
      </c>
      <c r="AQ20" s="22"/>
      <c r="AR20" s="10">
        <f>IF($B$10="3BR_H",
INDEX('ns-combined'!$C:$D,MATCH($L20,'ns-combined'!$B:$B,0),MATCH(Council_Area,'ns-combined'!$C$1:$D$1,0))*1000,
INDEX('s-combined'!$C:$D,MATCH($L20,'s-combined'!$B:$B,0),MATCH(Council_Area,'s-combined'!$C$1:$D$1,0))*1000)</f>
        <v>465000</v>
      </c>
      <c r="AS20" s="22">
        <f t="shared" si="35"/>
        <v>14625</v>
      </c>
      <c r="AT20" s="10">
        <v>0</v>
      </c>
      <c r="AU20" s="22">
        <f t="shared" si="8"/>
        <v>9300</v>
      </c>
      <c r="AV20" s="22">
        <f t="shared" si="9"/>
        <v>1336.875</v>
      </c>
      <c r="AW20" s="22">
        <f>SUM($AV$3:AV20)</f>
        <v>20569.1875</v>
      </c>
      <c r="AX20" s="22">
        <f t="shared" si="32"/>
        <v>420505.8125</v>
      </c>
      <c r="AY20" s="22">
        <f t="shared" si="10"/>
        <v>1592.5000000000002</v>
      </c>
      <c r="AZ20" s="24">
        <f t="shared" si="11"/>
        <v>1.3698924731182798E-2</v>
      </c>
      <c r="BA20" s="24">
        <f t="shared" si="12"/>
        <v>0.35000000000000003</v>
      </c>
      <c r="BB20" s="25">
        <f>IF(MortgageRate="Discounted",_xlfn.XLOOKUP(L20,'mortgage-rates'!$A:$A,'mortgage-rates'!$E:$E)/100,_xlfn.XLOOKUP(L20,'mortgage-rates'!$A:$A,'mortgage-rates'!$D:$D)/100)</f>
        <v>6.7500000000000004E-2</v>
      </c>
      <c r="BC20" s="10">
        <f t="shared" si="37"/>
        <v>240640.45353510635</v>
      </c>
      <c r="BD20" s="10">
        <f t="shared" si="13"/>
        <v>5409.6485193065137</v>
      </c>
      <c r="BE20" s="10">
        <f t="shared" si="14"/>
        <v>4060.8076534049201</v>
      </c>
      <c r="BF20" s="10">
        <f t="shared" si="36"/>
        <v>1348.8408659015936</v>
      </c>
      <c r="BG20" s="12">
        <f t="shared" si="15"/>
        <v>7002.1485193065137</v>
      </c>
      <c r="BH20" s="22">
        <f>INDEX(cpi!B:B,MATCH($L20,cpi!A:A))</f>
        <v>95.8</v>
      </c>
      <c r="BI20" s="22">
        <f t="shared" si="16"/>
        <v>113.2387706855792</v>
      </c>
      <c r="BJ20" s="22">
        <f t="shared" si="17"/>
        <v>105.26674246073921</v>
      </c>
      <c r="BK20" s="22">
        <f t="shared" si="18"/>
        <v>125.3374922739123</v>
      </c>
      <c r="BL20" s="22">
        <f t="shared" si="19"/>
        <v>111.28796740469113</v>
      </c>
      <c r="BM20" s="22">
        <f t="shared" si="20"/>
        <v>171.39752668592774</v>
      </c>
      <c r="BN20" s="22">
        <f t="shared" si="21"/>
        <v>143.07692307692307</v>
      </c>
      <c r="BO20">
        <f t="shared" si="22"/>
        <v>132.75506358461342</v>
      </c>
    </row>
    <row r="21" spans="1:67" x14ac:dyDescent="0.25">
      <c r="A21" t="s">
        <v>334</v>
      </c>
      <c r="B21" s="4">
        <v>0</v>
      </c>
      <c r="C21" s="4">
        <v>0</v>
      </c>
      <c r="L21" s="1">
        <f t="shared" si="33"/>
        <v>40422</v>
      </c>
      <c r="M21" s="10">
        <f t="shared" si="0"/>
        <v>142478.84745957926</v>
      </c>
      <c r="N21" s="10">
        <f t="shared" si="23"/>
        <v>174179.19983079523</v>
      </c>
      <c r="O21" s="7">
        <f t="shared" si="24"/>
        <v>0.81800150418642992</v>
      </c>
      <c r="P21" s="7">
        <f t="shared" si="1"/>
        <v>0.67428464198002513</v>
      </c>
      <c r="Q21">
        <v>19</v>
      </c>
      <c r="R21">
        <f t="shared" si="2"/>
        <v>92</v>
      </c>
      <c r="S21" s="22"/>
      <c r="T21" s="22">
        <f>IF($B$10="3BR_H",
INDEX('3BR_H-processed'!$E:$E,MATCH($L21,'3BR_H-processed'!$B:$B,0),MATCH(Council_Area,'3BR_H-processed'!$E$1:$E$1,0)),
INDEX('2BR_F-processed'!$E:$E,MATCH($L21,'2BR_F-processed'!$B:$B,0),MATCH(Council_Area,'2BR_F-processed'!$E$1:$E$1,0)))</f>
        <v>360</v>
      </c>
      <c r="U21" s="22">
        <f t="shared" si="25"/>
        <v>350</v>
      </c>
      <c r="V21" s="22">
        <f t="shared" si="34"/>
        <v>4600</v>
      </c>
      <c r="W21" s="22">
        <f>$B$53/4*BH21/_xlfn.XLOOKUP(Q_end,cpi!A:A,cpi!B:B)</f>
        <v>133.24118866620594</v>
      </c>
      <c r="X21" s="22">
        <f t="shared" si="26"/>
        <v>4733.2411886662057</v>
      </c>
      <c r="Y21" s="22">
        <f t="shared" si="3"/>
        <v>2286.4073306403079</v>
      </c>
      <c r="Z21" s="22">
        <f t="shared" si="27"/>
        <v>0</v>
      </c>
      <c r="AA21" s="22" cm="1">
        <f t="array" ref="AA21">(Y21+Z21)*eff_invest</f>
        <v>2286.4073306403079</v>
      </c>
      <c r="AB21" s="22">
        <f>AA21*(_xlfn.XLOOKUP(Q_end,cpi!A:A,cpi!B:B)/BH21)</f>
        <v>3431.9827877972252</v>
      </c>
      <c r="AC21" s="22" cm="1">
        <f t="array" ref="AC21">INDEX('msci-indices'!C:C,MATCH($L21,'msci-indices'!$B:$B)-2)</f>
        <v>696.18017999999995</v>
      </c>
      <c r="AD21" s="22" cm="1">
        <f t="array" ref="AD21">INDEX('msci-indices'!D:D,MATCH($L21,'msci-indices'!$B:$B)-2)</f>
        <v>786.77036999999996</v>
      </c>
      <c r="AE21" s="22">
        <f t="shared" si="28"/>
        <v>126877.24512595619</v>
      </c>
      <c r="AF21" s="22" cm="1">
        <f t="array" ref="AF21">INDEX('msci-indices'!C:C,MATCH($L21,'msci-indices'!$B:$B)+1)</f>
        <v>792.86985700000002</v>
      </c>
      <c r="AG21" s="22" cm="1">
        <f t="array" ref="AG21">INDEX('msci-indices'!D:D,MATCH($L21,'msci-indices'!$B:$B)+1)</f>
        <v>855.92990299999997</v>
      </c>
      <c r="AH21" s="22">
        <f t="shared" si="4"/>
        <v>79.298278203722617</v>
      </c>
      <c r="AI21" s="22">
        <f t="shared" si="5"/>
        <v>142478.84745957926</v>
      </c>
      <c r="AJ21" s="22">
        <f t="shared" si="29"/>
        <v>136442.50623979649</v>
      </c>
      <c r="AK21" s="22">
        <f t="shared" si="6"/>
        <v>6036.3412197827711</v>
      </c>
      <c r="AL21" s="22">
        <f>AJ21*(_xlfn.XLOOKUP(Q_end,cpi!A:A,cpi!B:B)/BH21)</f>
        <v>204805.29722923806</v>
      </c>
      <c r="AM21" s="22" cm="1">
        <f t="array" ref="AM21">SUMPRODUCT($AA$3:AA21,_xlfn.SORTBY($BH$3:BH21,_xlfn.SEQUENCE(ROWS($BH$3:BH21)),-1)/$BH$3)</f>
        <v>152126.64369741071</v>
      </c>
      <c r="AN21" s="22">
        <f t="shared" si="30"/>
        <v>-9647.7962378314405</v>
      </c>
      <c r="AO21" s="22">
        <f t="shared" si="7"/>
        <v>0</v>
      </c>
      <c r="AP21" s="22">
        <f t="shared" si="31"/>
        <v>142478.84745957926</v>
      </c>
      <c r="AQ21" s="22"/>
      <c r="AR21" s="10">
        <f>IF($B$10="3BR_H",
INDEX('ns-combined'!$C:$D,MATCH($L21,'ns-combined'!$B:$B,0),MATCH(Council_Area,'ns-combined'!$C$1:$D$1,0))*1000,
INDEX('s-combined'!$C:$D,MATCH($L21,'s-combined'!$B:$B,0),MATCH(Council_Area,'s-combined'!$C$1:$D$1,0))*1000)</f>
        <v>460000</v>
      </c>
      <c r="AS21" s="22">
        <f t="shared" si="35"/>
        <v>15437.5</v>
      </c>
      <c r="AT21" s="10">
        <v>0</v>
      </c>
      <c r="AU21" s="22">
        <f t="shared" si="8"/>
        <v>9200</v>
      </c>
      <c r="AV21" s="22">
        <f t="shared" si="9"/>
        <v>1322.5</v>
      </c>
      <c r="AW21" s="22">
        <f>SUM($AV$3:AV21)</f>
        <v>21891.6875</v>
      </c>
      <c r="AX21" s="22">
        <f t="shared" si="32"/>
        <v>413470.8125</v>
      </c>
      <c r="AY21" s="22">
        <f t="shared" si="10"/>
        <v>1610.0000000000002</v>
      </c>
      <c r="AZ21" s="24">
        <f t="shared" si="11"/>
        <v>1.4000000000000002E-2</v>
      </c>
      <c r="BA21" s="24">
        <f t="shared" si="12"/>
        <v>0.35000000000000003</v>
      </c>
      <c r="BB21" s="25">
        <f>IF(MortgageRate="Discounted",_xlfn.XLOOKUP(L21,'mortgage-rates'!$A:$A,'mortgage-rates'!$E:$E)/100,_xlfn.XLOOKUP(L21,'mortgage-rates'!$A:$A,'mortgage-rates'!$D:$D)/100)</f>
        <v>6.7500000000000004E-2</v>
      </c>
      <c r="BC21" s="10">
        <f t="shared" si="37"/>
        <v>239291.61266920477</v>
      </c>
      <c r="BD21" s="10">
        <f t="shared" si="13"/>
        <v>5409.6485193065137</v>
      </c>
      <c r="BE21" s="10">
        <f t="shared" si="14"/>
        <v>4038.0459637928307</v>
      </c>
      <c r="BF21" s="10">
        <f t="shared" si="36"/>
        <v>1371.602555513683</v>
      </c>
      <c r="BG21" s="12">
        <f t="shared" si="15"/>
        <v>7019.6485193065137</v>
      </c>
      <c r="BH21" s="22">
        <f>INDEX(cpi!B:B,MATCH($L21,cpi!A:A))</f>
        <v>96.4</v>
      </c>
      <c r="BI21" s="22">
        <f t="shared" si="16"/>
        <v>113.94799054373523</v>
      </c>
      <c r="BJ21" s="22">
        <f t="shared" si="17"/>
        <v>92.224001000339641</v>
      </c>
      <c r="BK21" s="22">
        <f t="shared" si="18"/>
        <v>110.35324724491825</v>
      </c>
      <c r="BL21" s="22">
        <f t="shared" si="19"/>
        <v>97.662774873713232</v>
      </c>
      <c r="BM21" s="22">
        <f t="shared" si="20"/>
        <v>153.0354382244328</v>
      </c>
      <c r="BN21" s="22">
        <f t="shared" si="21"/>
        <v>141.53846153846155</v>
      </c>
      <c r="BO21">
        <f t="shared" si="22"/>
        <v>130.53409102120145</v>
      </c>
    </row>
    <row r="22" spans="1:67" x14ac:dyDescent="0.25">
      <c r="L22" s="1">
        <f t="shared" si="33"/>
        <v>40513</v>
      </c>
      <c r="M22" s="10">
        <f t="shared" si="0"/>
        <v>156613.73376811016</v>
      </c>
      <c r="N22" s="10">
        <f t="shared" si="23"/>
        <v>173415.8023863089</v>
      </c>
      <c r="O22" s="7">
        <f t="shared" si="24"/>
        <v>0.90311108683873176</v>
      </c>
      <c r="P22" s="7">
        <f t="shared" si="1"/>
        <v>0.6582574112317664</v>
      </c>
      <c r="Q22">
        <v>20</v>
      </c>
      <c r="R22">
        <f t="shared" si="2"/>
        <v>92</v>
      </c>
      <c r="S22" s="22"/>
      <c r="T22" s="22">
        <f>IF($B$10="3BR_H",
INDEX('3BR_H-processed'!$E:$E,MATCH($L22,'3BR_H-processed'!$B:$B,0),MATCH(Council_Area,'3BR_H-processed'!$E$1:$E$1,0)),
INDEX('2BR_F-processed'!$E:$E,MATCH($L22,'2BR_F-processed'!$B:$B,0),MATCH(Council_Area,'2BR_F-processed'!$E$1:$E$1,0)))</f>
        <v>360</v>
      </c>
      <c r="U22" s="22">
        <f t="shared" si="25"/>
        <v>350</v>
      </c>
      <c r="V22" s="22">
        <f t="shared" si="34"/>
        <v>4600</v>
      </c>
      <c r="W22" s="22">
        <f>$B$53/4*BH22/_xlfn.XLOOKUP(Q_end,cpi!A:A,cpi!B:B)</f>
        <v>134.07049067035246</v>
      </c>
      <c r="X22" s="22">
        <f t="shared" si="26"/>
        <v>4734.0704906703522</v>
      </c>
      <c r="Y22" s="22">
        <f t="shared" si="3"/>
        <v>2457.7520545733187</v>
      </c>
      <c r="Z22" s="22">
        <f t="shared" si="27"/>
        <v>0</v>
      </c>
      <c r="AA22" s="22" cm="1">
        <f t="array" ref="AA22">(Y22+Z22)*eff_invest</f>
        <v>2457.7520545733187</v>
      </c>
      <c r="AB22" s="22">
        <f>AA22*(_xlfn.XLOOKUP(Q_end,cpi!A:A,cpi!B:B)/BH22)</f>
        <v>3666.3579618222593</v>
      </c>
      <c r="AC22" s="22" cm="1">
        <f t="array" ref="AC22">INDEX('msci-indices'!C:C,MATCH($L22,'msci-indices'!$B:$B)-2)</f>
        <v>792.86985700000002</v>
      </c>
      <c r="AD22" s="22" cm="1">
        <f t="array" ref="AD22">INDEX('msci-indices'!D:D,MATCH($L22,'msci-indices'!$B:$B)-2)</f>
        <v>855.92990299999997</v>
      </c>
      <c r="AE22" s="22">
        <f t="shared" si="28"/>
        <v>144936.59951415259</v>
      </c>
      <c r="AF22" s="22" cm="1">
        <f t="array" ref="AF22">INDEX('msci-indices'!C:C,MATCH($L22,'msci-indices'!$B:$B)+1)</f>
        <v>869.423677</v>
      </c>
      <c r="AG22" s="22" cm="1">
        <f t="array" ref="AG22">INDEX('msci-indices'!D:D,MATCH($L22,'msci-indices'!$B:$B)+1)</f>
        <v>894.74693600000001</v>
      </c>
      <c r="AH22" s="22">
        <f t="shared" si="4"/>
        <v>90.585374696345369</v>
      </c>
      <c r="AI22" s="22">
        <f t="shared" si="5"/>
        <v>156613.73376811016</v>
      </c>
      <c r="AJ22" s="22">
        <f t="shared" si="29"/>
        <v>138900.25829436982</v>
      </c>
      <c r="AK22" s="22">
        <f t="shared" si="6"/>
        <v>17713.475473740342</v>
      </c>
      <c r="AL22" s="22">
        <f>AJ22*(_xlfn.XLOOKUP(Q_end,cpi!A:A,cpi!B:B)/BH22)</f>
        <v>207204.81830098259</v>
      </c>
      <c r="AM22" s="22" cm="1">
        <f t="array" ref="AM22">SUMPRODUCT($AA$3:AA22,_xlfn.SORTBY($BH$3:BH22,_xlfn.SEQUENCE(ROWS($BH$3:BH22)),-1)/$BH$3)</f>
        <v>155579.85726754784</v>
      </c>
      <c r="AN22" s="22">
        <f t="shared" si="30"/>
        <v>1033.8765005623281</v>
      </c>
      <c r="AO22" s="22">
        <f t="shared" si="7"/>
        <v>0</v>
      </c>
      <c r="AP22" s="22">
        <f t="shared" si="31"/>
        <v>156613.73376811016</v>
      </c>
      <c r="AQ22" s="22"/>
      <c r="AR22" s="10">
        <f>IF($B$10="3BR_H",
INDEX('ns-combined'!$C:$D,MATCH($L22,'ns-combined'!$B:$B,0),MATCH(Council_Area,'ns-combined'!$C$1:$D$1,0))*1000,
INDEX('s-combined'!$C:$D,MATCH($L22,'s-combined'!$B:$B,0),MATCH(Council_Area,'s-combined'!$C$1:$D$1,0))*1000)</f>
        <v>460000</v>
      </c>
      <c r="AS22" s="22">
        <f t="shared" si="35"/>
        <v>16250</v>
      </c>
      <c r="AT22" s="10">
        <v>0</v>
      </c>
      <c r="AU22" s="22">
        <f t="shared" si="8"/>
        <v>9200</v>
      </c>
      <c r="AV22" s="22">
        <f t="shared" si="9"/>
        <v>1322.5</v>
      </c>
      <c r="AW22" s="22">
        <f>SUM($AV$3:AV22)</f>
        <v>23214.1875</v>
      </c>
      <c r="AX22" s="22">
        <f t="shared" si="32"/>
        <v>411335.8125</v>
      </c>
      <c r="AY22" s="22">
        <f t="shared" si="10"/>
        <v>1610.0000000000002</v>
      </c>
      <c r="AZ22" s="24">
        <f t="shared" si="11"/>
        <v>1.4000000000000002E-2</v>
      </c>
      <c r="BA22" s="24">
        <f t="shared" si="12"/>
        <v>0.35000000000000003</v>
      </c>
      <c r="BB22" s="25">
        <f>IF(MortgageRate="Discounted",_xlfn.XLOOKUP(L22,'mortgage-rates'!$A:$A,'mortgage-rates'!$E:$E)/100,_xlfn.XLOOKUP(L22,'mortgage-rates'!$A:$A,'mortgage-rates'!$D:$D)/100)</f>
        <v>7.1500000000000008E-2</v>
      </c>
      <c r="BC22" s="10">
        <f t="shared" si="37"/>
        <v>237920.0101136911</v>
      </c>
      <c r="BD22" s="10">
        <f t="shared" si="13"/>
        <v>5581.8225452436709</v>
      </c>
      <c r="BE22" s="10">
        <f t="shared" si="14"/>
        <v>4252.8201807822288</v>
      </c>
      <c r="BF22" s="10">
        <f t="shared" si="36"/>
        <v>1329.0023644614421</v>
      </c>
      <c r="BG22" s="12">
        <f>AT22+AY22+BD22</f>
        <v>7191.8225452436709</v>
      </c>
      <c r="BH22" s="22">
        <f>INDEX(cpi!B:B,MATCH($L22,cpi!A:A))</f>
        <v>97</v>
      </c>
      <c r="BI22" s="22">
        <f t="shared" si="16"/>
        <v>114.65721040189126</v>
      </c>
      <c r="BJ22" s="22">
        <f t="shared" si="17"/>
        <v>105.03262314234105</v>
      </c>
      <c r="BK22" s="22">
        <f t="shared" si="18"/>
        <v>120.0536367556367</v>
      </c>
      <c r="BL22" s="22">
        <f t="shared" si="19"/>
        <v>109.53892722632975</v>
      </c>
      <c r="BM22" s="22">
        <f t="shared" si="20"/>
        <v>174.81807710585167</v>
      </c>
      <c r="BN22" s="22">
        <f t="shared" si="21"/>
        <v>141.53846153846155</v>
      </c>
      <c r="BO22">
        <f t="shared" si="22"/>
        <v>129.86006452185751</v>
      </c>
    </row>
    <row r="23" spans="1:67" x14ac:dyDescent="0.25">
      <c r="A23" s="5" t="s">
        <v>339</v>
      </c>
      <c r="L23" s="1">
        <f t="shared" si="33"/>
        <v>40603</v>
      </c>
      <c r="M23" s="10">
        <f t="shared" si="0"/>
        <v>165997.14114559407</v>
      </c>
      <c r="N23" s="10">
        <f t="shared" si="23"/>
        <v>162838.55475077036</v>
      </c>
      <c r="O23" s="7">
        <f t="shared" si="24"/>
        <v>1.0193970426700116</v>
      </c>
      <c r="P23" s="7">
        <f t="shared" si="1"/>
        <v>0.67681760790968593</v>
      </c>
      <c r="Q23">
        <v>21</v>
      </c>
      <c r="R23">
        <f t="shared" si="2"/>
        <v>90</v>
      </c>
      <c r="S23" s="22"/>
      <c r="T23" s="22">
        <f>IF($B$10="3BR_H",
INDEX('3BR_H-processed'!$E:$E,MATCH($L23,'3BR_H-processed'!$B:$B,0),MATCH(Council_Area,'3BR_H-processed'!$E$1:$E$1,0)),
INDEX('2BR_F-processed'!$E:$E,MATCH($L23,'2BR_F-processed'!$B:$B,0),MATCH(Council_Area,'2BR_F-processed'!$E$1:$E$1,0)))</f>
        <v>370</v>
      </c>
      <c r="U23" s="22">
        <f t="shared" si="25"/>
        <v>370</v>
      </c>
      <c r="V23" s="22">
        <f t="shared" si="34"/>
        <v>4757.1428571428569</v>
      </c>
      <c r="W23" s="22">
        <f>$B$53/4*BH23/_xlfn.XLOOKUP(Q_end,cpi!A:A,cpi!B:B)</f>
        <v>136.00552868002765</v>
      </c>
      <c r="X23" s="22">
        <f t="shared" si="26"/>
        <v>4893.1483858228848</v>
      </c>
      <c r="Y23" s="22">
        <f t="shared" si="3"/>
        <v>2336.4927001043934</v>
      </c>
      <c r="Z23" s="22">
        <f t="shared" si="27"/>
        <v>0</v>
      </c>
      <c r="AA23" s="22" cm="1">
        <f t="array" ref="AA23">(Y23+Z23)*eff_invest</f>
        <v>2336.4927001043934</v>
      </c>
      <c r="AB23" s="22">
        <f>AA23*(_xlfn.XLOOKUP(Q_end,cpi!A:A,cpi!B:B)/BH23)</f>
        <v>3435.8790010681469</v>
      </c>
      <c r="AC23" s="22" cm="1">
        <f t="array" ref="AC23">INDEX('msci-indices'!C:C,MATCH($L23,'msci-indices'!$B:$B)-2)</f>
        <v>869.423677</v>
      </c>
      <c r="AD23" s="22" cm="1">
        <f t="array" ref="AD23">INDEX('msci-indices'!D:D,MATCH($L23,'msci-indices'!$B:$B)-2)</f>
        <v>894.74693600000001</v>
      </c>
      <c r="AE23" s="22">
        <f t="shared" si="28"/>
        <v>158950.22646821456</v>
      </c>
      <c r="AF23" s="22" cm="1">
        <f t="array" ref="AF23">INDEX('msci-indices'!C:C,MATCH($L23,'msci-indices'!$B:$B)+1)</f>
        <v>912.83803799999998</v>
      </c>
      <c r="AG23" s="22" cm="1">
        <f t="array" ref="AG23">INDEX('msci-indices'!D:D,MATCH($L23,'msci-indices'!$B:$B)+1)</f>
        <v>924.58628799999997</v>
      </c>
      <c r="AH23" s="22">
        <f t="shared" si="4"/>
        <v>99.343891542634097</v>
      </c>
      <c r="AI23" s="22">
        <f t="shared" si="5"/>
        <v>165997.14114559407</v>
      </c>
      <c r="AJ23" s="22">
        <f t="shared" si="29"/>
        <v>141236.75099447422</v>
      </c>
      <c r="AK23" s="22">
        <f t="shared" si="6"/>
        <v>24760.390151119849</v>
      </c>
      <c r="AL23" s="22">
        <f>AJ23*(_xlfn.XLOOKUP(Q_end,cpi!A:A,cpi!B:B)/BH23)</f>
        <v>207692.66126931316</v>
      </c>
      <c r="AM23" s="22" cm="1">
        <f t="array" ref="AM23">SUMPRODUCT($AA$3:AA23,_xlfn.SORTBY($BH$3:BH23,_xlfn.SEQUENCE(ROWS($BH$3:BH23)),-1)/$BH$3)</f>
        <v>159700.53767395104</v>
      </c>
      <c r="AN23" s="22">
        <f t="shared" si="30"/>
        <v>6296.6034716430295</v>
      </c>
      <c r="AO23" s="22">
        <f t="shared" si="7"/>
        <v>0</v>
      </c>
      <c r="AP23" s="22">
        <f t="shared" si="31"/>
        <v>165997.14114559407</v>
      </c>
      <c r="AQ23" s="22"/>
      <c r="AR23" s="10">
        <f>IF($B$10="3BR_H",
INDEX('ns-combined'!$C:$D,MATCH($L23,'ns-combined'!$B:$B,0),MATCH(Council_Area,'ns-combined'!$C$1:$D$1,0))*1000,
INDEX('s-combined'!$C:$D,MATCH($L23,'s-combined'!$B:$B,0),MATCH(Council_Area,'s-combined'!$C$1:$D$1,0))*1000)</f>
        <v>450000</v>
      </c>
      <c r="AS23" s="22">
        <f t="shared" si="35"/>
        <v>17062.5</v>
      </c>
      <c r="AT23" s="10">
        <v>0</v>
      </c>
      <c r="AU23" s="22">
        <f t="shared" si="8"/>
        <v>9000</v>
      </c>
      <c r="AV23" s="22">
        <f t="shared" si="9"/>
        <v>1293.75</v>
      </c>
      <c r="AW23" s="22">
        <f>SUM($AV$3:AV23)</f>
        <v>24507.9375</v>
      </c>
      <c r="AX23" s="22">
        <f t="shared" si="32"/>
        <v>399429.5625</v>
      </c>
      <c r="AY23" s="22">
        <f t="shared" si="10"/>
        <v>1665</v>
      </c>
      <c r="AZ23" s="24">
        <f t="shared" si="11"/>
        <v>1.4800000000000001E-2</v>
      </c>
      <c r="BA23" s="24">
        <f t="shared" si="12"/>
        <v>0.35000000000000003</v>
      </c>
      <c r="BB23" s="25">
        <f>IF(MortgageRate="Discounted",_xlfn.XLOOKUP(L23,'mortgage-rates'!$A:$A,'mortgage-rates'!$E:$E)/100,_xlfn.XLOOKUP(L23,'mortgage-rates'!$A:$A,'mortgage-rates'!$D:$D)/100)</f>
        <v>7.1099999999999997E-2</v>
      </c>
      <c r="BC23" s="10">
        <f t="shared" si="37"/>
        <v>236591.00774922964</v>
      </c>
      <c r="BD23" s="10">
        <f t="shared" si="13"/>
        <v>5564.6410859272783</v>
      </c>
      <c r="BE23" s="10">
        <f t="shared" si="14"/>
        <v>4205.405162742557</v>
      </c>
      <c r="BF23" s="10">
        <f t="shared" si="36"/>
        <v>1359.2359231847213</v>
      </c>
      <c r="BG23" s="12">
        <f t="shared" si="15"/>
        <v>7229.6410859272783</v>
      </c>
      <c r="BH23" s="22">
        <f>INDEX(cpi!B:B,MATCH($L23,cpi!A:A))</f>
        <v>98.4</v>
      </c>
      <c r="BI23" s="22">
        <f t="shared" si="16"/>
        <v>116.31205673758866</v>
      </c>
      <c r="BJ23" s="22">
        <f t="shared" si="17"/>
        <v>115.17381902105713</v>
      </c>
      <c r="BK23" s="22">
        <f t="shared" si="18"/>
        <v>125.49815500810108</v>
      </c>
      <c r="BL23" s="22">
        <f t="shared" si="19"/>
        <v>118.2711198171703</v>
      </c>
      <c r="BM23" s="22">
        <f t="shared" si="20"/>
        <v>191.7208837509643</v>
      </c>
      <c r="BN23" s="22">
        <f t="shared" si="21"/>
        <v>138.46153846153845</v>
      </c>
      <c r="BO23">
        <f t="shared" si="22"/>
        <v>126.10122236363098</v>
      </c>
    </row>
    <row r="24" spans="1:67" x14ac:dyDescent="0.25">
      <c r="A24" s="6" t="s">
        <v>494</v>
      </c>
      <c r="L24" s="1">
        <f t="shared" si="33"/>
        <v>40695</v>
      </c>
      <c r="M24" s="10">
        <f t="shared" si="0"/>
        <v>166337.03431217116</v>
      </c>
      <c r="N24" s="10">
        <f t="shared" si="23"/>
        <v>154274.54067395508</v>
      </c>
      <c r="O24" s="7">
        <f t="shared" si="24"/>
        <v>1.0781884916689464</v>
      </c>
      <c r="P24" s="7">
        <f t="shared" si="1"/>
        <v>0.68536624977389871</v>
      </c>
      <c r="Q24">
        <v>22</v>
      </c>
      <c r="R24">
        <f t="shared" si="2"/>
        <v>91</v>
      </c>
      <c r="S24" s="22"/>
      <c r="T24" s="22">
        <f>IF($B$10="3BR_H",
INDEX('3BR_H-processed'!$E:$E,MATCH($L24,'3BR_H-processed'!$B:$B,0),MATCH(Council_Area,'3BR_H-processed'!$E$1:$E$1,0)),
INDEX('2BR_F-processed'!$E:$E,MATCH($L24,'2BR_F-processed'!$B:$B,0),MATCH(Council_Area,'2BR_F-processed'!$E$1:$E$1,0)))</f>
        <v>368.02414833980163</v>
      </c>
      <c r="U24" s="22">
        <f t="shared" si="25"/>
        <v>370</v>
      </c>
      <c r="V24" s="22">
        <f t="shared" si="34"/>
        <v>4810</v>
      </c>
      <c r="W24" s="22">
        <f>$B$53/4*BH24/_xlfn.XLOOKUP(Q_end,cpi!A:A,cpi!B:B)</f>
        <v>137.24948168624741</v>
      </c>
      <c r="X24" s="22">
        <f t="shared" si="26"/>
        <v>4947.2494816862472</v>
      </c>
      <c r="Y24" s="22">
        <f t="shared" si="3"/>
        <v>2271.1530634030933</v>
      </c>
      <c r="Z24" s="22">
        <f t="shared" si="27"/>
        <v>0</v>
      </c>
      <c r="AA24" s="22" cm="1">
        <f t="array" ref="AA24">(Y24+Z24)*eff_invest</f>
        <v>2271.1530634030933</v>
      </c>
      <c r="AB24" s="22">
        <f>AA24*(_xlfn.XLOOKUP(Q_end,cpi!A:A,cpi!B:B)/BH24)</f>
        <v>3309.5251588562696</v>
      </c>
      <c r="AC24" s="22" cm="1">
        <f t="array" ref="AC24">INDEX('msci-indices'!C:C,MATCH($L24,'msci-indices'!$B:$B)-2)</f>
        <v>912.83803799999998</v>
      </c>
      <c r="AD24" s="22" cm="1">
        <f t="array" ref="AD24">INDEX('msci-indices'!D:D,MATCH($L24,'msci-indices'!$B:$B)-2)</f>
        <v>924.58628799999997</v>
      </c>
      <c r="AE24" s="22">
        <f t="shared" si="28"/>
        <v>168268.29420899716</v>
      </c>
      <c r="AF24" s="22" cm="1">
        <f t="array" ref="AF24">INDEX('msci-indices'!C:C,MATCH($L24,'msci-indices'!$B:$B)+1)</f>
        <v>915.80493999999999</v>
      </c>
      <c r="AG24" s="22" cm="1">
        <f t="array" ref="AG24">INDEX('msci-indices'!D:D,MATCH($L24,'msci-indices'!$B:$B)+1)</f>
        <v>884.12823400000002</v>
      </c>
      <c r="AH24" s="22">
        <f t="shared" si="4"/>
        <v>105.16768388062323</v>
      </c>
      <c r="AI24" s="22">
        <f t="shared" si="5"/>
        <v>166337.03431217116</v>
      </c>
      <c r="AJ24" s="22">
        <f t="shared" si="29"/>
        <v>143507.90405787731</v>
      </c>
      <c r="AK24" s="22">
        <f t="shared" si="6"/>
        <v>22829.13025429385</v>
      </c>
      <c r="AL24" s="22">
        <f>AJ24*(_xlfn.XLOOKUP(Q_end,cpi!A:A,cpi!B:B)/BH24)</f>
        <v>209119.77560095515</v>
      </c>
      <c r="AM24" s="22" cm="1">
        <f t="array" ref="AM24">SUMPRODUCT($AA$3:AA24,_xlfn.SORTBY($BH$3:BH24,_xlfn.SEQUENCE(ROWS($BH$3:BH24)),-1)/$BH$3)</f>
        <v>163299.71541884396</v>
      </c>
      <c r="AN24" s="22">
        <f t="shared" si="30"/>
        <v>3037.3188933272031</v>
      </c>
      <c r="AO24" s="22">
        <f t="shared" si="7"/>
        <v>0</v>
      </c>
      <c r="AP24" s="22">
        <f t="shared" si="31"/>
        <v>166337.03431217116</v>
      </c>
      <c r="AQ24" s="22"/>
      <c r="AR24" s="10">
        <f>IF($B$10="3BR_H",
INDEX('ns-combined'!$C:$D,MATCH($L24,'ns-combined'!$B:$B,0),MATCH(Council_Area,'ns-combined'!$C$1:$D$1,0))*1000,
INDEX('s-combined'!$C:$D,MATCH($L24,'s-combined'!$B:$B,0),MATCH(Council_Area,'s-combined'!$C$1:$D$1,0))*1000)</f>
        <v>442000</v>
      </c>
      <c r="AS24" s="22">
        <f t="shared" si="35"/>
        <v>17875</v>
      </c>
      <c r="AT24" s="10">
        <v>0</v>
      </c>
      <c r="AU24" s="22">
        <f t="shared" si="8"/>
        <v>8840</v>
      </c>
      <c r="AV24" s="22">
        <f t="shared" si="9"/>
        <v>1270.75</v>
      </c>
      <c r="AW24" s="22">
        <f>SUM($AV$3:AV24)</f>
        <v>25778.6875</v>
      </c>
      <c r="AX24" s="22">
        <f t="shared" si="32"/>
        <v>389506.3125</v>
      </c>
      <c r="AY24" s="22">
        <f t="shared" si="10"/>
        <v>1683.5000000000002</v>
      </c>
      <c r="AZ24" s="24">
        <f t="shared" si="11"/>
        <v>1.523529411764706E-2</v>
      </c>
      <c r="BA24" s="24">
        <f t="shared" si="12"/>
        <v>0.35000000000000003</v>
      </c>
      <c r="BB24" s="25">
        <f>IF(MortgageRate="Discounted",_xlfn.XLOOKUP(L24,'mortgage-rates'!$A:$A,'mortgage-rates'!$E:$E)/100,_xlfn.XLOOKUP(L24,'mortgage-rates'!$A:$A,'mortgage-rates'!$D:$D)/100)</f>
        <v>7.0400000000000004E-2</v>
      </c>
      <c r="BC24" s="10">
        <f t="shared" si="37"/>
        <v>235231.77182604492</v>
      </c>
      <c r="BD24" s="10">
        <f t="shared" si="13"/>
        <v>5534.9025450893405</v>
      </c>
      <c r="BE24" s="10">
        <f t="shared" si="14"/>
        <v>4140.0791841383907</v>
      </c>
      <c r="BF24" s="10">
        <f t="shared" si="36"/>
        <v>1394.8233609509498</v>
      </c>
      <c r="BG24" s="12">
        <f>AT24+AY24+BD24</f>
        <v>7218.4025450893405</v>
      </c>
      <c r="BH24" s="22">
        <f>INDEX(cpi!B:B,MATCH($L24,cpi!A:A))</f>
        <v>99.3</v>
      </c>
      <c r="BI24" s="22">
        <f t="shared" si="16"/>
        <v>117.3758865248227</v>
      </c>
      <c r="BJ24" s="22">
        <f t="shared" si="17"/>
        <v>120.92498256652478</v>
      </c>
      <c r="BK24" s="22">
        <f t="shared" si="18"/>
        <v>129.68345419378869</v>
      </c>
      <c r="BL24" s="22">
        <f t="shared" si="19"/>
        <v>123.55252405470395</v>
      </c>
      <c r="BM24" s="22">
        <f t="shared" si="20"/>
        <v>202.96005101614233</v>
      </c>
      <c r="BN24" s="22">
        <f t="shared" si="21"/>
        <v>136</v>
      </c>
      <c r="BO24">
        <f t="shared" si="22"/>
        <v>122.96841980643443</v>
      </c>
    </row>
    <row r="25" spans="1:67" x14ac:dyDescent="0.25">
      <c r="A25" t="s">
        <v>336</v>
      </c>
      <c r="B25" s="4">
        <v>1.4999999999999999E-2</v>
      </c>
      <c r="C25" s="4">
        <v>1.4999999999999999E-2</v>
      </c>
      <c r="L25" s="1">
        <f t="shared" si="33"/>
        <v>40787</v>
      </c>
      <c r="M25" s="10">
        <f t="shared" si="0"/>
        <v>142058.02808029094</v>
      </c>
      <c r="N25" s="10">
        <f t="shared" si="23"/>
        <v>144791.98903490603</v>
      </c>
      <c r="O25" s="7">
        <f t="shared" si="24"/>
        <v>0.98111800954708905</v>
      </c>
      <c r="P25" s="7">
        <f t="shared" si="1"/>
        <v>0.69139602802143263</v>
      </c>
      <c r="Q25">
        <v>23</v>
      </c>
      <c r="R25">
        <f t="shared" si="2"/>
        <v>92</v>
      </c>
      <c r="S25" s="22"/>
      <c r="T25" s="22">
        <f>IF($B$10="3BR_H",
INDEX('3BR_H-processed'!$E:$E,MATCH($L25,'3BR_H-processed'!$B:$B,0),MATCH(Council_Area,'3BR_H-processed'!$E$1:$E$1,0)),
INDEX('2BR_F-processed'!$E:$E,MATCH($L25,'2BR_F-processed'!$B:$B,0),MATCH(Council_Area,'2BR_F-processed'!$E$1:$E$1,0)))</f>
        <v>366.04829667960325</v>
      </c>
      <c r="U25" s="22">
        <f t="shared" si="25"/>
        <v>370</v>
      </c>
      <c r="V25" s="22">
        <f t="shared" si="34"/>
        <v>4862.8571428571431</v>
      </c>
      <c r="W25" s="22">
        <f>$B$53/4*BH25/_xlfn.XLOOKUP(Q_end,cpi!A:A,cpi!B:B)</f>
        <v>137.80234968901175</v>
      </c>
      <c r="X25" s="22">
        <f t="shared" si="26"/>
        <v>5000.659492546155</v>
      </c>
      <c r="Y25" s="22">
        <f t="shared" si="3"/>
        <v>2232.0396984754334</v>
      </c>
      <c r="Z25" s="22">
        <f t="shared" si="27"/>
        <v>0</v>
      </c>
      <c r="AA25" s="22" cm="1">
        <f t="array" ref="AA25">(Y25+Z25)*eff_invest</f>
        <v>2232.0396984754334</v>
      </c>
      <c r="AB25" s="22">
        <f>AA25*(_xlfn.XLOOKUP(Q_end,cpi!A:A,cpi!B:B)/BH25)</f>
        <v>3239.4798833439836</v>
      </c>
      <c r="AC25" s="22" cm="1">
        <f t="array" ref="AC25">INDEX('msci-indices'!C:C,MATCH($L25,'msci-indices'!$B:$B)-2)</f>
        <v>915.80493999999999</v>
      </c>
      <c r="AD25" s="22" cm="1">
        <f t="array" ref="AD25">INDEX('msci-indices'!D:D,MATCH($L25,'msci-indices'!$B:$B)-2)</f>
        <v>884.12823400000002</v>
      </c>
      <c r="AE25" s="22">
        <f t="shared" si="28"/>
        <v>168569.07401064661</v>
      </c>
      <c r="AF25" s="22" cm="1">
        <f t="array" ref="AF25">INDEX('msci-indices'!C:C,MATCH($L25,'msci-indices'!$B:$B)+1)</f>
        <v>758.748516</v>
      </c>
      <c r="AG25" s="22" cm="1">
        <f t="array" ref="AG25">INDEX('msci-indices'!D:D,MATCH($L25,'msci-indices'!$B:$B)+1)</f>
        <v>776.26675599999999</v>
      </c>
      <c r="AH25" s="22">
        <f t="shared" si="4"/>
        <v>105.35567125665413</v>
      </c>
      <c r="AI25" s="22">
        <f t="shared" si="5"/>
        <v>142058.02808029094</v>
      </c>
      <c r="AJ25" s="22">
        <f t="shared" si="29"/>
        <v>145739.94375635276</v>
      </c>
      <c r="AK25" s="22">
        <f t="shared" si="6"/>
        <v>-3681.9156760618207</v>
      </c>
      <c r="AL25" s="22">
        <f>AJ25*(_xlfn.XLOOKUP(Q_end,cpi!A:A,cpi!B:B)/BH25)</f>
        <v>211520.25939362327</v>
      </c>
      <c r="AM25" s="22" cm="1">
        <f t="array" ref="AM25">SUMPRODUCT($AA$3:AA25,_xlfn.SORTBY($BH$3:BH25,_xlfn.SEQUENCE(ROWS($BH$3:BH25)),-1)/$BH$3)</f>
        <v>166406.35557204852</v>
      </c>
      <c r="AN25" s="22">
        <f t="shared" si="30"/>
        <v>-24348.327491757576</v>
      </c>
      <c r="AO25" s="22">
        <f t="shared" si="7"/>
        <v>0</v>
      </c>
      <c r="AP25" s="22">
        <f t="shared" si="31"/>
        <v>142058.02808029094</v>
      </c>
      <c r="AQ25" s="22"/>
      <c r="AR25" s="10">
        <f>IF($B$10="3BR_H",
INDEX('ns-combined'!$C:$D,MATCH($L25,'ns-combined'!$B:$B,0),MATCH(Council_Area,'ns-combined'!$C$1:$D$1,0))*1000,
INDEX('s-combined'!$C:$D,MATCH($L25,'s-combined'!$B:$B,0),MATCH(Council_Area,'s-combined'!$C$1:$D$1,0))*1000)</f>
        <v>433000</v>
      </c>
      <c r="AS25" s="22">
        <f t="shared" si="35"/>
        <v>18687.5</v>
      </c>
      <c r="AT25" s="10">
        <v>0</v>
      </c>
      <c r="AU25" s="22">
        <f t="shared" si="8"/>
        <v>8660</v>
      </c>
      <c r="AV25" s="22">
        <f t="shared" si="9"/>
        <v>1244.875</v>
      </c>
      <c r="AW25" s="22">
        <f>SUM($AV$3:AV25)</f>
        <v>27023.5625</v>
      </c>
      <c r="AX25" s="22">
        <f t="shared" si="32"/>
        <v>378628.9375</v>
      </c>
      <c r="AY25" s="22">
        <f t="shared" si="10"/>
        <v>1702.0000000000002</v>
      </c>
      <c r="AZ25" s="24">
        <f t="shared" si="11"/>
        <v>1.5722863741339493E-2</v>
      </c>
      <c r="BA25" s="24">
        <f t="shared" si="12"/>
        <v>0.35000000000000003</v>
      </c>
      <c r="BB25" s="25">
        <f>IF(MortgageRate="Discounted",_xlfn.XLOOKUP(L25,'mortgage-rates'!$A:$A,'mortgage-rates'!$E:$E)/100,_xlfn.XLOOKUP(L25,'mortgage-rates'!$A:$A,'mortgage-rates'!$D:$D)/100)</f>
        <v>7.0300000000000001E-2</v>
      </c>
      <c r="BC25" s="10">
        <f t="shared" si="37"/>
        <v>233836.94846509397</v>
      </c>
      <c r="BD25" s="10">
        <f t="shared" si="13"/>
        <v>5530.6991910215884</v>
      </c>
      <c r="BE25" s="10">
        <f t="shared" si="14"/>
        <v>4109.6843692740267</v>
      </c>
      <c r="BF25" s="10">
        <f t="shared" si="36"/>
        <v>1421.0148217475617</v>
      </c>
      <c r="BG25" s="12">
        <f t="shared" si="15"/>
        <v>7232.6991910215884</v>
      </c>
      <c r="BH25" s="22">
        <f>INDEX(cpi!B:B,MATCH($L25,cpi!A:A))</f>
        <v>99.7</v>
      </c>
      <c r="BI25" s="22">
        <f t="shared" si="16"/>
        <v>117.84869976359339</v>
      </c>
      <c r="BJ25" s="22">
        <f t="shared" si="17"/>
        <v>121.31801238966038</v>
      </c>
      <c r="BK25" s="22">
        <f t="shared" si="18"/>
        <v>124.0087645939373</v>
      </c>
      <c r="BL25" s="22">
        <f t="shared" si="19"/>
        <v>122.12523805094347</v>
      </c>
      <c r="BM25" s="22">
        <f t="shared" si="20"/>
        <v>203.32284237962745</v>
      </c>
      <c r="BN25" s="22">
        <f t="shared" si="21"/>
        <v>133.23076923076923</v>
      </c>
      <c r="BO25">
        <f t="shared" si="22"/>
        <v>119.53439685875237</v>
      </c>
    </row>
    <row r="26" spans="1:67" x14ac:dyDescent="0.25">
      <c r="A26" t="s">
        <v>337</v>
      </c>
      <c r="B26" s="4">
        <f>(7225+(3.5/100)*(AR3-250000))/AR3</f>
        <v>3.0307692307692306E-2</v>
      </c>
      <c r="C26" s="4">
        <v>0.03</v>
      </c>
      <c r="L26" s="1">
        <f t="shared" si="33"/>
        <v>40878</v>
      </c>
      <c r="M26" s="10">
        <f t="shared" si="0"/>
        <v>152530.10969522002</v>
      </c>
      <c r="N26" s="10">
        <f t="shared" si="23"/>
        <v>141224.25385665358</v>
      </c>
      <c r="O26" s="7">
        <f t="shared" si="24"/>
        <v>1.0800560493670031</v>
      </c>
      <c r="P26" s="7">
        <f t="shared" si="1"/>
        <v>0.7113169852069251</v>
      </c>
      <c r="Q26">
        <v>24</v>
      </c>
      <c r="R26">
        <f t="shared" si="2"/>
        <v>92</v>
      </c>
      <c r="S26" s="22"/>
      <c r="T26" s="22">
        <f>IF($B$10="3BR_H",
INDEX('3BR_H-processed'!$E:$E,MATCH($L26,'3BR_H-processed'!$B:$B,0),MATCH(Council_Area,'3BR_H-processed'!$E$1:$E$1,0)),
INDEX('2BR_F-processed'!$E:$E,MATCH($L26,'2BR_F-processed'!$B:$B,0),MATCH(Council_Area,'2BR_F-processed'!$E$1:$E$1,0)))</f>
        <v>364.07244501940488</v>
      </c>
      <c r="U26" s="22">
        <f t="shared" si="25"/>
        <v>370</v>
      </c>
      <c r="V26" s="22">
        <f t="shared" si="34"/>
        <v>4862.8571428571431</v>
      </c>
      <c r="W26" s="22">
        <f>$B$53/4*BH26/_xlfn.XLOOKUP(Q_end,cpi!A:A,cpi!B:B)</f>
        <v>138.07878369039392</v>
      </c>
      <c r="X26" s="22">
        <f t="shared" si="26"/>
        <v>5000.9359265475368</v>
      </c>
      <c r="Y26" s="22">
        <f t="shared" si="3"/>
        <v>2029.5948080626367</v>
      </c>
      <c r="Z26" s="22">
        <f t="shared" si="27"/>
        <v>0</v>
      </c>
      <c r="AA26" s="22" cm="1">
        <f t="array" ref="AA26">(Y26+Z26)*eff_invest</f>
        <v>2029.5948080626367</v>
      </c>
      <c r="AB26" s="22">
        <f>AA26*(_xlfn.XLOOKUP(Q_end,cpi!A:A,cpi!B:B)/BH26)</f>
        <v>2939.7634507173525</v>
      </c>
      <c r="AC26" s="22" cm="1">
        <f t="array" ref="AC26">INDEX('msci-indices'!C:C,MATCH($L26,'msci-indices'!$B:$B)-2)</f>
        <v>758.748516</v>
      </c>
      <c r="AD26" s="22" cm="1">
        <f t="array" ref="AD26">INDEX('msci-indices'!D:D,MATCH($L26,'msci-indices'!$B:$B)-2)</f>
        <v>776.26675599999999</v>
      </c>
      <c r="AE26" s="22">
        <f t="shared" si="28"/>
        <v>144087.62288835357</v>
      </c>
      <c r="AF26" s="22" cm="1">
        <f t="array" ref="AF26">INDEX('msci-indices'!C:C,MATCH($L26,'msci-indices'!$B:$B)+1)</f>
        <v>816.97540400000003</v>
      </c>
      <c r="AG26" s="22" cm="1">
        <f t="array" ref="AG26">INDEX('msci-indices'!D:D,MATCH($L26,'msci-indices'!$B:$B)+1)</f>
        <v>790.49635000000001</v>
      </c>
      <c r="AH26" s="22">
        <f t="shared" si="4"/>
        <v>90.054764305220985</v>
      </c>
      <c r="AI26" s="22">
        <f t="shared" si="5"/>
        <v>152530.10969522002</v>
      </c>
      <c r="AJ26" s="22">
        <f t="shared" si="29"/>
        <v>147769.53856441539</v>
      </c>
      <c r="AK26" s="22">
        <f t="shared" si="6"/>
        <v>4760.5711308046302</v>
      </c>
      <c r="AL26" s="22">
        <f>AJ26*(_xlfn.XLOOKUP(Q_end,cpi!A:A,cpi!B:B)/BH26)</f>
        <v>214036.55886157061</v>
      </c>
      <c r="AM26" s="22" cm="1">
        <f t="array" ref="AM26">SUMPRODUCT($AA$3:AA26,_xlfn.SORTBY($BH$3:BH26,_xlfn.SEQUENCE(ROWS($BH$3:BH26)),-1)/$BH$3)</f>
        <v>169139.50192652311</v>
      </c>
      <c r="AN26" s="22">
        <f t="shared" si="30"/>
        <v>-16609.392231303093</v>
      </c>
      <c r="AO26" s="22">
        <f t="shared" si="7"/>
        <v>0</v>
      </c>
      <c r="AP26" s="22">
        <f t="shared" si="31"/>
        <v>152530.10969522002</v>
      </c>
      <c r="AQ26" s="22"/>
      <c r="AR26" s="10">
        <f>IF($B$10="3BR_H",
INDEX('ns-combined'!$C:$D,MATCH($L26,'ns-combined'!$B:$B,0),MATCH(Council_Area,'ns-combined'!$C$1:$D$1,0))*1000,
INDEX('s-combined'!$C:$D,MATCH($L26,'s-combined'!$B:$B,0),MATCH(Council_Area,'s-combined'!$C$1:$D$1,0))*1000)</f>
        <v>430000</v>
      </c>
      <c r="AS26" s="22">
        <f t="shared" si="35"/>
        <v>19500</v>
      </c>
      <c r="AT26" s="10">
        <v>0</v>
      </c>
      <c r="AU26" s="22">
        <f t="shared" si="8"/>
        <v>8600</v>
      </c>
      <c r="AV26" s="22">
        <f t="shared" si="9"/>
        <v>1236.25</v>
      </c>
      <c r="AW26" s="22">
        <f>SUM($AV$3:AV26)</f>
        <v>28259.8125</v>
      </c>
      <c r="AX26" s="22">
        <f t="shared" si="32"/>
        <v>373640.1875</v>
      </c>
      <c r="AY26" s="22">
        <f t="shared" si="10"/>
        <v>1702.0000000000002</v>
      </c>
      <c r="AZ26" s="24">
        <f t="shared" si="11"/>
        <v>1.5832558139534887E-2</v>
      </c>
      <c r="BA26" s="24">
        <f t="shared" si="12"/>
        <v>0.35000000000000003</v>
      </c>
      <c r="BB26" s="25">
        <f>IF(MortgageRate="Discounted",_xlfn.XLOOKUP(L26,'mortgage-rates'!$A:$A,'mortgage-rates'!$E:$E)/100,_xlfn.XLOOKUP(L26,'mortgage-rates'!$A:$A,'mortgage-rates'!$D:$D)/100)</f>
        <v>6.54E-2</v>
      </c>
      <c r="BC26" s="10">
        <f t="shared" si="37"/>
        <v>232415.93364334642</v>
      </c>
      <c r="BD26" s="10">
        <f t="shared" si="13"/>
        <v>5328.5307346101736</v>
      </c>
      <c r="BE26" s="10">
        <f t="shared" si="14"/>
        <v>3800.0005150687139</v>
      </c>
      <c r="BF26" s="10">
        <f t="shared" si="36"/>
        <v>1528.5302195414597</v>
      </c>
      <c r="BG26" s="12">
        <f t="shared" si="15"/>
        <v>7030.5307346101736</v>
      </c>
      <c r="BH26" s="22">
        <f>INDEX(cpi!B:B,MATCH($L26,cpi!A:A))</f>
        <v>99.9</v>
      </c>
      <c r="BI26" s="22">
        <f t="shared" si="16"/>
        <v>118.08510638297874</v>
      </c>
      <c r="BJ26" s="22">
        <f t="shared" si="17"/>
        <v>100.5125194724593</v>
      </c>
      <c r="BK26" s="22">
        <f t="shared" si="18"/>
        <v>108.87999919579919</v>
      </c>
      <c r="BL26" s="22">
        <f t="shared" si="19"/>
        <v>103.02276338946128</v>
      </c>
      <c r="BM26" s="22">
        <f t="shared" si="20"/>
        <v>173.79406756148873</v>
      </c>
      <c r="BN26" s="22">
        <f t="shared" si="21"/>
        <v>132.30769230769232</v>
      </c>
      <c r="BO26">
        <f t="shared" si="22"/>
        <v>117.95943212872801</v>
      </c>
    </row>
    <row r="27" spans="1:67" x14ac:dyDescent="0.25">
      <c r="A27" s="6" t="s">
        <v>495</v>
      </c>
      <c r="L27" s="1">
        <f t="shared" si="33"/>
        <v>40969</v>
      </c>
      <c r="M27" s="10">
        <f t="shared" si="0"/>
        <v>171436.66542566335</v>
      </c>
      <c r="N27" s="10">
        <f t="shared" si="23"/>
        <v>140704.03407619504</v>
      </c>
      <c r="O27" s="7">
        <f t="shared" si="24"/>
        <v>1.2184203996086265</v>
      </c>
      <c r="P27" s="7">
        <f t="shared" si="1"/>
        <v>0.68775839065688538</v>
      </c>
      <c r="Q27">
        <v>25</v>
      </c>
      <c r="R27">
        <f t="shared" si="2"/>
        <v>91</v>
      </c>
      <c r="S27" s="22"/>
      <c r="T27" s="22">
        <f>IF($B$10="3BR_H",
INDEX('3BR_H-processed'!$E:$E,MATCH($L27,'3BR_H-processed'!$B:$B,0),MATCH(Council_Area,'3BR_H-processed'!$E$1:$E$1,0)),
INDEX('2BR_F-processed'!$E:$E,MATCH($L27,'2BR_F-processed'!$B:$B,0),MATCH(Council_Area,'2BR_F-processed'!$E$1:$E$1,0)))</f>
        <v>362.09659335920657</v>
      </c>
      <c r="U27" s="22">
        <f t="shared" si="25"/>
        <v>362.09659335920657</v>
      </c>
      <c r="V27" s="22">
        <f t="shared" si="34"/>
        <v>4707.2557136696851</v>
      </c>
      <c r="W27" s="22">
        <f>$B$53/4*BH27/_xlfn.XLOOKUP(Q_end,cpi!A:A,cpi!B:B)</f>
        <v>138.07878369039392</v>
      </c>
      <c r="X27" s="22">
        <f t="shared" si="26"/>
        <v>4845.3344973600788</v>
      </c>
      <c r="Y27" s="22">
        <f t="shared" si="3"/>
        <v>2199.7769301170156</v>
      </c>
      <c r="Z27" s="22">
        <f t="shared" si="27"/>
        <v>0</v>
      </c>
      <c r="AA27" s="22" cm="1">
        <f t="array" ref="AA27">(Y27+Z27)*eff_invest</f>
        <v>2199.7769301170156</v>
      </c>
      <c r="AB27" s="22">
        <f>AA27*(_xlfn.XLOOKUP(Q_end,cpi!A:A,cpi!B:B)/BH27)</f>
        <v>3186.2634813606819</v>
      </c>
      <c r="AC27" s="22" cm="1">
        <f t="array" ref="AC27">INDEX('msci-indices'!C:C,MATCH($L27,'msci-indices'!$B:$B)-2)</f>
        <v>816.97540400000003</v>
      </c>
      <c r="AD27" s="22" cm="1">
        <f t="array" ref="AD27">INDEX('msci-indices'!D:D,MATCH($L27,'msci-indices'!$B:$B)-2)</f>
        <v>790.49635000000001</v>
      </c>
      <c r="AE27" s="22">
        <f t="shared" si="28"/>
        <v>154729.88662533704</v>
      </c>
      <c r="AF27" s="22" cm="1">
        <f t="array" ref="AF27">INDEX('msci-indices'!C:C,MATCH($L27,'msci-indices'!$B:$B)+1)</f>
        <v>913.58723299999997</v>
      </c>
      <c r="AG27" s="22" cm="1">
        <f t="array" ref="AG27">INDEX('msci-indices'!D:D,MATCH($L27,'msci-indices'!$B:$B)+1)</f>
        <v>858.531702</v>
      </c>
      <c r="AH27" s="22">
        <f t="shared" si="4"/>
        <v>96.706179140835644</v>
      </c>
      <c r="AI27" s="22">
        <f t="shared" si="5"/>
        <v>171436.66542566335</v>
      </c>
      <c r="AJ27" s="22">
        <f t="shared" si="29"/>
        <v>149969.31549453241</v>
      </c>
      <c r="AK27" s="22">
        <f t="shared" si="6"/>
        <v>21467.349931130942</v>
      </c>
      <c r="AL27" s="22">
        <f>AJ27*(_xlfn.XLOOKUP(Q_end,cpi!A:A,cpi!B:B)/BH27)</f>
        <v>217222.82234293129</v>
      </c>
      <c r="AM27" s="22" cm="1">
        <f t="array" ref="AM27">SUMPRODUCT($AA$3:AA27,_xlfn.SORTBY($BH$3:BH27,_xlfn.SEQUENCE(ROWS($BH$3:BH27)),-1)/$BH$3)</f>
        <v>171855.89883273456</v>
      </c>
      <c r="AN27" s="22">
        <f t="shared" si="30"/>
        <v>-419.23340707120951</v>
      </c>
      <c r="AO27" s="22">
        <f t="shared" si="7"/>
        <v>0</v>
      </c>
      <c r="AP27" s="22">
        <f t="shared" si="31"/>
        <v>171436.66542566335</v>
      </c>
      <c r="AQ27" s="22"/>
      <c r="AR27" s="10">
        <f>IF($B$10="3BR_H",
INDEX('ns-combined'!$C:$D,MATCH($L27,'ns-combined'!$B:$B,0),MATCH(Council_Area,'ns-combined'!$C$1:$D$1,0))*1000,
INDEX('s-combined'!$C:$D,MATCH($L27,'s-combined'!$B:$B,0),MATCH(Council_Area,'s-combined'!$C$1:$D$1,0))*1000)</f>
        <v>430000</v>
      </c>
      <c r="AS27" s="22">
        <f t="shared" si="35"/>
        <v>20312.5</v>
      </c>
      <c r="AT27" s="10">
        <v>0</v>
      </c>
      <c r="AU27" s="22">
        <f t="shared" si="8"/>
        <v>8600</v>
      </c>
      <c r="AV27" s="22">
        <f t="shared" si="9"/>
        <v>1236.25</v>
      </c>
      <c r="AW27" s="22">
        <f>SUM($AV$3:AV27)</f>
        <v>29496.0625</v>
      </c>
      <c r="AX27" s="22">
        <f t="shared" si="32"/>
        <v>371591.4375</v>
      </c>
      <c r="AY27" s="22">
        <f t="shared" si="10"/>
        <v>1647.5394997843898</v>
      </c>
      <c r="AZ27" s="24">
        <f t="shared" si="11"/>
        <v>1.5325948835203626E-2</v>
      </c>
      <c r="BA27" s="24">
        <f t="shared" si="12"/>
        <v>0.35000000000000003</v>
      </c>
      <c r="BB27" s="25">
        <f>IF(MortgageRate="Discounted",_xlfn.XLOOKUP(L27,'mortgage-rates'!$A:$A,'mortgage-rates'!$E:$E)/100,_xlfn.XLOOKUP(L27,'mortgage-rates'!$A:$A,'mortgage-rates'!$D:$D)/100)</f>
        <v>6.7099999999999993E-2</v>
      </c>
      <c r="BC27" s="10">
        <f t="shared" si="37"/>
        <v>230887.40342380496</v>
      </c>
      <c r="BD27" s="10">
        <f t="shared" si="13"/>
        <v>5397.5719276927048</v>
      </c>
      <c r="BE27" s="10">
        <f t="shared" si="14"/>
        <v>3873.1361924343278</v>
      </c>
      <c r="BF27" s="10">
        <f t="shared" si="36"/>
        <v>1524.435735258377</v>
      </c>
      <c r="BG27" s="12">
        <f t="shared" si="15"/>
        <v>7045.1114274770944</v>
      </c>
      <c r="BH27" s="22">
        <f>INDEX(cpi!B:B,MATCH($L27,cpi!A:A))</f>
        <v>99.9</v>
      </c>
      <c r="BI27" s="22">
        <f t="shared" si="16"/>
        <v>118.08510638297874</v>
      </c>
      <c r="BJ27" s="22">
        <f t="shared" si="17"/>
        <v>108.22592001362189</v>
      </c>
      <c r="BK27" s="22">
        <f t="shared" si="18"/>
        <v>110.87585715480799</v>
      </c>
      <c r="BL27" s="22">
        <f t="shared" si="19"/>
        <v>109.02090115597773</v>
      </c>
      <c r="BM27" s="22">
        <f t="shared" si="20"/>
        <v>186.63043938744093</v>
      </c>
      <c r="BN27" s="22">
        <f t="shared" si="21"/>
        <v>132.30769230769232</v>
      </c>
      <c r="BO27">
        <f t="shared" si="22"/>
        <v>117.31263503714446</v>
      </c>
    </row>
    <row r="28" spans="1:67" x14ac:dyDescent="0.25">
      <c r="A28" t="s">
        <v>338</v>
      </c>
      <c r="B28" s="4">
        <v>1.4999999999999999E-2</v>
      </c>
      <c r="C28" s="4">
        <v>1.4999999999999999E-2</v>
      </c>
      <c r="L28" s="1">
        <f t="shared" si="33"/>
        <v>41061</v>
      </c>
      <c r="M28" s="10">
        <f t="shared" si="0"/>
        <v>164194.2138149672</v>
      </c>
      <c r="N28" s="10">
        <f t="shared" si="23"/>
        <v>145065.34481145343</v>
      </c>
      <c r="O28" s="7">
        <f t="shared" si="24"/>
        <v>1.1318638095706197</v>
      </c>
      <c r="P28" s="7">
        <f t="shared" si="1"/>
        <v>0.71124152086891534</v>
      </c>
      <c r="Q28">
        <v>26</v>
      </c>
      <c r="R28">
        <f t="shared" si="2"/>
        <v>91</v>
      </c>
      <c r="S28" s="22"/>
      <c r="T28" s="22">
        <f>IF($B$10="3BR_H",
INDEX('3BR_H-processed'!$E:$E,MATCH($L28,'3BR_H-processed'!$B:$B,0),MATCH(Council_Area,'3BR_H-processed'!$E$1:$E$1,0)),
INDEX('2BR_F-processed'!$E:$E,MATCH($L28,'2BR_F-processed'!$B:$B,0),MATCH(Council_Area,'2BR_F-processed'!$E$1:$E$1,0)))</f>
        <v>352.71793054571225</v>
      </c>
      <c r="U28" s="22">
        <f t="shared" si="25"/>
        <v>362.09659335920657</v>
      </c>
      <c r="V28" s="22">
        <f t="shared" si="34"/>
        <v>4707.2557136696851</v>
      </c>
      <c r="W28" s="22">
        <f>$B$53/4*BH28/_xlfn.XLOOKUP(Q_end,cpi!A:A,cpi!B:B)</f>
        <v>138.90808569454043</v>
      </c>
      <c r="X28" s="22">
        <f t="shared" si="26"/>
        <v>4846.1637993642253</v>
      </c>
      <c r="Y28" s="22">
        <f t="shared" si="3"/>
        <v>1967.5044935719416</v>
      </c>
      <c r="Z28" s="22">
        <f t="shared" si="27"/>
        <v>0</v>
      </c>
      <c r="AA28" s="22" cm="1">
        <f t="array" ref="AA28">(Y28+Z28)*eff_invest</f>
        <v>1967.5044935719416</v>
      </c>
      <c r="AB28" s="22">
        <f>AA28*(_xlfn.XLOOKUP(Q_end,cpi!A:A,cpi!B:B)/BH28)</f>
        <v>2832.8149275607952</v>
      </c>
      <c r="AC28" s="22" cm="1">
        <f t="array" ref="AC28">INDEX('msci-indices'!C:C,MATCH($L28,'msci-indices'!$B:$B)-2)</f>
        <v>913.58723299999997</v>
      </c>
      <c r="AD28" s="22" cm="1">
        <f t="array" ref="AD28">INDEX('msci-indices'!D:D,MATCH($L28,'msci-indices'!$B:$B)-2)</f>
        <v>858.531702</v>
      </c>
      <c r="AE28" s="22">
        <f t="shared" si="28"/>
        <v>173404.16991923528</v>
      </c>
      <c r="AF28" s="22" cm="1">
        <f t="array" ref="AF28">INDEX('msci-indices'!C:C,MATCH($L28,'msci-indices'!$B:$B)+1)</f>
        <v>865.80589099999997</v>
      </c>
      <c r="AG28" s="22" cm="1">
        <f t="array" ref="AG28">INDEX('msci-indices'!D:D,MATCH($L28,'msci-indices'!$B:$B)+1)</f>
        <v>813.09506399999998</v>
      </c>
      <c r="AH28" s="22">
        <f t="shared" si="4"/>
        <v>108.37760619952205</v>
      </c>
      <c r="AI28" s="22">
        <f t="shared" si="5"/>
        <v>164194.2138149672</v>
      </c>
      <c r="AJ28" s="22">
        <f t="shared" si="29"/>
        <v>151936.81998810434</v>
      </c>
      <c r="AK28" s="22">
        <f t="shared" si="6"/>
        <v>12257.393826862855</v>
      </c>
      <c r="AL28" s="22">
        <f>AJ28*(_xlfn.XLOOKUP(Q_end,cpi!A:A,cpi!B:B)/BH28)</f>
        <v>218758.78459978802</v>
      </c>
      <c r="AM28" s="22" cm="1">
        <f t="array" ref="AM28">SUMPRODUCT($AA$3:AA28,_xlfn.SORTBY($BH$3:BH28,_xlfn.SEQUENCE(ROWS($BH$3:BH28)),-1)/$BH$3)</f>
        <v>174921.50611359914</v>
      </c>
      <c r="AN28" s="22">
        <f t="shared" si="30"/>
        <v>-10727.292298631946</v>
      </c>
      <c r="AO28" s="22">
        <f t="shared" si="7"/>
        <v>0</v>
      </c>
      <c r="AP28" s="22">
        <f t="shared" si="31"/>
        <v>164194.2138149672</v>
      </c>
      <c r="AQ28" s="22"/>
      <c r="AR28" s="10">
        <f>IF($B$10="3BR_H",
INDEX('ns-combined'!$C:$D,MATCH($L28,'ns-combined'!$B:$B,0),MATCH(Council_Area,'ns-combined'!$C$1:$D$1,0))*1000,
INDEX('s-combined'!$C:$D,MATCH($L28,'s-combined'!$B:$B,0),MATCH(Council_Area,'s-combined'!$C$1:$D$1,0))*1000)</f>
        <v>435000</v>
      </c>
      <c r="AS28" s="22">
        <f t="shared" si="35"/>
        <v>21125</v>
      </c>
      <c r="AT28" s="10">
        <v>0</v>
      </c>
      <c r="AU28" s="22">
        <f t="shared" si="8"/>
        <v>8700</v>
      </c>
      <c r="AV28" s="22">
        <f t="shared" si="9"/>
        <v>1250.625</v>
      </c>
      <c r="AW28" s="22">
        <f>SUM($AV$3:AV28)</f>
        <v>30746.6875</v>
      </c>
      <c r="AX28" s="22">
        <f t="shared" si="32"/>
        <v>374428.3125</v>
      </c>
      <c r="AY28" s="22">
        <f t="shared" si="10"/>
        <v>1647.5394997843898</v>
      </c>
      <c r="AZ28" s="24">
        <f t="shared" si="11"/>
        <v>1.5149788503764505E-2</v>
      </c>
      <c r="BA28" s="24">
        <f t="shared" si="12"/>
        <v>0.35000000000000003</v>
      </c>
      <c r="BB28" s="25">
        <f>IF(MortgageRate="Discounted",_xlfn.XLOOKUP(L28,'mortgage-rates'!$A:$A,'mortgage-rates'!$E:$E)/100,_xlfn.XLOOKUP(L28,'mortgage-rates'!$A:$A,'mortgage-rates'!$D:$D)/100)</f>
        <v>6.13E-2</v>
      </c>
      <c r="BC28" s="10">
        <f t="shared" si="37"/>
        <v>229362.96768854657</v>
      </c>
      <c r="BD28" s="10">
        <f t="shared" si="13"/>
        <v>5166.1287931517772</v>
      </c>
      <c r="BE28" s="10">
        <f t="shared" si="14"/>
        <v>3514.9874798269761</v>
      </c>
      <c r="BF28" s="10">
        <f t="shared" si="36"/>
        <v>1651.1413133248011</v>
      </c>
      <c r="BG28" s="12">
        <f t="shared" si="15"/>
        <v>6813.6682929361668</v>
      </c>
      <c r="BH28" s="22">
        <f>INDEX(cpi!B:B,MATCH($L28,cpi!A:A))</f>
        <v>100.5</v>
      </c>
      <c r="BI28" s="22">
        <f t="shared" si="16"/>
        <v>118.79432624113475</v>
      </c>
      <c r="BJ28" s="22">
        <f t="shared" si="17"/>
        <v>121.02422951783765</v>
      </c>
      <c r="BK28" s="22">
        <f t="shared" si="18"/>
        <v>120.41856784515979</v>
      </c>
      <c r="BL28" s="22">
        <f t="shared" si="19"/>
        <v>120.8425310160343</v>
      </c>
      <c r="BM28" s="22">
        <f t="shared" si="20"/>
        <v>209.15478663798098</v>
      </c>
      <c r="BN28" s="22">
        <f t="shared" si="21"/>
        <v>133.84615384615384</v>
      </c>
      <c r="BO28">
        <f t="shared" si="22"/>
        <v>118.20824577500223</v>
      </c>
    </row>
    <row r="29" spans="1:67" x14ac:dyDescent="0.25">
      <c r="A29" t="s">
        <v>345</v>
      </c>
      <c r="B29" s="4">
        <v>5.0000000000000001E-3</v>
      </c>
      <c r="C29" s="4">
        <v>5.0000000000000001E-3</v>
      </c>
      <c r="L29" s="1">
        <f t="shared" si="33"/>
        <v>41153</v>
      </c>
      <c r="M29" s="10">
        <f t="shared" si="0"/>
        <v>178109.91617574714</v>
      </c>
      <c r="N29" s="10">
        <f t="shared" si="23"/>
        <v>144653.36112477822</v>
      </c>
      <c r="O29" s="7">
        <f t="shared" si="24"/>
        <v>1.2312877819832284</v>
      </c>
      <c r="P29" s="7">
        <f t="shared" si="1"/>
        <v>0.71920467530758103</v>
      </c>
      <c r="Q29">
        <v>27</v>
      </c>
      <c r="R29">
        <f t="shared" si="2"/>
        <v>92</v>
      </c>
      <c r="S29" s="22"/>
      <c r="T29" s="22">
        <f>IF($B$10="3BR_H",
INDEX('3BR_H-processed'!$E:$E,MATCH($L29,'3BR_H-processed'!$B:$B,0),MATCH(Council_Area,'3BR_H-processed'!$E$1:$E$1,0)),
INDEX('2BR_F-processed'!$E:$E,MATCH($L29,'2BR_F-processed'!$B:$B,0),MATCH(Council_Area,'2BR_F-processed'!$E$1:$E$1,0)))</f>
        <v>358.10837118754057</v>
      </c>
      <c r="U29" s="22">
        <f t="shared" si="25"/>
        <v>362.09659335920657</v>
      </c>
      <c r="V29" s="22">
        <f t="shared" si="34"/>
        <v>4758.9837984352862</v>
      </c>
      <c r="W29" s="22">
        <f>$B$53/4*BH29/_xlfn.XLOOKUP(Q_end,cpi!A:A,cpi!B:B)</f>
        <v>140.42847270214239</v>
      </c>
      <c r="X29" s="22">
        <f t="shared" si="26"/>
        <v>4899.4122711374284</v>
      </c>
      <c r="Y29" s="22">
        <f t="shared" si="3"/>
        <v>1912.8519414695111</v>
      </c>
      <c r="Z29" s="22">
        <f t="shared" si="27"/>
        <v>0</v>
      </c>
      <c r="AA29" s="22" cm="1">
        <f t="array" ref="AA29">(Y29+Z29)*eff_invest</f>
        <v>1912.8519414695111</v>
      </c>
      <c r="AB29" s="22">
        <f>AA29*(_xlfn.XLOOKUP(Q_end,cpi!A:A,cpi!B:B)/BH29)</f>
        <v>2724.3078339629747</v>
      </c>
      <c r="AC29" s="22" cm="1">
        <f t="array" ref="AC29">INDEX('msci-indices'!C:C,MATCH($L29,'msci-indices'!$B:$B)-2)</f>
        <v>865.80589099999997</v>
      </c>
      <c r="AD29" s="22" cm="1">
        <f t="array" ref="AD29">INDEX('msci-indices'!D:D,MATCH($L29,'msci-indices'!$B:$B)-2)</f>
        <v>813.09506399999998</v>
      </c>
      <c r="AE29" s="22">
        <f t="shared" si="28"/>
        <v>166107.0657564367</v>
      </c>
      <c r="AF29" s="22" cm="1">
        <f t="array" ref="AF29">INDEX('msci-indices'!C:C,MATCH($L29,'msci-indices'!$B:$B)+1)</f>
        <v>923.89950299999998</v>
      </c>
      <c r="AG29" s="22" cm="1">
        <f t="array" ref="AG29">INDEX('msci-indices'!D:D,MATCH($L29,'msci-indices'!$B:$B)+1)</f>
        <v>883.33647499999995</v>
      </c>
      <c r="AH29" s="22">
        <f t="shared" si="4"/>
        <v>103.81691609777295</v>
      </c>
      <c r="AI29" s="22">
        <f t="shared" si="5"/>
        <v>178109.91617574714</v>
      </c>
      <c r="AJ29" s="22">
        <f t="shared" si="29"/>
        <v>153849.67192957384</v>
      </c>
      <c r="AK29" s="22">
        <f t="shared" si="6"/>
        <v>24260.244246173301</v>
      </c>
      <c r="AL29" s="22">
        <f>AJ29*(_xlfn.XLOOKUP(Q_end,cpi!A:A,cpi!B:B)/BH29)</f>
        <v>219114.64102568242</v>
      </c>
      <c r="AM29" s="22" cm="1">
        <f t="array" ref="AM29">SUMPRODUCT($AA$3:AA29,_xlfn.SORTBY($BH$3:BH29,_xlfn.SEQUENCE(ROWS($BH$3:BH29)),-1)/$BH$3)</f>
        <v>178431.08818980897</v>
      </c>
      <c r="AN29" s="22">
        <f t="shared" si="30"/>
        <v>-321.17201406182721</v>
      </c>
      <c r="AO29" s="22">
        <f t="shared" si="7"/>
        <v>0</v>
      </c>
      <c r="AP29" s="22">
        <f t="shared" si="31"/>
        <v>178109.91617574714</v>
      </c>
      <c r="AQ29" s="22"/>
      <c r="AR29" s="10">
        <f>IF($B$10="3BR_H",
INDEX('ns-combined'!$C:$D,MATCH($L29,'ns-combined'!$B:$B,0),MATCH(Council_Area,'ns-combined'!$C$1:$D$1,0))*1000,
INDEX('s-combined'!$C:$D,MATCH($L29,'s-combined'!$B:$B,0),MATCH(Council_Area,'s-combined'!$C$1:$D$1,0))*1000)</f>
        <v>435000</v>
      </c>
      <c r="AS29" s="22">
        <f t="shared" si="35"/>
        <v>21937.5</v>
      </c>
      <c r="AT29" s="10">
        <v>0</v>
      </c>
      <c r="AU29" s="22">
        <f t="shared" si="8"/>
        <v>8700</v>
      </c>
      <c r="AV29" s="22">
        <f t="shared" si="9"/>
        <v>1250.625</v>
      </c>
      <c r="AW29" s="22">
        <f>SUM($AV$3:AV29)</f>
        <v>31997.3125</v>
      </c>
      <c r="AX29" s="22">
        <f t="shared" si="32"/>
        <v>372365.1875</v>
      </c>
      <c r="AY29" s="22">
        <f t="shared" si="10"/>
        <v>1665.6443294523503</v>
      </c>
      <c r="AZ29" s="24">
        <f t="shared" si="11"/>
        <v>1.5316269696113567E-2</v>
      </c>
      <c r="BA29" s="24">
        <f t="shared" si="12"/>
        <v>0.35000000000000003</v>
      </c>
      <c r="BB29" s="25">
        <f>IF(MortgageRate="Discounted",_xlfn.XLOOKUP(L29,'mortgage-rates'!$A:$A,'mortgage-rates'!$E:$E)/100,_xlfn.XLOOKUP(L29,'mortgage-rates'!$A:$A,'mortgage-rates'!$D:$D)/100)</f>
        <v>6.08E-2</v>
      </c>
      <c r="BC29" s="10">
        <f t="shared" si="37"/>
        <v>227711.82637522178</v>
      </c>
      <c r="BD29" s="10">
        <f t="shared" si="13"/>
        <v>5146.6198831545889</v>
      </c>
      <c r="BE29" s="10">
        <f t="shared" si="14"/>
        <v>3461.219760903371</v>
      </c>
      <c r="BF29" s="10">
        <f t="shared" si="36"/>
        <v>1685.4001222512179</v>
      </c>
      <c r="BG29" s="12">
        <f t="shared" si="15"/>
        <v>6812.2642126069395</v>
      </c>
      <c r="BH29" s="22">
        <f>INDEX(cpi!B:B,MATCH($L29,cpi!A:A))</f>
        <v>101.6</v>
      </c>
      <c r="BI29" s="22">
        <f t="shared" si="16"/>
        <v>120.09456264775415</v>
      </c>
      <c r="BJ29" s="22">
        <f t="shared" si="17"/>
        <v>114.69456564776658</v>
      </c>
      <c r="BK29" s="22">
        <f t="shared" si="18"/>
        <v>114.04557676875227</v>
      </c>
      <c r="BL29" s="22">
        <f t="shared" si="19"/>
        <v>114.49986898406229</v>
      </c>
      <c r="BM29" s="22">
        <f t="shared" si="20"/>
        <v>200.3532436015239</v>
      </c>
      <c r="BN29" s="22">
        <f t="shared" si="21"/>
        <v>133.84615384615384</v>
      </c>
      <c r="BO29">
        <f t="shared" si="22"/>
        <v>117.55691044879194</v>
      </c>
    </row>
    <row r="30" spans="1:67" x14ac:dyDescent="0.25">
      <c r="L30" s="1">
        <f t="shared" si="33"/>
        <v>41244</v>
      </c>
      <c r="M30" s="10">
        <f t="shared" si="0"/>
        <v>186748.98861654644</v>
      </c>
      <c r="N30" s="10">
        <f t="shared" si="23"/>
        <v>149161.26124702944</v>
      </c>
      <c r="O30" s="7">
        <f t="shared" si="24"/>
        <v>1.2519938961046131</v>
      </c>
      <c r="P30" s="7">
        <f t="shared" si="1"/>
        <v>0.73582131759404046</v>
      </c>
      <c r="Q30">
        <v>28</v>
      </c>
      <c r="R30">
        <f t="shared" si="2"/>
        <v>92</v>
      </c>
      <c r="S30" s="22"/>
      <c r="T30" s="22">
        <f>IF($B$10="3BR_H",
INDEX('3BR_H-processed'!$E:$E,MATCH($L30,'3BR_H-processed'!$B:$B,0),MATCH(Council_Area,'3BR_H-processed'!$E$1:$E$1,0)),
INDEX('2BR_F-processed'!$E:$E,MATCH($L30,'2BR_F-processed'!$B:$B,0),MATCH(Council_Area,'2BR_F-processed'!$E$1:$E$1,0)))</f>
        <v>360.26912691269126</v>
      </c>
      <c r="U30" s="22">
        <f t="shared" si="25"/>
        <v>362.09659335920657</v>
      </c>
      <c r="V30" s="22">
        <f t="shared" si="34"/>
        <v>4758.9837984352862</v>
      </c>
      <c r="W30" s="22">
        <f>$B$53/4*BH30/_xlfn.XLOOKUP(Q_end,cpi!A:A,cpi!B:B)</f>
        <v>140.98134070490673</v>
      </c>
      <c r="X30" s="22">
        <f t="shared" si="26"/>
        <v>4899.9651391401931</v>
      </c>
      <c r="Y30" s="22">
        <f t="shared" si="3"/>
        <v>1759.2128732091987</v>
      </c>
      <c r="Z30" s="22">
        <f t="shared" si="27"/>
        <v>0</v>
      </c>
      <c r="AA30" s="22" cm="1">
        <f t="array" ref="AA30">(Y30+Z30)*eff_invest</f>
        <v>1759.2128732091987</v>
      </c>
      <c r="AB30" s="22">
        <f>AA30*(_xlfn.XLOOKUP(Q_end,cpi!A:A,cpi!B:B)/BH30)</f>
        <v>2495.6676740526573</v>
      </c>
      <c r="AC30" s="22" cm="1">
        <f t="array" ref="AC30">INDEX('msci-indices'!C:C,MATCH($L30,'msci-indices'!$B:$B)-2)</f>
        <v>923.89950299999998</v>
      </c>
      <c r="AD30" s="22" cm="1">
        <f t="array" ref="AD30">INDEX('msci-indices'!D:D,MATCH($L30,'msci-indices'!$B:$B)-2)</f>
        <v>883.33647499999995</v>
      </c>
      <c r="AE30" s="22">
        <f t="shared" si="28"/>
        <v>179869.12904895635</v>
      </c>
      <c r="AF30" s="22" cm="1">
        <f t="array" ref="AF30">INDEX('msci-indices'!C:C,MATCH($L30,'msci-indices'!$B:$B)+1)</f>
        <v>948.15110700000002</v>
      </c>
      <c r="AG30" s="22" cm="1">
        <f t="array" ref="AG30">INDEX('msci-indices'!D:D,MATCH($L30,'msci-indices'!$B:$B)+1)</f>
        <v>943.69728799999996</v>
      </c>
      <c r="AH30" s="22">
        <f t="shared" si="4"/>
        <v>112.41820565559772</v>
      </c>
      <c r="AI30" s="22">
        <f t="shared" si="5"/>
        <v>186748.98861654644</v>
      </c>
      <c r="AJ30" s="22">
        <f t="shared" si="29"/>
        <v>155608.88480278305</v>
      </c>
      <c r="AK30" s="22">
        <f t="shared" si="6"/>
        <v>31140.103813763388</v>
      </c>
      <c r="AL30" s="22">
        <f>AJ30*(_xlfn.XLOOKUP(Q_end,cpi!A:A,cpi!B:B)/BH30)</f>
        <v>220751.03559767359</v>
      </c>
      <c r="AM30" s="22" cm="1">
        <f t="array" ref="AM30">SUMPRODUCT($AA$3:AA30,_xlfn.SORTBY($BH$3:BH30,_xlfn.SEQUENCE(ROWS($BH$3:BH30)),-1)/$BH$3)</f>
        <v>181130.52934936131</v>
      </c>
      <c r="AN30" s="22">
        <f t="shared" si="30"/>
        <v>5618.4592671851278</v>
      </c>
      <c r="AO30" s="22">
        <f t="shared" si="7"/>
        <v>0</v>
      </c>
      <c r="AP30" s="22">
        <f t="shared" si="31"/>
        <v>186748.98861654644</v>
      </c>
      <c r="AQ30" s="22"/>
      <c r="AR30" s="10">
        <f>IF($B$10="3BR_H",
INDEX('ns-combined'!$C:$D,MATCH($L30,'ns-combined'!$B:$B,0),MATCH(Council_Area,'ns-combined'!$C$1:$D$1,0))*1000,
INDEX('s-combined'!$C:$D,MATCH($L30,'s-combined'!$B:$B,0),MATCH(Council_Area,'s-combined'!$C$1:$D$1,0))*1000)</f>
        <v>440000</v>
      </c>
      <c r="AS30" s="22">
        <f t="shared" si="35"/>
        <v>22750</v>
      </c>
      <c r="AT30" s="10">
        <v>0</v>
      </c>
      <c r="AU30" s="22">
        <f t="shared" si="8"/>
        <v>8800</v>
      </c>
      <c r="AV30" s="22">
        <f t="shared" si="9"/>
        <v>1265</v>
      </c>
      <c r="AW30" s="22">
        <f>SUM($AV$3:AV30)</f>
        <v>33262.3125</v>
      </c>
      <c r="AX30" s="22">
        <f t="shared" si="32"/>
        <v>375187.6875</v>
      </c>
      <c r="AY30" s="22">
        <f t="shared" si="10"/>
        <v>1665.6443294523503</v>
      </c>
      <c r="AZ30" s="24">
        <f t="shared" si="11"/>
        <v>1.5142221176839549E-2</v>
      </c>
      <c r="BA30" s="24">
        <f t="shared" si="12"/>
        <v>0.35000000000000003</v>
      </c>
      <c r="BB30" s="25">
        <f>IF(MortgageRate="Discounted",_xlfn.XLOOKUP(L30,'mortgage-rates'!$A:$A,'mortgage-rates'!$E:$E)/100,_xlfn.XLOOKUP(L30,'mortgage-rates'!$A:$A,'mortgage-rates'!$D:$D)/100)</f>
        <v>5.6799999999999996E-2</v>
      </c>
      <c r="BC30" s="10">
        <f t="shared" si="37"/>
        <v>226026.42625297056</v>
      </c>
      <c r="BD30" s="10">
        <f t="shared" si="13"/>
        <v>4993.5336828970412</v>
      </c>
      <c r="BE30" s="10">
        <f t="shared" si="14"/>
        <v>3209.5752527921818</v>
      </c>
      <c r="BF30" s="10">
        <f t="shared" si="36"/>
        <v>1783.9584301048594</v>
      </c>
      <c r="BG30" s="12">
        <f t="shared" si="15"/>
        <v>6659.1780123493918</v>
      </c>
      <c r="BH30" s="22">
        <f>INDEX(cpi!B:B,MATCH($L30,cpi!A:A))</f>
        <v>102</v>
      </c>
      <c r="BI30" s="22">
        <f t="shared" si="16"/>
        <v>120.56737588652483</v>
      </c>
      <c r="BJ30" s="22">
        <f t="shared" si="17"/>
        <v>122.39031092336657</v>
      </c>
      <c r="BK30" s="22">
        <f t="shared" si="18"/>
        <v>123.89771163615318</v>
      </c>
      <c r="BL30" s="22">
        <f t="shared" si="19"/>
        <v>122.84253113720254</v>
      </c>
      <c r="BM30" s="22">
        <f t="shared" si="20"/>
        <v>216.95262188052368</v>
      </c>
      <c r="BN30" s="22">
        <f t="shared" si="21"/>
        <v>135.38461538461539</v>
      </c>
      <c r="BO30">
        <f t="shared" si="22"/>
        <v>118.44798295202297</v>
      </c>
    </row>
    <row r="31" spans="1:67" x14ac:dyDescent="0.25">
      <c r="A31" s="5" t="s">
        <v>20</v>
      </c>
      <c r="L31" s="1">
        <f t="shared" si="33"/>
        <v>41334</v>
      </c>
      <c r="M31" s="10">
        <f t="shared" si="0"/>
        <v>203673.31751740756</v>
      </c>
      <c r="N31" s="10">
        <f t="shared" si="23"/>
        <v>148867.7196771343</v>
      </c>
      <c r="O31" s="7">
        <f t="shared" si="24"/>
        <v>1.3681496429120843</v>
      </c>
      <c r="P31" s="7">
        <f t="shared" si="1"/>
        <v>0.74043281943230987</v>
      </c>
      <c r="Q31">
        <v>29</v>
      </c>
      <c r="R31">
        <f t="shared" si="2"/>
        <v>90</v>
      </c>
      <c r="S31" s="22"/>
      <c r="T31" s="22">
        <f>IF($B$10="3BR_H",
INDEX('3BR_H-processed'!$E:$E,MATCH($L31,'3BR_H-processed'!$B:$B,0),MATCH(Council_Area,'3BR_H-processed'!$E$1:$E$1,0)),
INDEX('2BR_F-processed'!$E:$E,MATCH($L31,'2BR_F-processed'!$B:$B,0),MATCH(Council_Area,'2BR_F-processed'!$E$1:$E$1,0)))</f>
        <v>371.55948314272985</v>
      </c>
      <c r="U31" s="22">
        <f t="shared" si="25"/>
        <v>371.55948314272985</v>
      </c>
      <c r="V31" s="22">
        <f t="shared" si="34"/>
        <v>4777.1933546922401</v>
      </c>
      <c r="W31" s="22">
        <f>$B$53/4*BH31/_xlfn.XLOOKUP(Q_end,cpi!A:A,cpi!B:B)</f>
        <v>141.53420870767104</v>
      </c>
      <c r="X31" s="22">
        <f t="shared" si="26"/>
        <v>4918.7275633999107</v>
      </c>
      <c r="Y31" s="22">
        <f t="shared" si="3"/>
        <v>1724.3161190385599</v>
      </c>
      <c r="Z31" s="22">
        <f t="shared" si="27"/>
        <v>0</v>
      </c>
      <c r="AA31" s="22" cm="1">
        <f t="array" ref="AA31">(Y31+Z31)*eff_invest</f>
        <v>1724.3161190385599</v>
      </c>
      <c r="AB31" s="22">
        <f>AA31*(_xlfn.XLOOKUP(Q_end,cpi!A:A,cpi!B:B)/BH31)</f>
        <v>2436.6068596179648</v>
      </c>
      <c r="AC31" s="22" cm="1">
        <f t="array" ref="AC31">INDEX('msci-indices'!C:C,MATCH($L31,'msci-indices'!$B:$B)-2)</f>
        <v>948.15110700000002</v>
      </c>
      <c r="AD31" s="22" cm="1">
        <f t="array" ref="AD31">INDEX('msci-indices'!D:D,MATCH($L31,'msci-indices'!$B:$B)-2)</f>
        <v>943.69728799999996</v>
      </c>
      <c r="AE31" s="22">
        <f t="shared" si="28"/>
        <v>188473.304735585</v>
      </c>
      <c r="AF31" s="22" cm="1">
        <f t="array" ref="AF31">INDEX('msci-indices'!C:C,MATCH($L31,'msci-indices'!$B:$B)+1)</f>
        <v>1024.705295</v>
      </c>
      <c r="AG31" s="22" cm="1">
        <f t="array" ref="AG31">INDEX('msci-indices'!D:D,MATCH($L31,'msci-indices'!$B:$B)+1)</f>
        <v>1021.5672520000001</v>
      </c>
      <c r="AH31" s="22">
        <f t="shared" si="4"/>
        <v>117.79581545974062</v>
      </c>
      <c r="AI31" s="22">
        <f t="shared" si="5"/>
        <v>203673.31751740756</v>
      </c>
      <c r="AJ31" s="22">
        <f t="shared" si="29"/>
        <v>157333.20092182161</v>
      </c>
      <c r="AK31" s="22">
        <f t="shared" si="6"/>
        <v>46340.116595585947</v>
      </c>
      <c r="AL31" s="22">
        <f>AJ31*(_xlfn.XLOOKUP(Q_end,cpi!A:A,cpi!B:B)/BH31)</f>
        <v>222325.33372448813</v>
      </c>
      <c r="AM31" s="22" cm="1">
        <f t="array" ref="AM31">SUMPRODUCT($AA$3:AA31,_xlfn.SORTBY($BH$3:BH31,_xlfn.SEQUENCE(ROWS($BH$3:BH31)),-1)/$BH$3)</f>
        <v>183799.63913112303</v>
      </c>
      <c r="AN31" s="22">
        <f t="shared" si="30"/>
        <v>19873.678386284533</v>
      </c>
      <c r="AO31" s="22">
        <f t="shared" si="7"/>
        <v>0</v>
      </c>
      <c r="AP31" s="22">
        <f t="shared" si="31"/>
        <v>203673.31751740756</v>
      </c>
      <c r="AQ31" s="22"/>
      <c r="AR31" s="10">
        <f>IF($B$10="3BR_H",
INDEX('ns-combined'!$C:$D,MATCH($L31,'ns-combined'!$B:$B,0),MATCH(Council_Area,'ns-combined'!$C$1:$D$1,0))*1000,
INDEX('s-combined'!$C:$D,MATCH($L31,'s-combined'!$B:$B,0),MATCH(Council_Area,'s-combined'!$C$1:$D$1,0))*1000)</f>
        <v>440000</v>
      </c>
      <c r="AS31" s="22">
        <f t="shared" si="35"/>
        <v>23562.5</v>
      </c>
      <c r="AT31" s="10">
        <v>0</v>
      </c>
      <c r="AU31" s="22">
        <f t="shared" si="8"/>
        <v>8800</v>
      </c>
      <c r="AV31" s="22">
        <f t="shared" si="9"/>
        <v>1265</v>
      </c>
      <c r="AW31" s="22">
        <f>SUM($AV$3:AV31)</f>
        <v>34527.3125</v>
      </c>
      <c r="AX31" s="22">
        <f t="shared" si="32"/>
        <v>373110.1875</v>
      </c>
      <c r="AY31" s="22">
        <f t="shared" si="10"/>
        <v>1672.0176741422842</v>
      </c>
      <c r="AZ31" s="24">
        <f t="shared" si="11"/>
        <v>1.5200160674020765E-2</v>
      </c>
      <c r="BA31" s="24">
        <f t="shared" si="12"/>
        <v>0.35000000000000003</v>
      </c>
      <c r="BB31" s="25">
        <f>IF(MortgageRate="Discounted",_xlfn.XLOOKUP(L31,'mortgage-rates'!$A:$A,'mortgage-rates'!$E:$E)/100,_xlfn.XLOOKUP(L31,'mortgage-rates'!$A:$A,'mortgage-rates'!$D:$D)/100)</f>
        <v>5.62E-2</v>
      </c>
      <c r="BC31" s="10">
        <f t="shared" si="37"/>
        <v>224242.4678228657</v>
      </c>
      <c r="BD31" s="10">
        <f t="shared" si="13"/>
        <v>4971.0260082961868</v>
      </c>
      <c r="BE31" s="10">
        <f t="shared" si="14"/>
        <v>3150.6066729112631</v>
      </c>
      <c r="BF31" s="10">
        <f t="shared" si="36"/>
        <v>1820.4193353849237</v>
      </c>
      <c r="BG31" s="12">
        <f t="shared" si="15"/>
        <v>6643.0436824384706</v>
      </c>
      <c r="BH31" s="22">
        <f>INDEX(cpi!B:B,MATCH($L31,cpi!A:A))</f>
        <v>102.4</v>
      </c>
      <c r="BI31" s="22">
        <f t="shared" si="16"/>
        <v>121.04018912529551</v>
      </c>
      <c r="BJ31" s="22">
        <f t="shared" si="17"/>
        <v>125.60295617786929</v>
      </c>
      <c r="BK31" s="22">
        <f t="shared" si="18"/>
        <v>132.36398333992017</v>
      </c>
      <c r="BL31" s="22">
        <f t="shared" si="19"/>
        <v>127.63126432648455</v>
      </c>
      <c r="BM31" s="22">
        <f t="shared" si="20"/>
        <v>227.33071446486406</v>
      </c>
      <c r="BN31" s="22">
        <f t="shared" si="21"/>
        <v>135.38461538461539</v>
      </c>
      <c r="BO31">
        <f t="shared" si="22"/>
        <v>117.79210939118596</v>
      </c>
    </row>
    <row r="32" spans="1:67" x14ac:dyDescent="0.25">
      <c r="A32" t="s">
        <v>15</v>
      </c>
      <c r="B32" s="8">
        <v>7.0000000000000007E-2</v>
      </c>
      <c r="C32" s="8">
        <v>7.0000000000000007E-2</v>
      </c>
      <c r="L32" s="1">
        <f t="shared" si="33"/>
        <v>41426</v>
      </c>
      <c r="M32" s="10">
        <f t="shared" si="0"/>
        <v>203951.18493001489</v>
      </c>
      <c r="N32" s="10">
        <f t="shared" si="23"/>
        <v>153496.26401251921</v>
      </c>
      <c r="O32" s="7">
        <f t="shared" si="24"/>
        <v>1.3287045534435975</v>
      </c>
      <c r="P32" s="7">
        <f t="shared" si="1"/>
        <v>0.75733549044280757</v>
      </c>
      <c r="Q32">
        <v>30</v>
      </c>
      <c r="R32">
        <f t="shared" si="2"/>
        <v>91</v>
      </c>
      <c r="S32" s="22"/>
      <c r="T32" s="22">
        <f>IF($B$10="3BR_H",
INDEX('3BR_H-processed'!$E:$E,MATCH($L32,'3BR_H-processed'!$B:$B,0),MATCH(Council_Area,'3BR_H-processed'!$E$1:$E$1,0)),
INDEX('2BR_F-processed'!$E:$E,MATCH($L32,'2BR_F-processed'!$B:$B,0),MATCH(Council_Area,'2BR_F-processed'!$E$1:$E$1,0)))</f>
        <v>362.18946266573624</v>
      </c>
      <c r="U32" s="22">
        <f t="shared" si="25"/>
        <v>371.55948314272985</v>
      </c>
      <c r="V32" s="22">
        <f t="shared" si="34"/>
        <v>4830.2732808554874</v>
      </c>
      <c r="W32" s="22">
        <f>$B$53/4*BH32/_xlfn.XLOOKUP(Q_end,cpi!A:A,cpi!B:B)</f>
        <v>142.22529371112648</v>
      </c>
      <c r="X32" s="22">
        <f t="shared" si="26"/>
        <v>4972.4985745666136</v>
      </c>
      <c r="Y32" s="22">
        <f>BG32-X32</f>
        <v>1593.2818983110492</v>
      </c>
      <c r="Z32" s="22">
        <f t="shared" si="27"/>
        <v>0</v>
      </c>
      <c r="AA32" s="22" cm="1">
        <f t="array" ref="AA32">(Y32+Z32)*eff_invest</f>
        <v>1593.2818983110492</v>
      </c>
      <c r="AB32" s="22">
        <f>AA32*(_xlfn.XLOOKUP(Q_end,cpi!A:A,cpi!B:B)/BH32)</f>
        <v>2240.5042826589774</v>
      </c>
      <c r="AC32" s="22" cm="1">
        <f t="array" ref="AC32">INDEX('msci-indices'!C:C,MATCH($L32,'msci-indices'!$B:$B)-2)</f>
        <v>1024.705295</v>
      </c>
      <c r="AD32" s="22" cm="1">
        <f t="array" ref="AD32">INDEX('msci-indices'!D:D,MATCH($L32,'msci-indices'!$B:$B)-2)</f>
        <v>1021.5672520000001</v>
      </c>
      <c r="AE32" s="22">
        <f t="shared" si="28"/>
        <v>205266.59941571861</v>
      </c>
      <c r="AF32" s="22" cm="1">
        <f t="array" ref="AF32">INDEX('msci-indices'!C:C,MATCH($L32,'msci-indices'!$B:$B)+1)</f>
        <v>1030.5183939999999</v>
      </c>
      <c r="AG32" s="22" cm="1">
        <f t="array" ref="AG32">INDEX('msci-indices'!D:D,MATCH($L32,'msci-indices'!$B:$B)+1)</f>
        <v>988.35138400000005</v>
      </c>
      <c r="AH32" s="22">
        <f t="shared" si="4"/>
        <v>128.29162463482413</v>
      </c>
      <c r="AI32" s="22">
        <f t="shared" si="5"/>
        <v>203951.18493001489</v>
      </c>
      <c r="AJ32" s="22">
        <f t="shared" si="29"/>
        <v>158926.48282013266</v>
      </c>
      <c r="AK32" s="22">
        <f t="shared" si="6"/>
        <v>45024.70210988223</v>
      </c>
      <c r="AL32" s="22">
        <f>AJ32*(_xlfn.XLOOKUP(Q_end,cpi!A:A,cpi!B:B)/BH32)</f>
        <v>223485.53998127495</v>
      </c>
      <c r="AM32" s="22" cm="1">
        <f t="array" ref="AM32">SUMPRODUCT($AA$3:AA32,_xlfn.SORTBY($BH$3:BH32,_xlfn.SEQUENCE(ROWS($BH$3:BH32)),-1)/$BH$3)</f>
        <v>186442.49296809576</v>
      </c>
      <c r="AN32" s="22">
        <f t="shared" si="30"/>
        <v>17508.691961919132</v>
      </c>
      <c r="AO32" s="22">
        <f t="shared" si="7"/>
        <v>0</v>
      </c>
      <c r="AP32" s="22">
        <f t="shared" si="31"/>
        <v>203951.18493001489</v>
      </c>
      <c r="AQ32" s="22"/>
      <c r="AR32" s="10">
        <f>IF($B$10="3BR_H",
INDEX('ns-combined'!$C:$D,MATCH($L32,'ns-combined'!$B:$B,0),MATCH(Council_Area,'ns-combined'!$C$1:$D$1,0))*1000,
INDEX('s-combined'!$C:$D,MATCH($L32,'s-combined'!$B:$B,0),MATCH(Council_Area,'s-combined'!$C$1:$D$1,0))*1000)</f>
        <v>445000</v>
      </c>
      <c r="AS32" s="22">
        <f t="shared" si="35"/>
        <v>24375</v>
      </c>
      <c r="AT32" s="10">
        <v>0</v>
      </c>
      <c r="AU32" s="22">
        <f t="shared" si="8"/>
        <v>8900</v>
      </c>
      <c r="AV32" s="22">
        <f t="shared" si="9"/>
        <v>1279.375</v>
      </c>
      <c r="AW32" s="22">
        <f>SUM($AV$3:AV32)</f>
        <v>35806.6875</v>
      </c>
      <c r="AX32" s="22">
        <f t="shared" si="32"/>
        <v>375918.3125</v>
      </c>
      <c r="AY32" s="22">
        <f t="shared" si="10"/>
        <v>1690.5956482994209</v>
      </c>
      <c r="AZ32" s="24">
        <f t="shared" si="11"/>
        <v>1.5196365377972322E-2</v>
      </c>
      <c r="BA32" s="24">
        <f t="shared" si="12"/>
        <v>0.35000000000000003</v>
      </c>
      <c r="BB32" s="25">
        <f>IF(MortgageRate="Discounted",_xlfn.XLOOKUP(L32,'mortgage-rates'!$A:$A,'mortgage-rates'!$E:$E)/100,_xlfn.XLOOKUP(L32,'mortgage-rates'!$A:$A,'mortgage-rates'!$D:$D)/100)</f>
        <v>5.3600000000000002E-2</v>
      </c>
      <c r="BC32" s="10">
        <f t="shared" si="37"/>
        <v>222422.04848748079</v>
      </c>
      <c r="BD32" s="10">
        <f t="shared" si="13"/>
        <v>4875.1848245782421</v>
      </c>
      <c r="BE32" s="10">
        <f t="shared" si="14"/>
        <v>2980.4554497322429</v>
      </c>
      <c r="BF32" s="10">
        <f t="shared" si="36"/>
        <v>1894.7293748459992</v>
      </c>
      <c r="BG32" s="12">
        <f t="shared" si="15"/>
        <v>6565.7804728776628</v>
      </c>
      <c r="BH32" s="22">
        <f>INDEX(cpi!B:B,MATCH($L32,cpi!A:A))</f>
        <v>102.9</v>
      </c>
      <c r="BI32" s="22">
        <f t="shared" si="16"/>
        <v>121.63120567375887</v>
      </c>
      <c r="BJ32" s="22">
        <f t="shared" si="17"/>
        <v>135.74420080608061</v>
      </c>
      <c r="BK32" s="22">
        <f t="shared" si="18"/>
        <v>143.28610714873224</v>
      </c>
      <c r="BL32" s="22">
        <f t="shared" si="19"/>
        <v>138.0067727088761</v>
      </c>
      <c r="BM32" s="22">
        <f t="shared" si="20"/>
        <v>247.58627099160745</v>
      </c>
      <c r="BN32" s="22">
        <f t="shared" si="21"/>
        <v>136.92307692307693</v>
      </c>
      <c r="BO32">
        <f t="shared" si="22"/>
        <v>118.67864365979025</v>
      </c>
    </row>
    <row r="33" spans="1:67" x14ac:dyDescent="0.25">
      <c r="A33" t="s">
        <v>17</v>
      </c>
      <c r="B33" s="8">
        <v>0.16</v>
      </c>
      <c r="C33" s="8">
        <v>0.16</v>
      </c>
      <c r="L33" s="1">
        <f t="shared" si="33"/>
        <v>41518</v>
      </c>
      <c r="M33" s="10">
        <f t="shared" si="0"/>
        <v>223927.35687223848</v>
      </c>
      <c r="N33" s="10">
        <f t="shared" si="23"/>
        <v>157207.61838736522</v>
      </c>
      <c r="O33" s="7">
        <f t="shared" si="24"/>
        <v>1.4244052493720338</v>
      </c>
      <c r="P33" s="7">
        <f t="shared" si="1"/>
        <v>0.77535620719683684</v>
      </c>
      <c r="Q33">
        <v>31</v>
      </c>
      <c r="R33">
        <f t="shared" si="2"/>
        <v>92</v>
      </c>
      <c r="S33" s="22"/>
      <c r="T33" s="22">
        <f>IF($B$10="3BR_H",
INDEX('3BR_H-processed'!$E:$E,MATCH($L33,'3BR_H-processed'!$B:$B,0),MATCH(Council_Area,'3BR_H-processed'!$E$1:$E$1,0)),
INDEX('2BR_F-processed'!$E:$E,MATCH($L33,'2BR_F-processed'!$B:$B,0),MATCH(Council_Area,'2BR_F-processed'!$E$1:$E$1,0)))</f>
        <v>367.98432703183067</v>
      </c>
      <c r="U33" s="22">
        <f t="shared" si="25"/>
        <v>371.55948314272985</v>
      </c>
      <c r="V33" s="22">
        <f t="shared" si="34"/>
        <v>4883.3532070187348</v>
      </c>
      <c r="W33" s="22">
        <f>$B$53/4*BH33/_xlfn.XLOOKUP(Q_end,cpi!A:A,cpi!B:B)</f>
        <v>143.60746371803734</v>
      </c>
      <c r="X33" s="22">
        <f t="shared" si="26"/>
        <v>5026.960670736772</v>
      </c>
      <c r="Y33" s="22">
        <f t="shared" si="3"/>
        <v>1456.4602706017367</v>
      </c>
      <c r="Z33" s="22">
        <f t="shared" si="27"/>
        <v>0</v>
      </c>
      <c r="AA33" s="22" cm="1">
        <f t="array" ref="AA33">(Y33+Z33)*eff_invest</f>
        <v>1456.4602706017367</v>
      </c>
      <c r="AB33" s="22">
        <f>AA33*(_xlfn.XLOOKUP(Q_end,cpi!A:A,cpi!B:B)/BH33)</f>
        <v>2028.3907714732559</v>
      </c>
      <c r="AC33" s="22" cm="1">
        <f t="array" ref="AC33">INDEX('msci-indices'!C:C,MATCH($L33,'msci-indices'!$B:$B)-2)</f>
        <v>1030.5183939999999</v>
      </c>
      <c r="AD33" s="22" cm="1">
        <f t="array" ref="AD33">INDEX('msci-indices'!D:D,MATCH($L33,'msci-indices'!$B:$B)-2)</f>
        <v>988.35138400000005</v>
      </c>
      <c r="AE33" s="22">
        <f t="shared" si="28"/>
        <v>205407.64520061662</v>
      </c>
      <c r="AF33" s="22" cm="1">
        <f t="array" ref="AF33">INDEX('msci-indices'!C:C,MATCH($L33,'msci-indices'!$B:$B)+1)</f>
        <v>1119.437079</v>
      </c>
      <c r="AG33" s="22" cm="1">
        <f t="array" ref="AG33">INDEX('msci-indices'!D:D,MATCH($L33,'msci-indices'!$B:$B)+1)</f>
        <v>1088.458187</v>
      </c>
      <c r="AH33" s="22">
        <f t="shared" si="4"/>
        <v>128.37977825038539</v>
      </c>
      <c r="AI33" s="22">
        <f t="shared" si="5"/>
        <v>223927.35687223848</v>
      </c>
      <c r="AJ33" s="22">
        <f t="shared" si="29"/>
        <v>160382.94309073439</v>
      </c>
      <c r="AK33" s="22">
        <f t="shared" si="6"/>
        <v>63544.413781504089</v>
      </c>
      <c r="AL33" s="22">
        <f>AJ33*(_xlfn.XLOOKUP(Q_end,cpi!A:A,cpi!B:B)/BH33)</f>
        <v>223362.96309171573</v>
      </c>
      <c r="AM33" s="22" cm="1">
        <f t="array" ref="AM33">SUMPRODUCT($AA$3:AA33,_xlfn.SORTBY($BH$3:BH33,_xlfn.SEQUENCE(ROWS($BH$3:BH33)),-1)/$BH$3)</f>
        <v>189438.62432980567</v>
      </c>
      <c r="AN33" s="22">
        <f t="shared" si="30"/>
        <v>34488.732542432816</v>
      </c>
      <c r="AO33" s="22">
        <f t="shared" si="7"/>
        <v>0</v>
      </c>
      <c r="AP33" s="22">
        <f t="shared" si="31"/>
        <v>223927.35687223848</v>
      </c>
      <c r="AQ33" s="22"/>
      <c r="AR33" s="10">
        <f>IF($B$10="3BR_H",
INDEX('ns-combined'!$C:$D,MATCH($L33,'ns-combined'!$B:$B,0),MATCH(Council_Area,'ns-combined'!$C$1:$D$1,0))*1000,
INDEX('s-combined'!$C:$D,MATCH($L33,'s-combined'!$B:$B,0),MATCH(Council_Area,'s-combined'!$C$1:$D$1,0))*1000)</f>
        <v>449000</v>
      </c>
      <c r="AS33" s="22">
        <f t="shared" si="35"/>
        <v>25187.5</v>
      </c>
      <c r="AT33" s="10">
        <v>0</v>
      </c>
      <c r="AU33" s="22">
        <f t="shared" si="8"/>
        <v>8980</v>
      </c>
      <c r="AV33" s="22">
        <f t="shared" si="9"/>
        <v>1290.875</v>
      </c>
      <c r="AW33" s="22">
        <f>SUM($AV$3:AV33)</f>
        <v>37097.5625</v>
      </c>
      <c r="AX33" s="22">
        <f t="shared" si="32"/>
        <v>377734.9375</v>
      </c>
      <c r="AY33" s="22">
        <f t="shared" si="10"/>
        <v>1709.1736224565573</v>
      </c>
      <c r="AZ33" s="24">
        <f t="shared" si="11"/>
        <v>1.5226491068655298E-2</v>
      </c>
      <c r="BA33" s="24">
        <f t="shared" si="12"/>
        <v>0.35000000000000003</v>
      </c>
      <c r="BB33" s="25">
        <f>IF(MortgageRate="Discounted",_xlfn.XLOOKUP(L33,'mortgage-rates'!$A:$A,'mortgage-rates'!$E:$E)/100,_xlfn.XLOOKUP(L33,'mortgage-rates'!$A:$A,'mortgage-rates'!$D:$D)/100)</f>
        <v>5.0799999999999998E-2</v>
      </c>
      <c r="BC33" s="10">
        <f t="shared" si="37"/>
        <v>220527.31911263478</v>
      </c>
      <c r="BD33" s="10">
        <f t="shared" si="13"/>
        <v>4774.2473188819513</v>
      </c>
      <c r="BE33" s="10">
        <f t="shared" si="14"/>
        <v>2800.6969527304618</v>
      </c>
      <c r="BF33" s="10">
        <f t="shared" si="36"/>
        <v>1973.5503661514895</v>
      </c>
      <c r="BG33" s="12">
        <f t="shared" si="15"/>
        <v>6483.4209413385088</v>
      </c>
      <c r="BH33" s="22">
        <f>INDEX(cpi!B:B,MATCH($L33,cpi!A:A))</f>
        <v>103.9</v>
      </c>
      <c r="BI33" s="22">
        <f t="shared" si="16"/>
        <v>122.81323877068559</v>
      </c>
      <c r="BJ33" s="22">
        <f t="shared" si="17"/>
        <v>136.51427048544301</v>
      </c>
      <c r="BK33" s="22">
        <f t="shared" si="18"/>
        <v>138.62721424474736</v>
      </c>
      <c r="BL33" s="22">
        <f t="shared" si="19"/>
        <v>137.14815361323431</v>
      </c>
      <c r="BM33" s="22">
        <f t="shared" si="20"/>
        <v>247.75639608756256</v>
      </c>
      <c r="BN33" s="22">
        <f t="shared" si="21"/>
        <v>138.15384615384616</v>
      </c>
      <c r="BO33">
        <f t="shared" si="22"/>
        <v>119.25215812787955</v>
      </c>
    </row>
    <row r="34" spans="1:67" x14ac:dyDescent="0.25">
      <c r="A34" t="s">
        <v>16</v>
      </c>
      <c r="B34" s="8">
        <v>7.0000000000000007E-2</v>
      </c>
      <c r="C34" s="8">
        <v>7.0000000000000007E-2</v>
      </c>
      <c r="L34" s="1">
        <f t="shared" si="33"/>
        <v>41609</v>
      </c>
      <c r="M34" s="10">
        <f t="shared" si="0"/>
        <v>240001.65992657156</v>
      </c>
      <c r="N34" s="10">
        <f t="shared" si="23"/>
        <v>172711.79375351671</v>
      </c>
      <c r="O34" s="7">
        <f t="shared" si="24"/>
        <v>1.389607824171444</v>
      </c>
      <c r="P34" s="7">
        <f t="shared" si="1"/>
        <v>0.77467987609463573</v>
      </c>
      <c r="Q34">
        <v>32</v>
      </c>
      <c r="R34">
        <f t="shared" si="2"/>
        <v>92</v>
      </c>
      <c r="S34" s="22"/>
      <c r="T34" s="22">
        <f>IF($B$10="3BR_H",
INDEX('3BR_H-processed'!$E:$E,MATCH($L34,'3BR_H-processed'!$B:$B,0),MATCH(Council_Area,'3BR_H-processed'!$E$1:$E$1,0)),
INDEX('2BR_F-processed'!$E:$E,MATCH($L34,'2BR_F-processed'!$B:$B,0),MATCH(Council_Area,'2BR_F-processed'!$E$1:$E$1,0)))</f>
        <v>368.57789855072463</v>
      </c>
      <c r="U34" s="22">
        <f t="shared" si="25"/>
        <v>371.55948314272985</v>
      </c>
      <c r="V34" s="22">
        <f t="shared" si="34"/>
        <v>4883.3532070187348</v>
      </c>
      <c r="W34" s="22">
        <f>$B$53/4*BH34/_xlfn.XLOOKUP(Q_end,cpi!A:A,cpi!B:B)</f>
        <v>144.71319972356602</v>
      </c>
      <c r="X34" s="22">
        <f t="shared" si="26"/>
        <v>5028.0664067423004</v>
      </c>
      <c r="Y34" s="22">
        <f t="shared" si="3"/>
        <v>1462.4422044921885</v>
      </c>
      <c r="Z34" s="22">
        <f t="shared" si="27"/>
        <v>0</v>
      </c>
      <c r="AA34" s="22" cm="1">
        <f t="array" ref="AA34">(Y34+Z34)*eff_invest</f>
        <v>1462.4422044921885</v>
      </c>
      <c r="AB34" s="22">
        <f>AA34*(_xlfn.XLOOKUP(Q_end,cpi!A:A,cpi!B:B)/BH34)</f>
        <v>2021.1593790832821</v>
      </c>
      <c r="AC34" s="22" cm="1">
        <f t="array" ref="AC34">INDEX('msci-indices'!C:C,MATCH($L34,'msci-indices'!$B:$B)-2)</f>
        <v>1119.437079</v>
      </c>
      <c r="AD34" s="22" cm="1">
        <f t="array" ref="AD34">INDEX('msci-indices'!D:D,MATCH($L34,'msci-indices'!$B:$B)-2)</f>
        <v>1088.458187</v>
      </c>
      <c r="AE34" s="22">
        <f t="shared" si="28"/>
        <v>225389.79907673068</v>
      </c>
      <c r="AF34" s="22" cm="1">
        <f t="array" ref="AF34">INDEX('msci-indices'!C:C,MATCH($L34,'msci-indices'!$B:$B)+1)</f>
        <v>1208.107446</v>
      </c>
      <c r="AG34" s="22" cm="1">
        <f t="array" ref="AG34">INDEX('msci-indices'!D:D,MATCH($L34,'msci-indices'!$B:$B)+1)</f>
        <v>1124.7671330000001</v>
      </c>
      <c r="AH34" s="22">
        <f t="shared" si="4"/>
        <v>140.86862442295669</v>
      </c>
      <c r="AI34" s="22">
        <f t="shared" si="5"/>
        <v>240001.65992657156</v>
      </c>
      <c r="AJ34" s="22">
        <f t="shared" si="29"/>
        <v>161845.38529522659</v>
      </c>
      <c r="AK34" s="22">
        <f t="shared" si="6"/>
        <v>78156.274631344975</v>
      </c>
      <c r="AL34" s="22">
        <f>AJ34*(_xlfn.XLOOKUP(Q_end,cpi!A:A,cpi!B:B)/BH34)</f>
        <v>223677.43316350796</v>
      </c>
      <c r="AM34" s="22" cm="1">
        <f t="array" ref="AM34">SUMPRODUCT($AA$3:AA34,_xlfn.SORTBY($BH$3:BH34,_xlfn.SEQUENCE(ROWS($BH$3:BH34)),-1)/$BH$3)</f>
        <v>192255.65231233093</v>
      </c>
      <c r="AN34" s="22">
        <f t="shared" si="30"/>
        <v>47746.007614240632</v>
      </c>
      <c r="AO34" s="22">
        <f t="shared" si="7"/>
        <v>0</v>
      </c>
      <c r="AP34" s="22">
        <f t="shared" si="31"/>
        <v>240001.65992657156</v>
      </c>
      <c r="AQ34" s="22"/>
      <c r="AR34" s="10">
        <f>IF($B$10="3BR_H",
INDEX('ns-combined'!$C:$D,MATCH($L34,'ns-combined'!$B:$B,0),MATCH(Council_Area,'ns-combined'!$C$1:$D$1,0))*1000,
INDEX('s-combined'!$C:$D,MATCH($L34,'s-combined'!$B:$B,0),MATCH(Council_Area,'s-combined'!$C$1:$D$1,0))*1000)</f>
        <v>465000</v>
      </c>
      <c r="AS34" s="22">
        <f t="shared" si="35"/>
        <v>26000</v>
      </c>
      <c r="AT34" s="10">
        <v>0</v>
      </c>
      <c r="AU34" s="22">
        <f t="shared" si="8"/>
        <v>9300</v>
      </c>
      <c r="AV34" s="22">
        <f t="shared" si="9"/>
        <v>1336.875</v>
      </c>
      <c r="AW34" s="22">
        <f>SUM($AV$3:AV34)</f>
        <v>38434.4375</v>
      </c>
      <c r="AX34" s="22">
        <f t="shared" si="32"/>
        <v>391265.5625</v>
      </c>
      <c r="AY34" s="22">
        <f t="shared" si="10"/>
        <v>1709.1736224565573</v>
      </c>
      <c r="AZ34" s="24">
        <f t="shared" si="11"/>
        <v>1.4702568795325223E-2</v>
      </c>
      <c r="BA34" s="24">
        <f t="shared" si="12"/>
        <v>0.35000000000000003</v>
      </c>
      <c r="BB34" s="25">
        <f>IF(MortgageRate="Discounted",_xlfn.XLOOKUP(L34,'mortgage-rates'!$A:$A,'mortgage-rates'!$E:$E)/100,_xlfn.XLOOKUP(L34,'mortgage-rates'!$A:$A,'mortgage-rates'!$D:$D)/100)</f>
        <v>5.0999999999999997E-2</v>
      </c>
      <c r="BC34" s="10">
        <f t="shared" si="37"/>
        <v>218553.76874648329</v>
      </c>
      <c r="BD34" s="10">
        <f t="shared" si="13"/>
        <v>4781.3349887779314</v>
      </c>
      <c r="BE34" s="10">
        <f t="shared" si="14"/>
        <v>2786.5605515176617</v>
      </c>
      <c r="BF34" s="10">
        <f t="shared" si="36"/>
        <v>1994.7744372602697</v>
      </c>
      <c r="BG34" s="12">
        <f t="shared" si="15"/>
        <v>6490.5086112344889</v>
      </c>
      <c r="BH34" s="22">
        <f>INDEX(cpi!B:B,MATCH($L34,cpi!A:A))</f>
        <v>104.7</v>
      </c>
      <c r="BI34" s="22">
        <f t="shared" si="16"/>
        <v>123.75886524822695</v>
      </c>
      <c r="BJ34" s="22">
        <f t="shared" si="17"/>
        <v>148.29345801472445</v>
      </c>
      <c r="BK34" s="22">
        <f t="shared" si="18"/>
        <v>152.66830069587706</v>
      </c>
      <c r="BL34" s="22">
        <f t="shared" si="19"/>
        <v>149.60591081907023</v>
      </c>
      <c r="BM34" s="22">
        <f t="shared" si="20"/>
        <v>271.85825668568151</v>
      </c>
      <c r="BN34" s="22">
        <f t="shared" si="21"/>
        <v>143.07692307692307</v>
      </c>
      <c r="BO34">
        <f t="shared" si="22"/>
        <v>123.52382079892661</v>
      </c>
    </row>
    <row r="35" spans="1:67" x14ac:dyDescent="0.25">
      <c r="A35" t="s">
        <v>18</v>
      </c>
      <c r="B35" s="8">
        <v>0.05</v>
      </c>
      <c r="C35" s="8">
        <v>0.05</v>
      </c>
      <c r="L35" s="1">
        <f t="shared" si="33"/>
        <v>41699</v>
      </c>
      <c r="M35" s="10">
        <f t="shared" ref="M35:M66" si="38">AP35</f>
        <v>245420.47750032076</v>
      </c>
      <c r="N35" s="10">
        <f t="shared" ref="N35:N66" si="39">AX35-BC35</f>
        <v>155946.06819077698</v>
      </c>
      <c r="O35" s="7">
        <f t="shared" si="24"/>
        <v>1.5737522615836974</v>
      </c>
      <c r="P35" s="7">
        <f t="shared" ref="P35:P66" si="40">X35/BG35</f>
        <v>0.77091115596444737</v>
      </c>
      <c r="Q35">
        <v>33</v>
      </c>
      <c r="R35">
        <f t="shared" ref="R35:R66" si="41">EOMONTH(L35,0)-EOMONTH(L35,-3)</f>
        <v>90</v>
      </c>
      <c r="S35" s="22"/>
      <c r="T35" s="22">
        <f>IF($B$10="3BR_H",
INDEX('3BR_H-processed'!$E:$E,MATCH($L35,'3BR_H-processed'!$B:$B,0),MATCH(Council_Area,'3BR_H-processed'!$E$1:$E$1,0)),
INDEX('2BR_F-processed'!$E:$E,MATCH($L35,'2BR_F-processed'!$B:$B,0),MATCH(Council_Area,'2BR_F-processed'!$E$1:$E$1,0)))</f>
        <v>376.53270171149143</v>
      </c>
      <c r="U35" s="22">
        <f t="shared" si="25"/>
        <v>376.53270171149143</v>
      </c>
      <c r="V35" s="22">
        <f t="shared" si="34"/>
        <v>4841.1347362906035</v>
      </c>
      <c r="W35" s="22">
        <f>$B$53/4*BH35/_xlfn.XLOOKUP(Q_end,cpi!A:A,cpi!B:B)</f>
        <v>145.6807187284036</v>
      </c>
      <c r="X35" s="22">
        <f t="shared" ref="X35:X66" si="42">V35+W35</f>
        <v>4986.8154550190075</v>
      </c>
      <c r="Y35" s="22">
        <f t="shared" ref="Y35:Y66" si="43">BG35-X35</f>
        <v>1481.9136798970112</v>
      </c>
      <c r="Z35" s="22">
        <f t="shared" si="27"/>
        <v>0</v>
      </c>
      <c r="AA35" s="22" cm="1">
        <f t="array" ref="AA35">(Y35+Z35)*eff_invest</f>
        <v>1481.9136798970112</v>
      </c>
      <c r="AB35" s="22">
        <f>AA35*(_xlfn.XLOOKUP(Q_end,cpi!A:A,cpi!B:B)/BH35)</f>
        <v>2034.4678318889703</v>
      </c>
      <c r="AC35" s="22" cm="1">
        <f t="array" ref="AC35">INDEX('msci-indices'!C:C,MATCH($L35,'msci-indices'!$B:$B)-2)</f>
        <v>1208.107446</v>
      </c>
      <c r="AD35" s="22" cm="1">
        <f t="array" ref="AD35">INDEX('msci-indices'!D:D,MATCH($L35,'msci-indices'!$B:$B)-2)</f>
        <v>1124.7671330000001</v>
      </c>
      <c r="AE35" s="22">
        <f t="shared" si="28"/>
        <v>241483.57360646856</v>
      </c>
      <c r="AF35" s="22" cm="1">
        <f t="array" ref="AF35">INDEX('msci-indices'!C:C,MATCH($L35,'msci-indices'!$B:$B)+1)</f>
        <v>1225.920044</v>
      </c>
      <c r="AG35" s="22" cm="1">
        <f t="array" ref="AG35">INDEX('msci-indices'!D:D,MATCH($L35,'msci-indices'!$B:$B)+1)</f>
        <v>1149.5383919999999</v>
      </c>
      <c r="AH35" s="22">
        <f t="shared" ref="AH35:AH66" si="44">(InvestFees/4)*AE35</f>
        <v>150.92723350404285</v>
      </c>
      <c r="AI35" s="22">
        <f t="shared" ref="AI35:AI66" si="45">((AF35/AC35)*GlobalPortfolio+(AG35/AD35)*AusPortfolio)*AE35-AH35</f>
        <v>245420.47750032076</v>
      </c>
      <c r="AJ35" s="22">
        <f t="shared" si="29"/>
        <v>163327.29897512359</v>
      </c>
      <c r="AK35" s="22">
        <f t="shared" ref="AK35:AK66" si="46">AI35-AJ35</f>
        <v>82093.178525197174</v>
      </c>
      <c r="AL35" s="22">
        <f>AJ35*(_xlfn.XLOOKUP(Q_end,cpi!A:A,cpi!B:B)/BH35)</f>
        <v>224226.37724573413</v>
      </c>
      <c r="AM35" s="22" cm="1">
        <f t="array" ref="AM35">SUMPRODUCT($AA$3:AA35,_xlfn.SORTBY($BH$3:BH35,_xlfn.SEQUENCE(ROWS($BH$3:BH35)),-1)/$BH$3)</f>
        <v>195000.88697460041</v>
      </c>
      <c r="AN35" s="22">
        <f t="shared" si="30"/>
        <v>50419.590525720356</v>
      </c>
      <c r="AO35" s="22">
        <f t="shared" ref="AO35:AO66" si="47">IF($B$49="Real gains",MAX($B$50*AN35,0),IF($B$49="Discounted nominal gains",MAX($B$50*AK35/2,0),0))</f>
        <v>0</v>
      </c>
      <c r="AP35" s="22">
        <f t="shared" si="31"/>
        <v>245420.47750032076</v>
      </c>
      <c r="AQ35" s="22"/>
      <c r="AR35" s="10">
        <f>IF($B$10="3BR_H",
INDEX('ns-combined'!$C:$D,MATCH($L35,'ns-combined'!$B:$B,0),MATCH(Council_Area,'ns-combined'!$C$1:$D$1,0))*1000,
INDEX('s-combined'!$C:$D,MATCH($L35,'s-combined'!$B:$B,0),MATCH(Council_Area,'s-combined'!$C$1:$D$1,0))*1000)</f>
        <v>448000</v>
      </c>
      <c r="AS35" s="22">
        <f t="shared" si="35"/>
        <v>26812.5</v>
      </c>
      <c r="AT35" s="10">
        <v>0</v>
      </c>
      <c r="AU35" s="22">
        <f t="shared" ref="AU35:AU66" si="48">SUM($B$28:$B$29)*AR35</f>
        <v>8960</v>
      </c>
      <c r="AV35" s="22">
        <f t="shared" ref="AV35:AV66" si="49">AR35*$B$15/4</f>
        <v>1288</v>
      </c>
      <c r="AW35" s="22">
        <f>SUM($AV$3:AV35)</f>
        <v>39722.4375</v>
      </c>
      <c r="AX35" s="22">
        <f t="shared" ref="AX35:AX66" si="50">AR35-AS35-AU35-AW35</f>
        <v>372505.0625</v>
      </c>
      <c r="AY35" s="22">
        <f t="shared" ref="AY35:AY66" si="51">$B$36*V35</f>
        <v>1694.3971577017114</v>
      </c>
      <c r="AZ35" s="24">
        <f t="shared" ref="AZ35:AZ66" si="52">SUM(AY35:AY35)*4/AR35</f>
        <v>1.5128546050908138E-2</v>
      </c>
      <c r="BA35" s="24">
        <f t="shared" ref="BA35:BA66" si="53">SUM(AY35:AY35)/V35</f>
        <v>0.35000000000000003</v>
      </c>
      <c r="BB35" s="25">
        <f>IF(MortgageRate="Discounted",_xlfn.XLOOKUP(L35,'mortgage-rates'!$A:$A,'mortgage-rates'!$E:$E)/100,_xlfn.XLOOKUP(L35,'mortgage-rates'!$A:$A,'mortgage-rates'!$D:$D)/100)</f>
        <v>5.0799999999999998E-2</v>
      </c>
      <c r="BC35" s="10">
        <f t="shared" si="37"/>
        <v>216558.99430922302</v>
      </c>
      <c r="BD35" s="10">
        <f t="shared" ref="BD35:BD66" si="54">IF($B$16*12/3-Q35+1&gt;0,-PMT($BB35/4,$B$16*12/3-Q35+1,BC35),0)</f>
        <v>4774.3319772143077</v>
      </c>
      <c r="BE35" s="10">
        <f t="shared" ref="BE35:BE67" si="55">BC35*($BB35/4)</f>
        <v>2750.2992277271323</v>
      </c>
      <c r="BF35" s="10">
        <f t="shared" si="36"/>
        <v>2024.0327494871754</v>
      </c>
      <c r="BG35" s="12">
        <f t="shared" ref="BG35:BG66" si="56">AT35+AY35+BD35</f>
        <v>6468.7291349160187</v>
      </c>
      <c r="BH35" s="22">
        <f>INDEX(cpi!B:B,MATCH($L35,cpi!A:A))</f>
        <v>105.4</v>
      </c>
      <c r="BI35" s="22">
        <f t="shared" ref="BI35:BI66" si="57">100*BH35/BH$3</f>
        <v>124.58628841607566</v>
      </c>
      <c r="BJ35" s="22">
        <f t="shared" ref="BJ35:BJ66" si="58">100*AC35/AC$3</f>
        <v>160.03975049738099</v>
      </c>
      <c r="BK35" s="22">
        <f t="shared" ref="BK35:BK66" si="59">100*AD35/AD$3</f>
        <v>157.76103200341271</v>
      </c>
      <c r="BL35" s="22">
        <f t="shared" ref="BL35:BL66" si="60">BJ35*GlobalPortfolio+BK35*AusPortfolio</f>
        <v>159.3561349491905</v>
      </c>
      <c r="BM35" s="22">
        <f t="shared" ref="BM35:BM66" si="61">100*AE35/$AE$3</f>
        <v>291.27007348071527</v>
      </c>
      <c r="BN35" s="22">
        <f t="shared" ref="BN35:BN66" si="62">100*AR35/AR$3</f>
        <v>137.84615384615384</v>
      </c>
      <c r="BO35">
        <f t="shared" ref="BO35:BO66" si="63">100*AX35/AX$3</f>
        <v>117.60106944485551</v>
      </c>
    </row>
    <row r="36" spans="1:67" x14ac:dyDescent="0.25">
      <c r="A36" t="s">
        <v>19</v>
      </c>
      <c r="B36" s="8">
        <f>SUM(B32:B35)</f>
        <v>0.35000000000000003</v>
      </c>
      <c r="C36" s="8">
        <v>0.35000000000000003</v>
      </c>
      <c r="L36" s="1">
        <f t="shared" si="33"/>
        <v>41791</v>
      </c>
      <c r="M36" s="10">
        <f t="shared" si="38"/>
        <v>255314.99009133337</v>
      </c>
      <c r="N36" s="10">
        <f t="shared" si="39"/>
        <v>166617.97594026415</v>
      </c>
      <c r="O36" s="7">
        <f t="shared" si="24"/>
        <v>1.5323376043342938</v>
      </c>
      <c r="P36" s="7">
        <f t="shared" si="40"/>
        <v>0.77711445399742451</v>
      </c>
      <c r="Q36">
        <v>34</v>
      </c>
      <c r="R36">
        <f t="shared" si="41"/>
        <v>91</v>
      </c>
      <c r="S36" s="22"/>
      <c r="T36" s="22">
        <f>IF($B$10="3BR_H",
INDEX('3BR_H-processed'!$E:$E,MATCH($L36,'3BR_H-processed'!$B:$B,0),MATCH(Council_Area,'3BR_H-processed'!$E$1:$E$1,0)),
INDEX('2BR_F-processed'!$E:$E,MATCH($L36,'2BR_F-processed'!$B:$B,0),MATCH(Council_Area,'2BR_F-processed'!$E$1:$E$1,0)))</f>
        <v>370.15855658829963</v>
      </c>
      <c r="U36" s="22">
        <f t="shared" si="25"/>
        <v>376.53270171149143</v>
      </c>
      <c r="V36" s="22">
        <f t="shared" si="34"/>
        <v>4894.9251222493886</v>
      </c>
      <c r="W36" s="22">
        <f>$B$53/4*BH36/_xlfn.XLOOKUP(Q_end,cpi!A:A,cpi!B:B)</f>
        <v>146.64823773324119</v>
      </c>
      <c r="X36" s="22">
        <f t="shared" si="42"/>
        <v>5041.5733599826299</v>
      </c>
      <c r="Y36" s="22">
        <f t="shared" si="43"/>
        <v>1445.9824100189644</v>
      </c>
      <c r="Z36" s="22">
        <f t="shared" ref="Z36:Z67" si="64">Y36*$B$47</f>
        <v>0</v>
      </c>
      <c r="AA36" s="22" cm="1">
        <f t="array" ref="AA36">(Y36+Z36)*eff_invest</f>
        <v>1445.9824100189644</v>
      </c>
      <c r="AB36" s="22">
        <f>AA36*(_xlfn.XLOOKUP(Q_end,cpi!A:A,cpi!B:B)/BH36)</f>
        <v>1972.0419861427347</v>
      </c>
      <c r="AC36" s="22" cm="1">
        <f t="array" ref="AC36">INDEX('msci-indices'!C:C,MATCH($L36,'msci-indices'!$B:$B)-2)</f>
        <v>1225.920044</v>
      </c>
      <c r="AD36" s="22" cm="1">
        <f t="array" ref="AD36">INDEX('msci-indices'!D:D,MATCH($L36,'msci-indices'!$B:$B)-2)</f>
        <v>1149.5383919999999</v>
      </c>
      <c r="AE36" s="22">
        <f t="shared" ref="AE36:AE67" si="65">AI35+AA36</f>
        <v>246866.45991033973</v>
      </c>
      <c r="AF36" s="22" cm="1">
        <f t="array" ref="AF36">INDEX('msci-indices'!C:C,MATCH($L36,'msci-indices'!$B:$B)+1)</f>
        <v>1282.9430809999999</v>
      </c>
      <c r="AG36" s="22" cm="1">
        <f t="array" ref="AG36">INDEX('msci-indices'!D:D,MATCH($L36,'msci-indices'!$B:$B)+1)</f>
        <v>1158.3053090000001</v>
      </c>
      <c r="AH36" s="22">
        <f t="shared" si="44"/>
        <v>154.29153744396234</v>
      </c>
      <c r="AI36" s="22">
        <f t="shared" si="45"/>
        <v>255314.99009133337</v>
      </c>
      <c r="AJ36" s="22">
        <f t="shared" ref="AJ36:AJ67" si="66">AJ35+AA36</f>
        <v>164773.28138514256</v>
      </c>
      <c r="AK36" s="22">
        <f t="shared" si="46"/>
        <v>90541.70870619081</v>
      </c>
      <c r="AL36" s="22">
        <f>AJ36*(_xlfn.XLOOKUP(Q_end,cpi!A:A,cpi!B:B)/BH36)</f>
        <v>224719.07461291357</v>
      </c>
      <c r="AM36" s="22" cm="1">
        <f t="array" ref="AM36">SUMPRODUCT($AA$3:AA36,_xlfn.SORTBY($BH$3:BH36,_xlfn.SEQUENCE(ROWS($BH$3:BH36)),-1)/$BH$3)</f>
        <v>197727.70166268328</v>
      </c>
      <c r="AN36" s="22">
        <f t="shared" si="30"/>
        <v>57587.288428650092</v>
      </c>
      <c r="AO36" s="22">
        <f t="shared" si="47"/>
        <v>0</v>
      </c>
      <c r="AP36" s="22">
        <f t="shared" si="31"/>
        <v>255314.99009133337</v>
      </c>
      <c r="AQ36" s="22"/>
      <c r="AR36" s="10">
        <f>IF($B$10="3BR_H",
INDEX('ns-combined'!$C:$D,MATCH($L36,'ns-combined'!$B:$B,0),MATCH(Council_Area,'ns-combined'!$C$1:$D$1,0))*1000,
INDEX('s-combined'!$C:$D,MATCH($L36,'s-combined'!$B:$B,0),MATCH(Council_Area,'s-combined'!$C$1:$D$1,0))*1000)</f>
        <v>459000</v>
      </c>
      <c r="AS36" s="22">
        <f t="shared" si="35"/>
        <v>27625</v>
      </c>
      <c r="AT36" s="10">
        <v>0</v>
      </c>
      <c r="AU36" s="22">
        <f t="shared" si="48"/>
        <v>9180</v>
      </c>
      <c r="AV36" s="22">
        <f t="shared" si="49"/>
        <v>1319.625</v>
      </c>
      <c r="AW36" s="22">
        <f>SUM($AV$3:AV36)</f>
        <v>41042.0625</v>
      </c>
      <c r="AX36" s="22">
        <f t="shared" si="50"/>
        <v>381152.9375</v>
      </c>
      <c r="AY36" s="22">
        <f t="shared" si="51"/>
        <v>1713.2237927872861</v>
      </c>
      <c r="AZ36" s="24">
        <f t="shared" si="52"/>
        <v>1.493005483910489E-2</v>
      </c>
      <c r="BA36" s="24">
        <f t="shared" si="53"/>
        <v>0.35000000000000003</v>
      </c>
      <c r="BB36" s="25">
        <f>IF(MortgageRate="Discounted",_xlfn.XLOOKUP(L36,'mortgage-rates'!$A:$A,'mortgage-rates'!$E:$E)/100,_xlfn.XLOOKUP(L36,'mortgage-rates'!$A:$A,'mortgage-rates'!$D:$D)/100)</f>
        <v>5.0799999999999998E-2</v>
      </c>
      <c r="BC36" s="10">
        <f t="shared" ref="BC36:BC67" si="67">BC35-BF35</f>
        <v>214534.96155973585</v>
      </c>
      <c r="BD36" s="10">
        <f t="shared" si="54"/>
        <v>4774.3319772143077</v>
      </c>
      <c r="BE36" s="10">
        <f t="shared" si="55"/>
        <v>2724.5940118086451</v>
      </c>
      <c r="BF36" s="10">
        <f t="shared" si="36"/>
        <v>2049.7379654056626</v>
      </c>
      <c r="BG36" s="12">
        <f t="shared" si="56"/>
        <v>6487.5557700015943</v>
      </c>
      <c r="BH36" s="22">
        <f>INDEX(cpi!B:B,MATCH($L36,cpi!A:A))</f>
        <v>106.1</v>
      </c>
      <c r="BI36" s="22">
        <f t="shared" si="57"/>
        <v>125.41371158392435</v>
      </c>
      <c r="BJ36" s="22">
        <f t="shared" si="58"/>
        <v>162.39941126188398</v>
      </c>
      <c r="BK36" s="22">
        <f t="shared" si="59"/>
        <v>161.2354750851913</v>
      </c>
      <c r="BL36" s="22">
        <f t="shared" si="60"/>
        <v>162.05023040887616</v>
      </c>
      <c r="BM36" s="22">
        <f t="shared" si="61"/>
        <v>297.76274569792361</v>
      </c>
      <c r="BN36" s="22">
        <f t="shared" si="62"/>
        <v>141.23076923076923</v>
      </c>
      <c r="BO36">
        <f t="shared" si="63"/>
        <v>120.3312319333866</v>
      </c>
    </row>
    <row r="37" spans="1:67" x14ac:dyDescent="0.25">
      <c r="A37" s="6" t="s">
        <v>331</v>
      </c>
      <c r="B37" s="4" cm="1">
        <f t="array" ref="B37">AVERAGE(_xlfn._xlws.FILTER($AZ$3:$AZ$82,ISNUMBER($AZ$3:$AZ$82)))</f>
        <v>1.3441076848141734E-2</v>
      </c>
      <c r="C37" s="4">
        <v>1.1405453029375102E-2</v>
      </c>
      <c r="L37" s="1">
        <f t="shared" si="33"/>
        <v>41883</v>
      </c>
      <c r="M37" s="10">
        <f t="shared" si="38"/>
        <v>251060.79075096376</v>
      </c>
      <c r="N37" s="10">
        <f t="shared" si="39"/>
        <v>158718.58890566981</v>
      </c>
      <c r="O37" s="7">
        <f t="shared" si="24"/>
        <v>1.581798278840389</v>
      </c>
      <c r="P37" s="7">
        <f t="shared" si="40"/>
        <v>0.78317563627349207</v>
      </c>
      <c r="Q37">
        <v>35</v>
      </c>
      <c r="R37">
        <f t="shared" si="41"/>
        <v>92</v>
      </c>
      <c r="S37" s="22"/>
      <c r="T37" s="22">
        <f>IF($B$10="3BR_H",
INDEX('3BR_H-processed'!$E:$E,MATCH($L37,'3BR_H-processed'!$B:$B,0),MATCH(Council_Area,'3BR_H-processed'!$E$1:$E$1,0)),
INDEX('2BR_F-processed'!$E:$E,MATCH($L37,'2BR_F-processed'!$B:$B,0),MATCH(Council_Area,'2BR_F-processed'!$E$1:$E$1,0)))</f>
        <v>372.53434861777851</v>
      </c>
      <c r="U37" s="22">
        <f t="shared" si="25"/>
        <v>376.53270171149143</v>
      </c>
      <c r="V37" s="22">
        <f t="shared" si="34"/>
        <v>4948.7155082081736</v>
      </c>
      <c r="W37" s="22">
        <f>$B$53/4*BH37/_xlfn.XLOOKUP(Q_end,cpi!A:A,cpi!B:B)</f>
        <v>146.92467173462336</v>
      </c>
      <c r="X37" s="22">
        <f t="shared" si="42"/>
        <v>5095.6401799427967</v>
      </c>
      <c r="Y37" s="22">
        <f t="shared" si="43"/>
        <v>1410.7422251443713</v>
      </c>
      <c r="Z37" s="22">
        <f t="shared" si="64"/>
        <v>0</v>
      </c>
      <c r="AA37" s="22" cm="1">
        <f t="array" ref="AA37">(Y37+Z37)*eff_invest</f>
        <v>1410.7422251443713</v>
      </c>
      <c r="AB37" s="22">
        <f>AA37*(_xlfn.XLOOKUP(Q_end,cpi!A:A,cpi!B:B)/BH37)</f>
        <v>1920.3612415652919</v>
      </c>
      <c r="AC37" s="22" cm="1">
        <f t="array" ref="AC37">INDEX('msci-indices'!C:C,MATCH($L37,'msci-indices'!$B:$B)-2)</f>
        <v>1282.9430809999999</v>
      </c>
      <c r="AD37" s="22" cm="1">
        <f t="array" ref="AD37">INDEX('msci-indices'!D:D,MATCH($L37,'msci-indices'!$B:$B)-2)</f>
        <v>1158.3053090000001</v>
      </c>
      <c r="AE37" s="22">
        <f t="shared" si="65"/>
        <v>256725.73231647775</v>
      </c>
      <c r="AF37" s="22" cm="1">
        <f t="array" ref="AF37">INDEX('msci-indices'!C:C,MATCH($L37,'msci-indices'!$B:$B)+1)</f>
        <v>1247.292238</v>
      </c>
      <c r="AG37" s="22" cm="1">
        <f t="array" ref="AG37">INDEX('msci-indices'!D:D,MATCH($L37,'msci-indices'!$B:$B)+1)</f>
        <v>1150.6246120000001</v>
      </c>
      <c r="AH37" s="22">
        <f t="shared" si="44"/>
        <v>160.45358269779859</v>
      </c>
      <c r="AI37" s="22">
        <f t="shared" si="45"/>
        <v>251060.79075096376</v>
      </c>
      <c r="AJ37" s="22">
        <f t="shared" si="66"/>
        <v>166184.02361028694</v>
      </c>
      <c r="AK37" s="22">
        <f t="shared" si="46"/>
        <v>84876.76714067682</v>
      </c>
      <c r="AL37" s="22">
        <f>AJ37*(_xlfn.XLOOKUP(Q_end,cpi!A:A,cpi!B:B)/BH37)</f>
        <v>226216.63420892303</v>
      </c>
      <c r="AM37" s="22" cm="1">
        <f t="array" ref="AM37">SUMPRODUCT($AA$3:AA37,_xlfn.SORTBY($BH$3:BH37,_xlfn.SEQUENCE(ROWS($BH$3:BH37)),-1)/$BH$3)</f>
        <v>199951.69786138638</v>
      </c>
      <c r="AN37" s="22">
        <f t="shared" si="30"/>
        <v>51109.092889577383</v>
      </c>
      <c r="AO37" s="22">
        <f t="shared" si="47"/>
        <v>0</v>
      </c>
      <c r="AP37" s="22">
        <f t="shared" si="31"/>
        <v>251060.79075096376</v>
      </c>
      <c r="AQ37" s="22"/>
      <c r="AR37" s="10">
        <f>IF($B$10="3BR_H",
INDEX('ns-combined'!$C:$D,MATCH($L37,'ns-combined'!$B:$B,0),MATCH(Council_Area,'ns-combined'!$C$1:$D$1,0))*1000,
INDEX('s-combined'!$C:$D,MATCH($L37,'s-combined'!$B:$B,0),MATCH(Council_Area,'s-combined'!$C$1:$D$1,0))*1000)</f>
        <v>451000</v>
      </c>
      <c r="AS37" s="22">
        <f t="shared" si="35"/>
        <v>28437.5</v>
      </c>
      <c r="AT37" s="10">
        <v>0</v>
      </c>
      <c r="AU37" s="22">
        <f t="shared" si="48"/>
        <v>9020</v>
      </c>
      <c r="AV37" s="22">
        <f t="shared" si="49"/>
        <v>1296.625</v>
      </c>
      <c r="AW37" s="22">
        <f>SUM($AV$3:AV37)</f>
        <v>42338.6875</v>
      </c>
      <c r="AX37" s="22">
        <f t="shared" si="50"/>
        <v>371203.8125</v>
      </c>
      <c r="AY37" s="22">
        <f t="shared" si="51"/>
        <v>1732.0504278728608</v>
      </c>
      <c r="AZ37" s="24">
        <f t="shared" si="52"/>
        <v>1.5361866322597435E-2</v>
      </c>
      <c r="BA37" s="24">
        <f t="shared" si="53"/>
        <v>0.35000000000000003</v>
      </c>
      <c r="BB37" s="25">
        <f>IF(MortgageRate="Discounted",_xlfn.XLOOKUP(L37,'mortgage-rates'!$A:$A,'mortgage-rates'!$E:$E)/100,_xlfn.XLOOKUP(L37,'mortgage-rates'!$A:$A,'mortgage-rates'!$D:$D)/100)</f>
        <v>5.0799999999999998E-2</v>
      </c>
      <c r="BC37" s="10">
        <f t="shared" si="67"/>
        <v>212485.22359433019</v>
      </c>
      <c r="BD37" s="10">
        <f t="shared" si="54"/>
        <v>4774.3319772143077</v>
      </c>
      <c r="BE37" s="10">
        <f t="shared" si="55"/>
        <v>2698.5623396479932</v>
      </c>
      <c r="BF37" s="10">
        <f t="shared" si="36"/>
        <v>2075.7696375663145</v>
      </c>
      <c r="BG37" s="12">
        <f t="shared" si="56"/>
        <v>6506.3824050871681</v>
      </c>
      <c r="BH37" s="22">
        <f>INDEX(cpi!B:B,MATCH($L37,cpi!A:A))</f>
        <v>106.3</v>
      </c>
      <c r="BI37" s="22">
        <f t="shared" si="57"/>
        <v>125.6501182033097</v>
      </c>
      <c r="BJ37" s="22">
        <f t="shared" si="58"/>
        <v>169.95333591014156</v>
      </c>
      <c r="BK37" s="22">
        <f t="shared" si="59"/>
        <v>162.46513216960426</v>
      </c>
      <c r="BL37" s="22">
        <f t="shared" si="60"/>
        <v>167.70687478798038</v>
      </c>
      <c r="BM37" s="22">
        <f t="shared" si="61"/>
        <v>309.65469741668545</v>
      </c>
      <c r="BN37" s="22">
        <f t="shared" si="62"/>
        <v>138.76923076923077</v>
      </c>
      <c r="BO37">
        <f t="shared" si="63"/>
        <v>117.19026055386193</v>
      </c>
    </row>
    <row r="38" spans="1:67" x14ac:dyDescent="0.25">
      <c r="A38" s="6" t="s">
        <v>332</v>
      </c>
      <c r="B38" s="31" cm="1">
        <f t="array" ref="B38">AVERAGE(_xlfn._xlws.FILTER($BA$3:$BA$82,ISNUMBER($BA$3:$BA$82)))</f>
        <v>0.35000000000000048</v>
      </c>
      <c r="C38" s="31">
        <v>0.35000000000000048</v>
      </c>
      <c r="L38" s="1">
        <f t="shared" si="33"/>
        <v>41974</v>
      </c>
      <c r="M38" s="10">
        <f t="shared" si="38"/>
        <v>256516.75740961096</v>
      </c>
      <c r="N38" s="10">
        <f t="shared" si="39"/>
        <v>174319.23354323613</v>
      </c>
      <c r="O38" s="7">
        <f t="shared" si="24"/>
        <v>1.4715344497312026</v>
      </c>
      <c r="P38" s="7">
        <f t="shared" si="40"/>
        <v>0.78321812286345438</v>
      </c>
      <c r="Q38">
        <v>36</v>
      </c>
      <c r="R38">
        <f t="shared" si="41"/>
        <v>92</v>
      </c>
      <c r="S38" s="22"/>
      <c r="T38" s="22">
        <f>IF($B$10="3BR_H",
INDEX('3BR_H-processed'!$E:$E,MATCH($L38,'3BR_H-processed'!$B:$B,0),MATCH(Council_Area,'3BR_H-processed'!$E$1:$E$1,0)),
INDEX('2BR_F-processed'!$E:$E,MATCH($L38,'2BR_F-processed'!$B:$B,0),MATCH(Council_Area,'2BR_F-processed'!$E$1:$E$1,0)))</f>
        <v>375.41411327762302</v>
      </c>
      <c r="U38" s="22">
        <f t="shared" si="25"/>
        <v>376.53270171149143</v>
      </c>
      <c r="V38" s="22">
        <f t="shared" si="34"/>
        <v>4948.7155082081736</v>
      </c>
      <c r="W38" s="22">
        <f>$B$53/4*BH38/_xlfn.XLOOKUP(Q_end,cpi!A:A,cpi!B:B)</f>
        <v>147.20110573600553</v>
      </c>
      <c r="X38" s="22">
        <f t="shared" si="42"/>
        <v>5095.9166139441795</v>
      </c>
      <c r="Y38" s="22">
        <f t="shared" si="43"/>
        <v>1410.4657911429886</v>
      </c>
      <c r="Z38" s="22">
        <f t="shared" si="64"/>
        <v>0</v>
      </c>
      <c r="AA38" s="22" cm="1">
        <f t="array" ref="AA38">(Y38+Z38)*eff_invest</f>
        <v>1410.4657911429886</v>
      </c>
      <c r="AB38" s="22">
        <f>AA38*(_xlfn.XLOOKUP(Q_end,cpi!A:A,cpi!B:B)/BH38)</f>
        <v>1916.3793425200979</v>
      </c>
      <c r="AC38" s="22" cm="1">
        <f t="array" ref="AC38">INDEX('msci-indices'!C:C,MATCH($L38,'msci-indices'!$B:$B)-2)</f>
        <v>1247.292238</v>
      </c>
      <c r="AD38" s="22" cm="1">
        <f t="array" ref="AD38">INDEX('msci-indices'!D:D,MATCH($L38,'msci-indices'!$B:$B)-2)</f>
        <v>1150.6246120000001</v>
      </c>
      <c r="AE38" s="22">
        <f t="shared" si="65"/>
        <v>252471.25654210674</v>
      </c>
      <c r="AF38" s="22" cm="1">
        <f t="array" ref="AF38">INDEX('msci-indices'!C:C,MATCH($L38,'msci-indices'!$B:$B)+1)</f>
        <v>1262.6926370000001</v>
      </c>
      <c r="AG38" s="22" cm="1">
        <f t="array" ref="AG38">INDEX('msci-indices'!D:D,MATCH($L38,'msci-indices'!$B:$B)+1)</f>
        <v>1181.3296580000001</v>
      </c>
      <c r="AH38" s="22">
        <f t="shared" si="44"/>
        <v>157.79453533881673</v>
      </c>
      <c r="AI38" s="22">
        <f t="shared" si="45"/>
        <v>256516.75740961096</v>
      </c>
      <c r="AJ38" s="22">
        <f t="shared" si="66"/>
        <v>167594.48940142992</v>
      </c>
      <c r="AK38" s="22">
        <f t="shared" si="46"/>
        <v>88922.268008181039</v>
      </c>
      <c r="AL38" s="22">
        <f>AJ38*(_xlfn.XLOOKUP(Q_end,cpi!A:A,cpi!B:B)/BH38)</f>
        <v>227708.19358109773</v>
      </c>
      <c r="AM38" s="22" cm="1">
        <f t="array" ref="AM38">SUMPRODUCT($AA$3:AA38,_xlfn.SORTBY($BH$3:BH38,_xlfn.SEQUENCE(ROWS($BH$3:BH38)),-1)/$BH$3)</f>
        <v>202181.27839135652</v>
      </c>
      <c r="AN38" s="22">
        <f t="shared" si="30"/>
        <v>54335.479018254438</v>
      </c>
      <c r="AO38" s="22">
        <f t="shared" si="47"/>
        <v>0</v>
      </c>
      <c r="AP38" s="22">
        <f t="shared" si="31"/>
        <v>256516.75740961096</v>
      </c>
      <c r="AQ38" s="22"/>
      <c r="AR38" s="10">
        <f>IF($B$10="3BR_H",
INDEX('ns-combined'!$C:$D,MATCH($L38,'ns-combined'!$B:$B,0),MATCH(Council_Area,'ns-combined'!$C$1:$D$1,0))*1000,
INDEX('s-combined'!$C:$D,MATCH($L38,'s-combined'!$B:$B,0),MATCH(Council_Area,'s-combined'!$C$1:$D$1,0))*1000)</f>
        <v>467000</v>
      </c>
      <c r="AS38" s="22">
        <f t="shared" si="35"/>
        <v>29250</v>
      </c>
      <c r="AT38" s="10">
        <v>0</v>
      </c>
      <c r="AU38" s="22">
        <f t="shared" si="48"/>
        <v>9340</v>
      </c>
      <c r="AV38" s="22">
        <f t="shared" si="49"/>
        <v>1342.625</v>
      </c>
      <c r="AW38" s="22">
        <f>SUM($AV$3:AV38)</f>
        <v>43681.3125</v>
      </c>
      <c r="AX38" s="22">
        <f t="shared" si="50"/>
        <v>384728.6875</v>
      </c>
      <c r="AY38" s="22">
        <f t="shared" si="51"/>
        <v>1732.0504278728608</v>
      </c>
      <c r="AZ38" s="24">
        <f t="shared" si="52"/>
        <v>1.4835549703407802E-2</v>
      </c>
      <c r="BA38" s="24">
        <f t="shared" si="53"/>
        <v>0.35000000000000003</v>
      </c>
      <c r="BB38" s="25">
        <f>IF(MortgageRate="Discounted",_xlfn.XLOOKUP(L38,'mortgage-rates'!$A:$A,'mortgage-rates'!$E:$E)/100,_xlfn.XLOOKUP(L38,'mortgage-rates'!$A:$A,'mortgage-rates'!$D:$D)/100)</f>
        <v>5.0799999999999998E-2</v>
      </c>
      <c r="BC38" s="10">
        <f t="shared" si="67"/>
        <v>210409.45395676387</v>
      </c>
      <c r="BD38" s="10">
        <f t="shared" si="54"/>
        <v>4774.3319772143077</v>
      </c>
      <c r="BE38" s="10">
        <f t="shared" si="55"/>
        <v>2672.2000652509009</v>
      </c>
      <c r="BF38" s="10">
        <f t="shared" si="36"/>
        <v>2102.1319119634068</v>
      </c>
      <c r="BG38" s="12">
        <f t="shared" si="56"/>
        <v>6506.3824050871681</v>
      </c>
      <c r="BH38" s="22">
        <f>INDEX(cpi!B:B,MATCH($L38,cpi!A:A))</f>
        <v>106.5</v>
      </c>
      <c r="BI38" s="22">
        <f t="shared" si="57"/>
        <v>125.88652482269504</v>
      </c>
      <c r="BJ38" s="22">
        <f t="shared" si="58"/>
        <v>165.23061688574342</v>
      </c>
      <c r="BK38" s="22">
        <f t="shared" si="59"/>
        <v>161.38782945540277</v>
      </c>
      <c r="BL38" s="22">
        <f t="shared" si="60"/>
        <v>164.07778065664121</v>
      </c>
      <c r="BM38" s="22">
        <f t="shared" si="61"/>
        <v>304.52307934049111</v>
      </c>
      <c r="BN38" s="22">
        <f t="shared" si="62"/>
        <v>143.69230769230768</v>
      </c>
      <c r="BO38">
        <f t="shared" si="63"/>
        <v>121.4601079310583</v>
      </c>
    </row>
    <row r="39" spans="1:67" x14ac:dyDescent="0.25">
      <c r="A39" s="6"/>
      <c r="B39" s="31"/>
      <c r="C39" s="31"/>
      <c r="L39" s="1">
        <f t="shared" si="33"/>
        <v>42064</v>
      </c>
      <c r="M39" s="10">
        <f t="shared" si="38"/>
        <v>270259.25567686558</v>
      </c>
      <c r="N39" s="10">
        <f t="shared" si="39"/>
        <v>170162.31545519954</v>
      </c>
      <c r="O39" s="7">
        <f t="shared" si="24"/>
        <v>1.5882438773467422</v>
      </c>
      <c r="P39" s="7">
        <f t="shared" si="40"/>
        <v>0.79503561581948823</v>
      </c>
      <c r="Q39">
        <v>37</v>
      </c>
      <c r="R39">
        <f t="shared" si="41"/>
        <v>90</v>
      </c>
      <c r="S39" s="22"/>
      <c r="T39" s="22">
        <f>IF($B$10="3BR_H",
INDEX('3BR_H-processed'!$E:$E,MATCH($L39,'3BR_H-processed'!$B:$B,0),MATCH(Council_Area,'3BR_H-processed'!$E$1:$E$1,0)),
INDEX('2BR_F-processed'!$E:$E,MATCH($L39,'2BR_F-processed'!$B:$B,0),MATCH(Council_Area,'2BR_F-processed'!$E$1:$E$1,0)))</f>
        <v>385.76418523786947</v>
      </c>
      <c r="U39" s="22">
        <f t="shared" si="25"/>
        <v>385.76418523786947</v>
      </c>
      <c r="V39" s="22">
        <f t="shared" si="34"/>
        <v>4959.8252387726079</v>
      </c>
      <c r="W39" s="22">
        <f>$B$53/4*BH39/_xlfn.XLOOKUP(Q_end,cpi!A:A,cpi!B:B)</f>
        <v>147.6157567380788</v>
      </c>
      <c r="X39" s="22">
        <f t="shared" si="42"/>
        <v>5107.4409955106867</v>
      </c>
      <c r="Y39" s="22">
        <f t="shared" si="43"/>
        <v>1316.7252857019585</v>
      </c>
      <c r="Z39" s="22">
        <f t="shared" si="64"/>
        <v>0</v>
      </c>
      <c r="AA39" s="22" cm="1">
        <f t="array" ref="AA39">(Y39+Z39)*eff_invest</f>
        <v>1316.7252857019585</v>
      </c>
      <c r="AB39" s="22">
        <f>AA39*(_xlfn.XLOOKUP(Q_end,cpi!A:A,cpi!B:B)/BH39)</f>
        <v>1783.9901576879531</v>
      </c>
      <c r="AC39" s="22" cm="1">
        <f t="array" ref="AC39">INDEX('msci-indices'!C:C,MATCH($L39,'msci-indices'!$B:$B)-2)</f>
        <v>1262.6926370000001</v>
      </c>
      <c r="AD39" s="22" cm="1">
        <f t="array" ref="AD39">INDEX('msci-indices'!D:D,MATCH($L39,'msci-indices'!$B:$B)-2)</f>
        <v>1181.3296580000001</v>
      </c>
      <c r="AE39" s="22">
        <f t="shared" si="65"/>
        <v>257833.48269531291</v>
      </c>
      <c r="AF39" s="22" cm="1">
        <f t="array" ref="AF39">INDEX('msci-indices'!C:C,MATCH($L39,'msci-indices'!$B:$B)+1)</f>
        <v>1295.5072580000001</v>
      </c>
      <c r="AG39" s="22" cm="1">
        <f t="array" ref="AG39">INDEX('msci-indices'!D:D,MATCH($L39,'msci-indices'!$B:$B)+1)</f>
        <v>1301.9298140000001</v>
      </c>
      <c r="AH39" s="22">
        <f t="shared" si="44"/>
        <v>161.14592668457058</v>
      </c>
      <c r="AI39" s="22">
        <f t="shared" si="45"/>
        <v>270259.25567686558</v>
      </c>
      <c r="AJ39" s="22">
        <f t="shared" si="66"/>
        <v>168911.21468713187</v>
      </c>
      <c r="AK39" s="22">
        <f t="shared" si="46"/>
        <v>101348.04098973371</v>
      </c>
      <c r="AL39" s="22">
        <f>AJ39*(_xlfn.XLOOKUP(Q_end,cpi!A:A,cpi!B:B)/BH39)</f>
        <v>228852.5539815354</v>
      </c>
      <c r="AM39" s="22" cm="1">
        <f t="array" ref="AM39">SUMPRODUCT($AA$3:AA39,_xlfn.SORTBY($BH$3:BH39,_xlfn.SEQUENCE(ROWS($BH$3:BH39)),-1)/$BH$3)</f>
        <v>204411.44071532838</v>
      </c>
      <c r="AN39" s="22">
        <f t="shared" si="30"/>
        <v>65847.814961537195</v>
      </c>
      <c r="AO39" s="22">
        <f t="shared" si="47"/>
        <v>0</v>
      </c>
      <c r="AP39" s="22">
        <f t="shared" si="31"/>
        <v>270259.25567686558</v>
      </c>
      <c r="AQ39" s="22"/>
      <c r="AR39" s="10">
        <f>IF($B$10="3BR_H",
INDEX('ns-combined'!$C:$D,MATCH($L39,'ns-combined'!$B:$B,0),MATCH(Council_Area,'ns-combined'!$C$1:$D$1,0))*1000,
INDEX('s-combined'!$C:$D,MATCH($L39,'s-combined'!$B:$B,0),MATCH(Council_Area,'s-combined'!$C$1:$D$1,0))*1000)</f>
        <v>462800</v>
      </c>
      <c r="AS39" s="22">
        <f t="shared" si="35"/>
        <v>30062.5</v>
      </c>
      <c r="AT39" s="10">
        <v>0</v>
      </c>
      <c r="AU39" s="22">
        <f t="shared" si="48"/>
        <v>9256</v>
      </c>
      <c r="AV39" s="22">
        <f t="shared" si="49"/>
        <v>1330.55</v>
      </c>
      <c r="AW39" s="22">
        <f>SUM($AV$3:AV39)</f>
        <v>45011.862500000003</v>
      </c>
      <c r="AX39" s="22">
        <f t="shared" si="50"/>
        <v>378469.63750000001</v>
      </c>
      <c r="AY39" s="22">
        <f t="shared" si="51"/>
        <v>1735.938833570413</v>
      </c>
      <c r="AZ39" s="24">
        <f t="shared" si="52"/>
        <v>1.5003792857134079E-2</v>
      </c>
      <c r="BA39" s="24">
        <f t="shared" si="53"/>
        <v>0.35000000000000003</v>
      </c>
      <c r="BB39" s="25">
        <f>IF(MortgageRate="Discounted",_xlfn.XLOOKUP(L39,'mortgage-rates'!$A:$A,'mortgage-rates'!$E:$E)/100,_xlfn.XLOOKUP(L39,'mortgage-rates'!$A:$A,'mortgage-rates'!$D:$D)/100)</f>
        <v>4.82E-2</v>
      </c>
      <c r="BC39" s="10">
        <f t="shared" si="67"/>
        <v>208307.32204480047</v>
      </c>
      <c r="BD39" s="10">
        <f t="shared" si="54"/>
        <v>4688.2274476422317</v>
      </c>
      <c r="BE39" s="10">
        <f t="shared" si="55"/>
        <v>2510.1032306398456</v>
      </c>
      <c r="BF39" s="10">
        <f t="shared" si="36"/>
        <v>2178.1242170023861</v>
      </c>
      <c r="BG39" s="12">
        <f t="shared" si="56"/>
        <v>6424.1662812126451</v>
      </c>
      <c r="BH39" s="22">
        <f>INDEX(cpi!B:B,MATCH($L39,cpi!A:A))</f>
        <v>106.8</v>
      </c>
      <c r="BI39" s="22">
        <f t="shared" si="57"/>
        <v>126.24113475177306</v>
      </c>
      <c r="BJ39" s="22">
        <f t="shared" si="58"/>
        <v>167.2707301403058</v>
      </c>
      <c r="BK39" s="22">
        <f t="shared" si="59"/>
        <v>165.69455180045574</v>
      </c>
      <c r="BL39" s="22">
        <f t="shared" si="60"/>
        <v>166.79787663835077</v>
      </c>
      <c r="BM39" s="22">
        <f t="shared" si="61"/>
        <v>310.9908319181875</v>
      </c>
      <c r="BN39" s="22">
        <f t="shared" si="62"/>
        <v>142.4</v>
      </c>
      <c r="BO39">
        <f t="shared" si="63"/>
        <v>119.48410532650625</v>
      </c>
    </row>
    <row r="40" spans="1:67" x14ac:dyDescent="0.25">
      <c r="A40" s="5" t="s">
        <v>347</v>
      </c>
      <c r="L40" s="1">
        <f t="shared" si="33"/>
        <v>42156</v>
      </c>
      <c r="M40" s="10">
        <f t="shared" si="38"/>
        <v>266772.88498366857</v>
      </c>
      <c r="N40" s="10">
        <f t="shared" si="39"/>
        <v>172347.06467220193</v>
      </c>
      <c r="O40" s="7">
        <f t="shared" si="24"/>
        <v>1.5478818017066971</v>
      </c>
      <c r="P40" s="7">
        <f t="shared" si="40"/>
        <v>0.80749602825530742</v>
      </c>
      <c r="Q40">
        <v>38</v>
      </c>
      <c r="R40">
        <f t="shared" si="41"/>
        <v>91</v>
      </c>
      <c r="S40" s="22"/>
      <c r="T40" s="22">
        <f>IF($B$10="3BR_H",
INDEX('3BR_H-processed'!$E:$E,MATCH($L40,'3BR_H-processed'!$B:$B,0),MATCH(Council_Area,'3BR_H-processed'!$E$1:$E$1,0)),
INDEX('2BR_F-processed'!$E:$E,MATCH($L40,'2BR_F-processed'!$B:$B,0),MATCH(Council_Area,'2BR_F-processed'!$E$1:$E$1,0)))</f>
        <v>377.69061985737795</v>
      </c>
      <c r="U40" s="22">
        <f t="shared" si="25"/>
        <v>385.76418523786947</v>
      </c>
      <c r="V40" s="22">
        <f t="shared" si="34"/>
        <v>5014.9344080923029</v>
      </c>
      <c r="W40" s="22">
        <f>$B$53/4*BH40/_xlfn.XLOOKUP(Q_end,cpi!A:A,cpi!B:B)</f>
        <v>148.85970974429856</v>
      </c>
      <c r="X40" s="22">
        <f t="shared" si="42"/>
        <v>5163.7941178366018</v>
      </c>
      <c r="Y40" s="22">
        <f t="shared" si="43"/>
        <v>1231.0288127400372</v>
      </c>
      <c r="Z40" s="22">
        <f t="shared" si="64"/>
        <v>0</v>
      </c>
      <c r="AA40" s="22" cm="1">
        <f t="array" ref="AA40">(Y40+Z40)*eff_invest</f>
        <v>1231.0288127400372</v>
      </c>
      <c r="AB40" s="22">
        <f>AA40*(_xlfn.XLOOKUP(Q_end,cpi!A:A,cpi!B:B)/BH40)</f>
        <v>1653.9449322514704</v>
      </c>
      <c r="AC40" s="22" cm="1">
        <f t="array" ref="AC40">INDEX('msci-indices'!C:C,MATCH($L40,'msci-indices'!$B:$B)-2)</f>
        <v>1295.5072580000001</v>
      </c>
      <c r="AD40" s="22" cm="1">
        <f t="array" ref="AD40">INDEX('msci-indices'!D:D,MATCH($L40,'msci-indices'!$B:$B)-2)</f>
        <v>1301.9298140000001</v>
      </c>
      <c r="AE40" s="22">
        <f t="shared" si="65"/>
        <v>271490.28448960563</v>
      </c>
      <c r="AF40" s="22" cm="1">
        <f t="array" ref="AF40">INDEX('msci-indices'!C:C,MATCH($L40,'msci-indices'!$B:$B)+1)</f>
        <v>1301.506973</v>
      </c>
      <c r="AG40" s="22" cm="1">
        <f t="array" ref="AG40">INDEX('msci-indices'!D:D,MATCH($L40,'msci-indices'!$B:$B)+1)</f>
        <v>1215.1659059999999</v>
      </c>
      <c r="AH40" s="22">
        <f t="shared" si="44"/>
        <v>169.68142780600351</v>
      </c>
      <c r="AI40" s="22">
        <f t="shared" si="45"/>
        <v>266772.88498366857</v>
      </c>
      <c r="AJ40" s="22">
        <f t="shared" si="66"/>
        <v>170142.2434998719</v>
      </c>
      <c r="AK40" s="22">
        <f t="shared" si="46"/>
        <v>96630.641483796673</v>
      </c>
      <c r="AL40" s="22">
        <f>AJ40*(_xlfn.XLOOKUP(Q_end,cpi!A:A,cpi!B:B)/BH40)</f>
        <v>228594.08202814727</v>
      </c>
      <c r="AM40" s="22" cm="1">
        <f t="array" ref="AM40">SUMPRODUCT($AA$3:AA40,_xlfn.SORTBY($BH$3:BH40,_xlfn.SEQUENCE(ROWS($BH$3:BH40)),-1)/$BH$3)</f>
        <v>207133.47684175349</v>
      </c>
      <c r="AN40" s="22">
        <f t="shared" si="30"/>
        <v>59639.408141915075</v>
      </c>
      <c r="AO40" s="22">
        <f t="shared" si="47"/>
        <v>0</v>
      </c>
      <c r="AP40" s="22">
        <f t="shared" si="31"/>
        <v>266772.88498366857</v>
      </c>
      <c r="AQ40" s="22"/>
      <c r="AR40" s="10">
        <f>IF($B$10="3BR_H",
INDEX('ns-combined'!$C:$D,MATCH($L40,'ns-combined'!$B:$B,0),MATCH(Council_Area,'ns-combined'!$C$1:$D$1,0))*1000,
INDEX('s-combined'!$C:$D,MATCH($L40,'s-combined'!$B:$B,0),MATCH(Council_Area,'s-combined'!$C$1:$D$1,0))*1000)</f>
        <v>465000</v>
      </c>
      <c r="AS40" s="22">
        <f t="shared" si="35"/>
        <v>30875</v>
      </c>
      <c r="AT40" s="10">
        <v>0</v>
      </c>
      <c r="AU40" s="22">
        <f t="shared" si="48"/>
        <v>9300</v>
      </c>
      <c r="AV40" s="22">
        <f t="shared" si="49"/>
        <v>1336.875</v>
      </c>
      <c r="AW40" s="22">
        <f>SUM($AV$3:AV40)</f>
        <v>46348.737500000003</v>
      </c>
      <c r="AX40" s="22">
        <f t="shared" si="50"/>
        <v>378476.26250000001</v>
      </c>
      <c r="AY40" s="22">
        <f t="shared" si="51"/>
        <v>1755.2270428323061</v>
      </c>
      <c r="AZ40" s="24">
        <f t="shared" si="52"/>
        <v>1.5098727250170375E-2</v>
      </c>
      <c r="BA40" s="24">
        <f t="shared" si="53"/>
        <v>0.35000000000000003</v>
      </c>
      <c r="BB40" s="25">
        <f>IF(MortgageRate="Discounted",_xlfn.XLOOKUP(L40,'mortgage-rates'!$A:$A,'mortgage-rates'!$E:$E)/100,_xlfn.XLOOKUP(L40,'mortgage-rates'!$A:$A,'mortgage-rates'!$D:$D)/100)</f>
        <v>4.6699999999999998E-2</v>
      </c>
      <c r="BC40" s="10">
        <f t="shared" si="67"/>
        <v>206129.19782779808</v>
      </c>
      <c r="BD40" s="10">
        <f t="shared" si="54"/>
        <v>4639.5958877443327</v>
      </c>
      <c r="BE40" s="10">
        <f t="shared" si="55"/>
        <v>2406.5583846395425</v>
      </c>
      <c r="BF40" s="10">
        <f t="shared" si="36"/>
        <v>2233.0375031047902</v>
      </c>
      <c r="BG40" s="12">
        <f t="shared" si="56"/>
        <v>6394.822930576639</v>
      </c>
      <c r="BH40" s="22">
        <f>INDEX(cpi!B:B,MATCH($L40,cpi!A:A))</f>
        <v>107.7</v>
      </c>
      <c r="BI40" s="22">
        <f t="shared" si="57"/>
        <v>127.3049645390071</v>
      </c>
      <c r="BJ40" s="22">
        <f t="shared" si="58"/>
        <v>171.61773071123525</v>
      </c>
      <c r="BK40" s="22">
        <f t="shared" si="59"/>
        <v>182.61005769685053</v>
      </c>
      <c r="BL40" s="22">
        <f t="shared" si="60"/>
        <v>174.91542880691983</v>
      </c>
      <c r="BM40" s="22">
        <f t="shared" si="61"/>
        <v>327.46324700931757</v>
      </c>
      <c r="BN40" s="22">
        <f t="shared" si="62"/>
        <v>143.07692307692307</v>
      </c>
      <c r="BO40">
        <f t="shared" si="63"/>
        <v>119.48619686072553</v>
      </c>
    </row>
    <row r="41" spans="1:67" x14ac:dyDescent="0.25">
      <c r="A41" t="s">
        <v>310</v>
      </c>
      <c r="B41" s="8">
        <v>0.7</v>
      </c>
      <c r="C41" s="8">
        <v>0.7</v>
      </c>
      <c r="L41" s="1">
        <f t="shared" si="33"/>
        <v>42248</v>
      </c>
      <c r="M41" s="10">
        <f t="shared" si="38"/>
        <v>246071.01367385092</v>
      </c>
      <c r="N41" s="10">
        <f t="shared" si="39"/>
        <v>182201.97717530673</v>
      </c>
      <c r="O41" s="7">
        <f t="shared" si="24"/>
        <v>1.3505397553237977</v>
      </c>
      <c r="P41" s="7">
        <f t="shared" si="40"/>
        <v>0.81408584602628076</v>
      </c>
      <c r="Q41">
        <v>39</v>
      </c>
      <c r="R41">
        <f t="shared" si="41"/>
        <v>92</v>
      </c>
      <c r="S41" s="22"/>
      <c r="T41" s="22">
        <f>IF($B$10="3BR_H",
INDEX('3BR_H-processed'!$E:$E,MATCH($L41,'3BR_H-processed'!$B:$B,0),MATCH(Council_Area,'3BR_H-processed'!$E$1:$E$1,0)),
INDEX('2BR_F-processed'!$E:$E,MATCH($L41,'2BR_F-processed'!$B:$B,0),MATCH(Council_Area,'2BR_F-processed'!$E$1:$E$1,0)))</f>
        <v>379.11856602532481</v>
      </c>
      <c r="U41" s="22">
        <f t="shared" si="25"/>
        <v>385.76418523786947</v>
      </c>
      <c r="V41" s="22">
        <f t="shared" si="34"/>
        <v>5070.0435774119987</v>
      </c>
      <c r="W41" s="22">
        <f>$B$53/4*BH41/_xlfn.XLOOKUP(Q_end,cpi!A:A,cpi!B:B)</f>
        <v>148.99792674498966</v>
      </c>
      <c r="X41" s="22">
        <f t="shared" si="42"/>
        <v>5219.0415041569886</v>
      </c>
      <c r="Y41" s="22">
        <f t="shared" si="43"/>
        <v>1191.8812868879559</v>
      </c>
      <c r="Z41" s="22">
        <f t="shared" si="64"/>
        <v>0</v>
      </c>
      <c r="AA41" s="22" cm="1">
        <f t="array" ref="AA41">(Y41+Z41)*eff_invest</f>
        <v>1191.8812868879559</v>
      </c>
      <c r="AB41" s="22">
        <f>AA41*(_xlfn.XLOOKUP(Q_end,cpi!A:A,cpi!B:B)/BH41)</f>
        <v>1599.8629147744639</v>
      </c>
      <c r="AC41" s="22" cm="1">
        <f t="array" ref="AC41">INDEX('msci-indices'!C:C,MATCH($L41,'msci-indices'!$B:$B)-2)</f>
        <v>1301.506973</v>
      </c>
      <c r="AD41" s="22" cm="1">
        <f t="array" ref="AD41">INDEX('msci-indices'!D:D,MATCH($L41,'msci-indices'!$B:$B)-2)</f>
        <v>1215.1659059999999</v>
      </c>
      <c r="AE41" s="22">
        <f t="shared" si="65"/>
        <v>267964.76627055655</v>
      </c>
      <c r="AF41" s="22" cm="1">
        <f t="array" ref="AF41">INDEX('msci-indices'!C:C,MATCH($L41,'msci-indices'!$B:$B)+1)</f>
        <v>1189.2854910000001</v>
      </c>
      <c r="AG41" s="22" cm="1">
        <f t="array" ref="AG41">INDEX('msci-indices'!D:D,MATCH($L41,'msci-indices'!$B:$B)+1)</f>
        <v>1131.230902</v>
      </c>
      <c r="AH41" s="22">
        <f t="shared" si="44"/>
        <v>167.47797891909784</v>
      </c>
      <c r="AI41" s="22">
        <f t="shared" si="45"/>
        <v>246071.01367385092</v>
      </c>
      <c r="AJ41" s="22">
        <f t="shared" si="66"/>
        <v>171334.12478675984</v>
      </c>
      <c r="AK41" s="22">
        <f t="shared" si="46"/>
        <v>74736.888887091074</v>
      </c>
      <c r="AL41" s="22">
        <f>AJ41*(_xlfn.XLOOKUP(Q_end,cpi!A:A,cpi!B:B)/BH41)</f>
        <v>229981.89106348934</v>
      </c>
      <c r="AM41" s="22" cm="1">
        <f t="array" ref="AM41">SUMPRODUCT($AA$3:AA41,_xlfn.SORTBY($BH$3:BH41,_xlfn.SEQUENCE(ROWS($BH$3:BH41)),-1)/$BH$3)</f>
        <v>209050.45523712644</v>
      </c>
      <c r="AN41" s="22">
        <f t="shared" si="30"/>
        <v>37020.558436724474</v>
      </c>
      <c r="AO41" s="22">
        <f t="shared" si="47"/>
        <v>0</v>
      </c>
      <c r="AP41" s="22">
        <f t="shared" si="31"/>
        <v>246071.01367385092</v>
      </c>
      <c r="AQ41" s="22"/>
      <c r="AR41" s="10">
        <f>IF($B$10="3BR_H",
INDEX('ns-combined'!$C:$D,MATCH($L41,'ns-combined'!$B:$B,0),MATCH(Council_Area,'ns-combined'!$C$1:$D$1,0))*1000,
INDEX('s-combined'!$C:$D,MATCH($L41,'s-combined'!$B:$B,0),MATCH(Council_Area,'s-combined'!$C$1:$D$1,0))*1000)</f>
        <v>475000</v>
      </c>
      <c r="AS41" s="22">
        <f t="shared" si="35"/>
        <v>31687.5</v>
      </c>
      <c r="AT41" s="10">
        <v>0</v>
      </c>
      <c r="AU41" s="22">
        <f t="shared" si="48"/>
        <v>9500</v>
      </c>
      <c r="AV41" s="22">
        <f t="shared" si="49"/>
        <v>1365.625</v>
      </c>
      <c r="AW41" s="22">
        <f>SUM($AV$3:AV41)</f>
        <v>47714.362500000003</v>
      </c>
      <c r="AX41" s="22">
        <f t="shared" si="50"/>
        <v>386098.13750000001</v>
      </c>
      <c r="AY41" s="22">
        <f t="shared" si="51"/>
        <v>1774.5152520941997</v>
      </c>
      <c r="AZ41" s="24">
        <f t="shared" si="52"/>
        <v>1.494328633342484E-2</v>
      </c>
      <c r="BA41" s="24">
        <f t="shared" si="53"/>
        <v>0.35000000000000003</v>
      </c>
      <c r="BB41" s="25">
        <f>IF(MortgageRate="Discounted",_xlfn.XLOOKUP(L41,'mortgage-rates'!$A:$A,'mortgage-rates'!$E:$E)/100,_xlfn.XLOOKUP(L41,'mortgage-rates'!$A:$A,'mortgage-rates'!$D:$D)/100)</f>
        <v>4.6600000000000003E-2</v>
      </c>
      <c r="BC41" s="10">
        <f t="shared" si="67"/>
        <v>203896.16032469328</v>
      </c>
      <c r="BD41" s="10">
        <f t="shared" si="54"/>
        <v>4636.4075389507452</v>
      </c>
      <c r="BE41" s="10">
        <f t="shared" si="55"/>
        <v>2375.3902677826768</v>
      </c>
      <c r="BF41" s="10">
        <f t="shared" si="36"/>
        <v>2261.0172711680684</v>
      </c>
      <c r="BG41" s="12">
        <f t="shared" si="56"/>
        <v>6410.9227910449445</v>
      </c>
      <c r="BH41" s="22">
        <f>INDEX(cpi!B:B,MATCH($L41,cpi!A:A))</f>
        <v>107.8</v>
      </c>
      <c r="BI41" s="22">
        <f t="shared" si="57"/>
        <v>127.42316784869978</v>
      </c>
      <c r="BJ41" s="22">
        <f t="shared" si="58"/>
        <v>172.41252168354035</v>
      </c>
      <c r="BK41" s="22">
        <f t="shared" si="59"/>
        <v>170.44045986176764</v>
      </c>
      <c r="BL41" s="22">
        <f t="shared" si="60"/>
        <v>171.82090313700854</v>
      </c>
      <c r="BM41" s="22">
        <f t="shared" si="61"/>
        <v>323.21087515899256</v>
      </c>
      <c r="BN41" s="22">
        <f t="shared" si="62"/>
        <v>146.15384615384616</v>
      </c>
      <c r="BO41">
        <f t="shared" si="63"/>
        <v>121.89244778563747</v>
      </c>
    </row>
    <row r="42" spans="1:67" x14ac:dyDescent="0.25">
      <c r="A42" t="s">
        <v>311</v>
      </c>
      <c r="B42" s="8">
        <f>1-GlobalPortfolio</f>
        <v>0.30000000000000004</v>
      </c>
      <c r="C42" s="8">
        <v>0.30000000000000004</v>
      </c>
      <c r="L42" s="1">
        <f t="shared" si="33"/>
        <v>42339</v>
      </c>
      <c r="M42" s="10">
        <f t="shared" si="38"/>
        <v>261168.06863831656</v>
      </c>
      <c r="N42" s="10">
        <f t="shared" si="39"/>
        <v>196941.7444464748</v>
      </c>
      <c r="O42" s="7">
        <f t="shared" si="24"/>
        <v>1.3261183878123783</v>
      </c>
      <c r="P42" s="7">
        <f t="shared" si="40"/>
        <v>0.80744060440625731</v>
      </c>
      <c r="Q42">
        <v>40</v>
      </c>
      <c r="R42">
        <f t="shared" si="41"/>
        <v>92</v>
      </c>
      <c r="S42" s="22"/>
      <c r="T42" s="22">
        <f>IF($B$10="3BR_H",
INDEX('3BR_H-processed'!$E:$E,MATCH($L42,'3BR_H-processed'!$B:$B,0),MATCH(Council_Area,'3BR_H-processed'!$E$1:$E$1,0)),
INDEX('2BR_F-processed'!$E:$E,MATCH($L42,'2BR_F-processed'!$B:$B,0),MATCH(Council_Area,'2BR_F-processed'!$E$1:$E$1,0)))</f>
        <v>380.03407899335895</v>
      </c>
      <c r="U42" s="22">
        <f t="shared" si="25"/>
        <v>385.76418523786947</v>
      </c>
      <c r="V42" s="22">
        <f t="shared" si="34"/>
        <v>5070.0435774119987</v>
      </c>
      <c r="W42" s="22">
        <f>$B$53/4*BH42/_xlfn.XLOOKUP(Q_end,cpi!A:A,cpi!B:B)</f>
        <v>149.68901174844507</v>
      </c>
      <c r="X42" s="22">
        <f t="shared" si="42"/>
        <v>5219.7325891604441</v>
      </c>
      <c r="Y42" s="22">
        <f t="shared" si="43"/>
        <v>1244.8080354700423</v>
      </c>
      <c r="Z42" s="22">
        <f t="shared" si="64"/>
        <v>0</v>
      </c>
      <c r="AA42" s="22" cm="1">
        <f t="array" ref="AA42">(Y42+Z42)*eff_invest</f>
        <v>1244.8080354700423</v>
      </c>
      <c r="AB42" s="22">
        <f>AA42*(_xlfn.XLOOKUP(Q_end,cpi!A:A,cpi!B:B)/BH42)</f>
        <v>1663.1922689982928</v>
      </c>
      <c r="AC42" s="22" cm="1">
        <f t="array" ref="AC42">INDEX('msci-indices'!C:C,MATCH($L42,'msci-indices'!$B:$B)-2)</f>
        <v>1189.2854910000001</v>
      </c>
      <c r="AD42" s="22" cm="1">
        <f t="array" ref="AD42">INDEX('msci-indices'!D:D,MATCH($L42,'msci-indices'!$B:$B)-2)</f>
        <v>1131.230902</v>
      </c>
      <c r="AE42" s="22">
        <f t="shared" si="65"/>
        <v>247315.82170932097</v>
      </c>
      <c r="AF42" s="22" cm="1">
        <f t="array" ref="AF42">INDEX('msci-indices'!C:C,MATCH($L42,'msci-indices'!$B:$B)+1)</f>
        <v>1252.64913</v>
      </c>
      <c r="AG42" s="22" cm="1">
        <f t="array" ref="AG42">INDEX('msci-indices'!D:D,MATCH($L42,'msci-indices'!$B:$B)+1)</f>
        <v>1204.1584660000001</v>
      </c>
      <c r="AH42" s="22">
        <f t="shared" si="44"/>
        <v>154.57238856832561</v>
      </c>
      <c r="AI42" s="22">
        <f t="shared" si="45"/>
        <v>261168.06863831656</v>
      </c>
      <c r="AJ42" s="22">
        <f t="shared" si="66"/>
        <v>172578.93282222989</v>
      </c>
      <c r="AK42" s="22">
        <f t="shared" si="46"/>
        <v>88589.135816086666</v>
      </c>
      <c r="AL42" s="22">
        <f>AJ42*(_xlfn.XLOOKUP(Q_end,cpi!A:A,cpi!B:B)/BH42)</f>
        <v>230583.30174863033</v>
      </c>
      <c r="AM42" s="22" cm="1">
        <f t="array" ref="AM42">SUMPRODUCT($AA$3:AA42,_xlfn.SORTBY($BH$3:BH42,_xlfn.SEQUENCE(ROWS($BH$3:BH42)),-1)/$BH$3)</f>
        <v>211406.30811004437</v>
      </c>
      <c r="AN42" s="22">
        <f t="shared" si="30"/>
        <v>49761.760528272192</v>
      </c>
      <c r="AO42" s="22">
        <f t="shared" si="47"/>
        <v>0</v>
      </c>
      <c r="AP42" s="22">
        <f t="shared" si="31"/>
        <v>261168.06863831656</v>
      </c>
      <c r="AQ42" s="22"/>
      <c r="AR42" s="10">
        <f>IF($B$10="3BR_H",
INDEX('ns-combined'!$C:$D,MATCH($L42,'ns-combined'!$B:$B,0),MATCH(Council_Area,'ns-combined'!$C$1:$D$1,0))*1000,
INDEX('s-combined'!$C:$D,MATCH($L42,'s-combined'!$B:$B,0),MATCH(Council_Area,'s-combined'!$C$1:$D$1,0))*1000)</f>
        <v>490000</v>
      </c>
      <c r="AS42" s="22">
        <f t="shared" si="35"/>
        <v>32500</v>
      </c>
      <c r="AT42" s="10">
        <v>0</v>
      </c>
      <c r="AU42" s="22">
        <f t="shared" si="48"/>
        <v>9800</v>
      </c>
      <c r="AV42" s="22">
        <f t="shared" si="49"/>
        <v>1408.75</v>
      </c>
      <c r="AW42" s="22">
        <f>SUM($AV$3:AV42)</f>
        <v>49123.112500000003</v>
      </c>
      <c r="AX42" s="22">
        <f t="shared" si="50"/>
        <v>398576.88750000001</v>
      </c>
      <c r="AY42" s="22">
        <f t="shared" si="51"/>
        <v>1774.5152520941997</v>
      </c>
      <c r="AZ42" s="24">
        <f t="shared" si="52"/>
        <v>1.4485838792605711E-2</v>
      </c>
      <c r="BA42" s="24">
        <f t="shared" si="53"/>
        <v>0.35000000000000003</v>
      </c>
      <c r="BB42" s="25">
        <f>IF(MortgageRate="Discounted",_xlfn.XLOOKUP(L42,'mortgage-rates'!$A:$A,'mortgage-rates'!$E:$E)/100,_xlfn.XLOOKUP(L42,'mortgage-rates'!$A:$A,'mortgage-rates'!$D:$D)/100)</f>
        <v>4.8300000000000003E-2</v>
      </c>
      <c r="BC42" s="10">
        <f t="shared" si="67"/>
        <v>201635.14305352521</v>
      </c>
      <c r="BD42" s="10">
        <f t="shared" si="54"/>
        <v>4690.0253725362873</v>
      </c>
      <c r="BE42" s="10">
        <f t="shared" si="55"/>
        <v>2434.7443523713173</v>
      </c>
      <c r="BF42" s="10">
        <f t="shared" si="36"/>
        <v>2255.28102016497</v>
      </c>
      <c r="BG42" s="12">
        <f t="shared" si="56"/>
        <v>6464.5406246304865</v>
      </c>
      <c r="BH42" s="22">
        <f>INDEX(cpi!B:B,MATCH($L42,cpi!A:A))</f>
        <v>108.3</v>
      </c>
      <c r="BI42" s="22">
        <f t="shared" si="57"/>
        <v>128.01418439716312</v>
      </c>
      <c r="BJ42" s="22">
        <f t="shared" si="58"/>
        <v>157.54637874303378</v>
      </c>
      <c r="BK42" s="22">
        <f t="shared" si="59"/>
        <v>158.66764710457753</v>
      </c>
      <c r="BL42" s="22">
        <f t="shared" si="60"/>
        <v>157.88275925149691</v>
      </c>
      <c r="BM42" s="22">
        <f t="shared" si="61"/>
        <v>298.30475210545666</v>
      </c>
      <c r="BN42" s="22">
        <f t="shared" si="62"/>
        <v>150.76923076923077</v>
      </c>
      <c r="BO42">
        <f t="shared" si="63"/>
        <v>125.83203007073726</v>
      </c>
    </row>
    <row r="43" spans="1:67" x14ac:dyDescent="0.25">
      <c r="A43" t="s">
        <v>330</v>
      </c>
      <c r="B43" s="4">
        <v>2.5000000000000001E-3</v>
      </c>
      <c r="C43" s="4">
        <v>2.5000000000000001E-3</v>
      </c>
      <c r="L43" s="1">
        <f t="shared" si="33"/>
        <v>42430</v>
      </c>
      <c r="M43" s="10">
        <f t="shared" si="38"/>
        <v>259671.34914587336</v>
      </c>
      <c r="N43" s="10">
        <f t="shared" si="39"/>
        <v>190624.46296663978</v>
      </c>
      <c r="O43" s="7">
        <f t="shared" si="24"/>
        <v>1.3622141938378451</v>
      </c>
      <c r="P43" s="7">
        <f t="shared" si="40"/>
        <v>0.81116039507452609</v>
      </c>
      <c r="Q43">
        <v>41</v>
      </c>
      <c r="R43">
        <f t="shared" si="41"/>
        <v>91</v>
      </c>
      <c r="S43" s="22"/>
      <c r="T43" s="22">
        <f>IF($B$10="3BR_H",
INDEX('3BR_H-processed'!$E:$E,MATCH($L43,'3BR_H-processed'!$B:$B,0),MATCH(Council_Area,'3BR_H-processed'!$E$1:$E$1,0)),
INDEX('2BR_F-processed'!$E:$E,MATCH($L43,'2BR_F-processed'!$B:$B,0),MATCH(Council_Area,'2BR_F-processed'!$E$1:$E$1,0)))</f>
        <v>392.60130922693264</v>
      </c>
      <c r="U43" s="22">
        <f t="shared" si="25"/>
        <v>392.60130922693264</v>
      </c>
      <c r="V43" s="22">
        <f t="shared" si="34"/>
        <v>5103.8170199501246</v>
      </c>
      <c r="W43" s="22">
        <f>$B$53/4*BH43/_xlfn.XLOOKUP(Q_end,cpi!A:A,cpi!B:B)</f>
        <v>149.550794747754</v>
      </c>
      <c r="X43" s="22">
        <f t="shared" si="42"/>
        <v>5253.3678146978782</v>
      </c>
      <c r="Y43" s="22">
        <f t="shared" si="43"/>
        <v>1222.9935148209534</v>
      </c>
      <c r="Z43" s="22">
        <f t="shared" si="64"/>
        <v>0</v>
      </c>
      <c r="AA43" s="22" cm="1">
        <f t="array" ref="AA43">(Y43+Z43)*eff_invest</f>
        <v>1222.9935148209534</v>
      </c>
      <c r="AB43" s="22">
        <f>AA43*(_xlfn.XLOOKUP(Q_end,cpi!A:A,cpi!B:B)/BH43)</f>
        <v>1635.5560221311639</v>
      </c>
      <c r="AC43" s="22" cm="1">
        <f t="array" ref="AC43">INDEX('msci-indices'!C:C,MATCH($L43,'msci-indices'!$B:$B)-2)</f>
        <v>1252.64913</v>
      </c>
      <c r="AD43" s="22" cm="1">
        <f t="array" ref="AD43">INDEX('msci-indices'!D:D,MATCH($L43,'msci-indices'!$B:$B)-2)</f>
        <v>1204.1584660000001</v>
      </c>
      <c r="AE43" s="22">
        <f t="shared" si="65"/>
        <v>262391.06215313752</v>
      </c>
      <c r="AF43" s="22" cm="1">
        <f t="array" ref="AF43">INDEX('msci-indices'!C:C,MATCH($L43,'msci-indices'!$B:$B)+1)</f>
        <v>1249.9268750000001</v>
      </c>
      <c r="AG43" s="22" cm="1">
        <f t="array" ref="AG43">INDEX('msci-indices'!D:D,MATCH($L43,'msci-indices'!$B:$B)+1)</f>
        <v>1171.1690430000001</v>
      </c>
      <c r="AH43" s="22">
        <f t="shared" si="44"/>
        <v>163.99441384571097</v>
      </c>
      <c r="AI43" s="22">
        <f t="shared" si="45"/>
        <v>259671.34914587336</v>
      </c>
      <c r="AJ43" s="22">
        <f t="shared" si="66"/>
        <v>173801.92633705086</v>
      </c>
      <c r="AK43" s="22">
        <f t="shared" si="46"/>
        <v>85869.422808822506</v>
      </c>
      <c r="AL43" s="22">
        <f>AJ43*(_xlfn.XLOOKUP(Q_end,cpi!A:A,cpi!B:B)/BH43)</f>
        <v>232431.96618272882</v>
      </c>
      <c r="AM43" s="22" cm="1">
        <f t="array" ref="AM43">SUMPRODUCT($AA$3:AA43,_xlfn.SORTBY($BH$3:BH43,_xlfn.SEQUENCE(ROWS($BH$3:BH43)),-1)/$BH$3)</f>
        <v>213161.65154572277</v>
      </c>
      <c r="AN43" s="22">
        <f t="shared" si="30"/>
        <v>46509.697600150597</v>
      </c>
      <c r="AO43" s="22">
        <f t="shared" si="47"/>
        <v>0</v>
      </c>
      <c r="AP43" s="22">
        <f t="shared" si="31"/>
        <v>259671.34914587336</v>
      </c>
      <c r="AQ43" s="22"/>
      <c r="AR43" s="10">
        <f>IF($B$10="3BR_H",
INDEX('ns-combined'!$C:$D,MATCH($L43,'ns-combined'!$B:$B,0),MATCH(Council_Area,'ns-combined'!$C$1:$D$1,0))*1000,
INDEX('s-combined'!$C:$D,MATCH($L43,'s-combined'!$B:$B,0),MATCH(Council_Area,'s-combined'!$C$1:$D$1,0))*1000)</f>
        <v>483500</v>
      </c>
      <c r="AS43" s="22">
        <f t="shared" si="35"/>
        <v>33312.5</v>
      </c>
      <c r="AT43" s="10">
        <v>0</v>
      </c>
      <c r="AU43" s="22">
        <f t="shared" si="48"/>
        <v>9670</v>
      </c>
      <c r="AV43" s="22">
        <f t="shared" si="49"/>
        <v>1390.0625</v>
      </c>
      <c r="AW43" s="22">
        <f>SUM($AV$3:AV43)</f>
        <v>50513.175000000003</v>
      </c>
      <c r="AX43" s="22">
        <f t="shared" si="50"/>
        <v>390004.32500000001</v>
      </c>
      <c r="AY43" s="22">
        <f t="shared" si="51"/>
        <v>1786.3359569825438</v>
      </c>
      <c r="AZ43" s="24">
        <f t="shared" si="52"/>
        <v>1.4778373997787333E-2</v>
      </c>
      <c r="BA43" s="24">
        <f t="shared" si="53"/>
        <v>0.35000000000000003</v>
      </c>
      <c r="BB43" s="25">
        <f>IF(MortgageRate="Discounted",_xlfn.XLOOKUP(L43,'mortgage-rates'!$A:$A,'mortgage-rates'!$E:$E)/100,_xlfn.XLOOKUP(L43,'mortgage-rates'!$A:$A,'mortgage-rates'!$D:$D)/100)</f>
        <v>4.8300000000000003E-2</v>
      </c>
      <c r="BC43" s="10">
        <f t="shared" si="67"/>
        <v>199379.86203336023</v>
      </c>
      <c r="BD43" s="10">
        <f t="shared" si="54"/>
        <v>4690.0253725362873</v>
      </c>
      <c r="BE43" s="10">
        <f t="shared" si="55"/>
        <v>2407.5118340528247</v>
      </c>
      <c r="BF43" s="10">
        <f t="shared" si="36"/>
        <v>2282.5135384834625</v>
      </c>
      <c r="BG43" s="12">
        <f t="shared" si="56"/>
        <v>6476.3613295188316</v>
      </c>
      <c r="BH43" s="22">
        <f>INDEX(cpi!B:B,MATCH($L43,cpi!A:A))</f>
        <v>108.2</v>
      </c>
      <c r="BI43" s="22">
        <f t="shared" si="57"/>
        <v>127.89598108747046</v>
      </c>
      <c r="BJ43" s="22">
        <f t="shared" si="58"/>
        <v>165.94025216028786</v>
      </c>
      <c r="BK43" s="22">
        <f t="shared" si="59"/>
        <v>168.89654464308245</v>
      </c>
      <c r="BL43" s="22">
        <f t="shared" si="60"/>
        <v>166.82713990512624</v>
      </c>
      <c r="BM43" s="22">
        <f t="shared" si="61"/>
        <v>316.48804435276116</v>
      </c>
      <c r="BN43" s="22">
        <f t="shared" si="62"/>
        <v>148.76923076923077</v>
      </c>
      <c r="BO43">
        <f t="shared" si="63"/>
        <v>123.12564398535926</v>
      </c>
    </row>
    <row r="44" spans="1:67" x14ac:dyDescent="0.25">
      <c r="A44" s="6" t="s">
        <v>463</v>
      </c>
      <c r="B44" t="s">
        <v>341</v>
      </c>
      <c r="C44" t="s">
        <v>341</v>
      </c>
      <c r="L44" s="1">
        <f t="shared" si="33"/>
        <v>42522</v>
      </c>
      <c r="M44" s="10">
        <f t="shared" si="38"/>
        <v>265803.2946513436</v>
      </c>
      <c r="N44" s="10">
        <f t="shared" si="39"/>
        <v>201941.35150512325</v>
      </c>
      <c r="O44" s="7">
        <f t="shared" si="24"/>
        <v>1.3162400502434994</v>
      </c>
      <c r="P44" s="7">
        <f t="shared" si="40"/>
        <v>0.82059996403546231</v>
      </c>
      <c r="Q44">
        <v>42</v>
      </c>
      <c r="R44">
        <f t="shared" si="41"/>
        <v>91</v>
      </c>
      <c r="S44" s="22"/>
      <c r="T44" s="22">
        <f>IF($B$10="3BR_H",
INDEX('3BR_H-processed'!$E:$E,MATCH($L44,'3BR_H-processed'!$B:$B,0),MATCH(Council_Area,'3BR_H-processed'!$E$1:$E$1,0)),
INDEX('2BR_F-processed'!$E:$E,MATCH($L44,'2BR_F-processed'!$B:$B,0),MATCH(Council_Area,'2BR_F-processed'!$E$1:$E$1,0)))</f>
        <v>378.64815491413958</v>
      </c>
      <c r="U44" s="22">
        <f t="shared" si="25"/>
        <v>392.60130922693264</v>
      </c>
      <c r="V44" s="22">
        <f t="shared" si="34"/>
        <v>5103.8170199501246</v>
      </c>
      <c r="W44" s="22">
        <f>$B$53/4*BH44/_xlfn.XLOOKUP(Q_end,cpi!A:A,cpi!B:B)</f>
        <v>150.38009675190048</v>
      </c>
      <c r="X44" s="22">
        <f t="shared" si="42"/>
        <v>5254.1971167020247</v>
      </c>
      <c r="Y44" s="22">
        <f t="shared" si="43"/>
        <v>1148.6755947022912</v>
      </c>
      <c r="Z44" s="22">
        <f t="shared" si="64"/>
        <v>0</v>
      </c>
      <c r="AA44" s="22" cm="1">
        <f t="array" ref="AA44">(Y44+Z44)*eff_invest</f>
        <v>1148.6755947022912</v>
      </c>
      <c r="AB44" s="22">
        <f>AA44*(_xlfn.XLOOKUP(Q_end,cpi!A:A,cpi!B:B)/BH44)</f>
        <v>1527.6963102336535</v>
      </c>
      <c r="AC44" s="22" cm="1">
        <f t="array" ref="AC44">INDEX('msci-indices'!C:C,MATCH($L44,'msci-indices'!$B:$B)-2)</f>
        <v>1249.9268750000001</v>
      </c>
      <c r="AD44" s="22" cm="1">
        <f t="array" ref="AD44">INDEX('msci-indices'!D:D,MATCH($L44,'msci-indices'!$B:$B)-2)</f>
        <v>1171.1690430000001</v>
      </c>
      <c r="AE44" s="22">
        <f t="shared" si="65"/>
        <v>260820.02474057567</v>
      </c>
      <c r="AF44" s="22" cm="1">
        <f t="array" ref="AF44">INDEX('msci-indices'!C:C,MATCH($L44,'msci-indices'!$B:$B)+1)</f>
        <v>1263.5195100000001</v>
      </c>
      <c r="AG44" s="22" cm="1">
        <f t="array" ref="AG44">INDEX('msci-indices'!D:D,MATCH($L44,'msci-indices'!$B:$B)+1)</f>
        <v>1218.479752</v>
      </c>
      <c r="AH44" s="22">
        <f t="shared" si="44"/>
        <v>163.0125154628598</v>
      </c>
      <c r="AI44" s="22">
        <f t="shared" si="45"/>
        <v>265803.2946513436</v>
      </c>
      <c r="AJ44" s="22">
        <f t="shared" si="66"/>
        <v>174950.60193175316</v>
      </c>
      <c r="AK44" s="22">
        <f t="shared" si="46"/>
        <v>90852.692719590443</v>
      </c>
      <c r="AL44" s="22">
        <f>AJ44*(_xlfn.XLOOKUP(Q_end,cpi!A:A,cpi!B:B)/BH44)</f>
        <v>232677.86856180773</v>
      </c>
      <c r="AM44" s="22" cm="1">
        <f t="array" ref="AM44">SUMPRODUCT($AA$3:AA44,_xlfn.SORTBY($BH$3:BH44,_xlfn.SEQUENCE(ROWS($BH$3:BH44)),-1)/$BH$3)</f>
        <v>215504.48550646374</v>
      </c>
      <c r="AN44" s="22">
        <f t="shared" si="30"/>
        <v>50298.809144879866</v>
      </c>
      <c r="AO44" s="22">
        <f t="shared" si="47"/>
        <v>0</v>
      </c>
      <c r="AP44" s="22">
        <f t="shared" si="31"/>
        <v>265803.2946513436</v>
      </c>
      <c r="AQ44" s="22"/>
      <c r="AR44" s="10">
        <f>IF($B$10="3BR_H",
INDEX('ns-combined'!$C:$D,MATCH($L44,'ns-combined'!$B:$B,0),MATCH(Council_Area,'ns-combined'!$C$1:$D$1,0))*1000,
INDEX('s-combined'!$C:$D,MATCH($L44,'s-combined'!$B:$B,0),MATCH(Council_Area,'s-combined'!$C$1:$D$1,0))*1000)</f>
        <v>495000</v>
      </c>
      <c r="AS44" s="22">
        <f t="shared" si="35"/>
        <v>34125</v>
      </c>
      <c r="AT44" s="10">
        <v>0</v>
      </c>
      <c r="AU44" s="22">
        <f t="shared" si="48"/>
        <v>9900</v>
      </c>
      <c r="AV44" s="22">
        <f t="shared" si="49"/>
        <v>1423.125</v>
      </c>
      <c r="AW44" s="22">
        <f>SUM($AV$3:AV44)</f>
        <v>51936.3</v>
      </c>
      <c r="AX44" s="22">
        <f t="shared" si="50"/>
        <v>399038.7</v>
      </c>
      <c r="AY44" s="22">
        <f t="shared" si="51"/>
        <v>1786.3359569825438</v>
      </c>
      <c r="AZ44" s="24">
        <f t="shared" si="52"/>
        <v>1.4435038036222576E-2</v>
      </c>
      <c r="BA44" s="24">
        <f t="shared" si="53"/>
        <v>0.35000000000000003</v>
      </c>
      <c r="BB44" s="25">
        <f>IF(MortgageRate="Discounted",_xlfn.XLOOKUP(L44,'mortgage-rates'!$A:$A,'mortgage-rates'!$E:$E)/100,_xlfn.XLOOKUP(L44,'mortgage-rates'!$A:$A,'mortgage-rates'!$D:$D)/100)</f>
        <v>4.5899999999999996E-2</v>
      </c>
      <c r="BC44" s="10">
        <f t="shared" si="67"/>
        <v>197097.34849487676</v>
      </c>
      <c r="BD44" s="10">
        <f t="shared" si="54"/>
        <v>4616.5367544217725</v>
      </c>
      <c r="BE44" s="10">
        <f t="shared" si="55"/>
        <v>2261.6920739787106</v>
      </c>
      <c r="BF44" s="10">
        <f t="shared" si="36"/>
        <v>2354.8446804430619</v>
      </c>
      <c r="BG44" s="12">
        <f t="shared" si="56"/>
        <v>6402.8727114043159</v>
      </c>
      <c r="BH44" s="22">
        <f>INDEX(cpi!B:B,MATCH($L44,cpi!A:A))</f>
        <v>108.8</v>
      </c>
      <c r="BI44" s="22">
        <f t="shared" si="57"/>
        <v>128.60520094562648</v>
      </c>
      <c r="BJ44" s="22">
        <f t="shared" si="58"/>
        <v>165.57963108106787</v>
      </c>
      <c r="BK44" s="22">
        <f t="shared" si="59"/>
        <v>164.2694131551666</v>
      </c>
      <c r="BL44" s="22">
        <f t="shared" si="60"/>
        <v>165.1865657032975</v>
      </c>
      <c r="BM44" s="22">
        <f t="shared" si="61"/>
        <v>314.59310725304954</v>
      </c>
      <c r="BN44" s="22">
        <f t="shared" si="62"/>
        <v>152.30769230769232</v>
      </c>
      <c r="BO44">
        <f t="shared" si="63"/>
        <v>125.9778257909847</v>
      </c>
    </row>
    <row r="45" spans="1:67" x14ac:dyDescent="0.25">
      <c r="A45" t="s">
        <v>344</v>
      </c>
      <c r="B45" s="8">
        <v>0.32</v>
      </c>
      <c r="C45" s="8">
        <v>0.32</v>
      </c>
      <c r="L45" s="1">
        <f t="shared" si="33"/>
        <v>42614</v>
      </c>
      <c r="M45" s="10">
        <f t="shared" si="38"/>
        <v>280746.56493154273</v>
      </c>
      <c r="N45" s="10">
        <f t="shared" si="39"/>
        <v>206946.19618556631</v>
      </c>
      <c r="O45" s="7">
        <f t="shared" si="24"/>
        <v>1.3566162128430739</v>
      </c>
      <c r="P45" s="7">
        <f t="shared" si="40"/>
        <v>0.8300332826182224</v>
      </c>
      <c r="Q45">
        <v>43</v>
      </c>
      <c r="R45">
        <f t="shared" si="41"/>
        <v>92</v>
      </c>
      <c r="S45" s="22"/>
      <c r="T45" s="22">
        <f>IF($B$10="3BR_H",
INDEX('3BR_H-processed'!$E:$E,MATCH($L45,'3BR_H-processed'!$B:$B,0),MATCH(Council_Area,'3BR_H-processed'!$E$1:$E$1,0)),
INDEX('2BR_F-processed'!$E:$E,MATCH($L45,'2BR_F-processed'!$B:$B,0),MATCH(Council_Area,'2BR_F-processed'!$E$1:$E$1,0)))</f>
        <v>385.78683710485404</v>
      </c>
      <c r="U45" s="22">
        <f t="shared" si="25"/>
        <v>392.60130922693264</v>
      </c>
      <c r="V45" s="22">
        <f t="shared" si="34"/>
        <v>5159.9029212682581</v>
      </c>
      <c r="W45" s="22">
        <f>$B$53/4*BH45/_xlfn.XLOOKUP(Q_end,cpi!A:A,cpi!B:B)</f>
        <v>151.07118175535592</v>
      </c>
      <c r="X45" s="22">
        <f t="shared" si="42"/>
        <v>5310.9741030236137</v>
      </c>
      <c r="Y45" s="22">
        <f t="shared" si="43"/>
        <v>1087.533299319216</v>
      </c>
      <c r="Z45" s="22">
        <f t="shared" si="64"/>
        <v>0</v>
      </c>
      <c r="AA45" s="22" cm="1">
        <f t="array" ref="AA45">(Y45+Z45)*eff_invest</f>
        <v>1087.533299319216</v>
      </c>
      <c r="AB45" s="22">
        <f>AA45*(_xlfn.XLOOKUP(Q_end,cpi!A:A,cpi!B:B)/BH45)</f>
        <v>1439.7627485040305</v>
      </c>
      <c r="AC45" s="22" cm="1">
        <f t="array" ref="AC45">INDEX('msci-indices'!C:C,MATCH($L45,'msci-indices'!$B:$B)-2)</f>
        <v>1263.5195100000001</v>
      </c>
      <c r="AD45" s="22" cm="1">
        <f t="array" ref="AD45">INDEX('msci-indices'!D:D,MATCH($L45,'msci-indices'!$B:$B)-2)</f>
        <v>1218.479752</v>
      </c>
      <c r="AE45" s="22">
        <f t="shared" si="65"/>
        <v>266890.82795066282</v>
      </c>
      <c r="AF45" s="22" cm="1">
        <f t="array" ref="AF45">INDEX('msci-indices'!C:C,MATCH($L45,'msci-indices'!$B:$B)+1)</f>
        <v>1329.025858</v>
      </c>
      <c r="AG45" s="22" cm="1">
        <f t="array" ref="AG45">INDEX('msci-indices'!D:D,MATCH($L45,'msci-indices'!$B:$B)+1)</f>
        <v>1284.47801</v>
      </c>
      <c r="AH45" s="22">
        <f t="shared" si="44"/>
        <v>166.80676746916427</v>
      </c>
      <c r="AI45" s="22">
        <f t="shared" si="45"/>
        <v>280746.56493154273</v>
      </c>
      <c r="AJ45" s="22">
        <f t="shared" si="66"/>
        <v>176038.13523107237</v>
      </c>
      <c r="AK45" s="22">
        <f t="shared" si="46"/>
        <v>104708.42970047035</v>
      </c>
      <c r="AL45" s="22">
        <f>AJ45*(_xlfn.XLOOKUP(Q_end,cpi!A:A,cpi!B:B)/BH45)</f>
        <v>233053.23117965387</v>
      </c>
      <c r="AM45" s="22" cm="1">
        <f t="array" ref="AM45">SUMPRODUCT($AA$3:AA45,_xlfn.SORTBY($BH$3:BH45,_xlfn.SEQUENCE(ROWS($BH$3:BH45)),-1)/$BH$3)</f>
        <v>217684.60496635173</v>
      </c>
      <c r="AN45" s="22">
        <f t="shared" si="30"/>
        <v>63061.959965190996</v>
      </c>
      <c r="AO45" s="22">
        <f t="shared" si="47"/>
        <v>0</v>
      </c>
      <c r="AP45" s="22">
        <f t="shared" si="31"/>
        <v>280746.56493154273</v>
      </c>
      <c r="AQ45" s="22"/>
      <c r="AR45" s="10">
        <f>IF($B$10="3BR_H",
INDEX('ns-combined'!$C:$D,MATCH($L45,'ns-combined'!$B:$B,0),MATCH(Council_Area,'ns-combined'!$C$1:$D$1,0))*1000,
INDEX('s-combined'!$C:$D,MATCH($L45,'s-combined'!$B:$B,0),MATCH(Council_Area,'s-combined'!$C$1:$D$1,0))*1000)</f>
        <v>500000</v>
      </c>
      <c r="AS45" s="22">
        <f t="shared" si="35"/>
        <v>34937.5</v>
      </c>
      <c r="AT45" s="10">
        <v>0</v>
      </c>
      <c r="AU45" s="22">
        <f t="shared" si="48"/>
        <v>10000</v>
      </c>
      <c r="AV45" s="22">
        <f t="shared" si="49"/>
        <v>1437.5</v>
      </c>
      <c r="AW45" s="22">
        <f>SUM($AV$3:AV45)</f>
        <v>53373.8</v>
      </c>
      <c r="AX45" s="22">
        <f t="shared" si="50"/>
        <v>401688.7</v>
      </c>
      <c r="AY45" s="22">
        <f t="shared" si="51"/>
        <v>1805.9660224438906</v>
      </c>
      <c r="AZ45" s="24">
        <f t="shared" si="52"/>
        <v>1.4447728179551124E-2</v>
      </c>
      <c r="BA45" s="24">
        <f t="shared" si="53"/>
        <v>0.35000000000000003</v>
      </c>
      <c r="BB45" s="25">
        <f>IF(MortgageRate="Discounted",_xlfn.XLOOKUP(L45,'mortgage-rates'!$A:$A,'mortgage-rates'!$E:$E)/100,_xlfn.XLOOKUP(L45,'mortgage-rates'!$A:$A,'mortgage-rates'!$D:$D)/100)</f>
        <v>4.5100000000000001E-2</v>
      </c>
      <c r="BC45" s="10">
        <f t="shared" si="67"/>
        <v>194742.5038144337</v>
      </c>
      <c r="BD45" s="10">
        <f t="shared" si="54"/>
        <v>4592.5413798989393</v>
      </c>
      <c r="BE45" s="10">
        <f t="shared" si="55"/>
        <v>2195.7217305077402</v>
      </c>
      <c r="BF45" s="10">
        <f t="shared" si="36"/>
        <v>2396.8196493911992</v>
      </c>
      <c r="BG45" s="12">
        <f t="shared" si="56"/>
        <v>6398.5074023428297</v>
      </c>
      <c r="BH45" s="22">
        <f>INDEX(cpi!B:B,MATCH($L45,cpi!A:A))</f>
        <v>109.3</v>
      </c>
      <c r="BI45" s="22">
        <f t="shared" si="57"/>
        <v>129.19621749408984</v>
      </c>
      <c r="BJ45" s="22">
        <f t="shared" si="58"/>
        <v>167.38026720925703</v>
      </c>
      <c r="BK45" s="22">
        <f t="shared" si="59"/>
        <v>170.90526341934137</v>
      </c>
      <c r="BL45" s="22">
        <f t="shared" si="60"/>
        <v>168.43776607228233</v>
      </c>
      <c r="BM45" s="22">
        <f t="shared" si="61"/>
        <v>321.91552372503139</v>
      </c>
      <c r="BN45" s="22">
        <f t="shared" si="62"/>
        <v>153.84615384615384</v>
      </c>
      <c r="BO45">
        <f t="shared" si="63"/>
        <v>126.81443947869496</v>
      </c>
    </row>
    <row r="46" spans="1:67" x14ac:dyDescent="0.25">
      <c r="A46" t="s">
        <v>343</v>
      </c>
      <c r="B46" s="8">
        <v>0.15</v>
      </c>
      <c r="C46" s="8">
        <v>0.15</v>
      </c>
      <c r="L46" s="1">
        <f t="shared" si="33"/>
        <v>42705</v>
      </c>
      <c r="M46" s="10">
        <f t="shared" si="38"/>
        <v>290289.075113556</v>
      </c>
      <c r="N46" s="10">
        <f t="shared" si="39"/>
        <v>221749.89083495751</v>
      </c>
      <c r="O46" s="7">
        <f t="shared" si="24"/>
        <v>1.3090832830651105</v>
      </c>
      <c r="P46" s="7">
        <f t="shared" si="40"/>
        <v>0.83014128983928182</v>
      </c>
      <c r="Q46">
        <v>44</v>
      </c>
      <c r="R46">
        <f t="shared" si="41"/>
        <v>92</v>
      </c>
      <c r="S46" s="22"/>
      <c r="T46" s="22">
        <f>IF($B$10="3BR_H",
INDEX('3BR_H-processed'!$E:$E,MATCH($L46,'3BR_H-processed'!$B:$B,0),MATCH(Council_Area,'3BR_H-processed'!$E$1:$E$1,0)),
INDEX('2BR_F-processed'!$E:$E,MATCH($L46,'2BR_F-processed'!$B:$B,0),MATCH(Council_Area,'2BR_F-processed'!$E$1:$E$1,0)))</f>
        <v>381.60815402038503</v>
      </c>
      <c r="U46" s="22">
        <f t="shared" si="25"/>
        <v>392.60130922693264</v>
      </c>
      <c r="V46" s="22">
        <f t="shared" si="34"/>
        <v>5159.9029212682581</v>
      </c>
      <c r="W46" s="22">
        <f>$B$53/4*BH46/_xlfn.XLOOKUP(Q_end,cpi!A:A,cpi!B:B)</f>
        <v>151.76226675881134</v>
      </c>
      <c r="X46" s="22">
        <f t="shared" si="42"/>
        <v>5311.6651880270692</v>
      </c>
      <c r="Y46" s="22">
        <f t="shared" si="43"/>
        <v>1086.8422143157604</v>
      </c>
      <c r="Z46" s="22">
        <f t="shared" si="64"/>
        <v>0</v>
      </c>
      <c r="AA46" s="22" cm="1">
        <f t="array" ref="AA46">(Y46+Z46)*eff_invest</f>
        <v>1086.8422143157604</v>
      </c>
      <c r="AB46" s="22">
        <f>AA46*(_xlfn.XLOOKUP(Q_end,cpi!A:A,cpi!B:B)/BH46)</f>
        <v>1432.2957050226823</v>
      </c>
      <c r="AC46" s="22" cm="1">
        <f t="array" ref="AC46">INDEX('msci-indices'!C:C,MATCH($L46,'msci-indices'!$B:$B)-2)</f>
        <v>1329.025858</v>
      </c>
      <c r="AD46" s="22" cm="1">
        <f t="array" ref="AD46">INDEX('msci-indices'!D:D,MATCH($L46,'msci-indices'!$B:$B)-2)</f>
        <v>1284.47801</v>
      </c>
      <c r="AE46" s="22">
        <f t="shared" si="65"/>
        <v>281833.40714585851</v>
      </c>
      <c r="AF46" s="22" cm="1">
        <f t="array" ref="AF46">INDEX('msci-indices'!C:C,MATCH($L46,'msci-indices'!$B:$B)+1)</f>
        <v>1355.3009059999999</v>
      </c>
      <c r="AG46" s="22" cm="1">
        <f t="array" ref="AG46">INDEX('msci-indices'!D:D,MATCH($L46,'msci-indices'!$B:$B)+1)</f>
        <v>1356.3584840000001</v>
      </c>
      <c r="AH46" s="22">
        <f t="shared" si="44"/>
        <v>176.14587946616157</v>
      </c>
      <c r="AI46" s="22">
        <f t="shared" si="45"/>
        <v>290289.075113556</v>
      </c>
      <c r="AJ46" s="22">
        <f t="shared" si="66"/>
        <v>177124.97744538813</v>
      </c>
      <c r="AK46" s="22">
        <f t="shared" si="46"/>
        <v>113164.09766816787</v>
      </c>
      <c r="AL46" s="22">
        <f>AJ46*(_xlfn.XLOOKUP(Q_end,cpi!A:A,cpi!B:B)/BH46)</f>
        <v>233424.26444761074</v>
      </c>
      <c r="AM46" s="22" cm="1">
        <f t="array" ref="AM46">SUMPRODUCT($AA$3:AA46,_xlfn.SORTBY($BH$3:BH46,_xlfn.SEQUENCE(ROWS($BH$3:BH46)),-1)/$BH$3)</f>
        <v>219857.97068677301</v>
      </c>
      <c r="AN46" s="22">
        <f t="shared" si="30"/>
        <v>70431.104426782986</v>
      </c>
      <c r="AO46" s="22">
        <f t="shared" si="47"/>
        <v>0</v>
      </c>
      <c r="AP46" s="22">
        <f t="shared" si="31"/>
        <v>290289.075113556</v>
      </c>
      <c r="AQ46" s="22"/>
      <c r="AR46" s="10">
        <f>IF($B$10="3BR_H",
INDEX('ns-combined'!$C:$D,MATCH($L46,'ns-combined'!$B:$B,0),MATCH(Council_Area,'ns-combined'!$C$1:$D$1,0))*1000,
INDEX('s-combined'!$C:$D,MATCH($L46,'s-combined'!$B:$B,0),MATCH(Council_Area,'s-combined'!$C$1:$D$1,0))*1000)</f>
        <v>515000</v>
      </c>
      <c r="AS46" s="22">
        <f t="shared" si="35"/>
        <v>35750</v>
      </c>
      <c r="AT46" s="10">
        <v>0</v>
      </c>
      <c r="AU46" s="22">
        <f t="shared" si="48"/>
        <v>10300</v>
      </c>
      <c r="AV46" s="22">
        <f t="shared" si="49"/>
        <v>1480.625</v>
      </c>
      <c r="AW46" s="22">
        <f>SUM($AV$3:AV46)</f>
        <v>54854.425000000003</v>
      </c>
      <c r="AX46" s="22">
        <f t="shared" si="50"/>
        <v>414095.57500000001</v>
      </c>
      <c r="AY46" s="22">
        <f t="shared" si="51"/>
        <v>1805.9660224438906</v>
      </c>
      <c r="AZ46" s="24">
        <f t="shared" si="52"/>
        <v>1.4026920562670995E-2</v>
      </c>
      <c r="BA46" s="24">
        <f t="shared" si="53"/>
        <v>0.35000000000000003</v>
      </c>
      <c r="BB46" s="25">
        <f>IF(MortgageRate="Discounted",_xlfn.XLOOKUP(L46,'mortgage-rates'!$A:$A,'mortgage-rates'!$E:$E)/100,_xlfn.XLOOKUP(L46,'mortgage-rates'!$A:$A,'mortgage-rates'!$D:$D)/100)</f>
        <v>4.5100000000000001E-2</v>
      </c>
      <c r="BC46" s="10">
        <f t="shared" si="67"/>
        <v>192345.6841650425</v>
      </c>
      <c r="BD46" s="10">
        <f t="shared" si="54"/>
        <v>4592.5413798989393</v>
      </c>
      <c r="BE46" s="10">
        <f t="shared" si="55"/>
        <v>2168.6975889608543</v>
      </c>
      <c r="BF46" s="10">
        <f t="shared" si="36"/>
        <v>2423.843790938085</v>
      </c>
      <c r="BG46" s="12">
        <f t="shared" si="56"/>
        <v>6398.5074023428297</v>
      </c>
      <c r="BH46" s="22">
        <f>INDEX(cpi!B:B,MATCH($L46,cpi!A:A))</f>
        <v>109.8</v>
      </c>
      <c r="BI46" s="22">
        <f t="shared" si="57"/>
        <v>129.78723404255319</v>
      </c>
      <c r="BJ46" s="22">
        <f t="shared" si="58"/>
        <v>176.05798840419337</v>
      </c>
      <c r="BK46" s="22">
        <f t="shared" si="59"/>
        <v>180.16224914289867</v>
      </c>
      <c r="BL46" s="22">
        <f t="shared" si="60"/>
        <v>177.28926662580494</v>
      </c>
      <c r="BM46" s="22">
        <f t="shared" si="61"/>
        <v>339.93880404665191</v>
      </c>
      <c r="BN46" s="22">
        <f t="shared" si="62"/>
        <v>158.46153846153845</v>
      </c>
      <c r="BO46">
        <f t="shared" si="63"/>
        <v>130.73133059066112</v>
      </c>
    </row>
    <row r="47" spans="1:67" x14ac:dyDescent="0.25">
      <c r="A47" t="s">
        <v>471</v>
      </c>
      <c r="B47" s="8">
        <f>IF(B44="Yes",B45-B46,0)</f>
        <v>0</v>
      </c>
      <c r="C47" s="8">
        <v>0</v>
      </c>
      <c r="L47" s="1">
        <f t="shared" si="33"/>
        <v>42795</v>
      </c>
      <c r="M47" s="10">
        <f t="shared" si="38"/>
        <v>308301.51439684065</v>
      </c>
      <c r="N47" s="10">
        <f t="shared" si="39"/>
        <v>216994.98462589559</v>
      </c>
      <c r="O47" s="7">
        <f t="shared" si="24"/>
        <v>1.4207771434365621</v>
      </c>
      <c r="P47" s="7">
        <f t="shared" si="40"/>
        <v>0.82148626434277106</v>
      </c>
      <c r="Q47">
        <v>45</v>
      </c>
      <c r="R47">
        <f t="shared" si="41"/>
        <v>90</v>
      </c>
      <c r="S47" s="22"/>
      <c r="T47" s="22">
        <f>IF($B$10="3BR_H",
INDEX('3BR_H-processed'!$E:$E,MATCH($L47,'3BR_H-processed'!$B:$B,0),MATCH(Council_Area,'3BR_H-processed'!$E$1:$E$1,0)),
INDEX('2BR_F-processed'!$E:$E,MATCH($L47,'2BR_F-processed'!$B:$B,0),MATCH(Council_Area,'2BR_F-processed'!$E$1:$E$1,0)))</f>
        <v>395.69596520173991</v>
      </c>
      <c r="U47" s="22">
        <f t="shared" si="25"/>
        <v>395.69596520173991</v>
      </c>
      <c r="V47" s="22">
        <f t="shared" si="34"/>
        <v>5087.5195525937988</v>
      </c>
      <c r="W47" s="22">
        <f>$B$53/4*BH47/_xlfn.XLOOKUP(Q_end,cpi!A:A,cpi!B:B)</f>
        <v>152.72978576364895</v>
      </c>
      <c r="X47" s="22">
        <f t="shared" si="42"/>
        <v>5240.2493383574474</v>
      </c>
      <c r="Y47" s="22">
        <f t="shared" si="43"/>
        <v>1138.7366116388093</v>
      </c>
      <c r="Z47" s="22">
        <f t="shared" si="64"/>
        <v>0</v>
      </c>
      <c r="AA47" s="22" cm="1">
        <f t="array" ref="AA47">(Y47+Z47)*eff_invest</f>
        <v>1138.7366116388093</v>
      </c>
      <c r="AB47" s="22">
        <f>AA47*(_xlfn.XLOOKUP(Q_end,cpi!A:A,cpi!B:B)/BH47)</f>
        <v>1491.1781692681961</v>
      </c>
      <c r="AC47" s="22" cm="1">
        <f t="array" ref="AC47">INDEX('msci-indices'!C:C,MATCH($L47,'msci-indices'!$B:$B)-2)</f>
        <v>1355.3009059999999</v>
      </c>
      <c r="AD47" s="22" cm="1">
        <f t="array" ref="AD47">INDEX('msci-indices'!D:D,MATCH($L47,'msci-indices'!$B:$B)-2)</f>
        <v>1356.3584840000001</v>
      </c>
      <c r="AE47" s="22">
        <f t="shared" si="65"/>
        <v>291427.8117251948</v>
      </c>
      <c r="AF47" s="22" cm="1">
        <f t="array" ref="AF47">INDEX('msci-indices'!C:C,MATCH($L47,'msci-indices'!$B:$B)+1)</f>
        <v>1439.6180119999999</v>
      </c>
      <c r="AG47" s="22" cm="1">
        <f t="array" ref="AG47">INDEX('msci-indices'!D:D,MATCH($L47,'msci-indices'!$B:$B)+1)</f>
        <v>1424.068485</v>
      </c>
      <c r="AH47" s="22">
        <f t="shared" si="44"/>
        <v>182.14238232824675</v>
      </c>
      <c r="AI47" s="22">
        <f t="shared" si="45"/>
        <v>308301.51439684065</v>
      </c>
      <c r="AJ47" s="22">
        <f t="shared" si="66"/>
        <v>178263.71405702693</v>
      </c>
      <c r="AK47" s="22">
        <f t="shared" si="46"/>
        <v>130037.80033981372</v>
      </c>
      <c r="AL47" s="22">
        <f>AJ47*(_xlfn.XLOOKUP(Q_end,cpi!A:A,cpi!B:B)/BH47)</f>
        <v>233436.73686924699</v>
      </c>
      <c r="AM47" s="22" cm="1">
        <f t="array" ref="AM47">SUMPRODUCT($AA$3:AA47,_xlfn.SORTBY($BH$3:BH47,_xlfn.SEQUENCE(ROWS($BH$3:BH47)),-1)/$BH$3)</f>
        <v>222280.73781096915</v>
      </c>
      <c r="AN47" s="22">
        <f t="shared" si="30"/>
        <v>86020.776585871499</v>
      </c>
      <c r="AO47" s="22">
        <f t="shared" si="47"/>
        <v>0</v>
      </c>
      <c r="AP47" s="22">
        <f t="shared" si="31"/>
        <v>308301.51439684065</v>
      </c>
      <c r="AQ47" s="22"/>
      <c r="AR47" s="10">
        <f>IF($B$10="3BR_H",
INDEX('ns-combined'!$C:$D,MATCH($L47,'ns-combined'!$B:$B,0),MATCH(Council_Area,'ns-combined'!$C$1:$D$1,0))*1000,
INDEX('s-combined'!$C:$D,MATCH($L47,'s-combined'!$B:$B,0),MATCH(Council_Area,'s-combined'!$C$1:$D$1,0))*1000)</f>
        <v>510000</v>
      </c>
      <c r="AS47" s="22">
        <f t="shared" si="35"/>
        <v>36562.5</v>
      </c>
      <c r="AT47" s="10">
        <v>0</v>
      </c>
      <c r="AU47" s="22">
        <f t="shared" si="48"/>
        <v>10200</v>
      </c>
      <c r="AV47" s="22">
        <f t="shared" si="49"/>
        <v>1466.25</v>
      </c>
      <c r="AW47" s="22">
        <f>SUM($AV$3:AV47)</f>
        <v>56320.675000000003</v>
      </c>
      <c r="AX47" s="22">
        <f t="shared" si="50"/>
        <v>406916.82500000001</v>
      </c>
      <c r="AY47" s="22">
        <f t="shared" si="51"/>
        <v>1780.6318434078298</v>
      </c>
      <c r="AZ47" s="24">
        <f t="shared" si="52"/>
        <v>1.3965739948296705E-2</v>
      </c>
      <c r="BA47" s="24">
        <f t="shared" si="53"/>
        <v>0.35000000000000003</v>
      </c>
      <c r="BB47" s="25">
        <f>IF(MortgageRate="Discounted",_xlfn.XLOOKUP(L47,'mortgage-rates'!$A:$A,'mortgage-rates'!$E:$E)/100,_xlfn.XLOOKUP(L47,'mortgage-rates'!$A:$A,'mortgage-rates'!$D:$D)/100)</f>
        <v>4.53E-2</v>
      </c>
      <c r="BC47" s="10">
        <f t="shared" si="67"/>
        <v>189921.84037410442</v>
      </c>
      <c r="BD47" s="10">
        <f t="shared" si="54"/>
        <v>4598.3541065884274</v>
      </c>
      <c r="BE47" s="10">
        <f t="shared" si="55"/>
        <v>2150.8648422367323</v>
      </c>
      <c r="BF47" s="10">
        <f t="shared" si="36"/>
        <v>2447.4892643516951</v>
      </c>
      <c r="BG47" s="12">
        <f t="shared" si="56"/>
        <v>6378.9859499962567</v>
      </c>
      <c r="BH47" s="22">
        <f>INDEX(cpi!B:B,MATCH($L47,cpi!A:A))</f>
        <v>110.5</v>
      </c>
      <c r="BI47" s="22">
        <f t="shared" si="57"/>
        <v>130.6146572104019</v>
      </c>
      <c r="BJ47" s="22">
        <f t="shared" si="58"/>
        <v>179.53868222836397</v>
      </c>
      <c r="BK47" s="22">
        <f t="shared" si="59"/>
        <v>190.24428072652827</v>
      </c>
      <c r="BL47" s="22">
        <f t="shared" si="60"/>
        <v>182.75036177781325</v>
      </c>
      <c r="BM47" s="22">
        <f t="shared" si="61"/>
        <v>351.51128032357298</v>
      </c>
      <c r="BN47" s="22">
        <f t="shared" si="62"/>
        <v>156.92307692307693</v>
      </c>
      <c r="BO47">
        <f t="shared" si="63"/>
        <v>128.46497568098184</v>
      </c>
    </row>
    <row r="48" spans="1:67" x14ac:dyDescent="0.25">
      <c r="A48" t="s">
        <v>478</v>
      </c>
      <c r="B48" s="8">
        <v>0.32</v>
      </c>
      <c r="C48" s="8">
        <v>0.32</v>
      </c>
      <c r="L48" s="1">
        <f t="shared" si="33"/>
        <v>42887</v>
      </c>
      <c r="M48" s="10">
        <f t="shared" si="38"/>
        <v>316203.65419374593</v>
      </c>
      <c r="N48" s="10">
        <f t="shared" si="39"/>
        <v>224980.72389024729</v>
      </c>
      <c r="O48" s="7">
        <f t="shared" si="24"/>
        <v>1.4054699830550819</v>
      </c>
      <c r="P48" s="7">
        <f t="shared" si="40"/>
        <v>0.82972093646075451</v>
      </c>
      <c r="Q48">
        <v>46</v>
      </c>
      <c r="R48">
        <f t="shared" si="41"/>
        <v>91</v>
      </c>
      <c r="S48" s="22"/>
      <c r="T48" s="22">
        <f>IF($B$10="3BR_H",
INDEX('3BR_H-processed'!$E:$E,MATCH($L48,'3BR_H-processed'!$B:$B,0),MATCH(Council_Area,'3BR_H-processed'!$E$1:$E$1,0)),
INDEX('2BR_F-processed'!$E:$E,MATCH($L48,'2BR_F-processed'!$B:$B,0),MATCH(Council_Area,'2BR_F-processed'!$E$1:$E$1,0)))</f>
        <v>381.18278631284915</v>
      </c>
      <c r="U48" s="22">
        <f t="shared" si="25"/>
        <v>395.69596520173991</v>
      </c>
      <c r="V48" s="22">
        <f t="shared" si="34"/>
        <v>5144.0475476226193</v>
      </c>
      <c r="W48" s="22">
        <f>$B$53/4*BH48/_xlfn.XLOOKUP(Q_end,cpi!A:A,cpi!B:B)</f>
        <v>153.28265376641329</v>
      </c>
      <c r="X48" s="22">
        <f t="shared" si="42"/>
        <v>5297.3302013890325</v>
      </c>
      <c r="Y48" s="22">
        <f t="shared" si="43"/>
        <v>1087.1419369003142</v>
      </c>
      <c r="Z48" s="22">
        <f t="shared" si="64"/>
        <v>0</v>
      </c>
      <c r="AA48" s="22" cm="1">
        <f t="array" ref="AA48">(Y48+Z48)*eff_invest</f>
        <v>1087.1419369003142</v>
      </c>
      <c r="AB48" s="22">
        <f>AA48*(_xlfn.XLOOKUP(Q_end,cpi!A:A,cpi!B:B)/BH48)</f>
        <v>1418.4800565326912</v>
      </c>
      <c r="AC48" s="22" cm="1">
        <f t="array" ref="AC48">INDEX('msci-indices'!C:C,MATCH($L48,'msci-indices'!$B:$B)-2)</f>
        <v>1439.6180119999999</v>
      </c>
      <c r="AD48" s="22" cm="1">
        <f t="array" ref="AD48">INDEX('msci-indices'!D:D,MATCH($L48,'msci-indices'!$B:$B)-2)</f>
        <v>1424.068485</v>
      </c>
      <c r="AE48" s="22">
        <f t="shared" si="65"/>
        <v>309388.65633374098</v>
      </c>
      <c r="AF48" s="22" cm="1">
        <f t="array" ref="AF48">INDEX('msci-indices'!C:C,MATCH($L48,'msci-indices'!$B:$B)+1)</f>
        <v>1498.0163219999999</v>
      </c>
      <c r="AG48" s="22" cm="1">
        <f t="array" ref="AG48">INDEX('msci-indices'!D:D,MATCH($L48,'msci-indices'!$B:$B)+1)</f>
        <v>1396.8056610000001</v>
      </c>
      <c r="AH48" s="22">
        <f t="shared" si="44"/>
        <v>193.36791020858811</v>
      </c>
      <c r="AI48" s="22">
        <f t="shared" si="45"/>
        <v>316203.65419374593</v>
      </c>
      <c r="AJ48" s="22">
        <f t="shared" si="66"/>
        <v>179350.85599392725</v>
      </c>
      <c r="AK48" s="22">
        <f t="shared" si="46"/>
        <v>136852.79819981867</v>
      </c>
      <c r="AL48" s="22">
        <f>AJ48*(_xlfn.XLOOKUP(Q_end,cpi!A:A,cpi!B:B)/BH48)</f>
        <v>234013.2449262513</v>
      </c>
      <c r="AM48" s="22" cm="1">
        <f t="array" ref="AM48">SUMPRODUCT($AA$3:AA48,_xlfn.SORTBY($BH$3:BH48,_xlfn.SEQUENCE(ROWS($BH$3:BH48)),-1)/$BH$3)</f>
        <v>224376.44937758215</v>
      </c>
      <c r="AN48" s="22">
        <f t="shared" si="30"/>
        <v>91827.204816163779</v>
      </c>
      <c r="AO48" s="22">
        <f t="shared" si="47"/>
        <v>0</v>
      </c>
      <c r="AP48" s="22">
        <f t="shared" si="31"/>
        <v>316203.65419374593</v>
      </c>
      <c r="AQ48" s="22"/>
      <c r="AR48" s="10">
        <f>IF($B$10="3BR_H",
INDEX('ns-combined'!$C:$D,MATCH($L48,'ns-combined'!$B:$B,0),MATCH(Council_Area,'ns-combined'!$C$1:$D$1,0))*1000,
INDEX('s-combined'!$C:$D,MATCH($L48,'s-combined'!$B:$B,0),MATCH(Council_Area,'s-combined'!$C$1:$D$1,0))*1000)</f>
        <v>518000</v>
      </c>
      <c r="AS48" s="22">
        <f t="shared" si="35"/>
        <v>37375</v>
      </c>
      <c r="AT48" s="10">
        <v>0</v>
      </c>
      <c r="AU48" s="22">
        <f t="shared" si="48"/>
        <v>10360</v>
      </c>
      <c r="AV48" s="22">
        <f t="shared" si="49"/>
        <v>1489.25</v>
      </c>
      <c r="AW48" s="22">
        <f>SUM($AV$3:AV48)</f>
        <v>57809.925000000003</v>
      </c>
      <c r="AX48" s="22">
        <f t="shared" si="50"/>
        <v>412455.07500000001</v>
      </c>
      <c r="AY48" s="22">
        <f t="shared" si="51"/>
        <v>1800.416641667917</v>
      </c>
      <c r="AZ48" s="24">
        <f t="shared" si="52"/>
        <v>1.3902831209790864E-2</v>
      </c>
      <c r="BA48" s="24">
        <f t="shared" si="53"/>
        <v>0.35000000000000003</v>
      </c>
      <c r="BB48" s="25">
        <f>IF(MortgageRate="Discounted",_xlfn.XLOOKUP(L48,'mortgage-rates'!$A:$A,'mortgage-rates'!$E:$E)/100,_xlfn.XLOOKUP(L48,'mortgage-rates'!$A:$A,'mortgage-rates'!$D:$D)/100)</f>
        <v>4.4800000000000006E-2</v>
      </c>
      <c r="BC48" s="10">
        <f t="shared" si="67"/>
        <v>187474.35110975272</v>
      </c>
      <c r="BD48" s="10">
        <f t="shared" si="54"/>
        <v>4584.0554966214295</v>
      </c>
      <c r="BE48" s="10">
        <f t="shared" si="55"/>
        <v>2099.712732429231</v>
      </c>
      <c r="BF48" s="10">
        <f t="shared" si="36"/>
        <v>2484.3427641921985</v>
      </c>
      <c r="BG48" s="12">
        <f t="shared" si="56"/>
        <v>6384.4721382893467</v>
      </c>
      <c r="BH48" s="22">
        <f>INDEX(cpi!B:B,MATCH($L48,cpi!A:A))</f>
        <v>110.9</v>
      </c>
      <c r="BI48" s="22">
        <f t="shared" si="57"/>
        <v>131.0874704491726</v>
      </c>
      <c r="BJ48" s="22">
        <f t="shared" si="58"/>
        <v>190.70829189477206</v>
      </c>
      <c r="BK48" s="22">
        <f t="shared" si="59"/>
        <v>199.74135734026328</v>
      </c>
      <c r="BL48" s="22">
        <f t="shared" si="60"/>
        <v>193.41821152841945</v>
      </c>
      <c r="BM48" s="22">
        <f t="shared" si="61"/>
        <v>373.17509973280681</v>
      </c>
      <c r="BN48" s="22">
        <f t="shared" si="62"/>
        <v>159.38461538461539</v>
      </c>
      <c r="BO48">
        <f t="shared" si="63"/>
        <v>130.21341936247669</v>
      </c>
    </row>
    <row r="49" spans="1:67" x14ac:dyDescent="0.25">
      <c r="A49" s="6" t="s">
        <v>493</v>
      </c>
      <c r="B49" t="s">
        <v>341</v>
      </c>
      <c r="C49" t="s">
        <v>341</v>
      </c>
      <c r="L49" s="1">
        <f t="shared" si="33"/>
        <v>42979</v>
      </c>
      <c r="M49" s="10">
        <f t="shared" si="38"/>
        <v>329185.58288966445</v>
      </c>
      <c r="N49" s="10">
        <f t="shared" si="39"/>
        <v>232003.19165443949</v>
      </c>
      <c r="O49" s="7">
        <f t="shared" si="24"/>
        <v>1.4188838547530616</v>
      </c>
      <c r="P49" s="7">
        <f t="shared" si="40"/>
        <v>0.83643779979685073</v>
      </c>
      <c r="Q49">
        <v>47</v>
      </c>
      <c r="R49">
        <f t="shared" si="41"/>
        <v>92</v>
      </c>
      <c r="S49" s="22"/>
      <c r="T49" s="22">
        <f>IF($B$10="3BR_H",
INDEX('3BR_H-processed'!$E:$E,MATCH($L49,'3BR_H-processed'!$B:$B,0),MATCH(Council_Area,'3BR_H-processed'!$E$1:$E$1,0)),
INDEX('2BR_F-processed'!$E:$E,MATCH($L49,'2BR_F-processed'!$B:$B,0),MATCH(Council_Area,'2BR_F-processed'!$E$1:$E$1,0)))</f>
        <v>382.14948363381762</v>
      </c>
      <c r="U49" s="22">
        <f t="shared" si="25"/>
        <v>395.69596520173991</v>
      </c>
      <c r="V49" s="22">
        <f t="shared" si="34"/>
        <v>5200.5755426514388</v>
      </c>
      <c r="W49" s="22">
        <f>$B$53/4*BH49/_xlfn.XLOOKUP(Q_end,cpi!A:A,cpi!B:B)</f>
        <v>153.83552176917763</v>
      </c>
      <c r="X49" s="22">
        <f t="shared" si="42"/>
        <v>5354.4110644206166</v>
      </c>
      <c r="Y49" s="22">
        <f t="shared" si="43"/>
        <v>1047.0345251032732</v>
      </c>
      <c r="Z49" s="22">
        <f t="shared" si="64"/>
        <v>0</v>
      </c>
      <c r="AA49" s="22" cm="1">
        <f t="array" ref="AA49">(Y49+Z49)*eff_invest</f>
        <v>1047.0345251032732</v>
      </c>
      <c r="AB49" s="22">
        <f>AA49*(_xlfn.XLOOKUP(Q_end,cpi!A:A,cpi!B:B)/BH49)</f>
        <v>1361.2389558171035</v>
      </c>
      <c r="AC49" s="22" cm="1">
        <f t="array" ref="AC49">INDEX('msci-indices'!C:C,MATCH($L49,'msci-indices'!$B:$B)-2)</f>
        <v>1498.0163219999999</v>
      </c>
      <c r="AD49" s="22" cm="1">
        <f t="array" ref="AD49">INDEX('msci-indices'!D:D,MATCH($L49,'msci-indices'!$B:$B)-2)</f>
        <v>1396.8056610000001</v>
      </c>
      <c r="AE49" s="22">
        <f t="shared" si="65"/>
        <v>317250.68871884921</v>
      </c>
      <c r="AF49" s="22" cm="1">
        <f t="array" ref="AF49">INDEX('msci-indices'!C:C,MATCH($L49,'msci-indices'!$B:$B)+1)</f>
        <v>1573.3488809999999</v>
      </c>
      <c r="AG49" s="22" cm="1">
        <f t="array" ref="AG49">INDEX('msci-indices'!D:D,MATCH($L49,'msci-indices'!$B:$B)+1)</f>
        <v>1410.9739790000001</v>
      </c>
      <c r="AH49" s="22">
        <f t="shared" si="44"/>
        <v>198.28168044928077</v>
      </c>
      <c r="AI49" s="22">
        <f t="shared" si="45"/>
        <v>329185.58288966445</v>
      </c>
      <c r="AJ49" s="22">
        <f t="shared" si="66"/>
        <v>180397.89051903054</v>
      </c>
      <c r="AK49" s="22">
        <f t="shared" si="46"/>
        <v>148787.69237063391</v>
      </c>
      <c r="AL49" s="22">
        <f>AJ49*(_xlfn.XLOOKUP(Q_end,cpi!A:A,cpi!B:B)/BH49)</f>
        <v>234533.465930851</v>
      </c>
      <c r="AM49" s="22" cm="1">
        <f t="array" ref="AM49">SUMPRODUCT($AA$3:AA49,_xlfn.SORTBY($BH$3:BH49,_xlfn.SEQUENCE(ROWS($BH$3:BH49)),-1)/$BH$3)</f>
        <v>226436.63133127679</v>
      </c>
      <c r="AN49" s="22">
        <f t="shared" si="30"/>
        <v>102748.95155838766</v>
      </c>
      <c r="AO49" s="22">
        <f t="shared" si="47"/>
        <v>0</v>
      </c>
      <c r="AP49" s="22">
        <f t="shared" si="31"/>
        <v>329185.58288966445</v>
      </c>
      <c r="AQ49" s="22"/>
      <c r="AR49" s="10">
        <f>IF($B$10="3BR_H",
INDEX('ns-combined'!$C:$D,MATCH($L49,'ns-combined'!$B:$B,0),MATCH(Council_Area,'ns-combined'!$C$1:$D$1,0))*1000,
INDEX('s-combined'!$C:$D,MATCH($L49,'s-combined'!$B:$B,0),MATCH(Council_Area,'s-combined'!$C$1:$D$1,0))*1000)</f>
        <v>525000</v>
      </c>
      <c r="AS49" s="22">
        <f t="shared" si="35"/>
        <v>38187.5</v>
      </c>
      <c r="AT49" s="10">
        <v>0</v>
      </c>
      <c r="AU49" s="22">
        <f t="shared" si="48"/>
        <v>10500</v>
      </c>
      <c r="AV49" s="22">
        <f t="shared" si="49"/>
        <v>1509.375</v>
      </c>
      <c r="AW49" s="22">
        <f>SUM($AV$3:AV49)</f>
        <v>59319.3</v>
      </c>
      <c r="AX49" s="22">
        <f t="shared" si="50"/>
        <v>416993.2</v>
      </c>
      <c r="AY49" s="22">
        <f t="shared" si="51"/>
        <v>1820.2014399280038</v>
      </c>
      <c r="AZ49" s="24">
        <f t="shared" si="52"/>
        <v>1.3868201447070504E-2</v>
      </c>
      <c r="BA49" s="24">
        <f t="shared" si="53"/>
        <v>0.35000000000000003</v>
      </c>
      <c r="BB49" s="25">
        <f>IF(MortgageRate="Discounted",_xlfn.XLOOKUP(L49,'mortgage-rates'!$A:$A,'mortgage-rates'!$E:$E)/100,_xlfn.XLOOKUP(L49,'mortgage-rates'!$A:$A,'mortgage-rates'!$D:$D)/100)</f>
        <v>4.4699999999999997E-2</v>
      </c>
      <c r="BC49" s="10">
        <f t="shared" si="67"/>
        <v>184990.00834556052</v>
      </c>
      <c r="BD49" s="10">
        <f t="shared" si="54"/>
        <v>4581.2441495958856</v>
      </c>
      <c r="BE49" s="10">
        <f t="shared" si="55"/>
        <v>2067.2633432616385</v>
      </c>
      <c r="BF49" s="10">
        <f t="shared" si="36"/>
        <v>2513.9808063342471</v>
      </c>
      <c r="BG49" s="12">
        <f t="shared" si="56"/>
        <v>6401.4455895238898</v>
      </c>
      <c r="BH49" s="22">
        <f>INDEX(cpi!B:B,MATCH($L49,cpi!A:A))</f>
        <v>111.3</v>
      </c>
      <c r="BI49" s="22">
        <f t="shared" si="57"/>
        <v>131.56028368794327</v>
      </c>
      <c r="BJ49" s="22">
        <f t="shared" si="58"/>
        <v>198.44440095759853</v>
      </c>
      <c r="BK49" s="22">
        <f t="shared" si="59"/>
        <v>195.91744470681382</v>
      </c>
      <c r="BL49" s="22">
        <f t="shared" si="60"/>
        <v>197.68631408236314</v>
      </c>
      <c r="BM49" s="22">
        <f t="shared" si="61"/>
        <v>382.65804184898599</v>
      </c>
      <c r="BN49" s="22">
        <f t="shared" si="62"/>
        <v>161.53846153846155</v>
      </c>
      <c r="BO49">
        <f t="shared" si="63"/>
        <v>131.64612030268052</v>
      </c>
    </row>
    <row r="50" spans="1:67" x14ac:dyDescent="0.25">
      <c r="A50" t="s">
        <v>488</v>
      </c>
      <c r="B50" s="8">
        <f>IF(OR(B44="Yes",B49="No"),0,MAX(0.3,B48))</f>
        <v>0</v>
      </c>
      <c r="C50" s="8">
        <v>0</v>
      </c>
      <c r="L50" s="1">
        <f t="shared" si="33"/>
        <v>43070</v>
      </c>
      <c r="M50" s="10">
        <f>AP50</f>
        <v>350435.47077970213</v>
      </c>
      <c r="N50" s="10">
        <f t="shared" si="39"/>
        <v>241966.54746077373</v>
      </c>
      <c r="O50" s="7">
        <f t="shared" si="24"/>
        <v>1.4482806588646837</v>
      </c>
      <c r="P50" s="7">
        <f t="shared" si="40"/>
        <v>0.83516642384279083</v>
      </c>
      <c r="Q50">
        <v>48</v>
      </c>
      <c r="R50">
        <f t="shared" si="41"/>
        <v>92</v>
      </c>
      <c r="S50" s="22"/>
      <c r="T50" s="22">
        <f>IF($B$10="3BR_H",
INDEX('3BR_H-processed'!$E:$E,MATCH($L50,'3BR_H-processed'!$B:$B,0),MATCH(Council_Area,'3BR_H-processed'!$E$1:$E$1,0)),
INDEX('2BR_F-processed'!$E:$E,MATCH($L50,'2BR_F-processed'!$B:$B,0),MATCH(Council_Area,'2BR_F-processed'!$E$1:$E$1,0)))</f>
        <v>382.47985004686035</v>
      </c>
      <c r="U50" s="22">
        <f t="shared" si="25"/>
        <v>395.69596520173991</v>
      </c>
      <c r="V50" s="22">
        <f t="shared" si="34"/>
        <v>5200.5755426514388</v>
      </c>
      <c r="W50" s="22">
        <f>$B$53/4*BH50/_xlfn.XLOOKUP(Q_end,cpi!A:A,cpi!B:B)</f>
        <v>154.94125777470629</v>
      </c>
      <c r="X50" s="22">
        <f t="shared" si="42"/>
        <v>5355.516800426145</v>
      </c>
      <c r="Y50" s="22">
        <f t="shared" si="43"/>
        <v>1056.9976967254443</v>
      </c>
      <c r="Z50" s="22">
        <f t="shared" si="64"/>
        <v>0</v>
      </c>
      <c r="AA50" s="22" cm="1">
        <f t="array" ref="AA50">(Y50+Z50)*eff_invest</f>
        <v>1056.9976967254443</v>
      </c>
      <c r="AB50" s="22">
        <f>AA50*(_xlfn.XLOOKUP(Q_end,cpi!A:A,cpi!B:B)/BH50)</f>
        <v>1364.3850732932362</v>
      </c>
      <c r="AC50" s="22" cm="1">
        <f t="array" ref="AC50">INDEX('msci-indices'!C:C,MATCH($L50,'msci-indices'!$B:$B)-2)</f>
        <v>1573.3488809999999</v>
      </c>
      <c r="AD50" s="22" cm="1">
        <f t="array" ref="AD50">INDEX('msci-indices'!D:D,MATCH($L50,'msci-indices'!$B:$B)-2)</f>
        <v>1410.9739790000001</v>
      </c>
      <c r="AE50" s="22">
        <f t="shared" si="65"/>
        <v>330242.58058638987</v>
      </c>
      <c r="AF50" s="22" cm="1">
        <f t="array" ref="AF50">INDEX('msci-indices'!C:C,MATCH($L50,'msci-indices'!$B:$B)+1)</f>
        <v>1659.3666479999999</v>
      </c>
      <c r="AG50" s="22" cm="1">
        <f t="array" ref="AG50">INDEX('msci-indices'!D:D,MATCH($L50,'msci-indices'!$B:$B)+1)</f>
        <v>1521.502109</v>
      </c>
      <c r="AH50" s="22">
        <f t="shared" si="44"/>
        <v>206.40161286649368</v>
      </c>
      <c r="AI50" s="22">
        <f t="shared" si="45"/>
        <v>350435.47077970213</v>
      </c>
      <c r="AJ50" s="22">
        <f t="shared" si="66"/>
        <v>181454.88821575599</v>
      </c>
      <c r="AK50" s="22">
        <f t="shared" si="46"/>
        <v>168980.58256394614</v>
      </c>
      <c r="AL50" s="22">
        <f>AJ50*(_xlfn.XLOOKUP(Q_end,cpi!A:A,cpi!B:B)/BH50)</f>
        <v>234224.10637662702</v>
      </c>
      <c r="AM50" s="22" cm="1">
        <f t="array" ref="AM50">SUMPRODUCT($AA$3:AA50,_xlfn.SORTBY($BH$3:BH50,_xlfn.SEQUENCE(ROWS($BH$3:BH50)),-1)/$BH$3)</f>
        <v>228903.5664996058</v>
      </c>
      <c r="AN50" s="22">
        <f t="shared" si="30"/>
        <v>121531.90428009632</v>
      </c>
      <c r="AO50" s="22">
        <f t="shared" si="47"/>
        <v>0</v>
      </c>
      <c r="AP50" s="22">
        <f t="shared" si="31"/>
        <v>350435.47077970213</v>
      </c>
      <c r="AQ50" s="22"/>
      <c r="AR50" s="10">
        <f>IF($B$10="3BR_H",
INDEX('ns-combined'!$C:$D,MATCH($L50,'ns-combined'!$B:$B,0),MATCH(Council_Area,'ns-combined'!$C$1:$D$1,0))*1000,
INDEX('s-combined'!$C:$D,MATCH($L50,'s-combined'!$B:$B,0),MATCH(Council_Area,'s-combined'!$C$1:$D$1,0))*1000)</f>
        <v>535000</v>
      </c>
      <c r="AS50" s="22">
        <f t="shared" si="35"/>
        <v>39000</v>
      </c>
      <c r="AT50" s="10">
        <v>0</v>
      </c>
      <c r="AU50" s="22">
        <f t="shared" si="48"/>
        <v>10700</v>
      </c>
      <c r="AV50" s="22">
        <f t="shared" si="49"/>
        <v>1538.125</v>
      </c>
      <c r="AW50" s="22">
        <f>SUM($AV$3:AV50)</f>
        <v>60857.425000000003</v>
      </c>
      <c r="AX50" s="22">
        <f t="shared" si="50"/>
        <v>424442.57500000001</v>
      </c>
      <c r="AY50" s="22">
        <f t="shared" si="51"/>
        <v>1820.2014399280038</v>
      </c>
      <c r="AZ50" s="24">
        <f t="shared" si="52"/>
        <v>1.3608982728433673E-2</v>
      </c>
      <c r="BA50" s="24">
        <f t="shared" si="53"/>
        <v>0.35000000000000003</v>
      </c>
      <c r="BB50" s="25">
        <f>IF(MortgageRate="Discounted",_xlfn.XLOOKUP(L50,'mortgage-rates'!$A:$A,'mortgage-rates'!$E:$E)/100,_xlfn.XLOOKUP(L50,'mortgage-rates'!$A:$A,'mortgage-rates'!$D:$D)/100)</f>
        <v>4.5100000000000001E-2</v>
      </c>
      <c r="BC50" s="10">
        <f t="shared" si="67"/>
        <v>182476.02753922628</v>
      </c>
      <c r="BD50" s="10">
        <f t="shared" si="54"/>
        <v>4592.3130572235859</v>
      </c>
      <c r="BE50" s="10">
        <f t="shared" si="55"/>
        <v>2057.4172105047764</v>
      </c>
      <c r="BF50" s="10">
        <f t="shared" si="36"/>
        <v>2534.8958467188095</v>
      </c>
      <c r="BG50" s="12">
        <f t="shared" si="56"/>
        <v>6412.5144971515892</v>
      </c>
      <c r="BH50" s="22">
        <f>INDEX(cpi!B:B,MATCH($L50,cpi!A:A))</f>
        <v>112.1</v>
      </c>
      <c r="BI50" s="22">
        <f t="shared" si="57"/>
        <v>132.50591016548464</v>
      </c>
      <c r="BJ50" s="22">
        <f t="shared" si="58"/>
        <v>208.42381461538773</v>
      </c>
      <c r="BK50" s="22">
        <f t="shared" si="59"/>
        <v>197.90470802901882</v>
      </c>
      <c r="BL50" s="22">
        <f t="shared" si="60"/>
        <v>205.26808263947706</v>
      </c>
      <c r="BM50" s="22">
        <f t="shared" si="61"/>
        <v>398.32846299770927</v>
      </c>
      <c r="BN50" s="22">
        <f t="shared" si="62"/>
        <v>164.61538461538461</v>
      </c>
      <c r="BO50">
        <f t="shared" si="63"/>
        <v>133.99791241207171</v>
      </c>
    </row>
    <row r="51" spans="1:67" x14ac:dyDescent="0.25">
      <c r="L51" s="1">
        <f t="shared" si="33"/>
        <v>43160</v>
      </c>
      <c r="M51" s="10">
        <f>AP51</f>
        <v>344244.2894343785</v>
      </c>
      <c r="N51" s="10">
        <f t="shared" si="39"/>
        <v>233356.69330749253</v>
      </c>
      <c r="O51" s="7">
        <f t="shared" si="24"/>
        <v>1.4751849820770735</v>
      </c>
      <c r="P51" s="7">
        <f t="shared" si="40"/>
        <v>0.82176831945993056</v>
      </c>
      <c r="Q51">
        <v>49</v>
      </c>
      <c r="R51">
        <f t="shared" si="41"/>
        <v>90</v>
      </c>
      <c r="S51" s="22"/>
      <c r="T51" s="22">
        <f>IF($B$10="3BR_H",
INDEX('3BR_H-processed'!$E:$E,MATCH($L51,'3BR_H-processed'!$B:$B,0),MATCH(Council_Area,'3BR_H-processed'!$E$1:$E$1,0)),
INDEX('2BR_F-processed'!$E:$E,MATCH($L51,'2BR_F-processed'!$B:$B,0),MATCH(Council_Area,'2BR_F-processed'!$E$1:$E$1,0)))</f>
        <v>395.01840588988478</v>
      </c>
      <c r="U51" s="22">
        <f t="shared" si="25"/>
        <v>395.01840588988478</v>
      </c>
      <c r="V51" s="22">
        <f t="shared" si="34"/>
        <v>5078.80807572709</v>
      </c>
      <c r="W51" s="22">
        <f>$B$53/4*BH51/_xlfn.XLOOKUP(Q_end,cpi!A:A,cpi!B:B)</f>
        <v>155.7705597788528</v>
      </c>
      <c r="X51" s="22">
        <f t="shared" si="42"/>
        <v>5234.5786355059427</v>
      </c>
      <c r="Y51" s="22">
        <f t="shared" si="43"/>
        <v>1135.3172482221244</v>
      </c>
      <c r="Z51" s="22">
        <f t="shared" si="64"/>
        <v>0</v>
      </c>
      <c r="AA51" s="22" cm="1">
        <f t="array" ref="AA51">(Y51+Z51)*eff_invest</f>
        <v>1135.3172482221244</v>
      </c>
      <c r="AB51" s="22">
        <f>AA51*(_xlfn.XLOOKUP(Q_end,cpi!A:A,cpi!B:B)/BH51)</f>
        <v>1457.678844877918</v>
      </c>
      <c r="AC51" s="22" cm="1">
        <f t="array" ref="AC51">INDEX('msci-indices'!C:C,MATCH($L51,'msci-indices'!$B:$B)-2)</f>
        <v>1659.3666479999999</v>
      </c>
      <c r="AD51" s="22" cm="1">
        <f t="array" ref="AD51">INDEX('msci-indices'!D:D,MATCH($L51,'msci-indices'!$B:$B)-2)</f>
        <v>1521.502109</v>
      </c>
      <c r="AE51" s="22">
        <f>AI50+AA51</f>
        <v>351570.78802792425</v>
      </c>
      <c r="AF51" s="22" cm="1">
        <f t="array" ref="AF51">INDEX('msci-indices'!C:C,MATCH($L51,'msci-indices'!$B:$B)+1)</f>
        <v>1639.7568659999999</v>
      </c>
      <c r="AG51" s="22" cm="1">
        <f t="array" ref="AG51">INDEX('msci-indices'!D:D,MATCH($L51,'msci-indices'!$B:$B)+1)</f>
        <v>1460.9362550000001</v>
      </c>
      <c r="AH51" s="22">
        <f t="shared" si="44"/>
        <v>219.73174251745266</v>
      </c>
      <c r="AI51" s="22">
        <f>((AF51/AC51)*GlobalPortfolio+(AG51/AD51)*AusPortfolio)*AE51-AH51</f>
        <v>344244.2894343785</v>
      </c>
      <c r="AJ51" s="22">
        <f t="shared" si="66"/>
        <v>182590.20546397811</v>
      </c>
      <c r="AK51" s="22">
        <f t="shared" si="46"/>
        <v>161654.08397040039</v>
      </c>
      <c r="AL51" s="22">
        <f>AJ51*(_xlfn.XLOOKUP(Q_end,cpi!A:A,cpi!B:B)/BH51)</f>
        <v>234434.8068379559</v>
      </c>
      <c r="AM51" s="22" cm="1">
        <f t="array" ref="AM51">SUMPRODUCT($AA$3:AA51,_xlfn.SORTBY($BH$3:BH51,_xlfn.SEQUENCE(ROWS($BH$3:BH51)),-1)/$BH$3)</f>
        <v>231265.05493815226</v>
      </c>
      <c r="AN51" s="22">
        <f t="shared" si="30"/>
        <v>112979.23449622624</v>
      </c>
      <c r="AO51" s="22">
        <f t="shared" si="47"/>
        <v>0</v>
      </c>
      <c r="AP51" s="22">
        <f>AI51-AO51</f>
        <v>344244.2894343785</v>
      </c>
      <c r="AQ51" s="22"/>
      <c r="AR51" s="10">
        <f>IF($B$10="3BR_H",
INDEX('ns-combined'!$C:$D,MATCH($L51,'ns-combined'!$B:$B,0),MATCH(Council_Area,'ns-combined'!$C$1:$D$1,0))*1000,
INDEX('s-combined'!$C:$D,MATCH($L51,'s-combined'!$B:$B,0),MATCH(Council_Area,'s-combined'!$C$1:$D$1,0))*1000)</f>
        <v>526000</v>
      </c>
      <c r="AS51" s="22">
        <f t="shared" si="35"/>
        <v>39812.5</v>
      </c>
      <c r="AT51" s="10">
        <v>0</v>
      </c>
      <c r="AU51" s="22">
        <f t="shared" si="48"/>
        <v>10520</v>
      </c>
      <c r="AV51" s="22">
        <f t="shared" si="49"/>
        <v>1512.25</v>
      </c>
      <c r="AW51" s="22">
        <f>SUM($AV$3:AV51)</f>
        <v>62369.675000000003</v>
      </c>
      <c r="AX51" s="22">
        <f t="shared" si="50"/>
        <v>413297.82500000001</v>
      </c>
      <c r="AY51" s="22">
        <f t="shared" si="51"/>
        <v>1777.5828265044818</v>
      </c>
      <c r="AZ51" s="24">
        <f t="shared" si="52"/>
        <v>1.3517740125509367E-2</v>
      </c>
      <c r="BA51" s="24">
        <f t="shared" si="53"/>
        <v>0.35000000000000003</v>
      </c>
      <c r="BB51" s="25">
        <f>IF(MortgageRate="Discounted",_xlfn.XLOOKUP(L51,'mortgage-rates'!$A:$A,'mortgage-rates'!$E:$E)/100,_xlfn.XLOOKUP(L51,'mortgage-rates'!$A:$A,'mortgage-rates'!$D:$D)/100)</f>
        <v>4.5100000000000001E-2</v>
      </c>
      <c r="BC51" s="10">
        <f t="shared" si="67"/>
        <v>179941.13169250748</v>
      </c>
      <c r="BD51" s="10">
        <f t="shared" si="54"/>
        <v>4592.313057223585</v>
      </c>
      <c r="BE51" s="10">
        <f t="shared" si="55"/>
        <v>2028.8362598330218</v>
      </c>
      <c r="BF51" s="10">
        <f t="shared" si="36"/>
        <v>2563.4767973905632</v>
      </c>
      <c r="BG51" s="12">
        <f t="shared" si="56"/>
        <v>6369.895883728067</v>
      </c>
      <c r="BH51" s="22">
        <f>INDEX(cpi!B:B,MATCH($L51,cpi!A:A))</f>
        <v>112.7</v>
      </c>
      <c r="BI51" s="22">
        <f t="shared" si="57"/>
        <v>133.21513002364068</v>
      </c>
      <c r="BJ51" s="22">
        <f t="shared" si="58"/>
        <v>219.81871331798365</v>
      </c>
      <c r="BK51" s="22">
        <f t="shared" si="59"/>
        <v>213.4075008673008</v>
      </c>
      <c r="BL51" s="22">
        <f t="shared" si="60"/>
        <v>217.89534958277881</v>
      </c>
      <c r="BM51" s="22">
        <f t="shared" si="61"/>
        <v>424.05389208561655</v>
      </c>
      <c r="BN51" s="22">
        <f t="shared" si="62"/>
        <v>161.84615384615384</v>
      </c>
      <c r="BO51">
        <f t="shared" si="63"/>
        <v>130.47947830033249</v>
      </c>
    </row>
    <row r="52" spans="1:67" x14ac:dyDescent="0.25">
      <c r="A52" s="6" t="s">
        <v>348</v>
      </c>
      <c r="B52" s="8"/>
      <c r="C52" s="8"/>
      <c r="L52" s="1">
        <f t="shared" si="33"/>
        <v>43252</v>
      </c>
      <c r="M52" s="10">
        <f t="shared" si="38"/>
        <v>359028.95355061977</v>
      </c>
      <c r="N52" s="10">
        <f t="shared" si="39"/>
        <v>239458.17010488309</v>
      </c>
      <c r="O52" s="7">
        <f t="shared" si="24"/>
        <v>1.4993389174959637</v>
      </c>
      <c r="P52" s="7">
        <f t="shared" si="40"/>
        <v>0.82816798543848369</v>
      </c>
      <c r="Q52">
        <v>50</v>
      </c>
      <c r="R52">
        <f t="shared" si="41"/>
        <v>91</v>
      </c>
      <c r="S52" s="22"/>
      <c r="T52" s="22">
        <f>IF($B$10="3BR_H",
INDEX('3BR_H-processed'!$E:$E,MATCH($L52,'3BR_H-processed'!$B:$B,0),MATCH(Council_Area,'3BR_H-processed'!$E$1:$E$1,0)),
INDEX('2BR_F-processed'!$E:$E,MATCH($L52,'2BR_F-processed'!$B:$B,0),MATCH(Council_Area,'2BR_F-processed'!$E$1:$E$1,0)))</f>
        <v>384.39705107951551</v>
      </c>
      <c r="U52" s="22">
        <f t="shared" si="25"/>
        <v>395.01840588988478</v>
      </c>
      <c r="V52" s="22">
        <f t="shared" si="34"/>
        <v>5135.2392765685017</v>
      </c>
      <c r="W52" s="22">
        <f>$B$53/4*BH52/_xlfn.XLOOKUP(Q_end,cpi!A:A,cpi!B:B)</f>
        <v>156.46164478230824</v>
      </c>
      <c r="X52" s="22">
        <f t="shared" si="42"/>
        <v>5291.7009213508099</v>
      </c>
      <c r="Y52" s="22">
        <f t="shared" si="43"/>
        <v>1097.945882671751</v>
      </c>
      <c r="Z52" s="22">
        <f t="shared" si="64"/>
        <v>0</v>
      </c>
      <c r="AA52" s="22" cm="1">
        <f t="array" ref="AA52">(Y52+Z52)*eff_invest</f>
        <v>1097.945882671751</v>
      </c>
      <c r="AB52" s="22">
        <f>AA52*(_xlfn.XLOOKUP(Q_end,cpi!A:A,cpi!B:B)/BH52)</f>
        <v>1403.4696927791726</v>
      </c>
      <c r="AC52" s="22" cm="1">
        <f t="array" ref="AC52">INDEX('msci-indices'!C:C,MATCH($L52,'msci-indices'!$B:$B)-2)</f>
        <v>1639.7568659999999</v>
      </c>
      <c r="AD52" s="22" cm="1">
        <f t="array" ref="AD52">INDEX('msci-indices'!D:D,MATCH($L52,'msci-indices'!$B:$B)-2)</f>
        <v>1460.9362550000001</v>
      </c>
      <c r="AE52" s="22">
        <f t="shared" si="65"/>
        <v>345342.23531705025</v>
      </c>
      <c r="AF52" s="22" cm="1">
        <f t="array" ref="AF52">INDEX('msci-indices'!C:C,MATCH($L52,'msci-indices'!$B:$B)+1)</f>
        <v>1671.6050210000001</v>
      </c>
      <c r="AG52" s="22" cm="1">
        <f t="array" ref="AG52">INDEX('msci-indices'!D:D,MATCH($L52,'msci-indices'!$B:$B)+1)</f>
        <v>1590.772543</v>
      </c>
      <c r="AH52" s="22">
        <f t="shared" si="44"/>
        <v>215.8388970731564</v>
      </c>
      <c r="AI52" s="22">
        <f t="shared" si="45"/>
        <v>359028.95355061977</v>
      </c>
      <c r="AJ52" s="22">
        <f t="shared" si="66"/>
        <v>183688.15134664986</v>
      </c>
      <c r="AK52" s="22">
        <f t="shared" si="46"/>
        <v>175340.80220396991</v>
      </c>
      <c r="AL52" s="22">
        <f>AJ52*(_xlfn.XLOOKUP(Q_end,cpi!A:A,cpi!B:B)/BH52)</f>
        <v>234802.78710123876</v>
      </c>
      <c r="AM52" s="22" cm="1">
        <f t="array" ref="AM52">SUMPRODUCT($AA$3:AA52,_xlfn.SORTBY($BH$3:BH52,_xlfn.SEQUENCE(ROWS($BH$3:BH52)),-1)/$BH$3)</f>
        <v>233504.6060950642</v>
      </c>
      <c r="AN52" s="22">
        <f t="shared" si="30"/>
        <v>125524.34745555557</v>
      </c>
      <c r="AO52" s="22">
        <f t="shared" si="47"/>
        <v>0</v>
      </c>
      <c r="AP52" s="22">
        <f t="shared" si="31"/>
        <v>359028.95355061977</v>
      </c>
      <c r="AQ52" s="22"/>
      <c r="AR52" s="10">
        <f>IF($B$10="3BR_H",
INDEX('ns-combined'!$C:$D,MATCH($L52,'ns-combined'!$B:$B,0),MATCH(Council_Area,'ns-combined'!$C$1:$D$1,0))*1000,
INDEX('s-combined'!$C:$D,MATCH($L52,'s-combined'!$B:$B,0),MATCH(Council_Area,'s-combined'!$C$1:$D$1,0))*1000)</f>
        <v>532000</v>
      </c>
      <c r="AS52" s="22">
        <f t="shared" si="35"/>
        <v>40625</v>
      </c>
      <c r="AT52" s="10">
        <v>0</v>
      </c>
      <c r="AU52" s="22">
        <f t="shared" si="48"/>
        <v>10640</v>
      </c>
      <c r="AV52" s="22">
        <f t="shared" si="49"/>
        <v>1529.5</v>
      </c>
      <c r="AW52" s="22">
        <f>SUM($AV$3:AV52)</f>
        <v>63899.175000000003</v>
      </c>
      <c r="AX52" s="22">
        <f t="shared" si="50"/>
        <v>416835.82500000001</v>
      </c>
      <c r="AY52" s="22">
        <f t="shared" si="51"/>
        <v>1797.3337467989759</v>
      </c>
      <c r="AZ52" s="24">
        <f t="shared" si="52"/>
        <v>1.3513787569917111E-2</v>
      </c>
      <c r="BA52" s="24">
        <f t="shared" si="53"/>
        <v>0.35000000000000003</v>
      </c>
      <c r="BB52" s="25">
        <f>IF(MortgageRate="Discounted",_xlfn.XLOOKUP(L52,'mortgage-rates'!$A:$A,'mortgage-rates'!$E:$E)/100,_xlfn.XLOOKUP(L52,'mortgage-rates'!$A:$A,'mortgage-rates'!$D:$D)/100)</f>
        <v>4.5100000000000001E-2</v>
      </c>
      <c r="BC52" s="10">
        <f t="shared" si="67"/>
        <v>177377.65489511692</v>
      </c>
      <c r="BD52" s="10">
        <f t="shared" si="54"/>
        <v>4592.313057223585</v>
      </c>
      <c r="BE52" s="10">
        <f t="shared" si="55"/>
        <v>1999.9330589424433</v>
      </c>
      <c r="BF52" s="10">
        <f t="shared" si="36"/>
        <v>2592.3799982811415</v>
      </c>
      <c r="BG52" s="12">
        <f t="shared" si="56"/>
        <v>6389.6468040225609</v>
      </c>
      <c r="BH52" s="22">
        <f>INDEX(cpi!B:B,MATCH($L52,cpi!A:A))</f>
        <v>113.2</v>
      </c>
      <c r="BI52" s="22">
        <f t="shared" si="57"/>
        <v>133.80614657210404</v>
      </c>
      <c r="BJ52" s="22">
        <f t="shared" si="58"/>
        <v>217.22097697509543</v>
      </c>
      <c r="BK52" s="22">
        <f t="shared" si="59"/>
        <v>204.91246989522486</v>
      </c>
      <c r="BL52" s="22">
        <f t="shared" si="60"/>
        <v>213.52842485113428</v>
      </c>
      <c r="BM52" s="22">
        <f t="shared" si="61"/>
        <v>416.54120300834103</v>
      </c>
      <c r="BN52" s="22">
        <f t="shared" si="62"/>
        <v>163.69230769230768</v>
      </c>
      <c r="BO52">
        <f t="shared" si="63"/>
        <v>131.59643649924527</v>
      </c>
    </row>
    <row r="53" spans="1:67" x14ac:dyDescent="0.25">
      <c r="A53" t="s">
        <v>630</v>
      </c>
      <c r="B53" s="23">
        <v>800</v>
      </c>
      <c r="C53" s="23">
        <v>800</v>
      </c>
      <c r="L53" s="1">
        <f t="shared" si="33"/>
        <v>43344</v>
      </c>
      <c r="M53" s="10">
        <f t="shared" si="38"/>
        <v>372712.94439926546</v>
      </c>
      <c r="N53" s="10">
        <f t="shared" si="39"/>
        <v>247525.55010316422</v>
      </c>
      <c r="O53" s="7">
        <f t="shared" si="24"/>
        <v>1.5057554432014204</v>
      </c>
      <c r="P53" s="7">
        <f t="shared" si="40"/>
        <v>0.83072684365429506</v>
      </c>
      <c r="Q53">
        <v>51</v>
      </c>
      <c r="R53">
        <f t="shared" si="41"/>
        <v>92</v>
      </c>
      <c r="S53" s="22"/>
      <c r="T53" s="22">
        <f>IF($B$10="3BR_H",
INDEX('3BR_H-processed'!$E:$E,MATCH($L53,'3BR_H-processed'!$B:$B,0),MATCH(Council_Area,'3BR_H-processed'!$E$1:$E$1,0)),
INDEX('2BR_F-processed'!$E:$E,MATCH($L53,'2BR_F-processed'!$B:$B,0),MATCH(Council_Area,'2BR_F-processed'!$E$1:$E$1,0)))</f>
        <v>385.65232784563642</v>
      </c>
      <c r="U53" s="22">
        <f t="shared" si="25"/>
        <v>395.01840588988478</v>
      </c>
      <c r="V53" s="22">
        <f t="shared" si="34"/>
        <v>5191.6704774099144</v>
      </c>
      <c r="W53" s="22">
        <f>$B$53/4*BH53/_xlfn.XLOOKUP(Q_end,cpi!A:A,cpi!B:B)</f>
        <v>156.87629578438148</v>
      </c>
      <c r="X53" s="22">
        <f t="shared" si="42"/>
        <v>5348.5467731942963</v>
      </c>
      <c r="Y53" s="22">
        <f t="shared" si="43"/>
        <v>1089.8472838299176</v>
      </c>
      <c r="Z53" s="22">
        <f t="shared" si="64"/>
        <v>0</v>
      </c>
      <c r="AA53" s="22" cm="1">
        <f t="array" ref="AA53">(Y53+Z53)*eff_invest</f>
        <v>1089.8472838299176</v>
      </c>
      <c r="AB53" s="22">
        <f>AA53*(_xlfn.XLOOKUP(Q_end,cpi!A:A,cpi!B:B)/BH53)</f>
        <v>1389.4352596492429</v>
      </c>
      <c r="AC53" s="22" cm="1">
        <f t="array" ref="AC53">INDEX('msci-indices'!C:C,MATCH($L53,'msci-indices'!$B:$B)-2)</f>
        <v>1671.6050210000001</v>
      </c>
      <c r="AD53" s="22" cm="1">
        <f t="array" ref="AD53">INDEX('msci-indices'!D:D,MATCH($L53,'msci-indices'!$B:$B)-2)</f>
        <v>1590.772543</v>
      </c>
      <c r="AE53" s="22">
        <f t="shared" si="65"/>
        <v>360118.80083444971</v>
      </c>
      <c r="AF53" s="22" cm="1">
        <f t="array" ref="AF53">INDEX('msci-indices'!C:C,MATCH($L53,'msci-indices'!$B:$B)+1)</f>
        <v>1747.837315</v>
      </c>
      <c r="AG53" s="22" cm="1">
        <f t="array" ref="AG53">INDEX('msci-indices'!D:D,MATCH($L53,'msci-indices'!$B:$B)+1)</f>
        <v>1610.255349</v>
      </c>
      <c r="AH53" s="22">
        <f t="shared" si="44"/>
        <v>225.07425052153107</v>
      </c>
      <c r="AI53" s="22">
        <f t="shared" si="45"/>
        <v>372712.94439926546</v>
      </c>
      <c r="AJ53" s="22">
        <f t="shared" si="66"/>
        <v>184777.99863047976</v>
      </c>
      <c r="AK53" s="22">
        <f t="shared" si="46"/>
        <v>187934.94576878569</v>
      </c>
      <c r="AL53" s="22">
        <f>AJ53*(_xlfn.XLOOKUP(Q_end,cpi!A:A,cpi!B:B)/BH53)</f>
        <v>235571.5982540125</v>
      </c>
      <c r="AM53" s="22" cm="1">
        <f t="array" ref="AM53">SUMPRODUCT($AA$3:AA53,_xlfn.SORTBY($BH$3:BH53,_xlfn.SEQUENCE(ROWS($BH$3:BH53)),-1)/$BH$3)</f>
        <v>235548.77573968578</v>
      </c>
      <c r="AN53" s="22">
        <f t="shared" si="30"/>
        <v>137164.16865957968</v>
      </c>
      <c r="AO53" s="22">
        <f t="shared" si="47"/>
        <v>0</v>
      </c>
      <c r="AP53" s="22">
        <f t="shared" si="31"/>
        <v>372712.94439926546</v>
      </c>
      <c r="AQ53" s="22"/>
      <c r="AR53" s="10">
        <f>IF($B$10="3BR_H",
INDEX('ns-combined'!$C:$D,MATCH($L53,'ns-combined'!$B:$B,0),MATCH(Council_Area,'ns-combined'!$C$1:$D$1,0))*1000,
INDEX('s-combined'!$C:$D,MATCH($L53,'s-combined'!$B:$B,0),MATCH(Council_Area,'s-combined'!$C$1:$D$1,0))*1000)</f>
        <v>540000</v>
      </c>
      <c r="AS53" s="22">
        <f t="shared" si="35"/>
        <v>41437.5</v>
      </c>
      <c r="AT53" s="10">
        <v>0</v>
      </c>
      <c r="AU53" s="22">
        <f t="shared" si="48"/>
        <v>10800</v>
      </c>
      <c r="AV53" s="22">
        <f t="shared" si="49"/>
        <v>1552.5</v>
      </c>
      <c r="AW53" s="22">
        <f>SUM($AV$3:AV53)</f>
        <v>65451.675000000003</v>
      </c>
      <c r="AX53" s="22">
        <f t="shared" si="50"/>
        <v>422310.82500000001</v>
      </c>
      <c r="AY53" s="22">
        <f t="shared" si="51"/>
        <v>1817.0846670934702</v>
      </c>
      <c r="AZ53" s="24">
        <f t="shared" si="52"/>
        <v>1.3459886422914595E-2</v>
      </c>
      <c r="BA53" s="24">
        <f t="shared" si="53"/>
        <v>0.35000000000000003</v>
      </c>
      <c r="BB53" s="25">
        <f>IF(MortgageRate="Discounted",_xlfn.XLOOKUP(L53,'mortgage-rates'!$A:$A,'mortgage-rates'!$E:$E)/100,_xlfn.XLOOKUP(L53,'mortgage-rates'!$A:$A,'mortgage-rates'!$D:$D)/100)</f>
        <v>4.6199999999999998E-2</v>
      </c>
      <c r="BC53" s="10">
        <f t="shared" si="67"/>
        <v>174785.27489683579</v>
      </c>
      <c r="BD53" s="10">
        <f t="shared" si="54"/>
        <v>4621.3093899307432</v>
      </c>
      <c r="BE53" s="10">
        <f t="shared" si="55"/>
        <v>2018.7699250584533</v>
      </c>
      <c r="BF53" s="10">
        <f t="shared" si="36"/>
        <v>2602.53946487229</v>
      </c>
      <c r="BG53" s="12">
        <f t="shared" si="56"/>
        <v>6438.3940570242139</v>
      </c>
      <c r="BH53" s="22">
        <f>INDEX(cpi!B:B,MATCH($L53,cpi!A:A))</f>
        <v>113.5</v>
      </c>
      <c r="BI53" s="22">
        <f t="shared" si="57"/>
        <v>134.16075650118205</v>
      </c>
      <c r="BJ53" s="22">
        <f t="shared" si="58"/>
        <v>221.43994838933332</v>
      </c>
      <c r="BK53" s="22">
        <f t="shared" si="59"/>
        <v>223.12344546999952</v>
      </c>
      <c r="BL53" s="22">
        <f t="shared" si="60"/>
        <v>221.94499751353317</v>
      </c>
      <c r="BM53" s="22">
        <f t="shared" si="61"/>
        <v>434.36424272805078</v>
      </c>
      <c r="BN53" s="22">
        <f t="shared" si="62"/>
        <v>166.15384615384616</v>
      </c>
      <c r="BO53">
        <f t="shared" si="63"/>
        <v>133.32491194838252</v>
      </c>
    </row>
    <row r="54" spans="1:67" x14ac:dyDescent="0.25">
      <c r="A54" t="s">
        <v>631</v>
      </c>
      <c r="B54" s="8">
        <v>1</v>
      </c>
      <c r="C54" s="8">
        <v>1</v>
      </c>
      <c r="L54" s="1">
        <f t="shared" si="33"/>
        <v>43435</v>
      </c>
      <c r="M54" s="10">
        <f t="shared" si="38"/>
        <v>327740.87272807473</v>
      </c>
      <c r="N54" s="10">
        <f t="shared" si="39"/>
        <v>247763.08956803652</v>
      </c>
      <c r="O54" s="7">
        <f t="shared" si="24"/>
        <v>1.3227994262562506</v>
      </c>
      <c r="P54" s="7">
        <f t="shared" si="40"/>
        <v>0.82983053987456279</v>
      </c>
      <c r="Q54">
        <v>52</v>
      </c>
      <c r="R54">
        <f t="shared" si="41"/>
        <v>92</v>
      </c>
      <c r="S54" s="22"/>
      <c r="T54" s="22">
        <f>IF($B$10="3BR_H",
INDEX('3BR_H-processed'!$E:$E,MATCH($L54,'3BR_H-processed'!$B:$B,0),MATCH(Council_Area,'3BR_H-processed'!$E$1:$E$1,0)),
INDEX('2BR_F-processed'!$E:$E,MATCH($L54,'2BR_F-processed'!$B:$B,0),MATCH(Council_Area,'2BR_F-processed'!$E$1:$E$1,0)))</f>
        <v>388.41040462427748</v>
      </c>
      <c r="U54" s="22">
        <f t="shared" si="25"/>
        <v>395.01840588988478</v>
      </c>
      <c r="V54" s="22">
        <f t="shared" si="34"/>
        <v>5191.6704774099144</v>
      </c>
      <c r="W54" s="22">
        <f>$B$53/4*BH54/_xlfn.XLOOKUP(Q_end,cpi!A:A,cpi!B:B)</f>
        <v>157.56738078783692</v>
      </c>
      <c r="X54" s="22">
        <f t="shared" si="42"/>
        <v>5349.2378581977509</v>
      </c>
      <c r="Y54" s="22">
        <f t="shared" si="43"/>
        <v>1096.9431404026882</v>
      </c>
      <c r="Z54" s="22">
        <f t="shared" si="64"/>
        <v>0</v>
      </c>
      <c r="AA54" s="22" cm="1">
        <f t="array" ref="AA54">(Y54+Z54)*eff_invest</f>
        <v>1096.9431404026882</v>
      </c>
      <c r="AB54" s="22">
        <f>AA54*(_xlfn.XLOOKUP(Q_end,cpi!A:A,cpi!B:B)/BH54)</f>
        <v>1392.348003651482</v>
      </c>
      <c r="AC54" s="22" cm="1">
        <f t="array" ref="AC54">INDEX('msci-indices'!C:C,MATCH($L54,'msci-indices'!$B:$B)-2)</f>
        <v>1747.837315</v>
      </c>
      <c r="AD54" s="22" cm="1">
        <f t="array" ref="AD54">INDEX('msci-indices'!D:D,MATCH($L54,'msci-indices'!$B:$B)-2)</f>
        <v>1610.255349</v>
      </c>
      <c r="AE54" s="22">
        <f t="shared" si="65"/>
        <v>373809.88753966813</v>
      </c>
      <c r="AF54" s="22" cm="1">
        <f t="array" ref="AF54">INDEX('msci-indices'!C:C,MATCH($L54,'msci-indices'!$B:$B)+1)</f>
        <v>1503.1567950000001</v>
      </c>
      <c r="AG54" s="22" cm="1">
        <f t="array" ref="AG54">INDEX('msci-indices'!D:D,MATCH($L54,'msci-indices'!$B:$B)+1)</f>
        <v>1478.088164</v>
      </c>
      <c r="AH54" s="22">
        <f t="shared" si="44"/>
        <v>233.63117971229258</v>
      </c>
      <c r="AI54" s="22">
        <f t="shared" si="45"/>
        <v>327740.87272807473</v>
      </c>
      <c r="AJ54" s="22">
        <f t="shared" si="66"/>
        <v>185874.94177088246</v>
      </c>
      <c r="AK54" s="22">
        <f t="shared" si="46"/>
        <v>141865.93095719226</v>
      </c>
      <c r="AL54" s="22">
        <f>AJ54*(_xlfn.XLOOKUP(Q_end,cpi!A:A,cpi!B:B)/BH54)</f>
        <v>235930.73749339202</v>
      </c>
      <c r="AM54" s="22" cm="1">
        <f t="array" ref="AM54">SUMPRODUCT($AA$3:AA54,_xlfn.SORTBY($BH$3:BH54,_xlfn.SEQUENCE(ROWS($BH$3:BH54)),-1)/$BH$3)</f>
        <v>237798.44127151894</v>
      </c>
      <c r="AN54" s="22">
        <f t="shared" si="30"/>
        <v>89942.431456555787</v>
      </c>
      <c r="AO54" s="22">
        <f t="shared" si="47"/>
        <v>0</v>
      </c>
      <c r="AP54" s="22">
        <f t="shared" si="31"/>
        <v>327740.87272807473</v>
      </c>
      <c r="AQ54" s="22"/>
      <c r="AR54" s="10">
        <f>IF($B$10="3BR_H",
INDEX('ns-combined'!$C:$D,MATCH($L54,'ns-combined'!$B:$B,0),MATCH(Council_Area,'ns-combined'!$C$1:$D$1,0))*1000,
INDEX('s-combined'!$C:$D,MATCH($L54,'s-combined'!$B:$B,0),MATCH(Council_Area,'s-combined'!$C$1:$D$1,0))*1000)</f>
        <v>540000</v>
      </c>
      <c r="AS54" s="22">
        <f t="shared" si="35"/>
        <v>42250</v>
      </c>
      <c r="AT54" s="10">
        <v>0</v>
      </c>
      <c r="AU54" s="22">
        <f t="shared" si="48"/>
        <v>10800</v>
      </c>
      <c r="AV54" s="22">
        <f t="shared" si="49"/>
        <v>1552.5</v>
      </c>
      <c r="AW54" s="22">
        <f>SUM($AV$3:AV54)</f>
        <v>67004.175000000003</v>
      </c>
      <c r="AX54" s="22">
        <f t="shared" si="50"/>
        <v>419945.82500000001</v>
      </c>
      <c r="AY54" s="22">
        <f t="shared" si="51"/>
        <v>1817.0846670934702</v>
      </c>
      <c r="AZ54" s="24">
        <f t="shared" si="52"/>
        <v>1.3459886422914595E-2</v>
      </c>
      <c r="BA54" s="24">
        <f t="shared" si="53"/>
        <v>0.35000000000000003</v>
      </c>
      <c r="BB54" s="25">
        <f>IF(MortgageRate="Discounted",_xlfn.XLOOKUP(L54,'mortgage-rates'!$A:$A,'mortgage-rates'!$E:$E)/100,_xlfn.XLOOKUP(L54,'mortgage-rates'!$A:$A,'mortgage-rates'!$D:$D)/100)</f>
        <v>4.6500000000000007E-2</v>
      </c>
      <c r="BC54" s="10">
        <f t="shared" si="67"/>
        <v>172182.73543196349</v>
      </c>
      <c r="BD54" s="10">
        <f t="shared" si="54"/>
        <v>4629.0963315069685</v>
      </c>
      <c r="BE54" s="10">
        <f t="shared" si="55"/>
        <v>2001.6242993965759</v>
      </c>
      <c r="BF54" s="10">
        <f t="shared" si="36"/>
        <v>2627.4720321103923</v>
      </c>
      <c r="BG54" s="12">
        <f t="shared" si="56"/>
        <v>6446.1809986004391</v>
      </c>
      <c r="BH54" s="22">
        <f>INDEX(cpi!B:B,MATCH($L54,cpi!A:A))</f>
        <v>114</v>
      </c>
      <c r="BI54" s="22">
        <f t="shared" si="57"/>
        <v>134.75177304964541</v>
      </c>
      <c r="BJ54" s="22">
        <f t="shared" si="58"/>
        <v>231.53855125118753</v>
      </c>
      <c r="BK54" s="22">
        <f t="shared" si="59"/>
        <v>225.85612452035926</v>
      </c>
      <c r="BL54" s="22">
        <f t="shared" si="60"/>
        <v>229.83382323193905</v>
      </c>
      <c r="BM54" s="22">
        <f t="shared" si="61"/>
        <v>450.87801122626973</v>
      </c>
      <c r="BN54" s="22">
        <f t="shared" si="62"/>
        <v>166.15384615384616</v>
      </c>
      <c r="BO54">
        <f t="shared" si="63"/>
        <v>132.57827369501089</v>
      </c>
    </row>
    <row r="55" spans="1:67" x14ac:dyDescent="0.25">
      <c r="L55" s="1">
        <f t="shared" si="33"/>
        <v>43525</v>
      </c>
      <c r="M55" s="10">
        <f t="shared" si="38"/>
        <v>368401.92780476564</v>
      </c>
      <c r="N55" s="10">
        <f t="shared" si="39"/>
        <v>241185.6866001469</v>
      </c>
      <c r="O55" s="7">
        <f t="shared" si="24"/>
        <v>1.5274618199691343</v>
      </c>
      <c r="P55" s="7">
        <f t="shared" si="40"/>
        <v>0.82436296820921995</v>
      </c>
      <c r="Q55">
        <v>53</v>
      </c>
      <c r="R55">
        <f t="shared" si="41"/>
        <v>90</v>
      </c>
      <c r="S55" s="22"/>
      <c r="T55" s="22">
        <f>IF($B$10="3BR_H",
INDEX('3BR_H-processed'!$E:$E,MATCH($L55,'3BR_H-processed'!$B:$B,0),MATCH(Council_Area,'3BR_H-processed'!$E$1:$E$1,0)),
INDEX('2BR_F-processed'!$E:$E,MATCH($L55,'2BR_F-processed'!$B:$B,0),MATCH(Council_Area,'2BR_F-processed'!$E$1:$E$1,0)))</f>
        <v>400.61833869057688</v>
      </c>
      <c r="U55" s="22">
        <f t="shared" si="25"/>
        <v>400.61833869057688</v>
      </c>
      <c r="V55" s="22">
        <f t="shared" si="34"/>
        <v>5150.8072117359889</v>
      </c>
      <c r="W55" s="22">
        <f>$B$53/4*BH55/_xlfn.XLOOKUP(Q_end,cpi!A:A,cpi!B:B)</f>
        <v>157.705597788528</v>
      </c>
      <c r="X55" s="22">
        <f t="shared" si="42"/>
        <v>5308.5128095245173</v>
      </c>
      <c r="Y55" s="22">
        <f t="shared" si="43"/>
        <v>1131.0205201400904</v>
      </c>
      <c r="Z55" s="22">
        <f t="shared" si="64"/>
        <v>0</v>
      </c>
      <c r="AA55" s="22" cm="1">
        <f t="array" ref="AA55">(Y55+Z55)*eff_invest</f>
        <v>1131.0205201400904</v>
      </c>
      <c r="AB55" s="22">
        <f>AA55*(_xlfn.XLOOKUP(Q_end,cpi!A:A,cpi!B:B)/BH55)</f>
        <v>1434.3441653310349</v>
      </c>
      <c r="AC55" s="22" cm="1">
        <f t="array" ref="AC55">INDEX('msci-indices'!C:C,MATCH($L55,'msci-indices'!$B:$B)-2)</f>
        <v>1503.1567950000001</v>
      </c>
      <c r="AD55" s="22" cm="1">
        <f t="array" ref="AD55">INDEX('msci-indices'!D:D,MATCH($L55,'msci-indices'!$B:$B)-2)</f>
        <v>1478.088164</v>
      </c>
      <c r="AE55" s="22">
        <f t="shared" si="65"/>
        <v>328871.89324821479</v>
      </c>
      <c r="AF55" s="22" cm="1">
        <f t="array" ref="AF55">INDEX('msci-indices'!C:C,MATCH($L55,'msci-indices'!$B:$B)+1)</f>
        <v>1693.1497079999999</v>
      </c>
      <c r="AG55" s="22" cm="1">
        <f t="array" ref="AG55">INDEX('msci-indices'!D:D,MATCH($L55,'msci-indices'!$B:$B)+1)</f>
        <v>1637.459214</v>
      </c>
      <c r="AH55" s="22">
        <f t="shared" si="44"/>
        <v>205.54493328013425</v>
      </c>
      <c r="AI55" s="22">
        <f t="shared" si="45"/>
        <v>368401.92780476564</v>
      </c>
      <c r="AJ55" s="22">
        <f t="shared" si="66"/>
        <v>187005.96229102256</v>
      </c>
      <c r="AK55" s="22">
        <f t="shared" si="46"/>
        <v>181395.96551374308</v>
      </c>
      <c r="AL55" s="22">
        <f>AJ55*(_xlfn.XLOOKUP(Q_end,cpi!A:A,cpi!B:B)/BH55)</f>
        <v>237158.30625338267</v>
      </c>
      <c r="AM55" s="22" cm="1">
        <f t="array" ref="AM55">SUMPRODUCT($AA$3:AA55,_xlfn.SORTBY($BH$3:BH55,_xlfn.SEQUENCE(ROWS($BH$3:BH55)),-1)/$BH$3)</f>
        <v>239701.08584845692</v>
      </c>
      <c r="AN55" s="22">
        <f t="shared" si="30"/>
        <v>128700.84195630872</v>
      </c>
      <c r="AO55" s="22">
        <f t="shared" si="47"/>
        <v>0</v>
      </c>
      <c r="AP55" s="22">
        <f t="shared" si="31"/>
        <v>368401.92780476564</v>
      </c>
      <c r="AQ55" s="22"/>
      <c r="AR55" s="10">
        <f>IF($B$10="3BR_H",
INDEX('ns-combined'!$C:$D,MATCH($L55,'ns-combined'!$B:$B,0),MATCH(Council_Area,'ns-combined'!$C$1:$D$1,0))*1000,
INDEX('s-combined'!$C:$D,MATCH($L55,'s-combined'!$B:$B,0),MATCH(Council_Area,'s-combined'!$C$1:$D$1,0))*1000)</f>
        <v>533000</v>
      </c>
      <c r="AS55" s="22">
        <f t="shared" si="35"/>
        <v>43062.5</v>
      </c>
      <c r="AT55" s="10">
        <v>0</v>
      </c>
      <c r="AU55" s="22">
        <f t="shared" si="48"/>
        <v>10660</v>
      </c>
      <c r="AV55" s="22">
        <f t="shared" si="49"/>
        <v>1532.375</v>
      </c>
      <c r="AW55" s="22">
        <f>SUM($AV$3:AV55)</f>
        <v>68536.55</v>
      </c>
      <c r="AX55" s="22">
        <f t="shared" si="50"/>
        <v>410740.95</v>
      </c>
      <c r="AY55" s="22">
        <f t="shared" si="51"/>
        <v>1802.7825241075964</v>
      </c>
      <c r="AZ55" s="24">
        <f t="shared" si="52"/>
        <v>1.352932475878121E-2</v>
      </c>
      <c r="BA55" s="24">
        <f t="shared" si="53"/>
        <v>0.35000000000000003</v>
      </c>
      <c r="BB55" s="25">
        <f>IF(MortgageRate="Discounted",_xlfn.XLOOKUP(L55,'mortgage-rates'!$A:$A,'mortgage-rates'!$E:$E)/100,_xlfn.XLOOKUP(L55,'mortgage-rates'!$A:$A,'mortgage-rates'!$D:$D)/100)</f>
        <v>4.6799999999999994E-2</v>
      </c>
      <c r="BC55" s="10">
        <f t="shared" si="67"/>
        <v>169555.26339985311</v>
      </c>
      <c r="BD55" s="10">
        <f t="shared" si="54"/>
        <v>4636.7508055570115</v>
      </c>
      <c r="BE55" s="10">
        <f t="shared" si="55"/>
        <v>1983.7965817782811</v>
      </c>
      <c r="BF55" s="10">
        <f t="shared" si="36"/>
        <v>2652.9542237787305</v>
      </c>
      <c r="BG55" s="12">
        <f t="shared" si="56"/>
        <v>6439.5333296646077</v>
      </c>
      <c r="BH55" s="22">
        <f>INDEX(cpi!B:B,MATCH($L55,cpi!A:A))</f>
        <v>114.1</v>
      </c>
      <c r="BI55" s="22">
        <f t="shared" si="57"/>
        <v>134.86997635933807</v>
      </c>
      <c r="BJ55" s="22">
        <f t="shared" si="58"/>
        <v>199.12536689244348</v>
      </c>
      <c r="BK55" s="22">
        <f t="shared" si="59"/>
        <v>207.31821485814123</v>
      </c>
      <c r="BL55" s="22">
        <f t="shared" si="60"/>
        <v>201.58322128215281</v>
      </c>
      <c r="BM55" s="22">
        <f t="shared" si="61"/>
        <v>396.67518200742563</v>
      </c>
      <c r="BN55" s="22">
        <f t="shared" si="62"/>
        <v>164</v>
      </c>
      <c r="BO55">
        <f t="shared" si="63"/>
        <v>129.67226448042146</v>
      </c>
    </row>
    <row r="56" spans="1:67" x14ac:dyDescent="0.25">
      <c r="L56" s="1">
        <f t="shared" si="33"/>
        <v>43617</v>
      </c>
      <c r="M56" s="10">
        <f t="shared" si="38"/>
        <v>387781.55914080341</v>
      </c>
      <c r="N56" s="10">
        <f t="shared" si="39"/>
        <v>246379.39082392564</v>
      </c>
      <c r="O56" s="7">
        <f t="shared" si="24"/>
        <v>1.5739204397088977</v>
      </c>
      <c r="P56" s="7">
        <f t="shared" si="40"/>
        <v>0.83796482601345623</v>
      </c>
      <c r="Q56">
        <v>54</v>
      </c>
      <c r="R56">
        <f t="shared" si="41"/>
        <v>91</v>
      </c>
      <c r="S56" s="22"/>
      <c r="T56" s="22">
        <f>IF($B$10="3BR_H",
INDEX('3BR_H-processed'!$E:$E,MATCH($L56,'3BR_H-processed'!$B:$B,0),MATCH(Council_Area,'3BR_H-processed'!$E$1:$E$1,0)),
INDEX('2BR_F-processed'!$E:$E,MATCH($L56,'2BR_F-processed'!$B:$B,0),MATCH(Council_Area,'2BR_F-processed'!$E$1:$E$1,0)))</f>
        <v>387.90104662226452</v>
      </c>
      <c r="U56" s="22">
        <f t="shared" si="25"/>
        <v>400.61833869057688</v>
      </c>
      <c r="V56" s="22">
        <f t="shared" si="34"/>
        <v>5208.0384029774996</v>
      </c>
      <c r="W56" s="22">
        <f>$B$53/4*BH56/_xlfn.XLOOKUP(Q_end,cpi!A:A,cpi!B:B)</f>
        <v>158.81133379405668</v>
      </c>
      <c r="X56" s="22">
        <f t="shared" si="42"/>
        <v>5366.8497367715563</v>
      </c>
      <c r="Y56" s="22">
        <f t="shared" si="43"/>
        <v>1037.7743836749669</v>
      </c>
      <c r="Z56" s="22">
        <f t="shared" si="64"/>
        <v>0</v>
      </c>
      <c r="AA56" s="22" cm="1">
        <f t="array" ref="AA56">(Y56+Z56)*eff_invest</f>
        <v>1037.7743836749669</v>
      </c>
      <c r="AB56" s="22">
        <f>AA56*(_xlfn.XLOOKUP(Q_end,cpi!A:A,cpi!B:B)/BH56)</f>
        <v>1306.9273569866639</v>
      </c>
      <c r="AC56" s="22" cm="1">
        <f t="array" ref="AC56">INDEX('msci-indices'!C:C,MATCH($L56,'msci-indices'!$B:$B)-2)</f>
        <v>1693.1497079999999</v>
      </c>
      <c r="AD56" s="22" cm="1">
        <f t="array" ref="AD56">INDEX('msci-indices'!D:D,MATCH($L56,'msci-indices'!$B:$B)-2)</f>
        <v>1637.459214</v>
      </c>
      <c r="AE56" s="22">
        <f t="shared" si="65"/>
        <v>369439.7021884406</v>
      </c>
      <c r="AF56" s="22" cm="1">
        <f t="array" ref="AF56">INDEX('msci-indices'!C:C,MATCH($L56,'msci-indices'!$B:$B)+1)</f>
        <v>1756.4484090000001</v>
      </c>
      <c r="AG56" s="22" cm="1">
        <f t="array" ref="AG56">INDEX('msci-indices'!D:D,MATCH($L56,'msci-indices'!$B:$B)+1)</f>
        <v>1769.0189379999999</v>
      </c>
      <c r="AH56" s="22">
        <f t="shared" si="44"/>
        <v>230.89981386777538</v>
      </c>
      <c r="AI56" s="22">
        <f t="shared" si="45"/>
        <v>387781.55914080341</v>
      </c>
      <c r="AJ56" s="22">
        <f t="shared" si="66"/>
        <v>188043.73667469752</v>
      </c>
      <c r="AK56" s="22">
        <f t="shared" si="46"/>
        <v>199737.82246610589</v>
      </c>
      <c r="AL56" s="22">
        <f>AJ56*(_xlfn.XLOOKUP(Q_end,cpi!A:A,cpi!B:B)/BH56)</f>
        <v>236814.00084272173</v>
      </c>
      <c r="AM56" s="22" cm="1">
        <f t="array" ref="AM56">SUMPRODUCT($AA$3:AA56,_xlfn.SORTBY($BH$3:BH56,_xlfn.SEQUENCE(ROWS($BH$3:BH56)),-1)/$BH$3)</f>
        <v>242183.38488718297</v>
      </c>
      <c r="AN56" s="22">
        <f t="shared" si="30"/>
        <v>145598.17425362044</v>
      </c>
      <c r="AO56" s="22">
        <f t="shared" si="47"/>
        <v>0</v>
      </c>
      <c r="AP56" s="22">
        <f t="shared" si="31"/>
        <v>387781.55914080341</v>
      </c>
      <c r="AQ56" s="22"/>
      <c r="AR56" s="10">
        <f>IF($B$10="3BR_H",
INDEX('ns-combined'!$C:$D,MATCH($L56,'ns-combined'!$B:$B,0),MATCH(Council_Area,'ns-combined'!$C$1:$D$1,0))*1000,
INDEX('s-combined'!$C:$D,MATCH($L56,'s-combined'!$B:$B,0),MATCH(Council_Area,'s-combined'!$C$1:$D$1,0))*1000)</f>
        <v>538000</v>
      </c>
      <c r="AS56" s="22">
        <f t="shared" si="35"/>
        <v>43875</v>
      </c>
      <c r="AT56" s="10">
        <v>0</v>
      </c>
      <c r="AU56" s="22">
        <f t="shared" si="48"/>
        <v>10760</v>
      </c>
      <c r="AV56" s="22">
        <f t="shared" si="49"/>
        <v>1546.75</v>
      </c>
      <c r="AW56" s="22">
        <f>SUM($AV$3:AV56)</f>
        <v>70083.3</v>
      </c>
      <c r="AX56" s="22">
        <f t="shared" si="50"/>
        <v>413281.7</v>
      </c>
      <c r="AY56" s="22">
        <f t="shared" si="51"/>
        <v>1822.8134410421251</v>
      </c>
      <c r="AZ56" s="24">
        <f t="shared" si="52"/>
        <v>1.3552516290276023E-2</v>
      </c>
      <c r="BA56" s="24">
        <f t="shared" si="53"/>
        <v>0.35000000000000003</v>
      </c>
      <c r="BB56" s="25">
        <f>IF(MortgageRate="Discounted",_xlfn.XLOOKUP(L56,'mortgage-rates'!$A:$A,'mortgage-rates'!$E:$E)/100,_xlfn.XLOOKUP(L56,'mortgage-rates'!$A:$A,'mortgage-rates'!$D:$D)/100)</f>
        <v>4.4600000000000001E-2</v>
      </c>
      <c r="BC56" s="10">
        <f t="shared" si="67"/>
        <v>166902.30917607437</v>
      </c>
      <c r="BD56" s="10">
        <f t="shared" si="54"/>
        <v>4581.8106794043979</v>
      </c>
      <c r="BE56" s="10">
        <f t="shared" si="55"/>
        <v>1860.9607473132291</v>
      </c>
      <c r="BF56" s="10">
        <f t="shared" si="36"/>
        <v>2720.8499320911687</v>
      </c>
      <c r="BG56" s="12">
        <f t="shared" si="56"/>
        <v>6404.6241204465232</v>
      </c>
      <c r="BH56" s="22">
        <f>INDEX(cpi!B:B,MATCH($L56,cpi!A:A))</f>
        <v>114.9</v>
      </c>
      <c r="BI56" s="22">
        <f t="shared" si="57"/>
        <v>135.81560283687944</v>
      </c>
      <c r="BJ56" s="22">
        <f t="shared" si="58"/>
        <v>224.29400441178427</v>
      </c>
      <c r="BK56" s="22">
        <f t="shared" si="59"/>
        <v>229.67176750188432</v>
      </c>
      <c r="BL56" s="22">
        <f t="shared" si="60"/>
        <v>225.90733333881428</v>
      </c>
      <c r="BM56" s="22">
        <f t="shared" si="61"/>
        <v>445.60682781049508</v>
      </c>
      <c r="BN56" s="22">
        <f t="shared" si="62"/>
        <v>165.53846153846155</v>
      </c>
      <c r="BO56">
        <f t="shared" si="63"/>
        <v>130.47438758496858</v>
      </c>
    </row>
    <row r="57" spans="1:67" x14ac:dyDescent="0.25">
      <c r="L57" s="1">
        <f t="shared" si="33"/>
        <v>43709</v>
      </c>
      <c r="M57" s="10">
        <f t="shared" si="38"/>
        <v>392677.52935650607</v>
      </c>
      <c r="N57" s="10">
        <f t="shared" si="39"/>
        <v>248695.24075601681</v>
      </c>
      <c r="O57" s="7">
        <f t="shared" si="24"/>
        <v>1.57895071961487</v>
      </c>
      <c r="P57" s="7">
        <f t="shared" si="40"/>
        <v>0.85113879070133969</v>
      </c>
      <c r="Q57">
        <v>55</v>
      </c>
      <c r="R57">
        <f t="shared" si="41"/>
        <v>92</v>
      </c>
      <c r="S57" s="22"/>
      <c r="T57" s="22">
        <f>IF($B$10="3BR_H",
INDEX('3BR_H-processed'!$E:$E,MATCH($L57,'3BR_H-processed'!$B:$B,0),MATCH(Council_Area,'3BR_H-processed'!$E$1:$E$1,0)),
INDEX('2BR_F-processed'!$E:$E,MATCH($L57,'2BR_F-processed'!$B:$B,0),MATCH(Council_Area,'2BR_F-processed'!$E$1:$E$1,0)))</f>
        <v>387.72017184143721</v>
      </c>
      <c r="U57" s="22">
        <f t="shared" si="25"/>
        <v>400.61833869057688</v>
      </c>
      <c r="V57" s="22">
        <f t="shared" si="34"/>
        <v>5265.2695942190103</v>
      </c>
      <c r="W57" s="22">
        <f>$B$53/4*BH57/_xlfn.XLOOKUP(Q_end,cpi!A:A,cpi!B:B)</f>
        <v>159.50241879751209</v>
      </c>
      <c r="X57" s="22">
        <f t="shared" si="42"/>
        <v>5424.7720130165226</v>
      </c>
      <c r="Y57" s="22">
        <f t="shared" si="43"/>
        <v>948.77372627060595</v>
      </c>
      <c r="Z57" s="22">
        <f t="shared" si="64"/>
        <v>0</v>
      </c>
      <c r="AA57" s="22" cm="1">
        <f t="array" ref="AA57">(Y57+Z57)*eff_invest</f>
        <v>948.77372627060595</v>
      </c>
      <c r="AB57" s="22">
        <f>AA57*(_xlfn.XLOOKUP(Q_end,cpi!A:A,cpi!B:B)/BH57)</f>
        <v>1189.6668820741479</v>
      </c>
      <c r="AC57" s="22" cm="1">
        <f t="array" ref="AC57">INDEX('msci-indices'!C:C,MATCH($L57,'msci-indices'!$B:$B)-2)</f>
        <v>1756.4484090000001</v>
      </c>
      <c r="AD57" s="22" cm="1">
        <f t="array" ref="AD57">INDEX('msci-indices'!D:D,MATCH($L57,'msci-indices'!$B:$B)-2)</f>
        <v>1769.0189379999999</v>
      </c>
      <c r="AE57" s="22">
        <f t="shared" si="65"/>
        <v>388730.332867074</v>
      </c>
      <c r="AF57" s="22" cm="1">
        <f t="array" ref="AF57">INDEX('msci-indices'!C:C,MATCH($L57,'msci-indices'!$B:$B)+1)</f>
        <v>1762.7547079999999</v>
      </c>
      <c r="AG57" s="22" cm="1">
        <f t="array" ref="AG57">INDEX('msci-indices'!D:D,MATCH($L57,'msci-indices'!$B:$B)+1)</f>
        <v>1817.7602159999999</v>
      </c>
      <c r="AH57" s="22">
        <f t="shared" si="44"/>
        <v>242.95645804192125</v>
      </c>
      <c r="AI57" s="22">
        <f t="shared" si="45"/>
        <v>392677.52935650607</v>
      </c>
      <c r="AJ57" s="22">
        <f t="shared" si="66"/>
        <v>188992.51040096811</v>
      </c>
      <c r="AK57" s="22">
        <f t="shared" si="46"/>
        <v>203685.01895553796</v>
      </c>
      <c r="AL57" s="22">
        <f>AJ57*(_xlfn.XLOOKUP(Q_end,cpi!A:A,cpi!B:B)/BH57)</f>
        <v>236977.61052877022</v>
      </c>
      <c r="AM57" s="22" cm="1">
        <f t="array" ref="AM57">SUMPRODUCT($AA$3:AA57,_xlfn.SORTBY($BH$3:BH57,_xlfn.SEQUENCE(ROWS($BH$3:BH57)),-1)/$BH$3)</f>
        <v>244300.75435858627</v>
      </c>
      <c r="AN57" s="22">
        <f t="shared" si="30"/>
        <v>148376.7749979198</v>
      </c>
      <c r="AO57" s="22">
        <f t="shared" si="47"/>
        <v>0</v>
      </c>
      <c r="AP57" s="22">
        <f t="shared" si="31"/>
        <v>392677.52935650607</v>
      </c>
      <c r="AQ57" s="22"/>
      <c r="AR57" s="10">
        <f>IF($B$10="3BR_H",
INDEX('ns-combined'!$C:$D,MATCH($L57,'ns-combined'!$B:$B,0),MATCH(Council_Area,'ns-combined'!$C$1:$D$1,0))*1000,
INDEX('s-combined'!$C:$D,MATCH($L57,'s-combined'!$B:$B,0),MATCH(Council_Area,'s-combined'!$C$1:$D$1,0))*1000)</f>
        <v>540000</v>
      </c>
      <c r="AS57" s="22">
        <f t="shared" si="35"/>
        <v>44687.5</v>
      </c>
      <c r="AT57" s="10">
        <v>0</v>
      </c>
      <c r="AU57" s="22">
        <f t="shared" si="48"/>
        <v>10800</v>
      </c>
      <c r="AV57" s="22">
        <f t="shared" si="49"/>
        <v>1552.5</v>
      </c>
      <c r="AW57" s="22">
        <f>SUM($AV$3:AV57)</f>
        <v>71635.8</v>
      </c>
      <c r="AX57" s="22">
        <f t="shared" si="50"/>
        <v>412876.7</v>
      </c>
      <c r="AY57" s="22">
        <f t="shared" si="51"/>
        <v>1842.8443579766538</v>
      </c>
      <c r="AZ57" s="24">
        <f t="shared" si="52"/>
        <v>1.3650698947975213E-2</v>
      </c>
      <c r="BA57" s="24">
        <f t="shared" si="53"/>
        <v>0.35000000000000003</v>
      </c>
      <c r="BB57" s="25">
        <f>IF(MortgageRate="Discounted",_xlfn.XLOOKUP(L57,'mortgage-rates'!$A:$A,'mortgage-rates'!$E:$E)/100,_xlfn.XLOOKUP(L57,'mortgage-rates'!$A:$A,'mortgage-rates'!$D:$D)/100)</f>
        <v>4.2500000000000003E-2</v>
      </c>
      <c r="BC57" s="10">
        <f t="shared" si="67"/>
        <v>164181.4592439832</v>
      </c>
      <c r="BD57" s="10">
        <f t="shared" si="54"/>
        <v>4530.701381310475</v>
      </c>
      <c r="BE57" s="10">
        <f t="shared" si="55"/>
        <v>1744.4280044673217</v>
      </c>
      <c r="BF57" s="10">
        <f t="shared" si="36"/>
        <v>2786.2733768431535</v>
      </c>
      <c r="BG57" s="12">
        <f t="shared" si="56"/>
        <v>6373.5457392871285</v>
      </c>
      <c r="BH57" s="22">
        <f>INDEX(cpi!B:B,MATCH($L57,cpi!A:A))</f>
        <v>115.4</v>
      </c>
      <c r="BI57" s="22">
        <f t="shared" si="57"/>
        <v>136.40661938534279</v>
      </c>
      <c r="BJ57" s="22">
        <f t="shared" si="58"/>
        <v>232.67927539772964</v>
      </c>
      <c r="BK57" s="22">
        <f t="shared" si="59"/>
        <v>248.12447403942869</v>
      </c>
      <c r="BL57" s="22">
        <f t="shared" si="60"/>
        <v>237.31283499023937</v>
      </c>
      <c r="BM57" s="22">
        <f t="shared" si="61"/>
        <v>468.8745943560221</v>
      </c>
      <c r="BN57" s="22">
        <f t="shared" si="62"/>
        <v>166.15384615384616</v>
      </c>
      <c r="BO57">
        <f t="shared" si="63"/>
        <v>130.34652775722418</v>
      </c>
    </row>
    <row r="58" spans="1:67" x14ac:dyDescent="0.25">
      <c r="L58" s="1">
        <f t="shared" si="33"/>
        <v>43800</v>
      </c>
      <c r="M58" s="10">
        <f t="shared" si="38"/>
        <v>417460.70211683074</v>
      </c>
      <c r="N58" s="10">
        <f t="shared" si="39"/>
        <v>258887.76413285997</v>
      </c>
      <c r="O58" s="7">
        <f t="shared" si="24"/>
        <v>1.6125161554664742</v>
      </c>
      <c r="P58" s="7">
        <f t="shared" si="40"/>
        <v>0.85447476766983166</v>
      </c>
      <c r="Q58">
        <v>56</v>
      </c>
      <c r="R58">
        <f t="shared" si="41"/>
        <v>92</v>
      </c>
      <c r="S58" s="22"/>
      <c r="T58" s="22">
        <f>IF($B$10="3BR_H",
INDEX('3BR_H-processed'!$E:$E,MATCH($L58,'3BR_H-processed'!$B:$B,0),MATCH(Council_Area,'3BR_H-processed'!$E$1:$E$1,0)),
INDEX('2BR_F-processed'!$E:$E,MATCH($L58,'2BR_F-processed'!$B:$B,0),MATCH(Council_Area,'2BR_F-processed'!$E$1:$E$1,0)))</f>
        <v>397.23078170613041</v>
      </c>
      <c r="U58" s="22">
        <f t="shared" si="25"/>
        <v>400.61833869057688</v>
      </c>
      <c r="V58" s="22">
        <f t="shared" si="34"/>
        <v>5265.2695942190103</v>
      </c>
      <c r="W58" s="22">
        <f>$B$53/4*BH58/_xlfn.XLOOKUP(Q_end,cpi!A:A,cpi!B:B)</f>
        <v>160.4699378023497</v>
      </c>
      <c r="X58" s="22">
        <f t="shared" si="42"/>
        <v>5425.73953202136</v>
      </c>
      <c r="Y58" s="22">
        <f t="shared" si="43"/>
        <v>924.05537979031487</v>
      </c>
      <c r="Z58" s="22">
        <f t="shared" si="64"/>
        <v>0</v>
      </c>
      <c r="AA58" s="22" cm="1">
        <f t="array" ref="AA58">(Y58+Z58)*eff_invest</f>
        <v>924.05537979031487</v>
      </c>
      <c r="AB58" s="22">
        <f>AA58*(_xlfn.XLOOKUP(Q_end,cpi!A:A,cpi!B:B)/BH58)</f>
        <v>1151.6865930719944</v>
      </c>
      <c r="AC58" s="22" cm="1">
        <f t="array" ref="AC58">INDEX('msci-indices'!C:C,MATCH($L58,'msci-indices'!$B:$B)-2)</f>
        <v>1762.7547079999999</v>
      </c>
      <c r="AD58" s="22" cm="1">
        <f t="array" ref="AD58">INDEX('msci-indices'!D:D,MATCH($L58,'msci-indices'!$B:$B)-2)</f>
        <v>1817.7602159999999</v>
      </c>
      <c r="AE58" s="22">
        <f t="shared" si="65"/>
        <v>393601.58473629638</v>
      </c>
      <c r="AF58" s="22" cm="1">
        <f t="array" ref="AF58">INDEX('msci-indices'!C:C,MATCH($L58,'msci-indices'!$B:$B)+1)</f>
        <v>1916.2448380000001</v>
      </c>
      <c r="AG58" s="22" cm="1">
        <f t="array" ref="AG58">INDEX('msci-indices'!D:D,MATCH($L58,'msci-indices'!$B:$B)+1)</f>
        <v>1819.5211509999999</v>
      </c>
      <c r="AH58" s="22">
        <f t="shared" si="44"/>
        <v>246.00099046018525</v>
      </c>
      <c r="AI58" s="22">
        <f t="shared" si="45"/>
        <v>417460.70211683074</v>
      </c>
      <c r="AJ58" s="22">
        <f t="shared" si="66"/>
        <v>189916.56578075842</v>
      </c>
      <c r="AK58" s="22">
        <f t="shared" si="46"/>
        <v>227544.13633607232</v>
      </c>
      <c r="AL58" s="22">
        <f>AJ58*(_xlfn.XLOOKUP(Q_end,cpi!A:A,cpi!B:B)/BH58)</f>
        <v>236700.49154587201</v>
      </c>
      <c r="AM58" s="22" cm="1">
        <f t="array" ref="AM58">SUMPRODUCT($AA$3:AA58,_xlfn.SORTBY($BH$3:BH58,_xlfn.SEQUENCE(ROWS($BH$3:BH58)),-1)/$BH$3)</f>
        <v>246585.15045206077</v>
      </c>
      <c r="AN58" s="22">
        <f t="shared" si="30"/>
        <v>170875.55166476997</v>
      </c>
      <c r="AO58" s="22">
        <f t="shared" si="47"/>
        <v>0</v>
      </c>
      <c r="AP58" s="22">
        <f t="shared" si="31"/>
        <v>417460.70211683074</v>
      </c>
      <c r="AQ58" s="22"/>
      <c r="AR58" s="10">
        <f>IF($B$10="3BR_H",
INDEX('ns-combined'!$C:$D,MATCH($L58,'ns-combined'!$B:$B,0),MATCH(Council_Area,'ns-combined'!$C$1:$D$1,0))*1000,
INDEX('s-combined'!$C:$D,MATCH($L58,'s-combined'!$B:$B,0),MATCH(Council_Area,'s-combined'!$C$1:$D$1,0))*1000)</f>
        <v>550000</v>
      </c>
      <c r="AS58" s="22">
        <f t="shared" si="35"/>
        <v>45500</v>
      </c>
      <c r="AT58" s="10">
        <v>0</v>
      </c>
      <c r="AU58" s="22">
        <f t="shared" si="48"/>
        <v>11000</v>
      </c>
      <c r="AV58" s="22">
        <f t="shared" si="49"/>
        <v>1581.25</v>
      </c>
      <c r="AW58" s="22">
        <f>SUM($AV$3:AV58)</f>
        <v>73217.05</v>
      </c>
      <c r="AX58" s="22">
        <f t="shared" si="50"/>
        <v>420282.95</v>
      </c>
      <c r="AY58" s="22">
        <f t="shared" si="51"/>
        <v>1842.8443579766538</v>
      </c>
      <c r="AZ58" s="24">
        <f t="shared" si="52"/>
        <v>1.3402504421648391E-2</v>
      </c>
      <c r="BA58" s="24">
        <f t="shared" si="53"/>
        <v>0.35000000000000003</v>
      </c>
      <c r="BB58" s="25">
        <f>IF(MortgageRate="Discounted",_xlfn.XLOOKUP(L58,'mortgage-rates'!$A:$A,'mortgage-rates'!$E:$E)/100,_xlfn.XLOOKUP(L58,'mortgage-rates'!$A:$A,'mortgage-rates'!$D:$D)/100)</f>
        <v>4.1500000000000002E-2</v>
      </c>
      <c r="BC58" s="10">
        <f t="shared" si="67"/>
        <v>161395.18586714004</v>
      </c>
      <c r="BD58" s="10">
        <f t="shared" si="54"/>
        <v>4506.9505538350213</v>
      </c>
      <c r="BE58" s="10">
        <f t="shared" si="55"/>
        <v>1674.475053371578</v>
      </c>
      <c r="BF58" s="10">
        <f t="shared" si="36"/>
        <v>2832.4755004634435</v>
      </c>
      <c r="BG58" s="12">
        <f t="shared" si="56"/>
        <v>6349.7949118116749</v>
      </c>
      <c r="BH58" s="22">
        <f>INDEX(cpi!B:B,MATCH($L58,cpi!A:A))</f>
        <v>116.1</v>
      </c>
      <c r="BI58" s="22">
        <f t="shared" si="57"/>
        <v>137.2340425531915</v>
      </c>
      <c r="BJ58" s="22">
        <f t="shared" si="58"/>
        <v>233.51467999842427</v>
      </c>
      <c r="BK58" s="22">
        <f t="shared" si="59"/>
        <v>254.96097743007783</v>
      </c>
      <c r="BL58" s="22">
        <f t="shared" si="60"/>
        <v>239.94856922792033</v>
      </c>
      <c r="BM58" s="22">
        <f t="shared" si="61"/>
        <v>474.7501488241852</v>
      </c>
      <c r="BN58" s="22">
        <f t="shared" si="62"/>
        <v>169.23076923076923</v>
      </c>
      <c r="BO58">
        <f t="shared" si="63"/>
        <v>132.68470516273518</v>
      </c>
    </row>
    <row r="59" spans="1:67" x14ac:dyDescent="0.25">
      <c r="L59" s="1">
        <f t="shared" si="33"/>
        <v>43891</v>
      </c>
      <c r="M59" s="10">
        <f t="shared" si="38"/>
        <v>323152.78453123133</v>
      </c>
      <c r="N59" s="10">
        <f t="shared" si="39"/>
        <v>249555.23963332342</v>
      </c>
      <c r="O59" s="7">
        <f t="shared" si="24"/>
        <v>1.2949148453306221</v>
      </c>
      <c r="P59" s="7">
        <f t="shared" si="40"/>
        <v>0.86105467120125034</v>
      </c>
      <c r="Q59">
        <v>57</v>
      </c>
      <c r="R59">
        <f t="shared" si="41"/>
        <v>91</v>
      </c>
      <c r="S59" s="22"/>
      <c r="T59" s="22">
        <f>IF($B$10="3BR_H",
INDEX('3BR_H-processed'!$E:$E,MATCH($L59,'3BR_H-processed'!$B:$B,0),MATCH(Council_Area,'3BR_H-processed'!$E$1:$E$1,0)),
INDEX('2BR_F-processed'!$E:$E,MATCH($L59,'2BR_F-processed'!$B:$B,0),MATCH(Council_Area,'2BR_F-processed'!$E$1:$E$1,0)))</f>
        <v>404.26059001512857</v>
      </c>
      <c r="U59" s="22">
        <f t="shared" si="25"/>
        <v>404.26059001512857</v>
      </c>
      <c r="V59" s="22">
        <f t="shared" si="34"/>
        <v>5255.3876701966719</v>
      </c>
      <c r="W59" s="22">
        <f>$B$53/4*BH59/_xlfn.XLOOKUP(Q_end,cpi!A:A,cpi!B:B)</f>
        <v>161.29923980649622</v>
      </c>
      <c r="X59" s="22">
        <f t="shared" si="42"/>
        <v>5416.6869100031681</v>
      </c>
      <c r="Y59" s="22">
        <f t="shared" si="43"/>
        <v>874.0714949728972</v>
      </c>
      <c r="Z59" s="22">
        <f t="shared" si="64"/>
        <v>0</v>
      </c>
      <c r="AA59" s="22" cm="1">
        <f t="array" ref="AA59">(Y59+Z59)*eff_invest</f>
        <v>874.0714949728972</v>
      </c>
      <c r="AB59" s="22">
        <f>AA59*(_xlfn.XLOOKUP(Q_end,cpi!A:A,cpi!B:B)/BH59)</f>
        <v>1083.7887345550832</v>
      </c>
      <c r="AC59" s="22" cm="1">
        <f t="array" ref="AC59">INDEX('msci-indices'!C:C,MATCH($L59,'msci-indices'!$B:$B)-2)</f>
        <v>1916.2448380000001</v>
      </c>
      <c r="AD59" s="22" cm="1">
        <f t="array" ref="AD59">INDEX('msci-indices'!D:D,MATCH($L59,'msci-indices'!$B:$B)-2)</f>
        <v>1819.5211509999999</v>
      </c>
      <c r="AE59" s="22">
        <f t="shared" si="65"/>
        <v>418334.77361180366</v>
      </c>
      <c r="AF59" s="22" cm="1">
        <f t="array" ref="AF59">INDEX('msci-indices'!C:C,MATCH($L59,'msci-indices'!$B:$B)+1)</f>
        <v>1491.44822</v>
      </c>
      <c r="AG59" s="22" cm="1">
        <f t="array" ref="AG59">INDEX('msci-indices'!D:D,MATCH($L59,'msci-indices'!$B:$B)+1)</f>
        <v>1384.5123450000001</v>
      </c>
      <c r="AH59" s="22">
        <f t="shared" si="44"/>
        <v>261.45923350737729</v>
      </c>
      <c r="AI59" s="22">
        <f t="shared" si="45"/>
        <v>323152.78453123133</v>
      </c>
      <c r="AJ59" s="22">
        <f t="shared" si="66"/>
        <v>190790.63727573131</v>
      </c>
      <c r="AK59" s="22">
        <f t="shared" si="46"/>
        <v>132362.14725550002</v>
      </c>
      <c r="AL59" s="22">
        <f>AJ59*(_xlfn.XLOOKUP(Q_end,cpi!A:A,cpi!B:B)/BH59)</f>
        <v>236567.31117222208</v>
      </c>
      <c r="AM59" s="22" cm="1">
        <f t="array" ref="AM59">SUMPRODUCT($AA$3:AA59,_xlfn.SORTBY($BH$3:BH59,_xlfn.SEQUENCE(ROWS($BH$3:BH59)),-1)/$BH$3)</f>
        <v>248735.18690428647</v>
      </c>
      <c r="AN59" s="22">
        <f t="shared" si="30"/>
        <v>74417.597626944858</v>
      </c>
      <c r="AO59" s="22">
        <f t="shared" si="47"/>
        <v>0</v>
      </c>
      <c r="AP59" s="22">
        <f t="shared" si="31"/>
        <v>323152.78453123133</v>
      </c>
      <c r="AQ59" s="22"/>
      <c r="AR59" s="10">
        <f>IF($B$10="3BR_H",
INDEX('ns-combined'!$C:$D,MATCH($L59,'ns-combined'!$B:$B,0),MATCH(Council_Area,'ns-combined'!$C$1:$D$1,0))*1000,
INDEX('s-combined'!$C:$D,MATCH($L59,'s-combined'!$B:$B,0),MATCH(Council_Area,'s-combined'!$C$1:$D$1,0))*1000)</f>
        <v>540000</v>
      </c>
      <c r="AS59" s="22">
        <f t="shared" si="35"/>
        <v>46312.5</v>
      </c>
      <c r="AT59" s="10">
        <v>0</v>
      </c>
      <c r="AU59" s="22">
        <f t="shared" si="48"/>
        <v>10800</v>
      </c>
      <c r="AV59" s="22">
        <f t="shared" si="49"/>
        <v>1552.5</v>
      </c>
      <c r="AW59" s="22">
        <f>SUM($AV$3:AV59)</f>
        <v>74769.55</v>
      </c>
      <c r="AX59" s="22">
        <f t="shared" si="50"/>
        <v>408117.95</v>
      </c>
      <c r="AY59" s="22">
        <f t="shared" si="51"/>
        <v>1839.3856845688354</v>
      </c>
      <c r="AZ59" s="24">
        <f t="shared" si="52"/>
        <v>1.3625079144954337E-2</v>
      </c>
      <c r="BA59" s="24">
        <f t="shared" si="53"/>
        <v>0.35000000000000003</v>
      </c>
      <c r="BB59" s="25">
        <f>IF(MortgageRate="Discounted",_xlfn.XLOOKUP(L59,'mortgage-rates'!$A:$A,'mortgage-rates'!$E:$E)/100,_xlfn.XLOOKUP(L59,'mortgage-rates'!$A:$A,'mortgage-rates'!$D:$D)/100)</f>
        <v>3.9100000000000003E-2</v>
      </c>
      <c r="BC59" s="10">
        <f t="shared" si="67"/>
        <v>158562.71036667659</v>
      </c>
      <c r="BD59" s="10">
        <f t="shared" si="54"/>
        <v>4451.3727204072302</v>
      </c>
      <c r="BE59" s="10">
        <f t="shared" si="55"/>
        <v>1549.9504938342639</v>
      </c>
      <c r="BF59" s="10">
        <f t="shared" si="36"/>
        <v>2901.4222265729663</v>
      </c>
      <c r="BG59" s="12">
        <f t="shared" si="56"/>
        <v>6290.7584049760653</v>
      </c>
      <c r="BH59" s="22">
        <f>INDEX(cpi!B:B,MATCH($L59,cpi!A:A))</f>
        <v>116.7</v>
      </c>
      <c r="BI59" s="22">
        <f t="shared" si="57"/>
        <v>137.94326241134752</v>
      </c>
      <c r="BJ59" s="22">
        <f t="shared" si="58"/>
        <v>253.84774076246714</v>
      </c>
      <c r="BK59" s="22">
        <f t="shared" si="59"/>
        <v>255.20796804239237</v>
      </c>
      <c r="BL59" s="22">
        <f t="shared" si="60"/>
        <v>254.25580894644472</v>
      </c>
      <c r="BM59" s="22">
        <f t="shared" si="61"/>
        <v>504.58256199246722</v>
      </c>
      <c r="BN59" s="22">
        <f t="shared" si="62"/>
        <v>166.15384615384616</v>
      </c>
      <c r="BO59">
        <f t="shared" si="63"/>
        <v>128.84417478122748</v>
      </c>
    </row>
    <row r="60" spans="1:67" x14ac:dyDescent="0.25">
      <c r="L60" s="1">
        <f t="shared" si="33"/>
        <v>43983</v>
      </c>
      <c r="M60" s="10">
        <f t="shared" si="38"/>
        <v>385625.92095423996</v>
      </c>
      <c r="N60" s="10">
        <f t="shared" si="39"/>
        <v>256931.53685989638</v>
      </c>
      <c r="O60" s="7">
        <f t="shared" si="24"/>
        <v>1.5008897921492605</v>
      </c>
      <c r="P60" s="7">
        <f t="shared" si="40"/>
        <v>0.86865337108016316</v>
      </c>
      <c r="Q60">
        <v>58</v>
      </c>
      <c r="R60">
        <f t="shared" si="41"/>
        <v>91</v>
      </c>
      <c r="S60" s="22"/>
      <c r="T60" s="22">
        <f>IF($B$10="3BR_H",
INDEX('3BR_H-processed'!$E:$E,MATCH($L60,'3BR_H-processed'!$B:$B,0),MATCH(Council_Area,'3BR_H-processed'!$E$1:$E$1,0)),
INDEX('2BR_F-processed'!$E:$E,MATCH($L60,'2BR_F-processed'!$B:$B,0),MATCH(Council_Area,'2BR_F-processed'!$E$1:$E$1,0)))</f>
        <v>388.74624874958317</v>
      </c>
      <c r="U60" s="22">
        <f t="shared" si="25"/>
        <v>404.26059001512857</v>
      </c>
      <c r="V60" s="22">
        <f t="shared" si="34"/>
        <v>5255.3876701966719</v>
      </c>
      <c r="W60" s="22">
        <f>$B$53/4*BH60/_xlfn.XLOOKUP(Q_end,cpi!A:A,cpi!B:B)</f>
        <v>158.25846579129234</v>
      </c>
      <c r="X60" s="22">
        <f t="shared" si="42"/>
        <v>5413.646135987964</v>
      </c>
      <c r="Y60" s="22">
        <f t="shared" si="43"/>
        <v>818.58217995829273</v>
      </c>
      <c r="Z60" s="22">
        <f t="shared" si="64"/>
        <v>0</v>
      </c>
      <c r="AA60" s="22" cm="1">
        <f t="array" ref="AA60">(Y60+Z60)*eff_invest</f>
        <v>818.58217995829273</v>
      </c>
      <c r="AB60" s="22">
        <f>AA60*(_xlfn.XLOOKUP(Q_end,cpi!A:A,cpi!B:B)/BH60)</f>
        <v>1034.4876981656328</v>
      </c>
      <c r="AC60" s="22" cm="1">
        <f t="array" ref="AC60">INDEX('msci-indices'!C:C,MATCH($L60,'msci-indices'!$B:$B)-2)</f>
        <v>1491.44822</v>
      </c>
      <c r="AD60" s="22" cm="1">
        <f t="array" ref="AD60">INDEX('msci-indices'!D:D,MATCH($L60,'msci-indices'!$B:$B)-2)</f>
        <v>1384.5123450000001</v>
      </c>
      <c r="AE60" s="22">
        <f t="shared" si="65"/>
        <v>323971.36671118962</v>
      </c>
      <c r="AF60" s="22" cm="1">
        <f t="array" ref="AF60">INDEX('msci-indices'!C:C,MATCH($L60,'msci-indices'!$B:$B)+1)</f>
        <v>1788.7914370000001</v>
      </c>
      <c r="AG60" s="22" cm="1">
        <f t="array" ref="AG60">INDEX('msci-indices'!D:D,MATCH($L60,'msci-indices'!$B:$B)+1)</f>
        <v>1621.623241</v>
      </c>
      <c r="AH60" s="22">
        <f t="shared" si="44"/>
        <v>202.48210419449353</v>
      </c>
      <c r="AI60" s="22">
        <f t="shared" si="45"/>
        <v>385625.92095423996</v>
      </c>
      <c r="AJ60" s="22">
        <f t="shared" si="66"/>
        <v>191609.2194556896</v>
      </c>
      <c r="AK60" s="22">
        <f t="shared" si="46"/>
        <v>194016.70149855036</v>
      </c>
      <c r="AL60" s="22">
        <f>AJ60*(_xlfn.XLOOKUP(Q_end,cpi!A:A,cpi!B:B)/BH60)</f>
        <v>242147.19698898064</v>
      </c>
      <c r="AM60" s="22" cm="1">
        <f t="array" ref="AM60">SUMPRODUCT($AA$3:AA60,_xlfn.SORTBY($BH$3:BH60,_xlfn.SEQUENCE(ROWS($BH$3:BH60)),-1)/$BH$3)</f>
        <v>248094.15955398229</v>
      </c>
      <c r="AN60" s="22">
        <f t="shared" si="30"/>
        <v>137531.76140025767</v>
      </c>
      <c r="AO60" s="22">
        <f t="shared" si="47"/>
        <v>0</v>
      </c>
      <c r="AP60" s="22">
        <f t="shared" si="31"/>
        <v>385625.92095423996</v>
      </c>
      <c r="AQ60" s="22"/>
      <c r="AR60" s="10">
        <f>IF($B$10="3BR_H",
INDEX('ns-combined'!$C:$D,MATCH($L60,'ns-combined'!$B:$B,0),MATCH(Council_Area,'ns-combined'!$C$1:$D$1,0))*1000,
INDEX('s-combined'!$C:$D,MATCH($L60,'s-combined'!$B:$B,0),MATCH(Council_Area,'s-combined'!$C$1:$D$1,0))*1000)</f>
        <v>547000</v>
      </c>
      <c r="AS60" s="22">
        <f t="shared" si="35"/>
        <v>47125</v>
      </c>
      <c r="AT60" s="10">
        <v>0</v>
      </c>
      <c r="AU60" s="22">
        <f t="shared" si="48"/>
        <v>10940</v>
      </c>
      <c r="AV60" s="22">
        <f t="shared" si="49"/>
        <v>1572.625</v>
      </c>
      <c r="AW60" s="22">
        <f>SUM($AV$3:AV60)</f>
        <v>76342.175000000003</v>
      </c>
      <c r="AX60" s="22">
        <f t="shared" si="50"/>
        <v>412592.82500000001</v>
      </c>
      <c r="AY60" s="22">
        <f t="shared" si="51"/>
        <v>1839.3856845688354</v>
      </c>
      <c r="AZ60" s="24">
        <f t="shared" si="52"/>
        <v>1.3450717985878139E-2</v>
      </c>
      <c r="BA60" s="24">
        <f t="shared" si="53"/>
        <v>0.35000000000000003</v>
      </c>
      <c r="BB60" s="25">
        <f>IF(MortgageRate="Discounted",_xlfn.XLOOKUP(L60,'mortgage-rates'!$A:$A,'mortgage-rates'!$E:$E)/100,_xlfn.XLOOKUP(L60,'mortgage-rates'!$A:$A,'mortgage-rates'!$D:$D)/100)</f>
        <v>3.6499999999999998E-2</v>
      </c>
      <c r="BC60" s="10">
        <f t="shared" si="67"/>
        <v>155661.28814010363</v>
      </c>
      <c r="BD60" s="10">
        <f t="shared" si="54"/>
        <v>4392.8426313774216</v>
      </c>
      <c r="BE60" s="10">
        <f t="shared" si="55"/>
        <v>1420.4092542784456</v>
      </c>
      <c r="BF60" s="10">
        <f t="shared" si="36"/>
        <v>2972.4333770989761</v>
      </c>
      <c r="BG60" s="12">
        <f t="shared" si="56"/>
        <v>6232.2283159462568</v>
      </c>
      <c r="BH60" s="22">
        <f>INDEX(cpi!B:B,MATCH($L60,cpi!A:A))</f>
        <v>114.5</v>
      </c>
      <c r="BI60" s="22">
        <f t="shared" si="57"/>
        <v>135.34278959810877</v>
      </c>
      <c r="BJ60" s="22">
        <f t="shared" si="58"/>
        <v>197.57431493271579</v>
      </c>
      <c r="BK60" s="22">
        <f t="shared" si="59"/>
        <v>194.19317115542438</v>
      </c>
      <c r="BL60" s="22">
        <f t="shared" si="60"/>
        <v>196.55997179952837</v>
      </c>
      <c r="BM60" s="22">
        <f t="shared" si="61"/>
        <v>390.76431733362534</v>
      </c>
      <c r="BN60" s="22">
        <f t="shared" si="62"/>
        <v>168.30769230769232</v>
      </c>
      <c r="BO60">
        <f t="shared" si="63"/>
        <v>130.25690748907371</v>
      </c>
    </row>
    <row r="61" spans="1:67" x14ac:dyDescent="0.25">
      <c r="L61" s="1">
        <f t="shared" si="33"/>
        <v>44075</v>
      </c>
      <c r="M61" s="10">
        <f t="shared" si="38"/>
        <v>407414.87252946483</v>
      </c>
      <c r="N61" s="10">
        <f t="shared" si="39"/>
        <v>265335.84523699537</v>
      </c>
      <c r="O61" s="7">
        <f t="shared" si="24"/>
        <v>1.5354686516839287</v>
      </c>
      <c r="P61" s="7">
        <f t="shared" si="40"/>
        <v>0.87545760694659913</v>
      </c>
      <c r="Q61">
        <v>59</v>
      </c>
      <c r="R61">
        <f t="shared" si="41"/>
        <v>92</v>
      </c>
      <c r="S61" s="22"/>
      <c r="T61" s="22">
        <f>IF($B$10="3BR_H",
INDEX('3BR_H-processed'!$E:$E,MATCH($L61,'3BR_H-processed'!$B:$B,0),MATCH(Council_Area,'3BR_H-processed'!$E$1:$E$1,0)),
INDEX('2BR_F-processed'!$E:$E,MATCH($L61,'2BR_F-processed'!$B:$B,0),MATCH(Council_Area,'2BR_F-processed'!$E$1:$E$1,0)))</f>
        <v>402.53276792598302</v>
      </c>
      <c r="U61" s="22">
        <f t="shared" si="25"/>
        <v>404.26059001512857</v>
      </c>
      <c r="V61" s="22">
        <f t="shared" si="34"/>
        <v>5313.1391830559751</v>
      </c>
      <c r="W61" s="22">
        <f>$B$53/4*BH61/_xlfn.XLOOKUP(Q_end,cpi!A:A,cpi!B:B)</f>
        <v>160.60815480304078</v>
      </c>
      <c r="X61" s="22">
        <f t="shared" si="42"/>
        <v>5473.7473378590157</v>
      </c>
      <c r="Y61" s="22">
        <f t="shared" si="43"/>
        <v>778.69400758799657</v>
      </c>
      <c r="Z61" s="22">
        <f t="shared" si="64"/>
        <v>0</v>
      </c>
      <c r="AA61" s="22" cm="1">
        <f t="array" ref="AA61">(Y61+Z61)*eff_invest</f>
        <v>778.69400758799657</v>
      </c>
      <c r="AB61" s="22">
        <f>AA61*(_xlfn.XLOOKUP(Q_end,cpi!A:A,cpi!B:B)/BH61)</f>
        <v>969.68178053341728</v>
      </c>
      <c r="AC61" s="22" cm="1">
        <f t="array" ref="AC61">INDEX('msci-indices'!C:C,MATCH($L61,'msci-indices'!$B:$B)-2)</f>
        <v>1788.7914370000001</v>
      </c>
      <c r="AD61" s="22" cm="1">
        <f t="array" ref="AD61">INDEX('msci-indices'!D:D,MATCH($L61,'msci-indices'!$B:$B)-2)</f>
        <v>1621.623241</v>
      </c>
      <c r="AE61" s="22">
        <f t="shared" si="65"/>
        <v>386404.61496182793</v>
      </c>
      <c r="AF61" s="22" cm="1">
        <f t="array" ref="AF61">INDEX('msci-indices'!C:C,MATCH($L61,'msci-indices'!$B:$B)+1)</f>
        <v>1929.6383699999999</v>
      </c>
      <c r="AG61" s="22" cm="1">
        <f t="array" ref="AG61">INDEX('msci-indices'!D:D,MATCH($L61,'msci-indices'!$B:$B)+1)</f>
        <v>1620.9837990000001</v>
      </c>
      <c r="AH61" s="22">
        <f t="shared" si="44"/>
        <v>241.50288435114246</v>
      </c>
      <c r="AI61" s="22">
        <f t="shared" si="45"/>
        <v>407414.87252946483</v>
      </c>
      <c r="AJ61" s="22">
        <f t="shared" si="66"/>
        <v>192387.9134632776</v>
      </c>
      <c r="AK61" s="22">
        <f t="shared" si="46"/>
        <v>215026.95906618724</v>
      </c>
      <c r="AL61" s="22">
        <f>AJ61*(_xlfn.XLOOKUP(Q_end,cpi!A:A,cpi!B:B)/BH61)</f>
        <v>239574.27778086287</v>
      </c>
      <c r="AM61" s="22" cm="1">
        <f t="array" ref="AM61">SUMPRODUCT($AA$3:AA61,_xlfn.SORTBY($BH$3:BH61,_xlfn.SEQUENCE(ROWS($BH$3:BH61)),-1)/$BH$3)</f>
        <v>251129.51669791626</v>
      </c>
      <c r="AN61" s="22">
        <f t="shared" si="30"/>
        <v>156285.35583154857</v>
      </c>
      <c r="AO61" s="22">
        <f t="shared" si="47"/>
        <v>0</v>
      </c>
      <c r="AP61" s="22">
        <f t="shared" si="31"/>
        <v>407414.87252946483</v>
      </c>
      <c r="AQ61" s="22"/>
      <c r="AR61" s="10">
        <f>IF($B$10="3BR_H",
INDEX('ns-combined'!$C:$D,MATCH($L61,'ns-combined'!$B:$B,0),MATCH(Council_Area,'ns-combined'!$C$1:$D$1,0))*1000,
INDEX('s-combined'!$C:$D,MATCH($L61,'s-combined'!$B:$B,0),MATCH(Council_Area,'s-combined'!$C$1:$D$1,0))*1000)</f>
        <v>555000</v>
      </c>
      <c r="AS61" s="22">
        <f t="shared" si="35"/>
        <v>47937.5</v>
      </c>
      <c r="AT61" s="10">
        <v>0</v>
      </c>
      <c r="AU61" s="22">
        <f t="shared" si="48"/>
        <v>11100</v>
      </c>
      <c r="AV61" s="22">
        <f t="shared" si="49"/>
        <v>1595.625</v>
      </c>
      <c r="AW61" s="22">
        <f>SUM($AV$3:AV61)</f>
        <v>77937.8</v>
      </c>
      <c r="AX61" s="22">
        <f t="shared" si="50"/>
        <v>418024.7</v>
      </c>
      <c r="AY61" s="22">
        <f t="shared" si="51"/>
        <v>1859.5987140695916</v>
      </c>
      <c r="AZ61" s="24">
        <f t="shared" si="52"/>
        <v>1.3402513254555614E-2</v>
      </c>
      <c r="BA61" s="24">
        <f t="shared" si="53"/>
        <v>0.35000000000000003</v>
      </c>
      <c r="BB61" s="25">
        <f>IF(MortgageRate="Discounted",_xlfn.XLOOKUP(L61,'mortgage-rates'!$A:$A,'mortgage-rates'!$E:$E)/100,_xlfn.XLOOKUP(L61,'mortgage-rates'!$A:$A,'mortgage-rates'!$D:$D)/100)</f>
        <v>3.6499999999999998E-2</v>
      </c>
      <c r="BC61" s="10">
        <f t="shared" si="67"/>
        <v>152688.85476300464</v>
      </c>
      <c r="BD61" s="10">
        <f t="shared" si="54"/>
        <v>4392.8426313774207</v>
      </c>
      <c r="BE61" s="10">
        <f t="shared" si="55"/>
        <v>1393.2857997124172</v>
      </c>
      <c r="BF61" s="10">
        <f t="shared" si="36"/>
        <v>2999.5568316650033</v>
      </c>
      <c r="BG61" s="12">
        <f t="shared" si="56"/>
        <v>6252.4413454470123</v>
      </c>
      <c r="BH61" s="22">
        <f>INDEX(cpi!B:B,MATCH($L61,cpi!A:A))</f>
        <v>116.2</v>
      </c>
      <c r="BI61" s="22">
        <f t="shared" si="57"/>
        <v>137.35224586288416</v>
      </c>
      <c r="BJ61" s="22">
        <f t="shared" si="58"/>
        <v>236.96380335804304</v>
      </c>
      <c r="BK61" s="22">
        <f t="shared" si="59"/>
        <v>227.4505971191806</v>
      </c>
      <c r="BL61" s="22">
        <f t="shared" si="60"/>
        <v>234.10984148638431</v>
      </c>
      <c r="BM61" s="22">
        <f t="shared" si="61"/>
        <v>466.06938481303109</v>
      </c>
      <c r="BN61" s="22">
        <f t="shared" si="62"/>
        <v>170.76923076923077</v>
      </c>
      <c r="BO61">
        <f t="shared" si="63"/>
        <v>131.97176823433077</v>
      </c>
    </row>
    <row r="62" spans="1:67" x14ac:dyDescent="0.25">
      <c r="L62" s="1">
        <f t="shared" si="33"/>
        <v>44166</v>
      </c>
      <c r="M62" s="10">
        <f t="shared" si="38"/>
        <v>468338.39998875518</v>
      </c>
      <c r="N62" s="10">
        <f t="shared" si="39"/>
        <v>285469.77706866036</v>
      </c>
      <c r="O62" s="7">
        <f t="shared" si="24"/>
        <v>1.640588383113186</v>
      </c>
      <c r="P62" s="7">
        <f t="shared" si="40"/>
        <v>0.87567866779796055</v>
      </c>
      <c r="Q62">
        <v>60</v>
      </c>
      <c r="R62">
        <f t="shared" si="41"/>
        <v>92</v>
      </c>
      <c r="S62" s="22"/>
      <c r="T62" s="22">
        <f>IF($B$10="3BR_H",
INDEX('3BR_H-processed'!$E:$E,MATCH($L62,'3BR_H-processed'!$B:$B,0),MATCH(Council_Area,'3BR_H-processed'!$E$1:$E$1,0)),
INDEX('2BR_F-processed'!$E:$E,MATCH($L62,'2BR_F-processed'!$B:$B,0),MATCH(Council_Area,'2BR_F-processed'!$E$1:$E$1,0)))</f>
        <v>411.12756952841596</v>
      </c>
      <c r="U62" s="22">
        <f t="shared" si="25"/>
        <v>404.26059001512857</v>
      </c>
      <c r="V62" s="22">
        <f t="shared" si="34"/>
        <v>5313.1391830559751</v>
      </c>
      <c r="W62" s="22">
        <f>$B$53/4*BH62/_xlfn.XLOOKUP(Q_end,cpi!A:A,cpi!B:B)</f>
        <v>161.99032480995163</v>
      </c>
      <c r="X62" s="22">
        <f t="shared" si="42"/>
        <v>5475.1295078659268</v>
      </c>
      <c r="Y62" s="22">
        <f t="shared" si="43"/>
        <v>777.31183758108455</v>
      </c>
      <c r="Z62" s="22">
        <f t="shared" si="64"/>
        <v>0</v>
      </c>
      <c r="AA62" s="22" cm="1">
        <f t="array" ref="AA62">(Y62+Z62)*eff_invest</f>
        <v>777.31183758108455</v>
      </c>
      <c r="AB62" s="22">
        <f>AA62*(_xlfn.XLOOKUP(Q_end,cpi!A:A,cpi!B:B)/BH62)</f>
        <v>959.70156056299425</v>
      </c>
      <c r="AC62" s="22" cm="1">
        <f t="array" ref="AC62">INDEX('msci-indices'!C:C,MATCH($L62,'msci-indices'!$B:$B)-2)</f>
        <v>1929.6383699999999</v>
      </c>
      <c r="AD62" s="22" cm="1">
        <f t="array" ref="AD62">INDEX('msci-indices'!D:D,MATCH($L62,'msci-indices'!$B:$B)-2)</f>
        <v>1620.9837990000001</v>
      </c>
      <c r="AE62" s="22">
        <f t="shared" si="65"/>
        <v>408192.18436704593</v>
      </c>
      <c r="AF62" s="22" cm="1">
        <f t="array" ref="AF62">INDEX('msci-indices'!C:C,MATCH($L62,'msci-indices'!$B:$B)+1)</f>
        <v>2220.940302</v>
      </c>
      <c r="AG62" s="22" cm="1">
        <f t="array" ref="AG62">INDEX('msci-indices'!D:D,MATCH($L62,'msci-indices'!$B:$B)+1)</f>
        <v>1849.5394759999999</v>
      </c>
      <c r="AH62" s="22">
        <f t="shared" si="44"/>
        <v>255.12011522940372</v>
      </c>
      <c r="AI62" s="22">
        <f t="shared" si="45"/>
        <v>468338.39998875518</v>
      </c>
      <c r="AJ62" s="22">
        <f t="shared" si="66"/>
        <v>193165.22530085867</v>
      </c>
      <c r="AK62" s="22">
        <f t="shared" si="46"/>
        <v>275173.17468789651</v>
      </c>
      <c r="AL62" s="22">
        <f>AJ62*(_xlfn.XLOOKUP(Q_end,cpi!A:A,cpi!B:B)/BH62)</f>
        <v>238489.83021360278</v>
      </c>
      <c r="AM62" s="22" cm="1">
        <f t="array" ref="AM62">SUMPRODUCT($AA$3:AA62,_xlfn.SORTBY($BH$3:BH62,_xlfn.SEQUENCE(ROWS($BH$3:BH62)),-1)/$BH$3)</f>
        <v>253519.11758557594</v>
      </c>
      <c r="AN62" s="22">
        <f t="shared" si="30"/>
        <v>214819.28240317924</v>
      </c>
      <c r="AO62" s="22">
        <f t="shared" si="47"/>
        <v>0</v>
      </c>
      <c r="AP62" s="22">
        <f t="shared" si="31"/>
        <v>468338.39998875518</v>
      </c>
      <c r="AQ62" s="22"/>
      <c r="AR62" s="10">
        <f>IF($B$10="3BR_H",
INDEX('ns-combined'!$C:$D,MATCH($L62,'ns-combined'!$B:$B,0),MATCH(Council_Area,'ns-combined'!$C$1:$D$1,0))*1000,
INDEX('s-combined'!$C:$D,MATCH($L62,'s-combined'!$B:$B,0),MATCH(Council_Area,'s-combined'!$C$1:$D$1,0))*1000)</f>
        <v>575000</v>
      </c>
      <c r="AS62" s="22">
        <f t="shared" si="35"/>
        <v>48750</v>
      </c>
      <c r="AT62" s="10">
        <v>0</v>
      </c>
      <c r="AU62" s="22">
        <f t="shared" si="48"/>
        <v>11500</v>
      </c>
      <c r="AV62" s="22">
        <f t="shared" si="49"/>
        <v>1653.125</v>
      </c>
      <c r="AW62" s="22">
        <f>SUM($AV$3:AV62)</f>
        <v>79590.925000000003</v>
      </c>
      <c r="AX62" s="22">
        <f t="shared" si="50"/>
        <v>435159.07500000001</v>
      </c>
      <c r="AY62" s="22">
        <f t="shared" si="51"/>
        <v>1859.5987140695916</v>
      </c>
      <c r="AZ62" s="24">
        <f t="shared" si="52"/>
        <v>1.2936338880484115E-2</v>
      </c>
      <c r="BA62" s="24">
        <f t="shared" si="53"/>
        <v>0.35000000000000003</v>
      </c>
      <c r="BB62" s="25">
        <f>IF(MortgageRate="Discounted",_xlfn.XLOOKUP(L62,'mortgage-rates'!$A:$A,'mortgage-rates'!$E:$E)/100,_xlfn.XLOOKUP(L62,'mortgage-rates'!$A:$A,'mortgage-rates'!$D:$D)/100)</f>
        <v>3.6499999999999998E-2</v>
      </c>
      <c r="BC62" s="10">
        <f t="shared" si="67"/>
        <v>149689.29793133962</v>
      </c>
      <c r="BD62" s="10">
        <f t="shared" si="54"/>
        <v>4392.8426313774198</v>
      </c>
      <c r="BE62" s="10">
        <f t="shared" si="55"/>
        <v>1365.9148436234739</v>
      </c>
      <c r="BF62" s="10">
        <f t="shared" si="36"/>
        <v>3026.9277877539462</v>
      </c>
      <c r="BG62" s="12">
        <f t="shared" si="56"/>
        <v>6252.4413454470114</v>
      </c>
      <c r="BH62" s="22">
        <f>INDEX(cpi!B:B,MATCH($L62,cpi!A:A))</f>
        <v>117.2</v>
      </c>
      <c r="BI62" s="22">
        <f t="shared" si="57"/>
        <v>138.53427895981088</v>
      </c>
      <c r="BJ62" s="22">
        <f t="shared" si="58"/>
        <v>255.62200142666194</v>
      </c>
      <c r="BK62" s="22">
        <f t="shared" si="59"/>
        <v>227.36090830549944</v>
      </c>
      <c r="BL62" s="22">
        <f t="shared" si="60"/>
        <v>247.14367349031318</v>
      </c>
      <c r="BM62" s="22">
        <f t="shared" si="61"/>
        <v>492.3488822001529</v>
      </c>
      <c r="BN62" s="22">
        <f t="shared" si="62"/>
        <v>176.92307692307693</v>
      </c>
      <c r="BO62">
        <f t="shared" si="63"/>
        <v>137.38114659484418</v>
      </c>
    </row>
    <row r="63" spans="1:67" x14ac:dyDescent="0.25">
      <c r="L63" s="1">
        <f t="shared" si="33"/>
        <v>44256</v>
      </c>
      <c r="M63" s="10">
        <f t="shared" si="38"/>
        <v>492894.9295197975</v>
      </c>
      <c r="N63" s="10">
        <f t="shared" si="39"/>
        <v>310459.20485641435</v>
      </c>
      <c r="O63" s="7">
        <f t="shared" si="24"/>
        <v>1.5876318750083724</v>
      </c>
      <c r="P63" s="7">
        <f t="shared" si="40"/>
        <v>0.89208244453186347</v>
      </c>
      <c r="Q63">
        <v>61</v>
      </c>
      <c r="R63">
        <f t="shared" si="41"/>
        <v>90</v>
      </c>
      <c r="S63" s="22"/>
      <c r="T63" s="22">
        <f>IF($B$10="3BR_H",
INDEX('3BR_H-processed'!$E:$E,MATCH($L63,'3BR_H-processed'!$B:$B,0),MATCH(Council_Area,'3BR_H-processed'!$E$1:$E$1,0)),
INDEX('2BR_F-processed'!$E:$E,MATCH($L63,'2BR_F-processed'!$B:$B,0),MATCH(Council_Area,'2BR_F-processed'!$E$1:$E$1,0)))</f>
        <v>424.74896187240466</v>
      </c>
      <c r="U63" s="22">
        <f t="shared" si="25"/>
        <v>424.74896187240466</v>
      </c>
      <c r="V63" s="22">
        <f t="shared" si="34"/>
        <v>5461.0580812166309</v>
      </c>
      <c r="W63" s="22">
        <f>$B$53/4*BH63/_xlfn.XLOOKUP(Q_end,cpi!A:A,cpi!B:B)</f>
        <v>162.81962681409814</v>
      </c>
      <c r="X63" s="22">
        <f t="shared" si="42"/>
        <v>5623.8777080307291</v>
      </c>
      <c r="Y63" s="22">
        <f t="shared" si="43"/>
        <v>680.33525177251158</v>
      </c>
      <c r="Z63" s="22">
        <f t="shared" si="64"/>
        <v>0</v>
      </c>
      <c r="AA63" s="22" cm="1">
        <f t="array" ref="AA63">(Y63+Z63)*eff_invest</f>
        <v>680.33525177251158</v>
      </c>
      <c r="AB63" s="22">
        <f>AA63*(_xlfn.XLOOKUP(Q_end,cpi!A:A,cpi!B:B)/BH63)</f>
        <v>835.69194339119201</v>
      </c>
      <c r="AC63" s="22" cm="1">
        <f t="array" ref="AC63">INDEX('msci-indices'!C:C,MATCH($L63,'msci-indices'!$B:$B)-2)</f>
        <v>2220.940302</v>
      </c>
      <c r="AD63" s="22" cm="1">
        <f t="array" ref="AD63">INDEX('msci-indices'!D:D,MATCH($L63,'msci-indices'!$B:$B)-2)</f>
        <v>1849.5394759999999</v>
      </c>
      <c r="AE63" s="22">
        <f t="shared" si="65"/>
        <v>469018.73524052766</v>
      </c>
      <c r="AF63" s="22" cm="1">
        <f t="array" ref="AF63">INDEX('msci-indices'!C:C,MATCH($L63,'msci-indices'!$B:$B)+1)</f>
        <v>2342.5854599999998</v>
      </c>
      <c r="AG63" s="22" cm="1">
        <f t="array" ref="AG63">INDEX('msci-indices'!D:D,MATCH($L63,'msci-indices'!$B:$B)+1)</f>
        <v>1930.8659110000001</v>
      </c>
      <c r="AH63" s="22">
        <f t="shared" si="44"/>
        <v>293.13670952532982</v>
      </c>
      <c r="AI63" s="22">
        <f t="shared" si="45"/>
        <v>492894.9295197975</v>
      </c>
      <c r="AJ63" s="22">
        <f t="shared" si="66"/>
        <v>193845.56055263118</v>
      </c>
      <c r="AK63" s="22">
        <f t="shared" si="46"/>
        <v>299049.36896716629</v>
      </c>
      <c r="AL63" s="22">
        <f>AJ63*(_xlfn.XLOOKUP(Q_end,cpi!A:A,cpi!B:B)/BH63)</f>
        <v>238110.8031576038</v>
      </c>
      <c r="AM63" s="22" cm="1">
        <f t="array" ref="AM63">SUMPRODUCT($AA$3:AA63,_xlfn.SORTBY($BH$3:BH63,_xlfn.SEQUENCE(ROWS($BH$3:BH63)),-1)/$BH$3)</f>
        <v>255438.45783154402</v>
      </c>
      <c r="AN63" s="22">
        <f t="shared" si="30"/>
        <v>237456.47168825348</v>
      </c>
      <c r="AO63" s="22">
        <f t="shared" si="47"/>
        <v>0</v>
      </c>
      <c r="AP63" s="22">
        <f t="shared" si="31"/>
        <v>492894.9295197975</v>
      </c>
      <c r="AQ63" s="22"/>
      <c r="AR63" s="10">
        <f>IF($B$10="3BR_H",
INDEX('ns-combined'!$C:$D,MATCH($L63,'ns-combined'!$B:$B,0),MATCH(Council_Area,'ns-combined'!$C$1:$D$1,0))*1000,
INDEX('s-combined'!$C:$D,MATCH($L63,'s-combined'!$B:$B,0),MATCH(Council_Area,'s-combined'!$C$1:$D$1,0))*1000)</f>
        <v>600000</v>
      </c>
      <c r="AS63" s="22">
        <f t="shared" si="35"/>
        <v>49562.5</v>
      </c>
      <c r="AT63" s="10">
        <v>0</v>
      </c>
      <c r="AU63" s="22">
        <f t="shared" si="48"/>
        <v>12000</v>
      </c>
      <c r="AV63" s="22">
        <f t="shared" si="49"/>
        <v>1725</v>
      </c>
      <c r="AW63" s="22">
        <f>SUM($AV$3:AV63)</f>
        <v>81315.925000000003</v>
      </c>
      <c r="AX63" s="22">
        <f t="shared" si="50"/>
        <v>457121.57500000001</v>
      </c>
      <c r="AY63" s="22">
        <f t="shared" si="51"/>
        <v>1911.3703284258211</v>
      </c>
      <c r="AZ63" s="24">
        <f t="shared" si="52"/>
        <v>1.274246885617214E-2</v>
      </c>
      <c r="BA63" s="24">
        <f t="shared" si="53"/>
        <v>0.35000000000000003</v>
      </c>
      <c r="BB63" s="25">
        <f>IF(MortgageRate="Discounted",_xlfn.XLOOKUP(L63,'mortgage-rates'!$A:$A,'mortgage-rates'!$E:$E)/100,_xlfn.XLOOKUP(L63,'mortgage-rates'!$A:$A,'mortgage-rates'!$D:$D)/100)</f>
        <v>3.6499999999999998E-2</v>
      </c>
      <c r="BC63" s="10">
        <f t="shared" si="67"/>
        <v>146662.37014358566</v>
      </c>
      <c r="BD63" s="10">
        <f t="shared" si="54"/>
        <v>4392.8426313774198</v>
      </c>
      <c r="BE63" s="10">
        <f t="shared" si="55"/>
        <v>1338.2941275602191</v>
      </c>
      <c r="BF63" s="10">
        <f t="shared" si="36"/>
        <v>3054.548503817201</v>
      </c>
      <c r="BG63" s="12">
        <f t="shared" si="56"/>
        <v>6304.2129598032407</v>
      </c>
      <c r="BH63" s="22">
        <f>INDEX(cpi!B:B,MATCH($L63,cpi!A:A))</f>
        <v>117.8</v>
      </c>
      <c r="BI63" s="22">
        <f t="shared" si="57"/>
        <v>139.24349881796692</v>
      </c>
      <c r="BJ63" s="22">
        <f t="shared" si="58"/>
        <v>294.21119204132276</v>
      </c>
      <c r="BK63" s="22">
        <f t="shared" si="59"/>
        <v>259.41837017103796</v>
      </c>
      <c r="BL63" s="22">
        <f t="shared" si="60"/>
        <v>283.77334548023731</v>
      </c>
      <c r="BM63" s="22">
        <f t="shared" si="61"/>
        <v>565.71600062523373</v>
      </c>
      <c r="BN63" s="22">
        <f t="shared" si="62"/>
        <v>184.61538461538461</v>
      </c>
      <c r="BO63">
        <f t="shared" si="63"/>
        <v>144.31477984629197</v>
      </c>
    </row>
    <row r="64" spans="1:67" x14ac:dyDescent="0.25">
      <c r="L64" s="1">
        <f t="shared" si="33"/>
        <v>44348</v>
      </c>
      <c r="M64" s="10">
        <f t="shared" si="38"/>
        <v>531321.86364363774</v>
      </c>
      <c r="N64" s="10">
        <f t="shared" si="39"/>
        <v>340290.00336023152</v>
      </c>
      <c r="O64" s="7">
        <f t="shared" si="24"/>
        <v>1.561379583287904</v>
      </c>
      <c r="P64" s="7">
        <f t="shared" si="40"/>
        <v>0.90064981773424102</v>
      </c>
      <c r="Q64">
        <v>62</v>
      </c>
      <c r="R64">
        <f t="shared" si="41"/>
        <v>91</v>
      </c>
      <c r="S64" s="22"/>
      <c r="T64" s="22">
        <f>IF($B$10="3BR_H",
INDEX('3BR_H-processed'!$E:$E,MATCH($L64,'3BR_H-processed'!$B:$B,0),MATCH(Council_Area,'3BR_H-processed'!$E$1:$E$1,0)),
INDEX('2BR_F-processed'!$E:$E,MATCH($L64,'2BR_F-processed'!$B:$B,0),MATCH(Council_Area,'2BR_F-processed'!$E$1:$E$1,0)))</f>
        <v>427.69645448890731</v>
      </c>
      <c r="U64" s="22">
        <f t="shared" si="25"/>
        <v>424.74896187240466</v>
      </c>
      <c r="V64" s="22">
        <f t="shared" si="34"/>
        <v>5521.7365043412601</v>
      </c>
      <c r="W64" s="22">
        <f>$B$53/4*BH64/_xlfn.XLOOKUP(Q_end,cpi!A:A,cpi!B:B)</f>
        <v>164.201796821009</v>
      </c>
      <c r="X64" s="22">
        <f t="shared" si="42"/>
        <v>5685.9383011622695</v>
      </c>
      <c r="Y64" s="22">
        <f t="shared" si="43"/>
        <v>627.21270292758618</v>
      </c>
      <c r="Z64" s="22">
        <f t="shared" si="64"/>
        <v>0</v>
      </c>
      <c r="AA64" s="22" cm="1">
        <f t="array" ref="AA64">(Y64+Z64)*eff_invest</f>
        <v>627.21270292758618</v>
      </c>
      <c r="AB64" s="22">
        <f>AA64*(_xlfn.XLOOKUP(Q_end,cpi!A:A,cpi!B:B)/BH64)</f>
        <v>763.95351947493032</v>
      </c>
      <c r="AC64" s="22" cm="1">
        <f t="array" ref="AC64">INDEX('msci-indices'!C:C,MATCH($L64,'msci-indices'!$B:$B)-2)</f>
        <v>2342.5854599999998</v>
      </c>
      <c r="AD64" s="22" cm="1">
        <f t="array" ref="AD64">INDEX('msci-indices'!D:D,MATCH($L64,'msci-indices'!$B:$B)-2)</f>
        <v>1930.8659110000001</v>
      </c>
      <c r="AE64" s="22">
        <f t="shared" si="65"/>
        <v>493522.14222272509</v>
      </c>
      <c r="AF64" s="22" cm="1">
        <f t="array" ref="AF64">INDEX('msci-indices'!C:C,MATCH($L64,'msci-indices'!$B:$B)+1)</f>
        <v>2515.6062010000001</v>
      </c>
      <c r="AG64" s="22" cm="1">
        <f t="array" ref="AG64">INDEX('msci-indices'!D:D,MATCH($L64,'msci-indices'!$B:$B)+1)</f>
        <v>2095.0894480000002</v>
      </c>
      <c r="AH64" s="22">
        <f t="shared" si="44"/>
        <v>308.45133888920321</v>
      </c>
      <c r="AI64" s="22">
        <f t="shared" si="45"/>
        <v>531321.86364363774</v>
      </c>
      <c r="AJ64" s="22">
        <f t="shared" si="66"/>
        <v>194472.77325555877</v>
      </c>
      <c r="AK64" s="22">
        <f t="shared" si="46"/>
        <v>336849.09038807894</v>
      </c>
      <c r="AL64" s="22">
        <f>AJ64*(_xlfn.XLOOKUP(Q_end,cpi!A:A,cpi!B:B)/BH64)</f>
        <v>236870.45698719996</v>
      </c>
      <c r="AM64" s="22" cm="1">
        <f t="array" ref="AM64">SUMPRODUCT($AA$3:AA64,_xlfn.SORTBY($BH$3:BH64,_xlfn.SEQUENCE(ROWS($BH$3:BH64)),-1)/$BH$3)</f>
        <v>257713.66876326335</v>
      </c>
      <c r="AN64" s="22">
        <f t="shared" si="30"/>
        <v>273608.19488037436</v>
      </c>
      <c r="AO64" s="22">
        <f t="shared" si="47"/>
        <v>0</v>
      </c>
      <c r="AP64" s="22">
        <f t="shared" si="31"/>
        <v>531321.86364363774</v>
      </c>
      <c r="AQ64" s="22"/>
      <c r="AR64" s="10">
        <f>IF($B$10="3BR_H",
INDEX('ns-combined'!$C:$D,MATCH($L64,'ns-combined'!$B:$B,0),MATCH(Council_Area,'ns-combined'!$C$1:$D$1,0))*1000,
INDEX('s-combined'!$C:$D,MATCH($L64,'s-combined'!$B:$B,0),MATCH(Council_Area,'s-combined'!$C$1:$D$1,0))*1000)</f>
        <v>630000</v>
      </c>
      <c r="AS64" s="22">
        <f t="shared" si="35"/>
        <v>50375</v>
      </c>
      <c r="AT64" s="10">
        <v>0</v>
      </c>
      <c r="AU64" s="22">
        <f t="shared" si="48"/>
        <v>12600</v>
      </c>
      <c r="AV64" s="22">
        <f t="shared" si="49"/>
        <v>1811.25</v>
      </c>
      <c r="AW64" s="22">
        <f>SUM($AV$3:AV64)</f>
        <v>83127.175000000003</v>
      </c>
      <c r="AX64" s="22">
        <f t="shared" si="50"/>
        <v>483897.82500000001</v>
      </c>
      <c r="AY64" s="22">
        <f t="shared" si="51"/>
        <v>1932.6077765194411</v>
      </c>
      <c r="AZ64" s="24">
        <f t="shared" si="52"/>
        <v>1.22705255652028E-2</v>
      </c>
      <c r="BA64" s="24">
        <f t="shared" si="53"/>
        <v>0.35000000000000003</v>
      </c>
      <c r="BB64" s="25">
        <f>IF(MortgageRate="Discounted",_xlfn.XLOOKUP(L64,'mortgage-rates'!$A:$A,'mortgage-rates'!$E:$E)/100,_xlfn.XLOOKUP(L64,'mortgage-rates'!$A:$A,'mortgage-rates'!$D:$D)/100)</f>
        <v>3.5900000000000001E-2</v>
      </c>
      <c r="BC64" s="10">
        <f t="shared" si="67"/>
        <v>143607.82163976846</v>
      </c>
      <c r="BD64" s="10">
        <f t="shared" si="54"/>
        <v>4380.5432275704143</v>
      </c>
      <c r="BE64" s="10">
        <f t="shared" si="55"/>
        <v>1288.8801992169219</v>
      </c>
      <c r="BF64" s="10">
        <f t="shared" si="36"/>
        <v>3091.6630283534923</v>
      </c>
      <c r="BG64" s="12">
        <f t="shared" si="56"/>
        <v>6313.1510040898556</v>
      </c>
      <c r="BH64" s="22">
        <f>INDEX(cpi!B:B,MATCH($L64,cpi!A:A))</f>
        <v>118.8</v>
      </c>
      <c r="BI64" s="22">
        <f t="shared" si="57"/>
        <v>140.42553191489364</v>
      </c>
      <c r="BJ64" s="22">
        <f t="shared" si="58"/>
        <v>310.32570304776715</v>
      </c>
      <c r="BK64" s="22">
        <f t="shared" si="59"/>
        <v>270.82530227131878</v>
      </c>
      <c r="BL64" s="22">
        <f t="shared" si="60"/>
        <v>298.47558281483265</v>
      </c>
      <c r="BM64" s="22">
        <f t="shared" si="61"/>
        <v>595.27125792759352</v>
      </c>
      <c r="BN64" s="22">
        <f t="shared" si="62"/>
        <v>193.84615384615384</v>
      </c>
      <c r="BO64">
        <f t="shared" si="63"/>
        <v>152.76812975404741</v>
      </c>
    </row>
    <row r="65" spans="2:67" x14ac:dyDescent="0.25">
      <c r="L65" s="1">
        <f t="shared" si="33"/>
        <v>44440</v>
      </c>
      <c r="M65" s="10">
        <f t="shared" si="38"/>
        <v>533125.81171674782</v>
      </c>
      <c r="N65" s="10">
        <f t="shared" si="39"/>
        <v>367140.29138858506</v>
      </c>
      <c r="O65" s="7">
        <f t="shared" si="24"/>
        <v>1.4521037985244774</v>
      </c>
      <c r="P65" s="7">
        <f t="shared" si="40"/>
        <v>0.91144909336774549</v>
      </c>
      <c r="Q65">
        <v>63</v>
      </c>
      <c r="R65">
        <f t="shared" si="41"/>
        <v>92</v>
      </c>
      <c r="S65" s="22"/>
      <c r="T65" s="22">
        <f>IF($B$10="3BR_H",
INDEX('3BR_H-processed'!$E:$E,MATCH($L65,'3BR_H-processed'!$B:$B,0),MATCH(Council_Area,'3BR_H-processed'!$E$1:$E$1,0)),
INDEX('2BR_F-processed'!$E:$E,MATCH($L65,'2BR_F-processed'!$B:$B,0),MATCH(Council_Area,'2BR_F-processed'!$E$1:$E$1,0)))</f>
        <v>441.22423742786481</v>
      </c>
      <c r="U65" s="22">
        <f t="shared" si="25"/>
        <v>424.74896187240466</v>
      </c>
      <c r="V65" s="22">
        <f t="shared" si="34"/>
        <v>5582.4149274658903</v>
      </c>
      <c r="W65" s="22">
        <f>$B$53/4*BH65/_xlfn.XLOOKUP(Q_end,cpi!A:A,cpi!B:B)</f>
        <v>165.58396682791985</v>
      </c>
      <c r="X65" s="22">
        <f t="shared" si="42"/>
        <v>5747.9988942938098</v>
      </c>
      <c r="Y65" s="22">
        <f t="shared" si="43"/>
        <v>558.44096737232576</v>
      </c>
      <c r="Z65" s="22">
        <f t="shared" si="64"/>
        <v>0</v>
      </c>
      <c r="AA65" s="22" cm="1">
        <f t="array" ref="AA65">(Y65+Z65)*eff_invest</f>
        <v>558.44096737232576</v>
      </c>
      <c r="AB65" s="22">
        <f>AA65*(_xlfn.XLOOKUP(Q_end,cpi!A:A,cpi!B:B)/BH65)</f>
        <v>674.51091801982909</v>
      </c>
      <c r="AC65" s="22" cm="1">
        <f t="array" ref="AC65">INDEX('msci-indices'!C:C,MATCH($L65,'msci-indices'!$B:$B)-2)</f>
        <v>2515.6062010000001</v>
      </c>
      <c r="AD65" s="22" cm="1">
        <f t="array" ref="AD65">INDEX('msci-indices'!D:D,MATCH($L65,'msci-indices'!$B:$B)-2)</f>
        <v>2095.0894480000002</v>
      </c>
      <c r="AE65" s="22">
        <f t="shared" si="65"/>
        <v>531880.30461101001</v>
      </c>
      <c r="AF65" s="22" cm="1">
        <f t="array" ref="AF65">INDEX('msci-indices'!C:C,MATCH($L65,'msci-indices'!$B:$B)+1)</f>
        <v>2510.8156309999999</v>
      </c>
      <c r="AG65" s="22" cm="1">
        <f t="array" ref="AG65">INDEX('msci-indices'!D:D,MATCH($L65,'msci-indices'!$B:$B)+1)</f>
        <v>2125.1172740000002</v>
      </c>
      <c r="AH65" s="22">
        <f t="shared" si="44"/>
        <v>332.42519038188124</v>
      </c>
      <c r="AI65" s="22">
        <f t="shared" si="45"/>
        <v>533125.81171674782</v>
      </c>
      <c r="AJ65" s="22">
        <f t="shared" si="66"/>
        <v>195031.2142229311</v>
      </c>
      <c r="AK65" s="22">
        <f t="shared" si="46"/>
        <v>338094.59749381675</v>
      </c>
      <c r="AL65" s="22">
        <f>AJ65*(_xlfn.XLOOKUP(Q_end,cpi!A:A,cpi!B:B)/BH65)</f>
        <v>235567.75207060206</v>
      </c>
      <c r="AM65" s="22" cm="1">
        <f t="array" ref="AM65">SUMPRODUCT($AA$3:AA65,_xlfn.SORTBY($BH$3:BH65,_xlfn.SEQUENCE(ROWS($BH$3:BH65)),-1)/$BH$3)</f>
        <v>259942.44321882213</v>
      </c>
      <c r="AN65" s="22">
        <f t="shared" si="30"/>
        <v>273183.36849792569</v>
      </c>
      <c r="AO65" s="22">
        <f t="shared" si="47"/>
        <v>0</v>
      </c>
      <c r="AP65" s="22">
        <f t="shared" si="31"/>
        <v>533125.81171674782</v>
      </c>
      <c r="AQ65" s="22"/>
      <c r="AR65" s="10">
        <f>IF($B$10="3BR_H",
INDEX('ns-combined'!$C:$D,MATCH($L65,'ns-combined'!$B:$B,0),MATCH(Council_Area,'ns-combined'!$C$1:$D$1,0))*1000,
INDEX('s-combined'!$C:$D,MATCH($L65,'s-combined'!$B:$B,0),MATCH(Council_Area,'s-combined'!$C$1:$D$1,0))*1000)</f>
        <v>657000</v>
      </c>
      <c r="AS65" s="22">
        <f t="shared" si="35"/>
        <v>51187.5</v>
      </c>
      <c r="AT65" s="10">
        <v>0</v>
      </c>
      <c r="AU65" s="22">
        <f t="shared" si="48"/>
        <v>13140</v>
      </c>
      <c r="AV65" s="22">
        <f t="shared" si="49"/>
        <v>1888.875</v>
      </c>
      <c r="AW65" s="22">
        <f>SUM($AV$3:AV65)</f>
        <v>85016.05</v>
      </c>
      <c r="AX65" s="22">
        <f t="shared" si="50"/>
        <v>507656.45</v>
      </c>
      <c r="AY65" s="22">
        <f t="shared" si="51"/>
        <v>1953.8452246130619</v>
      </c>
      <c r="AZ65" s="24">
        <f t="shared" si="52"/>
        <v>1.1895556923062782E-2</v>
      </c>
      <c r="BA65" s="24">
        <f t="shared" si="53"/>
        <v>0.35000000000000003</v>
      </c>
      <c r="BB65" s="25">
        <f>IF(MortgageRate="Discounted",_xlfn.XLOOKUP(L65,'mortgage-rates'!$A:$A,'mortgage-rates'!$E:$E)/100,_xlfn.XLOOKUP(L65,'mortgage-rates'!$A:$A,'mortgage-rates'!$D:$D)/100)</f>
        <v>3.4500000000000003E-2</v>
      </c>
      <c r="BC65" s="10">
        <f t="shared" si="67"/>
        <v>140516.15861141495</v>
      </c>
      <c r="BD65" s="10">
        <f t="shared" si="54"/>
        <v>4352.5946370530737</v>
      </c>
      <c r="BE65" s="10">
        <f t="shared" si="55"/>
        <v>1211.9518680234542</v>
      </c>
      <c r="BF65" s="10">
        <f t="shared" si="36"/>
        <v>3140.6427690296196</v>
      </c>
      <c r="BG65" s="12">
        <f t="shared" si="56"/>
        <v>6306.4398616661356</v>
      </c>
      <c r="BH65" s="22">
        <f>INDEX(cpi!B:B,MATCH($L65,cpi!A:A))</f>
        <v>119.8</v>
      </c>
      <c r="BI65" s="22">
        <f t="shared" si="57"/>
        <v>141.60756501182033</v>
      </c>
      <c r="BJ65" s="22">
        <f t="shared" si="58"/>
        <v>333.24601225717834</v>
      </c>
      <c r="BK65" s="22">
        <f t="shared" si="59"/>
        <v>293.85946989254734</v>
      </c>
      <c r="BL65" s="22">
        <f t="shared" si="60"/>
        <v>321.43004954778905</v>
      </c>
      <c r="BM65" s="22">
        <f t="shared" si="61"/>
        <v>641.53769589089882</v>
      </c>
      <c r="BN65" s="22">
        <f t="shared" si="62"/>
        <v>202.15384615384616</v>
      </c>
      <c r="BO65">
        <f t="shared" si="63"/>
        <v>160.26880555637769</v>
      </c>
    </row>
    <row r="66" spans="2:67" x14ac:dyDescent="0.25">
      <c r="L66" s="1">
        <f t="shared" si="33"/>
        <v>44531</v>
      </c>
      <c r="M66" s="10">
        <f t="shared" si="38"/>
        <v>563349.78399682511</v>
      </c>
      <c r="N66" s="10">
        <f t="shared" si="39"/>
        <v>458452.1841576146</v>
      </c>
      <c r="O66" s="7">
        <f t="shared" si="24"/>
        <v>1.2288081581113093</v>
      </c>
      <c r="P66" s="7">
        <f t="shared" si="40"/>
        <v>0.9117997622172973</v>
      </c>
      <c r="Q66">
        <v>64</v>
      </c>
      <c r="R66">
        <f t="shared" si="41"/>
        <v>92</v>
      </c>
      <c r="S66" s="22"/>
      <c r="T66" s="22">
        <f>IF($B$10="3BR_H",
INDEX('3BR_H-processed'!$E:$E,MATCH($L66,'3BR_H-processed'!$B:$B,0),MATCH(Council_Area,'3BR_H-processed'!$E$1:$E$1,0)),
INDEX('2BR_F-processed'!$E:$E,MATCH($L66,'2BR_F-processed'!$B:$B,0),MATCH(Council_Area,'2BR_F-processed'!$E$1:$E$1,0)))</f>
        <v>453.82841328413286</v>
      </c>
      <c r="U66" s="22">
        <f t="shared" si="25"/>
        <v>424.74896187240466</v>
      </c>
      <c r="V66" s="22">
        <f t="shared" si="34"/>
        <v>5582.4149274658903</v>
      </c>
      <c r="W66" s="22">
        <f>$B$53/4*BH66/_xlfn.XLOOKUP(Q_end,cpi!A:A,cpi!B:B)</f>
        <v>167.79543883897722</v>
      </c>
      <c r="X66" s="22">
        <f t="shared" si="42"/>
        <v>5750.2103663048674</v>
      </c>
      <c r="Y66" s="22">
        <f t="shared" si="43"/>
        <v>556.22949536126816</v>
      </c>
      <c r="Z66" s="22">
        <f t="shared" si="64"/>
        <v>0</v>
      </c>
      <c r="AA66" s="22" cm="1">
        <f t="array" ref="AA66">(Y66+Z66)*eff_invest</f>
        <v>556.22949536126816</v>
      </c>
      <c r="AB66" s="22">
        <f>AA66*(_xlfn.XLOOKUP(Q_end,cpi!A:A,cpi!B:B)/BH66)</f>
        <v>662.98523870490521</v>
      </c>
      <c r="AC66" s="22" cm="1">
        <f t="array" ref="AC66">INDEX('msci-indices'!C:C,MATCH($L66,'msci-indices'!$B:$B)-2)</f>
        <v>2510.8156309999999</v>
      </c>
      <c r="AD66" s="22" cm="1">
        <f t="array" ref="AD66">INDEX('msci-indices'!D:D,MATCH($L66,'msci-indices'!$B:$B)-2)</f>
        <v>2125.1172740000002</v>
      </c>
      <c r="AE66" s="22">
        <f t="shared" si="65"/>
        <v>533682.04121210903</v>
      </c>
      <c r="AF66" s="22" cm="1">
        <f t="array" ref="AF66">INDEX('msci-indices'!C:C,MATCH($L66,'msci-indices'!$B:$B)+1)</f>
        <v>2688.1915319999998</v>
      </c>
      <c r="AG66" s="22" cm="1">
        <f t="array" ref="AG66">INDEX('msci-indices'!D:D,MATCH($L66,'msci-indices'!$B:$B)+1)</f>
        <v>2173.034118</v>
      </c>
      <c r="AH66" s="22">
        <f t="shared" si="44"/>
        <v>333.55127575756813</v>
      </c>
      <c r="AI66" s="22">
        <f t="shared" si="45"/>
        <v>563349.78399682511</v>
      </c>
      <c r="AJ66" s="22">
        <f t="shared" si="66"/>
        <v>195587.44371829237</v>
      </c>
      <c r="AK66" s="22">
        <f t="shared" si="46"/>
        <v>367762.34027853271</v>
      </c>
      <c r="AL66" s="22">
        <f>AJ66*(_xlfn.XLOOKUP(Q_end,cpi!A:A,cpi!B:B)/BH66)</f>
        <v>233126.05523918374</v>
      </c>
      <c r="AM66" s="22" cm="1">
        <f t="array" ref="AM66">SUMPRODUCT($AA$3:AA66,_xlfn.SORTBY($BH$3:BH66,_xlfn.SEQUENCE(ROWS($BH$3:BH66)),-1)/$BH$3)</f>
        <v>262782.43395639944</v>
      </c>
      <c r="AN66" s="22">
        <f t="shared" si="30"/>
        <v>300567.35004042566</v>
      </c>
      <c r="AO66" s="22">
        <f t="shared" si="47"/>
        <v>0</v>
      </c>
      <c r="AP66" s="22">
        <f t="shared" si="31"/>
        <v>563349.78399682511</v>
      </c>
      <c r="AQ66" s="22"/>
      <c r="AR66" s="10">
        <f>IF($B$10="3BR_H",
INDEX('ns-combined'!$C:$D,MATCH($L66,'ns-combined'!$B:$B,0),MATCH(Council_Area,'ns-combined'!$C$1:$D$1,0))*1000,
INDEX('s-combined'!$C:$D,MATCH($L66,'s-combined'!$B:$B,0),MATCH(Council_Area,'s-combined'!$C$1:$D$1,0))*1000)</f>
        <v>750000</v>
      </c>
      <c r="AS66" s="22">
        <f t="shared" si="35"/>
        <v>52000</v>
      </c>
      <c r="AT66" s="10">
        <v>0</v>
      </c>
      <c r="AU66" s="22">
        <f t="shared" si="48"/>
        <v>15000</v>
      </c>
      <c r="AV66" s="22">
        <f t="shared" si="49"/>
        <v>2156.25</v>
      </c>
      <c r="AW66" s="22">
        <f>SUM($AV$3:AV66)</f>
        <v>87172.3</v>
      </c>
      <c r="AX66" s="22">
        <f t="shared" si="50"/>
        <v>595827.69999999995</v>
      </c>
      <c r="AY66" s="22">
        <f t="shared" si="51"/>
        <v>1953.8452246130619</v>
      </c>
      <c r="AZ66" s="24">
        <f t="shared" si="52"/>
        <v>1.0420507864602996E-2</v>
      </c>
      <c r="BA66" s="24">
        <f t="shared" si="53"/>
        <v>0.35000000000000003</v>
      </c>
      <c r="BB66" s="25">
        <f>IF(MortgageRate="Discounted",_xlfn.XLOOKUP(L66,'mortgage-rates'!$A:$A,'mortgage-rates'!$E:$E)/100,_xlfn.XLOOKUP(L66,'mortgage-rates'!$A:$A,'mortgage-rates'!$D:$D)/100)</f>
        <v>3.4500000000000003E-2</v>
      </c>
      <c r="BC66" s="10">
        <f t="shared" si="67"/>
        <v>137375.51584238533</v>
      </c>
      <c r="BD66" s="10">
        <f t="shared" si="54"/>
        <v>4352.5946370530737</v>
      </c>
      <c r="BE66" s="10">
        <f t="shared" si="55"/>
        <v>1184.8638241405736</v>
      </c>
      <c r="BF66" s="10">
        <f t="shared" si="36"/>
        <v>3167.7308129125004</v>
      </c>
      <c r="BG66" s="12">
        <f t="shared" si="56"/>
        <v>6306.4398616661356</v>
      </c>
      <c r="BH66" s="22">
        <f>INDEX(cpi!B:B,MATCH($L66,cpi!A:A))</f>
        <v>121.4</v>
      </c>
      <c r="BI66" s="22">
        <f t="shared" si="57"/>
        <v>143.49881796690309</v>
      </c>
      <c r="BJ66" s="22">
        <f t="shared" si="58"/>
        <v>332.61139848165806</v>
      </c>
      <c r="BK66" s="22">
        <f t="shared" si="59"/>
        <v>298.0712046415382</v>
      </c>
      <c r="BL66" s="22">
        <f t="shared" si="60"/>
        <v>322.2493403296221</v>
      </c>
      <c r="BM66" s="22">
        <f t="shared" si="61"/>
        <v>643.71089526987703</v>
      </c>
      <c r="BN66" s="22">
        <f t="shared" si="62"/>
        <v>230.76923076923077</v>
      </c>
      <c r="BO66">
        <f t="shared" si="63"/>
        <v>188.10475824034881</v>
      </c>
    </row>
    <row r="67" spans="2:67" x14ac:dyDescent="0.25">
      <c r="L67" s="1">
        <f t="shared" si="33"/>
        <v>44621</v>
      </c>
      <c r="M67" s="10">
        <f t="shared" ref="M67:M82" si="68">AP67</f>
        <v>546571.14082391514</v>
      </c>
      <c r="N67" s="10">
        <f t="shared" ref="N67:N82" si="69">AX67-BC67</f>
        <v>473308.03997052711</v>
      </c>
      <c r="O67" s="7">
        <f t="shared" si="24"/>
        <v>1.1547894704217365</v>
      </c>
      <c r="P67" s="7">
        <f t="shared" ref="P67:P82" si="70">X67/BG67</f>
        <v>0.96593672188554902</v>
      </c>
      <c r="Q67">
        <v>65</v>
      </c>
      <c r="R67">
        <f t="shared" ref="R67:R82" si="71">EOMONTH(L67,0)-EOMONTH(L67,-3)</f>
        <v>90</v>
      </c>
      <c r="S67" s="22"/>
      <c r="T67" s="22">
        <f>IF($B$10="3BR_H",
INDEX('3BR_H-processed'!$E:$E,MATCH($L67,'3BR_H-processed'!$B:$B,0),MATCH(Council_Area,'3BR_H-processed'!$E$1:$E$1,0)),
INDEX('2BR_F-processed'!$E:$E,MATCH($L67,'2BR_F-processed'!$B:$B,0),MATCH(Council_Area,'2BR_F-processed'!$E$1:$E$1,0)))</f>
        <v>473.89864728447407</v>
      </c>
      <c r="U67" s="22">
        <f t="shared" si="25"/>
        <v>473.89864728447407</v>
      </c>
      <c r="V67" s="22">
        <f t="shared" si="34"/>
        <v>6092.9826079432378</v>
      </c>
      <c r="W67" s="22">
        <f>$B$53/4*BH67/_xlfn.XLOOKUP(Q_end,cpi!A:A,cpi!B:B)</f>
        <v>171.25086385625434</v>
      </c>
      <c r="X67" s="22">
        <f t="shared" ref="X67:X81" si="72">V67+W67</f>
        <v>6264.2334717994918</v>
      </c>
      <c r="Y67" s="22">
        <f t="shared" ref="Y67:Y81" si="73">BG67-X67</f>
        <v>220.90507803371565</v>
      </c>
      <c r="Z67" s="22">
        <f t="shared" si="64"/>
        <v>0</v>
      </c>
      <c r="AA67" s="22" cm="1">
        <f t="array" ref="AA67">(Y67+Z67)*eff_invest</f>
        <v>220.90507803371565</v>
      </c>
      <c r="AB67" s="22">
        <f>AA67*(_xlfn.XLOOKUP(Q_end,cpi!A:A,cpi!B:B)/BH67)</f>
        <v>257.99003060111903</v>
      </c>
      <c r="AC67" s="22" cm="1">
        <f t="array" ref="AC67">INDEX('msci-indices'!C:C,MATCH($L67,'msci-indices'!$B:$B)-2)</f>
        <v>2688.1915319999998</v>
      </c>
      <c r="AD67" s="22" cm="1">
        <f t="array" ref="AD67">INDEX('msci-indices'!D:D,MATCH($L67,'msci-indices'!$B:$B)-2)</f>
        <v>2173.034118</v>
      </c>
      <c r="AE67" s="22">
        <f t="shared" si="65"/>
        <v>563570.68907485879</v>
      </c>
      <c r="AF67" s="22" cm="1">
        <f t="array" ref="AF67">INDEX('msci-indices'!C:C,MATCH($L67,'msci-indices'!$B:$B)+1)</f>
        <v>2545.291346</v>
      </c>
      <c r="AG67" s="22" cm="1">
        <f t="array" ref="AG67">INDEX('msci-indices'!D:D,MATCH($L67,'msci-indices'!$B:$B)+1)</f>
        <v>2228.6053740000002</v>
      </c>
      <c r="AH67" s="22">
        <f t="shared" ref="AH67:AH82" si="74">(InvestFees/4)*AE67</f>
        <v>352.23168067178676</v>
      </c>
      <c r="AI67" s="22">
        <f t="shared" ref="AI67:AI82" si="75">((AF67/AC67)*GlobalPortfolio+(AG67/AD67)*AusPortfolio)*AE67-AH67</f>
        <v>546571.14082391514</v>
      </c>
      <c r="AJ67" s="22">
        <f t="shared" si="66"/>
        <v>195808.34879632608</v>
      </c>
      <c r="AK67" s="22">
        <f t="shared" ref="AK67:AK82" si="76">AI67-AJ67</f>
        <v>350762.79202758905</v>
      </c>
      <c r="AL67" s="22">
        <f>AJ67*(_xlfn.XLOOKUP(Q_end,cpi!A:A,cpi!B:B)/BH67)</f>
        <v>228680.12970805794</v>
      </c>
      <c r="AM67" s="22" cm="1">
        <f t="array" ref="AM67">SUMPRODUCT($AA$3:AA67,_xlfn.SORTBY($BH$3:BH67,_xlfn.SEQUENCE(ROWS($BH$3:BH67)),-1)/$BH$3)</f>
        <v>266212.7333060602</v>
      </c>
      <c r="AN67" s="22">
        <f t="shared" si="30"/>
        <v>280358.40751785494</v>
      </c>
      <c r="AO67" s="22">
        <f t="shared" ref="AO67:AO82" si="77">IF($B$49="Real gains",MAX($B$50*AN67,0),IF($B$49="Discounted nominal gains",MAX($B$50*AK67/2,0),0))</f>
        <v>0</v>
      </c>
      <c r="AP67" s="22">
        <f t="shared" si="31"/>
        <v>546571.14082391514</v>
      </c>
      <c r="AQ67" s="22"/>
      <c r="AR67" s="10">
        <f>IF($B$10="3BR_H",
INDEX('ns-combined'!$C:$D,MATCH($L67,'ns-combined'!$B:$B,0),MATCH(Council_Area,'ns-combined'!$C$1:$D$1,0))*1000,
INDEX('s-combined'!$C:$D,MATCH($L67,'s-combined'!$B:$B,0),MATCH(Council_Area,'s-combined'!$C$1:$D$1,0))*1000)</f>
        <v>765000</v>
      </c>
      <c r="AS67" s="22">
        <f t="shared" si="35"/>
        <v>52812.5</v>
      </c>
      <c r="AT67" s="10">
        <v>0</v>
      </c>
      <c r="AU67" s="22">
        <f t="shared" ref="AU67:AU82" si="78">SUM($B$28:$B$29)*AR67</f>
        <v>15300</v>
      </c>
      <c r="AV67" s="22">
        <f t="shared" ref="AV67:AV82" si="79">AR67*$B$15/4</f>
        <v>2199.375</v>
      </c>
      <c r="AW67" s="22">
        <f>SUM($AV$3:AV67)</f>
        <v>89371.675000000003</v>
      </c>
      <c r="AX67" s="22">
        <f t="shared" ref="AX67:AX82" si="80">AR67-AS67-AU67-AW67</f>
        <v>607515.82499999995</v>
      </c>
      <c r="AY67" s="22">
        <f t="shared" ref="AY67:AY82" si="81">$B$36*V67</f>
        <v>2132.5439127801333</v>
      </c>
      <c r="AZ67" s="24">
        <f t="shared" ref="AZ67:AZ82" si="82">SUM(AY67:AY67)*4/AR67</f>
        <v>1.1150556406693508E-2</v>
      </c>
      <c r="BA67" s="24">
        <f t="shared" ref="BA67:BA82" si="83">SUM(AY67:AY67)/V67</f>
        <v>0.35000000000000003</v>
      </c>
      <c r="BB67" s="25">
        <f>IF(MortgageRate="Discounted",_xlfn.XLOOKUP(L67,'mortgage-rates'!$A:$A,'mortgage-rates'!$E:$E)/100,_xlfn.XLOOKUP(L67,'mortgage-rates'!$A:$A,'mortgage-rates'!$D:$D)/100)</f>
        <v>3.4500000000000003E-2</v>
      </c>
      <c r="BC67" s="10">
        <f t="shared" si="67"/>
        <v>134207.78502947284</v>
      </c>
      <c r="BD67" s="10">
        <f t="shared" ref="BD67:BD82" si="84">IF($B$16*12/3-Q67+1&gt;0,-PMT($BB67/4,$B$16*12/3-Q67+1,BC67),0)</f>
        <v>4352.5946370530737</v>
      </c>
      <c r="BE67" s="10">
        <f t="shared" si="55"/>
        <v>1157.5421458792034</v>
      </c>
      <c r="BF67" s="10">
        <f t="shared" si="36"/>
        <v>3195.0524911738703</v>
      </c>
      <c r="BG67" s="12">
        <f t="shared" ref="BG67:BG82" si="85">AT67+AY67+BD67</f>
        <v>6485.1385498332074</v>
      </c>
      <c r="BH67" s="22">
        <f>INDEX(cpi!B:B,MATCH($L67,cpi!A:A))</f>
        <v>123.9</v>
      </c>
      <c r="BI67" s="22">
        <f t="shared" ref="BI67:BI82" si="86">100*BH67/BH$3</f>
        <v>146.45390070921988</v>
      </c>
      <c r="BJ67" s="22">
        <f t="shared" ref="BJ67:BJ82" si="87">100*AC67/AC$3</f>
        <v>356.10864207060962</v>
      </c>
      <c r="BK67" s="22">
        <f t="shared" ref="BK67:BK82" si="88">100*AD67/AD$3</f>
        <v>304.79207204421903</v>
      </c>
      <c r="BL67" s="22">
        <f t="shared" ref="BL67:BL82" si="89">BJ67*GlobalPortfolio+BK67*AusPortfolio</f>
        <v>340.71367106269247</v>
      </c>
      <c r="BM67" s="22">
        <f t="shared" ref="BM67:BM82" si="90">100*AE67/$AE$3</f>
        <v>679.76166480755774</v>
      </c>
      <c r="BN67" s="22">
        <f t="shared" ref="BN67:BN82" si="91">100*AR67/AR$3</f>
        <v>235.38461538461539</v>
      </c>
      <c r="BO67">
        <f t="shared" ref="BO67:BO82" si="92">100*AX67/AX$3</f>
        <v>191.79473762097845</v>
      </c>
    </row>
    <row r="68" spans="2:67" x14ac:dyDescent="0.25">
      <c r="L68" s="1">
        <f t="shared" si="33"/>
        <v>44713</v>
      </c>
      <c r="M68" s="10">
        <f t="shared" si="68"/>
        <v>464298.58101358509</v>
      </c>
      <c r="N68" s="10">
        <f t="shared" si="69"/>
        <v>481308.21746170102</v>
      </c>
      <c r="O68" s="7">
        <f t="shared" ref="O68:O82" si="93">M68/N68</f>
        <v>0.964659576065789</v>
      </c>
      <c r="P68" s="7">
        <f t="shared" si="70"/>
        <v>0.95281245059903263</v>
      </c>
      <c r="Q68">
        <v>66</v>
      </c>
      <c r="R68">
        <f t="shared" si="71"/>
        <v>91</v>
      </c>
      <c r="S68" s="22"/>
      <c r="T68" s="22">
        <f>IF($B$10="3BR_H",
INDEX('3BR_H-processed'!$E:$E,MATCH($L68,'3BR_H-processed'!$B:$B,0),MATCH(Council_Area,'3BR_H-processed'!$E$1:$E$1,0)),
INDEX('2BR_F-processed'!$E:$E,MATCH($L68,'2BR_F-processed'!$B:$B,0),MATCH(Council_Area,'2BR_F-processed'!$E$1:$E$1,0)))</f>
        <v>494.07716371220022</v>
      </c>
      <c r="U68" s="22">
        <f t="shared" ref="U68:U82" si="94">IF(MOD(Q68,4)=1,T68,U67)</f>
        <v>473.89864728447407</v>
      </c>
      <c r="V68" s="22">
        <f t="shared" ref="V68:V82" si="95">U68*(R68)/7</f>
        <v>6160.6824146981626</v>
      </c>
      <c r="W68" s="22">
        <f>$B$53/4*BH68/_xlfn.XLOOKUP(Q_end,cpi!A:A,cpi!B:B)</f>
        <v>174.29163787145819</v>
      </c>
      <c r="X68" s="22">
        <f t="shared" si="72"/>
        <v>6334.9740525696207</v>
      </c>
      <c r="Y68" s="22">
        <f t="shared" si="73"/>
        <v>313.73635060240576</v>
      </c>
      <c r="Z68" s="22">
        <f t="shared" ref="Z68:Z82" si="96">Y68*$B$47</f>
        <v>0</v>
      </c>
      <c r="AA68" s="22" cm="1">
        <f t="array" ref="AA68">(Y68+Z68)*eff_invest</f>
        <v>313.73635060240576</v>
      </c>
      <c r="AB68" s="22">
        <f>AA68*(_xlfn.XLOOKUP(Q_end,cpi!A:A,cpi!B:B)/BH68)</f>
        <v>360.01308431536961</v>
      </c>
      <c r="AC68" s="22" cm="1">
        <f t="array" ref="AC68">INDEX('msci-indices'!C:C,MATCH($L68,'msci-indices'!$B:$B)-2)</f>
        <v>2545.291346</v>
      </c>
      <c r="AD68" s="22" cm="1">
        <f t="array" ref="AD68">INDEX('msci-indices'!D:D,MATCH($L68,'msci-indices'!$B:$B)-2)</f>
        <v>2228.6053740000002</v>
      </c>
      <c r="AE68" s="22">
        <f t="shared" ref="AE68:AE82" si="97">AI67+AA68</f>
        <v>546884.87717451749</v>
      </c>
      <c r="AF68" s="22" cm="1">
        <f t="array" ref="AF68">INDEX('msci-indices'!C:C,MATCH($L68,'msci-indices'!$B:$B)+1)</f>
        <v>2130.2472859999998</v>
      </c>
      <c r="AG68" s="22" cm="1">
        <f t="array" ref="AG68">INDEX('msci-indices'!D:D,MATCH($L68,'msci-indices'!$B:$B)+1)</f>
        <v>1959.3691980000001</v>
      </c>
      <c r="AH68" s="22">
        <f t="shared" si="74"/>
        <v>341.80304823407346</v>
      </c>
      <c r="AI68" s="22">
        <f t="shared" si="75"/>
        <v>464298.58101358509</v>
      </c>
      <c r="AJ68" s="22">
        <f t="shared" ref="AJ68:AJ82" si="98">AJ67+AA68</f>
        <v>196122.0851469285</v>
      </c>
      <c r="AK68" s="22">
        <f t="shared" si="76"/>
        <v>268176.49586665659</v>
      </c>
      <c r="AL68" s="22">
        <f>AJ68*(_xlfn.XLOOKUP(Q_end,cpi!A:A,cpi!B:B)/BH68)</f>
        <v>225050.48152863246</v>
      </c>
      <c r="AM68" s="22" cm="1">
        <f t="array" ref="AM68">SUMPRODUCT($AA$3:AA68,_xlfn.SORTBY($BH$3:BH68,_xlfn.SEQUENCE(ROWS($BH$3:BH68)),-1)/$BH$3)</f>
        <v>269515.79188300623</v>
      </c>
      <c r="AN68" s="22">
        <f t="shared" ref="AN68:AN81" si="99">AI68-AM68</f>
        <v>194782.78913057887</v>
      </c>
      <c r="AO68" s="22">
        <f t="shared" si="77"/>
        <v>0</v>
      </c>
      <c r="AP68" s="22">
        <f t="shared" ref="AP68:AP81" si="100">AI68-AO68</f>
        <v>464298.58101358509</v>
      </c>
      <c r="AQ68" s="22"/>
      <c r="AR68" s="10">
        <f>IF($B$10="3BR_H",
INDEX('ns-combined'!$C:$D,MATCH($L68,'ns-combined'!$B:$B,0),MATCH(Council_Area,'ns-combined'!$C$1:$D$1,0))*1000,
INDEX('s-combined'!$C:$D,MATCH($L68,'s-combined'!$B:$B,0),MATCH(Council_Area,'s-combined'!$C$1:$D$1,0))*1000)</f>
        <v>773000</v>
      </c>
      <c r="AS68" s="22">
        <f t="shared" si="35"/>
        <v>53625</v>
      </c>
      <c r="AT68" s="10">
        <v>0</v>
      </c>
      <c r="AU68" s="22">
        <f t="shared" si="78"/>
        <v>15460</v>
      </c>
      <c r="AV68" s="22">
        <f t="shared" si="79"/>
        <v>2222.375</v>
      </c>
      <c r="AW68" s="22">
        <f>SUM($AV$3:AV68)</f>
        <v>91594.05</v>
      </c>
      <c r="AX68" s="22">
        <f t="shared" si="80"/>
        <v>612320.94999999995</v>
      </c>
      <c r="AY68" s="22">
        <f t="shared" si="81"/>
        <v>2156.2388451443571</v>
      </c>
      <c r="AZ68" s="24">
        <f t="shared" si="82"/>
        <v>1.1157768927008316E-2</v>
      </c>
      <c r="BA68" s="24">
        <f t="shared" si="83"/>
        <v>0.35000000000000003</v>
      </c>
      <c r="BB68" s="25">
        <f>IF(MortgageRate="Discounted",_xlfn.XLOOKUP(L68,'mortgage-rates'!$A:$A,'mortgage-rates'!$E:$E)/100,_xlfn.XLOOKUP(L68,'mortgage-rates'!$A:$A,'mortgage-rates'!$D:$D)/100)</f>
        <v>4.2000000000000003E-2</v>
      </c>
      <c r="BC68" s="10">
        <f t="shared" ref="BC68:BC82" si="101">BC67-BF67</f>
        <v>131012.73253829897</v>
      </c>
      <c r="BD68" s="10">
        <f t="shared" si="84"/>
        <v>4492.4715580276688</v>
      </c>
      <c r="BE68" s="10">
        <f t="shared" ref="BE68:BE82" si="102">BC68*($BB68/4)</f>
        <v>1375.6336916521393</v>
      </c>
      <c r="BF68" s="10">
        <f t="shared" si="36"/>
        <v>3116.8378663755293</v>
      </c>
      <c r="BG68" s="12">
        <f t="shared" si="85"/>
        <v>6648.7104031720264</v>
      </c>
      <c r="BH68" s="22">
        <f>INDEX(cpi!B:B,MATCH($L68,cpi!A:A))</f>
        <v>126.1</v>
      </c>
      <c r="BI68" s="22">
        <f t="shared" si="86"/>
        <v>149.05437352245863</v>
      </c>
      <c r="BJ68" s="22">
        <f t="shared" si="87"/>
        <v>337.17844659073722</v>
      </c>
      <c r="BK68" s="22">
        <f t="shared" si="88"/>
        <v>312.58655539910018</v>
      </c>
      <c r="BL68" s="22">
        <f t="shared" si="89"/>
        <v>329.80087923324612</v>
      </c>
      <c r="BM68" s="22">
        <f t="shared" si="90"/>
        <v>659.63575071031983</v>
      </c>
      <c r="BN68" s="22">
        <f t="shared" si="91"/>
        <v>237.84615384615384</v>
      </c>
      <c r="BO68">
        <f t="shared" si="92"/>
        <v>193.31173133651006</v>
      </c>
    </row>
    <row r="69" spans="2:67" x14ac:dyDescent="0.25">
      <c r="L69" s="1">
        <f t="shared" ref="L69:L81" si="103">DATE(YEAR(L68),MONTH(L68)+3,1)</f>
        <v>44805</v>
      </c>
      <c r="M69" s="10">
        <f t="shared" si="68"/>
        <v>445399.68643320567</v>
      </c>
      <c r="N69" s="10">
        <f t="shared" si="69"/>
        <v>458916.30532807653</v>
      </c>
      <c r="O69" s="7">
        <f t="shared" si="93"/>
        <v>0.97054665798983131</v>
      </c>
      <c r="P69" s="7">
        <f t="shared" si="70"/>
        <v>0.92139270914472826</v>
      </c>
      <c r="Q69">
        <v>67</v>
      </c>
      <c r="R69">
        <f t="shared" si="71"/>
        <v>92</v>
      </c>
      <c r="S69" s="22"/>
      <c r="T69" s="22">
        <f>IF($B$10="3BR_H",
INDEX('3BR_H-processed'!$E:$E,MATCH($L69,'3BR_H-processed'!$B:$B,0),MATCH(Council_Area,'3BR_H-processed'!$E$1:$E$1,0)),
INDEX('2BR_F-processed'!$E:$E,MATCH($L69,'2BR_F-processed'!$B:$B,0),MATCH(Council_Area,'2BR_F-processed'!$E$1:$E$1,0)))</f>
        <v>503.0238726790451</v>
      </c>
      <c r="U69" s="22">
        <f t="shared" si="94"/>
        <v>473.89864728447407</v>
      </c>
      <c r="V69" s="22">
        <f t="shared" si="95"/>
        <v>6228.3822214530874</v>
      </c>
      <c r="W69" s="22">
        <f>$B$53/4*BH69/_xlfn.XLOOKUP(Q_end,cpi!A:A,cpi!B:B)</f>
        <v>177.47062888735317</v>
      </c>
      <c r="X69" s="22">
        <f t="shared" si="72"/>
        <v>6405.8528503404405</v>
      </c>
      <c r="Y69" s="22">
        <f t="shared" si="73"/>
        <v>546.50610232220515</v>
      </c>
      <c r="Z69" s="22">
        <f t="shared" si="96"/>
        <v>0</v>
      </c>
      <c r="AA69" s="22" cm="1">
        <f t="array" ref="AA69">(Y69+Z69)*eff_invest</f>
        <v>546.50610232220515</v>
      </c>
      <c r="AB69" s="22">
        <f>AA69*(_xlfn.XLOOKUP(Q_end,cpi!A:A,cpi!B:B)/BH69)</f>
        <v>615.88343462634793</v>
      </c>
      <c r="AC69" s="22" cm="1">
        <f t="array" ref="AC69">INDEX('msci-indices'!C:C,MATCH($L69,'msci-indices'!$B:$B)-2)</f>
        <v>2130.2472859999998</v>
      </c>
      <c r="AD69" s="22" cm="1">
        <f t="array" ref="AD69">INDEX('msci-indices'!D:D,MATCH($L69,'msci-indices'!$B:$B)-2)</f>
        <v>1959.3691980000001</v>
      </c>
      <c r="AE69" s="22">
        <f t="shared" si="97"/>
        <v>464845.08711590728</v>
      </c>
      <c r="AF69" s="22" cm="1">
        <f t="array" ref="AF69">INDEX('msci-indices'!C:C,MATCH($L69,'msci-indices'!$B:$B)+1)</f>
        <v>2000.7468469999999</v>
      </c>
      <c r="AG69" s="22" cm="1">
        <f t="array" ref="AG69">INDEX('msci-indices'!D:D,MATCH($L69,'msci-indices'!$B:$B)+1)</f>
        <v>1968.166029</v>
      </c>
      <c r="AH69" s="22">
        <f t="shared" si="74"/>
        <v>290.52817944744208</v>
      </c>
      <c r="AI69" s="22">
        <f t="shared" si="75"/>
        <v>445399.68643320567</v>
      </c>
      <c r="AJ69" s="22">
        <f t="shared" si="98"/>
        <v>196668.59124925069</v>
      </c>
      <c r="AK69" s="22">
        <f t="shared" si="76"/>
        <v>248731.09518395498</v>
      </c>
      <c r="AL69" s="22">
        <f>AJ69*(_xlfn.XLOOKUP(Q_end,cpi!A:A,cpi!B:B)/BH69)</f>
        <v>221635.0868673409</v>
      </c>
      <c r="AM69" s="22" cm="1">
        <f t="array" ref="AM69">SUMPRODUCT($AA$3:AA69,_xlfn.SORTBY($BH$3:BH69,_xlfn.SEQUENCE(ROWS($BH$3:BH69)),-1)/$BH$3)</f>
        <v>273219.94874476746</v>
      </c>
      <c r="AN69" s="22">
        <f t="shared" si="99"/>
        <v>172179.73768843821</v>
      </c>
      <c r="AO69" s="22">
        <f t="shared" si="77"/>
        <v>0</v>
      </c>
      <c r="AP69" s="22">
        <f t="shared" si="100"/>
        <v>445399.68643320567</v>
      </c>
      <c r="AQ69" s="22"/>
      <c r="AR69" s="10">
        <f>IF($B$10="3BR_H",
INDEX('ns-combined'!$C:$D,MATCH($L69,'ns-combined'!$B:$B,0),MATCH(Council_Area,'ns-combined'!$C$1:$D$1,0))*1000,
INDEX('s-combined'!$C:$D,MATCH($L69,'s-combined'!$B:$B,0),MATCH(Council_Area,'s-combined'!$C$1:$D$1,0))*1000)</f>
        <v>750000</v>
      </c>
      <c r="AS69" s="22">
        <f t="shared" ref="AS69:AS81" si="104">AS68+$AS$3</f>
        <v>54437.5</v>
      </c>
      <c r="AT69" s="10">
        <v>0</v>
      </c>
      <c r="AU69" s="22">
        <f t="shared" si="78"/>
        <v>15000</v>
      </c>
      <c r="AV69" s="22">
        <f t="shared" si="79"/>
        <v>2156.25</v>
      </c>
      <c r="AW69" s="22">
        <f>SUM($AV$3:AV69)</f>
        <v>93750.3</v>
      </c>
      <c r="AX69" s="22">
        <f t="shared" si="80"/>
        <v>586812.19999999995</v>
      </c>
      <c r="AY69" s="22">
        <f t="shared" si="81"/>
        <v>2179.933777508581</v>
      </c>
      <c r="AZ69" s="24">
        <f t="shared" si="82"/>
        <v>1.1626313480045765E-2</v>
      </c>
      <c r="BA69" s="24">
        <f t="shared" si="83"/>
        <v>0.35000000000000009</v>
      </c>
      <c r="BB69" s="25">
        <f>IF(MortgageRate="Discounted",_xlfn.XLOOKUP(L69,'mortgage-rates'!$A:$A,'mortgage-rates'!$E:$E)/100,_xlfn.XLOOKUP(L69,'mortgage-rates'!$A:$A,'mortgage-rates'!$D:$D)/100)</f>
        <v>5.7000000000000002E-2</v>
      </c>
      <c r="BC69" s="10">
        <f t="shared" si="101"/>
        <v>127895.89467192344</v>
      </c>
      <c r="BD69" s="10">
        <f t="shared" si="84"/>
        <v>4772.4251751540651</v>
      </c>
      <c r="BE69" s="10">
        <f t="shared" si="102"/>
        <v>1822.516499074909</v>
      </c>
      <c r="BF69" s="10">
        <f t="shared" ref="BF69:BF82" si="105">BD69-BE69</f>
        <v>2949.9086760791561</v>
      </c>
      <c r="BG69" s="12">
        <f t="shared" si="85"/>
        <v>6952.3589526626456</v>
      </c>
      <c r="BH69" s="22">
        <f>INDEX(cpi!B:B,MATCH($L69,cpi!A:A))</f>
        <v>128.4</v>
      </c>
      <c r="BI69" s="22">
        <f t="shared" si="86"/>
        <v>151.77304964539007</v>
      </c>
      <c r="BJ69" s="22">
        <f t="shared" si="87"/>
        <v>282.19695630380454</v>
      </c>
      <c r="BK69" s="22">
        <f t="shared" si="88"/>
        <v>274.82320356188706</v>
      </c>
      <c r="BL69" s="22">
        <f t="shared" si="89"/>
        <v>279.98483048122927</v>
      </c>
      <c r="BM69" s="22">
        <f t="shared" si="90"/>
        <v>560.68187437894119</v>
      </c>
      <c r="BN69" s="22">
        <f t="shared" si="91"/>
        <v>230.76923076923077</v>
      </c>
      <c r="BO69">
        <f t="shared" si="92"/>
        <v>185.25853533410285</v>
      </c>
    </row>
    <row r="70" spans="2:67" x14ac:dyDescent="0.25">
      <c r="L70" s="1">
        <f t="shared" si="103"/>
        <v>44896</v>
      </c>
      <c r="M70" s="10">
        <f t="shared" si="68"/>
        <v>488919.77104106359</v>
      </c>
      <c r="N70" s="10">
        <f t="shared" si="69"/>
        <v>458897.46400415566</v>
      </c>
      <c r="O70" s="7">
        <f t="shared" si="93"/>
        <v>1.0654226911060813</v>
      </c>
      <c r="P70" s="7">
        <f t="shared" si="70"/>
        <v>0.91531577560264554</v>
      </c>
      <c r="Q70">
        <v>68</v>
      </c>
      <c r="R70">
        <f t="shared" si="71"/>
        <v>92</v>
      </c>
      <c r="S70" s="22"/>
      <c r="T70" s="22">
        <f>IF($B$10="3BR_H",
INDEX('3BR_H-processed'!$E:$E,MATCH($L70,'3BR_H-processed'!$B:$B,0),MATCH(Council_Area,'3BR_H-processed'!$E$1:$E$1,0)),
INDEX('2BR_F-processed'!$E:$E,MATCH($L70,'2BR_F-processed'!$B:$B,0),MATCH(Council_Area,'2BR_F-processed'!$E$1:$E$1,0)))</f>
        <v>520.03557927507222</v>
      </c>
      <c r="U70" s="22">
        <f t="shared" si="94"/>
        <v>473.89864728447407</v>
      </c>
      <c r="V70" s="22">
        <f t="shared" si="95"/>
        <v>6228.3822214530874</v>
      </c>
      <c r="W70" s="22">
        <f>$B$53/4*BH70/_xlfn.XLOOKUP(Q_end,cpi!A:A,cpi!B:B)</f>
        <v>181.06427090532137</v>
      </c>
      <c r="X70" s="22">
        <f t="shared" si="72"/>
        <v>6409.4464923584092</v>
      </c>
      <c r="Y70" s="22">
        <f t="shared" si="73"/>
        <v>592.99644941042243</v>
      </c>
      <c r="Z70" s="22">
        <f t="shared" si="96"/>
        <v>0</v>
      </c>
      <c r="AA70" s="22" cm="1">
        <f t="array" ref="AA70">(Y70+Z70)*eff_invest</f>
        <v>592.99644941042243</v>
      </c>
      <c r="AB70" s="22">
        <f>AA70*(_xlfn.XLOOKUP(Q_end,cpi!A:A,cpi!B:B)/BH70)</f>
        <v>655.01210862357334</v>
      </c>
      <c r="AC70" s="22" cm="1">
        <f t="array" ref="AC70">INDEX('msci-indices'!C:C,MATCH($L70,'msci-indices'!$B:$B)-2)</f>
        <v>2000.7468469999999</v>
      </c>
      <c r="AD70" s="22" cm="1">
        <f t="array" ref="AD70">INDEX('msci-indices'!D:D,MATCH($L70,'msci-indices'!$B:$B)-2)</f>
        <v>1968.166029</v>
      </c>
      <c r="AE70" s="22">
        <f t="shared" si="97"/>
        <v>445992.68288261612</v>
      </c>
      <c r="AF70" s="22" cm="1">
        <f t="array" ref="AF70">INDEX('msci-indices'!C:C,MATCH($L70,'msci-indices'!$B:$B)+1)</f>
        <v>2198.4432400000001</v>
      </c>
      <c r="AG70" s="22" cm="1">
        <f t="array" ref="AG70">INDEX('msci-indices'!D:D,MATCH($L70,'msci-indices'!$B:$B)+1)</f>
        <v>2149.944184</v>
      </c>
      <c r="AH70" s="22">
        <f t="shared" si="74"/>
        <v>278.74542680163506</v>
      </c>
      <c r="AI70" s="22">
        <f t="shared" si="75"/>
        <v>488919.77104106359</v>
      </c>
      <c r="AJ70" s="22">
        <f t="shared" si="98"/>
        <v>197261.58769866111</v>
      </c>
      <c r="AK70" s="22">
        <f t="shared" si="76"/>
        <v>291658.18334240245</v>
      </c>
      <c r="AL70" s="22">
        <f>AJ70*(_xlfn.XLOOKUP(Q_end,cpi!A:A,cpi!B:B)/BH70)</f>
        <v>217891.23465646</v>
      </c>
      <c r="AM70" s="22" cm="1">
        <f t="array" ref="AM70">SUMPRODUCT($AA$3:AA70,_xlfn.SORTBY($BH$3:BH70,_xlfn.SEQUENCE(ROWS($BH$3:BH70)),-1)/$BH$3)</f>
        <v>277343.36130248569</v>
      </c>
      <c r="AN70" s="22">
        <f t="shared" si="99"/>
        <v>211576.4097385779</v>
      </c>
      <c r="AO70" s="22">
        <f t="shared" si="77"/>
        <v>0</v>
      </c>
      <c r="AP70" s="22">
        <f t="shared" si="100"/>
        <v>488919.77104106359</v>
      </c>
      <c r="AQ70" s="22"/>
      <c r="AR70" s="10">
        <f>IF($B$10="3BR_H",
INDEX('ns-combined'!$C:$D,MATCH($L70,'ns-combined'!$B:$B,0),MATCH(Council_Area,'ns-combined'!$C$1:$D$1,0))*1000,
INDEX('s-combined'!$C:$D,MATCH($L70,'s-combined'!$B:$B,0),MATCH(Council_Area,'s-combined'!$C$1:$D$1,0))*1000)</f>
        <v>750000</v>
      </c>
      <c r="AS70" s="22">
        <f t="shared" si="104"/>
        <v>55250</v>
      </c>
      <c r="AT70" s="10">
        <v>0</v>
      </c>
      <c r="AU70" s="22">
        <f t="shared" si="78"/>
        <v>15000</v>
      </c>
      <c r="AV70" s="22">
        <f t="shared" si="79"/>
        <v>2156.25</v>
      </c>
      <c r="AW70" s="22">
        <f>SUM($AV$3:AV70)</f>
        <v>95906.55</v>
      </c>
      <c r="AX70" s="22">
        <f t="shared" si="80"/>
        <v>583843.44999999995</v>
      </c>
      <c r="AY70" s="22">
        <f t="shared" si="81"/>
        <v>2179.933777508581</v>
      </c>
      <c r="AZ70" s="24">
        <f t="shared" si="82"/>
        <v>1.1626313480045765E-2</v>
      </c>
      <c r="BA70" s="24">
        <f t="shared" si="83"/>
        <v>0.35000000000000009</v>
      </c>
      <c r="BB70" s="25">
        <f>IF(MortgageRate="Discounted",_xlfn.XLOOKUP(L70,'mortgage-rates'!$A:$A,'mortgage-rates'!$E:$E)/100,_xlfn.XLOOKUP(L70,'mortgage-rates'!$A:$A,'mortgage-rates'!$D:$D)/100)</f>
        <v>5.9699999999999996E-2</v>
      </c>
      <c r="BC70" s="10">
        <f t="shared" si="101"/>
        <v>124945.98599584428</v>
      </c>
      <c r="BD70" s="10">
        <f t="shared" si="84"/>
        <v>4822.5091642602511</v>
      </c>
      <c r="BE70" s="10">
        <f t="shared" si="102"/>
        <v>1864.8188409879758</v>
      </c>
      <c r="BF70" s="10">
        <f t="shared" si="105"/>
        <v>2957.6903232722752</v>
      </c>
      <c r="BG70" s="12">
        <f t="shared" si="85"/>
        <v>7002.4429417688316</v>
      </c>
      <c r="BH70" s="22">
        <f>INDEX(cpi!B:B,MATCH($L70,cpi!A:A))</f>
        <v>131</v>
      </c>
      <c r="BI70" s="22">
        <f t="shared" si="86"/>
        <v>154.84633569739952</v>
      </c>
      <c r="BJ70" s="22">
        <f t="shared" si="87"/>
        <v>265.04184479821646</v>
      </c>
      <c r="BK70" s="22">
        <f t="shared" si="88"/>
        <v>276.05705641569335</v>
      </c>
      <c r="BL70" s="22">
        <f t="shared" si="89"/>
        <v>268.34640828345954</v>
      </c>
      <c r="BM70" s="22">
        <f t="shared" si="90"/>
        <v>537.94268311921837</v>
      </c>
      <c r="BN70" s="22">
        <f t="shared" si="91"/>
        <v>230.76923076923077</v>
      </c>
      <c r="BO70">
        <f t="shared" si="92"/>
        <v>184.32129122640856</v>
      </c>
    </row>
    <row r="71" spans="2:67" x14ac:dyDescent="0.25">
      <c r="L71" s="1">
        <f t="shared" si="103"/>
        <v>44986</v>
      </c>
      <c r="M71" s="10">
        <f t="shared" si="68"/>
        <v>518833.67321884196</v>
      </c>
      <c r="N71" s="10">
        <f t="shared" si="69"/>
        <v>465726.27932742797</v>
      </c>
      <c r="O71" s="7">
        <f t="shared" si="93"/>
        <v>1.1140313446948029</v>
      </c>
      <c r="P71" s="7">
        <f t="shared" si="70"/>
        <v>0.97310255640086218</v>
      </c>
      <c r="Q71">
        <v>69</v>
      </c>
      <c r="R71">
        <f t="shared" si="71"/>
        <v>90</v>
      </c>
      <c r="S71" s="22"/>
      <c r="T71" s="22">
        <f>IF($B$10="3BR_H",
INDEX('3BR_H-processed'!$E:$E,MATCH($L71,'3BR_H-processed'!$B:$B,0),MATCH(Council_Area,'3BR_H-processed'!$E$1:$E$1,0)),
INDEX('2BR_F-processed'!$E:$E,MATCH($L71,'2BR_F-processed'!$B:$B,0),MATCH(Council_Area,'2BR_F-processed'!$E$1:$E$1,0)))</f>
        <v>541.48725212464592</v>
      </c>
      <c r="U71" s="22">
        <f t="shared" si="94"/>
        <v>541.48725212464592</v>
      </c>
      <c r="V71" s="22">
        <f t="shared" si="95"/>
        <v>6961.9789558883049</v>
      </c>
      <c r="W71" s="22">
        <f>$B$53/4*BH71/_xlfn.XLOOKUP(Q_end,cpi!A:A,cpi!B:B)</f>
        <v>183.41395991706977</v>
      </c>
      <c r="X71" s="22">
        <f t="shared" si="72"/>
        <v>7145.3929158053743</v>
      </c>
      <c r="Y71" s="22">
        <f t="shared" si="73"/>
        <v>197.50518759030092</v>
      </c>
      <c r="Z71" s="22">
        <f t="shared" si="96"/>
        <v>0</v>
      </c>
      <c r="AA71" s="22" cm="1">
        <f t="array" ref="AA71">(Y71+Z71)*eff_invest</f>
        <v>197.50518759030092</v>
      </c>
      <c r="AB71" s="22">
        <f>AA71*(_xlfn.XLOOKUP(Q_end,cpi!A:A,cpi!B:B)/BH71)</f>
        <v>215.36549091421659</v>
      </c>
      <c r="AC71" s="22" cm="1">
        <f t="array" ref="AC71">INDEX('msci-indices'!C:C,MATCH($L71,'msci-indices'!$B:$B)-2)</f>
        <v>2198.4432400000001</v>
      </c>
      <c r="AD71" s="22" cm="1">
        <f t="array" ref="AD71">INDEX('msci-indices'!D:D,MATCH($L71,'msci-indices'!$B:$B)-2)</f>
        <v>2149.944184</v>
      </c>
      <c r="AE71" s="22">
        <f t="shared" si="97"/>
        <v>489117.27622865391</v>
      </c>
      <c r="AF71" s="22" cm="1">
        <f t="array" ref="AF71">INDEX('msci-indices'!C:C,MATCH($L71,'msci-indices'!$B:$B)+1)</f>
        <v>2359.7519419999999</v>
      </c>
      <c r="AG71" s="22" cm="1">
        <f t="array" ref="AG71">INDEX('msci-indices'!D:D,MATCH($L71,'msci-indices'!$B:$B)+1)</f>
        <v>2221.7402550000002</v>
      </c>
      <c r="AH71" s="22">
        <f t="shared" si="74"/>
        <v>305.6982976429087</v>
      </c>
      <c r="AI71" s="22">
        <f t="shared" si="75"/>
        <v>518833.67321884196</v>
      </c>
      <c r="AJ71" s="22">
        <f t="shared" si="98"/>
        <v>197459.0928862514</v>
      </c>
      <c r="AK71" s="22">
        <f t="shared" si="76"/>
        <v>321374.58033259056</v>
      </c>
      <c r="AL71" s="22">
        <f>AJ71*(_xlfn.XLOOKUP(Q_end,cpi!A:A,cpi!B:B)/BH71)</f>
        <v>215315.22788726885</v>
      </c>
      <c r="AM71" s="22" cm="1">
        <f t="array" ref="AM71">SUMPRODUCT($AA$3:AA71,_xlfn.SORTBY($BH$3:BH71,_xlfn.SEQUENCE(ROWS($BH$3:BH71)),-1)/$BH$3)</f>
        <v>280320.45425183774</v>
      </c>
      <c r="AN71" s="22">
        <f t="shared" si="99"/>
        <v>238513.21896700421</v>
      </c>
      <c r="AO71" s="22">
        <f t="shared" si="77"/>
        <v>0</v>
      </c>
      <c r="AP71" s="22">
        <f t="shared" si="100"/>
        <v>518833.67321884196</v>
      </c>
      <c r="AQ71" s="22"/>
      <c r="AR71" s="10">
        <f>IF($B$10="3BR_H",
INDEX('ns-combined'!$C:$D,MATCH($L71,'ns-combined'!$B:$B,0),MATCH(Council_Area,'ns-combined'!$C$1:$D$1,0))*1000,
INDEX('s-combined'!$C:$D,MATCH($L71,'s-combined'!$B:$B,0),MATCH(Council_Area,'s-combined'!$C$1:$D$1,0))*1000)</f>
        <v>757000</v>
      </c>
      <c r="AS71" s="22">
        <f t="shared" si="104"/>
        <v>56062.5</v>
      </c>
      <c r="AT71" s="10">
        <v>0</v>
      </c>
      <c r="AU71" s="22">
        <f t="shared" si="78"/>
        <v>15140</v>
      </c>
      <c r="AV71" s="22">
        <f t="shared" si="79"/>
        <v>2176.375</v>
      </c>
      <c r="AW71" s="22">
        <f>SUM($AV$3:AV71)</f>
        <v>98082.925000000003</v>
      </c>
      <c r="AX71" s="22">
        <f t="shared" si="80"/>
        <v>587714.57499999995</v>
      </c>
      <c r="AY71" s="22">
        <f t="shared" si="81"/>
        <v>2436.6926345609068</v>
      </c>
      <c r="AZ71" s="24">
        <f t="shared" si="82"/>
        <v>1.2875522507587354E-2</v>
      </c>
      <c r="BA71" s="24">
        <f t="shared" si="83"/>
        <v>0.35000000000000003</v>
      </c>
      <c r="BB71" s="25">
        <f>IF(MortgageRate="Discounted",_xlfn.XLOOKUP(L71,'mortgage-rates'!$A:$A,'mortgage-rates'!$E:$E)/100,_xlfn.XLOOKUP(L71,'mortgage-rates'!$A:$A,'mortgage-rates'!$D:$D)/100)</f>
        <v>6.4299999999999996E-2</v>
      </c>
      <c r="BC71" s="10">
        <f t="shared" si="101"/>
        <v>121988.29567257201</v>
      </c>
      <c r="BD71" s="10">
        <f t="shared" si="84"/>
        <v>4906.205468834768</v>
      </c>
      <c r="BE71" s="10">
        <f t="shared" si="102"/>
        <v>1960.9618529365951</v>
      </c>
      <c r="BF71" s="10">
        <f t="shared" si="105"/>
        <v>2945.2436158981727</v>
      </c>
      <c r="BG71" s="12">
        <f t="shared" si="85"/>
        <v>7342.8981033956752</v>
      </c>
      <c r="BH71" s="22">
        <f>INDEX(cpi!B:B,MATCH($L71,cpi!A:A))</f>
        <v>132.69999999999999</v>
      </c>
      <c r="BI71" s="22">
        <f t="shared" si="86"/>
        <v>156.85579196217492</v>
      </c>
      <c r="BJ71" s="22">
        <f t="shared" si="87"/>
        <v>291.23097351744474</v>
      </c>
      <c r="BK71" s="22">
        <f t="shared" si="88"/>
        <v>301.55345339164973</v>
      </c>
      <c r="BL71" s="22">
        <f t="shared" si="89"/>
        <v>294.32771747970622</v>
      </c>
      <c r="BM71" s="22">
        <f t="shared" si="90"/>
        <v>589.9582437850388</v>
      </c>
      <c r="BN71" s="22">
        <f t="shared" si="91"/>
        <v>232.92307692307693</v>
      </c>
      <c r="BO71">
        <f t="shared" si="92"/>
        <v>185.54341807993211</v>
      </c>
    </row>
    <row r="72" spans="2:67" x14ac:dyDescent="0.25">
      <c r="L72" s="1">
        <f t="shared" si="103"/>
        <v>45078</v>
      </c>
      <c r="M72" s="10">
        <f t="shared" si="68"/>
        <v>543779.02827224485</v>
      </c>
      <c r="N72" s="10">
        <f t="shared" si="69"/>
        <v>483270.8979433261</v>
      </c>
      <c r="O72" s="7">
        <f t="shared" si="93"/>
        <v>1.1252054087809249</v>
      </c>
      <c r="P72" s="7">
        <f t="shared" si="70"/>
        <v>0.96546097437069678</v>
      </c>
      <c r="Q72">
        <v>70</v>
      </c>
      <c r="R72">
        <f t="shared" si="71"/>
        <v>91</v>
      </c>
      <c r="S72" s="22"/>
      <c r="T72" s="22">
        <f>IF($B$10="3BR_H",
INDEX('3BR_H-processed'!$E:$E,MATCH($L72,'3BR_H-processed'!$B:$B,0),MATCH(Council_Area,'3BR_H-processed'!$E$1:$E$1,0)),
INDEX('2BR_F-processed'!$E:$E,MATCH($L72,'2BR_F-processed'!$B:$B,0),MATCH(Council_Area,'2BR_F-processed'!$E$1:$E$1,0)))</f>
        <v>541.47558163906933</v>
      </c>
      <c r="U72" s="22">
        <f t="shared" si="94"/>
        <v>541.48725212464592</v>
      </c>
      <c r="V72" s="22">
        <f t="shared" si="95"/>
        <v>7039.3342776203963</v>
      </c>
      <c r="W72" s="22">
        <f>$B$53/4*BH72/_xlfn.XLOOKUP(Q_end,cpi!A:A,cpi!B:B)</f>
        <v>184.93434692467179</v>
      </c>
      <c r="X72" s="22">
        <f t="shared" si="72"/>
        <v>7224.2686245450677</v>
      </c>
      <c r="Y72" s="22">
        <f t="shared" si="73"/>
        <v>258.44566046677755</v>
      </c>
      <c r="Z72" s="22">
        <f t="shared" si="96"/>
        <v>0</v>
      </c>
      <c r="AA72" s="22" cm="1">
        <f t="array" ref="AA72">(Y72+Z72)*eff_invest</f>
        <v>258.44566046677755</v>
      </c>
      <c r="AB72" s="22">
        <f>AA72*(_xlfn.XLOOKUP(Q_end,cpi!A:A,cpi!B:B)/BH72)</f>
        <v>279.49990335981096</v>
      </c>
      <c r="AC72" s="22" cm="1">
        <f t="array" ref="AC72">INDEX('msci-indices'!C:C,MATCH($L72,'msci-indices'!$B:$B)-2)</f>
        <v>2359.7519419999999</v>
      </c>
      <c r="AD72" s="22" cm="1">
        <f t="array" ref="AD72">INDEX('msci-indices'!D:D,MATCH($L72,'msci-indices'!$B:$B)-2)</f>
        <v>2221.7402550000002</v>
      </c>
      <c r="AE72" s="22">
        <f t="shared" si="97"/>
        <v>519092.11887930875</v>
      </c>
      <c r="AF72" s="22" cm="1">
        <f t="array" ref="AF72">INDEX('msci-indices'!C:C,MATCH($L72,'msci-indices'!$B:$B)+1)</f>
        <v>2511.4075790000002</v>
      </c>
      <c r="AG72" s="22" cm="1">
        <f t="array" ref="AG72">INDEX('msci-indices'!D:D,MATCH($L72,'msci-indices'!$B:$B)+1)</f>
        <v>2245.4056799999998</v>
      </c>
      <c r="AH72" s="22">
        <f t="shared" si="74"/>
        <v>324.43257429956799</v>
      </c>
      <c r="AI72" s="22">
        <f t="shared" si="75"/>
        <v>543779.02827224485</v>
      </c>
      <c r="AJ72" s="22">
        <f t="shared" si="98"/>
        <v>197717.53854671816</v>
      </c>
      <c r="AK72" s="22">
        <f t="shared" si="76"/>
        <v>346061.48972552666</v>
      </c>
      <c r="AL72" s="22">
        <f>AJ72*(_xlfn.XLOOKUP(Q_end,cpi!A:A,cpi!B:B)/BH72)</f>
        <v>213824.57270336407</v>
      </c>
      <c r="AM72" s="22" cm="1">
        <f t="array" ref="AM72">SUMPRODUCT($AA$3:AA72,_xlfn.SORTBY($BH$3:BH72,_xlfn.SEQUENCE(ROWS($BH$3:BH72)),-1)/$BH$3)</f>
        <v>282819.62428319774</v>
      </c>
      <c r="AN72" s="22">
        <f t="shared" si="99"/>
        <v>260959.4039890471</v>
      </c>
      <c r="AO72" s="22">
        <f t="shared" si="77"/>
        <v>0</v>
      </c>
      <c r="AP72" s="22">
        <f t="shared" si="100"/>
        <v>543779.02827224485</v>
      </c>
      <c r="AQ72" s="22"/>
      <c r="AR72" s="10">
        <f>IF($B$10="3BR_H",
INDEX('ns-combined'!$C:$D,MATCH($L72,'ns-combined'!$B:$B,0),MATCH(Council_Area,'ns-combined'!$C$1:$D$1,0))*1000,
INDEX('s-combined'!$C:$D,MATCH($L72,'s-combined'!$B:$B,0),MATCH(Council_Area,'s-combined'!$C$1:$D$1,0))*1000)</f>
        <v>775000</v>
      </c>
      <c r="AS72" s="22">
        <f t="shared" si="104"/>
        <v>56875</v>
      </c>
      <c r="AT72" s="10">
        <v>0</v>
      </c>
      <c r="AU72" s="22">
        <f t="shared" si="78"/>
        <v>15500</v>
      </c>
      <c r="AV72" s="22">
        <f t="shared" si="79"/>
        <v>2228.125</v>
      </c>
      <c r="AW72" s="22">
        <f>SUM($AV$3:AV72)</f>
        <v>100311.05</v>
      </c>
      <c r="AX72" s="22">
        <f t="shared" si="80"/>
        <v>602313.94999999995</v>
      </c>
      <c r="AY72" s="22">
        <f t="shared" si="81"/>
        <v>2463.7669971671389</v>
      </c>
      <c r="AZ72" s="24">
        <f t="shared" si="82"/>
        <v>1.2716216759572329E-2</v>
      </c>
      <c r="BA72" s="24">
        <f t="shared" si="83"/>
        <v>0.35000000000000003</v>
      </c>
      <c r="BB72" s="25">
        <f>IF(MortgageRate="Discounted",_xlfn.XLOOKUP(L72,'mortgage-rates'!$A:$A,'mortgage-rates'!$E:$E)/100,_xlfn.XLOOKUP(L72,'mortgage-rates'!$A:$A,'mortgage-rates'!$D:$D)/100)</f>
        <v>7.0599999999999996E-2</v>
      </c>
      <c r="BC72" s="10">
        <f t="shared" si="101"/>
        <v>119043.05205667384</v>
      </c>
      <c r="BD72" s="10">
        <f t="shared" si="84"/>
        <v>5018.9472878447068</v>
      </c>
      <c r="BE72" s="10">
        <f t="shared" si="102"/>
        <v>2101.109868800293</v>
      </c>
      <c r="BF72" s="10">
        <f t="shared" si="105"/>
        <v>2917.8374190444138</v>
      </c>
      <c r="BG72" s="12">
        <f t="shared" si="85"/>
        <v>7482.7142850118453</v>
      </c>
      <c r="BH72" s="22">
        <f>INDEX(cpi!B:B,MATCH($L72,cpi!A:A))</f>
        <v>133.80000000000001</v>
      </c>
      <c r="BI72" s="22">
        <f t="shared" si="86"/>
        <v>158.15602836879435</v>
      </c>
      <c r="BJ72" s="22">
        <f t="shared" si="87"/>
        <v>312.59977188601005</v>
      </c>
      <c r="BK72" s="22">
        <f t="shared" si="88"/>
        <v>311.62364652090639</v>
      </c>
      <c r="BL72" s="22">
        <f t="shared" si="89"/>
        <v>312.30693427647896</v>
      </c>
      <c r="BM72" s="22">
        <f t="shared" si="90"/>
        <v>626.11297882990414</v>
      </c>
      <c r="BN72" s="22">
        <f t="shared" si="91"/>
        <v>238.46153846153845</v>
      </c>
      <c r="BO72">
        <f t="shared" si="92"/>
        <v>190.15248862974909</v>
      </c>
    </row>
    <row r="73" spans="2:67" x14ac:dyDescent="0.25">
      <c r="L73" s="1">
        <f t="shared" si="103"/>
        <v>45170</v>
      </c>
      <c r="M73" s="10">
        <f t="shared" si="68"/>
        <v>529353.18523572944</v>
      </c>
      <c r="N73" s="10">
        <f t="shared" si="69"/>
        <v>507576.2353623705</v>
      </c>
      <c r="O73" s="7">
        <f t="shared" si="93"/>
        <v>1.0429038011557257</v>
      </c>
      <c r="P73" s="7">
        <f t="shared" si="70"/>
        <v>0.97253855294627334</v>
      </c>
      <c r="Q73">
        <v>71</v>
      </c>
      <c r="R73">
        <f t="shared" si="71"/>
        <v>92</v>
      </c>
      <c r="S73" s="22"/>
      <c r="T73" s="22">
        <f>IF($B$10="3BR_H",
INDEX('3BR_H-processed'!$E:$E,MATCH($L73,'3BR_H-processed'!$B:$B,0),MATCH(Council_Area,'3BR_H-processed'!$E$1:$E$1,0)),
INDEX('2BR_F-processed'!$E:$E,MATCH($L73,'2BR_F-processed'!$B:$B,0),MATCH(Council_Area,'2BR_F-processed'!$E$1:$E$1,0)))</f>
        <v>544.98244889531281</v>
      </c>
      <c r="U73" s="22">
        <f t="shared" si="94"/>
        <v>541.48725212464592</v>
      </c>
      <c r="V73" s="22">
        <f t="shared" si="95"/>
        <v>7116.6895993524895</v>
      </c>
      <c r="W73" s="22">
        <f>$B$53/4*BH73/_xlfn.XLOOKUP(Q_end,cpi!A:A,cpi!B:B)</f>
        <v>186.86938493434693</v>
      </c>
      <c r="X73" s="22">
        <f t="shared" si="72"/>
        <v>7303.5589842868367</v>
      </c>
      <c r="Y73" s="22">
        <f t="shared" si="73"/>
        <v>206.22966333124168</v>
      </c>
      <c r="Z73" s="22">
        <f t="shared" si="96"/>
        <v>0</v>
      </c>
      <c r="AA73" s="22" cm="1">
        <f t="array" ref="AA73">(Y73+Z73)*eff_invest</f>
        <v>206.22966333124168</v>
      </c>
      <c r="AB73" s="22">
        <f>AA73*(_xlfn.XLOOKUP(Q_end,cpi!A:A,cpi!B:B)/BH73)</f>
        <v>220.72065298839257</v>
      </c>
      <c r="AC73" s="22" cm="1">
        <f t="array" ref="AC73">INDEX('msci-indices'!C:C,MATCH($L73,'msci-indices'!$B:$B)-2)</f>
        <v>2511.4075790000002</v>
      </c>
      <c r="AD73" s="22" cm="1">
        <f t="array" ref="AD73">INDEX('msci-indices'!D:D,MATCH($L73,'msci-indices'!$B:$B)-2)</f>
        <v>2245.4056799999998</v>
      </c>
      <c r="AE73" s="22">
        <f t="shared" si="97"/>
        <v>543985.25793557614</v>
      </c>
      <c r="AF73" s="22" cm="1">
        <f t="array" ref="AF73">INDEX('msci-indices'!C:C,MATCH($L73,'msci-indices'!$B:$B)+1)</f>
        <v>2421.9848459999998</v>
      </c>
      <c r="AG73" s="22" cm="1">
        <f t="array" ref="AG73">INDEX('msci-indices'!D:D,MATCH($L73,'msci-indices'!$B:$B)+1)</f>
        <v>2235.3141679999999</v>
      </c>
      <c r="AH73" s="22">
        <f t="shared" si="74"/>
        <v>339.99078620973512</v>
      </c>
      <c r="AI73" s="22">
        <f t="shared" si="75"/>
        <v>529353.18523572944</v>
      </c>
      <c r="AJ73" s="22">
        <f t="shared" si="98"/>
        <v>197923.7682100494</v>
      </c>
      <c r="AK73" s="22">
        <f t="shared" si="76"/>
        <v>331429.41702568007</v>
      </c>
      <c r="AL73" s="22">
        <f>AJ73*(_xlfn.XLOOKUP(Q_end,cpi!A:A,cpi!B:B)/BH73)</f>
        <v>211831.13357983838</v>
      </c>
      <c r="AM73" s="22" cm="1">
        <f t="array" ref="AM73">SUMPRODUCT($AA$3:AA73,_xlfn.SORTBY($BH$3:BH73,_xlfn.SEQUENCE(ROWS($BH$3:BH73)),-1)/$BH$3)</f>
        <v>285577.12789675925</v>
      </c>
      <c r="AN73" s="22">
        <f t="shared" si="99"/>
        <v>243776.05733897019</v>
      </c>
      <c r="AO73" s="22">
        <f t="shared" si="77"/>
        <v>0</v>
      </c>
      <c r="AP73" s="22">
        <f t="shared" si="100"/>
        <v>529353.18523572944</v>
      </c>
      <c r="AQ73" s="22"/>
      <c r="AR73" s="10">
        <f>IF($B$10="3BR_H",
INDEX('ns-combined'!$C:$D,MATCH($L73,'ns-combined'!$B:$B,0),MATCH(Council_Area,'ns-combined'!$C$1:$D$1,0))*1000,
INDEX('s-combined'!$C:$D,MATCH($L73,'s-combined'!$B:$B,0),MATCH(Council_Area,'s-combined'!$C$1:$D$1,0))*1000)</f>
        <v>800000</v>
      </c>
      <c r="AS73" s="22">
        <f t="shared" si="104"/>
        <v>57687.5</v>
      </c>
      <c r="AT73" s="10">
        <v>0</v>
      </c>
      <c r="AU73" s="22">
        <f t="shared" si="78"/>
        <v>16000</v>
      </c>
      <c r="AV73" s="22">
        <f t="shared" si="79"/>
        <v>2300</v>
      </c>
      <c r="AW73" s="22">
        <f>SUM($AV$3:AV73)</f>
        <v>102611.05</v>
      </c>
      <c r="AX73" s="22">
        <f t="shared" si="80"/>
        <v>623701.44999999995</v>
      </c>
      <c r="AY73" s="22">
        <f t="shared" si="81"/>
        <v>2490.8413597733716</v>
      </c>
      <c r="AZ73" s="24">
        <f t="shared" si="82"/>
        <v>1.2454206798866857E-2</v>
      </c>
      <c r="BA73" s="24">
        <f t="shared" si="83"/>
        <v>0.35000000000000003</v>
      </c>
      <c r="BB73" s="25">
        <f>IF(MortgageRate="Discounted",_xlfn.XLOOKUP(L73,'mortgage-rates'!$A:$A,'mortgage-rates'!$E:$E)/100,_xlfn.XLOOKUP(L73,'mortgage-rates'!$A:$A,'mortgage-rates'!$D:$D)/100)</f>
        <v>7.0599999999999996E-2</v>
      </c>
      <c r="BC73" s="10">
        <f t="shared" si="101"/>
        <v>116125.21463762943</v>
      </c>
      <c r="BD73" s="10">
        <f t="shared" si="84"/>
        <v>5018.9472878447068</v>
      </c>
      <c r="BE73" s="10">
        <f t="shared" si="102"/>
        <v>2049.6100383541593</v>
      </c>
      <c r="BF73" s="10">
        <f t="shared" si="105"/>
        <v>2969.3372494905475</v>
      </c>
      <c r="BG73" s="12">
        <f t="shared" si="85"/>
        <v>7509.7886476180784</v>
      </c>
      <c r="BH73" s="22">
        <f>INDEX(cpi!B:B,MATCH($L73,cpi!A:A))</f>
        <v>135.19999999999999</v>
      </c>
      <c r="BI73" s="22">
        <f t="shared" si="86"/>
        <v>159.81087470449171</v>
      </c>
      <c r="BJ73" s="22">
        <f t="shared" si="87"/>
        <v>332.68981469417383</v>
      </c>
      <c r="BK73" s="22">
        <f t="shared" si="88"/>
        <v>314.94298415201342</v>
      </c>
      <c r="BL73" s="22">
        <f t="shared" si="89"/>
        <v>327.36576553152571</v>
      </c>
      <c r="BM73" s="22">
        <f t="shared" si="90"/>
        <v>656.13831899610773</v>
      </c>
      <c r="BN73" s="22">
        <f t="shared" si="91"/>
        <v>246.15384615384616</v>
      </c>
      <c r="BO73">
        <f t="shared" si="92"/>
        <v>196.90459249612769</v>
      </c>
    </row>
    <row r="74" spans="2:67" x14ac:dyDescent="0.25">
      <c r="L74" s="1">
        <f t="shared" si="103"/>
        <v>45261</v>
      </c>
      <c r="M74" s="10">
        <f t="shared" si="68"/>
        <v>585634.01273012953</v>
      </c>
      <c r="N74" s="10">
        <f t="shared" si="69"/>
        <v>536746.82261186105</v>
      </c>
      <c r="O74" s="7">
        <f t="shared" si="93"/>
        <v>1.0910805393879721</v>
      </c>
      <c r="P74" s="7">
        <f t="shared" si="70"/>
        <v>0.96725688675052957</v>
      </c>
      <c r="Q74">
        <v>72</v>
      </c>
      <c r="R74">
        <f t="shared" si="71"/>
        <v>92</v>
      </c>
      <c r="S74" s="22"/>
      <c r="T74" s="22">
        <f>IF($B$10="3BR_H",
INDEX('3BR_H-processed'!$E:$E,MATCH($L74,'3BR_H-processed'!$B:$B,0),MATCH(Council_Area,'3BR_H-processed'!$E$1:$E$1,0)),
INDEX('2BR_F-processed'!$E:$E,MATCH($L74,'2BR_F-processed'!$B:$B,0),MATCH(Council_Area,'2BR_F-processed'!$E$1:$E$1,0)))</f>
        <v>568.57050313107322</v>
      </c>
      <c r="U74" s="22">
        <f t="shared" si="94"/>
        <v>541.48725212464592</v>
      </c>
      <c r="V74" s="22">
        <f t="shared" si="95"/>
        <v>7116.6895993524895</v>
      </c>
      <c r="W74" s="22">
        <f>$B$53/4*BH74/_xlfn.XLOOKUP(Q_end,cpi!A:A,cpi!B:B)</f>
        <v>188.38977194194891</v>
      </c>
      <c r="X74" s="22">
        <f t="shared" si="72"/>
        <v>7305.0793712944387</v>
      </c>
      <c r="Y74" s="22">
        <f t="shared" si="73"/>
        <v>247.28802082166567</v>
      </c>
      <c r="Z74" s="22">
        <f t="shared" si="96"/>
        <v>0</v>
      </c>
      <c r="AA74" s="22" cm="1">
        <f t="array" ref="AA74">(Y74+Z74)*eff_invest</f>
        <v>247.28802082166567</v>
      </c>
      <c r="AB74" s="22">
        <f>AA74*(_xlfn.XLOOKUP(Q_end,cpi!A:A,cpi!B:B)/BH74)</f>
        <v>262.52807492953059</v>
      </c>
      <c r="AC74" s="22" cm="1">
        <f t="array" ref="AC74">INDEX('msci-indices'!C:C,MATCH($L74,'msci-indices'!$B:$B)-2)</f>
        <v>2421.9848459999998</v>
      </c>
      <c r="AD74" s="22" cm="1">
        <f t="array" ref="AD74">INDEX('msci-indices'!D:D,MATCH($L74,'msci-indices'!$B:$B)-2)</f>
        <v>2235.3141679999999</v>
      </c>
      <c r="AE74" s="22">
        <f t="shared" si="97"/>
        <v>529600.47325655108</v>
      </c>
      <c r="AF74" s="22" cm="1">
        <f t="array" ref="AF74">INDEX('msci-indices'!C:C,MATCH($L74,'msci-indices'!$B:$B)+1)</f>
        <v>2701.360248</v>
      </c>
      <c r="AG74" s="22" cm="1">
        <f t="array" ref="AG74">INDEX('msci-indices'!D:D,MATCH($L74,'msci-indices'!$B:$B)+1)</f>
        <v>2426.6837019999998</v>
      </c>
      <c r="AH74" s="22">
        <f t="shared" si="74"/>
        <v>331.00029578534441</v>
      </c>
      <c r="AI74" s="22">
        <f t="shared" si="75"/>
        <v>585634.01273012953</v>
      </c>
      <c r="AJ74" s="22">
        <f t="shared" si="98"/>
        <v>198171.05623087107</v>
      </c>
      <c r="AK74" s="22">
        <f t="shared" si="76"/>
        <v>387462.95649925846</v>
      </c>
      <c r="AL74" s="22">
        <f>AJ74*(_xlfn.XLOOKUP(Q_end,cpi!A:A,cpi!B:B)/BH74)</f>
        <v>210384.09271171709</v>
      </c>
      <c r="AM74" s="22" cm="1">
        <f t="array" ref="AM74">SUMPRODUCT($AA$3:AA74,_xlfn.SORTBY($BH$3:BH74,_xlfn.SEQUENCE(ROWS($BH$3:BH74)),-1)/$BH$3)</f>
        <v>288118.85613351996</v>
      </c>
      <c r="AN74" s="22">
        <f t="shared" si="99"/>
        <v>297515.15659660957</v>
      </c>
      <c r="AO74" s="22">
        <f t="shared" si="77"/>
        <v>0</v>
      </c>
      <c r="AP74" s="22">
        <f t="shared" si="100"/>
        <v>585634.01273012953</v>
      </c>
      <c r="AQ74" s="22"/>
      <c r="AR74" s="10">
        <f>IF($B$10="3BR_H",
INDEX('ns-combined'!$C:$D,MATCH($L74,'ns-combined'!$B:$B,0),MATCH(Council_Area,'ns-combined'!$C$1:$D$1,0))*1000,
INDEX('s-combined'!$C:$D,MATCH($L74,'s-combined'!$B:$B,0),MATCH(Council_Area,'s-combined'!$C$1:$D$1,0))*1000)</f>
        <v>830000</v>
      </c>
      <c r="AS74" s="22">
        <f t="shared" si="104"/>
        <v>58500</v>
      </c>
      <c r="AT74" s="10">
        <v>0</v>
      </c>
      <c r="AU74" s="22">
        <f t="shared" si="78"/>
        <v>16600</v>
      </c>
      <c r="AV74" s="22">
        <f t="shared" si="79"/>
        <v>2386.25</v>
      </c>
      <c r="AW74" s="22">
        <f>SUM($AV$3:AV74)</f>
        <v>104997.3</v>
      </c>
      <c r="AX74" s="22">
        <f t="shared" si="80"/>
        <v>649902.69999999995</v>
      </c>
      <c r="AY74" s="22">
        <f t="shared" si="81"/>
        <v>2490.8413597733716</v>
      </c>
      <c r="AZ74" s="24">
        <f t="shared" si="82"/>
        <v>1.2004054745895767E-2</v>
      </c>
      <c r="BA74" s="24">
        <f t="shared" si="83"/>
        <v>0.35000000000000003</v>
      </c>
      <c r="BB74" s="25">
        <f>IF(MortgageRate="Discounted",_xlfn.XLOOKUP(L74,'mortgage-rates'!$A:$A,'mortgage-rates'!$E:$E)/100,_xlfn.XLOOKUP(L74,'mortgage-rates'!$A:$A,'mortgage-rates'!$D:$D)/100)</f>
        <v>7.3099999999999998E-2</v>
      </c>
      <c r="BC74" s="10">
        <f t="shared" si="101"/>
        <v>113155.87738813888</v>
      </c>
      <c r="BD74" s="10">
        <f t="shared" si="84"/>
        <v>5061.5260323427328</v>
      </c>
      <c r="BE74" s="10">
        <f t="shared" si="102"/>
        <v>2067.9236592682378</v>
      </c>
      <c r="BF74" s="10">
        <f t="shared" si="105"/>
        <v>2993.6023730744951</v>
      </c>
      <c r="BG74" s="12">
        <f t="shared" si="85"/>
        <v>7552.3673921161044</v>
      </c>
      <c r="BH74" s="22">
        <f>INDEX(cpi!B:B,MATCH($L74,cpi!A:A))</f>
        <v>136.30000000000001</v>
      </c>
      <c r="BI74" s="22">
        <f t="shared" si="86"/>
        <v>161.11111111111114</v>
      </c>
      <c r="BJ74" s="22">
        <f t="shared" si="87"/>
        <v>320.84385519322234</v>
      </c>
      <c r="BK74" s="22">
        <f t="shared" si="88"/>
        <v>313.52753796685647</v>
      </c>
      <c r="BL74" s="22">
        <f t="shared" si="89"/>
        <v>318.64896002531259</v>
      </c>
      <c r="BM74" s="22">
        <f t="shared" si="90"/>
        <v>638.78783329685325</v>
      </c>
      <c r="BN74" s="22">
        <f t="shared" si="91"/>
        <v>255.38461538461539</v>
      </c>
      <c r="BO74">
        <f t="shared" si="92"/>
        <v>205.17641301881392</v>
      </c>
    </row>
    <row r="75" spans="2:67" x14ac:dyDescent="0.25">
      <c r="L75" s="1">
        <f t="shared" si="103"/>
        <v>45352</v>
      </c>
      <c r="M75" s="10">
        <f t="shared" si="68"/>
        <v>629450.29925927217</v>
      </c>
      <c r="N75" s="10">
        <f t="shared" si="69"/>
        <v>556377.31248493562</v>
      </c>
      <c r="O75" s="7">
        <f t="shared" si="93"/>
        <v>1.1313371072734297</v>
      </c>
      <c r="P75" s="7">
        <f t="shared" si="70"/>
        <v>1.0149716001298432</v>
      </c>
      <c r="Q75">
        <v>73</v>
      </c>
      <c r="R75">
        <f t="shared" si="71"/>
        <v>91</v>
      </c>
      <c r="S75" s="22"/>
      <c r="T75" s="22">
        <f>IF($B$10="3BR_H",
INDEX('3BR_H-processed'!$E:$E,MATCH($L75,'3BR_H-processed'!$B:$B,0),MATCH(Council_Area,'3BR_H-processed'!$E$1:$E$1,0)),
INDEX('2BR_F-processed'!$E:$E,MATCH($L75,'2BR_F-processed'!$B:$B,0),MATCH(Council_Area,'2BR_F-processed'!$E$1:$E$1,0)))</f>
        <v>590.23241336376839</v>
      </c>
      <c r="U75" s="22">
        <f t="shared" si="94"/>
        <v>590.23241336376839</v>
      </c>
      <c r="V75" s="22">
        <f t="shared" si="95"/>
        <v>7673.0213737289887</v>
      </c>
      <c r="W75" s="22">
        <f>$B$53/4*BH75/_xlfn.XLOOKUP(Q_end,cpi!A:A,cpi!B:B)</f>
        <v>190.0483759502419</v>
      </c>
      <c r="X75" s="22">
        <f t="shared" si="72"/>
        <v>7863.0697496792309</v>
      </c>
      <c r="Y75" s="22">
        <f t="shared" si="73"/>
        <v>-115.9862365313511</v>
      </c>
      <c r="Z75" s="22">
        <f t="shared" si="96"/>
        <v>0</v>
      </c>
      <c r="AA75" s="22" cm="1">
        <f t="array" ref="AA75">(Y75+Z75)*eff_invest</f>
        <v>-115.9862365313511</v>
      </c>
      <c r="AB75" s="22">
        <f>AA75*(_xlfn.XLOOKUP(Q_end,cpi!A:A,cpi!B:B)/BH75)</f>
        <v>-122.05969764426548</v>
      </c>
      <c r="AC75" s="22" cm="1">
        <f t="array" ref="AC75">INDEX('msci-indices'!C:C,MATCH($L75,'msci-indices'!$B:$B)-2)</f>
        <v>2701.360248</v>
      </c>
      <c r="AD75" s="22" cm="1">
        <f t="array" ref="AD75">INDEX('msci-indices'!D:D,MATCH($L75,'msci-indices'!$B:$B)-2)</f>
        <v>2426.6837019999998</v>
      </c>
      <c r="AE75" s="22">
        <f t="shared" si="97"/>
        <v>585518.02649359812</v>
      </c>
      <c r="AF75" s="22" cm="1">
        <f t="array" ref="AF75">INDEX('msci-indices'!C:C,MATCH($L75,'msci-indices'!$B:$B)+1)</f>
        <v>2928.0916900000002</v>
      </c>
      <c r="AG75" s="22" cm="1">
        <f t="array" ref="AG75">INDEX('msci-indices'!D:D,MATCH($L75,'msci-indices'!$B:$B)+1)</f>
        <v>2563.417899</v>
      </c>
      <c r="AH75" s="22">
        <f t="shared" si="74"/>
        <v>365.94876655849885</v>
      </c>
      <c r="AI75" s="22">
        <f t="shared" si="75"/>
        <v>629450.29925927217</v>
      </c>
      <c r="AJ75" s="22">
        <f t="shared" si="98"/>
        <v>198055.06999433972</v>
      </c>
      <c r="AK75" s="22">
        <f t="shared" si="76"/>
        <v>431395.22926493245</v>
      </c>
      <c r="AL75" s="22">
        <f>AJ75*(_xlfn.XLOOKUP(Q_end,cpi!A:A,cpi!B:B)/BH75)</f>
        <v>208425.95365949787</v>
      </c>
      <c r="AM75" s="22" cm="1">
        <f t="array" ref="AM75">SUMPRODUCT($AA$3:AA75,_xlfn.SORTBY($BH$3:BH75,_xlfn.SEQUENCE(ROWS($BH$3:BH75)),-1)/$BH$3)</f>
        <v>290412.30669975752</v>
      </c>
      <c r="AN75" s="22">
        <f t="shared" si="99"/>
        <v>339037.99255951465</v>
      </c>
      <c r="AO75" s="22">
        <f t="shared" si="77"/>
        <v>0</v>
      </c>
      <c r="AP75" s="22">
        <f t="shared" si="100"/>
        <v>629450.29925927217</v>
      </c>
      <c r="AQ75" s="22"/>
      <c r="AR75" s="10">
        <f>IF($B$10="3BR_H",
INDEX('ns-combined'!$C:$D,MATCH($L75,'ns-combined'!$B:$B,0),MATCH(Council_Area,'ns-combined'!$C$1:$D$1,0))*1000,
INDEX('s-combined'!$C:$D,MATCH($L75,'s-combined'!$B:$B,0),MATCH(Council_Area,'s-combined'!$C$1:$D$1,0))*1000)</f>
        <v>850300</v>
      </c>
      <c r="AS75" s="22">
        <f t="shared" si="104"/>
        <v>59312.5</v>
      </c>
      <c r="AT75" s="10">
        <v>0</v>
      </c>
      <c r="AU75" s="22">
        <f t="shared" si="78"/>
        <v>17006</v>
      </c>
      <c r="AV75" s="22">
        <f t="shared" si="79"/>
        <v>2444.6125000000002</v>
      </c>
      <c r="AW75" s="22">
        <f>SUM($AV$3:AV75)</f>
        <v>107441.91250000001</v>
      </c>
      <c r="AX75" s="22">
        <f t="shared" si="80"/>
        <v>666539.58750000002</v>
      </c>
      <c r="AY75" s="22">
        <f t="shared" si="81"/>
        <v>2685.5574808051465</v>
      </c>
      <c r="AZ75" s="24">
        <f t="shared" si="82"/>
        <v>1.2633458688957528E-2</v>
      </c>
      <c r="BA75" s="24">
        <f t="shared" si="83"/>
        <v>0.35000000000000003</v>
      </c>
      <c r="BB75" s="25">
        <f>IF(MortgageRate="Discounted",_xlfn.XLOOKUP(L75,'mortgage-rates'!$A:$A,'mortgage-rates'!$E:$E)/100,_xlfn.XLOOKUP(L75,'mortgage-rates'!$A:$A,'mortgage-rates'!$D:$D)/100)</f>
        <v>7.3099999999999998E-2</v>
      </c>
      <c r="BC75" s="10">
        <f t="shared" si="101"/>
        <v>110162.27501506438</v>
      </c>
      <c r="BD75" s="10">
        <f t="shared" si="84"/>
        <v>5061.5260323427328</v>
      </c>
      <c r="BE75" s="10">
        <f t="shared" si="102"/>
        <v>2013.2155759003015</v>
      </c>
      <c r="BF75" s="10">
        <f t="shared" si="105"/>
        <v>3048.3104564424311</v>
      </c>
      <c r="BG75" s="12">
        <f t="shared" si="85"/>
        <v>7747.0835131478798</v>
      </c>
      <c r="BH75" s="22">
        <f>INDEX(cpi!B:B,MATCH($L75,cpi!A:A))</f>
        <v>137.5</v>
      </c>
      <c r="BI75" s="22">
        <f t="shared" si="86"/>
        <v>162.52955082742318</v>
      </c>
      <c r="BJ75" s="22">
        <f t="shared" si="87"/>
        <v>357.853121032302</v>
      </c>
      <c r="BK75" s="22">
        <f t="shared" si="88"/>
        <v>340.36923194250375</v>
      </c>
      <c r="BL75" s="22">
        <f t="shared" si="89"/>
        <v>352.60795430536251</v>
      </c>
      <c r="BM75" s="22">
        <f t="shared" si="90"/>
        <v>706.23386946806977</v>
      </c>
      <c r="BN75" s="22">
        <f t="shared" si="91"/>
        <v>261.6307692307692</v>
      </c>
      <c r="BO75">
        <f t="shared" si="92"/>
        <v>210.42873294462368</v>
      </c>
    </row>
    <row r="76" spans="2:67" x14ac:dyDescent="0.25">
      <c r="B76" s="7"/>
      <c r="L76" s="1">
        <f t="shared" si="103"/>
        <v>45444</v>
      </c>
      <c r="M76" s="10">
        <f t="shared" si="68"/>
        <v>635841.74920422549</v>
      </c>
      <c r="N76" s="10">
        <f t="shared" si="69"/>
        <v>594960.37294137804</v>
      </c>
      <c r="O76" s="7">
        <f t="shared" si="93"/>
        <v>1.0687127716771072</v>
      </c>
      <c r="P76" s="7">
        <f t="shared" si="70"/>
        <v>1.019223455603997</v>
      </c>
      <c r="Q76">
        <v>74</v>
      </c>
      <c r="R76">
        <f t="shared" si="71"/>
        <v>91</v>
      </c>
      <c r="S76" s="22"/>
      <c r="T76" s="22">
        <f>IF($B$10="3BR_H",
INDEX('3BR_H-processed'!$E:$E,MATCH($L76,'3BR_H-processed'!$B:$B,0),MATCH(Council_Area,'3BR_H-processed'!$E$1:$E$1,0)),
INDEX('2BR_F-processed'!$E:$E,MATCH($L76,'2BR_F-processed'!$B:$B,0),MATCH(Council_Area,'2BR_F-processed'!$E$1:$E$1,0)))</f>
        <v>588.86416124291418</v>
      </c>
      <c r="U76" s="22">
        <f t="shared" si="94"/>
        <v>590.23241336376839</v>
      </c>
      <c r="V76" s="22">
        <f t="shared" si="95"/>
        <v>7673.0213737289887</v>
      </c>
      <c r="W76" s="22">
        <f>$B$53/4*BH76/_xlfn.XLOOKUP(Q_end,cpi!A:A,cpi!B:B)</f>
        <v>191.98341395991707</v>
      </c>
      <c r="X76" s="22">
        <f t="shared" si="72"/>
        <v>7865.0047876889057</v>
      </c>
      <c r="Y76" s="22">
        <f t="shared" si="73"/>
        <v>-148.34094479484338</v>
      </c>
      <c r="Z76" s="22">
        <f t="shared" si="96"/>
        <v>0</v>
      </c>
      <c r="AA76" s="22" cm="1">
        <f t="array" ref="AA76">(Y76+Z76)*eff_invest</f>
        <v>-148.34094479484338</v>
      </c>
      <c r="AB76" s="22">
        <f>AA76*(_xlfn.XLOOKUP(Q_end,cpi!A:A,cpi!B:B)/BH76)</f>
        <v>-154.53516711169067</v>
      </c>
      <c r="AC76" s="22" cm="1">
        <f t="array" ref="AC76">INDEX('msci-indices'!C:C,MATCH($L76,'msci-indices'!$B:$B)-2)</f>
        <v>2928.0916900000002</v>
      </c>
      <c r="AD76" s="22" cm="1">
        <f t="array" ref="AD76">INDEX('msci-indices'!D:D,MATCH($L76,'msci-indices'!$B:$B)-2)</f>
        <v>2563.417899</v>
      </c>
      <c r="AE76" s="22">
        <f t="shared" si="97"/>
        <v>629301.95831447735</v>
      </c>
      <c r="AF76" s="22" cm="1">
        <f t="array" ref="AF76">INDEX('msci-indices'!C:C,MATCH($L76,'msci-indices'!$B:$B)+1)</f>
        <v>2988.3970690000001</v>
      </c>
      <c r="AG76" s="22" cm="1">
        <f t="array" ref="AG76">INDEX('msci-indices'!D:D,MATCH($L76,'msci-indices'!$B:$B)+1)</f>
        <v>2534.3685369999998</v>
      </c>
      <c r="AH76" s="22">
        <f t="shared" si="74"/>
        <v>393.31372394654835</v>
      </c>
      <c r="AI76" s="22">
        <f t="shared" si="75"/>
        <v>635841.74920422549</v>
      </c>
      <c r="AJ76" s="22">
        <f t="shared" si="98"/>
        <v>197906.72904954487</v>
      </c>
      <c r="AK76" s="22">
        <f t="shared" si="76"/>
        <v>437935.02015468059</v>
      </c>
      <c r="AL76" s="22">
        <f>AJ76*(_xlfn.XLOOKUP(Q_end,cpi!A:A,cpi!B:B)/BH76)</f>
        <v>206170.65294074256</v>
      </c>
      <c r="AM76" s="22" cm="1">
        <f t="array" ref="AM76">SUMPRODUCT($AA$3:AA76,_xlfn.SORTBY($BH$3:BH76,_xlfn.SEQUENCE(ROWS($BH$3:BH76)),-1)/$BH$3)</f>
        <v>292898.33463799342</v>
      </c>
      <c r="AN76" s="22">
        <f t="shared" si="99"/>
        <v>342943.41456623207</v>
      </c>
      <c r="AO76" s="22">
        <f t="shared" si="77"/>
        <v>0</v>
      </c>
      <c r="AP76" s="22">
        <f t="shared" si="100"/>
        <v>635841.74920422549</v>
      </c>
      <c r="AQ76" s="22"/>
      <c r="AR76" s="10">
        <f>IF($B$10="3BR_H",
INDEX('ns-combined'!$C:$D,MATCH($L76,'ns-combined'!$B:$B,0),MATCH(Council_Area,'ns-combined'!$C$1:$D$1,0))*1000,
INDEX('s-combined'!$C:$D,MATCH($L76,'s-combined'!$B:$B,0),MATCH(Council_Area,'s-combined'!$C$1:$D$1,0))*1000)</f>
        <v>890000</v>
      </c>
      <c r="AS76" s="22">
        <f t="shared" si="104"/>
        <v>60125</v>
      </c>
      <c r="AT76" s="10">
        <v>0</v>
      </c>
      <c r="AU76" s="22">
        <f t="shared" si="78"/>
        <v>17800</v>
      </c>
      <c r="AV76" s="22">
        <f t="shared" si="79"/>
        <v>2558.75</v>
      </c>
      <c r="AW76" s="22">
        <f>SUM($AV$3:AV76)</f>
        <v>110000.66250000001</v>
      </c>
      <c r="AX76" s="22">
        <f t="shared" si="80"/>
        <v>702074.33750000002</v>
      </c>
      <c r="AY76" s="22">
        <f t="shared" si="81"/>
        <v>2685.5574808051465</v>
      </c>
      <c r="AZ76" s="24">
        <f t="shared" si="82"/>
        <v>1.2069921262045603E-2</v>
      </c>
      <c r="BA76" s="24">
        <f t="shared" si="83"/>
        <v>0.35000000000000003</v>
      </c>
      <c r="BB76" s="25">
        <f>IF(MortgageRate="Discounted",_xlfn.XLOOKUP(L76,'mortgage-rates'!$A:$A,'mortgage-rates'!$E:$E)/100,_xlfn.XLOOKUP(L76,'mortgage-rates'!$A:$A,'mortgage-rates'!$D:$D)/100)</f>
        <v>7.1199999999999999E-2</v>
      </c>
      <c r="BC76" s="10">
        <f t="shared" si="101"/>
        <v>107113.96455862196</v>
      </c>
      <c r="BD76" s="10">
        <f t="shared" si="84"/>
        <v>5031.1063620889154</v>
      </c>
      <c r="BE76" s="10">
        <f t="shared" si="102"/>
        <v>1906.6285691434707</v>
      </c>
      <c r="BF76" s="10">
        <f t="shared" si="105"/>
        <v>3124.4777929454449</v>
      </c>
      <c r="BG76" s="12">
        <f t="shared" si="85"/>
        <v>7716.6638428940623</v>
      </c>
      <c r="BH76" s="22">
        <f>INDEX(cpi!B:B,MATCH($L76,cpi!A:A))</f>
        <v>138.9</v>
      </c>
      <c r="BI76" s="22">
        <f t="shared" si="86"/>
        <v>164.18439716312056</v>
      </c>
      <c r="BJ76" s="22">
        <f t="shared" si="87"/>
        <v>387.88856492244037</v>
      </c>
      <c r="BK76" s="22">
        <f t="shared" si="88"/>
        <v>359.54771555567845</v>
      </c>
      <c r="BL76" s="22">
        <f t="shared" si="89"/>
        <v>379.38631011241176</v>
      </c>
      <c r="BM76" s="22">
        <f t="shared" si="90"/>
        <v>759.0447039620334</v>
      </c>
      <c r="BN76" s="22">
        <f t="shared" si="91"/>
        <v>273.84615384615387</v>
      </c>
      <c r="BO76">
        <f t="shared" si="92"/>
        <v>221.64717001608113</v>
      </c>
    </row>
    <row r="77" spans="2:67" x14ac:dyDescent="0.25">
      <c r="B77" s="7"/>
      <c r="L77" s="1">
        <f t="shared" si="103"/>
        <v>45536</v>
      </c>
      <c r="M77" s="10">
        <f t="shared" si="68"/>
        <v>679470.54384778335</v>
      </c>
      <c r="N77" s="10">
        <f t="shared" si="69"/>
        <v>594713.6007343235</v>
      </c>
      <c r="O77" s="7">
        <f t="shared" si="93"/>
        <v>1.1425172436090347</v>
      </c>
      <c r="P77" s="7">
        <f t="shared" si="70"/>
        <v>1.0272860587359611</v>
      </c>
      <c r="Q77">
        <v>75</v>
      </c>
      <c r="R77">
        <f t="shared" si="71"/>
        <v>92</v>
      </c>
      <c r="S77" s="22"/>
      <c r="T77" s="22">
        <f>IF($B$10="3BR_H",
INDEX('3BR_H-processed'!$E:$E,MATCH($L77,'3BR_H-processed'!$B:$B,0),MATCH(Council_Area,'3BR_H-processed'!$E$1:$E$1,0)),
INDEX('2BR_F-processed'!$E:$E,MATCH($L77,'2BR_F-processed'!$B:$B,0),MATCH(Council_Area,'2BR_F-processed'!$E$1:$E$1,0)))</f>
        <v>588.05578512396698</v>
      </c>
      <c r="U77" s="22">
        <f t="shared" si="94"/>
        <v>590.23241336376839</v>
      </c>
      <c r="V77" s="22">
        <f t="shared" si="95"/>
        <v>7757.3402899238135</v>
      </c>
      <c r="W77" s="22">
        <f>$B$53/4*BH77/_xlfn.XLOOKUP(Q_end,cpi!A:A,cpi!B:B)</f>
        <v>192.25984796129924</v>
      </c>
      <c r="X77" s="22">
        <f t="shared" si="72"/>
        <v>7949.6001378851124</v>
      </c>
      <c r="Y77" s="22">
        <f t="shared" si="73"/>
        <v>-211.15175704481226</v>
      </c>
      <c r="Z77" s="22">
        <f t="shared" si="96"/>
        <v>0</v>
      </c>
      <c r="AA77" s="22" cm="1">
        <f t="array" ref="AA77">(Y77+Z77)*eff_invest</f>
        <v>-211.15175704481226</v>
      </c>
      <c r="AB77" s="22">
        <f>AA77*(_xlfn.XLOOKUP(Q_end,cpi!A:A,cpi!B:B)/BH77)</f>
        <v>-219.65247479787439</v>
      </c>
      <c r="AC77" s="22" cm="1">
        <f t="array" ref="AC77">INDEX('msci-indices'!C:C,MATCH($L77,'msci-indices'!$B:$B)-2)</f>
        <v>2988.3970690000001</v>
      </c>
      <c r="AD77" s="22" cm="1">
        <f t="array" ref="AD77">INDEX('msci-indices'!D:D,MATCH($L77,'msci-indices'!$B:$B)-2)</f>
        <v>2534.3685369999998</v>
      </c>
      <c r="AE77" s="22">
        <f t="shared" si="97"/>
        <v>635630.59744718065</v>
      </c>
      <c r="AF77" s="22" cm="1">
        <f t="array" ref="AF77">INDEX('msci-indices'!C:C,MATCH($L77,'msci-indices'!$B:$B)+1)</f>
        <v>3187.708345</v>
      </c>
      <c r="AG77" s="22" cm="1">
        <f t="array" ref="AG77">INDEX('msci-indices'!D:D,MATCH($L77,'msci-indices'!$B:$B)+1)</f>
        <v>2727.9035779999999</v>
      </c>
      <c r="AH77" s="22">
        <f t="shared" si="74"/>
        <v>397.26912340448791</v>
      </c>
      <c r="AI77" s="22">
        <f t="shared" si="75"/>
        <v>679470.54384778335</v>
      </c>
      <c r="AJ77" s="22">
        <f t="shared" si="98"/>
        <v>197695.57729250006</v>
      </c>
      <c r="AK77" s="22">
        <f t="shared" si="76"/>
        <v>481774.96655528329</v>
      </c>
      <c r="AL77" s="22">
        <f>AJ77*(_xlfn.XLOOKUP(Q_end,cpi!A:A,cpi!B:B)/BH77)</f>
        <v>205654.56530715138</v>
      </c>
      <c r="AM77" s="22" cm="1">
        <f t="array" ref="AM77">SUMPRODUCT($AA$3:AA77,_xlfn.SORTBY($BH$3:BH77,_xlfn.SEQUENCE(ROWS($BH$3:BH77)),-1)/$BH$3)</f>
        <v>294162.48124899517</v>
      </c>
      <c r="AN77" s="22">
        <f t="shared" si="99"/>
        <v>385308.06259878818</v>
      </c>
      <c r="AO77" s="22">
        <f t="shared" si="77"/>
        <v>0</v>
      </c>
      <c r="AP77" s="22">
        <f t="shared" si="100"/>
        <v>679470.54384778335</v>
      </c>
      <c r="AQ77" s="22"/>
      <c r="AR77" s="10">
        <f>IF($B$10="3BR_H",
INDEX('ns-combined'!$C:$D,MATCH($L77,'ns-combined'!$B:$B,0),MATCH(Council_Area,'ns-combined'!$C$1:$D$1,0))*1000,
INDEX('s-combined'!$C:$D,MATCH($L77,'s-combined'!$B:$B,0),MATCH(Council_Area,'s-combined'!$C$1:$D$1,0))*1000)</f>
        <v>890000</v>
      </c>
      <c r="AS77" s="22">
        <f t="shared" si="104"/>
        <v>60937.5</v>
      </c>
      <c r="AT77" s="10">
        <v>0</v>
      </c>
      <c r="AU77" s="22">
        <f t="shared" si="78"/>
        <v>17800</v>
      </c>
      <c r="AV77" s="22">
        <f t="shared" si="79"/>
        <v>2558.75</v>
      </c>
      <c r="AW77" s="22">
        <f>SUM($AV$3:AV77)</f>
        <v>112559.41250000001</v>
      </c>
      <c r="AX77" s="22">
        <f t="shared" si="80"/>
        <v>698703.08750000002</v>
      </c>
      <c r="AY77" s="22">
        <f t="shared" si="81"/>
        <v>2715.0691014733352</v>
      </c>
      <c r="AZ77" s="24">
        <f t="shared" si="82"/>
        <v>1.2202557759430721E-2</v>
      </c>
      <c r="BA77" s="24">
        <f t="shared" si="83"/>
        <v>0.35000000000000003</v>
      </c>
      <c r="BB77" s="25">
        <f>IF(MortgageRate="Discounted",_xlfn.XLOOKUP(L77,'mortgage-rates'!$A:$A,'mortgage-rates'!$E:$E)/100,_xlfn.XLOOKUP(L77,'mortgage-rates'!$A:$A,'mortgage-rates'!$D:$D)/100)</f>
        <v>7.0699999999999999E-2</v>
      </c>
      <c r="BC77" s="10">
        <f t="shared" si="101"/>
        <v>103989.48676567651</v>
      </c>
      <c r="BD77" s="10">
        <f t="shared" si="84"/>
        <v>5023.3792793669654</v>
      </c>
      <c r="BE77" s="10">
        <f t="shared" si="102"/>
        <v>1838.0141785833323</v>
      </c>
      <c r="BF77" s="10">
        <f t="shared" si="105"/>
        <v>3185.3651007836334</v>
      </c>
      <c r="BG77" s="12">
        <f t="shared" si="85"/>
        <v>7738.4483808403002</v>
      </c>
      <c r="BH77" s="22">
        <f>INDEX(cpi!B:B,MATCH($L77,cpi!A:A))</f>
        <v>139.1</v>
      </c>
      <c r="BI77" s="22">
        <f t="shared" si="86"/>
        <v>164.42080378250591</v>
      </c>
      <c r="BJ77" s="22">
        <f t="shared" si="87"/>
        <v>395.87730618942362</v>
      </c>
      <c r="BK77" s="22">
        <f t="shared" si="88"/>
        <v>355.47322120595709</v>
      </c>
      <c r="BL77" s="22">
        <f t="shared" si="89"/>
        <v>383.75608069438363</v>
      </c>
      <c r="BM77" s="22">
        <f t="shared" si="90"/>
        <v>766.67811420889109</v>
      </c>
      <c r="BN77" s="22">
        <f t="shared" si="91"/>
        <v>273.84615384615387</v>
      </c>
      <c r="BO77">
        <f t="shared" si="92"/>
        <v>220.58285533883841</v>
      </c>
    </row>
    <row r="78" spans="2:67" x14ac:dyDescent="0.25">
      <c r="B78" s="7"/>
      <c r="L78" s="1">
        <f t="shared" si="103"/>
        <v>45627</v>
      </c>
      <c r="M78" s="10">
        <f t="shared" si="68"/>
        <v>674622.06569128949</v>
      </c>
      <c r="N78" s="10">
        <f t="shared" si="69"/>
        <v>638498.34083510714</v>
      </c>
      <c r="O78" s="7">
        <f t="shared" si="93"/>
        <v>1.0565760669149669</v>
      </c>
      <c r="P78" s="7">
        <f t="shared" si="70"/>
        <v>1.0273575030327444</v>
      </c>
      <c r="Q78">
        <v>76</v>
      </c>
      <c r="R78">
        <f t="shared" si="71"/>
        <v>92</v>
      </c>
      <c r="S78" s="22"/>
      <c r="T78" s="22">
        <f>IF($B$10="3BR_H",
INDEX('3BR_H-processed'!$E:$E,MATCH($L78,'3BR_H-processed'!$B:$B,0),MATCH(Council_Area,'3BR_H-processed'!$E$1:$E$1,0)),
INDEX('2BR_F-processed'!$E:$E,MATCH($L78,'2BR_F-processed'!$B:$B,0),MATCH(Council_Area,'2BR_F-processed'!$E$1:$E$1,0)))</f>
        <v>595.73780741975827</v>
      </c>
      <c r="U78" s="22">
        <f t="shared" si="94"/>
        <v>590.23241336376839</v>
      </c>
      <c r="V78" s="22">
        <f t="shared" si="95"/>
        <v>7757.3402899238135</v>
      </c>
      <c r="W78" s="22">
        <f>$B$53/4*BH78/_xlfn.XLOOKUP(Q_end,cpi!A:A,cpi!B:B)</f>
        <v>192.81271596406359</v>
      </c>
      <c r="X78" s="22">
        <f t="shared" si="72"/>
        <v>7950.153005887877</v>
      </c>
      <c r="Y78" s="22">
        <f t="shared" si="73"/>
        <v>-211.70462504757506</v>
      </c>
      <c r="Z78" s="22">
        <f t="shared" si="96"/>
        <v>0</v>
      </c>
      <c r="AA78" s="22" cm="1">
        <f t="array" ref="AA78">(Y78+Z78)*eff_invest</f>
        <v>-211.70462504757506</v>
      </c>
      <c r="AB78" s="22">
        <f>AA78*(_xlfn.XLOOKUP(Q_end,cpi!A:A,cpi!B:B)/BH78)</f>
        <v>-219.59612361565672</v>
      </c>
      <c r="AC78" s="22" cm="1">
        <f t="array" ref="AC78">INDEX('msci-indices'!C:C,MATCH($L78,'msci-indices'!$B:$B)-2)</f>
        <v>3187.708345</v>
      </c>
      <c r="AD78" s="22" cm="1">
        <f t="array" ref="AD78">INDEX('msci-indices'!D:D,MATCH($L78,'msci-indices'!$B:$B)-2)</f>
        <v>2727.9035779999999</v>
      </c>
      <c r="AE78" s="22">
        <f t="shared" si="97"/>
        <v>679258.83922273573</v>
      </c>
      <c r="AF78" s="22" cm="1">
        <f t="array" ref="AF78">INDEX('msci-indices'!C:C,MATCH($L78,'msci-indices'!$B:$B)+1)</f>
        <v>3174.5512990000002</v>
      </c>
      <c r="AG78" s="22" cm="1">
        <f t="array" ref="AG78">INDEX('msci-indices'!D:D,MATCH($L78,'msci-indices'!$B:$B)+1)</f>
        <v>2697.7873119999999</v>
      </c>
      <c r="AH78" s="22">
        <f t="shared" si="74"/>
        <v>424.53677451420981</v>
      </c>
      <c r="AI78" s="22">
        <f t="shared" si="75"/>
        <v>674622.06569128949</v>
      </c>
      <c r="AJ78" s="22">
        <f t="shared" si="98"/>
        <v>197483.8726674525</v>
      </c>
      <c r="AK78" s="22">
        <f t="shared" si="76"/>
        <v>477138.193023837</v>
      </c>
      <c r="AL78" s="22">
        <f>AJ78*(_xlfn.XLOOKUP(Q_end,cpi!A:A,cpi!B:B)/BH78)</f>
        <v>204845.27867369444</v>
      </c>
      <c r="AM78" s="22" cm="1">
        <f t="array" ref="AM78">SUMPRODUCT($AA$3:AA78,_xlfn.SORTBY($BH$3:BH78,_xlfn.SEQUENCE(ROWS($BH$3:BH78)),-1)/$BH$3)</f>
        <v>295586.03779000108</v>
      </c>
      <c r="AN78" s="22">
        <f t="shared" si="99"/>
        <v>379036.02790128841</v>
      </c>
      <c r="AO78" s="22">
        <f t="shared" si="77"/>
        <v>0</v>
      </c>
      <c r="AP78" s="22">
        <f t="shared" si="100"/>
        <v>674622.06569128949</v>
      </c>
      <c r="AQ78" s="22"/>
      <c r="AR78" s="10">
        <f>IF($B$10="3BR_H",
INDEX('ns-combined'!$C:$D,MATCH($L78,'ns-combined'!$B:$B,0),MATCH(Council_Area,'ns-combined'!$C$1:$D$1,0))*1000,
INDEX('s-combined'!$C:$D,MATCH($L78,'s-combined'!$B:$B,0),MATCH(Council_Area,'s-combined'!$C$1:$D$1,0))*1000)</f>
        <v>935000</v>
      </c>
      <c r="AS78" s="22">
        <f t="shared" si="104"/>
        <v>61750</v>
      </c>
      <c r="AT78" s="10">
        <v>0</v>
      </c>
      <c r="AU78" s="22">
        <f t="shared" si="78"/>
        <v>18700</v>
      </c>
      <c r="AV78" s="22">
        <f t="shared" si="79"/>
        <v>2688.125</v>
      </c>
      <c r="AW78" s="22">
        <f>SUM($AV$3:AV78)</f>
        <v>115247.53750000001</v>
      </c>
      <c r="AX78" s="22">
        <f t="shared" si="80"/>
        <v>739302.46250000002</v>
      </c>
      <c r="AY78" s="22">
        <f t="shared" si="81"/>
        <v>2715.0691014733352</v>
      </c>
      <c r="AZ78" s="24">
        <f t="shared" si="82"/>
        <v>1.1615268883308386E-2</v>
      </c>
      <c r="BA78" s="24">
        <f t="shared" si="83"/>
        <v>0.35000000000000003</v>
      </c>
      <c r="BB78" s="25">
        <f>IF(MortgageRate="Discounted",_xlfn.XLOOKUP(L78,'mortgage-rates'!$A:$A,'mortgage-rates'!$E:$E)/100,_xlfn.XLOOKUP(L78,'mortgage-rates'!$A:$A,'mortgage-rates'!$D:$D)/100)</f>
        <v>7.0699999999999999E-2</v>
      </c>
      <c r="BC78" s="10">
        <f t="shared" si="101"/>
        <v>100804.12166489288</v>
      </c>
      <c r="BD78" s="10">
        <f t="shared" si="84"/>
        <v>5023.3792793669663</v>
      </c>
      <c r="BE78" s="10">
        <f t="shared" si="102"/>
        <v>1781.7128504269817</v>
      </c>
      <c r="BF78" s="10">
        <f t="shared" si="105"/>
        <v>3241.6664289399846</v>
      </c>
      <c r="BG78" s="12">
        <f t="shared" si="85"/>
        <v>7738.448380840302</v>
      </c>
      <c r="BH78" s="22">
        <f>INDEX(cpi!B:B,MATCH($L78,cpi!A:A))</f>
        <v>139.5</v>
      </c>
      <c r="BI78" s="22">
        <f t="shared" si="86"/>
        <v>164.89361702127661</v>
      </c>
      <c r="BJ78" s="22">
        <f t="shared" si="87"/>
        <v>422.28036080842037</v>
      </c>
      <c r="BK78" s="22">
        <f t="shared" si="88"/>
        <v>382.61865149208802</v>
      </c>
      <c r="BL78" s="22">
        <f t="shared" si="89"/>
        <v>410.38184801352065</v>
      </c>
      <c r="BM78" s="22">
        <f t="shared" si="90"/>
        <v>819.30116014951966</v>
      </c>
      <c r="BN78" s="22">
        <f t="shared" si="91"/>
        <v>287.69230769230768</v>
      </c>
      <c r="BO78">
        <f t="shared" si="92"/>
        <v>233.40021112656743</v>
      </c>
    </row>
    <row r="79" spans="2:67" x14ac:dyDescent="0.25">
      <c r="L79" s="1">
        <f t="shared" si="103"/>
        <v>45717</v>
      </c>
      <c r="M79" s="10">
        <f t="shared" si="68"/>
        <v>658636.36272459547</v>
      </c>
      <c r="N79" s="10">
        <f t="shared" si="69"/>
        <v>650453.44476404716</v>
      </c>
      <c r="O79" s="7">
        <f t="shared" si="93"/>
        <v>1.0125803284253752</v>
      </c>
      <c r="P79" s="7">
        <f t="shared" si="70"/>
        <v>1.0415399766917222</v>
      </c>
      <c r="Q79">
        <v>77</v>
      </c>
      <c r="R79">
        <f t="shared" si="71"/>
        <v>90</v>
      </c>
      <c r="S79" s="22"/>
      <c r="T79" s="22">
        <f>IF($B$10="3BR_H",
INDEX('3BR_H-processed'!$E:$E,MATCH($L79,'3BR_H-processed'!$B:$B,0),MATCH(Council_Area,'3BR_H-processed'!$E$1:$E$1,0)),
INDEX('2BR_F-processed'!$E:$E,MATCH($L79,'2BR_F-processed'!$B:$B,0),MATCH(Council_Area,'2BR_F-processed'!$E$1:$E$1,0)))</f>
        <v>611.98415881291362</v>
      </c>
      <c r="U79" s="22">
        <f t="shared" si="94"/>
        <v>611.98415881291362</v>
      </c>
      <c r="V79" s="22">
        <f t="shared" si="95"/>
        <v>7868.3677561660315</v>
      </c>
      <c r="W79" s="22">
        <f>$B$53/4*BH79/_xlfn.XLOOKUP(Q_end,cpi!A:A,cpi!B:B)</f>
        <v>194.60953697304774</v>
      </c>
      <c r="X79" s="22">
        <f t="shared" si="72"/>
        <v>8062.9772931390789</v>
      </c>
      <c r="Y79" s="22">
        <f t="shared" si="73"/>
        <v>-321.57756429738856</v>
      </c>
      <c r="Z79" s="22">
        <f t="shared" si="96"/>
        <v>0</v>
      </c>
      <c r="AA79" s="22" cm="1">
        <f t="array" ref="AA79">(Y79+Z79)*eff_invest</f>
        <v>-321.57756429738856</v>
      </c>
      <c r="AB79" s="22">
        <f>AA79*(_xlfn.XLOOKUP(Q_end,cpi!A:A,cpi!B:B)/BH79)</f>
        <v>-330.48489739937588</v>
      </c>
      <c r="AC79" s="22" cm="1">
        <f t="array" ref="AC79">INDEX('msci-indices'!C:C,MATCH($L79,'msci-indices'!$B:$B)-2)</f>
        <v>3174.5512990000002</v>
      </c>
      <c r="AD79" s="22" cm="1">
        <f t="array" ref="AD79">INDEX('msci-indices'!D:D,MATCH($L79,'msci-indices'!$B:$B)-2)</f>
        <v>2697.7873119999999</v>
      </c>
      <c r="AE79" s="22">
        <f t="shared" si="97"/>
        <v>674300.48812699213</v>
      </c>
      <c r="AF79" s="22" cm="1">
        <f t="array" ref="AF79">INDEX('msci-indices'!C:C,MATCH($L79,'msci-indices'!$B:$B)+1)</f>
        <v>3111.4241780000002</v>
      </c>
      <c r="AG79" s="22" cm="1">
        <f t="array" ref="AG79">INDEX('msci-indices'!D:D,MATCH($L79,'msci-indices'!$B:$B)+1)</f>
        <v>2619.6825220000001</v>
      </c>
      <c r="AH79" s="22">
        <f t="shared" si="74"/>
        <v>421.43780507937009</v>
      </c>
      <c r="AI79" s="22">
        <f t="shared" si="75"/>
        <v>658636.36272459547</v>
      </c>
      <c r="AJ79" s="22">
        <f t="shared" si="98"/>
        <v>197162.29510315511</v>
      </c>
      <c r="AK79" s="22">
        <f t="shared" si="76"/>
        <v>461474.06762144039</v>
      </c>
      <c r="AL79" s="22">
        <f>AJ79*(_xlfn.XLOOKUP(Q_end,cpi!A:A,cpi!B:B)/BH79)</f>
        <v>202623.46662944986</v>
      </c>
      <c r="AM79" s="22" cm="1">
        <f t="array" ref="AM79">SUMPRODUCT($AA$3:AA79,_xlfn.SORTBY($BH$3:BH79,_xlfn.SEQUENCE(ROWS($BH$3:BH79)),-1)/$BH$3)</f>
        <v>297739.46187690925</v>
      </c>
      <c r="AN79" s="22">
        <f t="shared" si="99"/>
        <v>360896.90084768622</v>
      </c>
      <c r="AO79" s="22">
        <f t="shared" si="77"/>
        <v>0</v>
      </c>
      <c r="AP79" s="22">
        <f t="shared" si="100"/>
        <v>658636.36272459547</v>
      </c>
      <c r="AQ79" s="22"/>
      <c r="AR79" s="10">
        <f>IF($B$10="3BR_H",
INDEX('ns-combined'!$C:$D,MATCH($L79,'ns-combined'!$B:$B,0),MATCH(Council_Area,'ns-combined'!$C$1:$D$1,0))*1000,
INDEX('s-combined'!$C:$D,MATCH($L79,'s-combined'!$B:$B,0),MATCH(Council_Area,'s-combined'!$C$1:$D$1,0))*1000)</f>
        <v>947500</v>
      </c>
      <c r="AS79" s="22">
        <f t="shared" si="104"/>
        <v>62562.5</v>
      </c>
      <c r="AT79" s="10">
        <v>0</v>
      </c>
      <c r="AU79" s="22">
        <f t="shared" si="78"/>
        <v>18950</v>
      </c>
      <c r="AV79" s="22">
        <f t="shared" si="79"/>
        <v>2724.0625</v>
      </c>
      <c r="AW79" s="22">
        <f>SUM($AV$3:AV79)</f>
        <v>117971.6</v>
      </c>
      <c r="AX79" s="22">
        <f t="shared" si="80"/>
        <v>748015.9</v>
      </c>
      <c r="AY79" s="22">
        <f t="shared" si="81"/>
        <v>2753.9287146581114</v>
      </c>
      <c r="AZ79" s="24">
        <f t="shared" si="82"/>
        <v>1.1626084283517094E-2</v>
      </c>
      <c r="BA79" s="24">
        <f t="shared" si="83"/>
        <v>0.35000000000000003</v>
      </c>
      <c r="BB79" s="25">
        <f>IF(MortgageRate="Discounted",_xlfn.XLOOKUP(L79,'mortgage-rates'!$A:$A,'mortgage-rates'!$E:$E)/100,_xlfn.XLOOKUP(L79,'mortgage-rates'!$A:$A,'mortgage-rates'!$D:$D)/100)</f>
        <v>6.8199999999999997E-2</v>
      </c>
      <c r="BC79" s="10">
        <f t="shared" si="101"/>
        <v>97562.455235952904</v>
      </c>
      <c r="BD79" s="10">
        <f t="shared" si="84"/>
        <v>4987.4710141835794</v>
      </c>
      <c r="BE79" s="10">
        <f t="shared" si="102"/>
        <v>1663.4398617729969</v>
      </c>
      <c r="BF79" s="10">
        <f t="shared" si="105"/>
        <v>3324.0311524105828</v>
      </c>
      <c r="BG79" s="12">
        <f t="shared" si="85"/>
        <v>7741.3997288416904</v>
      </c>
      <c r="BH79" s="22">
        <f>INDEX(cpi!B:B,MATCH($L79,cpi!A:A))</f>
        <v>140.80000000000001</v>
      </c>
      <c r="BI79" s="22">
        <f t="shared" si="86"/>
        <v>166.43026004728137</v>
      </c>
      <c r="BJ79" s="22">
        <f t="shared" si="87"/>
        <v>420.53742778860141</v>
      </c>
      <c r="BK79" s="22">
        <f t="shared" si="88"/>
        <v>378.39451205481896</v>
      </c>
      <c r="BL79" s="22">
        <f t="shared" si="89"/>
        <v>407.89455306846668</v>
      </c>
      <c r="BM79" s="22">
        <f t="shared" si="90"/>
        <v>813.32054926807723</v>
      </c>
      <c r="BN79" s="22">
        <f t="shared" si="91"/>
        <v>291.53846153846155</v>
      </c>
      <c r="BO79">
        <f t="shared" si="92"/>
        <v>236.15107191128737</v>
      </c>
    </row>
    <row r="80" spans="2:67" x14ac:dyDescent="0.25">
      <c r="B80" s="7"/>
      <c r="L80" s="1">
        <f t="shared" si="103"/>
        <v>45809</v>
      </c>
      <c r="M80" s="10">
        <f t="shared" si="68"/>
        <v>729196.7604475884</v>
      </c>
      <c r="N80" s="10">
        <f t="shared" si="69"/>
        <v>672226.22591645771</v>
      </c>
      <c r="O80" s="7">
        <f t="shared" si="93"/>
        <v>1.0847490507432402</v>
      </c>
      <c r="P80" s="7">
        <f t="shared" si="70"/>
        <v>1.0586017095535125</v>
      </c>
      <c r="Q80">
        <v>78</v>
      </c>
      <c r="R80">
        <f t="shared" si="71"/>
        <v>91</v>
      </c>
      <c r="S80" s="22"/>
      <c r="T80" s="22">
        <f>IF($B$10="3BR_H",
INDEX('3BR_H-processed'!$E:$E,MATCH($L80,'3BR_H-processed'!$B:$B,0),MATCH(Council_Area,'3BR_H-processed'!$E$1:$E$1,0)),
INDEX('2BR_F-processed'!$E:$E,MATCH($L80,'2BR_F-processed'!$B:$B,0),MATCH(Council_Area,'2BR_F-processed'!$E$1:$E$1,0)))</f>
        <v>616.56766687078994</v>
      </c>
      <c r="U80" s="22">
        <f t="shared" si="94"/>
        <v>611.98415881291362</v>
      </c>
      <c r="V80" s="22">
        <f t="shared" si="95"/>
        <v>7955.7940645678773</v>
      </c>
      <c r="W80" s="22">
        <f>$B$53/4*BH80/_xlfn.XLOOKUP(Q_end,cpi!A:A,cpi!B:B)</f>
        <v>195.99170697995856</v>
      </c>
      <c r="X80" s="22">
        <f t="shared" si="72"/>
        <v>8151.7857715478358</v>
      </c>
      <c r="Y80" s="22">
        <f t="shared" si="73"/>
        <v>-451.2637546449705</v>
      </c>
      <c r="Z80" s="22">
        <f t="shared" si="96"/>
        <v>0</v>
      </c>
      <c r="AA80" s="22" cm="1">
        <f t="array" ref="AA80">(Y80+Z80)*eff_invest</f>
        <v>-451.2637546449705</v>
      </c>
      <c r="AB80" s="22">
        <f>AA80*(_xlfn.XLOOKUP(Q_end,cpi!A:A,cpi!B:B)/BH80)</f>
        <v>-460.49270308270258</v>
      </c>
      <c r="AC80" s="22" cm="1">
        <f t="array" ref="AC80">INDEX('msci-indices'!C:C,MATCH($L80,'msci-indices'!$B:$B)-2)</f>
        <v>3111.4241780000002</v>
      </c>
      <c r="AD80" s="22" cm="1">
        <f t="array" ref="AD80">INDEX('msci-indices'!D:D,MATCH($L80,'msci-indices'!$B:$B)-2)</f>
        <v>2619.6825220000001</v>
      </c>
      <c r="AE80" s="22">
        <f t="shared" si="97"/>
        <v>658185.09896995046</v>
      </c>
      <c r="AF80" s="22" cm="1">
        <f t="array" ref="AF80">INDEX('msci-indices'!C:C,MATCH($L80,'msci-indices'!$B:$B)+1)</f>
        <v>3468.7668789999998</v>
      </c>
      <c r="AG80" s="22" cm="1">
        <f t="array" ref="AG80">INDEX('msci-indices'!D:D,MATCH($L80,'msci-indices'!$B:$B)+1)</f>
        <v>2865.243618</v>
      </c>
      <c r="AH80" s="22">
        <f t="shared" si="74"/>
        <v>411.36568685621904</v>
      </c>
      <c r="AI80" s="22">
        <f t="shared" si="75"/>
        <v>729196.7604475884</v>
      </c>
      <c r="AJ80" s="22">
        <f t="shared" si="98"/>
        <v>196711.03134851012</v>
      </c>
      <c r="AK80" s="22">
        <f t="shared" si="76"/>
        <v>532485.72909907834</v>
      </c>
      <c r="AL80" s="22">
        <f>AJ80*(_xlfn.XLOOKUP(Q_end,cpi!A:A,cpi!B:B)/BH80)</f>
        <v>200734.03551572221</v>
      </c>
      <c r="AM80" s="22" cm="1">
        <f t="array" ref="AM80">SUMPRODUCT($AA$3:AA80,_xlfn.SORTBY($BH$3:BH80,_xlfn.SEQUENCE(ROWS($BH$3:BH80)),-1)/$BH$3)</f>
        <v>299460.0422430191</v>
      </c>
      <c r="AN80" s="22">
        <f t="shared" si="99"/>
        <v>429736.7182045693</v>
      </c>
      <c r="AO80" s="22">
        <f t="shared" si="77"/>
        <v>0</v>
      </c>
      <c r="AP80" s="22">
        <f t="shared" si="100"/>
        <v>729196.7604475884</v>
      </c>
      <c r="AQ80" s="22"/>
      <c r="AR80" s="10">
        <f>IF($B$10="3BR_H",
INDEX('ns-combined'!$C:$D,MATCH($L80,'ns-combined'!$B:$B,0),MATCH(Council_Area,'ns-combined'!$C$1:$D$1,0))*1000,
INDEX('s-combined'!$C:$D,MATCH($L80,'s-combined'!$B:$B,0),MATCH(Council_Area,'s-combined'!$C$1:$D$1,0))*1000)</f>
        <v>970000</v>
      </c>
      <c r="AS80" s="22">
        <f t="shared" si="104"/>
        <v>63375</v>
      </c>
      <c r="AT80" s="10">
        <v>0</v>
      </c>
      <c r="AU80" s="22">
        <f t="shared" si="78"/>
        <v>19400</v>
      </c>
      <c r="AV80" s="22">
        <f t="shared" si="79"/>
        <v>2788.75</v>
      </c>
      <c r="AW80" s="22">
        <f>SUM($AV$3:AV80)</f>
        <v>120760.35</v>
      </c>
      <c r="AX80" s="22">
        <f t="shared" si="80"/>
        <v>766464.65</v>
      </c>
      <c r="AY80" s="22">
        <f t="shared" si="81"/>
        <v>2784.5279225987574</v>
      </c>
      <c r="AZ80" s="24">
        <f t="shared" si="82"/>
        <v>1.1482589371541268E-2</v>
      </c>
      <c r="BA80" s="24">
        <f t="shared" si="83"/>
        <v>0.35000000000000003</v>
      </c>
      <c r="BB80" s="25">
        <f>IF(MortgageRate="Discounted",_xlfn.XLOOKUP(L80,'mortgage-rates'!$A:$A,'mortgage-rates'!$E:$E)/100,_xlfn.XLOOKUP(L80,'mortgage-rates'!$A:$A,'mortgage-rates'!$D:$D)/100)</f>
        <v>6.3E-2</v>
      </c>
      <c r="BC80" s="10">
        <f t="shared" si="101"/>
        <v>94238.424083542326</v>
      </c>
      <c r="BD80" s="10">
        <f t="shared" si="84"/>
        <v>4915.9940943041074</v>
      </c>
      <c r="BE80" s="10">
        <f t="shared" si="102"/>
        <v>1484.2551793157916</v>
      </c>
      <c r="BF80" s="10">
        <f t="shared" si="105"/>
        <v>3431.7389149883156</v>
      </c>
      <c r="BG80" s="12">
        <f t="shared" si="85"/>
        <v>7700.5220169028653</v>
      </c>
      <c r="BH80" s="22">
        <f>INDEX(cpi!B:B,MATCH($L80,cpi!A:A))</f>
        <v>141.80000000000001</v>
      </c>
      <c r="BI80" s="22">
        <f t="shared" si="86"/>
        <v>167.61229314420808</v>
      </c>
      <c r="BJ80" s="22">
        <f t="shared" si="87"/>
        <v>412.17488625480973</v>
      </c>
      <c r="BK80" s="22">
        <f t="shared" si="88"/>
        <v>367.43945130198153</v>
      </c>
      <c r="BL80" s="22">
        <f t="shared" si="89"/>
        <v>398.75425576896129</v>
      </c>
      <c r="BM80" s="22">
        <f t="shared" si="90"/>
        <v>793.88266157311023</v>
      </c>
      <c r="BN80" s="22">
        <f t="shared" si="91"/>
        <v>298.46153846153845</v>
      </c>
      <c r="BO80">
        <f t="shared" si="92"/>
        <v>241.97540276832314</v>
      </c>
    </row>
    <row r="81" spans="2:67" x14ac:dyDescent="0.25">
      <c r="B81" s="7"/>
      <c r="L81" s="1">
        <f t="shared" si="103"/>
        <v>45901</v>
      </c>
      <c r="M81" s="10">
        <f>AP81</f>
        <v>776003.23655505397</v>
      </c>
      <c r="N81" s="10">
        <f t="shared" si="69"/>
        <v>720912.96483144606</v>
      </c>
      <c r="O81" s="7">
        <f t="shared" si="93"/>
        <v>1.0764173685466849</v>
      </c>
      <c r="P81" s="7">
        <f t="shared" si="70"/>
        <v>1.0705874334752412</v>
      </c>
      <c r="Q81">
        <v>79</v>
      </c>
      <c r="R81">
        <f t="shared" si="71"/>
        <v>92</v>
      </c>
      <c r="S81" s="22"/>
      <c r="T81" s="22">
        <f>IF($B$10="3BR_H",
INDEX('3BR_H-processed'!$E:$E,MATCH($L81,'3BR_H-processed'!$B:$B,0),MATCH(Council_Area,'3BR_H-processed'!$E$1:$E$1,0)),
INDEX('2BR_F-processed'!$E:$E,MATCH($L81,'2BR_F-processed'!$B:$B,0),MATCH(Council_Area,'2BR_F-processed'!$E$1:$E$1,0)))</f>
        <v>628.71047430830038</v>
      </c>
      <c r="U81" s="22">
        <f t="shared" si="94"/>
        <v>611.98415881291362</v>
      </c>
      <c r="V81" s="22">
        <f t="shared" si="95"/>
        <v>8043.2203729697221</v>
      </c>
      <c r="W81" s="22">
        <f>$B$53/4*BH81/_xlfn.XLOOKUP(Q_end,cpi!A:A,cpi!B:B)</f>
        <v>198.47961299239807</v>
      </c>
      <c r="X81" s="22">
        <f t="shared" si="72"/>
        <v>8241.699985962121</v>
      </c>
      <c r="Y81" s="22">
        <f t="shared" si="73"/>
        <v>-543.40302463063745</v>
      </c>
      <c r="Z81" s="22">
        <f t="shared" si="96"/>
        <v>0</v>
      </c>
      <c r="AA81" s="22" cm="1">
        <f t="array" ref="AA81">(Y81+Z81)*eff_invest</f>
        <v>-543.40302463063745</v>
      </c>
      <c r="AB81" s="22">
        <f>AA81*(_xlfn.XLOOKUP(Q_end,cpi!A:A,cpi!B:B)/BH81)</f>
        <v>-547.56558261875512</v>
      </c>
      <c r="AC81" s="22" cm="1">
        <f t="array" ref="AC81">INDEX('msci-indices'!C:C,MATCH($L81,'msci-indices'!$B:$B)-2)</f>
        <v>3468.7668789999998</v>
      </c>
      <c r="AD81" s="22" cm="1">
        <f t="array" ref="AD81">INDEX('msci-indices'!D:D,MATCH($L81,'msci-indices'!$B:$B)-2)</f>
        <v>2865.243618</v>
      </c>
      <c r="AE81" s="22">
        <f t="shared" si="97"/>
        <v>728653.35742295778</v>
      </c>
      <c r="AF81" s="22" cm="1">
        <f t="array" ref="AF81">INDEX('msci-indices'!C:C,MATCH($L81,'msci-indices'!$B:$B)+1)</f>
        <v>3725.5302940000001</v>
      </c>
      <c r="AG81" s="22" cm="1">
        <f t="array" ref="AG81">INDEX('msci-indices'!D:D,MATCH($L81,'msci-indices'!$B:$B)+1)</f>
        <v>2996.9746749999999</v>
      </c>
      <c r="AH81" s="22">
        <f t="shared" si="74"/>
        <v>455.40834838934865</v>
      </c>
      <c r="AI81" s="22">
        <f t="shared" si="75"/>
        <v>776003.23655505397</v>
      </c>
      <c r="AJ81" s="22">
        <f t="shared" si="98"/>
        <v>196167.62832387947</v>
      </c>
      <c r="AK81" s="22">
        <f t="shared" si="76"/>
        <v>579835.60823117453</v>
      </c>
      <c r="AL81" s="22">
        <f>AJ81*(_xlfn.XLOOKUP(Q_end,cpi!A:A,cpi!B:B)/BH81)</f>
        <v>197670.30514251642</v>
      </c>
      <c r="AM81" s="22" cm="1">
        <f t="array" ref="AM81">SUMPRODUCT($AA$3:AA81,_xlfn.SORTBY($BH$3:BH81,_xlfn.SEQUENCE(ROWS($BH$3:BH81)),-1)/$BH$3)</f>
        <v>301846.76629753131</v>
      </c>
      <c r="AN81" s="22">
        <f t="shared" si="99"/>
        <v>474156.47025752265</v>
      </c>
      <c r="AO81" s="22">
        <f t="shared" si="77"/>
        <v>0</v>
      </c>
      <c r="AP81" s="22">
        <f t="shared" si="100"/>
        <v>776003.23655505397</v>
      </c>
      <c r="AQ81" s="22"/>
      <c r="AR81" s="10">
        <f>IF($B$10="3BR_H",
INDEX('ns-combined'!$C:$D,MATCH($L81,'ns-combined'!$B:$B,0),MATCH(Council_Area,'ns-combined'!$C$1:$D$1,0))*1000,
INDEX('s-combined'!$C:$D,MATCH($L81,'s-combined'!$B:$B,0),MATCH(Council_Area,'s-combined'!$C$1:$D$1,0))*1000)</f>
        <v>1020000</v>
      </c>
      <c r="AS81" s="22">
        <f t="shared" si="104"/>
        <v>64187.5</v>
      </c>
      <c r="AT81" s="10">
        <v>0</v>
      </c>
      <c r="AU81" s="22">
        <f t="shared" si="78"/>
        <v>20400</v>
      </c>
      <c r="AV81" s="22">
        <f t="shared" si="79"/>
        <v>2932.5</v>
      </c>
      <c r="AW81" s="22">
        <f>SUM($AV$3:AV81)</f>
        <v>123692.85</v>
      </c>
      <c r="AX81" s="22">
        <f t="shared" si="80"/>
        <v>811719.65</v>
      </c>
      <c r="AY81" s="22">
        <f t="shared" si="81"/>
        <v>2815.127130539403</v>
      </c>
      <c r="AZ81" s="24">
        <f t="shared" si="82"/>
        <v>1.1039714237409423E-2</v>
      </c>
      <c r="BA81" s="24">
        <f t="shared" si="83"/>
        <v>0.35000000000000003</v>
      </c>
      <c r="BB81" s="25">
        <f>IF(MortgageRate="Discounted",_xlfn.XLOOKUP(L81,'mortgage-rates'!$A:$A,'mortgage-rates'!$E:$E)/100,_xlfn.XLOOKUP(L81,'mortgage-rates'!$A:$A,'mortgage-rates'!$D:$D)/100)</f>
        <v>6.0499999999999998E-2</v>
      </c>
      <c r="BC81" s="10">
        <f t="shared" si="101"/>
        <v>90806.685168554017</v>
      </c>
      <c r="BD81" s="10">
        <f t="shared" si="84"/>
        <v>4883.1698307920806</v>
      </c>
      <c r="BE81" s="10">
        <f t="shared" si="102"/>
        <v>1373.4511131743795</v>
      </c>
      <c r="BF81" s="10">
        <f t="shared" si="105"/>
        <v>3509.7187176177013</v>
      </c>
      <c r="BG81" s="12">
        <f t="shared" si="85"/>
        <v>7698.2969613314835</v>
      </c>
      <c r="BH81" s="22">
        <f>INDEX(cpi!B:B,MATCH($L81,cpi!A:A))</f>
        <v>143.6</v>
      </c>
      <c r="BI81" s="22">
        <f t="shared" si="86"/>
        <v>169.73995271867614</v>
      </c>
      <c r="BJ81" s="22">
        <f t="shared" si="87"/>
        <v>459.51259359156273</v>
      </c>
      <c r="BK81" s="22">
        <f t="shared" si="88"/>
        <v>401.88211128753886</v>
      </c>
      <c r="BL81" s="22">
        <f t="shared" si="89"/>
        <v>442.22344890035555</v>
      </c>
      <c r="BM81" s="22">
        <f t="shared" si="90"/>
        <v>878.87931170184447</v>
      </c>
      <c r="BN81" s="22">
        <f t="shared" si="91"/>
        <v>313.84615384615387</v>
      </c>
      <c r="BO81">
        <f t="shared" si="92"/>
        <v>256.26255463146578</v>
      </c>
    </row>
    <row r="82" spans="2:67" x14ac:dyDescent="0.25">
      <c r="B82" s="7"/>
      <c r="L82" s="1">
        <f>DATE(YEAR(L81),MONTH(L81)+3,1)</f>
        <v>45992</v>
      </c>
      <c r="M82" s="10">
        <f t="shared" si="68"/>
        <v>789205.96046716883</v>
      </c>
      <c r="N82" s="10">
        <f t="shared" si="69"/>
        <v>798847.68354906375</v>
      </c>
      <c r="O82" s="7">
        <f t="shared" si="93"/>
        <v>0.98793046123754236</v>
      </c>
      <c r="P82" s="7">
        <f t="shared" si="70"/>
        <v>1.0707849300144414</v>
      </c>
      <c r="Q82">
        <v>80</v>
      </c>
      <c r="R82">
        <f t="shared" si="71"/>
        <v>92</v>
      </c>
      <c r="S82" s="22"/>
      <c r="T82" s="22">
        <f>IF($B$10="3BR_H",
INDEX('3BR_H-processed'!$E:$E,MATCH($L82,'3BR_H-processed'!$B:$B,0),MATCH(Council_Area,'3BR_H-processed'!$E$1:$E$1,0)),
INDEX('2BR_F-processed'!$E:$E,MATCH($L82,'2BR_F-processed'!$B:$B,0),MATCH(Council_Area,'2BR_F-processed'!$E$1:$E$1,0)))</f>
        <v>640.07833920877397</v>
      </c>
      <c r="U82" s="22">
        <f t="shared" si="94"/>
        <v>611.98415881291362</v>
      </c>
      <c r="V82" s="22">
        <f t="shared" si="95"/>
        <v>8043.2203729697221</v>
      </c>
      <c r="W82" s="22">
        <f>$B$53/4*BH82/_xlfn.XLOOKUP(Q_end,cpi!A:A,cpi!B:B)</f>
        <v>200</v>
      </c>
      <c r="X82" s="22">
        <f>V82+W82</f>
        <v>8243.2203729697212</v>
      </c>
      <c r="Y82" s="22">
        <f>BG82-X82</f>
        <v>-544.92341163823676</v>
      </c>
      <c r="Z82" s="22">
        <f t="shared" si="96"/>
        <v>0</v>
      </c>
      <c r="AA82" s="22" cm="1">
        <f t="array" ref="AA82">(Y82+Z82)*eff_invest</f>
        <v>-544.92341163823676</v>
      </c>
      <c r="AB82" s="22">
        <f>AA82*(_xlfn.XLOOKUP(Q_end,cpi!A:A,cpi!B:B)/BH82)</f>
        <v>-544.92341163823676</v>
      </c>
      <c r="AC82" s="22" cm="1">
        <f t="array" ref="AC82">INDEX('msci-indices'!C:C,MATCH($L82,'msci-indices'!$B:$B)-2)</f>
        <v>3725.5302940000001</v>
      </c>
      <c r="AD82" s="22" cm="1">
        <f t="array" ref="AD82">INDEX('msci-indices'!D:D,MATCH($L82,'msci-indices'!$B:$B)-2)</f>
        <v>2996.9746749999999</v>
      </c>
      <c r="AE82" s="22">
        <f t="shared" si="97"/>
        <v>775458.31314341573</v>
      </c>
      <c r="AF82" s="22" cm="1">
        <f t="array" ref="AF82">INDEX('msci-indices'!C:C,MATCH($L82,'msci-indices'!$B:$B)+1)</f>
        <v>3840.531755</v>
      </c>
      <c r="AG82" s="22" cm="1">
        <f t="array" ref="AG82">INDEX('msci-indices'!D:D,MATCH($L82,'msci-indices'!$B:$B)+1)</f>
        <v>2964.4622850000001</v>
      </c>
      <c r="AH82" s="22">
        <f t="shared" si="74"/>
        <v>484.66144571463485</v>
      </c>
      <c r="AI82" s="22">
        <f t="shared" si="75"/>
        <v>789205.96046716883</v>
      </c>
      <c r="AJ82" s="22">
        <f t="shared" si="98"/>
        <v>195622.70491224123</v>
      </c>
      <c r="AK82" s="22">
        <f t="shared" si="76"/>
        <v>593583.25555492763</v>
      </c>
      <c r="AL82" s="22">
        <f>AJ82*(_xlfn.XLOOKUP(Q_end,cpi!A:A,cpi!B:B)/BH82)</f>
        <v>195622.70491224123</v>
      </c>
      <c r="AM82" s="22" cm="1">
        <f t="array" ref="AM82">SUMPRODUCT($AA$3:AA82,_xlfn.SORTBY($BH$3:BH82,_xlfn.SEQUENCE(ROWS($BH$3:BH82)),-1)/$BH$3)</f>
        <v>303568.75458402815</v>
      </c>
      <c r="AN82" s="22">
        <f>AI82-AM82</f>
        <v>485637.20588314068</v>
      </c>
      <c r="AO82" s="22">
        <f t="shared" si="77"/>
        <v>0</v>
      </c>
      <c r="AP82" s="22">
        <f>AI82-AO82</f>
        <v>789205.96046716883</v>
      </c>
      <c r="AQ82" s="22"/>
      <c r="AR82" s="10">
        <f>IF($B$10="3BR_H",
INDEX('ns-combined'!$C:$D,MATCH($L82,'ns-combined'!$B:$B,0),MATCH(Council_Area,'ns-combined'!$C$1:$D$1,0))*1000,
INDEX('s-combined'!$C:$D,MATCH($L82,'s-combined'!$B:$B,0),MATCH(Council_Area,'s-combined'!$C$1:$D$1,0))*1000)</f>
        <v>1100000</v>
      </c>
      <c r="AS82" s="22">
        <f>AS81+$AS$3</f>
        <v>65000</v>
      </c>
      <c r="AT82" s="10">
        <v>0</v>
      </c>
      <c r="AU82" s="22">
        <f t="shared" si="78"/>
        <v>22000</v>
      </c>
      <c r="AV82" s="22">
        <f t="shared" si="79"/>
        <v>3162.5</v>
      </c>
      <c r="AW82" s="22">
        <f>SUM($AV$3:AV82)</f>
        <v>126855.35</v>
      </c>
      <c r="AX82" s="22">
        <f t="shared" si="80"/>
        <v>886144.65</v>
      </c>
      <c r="AY82" s="22">
        <f t="shared" si="81"/>
        <v>2815.127130539403</v>
      </c>
      <c r="AZ82" s="24">
        <f t="shared" si="82"/>
        <v>1.0236825929234193E-2</v>
      </c>
      <c r="BA82" s="24">
        <f t="shared" si="83"/>
        <v>0.35000000000000003</v>
      </c>
      <c r="BB82" s="25">
        <f>IF(MortgageRate="Discounted",_xlfn.XLOOKUP(L82,'mortgage-rates'!$A:$A,'mortgage-rates'!$E:$E)/100,_xlfn.XLOOKUP(L82,'mortgage-rates'!$A:$A,'mortgage-rates'!$D:$D)/100)</f>
        <v>6.0499999999999998E-2</v>
      </c>
      <c r="BC82" s="10">
        <f t="shared" si="101"/>
        <v>87296.966450936321</v>
      </c>
      <c r="BD82" s="10">
        <f t="shared" si="84"/>
        <v>4883.1698307920815</v>
      </c>
      <c r="BE82" s="10">
        <f t="shared" si="102"/>
        <v>1320.3666175704118</v>
      </c>
      <c r="BF82" s="10">
        <f t="shared" si="105"/>
        <v>3562.8032132216695</v>
      </c>
      <c r="BG82" s="12">
        <f t="shared" si="85"/>
        <v>7698.2969613314845</v>
      </c>
      <c r="BH82" s="22">
        <f>INDEX(cpi!B:B,MATCH($L82,cpi!A:A))</f>
        <v>144.69999999999999</v>
      </c>
      <c r="BI82" s="22">
        <f t="shared" si="86"/>
        <v>171.04018912529551</v>
      </c>
      <c r="BJ82" s="22">
        <f t="shared" si="87"/>
        <v>493.52641662486235</v>
      </c>
      <c r="BK82" s="22">
        <f t="shared" si="88"/>
        <v>420.35884917353138</v>
      </c>
      <c r="BL82" s="22">
        <f t="shared" si="89"/>
        <v>471.57614638946308</v>
      </c>
      <c r="BM82" s="22">
        <f t="shared" si="90"/>
        <v>935.33401248483085</v>
      </c>
      <c r="BN82" s="22">
        <f t="shared" si="91"/>
        <v>338.46153846153845</v>
      </c>
      <c r="BO82">
        <f t="shared" si="92"/>
        <v>279.75877112498893</v>
      </c>
    </row>
    <row r="83" spans="2:67" x14ac:dyDescent="0.25">
      <c r="L83" s="1"/>
      <c r="M83" s="1"/>
      <c r="N83" s="1"/>
      <c r="O83" s="1"/>
      <c r="P83" s="1"/>
      <c r="R83" s="1"/>
      <c r="S83" s="7"/>
      <c r="AD83" s="30"/>
      <c r="AE83" s="30"/>
      <c r="AG83" s="30"/>
      <c r="AH83" s="30"/>
      <c r="AI83" s="30"/>
      <c r="AK83" s="30"/>
      <c r="AL83" s="30"/>
      <c r="AM83" s="30"/>
      <c r="AN83" s="30"/>
      <c r="AO83" s="30"/>
      <c r="AP83" s="7"/>
      <c r="AQ83" s="7"/>
      <c r="AR83" s="30"/>
      <c r="AS83" s="22"/>
      <c r="AT83" s="1"/>
      <c r="AU83" s="1"/>
      <c r="AV83" s="1"/>
      <c r="AW83" s="22"/>
      <c r="AX83" s="22"/>
      <c r="AY83" s="1"/>
      <c r="AZ83" s="22"/>
      <c r="BA83" s="22"/>
      <c r="BB83" s="25"/>
      <c r="BC83" s="22"/>
      <c r="BD83" s="26"/>
      <c r="BE83" s="26"/>
      <c r="BF83" s="26"/>
      <c r="BG83" s="27"/>
      <c r="BH83" s="30"/>
      <c r="BI83" s="30"/>
      <c r="BJ83" s="30"/>
      <c r="BK83" s="30"/>
      <c r="BL83" s="30"/>
      <c r="BM83" s="30"/>
      <c r="BN83" s="30"/>
    </row>
    <row r="84" spans="2:67" x14ac:dyDescent="0.25">
      <c r="L84" s="1"/>
      <c r="M84" s="1"/>
      <c r="N84" s="1"/>
      <c r="O84" s="1"/>
      <c r="P84" s="1"/>
      <c r="R84" s="1"/>
      <c r="AI84" s="11"/>
      <c r="AL84" s="11"/>
      <c r="AM84" s="22"/>
      <c r="AN84" s="22"/>
      <c r="AR84" s="1"/>
      <c r="AS84" s="1"/>
      <c r="AT84" s="1"/>
      <c r="AU84" s="1"/>
      <c r="AV84" s="1"/>
      <c r="AW84" s="1"/>
      <c r="AY84" s="1"/>
      <c r="AZ84" s="1"/>
      <c r="BA84" s="1"/>
      <c r="BB84" s="25"/>
      <c r="BC84" s="22"/>
      <c r="BD84" s="26"/>
      <c r="BE84" s="26"/>
      <c r="BF84" s="26"/>
      <c r="BG84" s="27"/>
    </row>
    <row r="85" spans="2:67" x14ac:dyDescent="0.25">
      <c r="L85" s="1"/>
      <c r="M85" s="1"/>
      <c r="N85" s="1"/>
      <c r="O85" s="1"/>
      <c r="P85" s="1"/>
      <c r="R85" s="1"/>
      <c r="AN85" s="22"/>
      <c r="AR85" s="1"/>
      <c r="AS85" s="1"/>
      <c r="AT85" s="1"/>
      <c r="AU85" s="1"/>
      <c r="AV85" s="1"/>
      <c r="AW85" s="1"/>
      <c r="AY85" s="1"/>
      <c r="AZ85" s="1"/>
      <c r="BA85" s="1"/>
      <c r="BB85" s="25"/>
      <c r="BC85" s="22"/>
      <c r="BD85" s="26"/>
      <c r="BE85" s="26"/>
      <c r="BF85" s="26"/>
      <c r="BG85" s="27"/>
    </row>
    <row r="86" spans="2:67" x14ac:dyDescent="0.25">
      <c r="AN86" s="22"/>
      <c r="BB86" s="25"/>
      <c r="BC86" s="22"/>
      <c r="BD86" s="26"/>
      <c r="BE86" s="26"/>
      <c r="BF86" s="26"/>
      <c r="BG86" s="27"/>
    </row>
    <row r="87" spans="2:67" x14ac:dyDescent="0.25">
      <c r="AN87" s="22"/>
      <c r="BB87" s="25"/>
      <c r="BC87" s="22"/>
      <c r="BD87" s="26"/>
      <c r="BE87" s="26"/>
      <c r="BF87" s="26"/>
      <c r="BG87" s="27"/>
    </row>
    <row r="88" spans="2:67" x14ac:dyDescent="0.25">
      <c r="AN88" s="22"/>
      <c r="BB88" s="25"/>
      <c r="BC88" s="22"/>
      <c r="BD88" s="26"/>
      <c r="BE88" s="26"/>
      <c r="BF88" s="26"/>
      <c r="BG88" s="27"/>
    </row>
    <row r="89" spans="2:67" x14ac:dyDescent="0.25">
      <c r="AN89" s="22"/>
      <c r="BB89" s="25"/>
      <c r="BC89" s="22"/>
      <c r="BD89" s="26"/>
      <c r="BE89" s="26"/>
      <c r="BF89" s="26"/>
      <c r="BG89" s="27"/>
    </row>
    <row r="90" spans="2:67" x14ac:dyDescent="0.25">
      <c r="AN90" s="22"/>
      <c r="BB90" s="25"/>
      <c r="BC90" s="22"/>
      <c r="BD90" s="26"/>
      <c r="BE90" s="26"/>
      <c r="BF90" s="26"/>
      <c r="BG90" s="27"/>
    </row>
    <row r="91" spans="2:67" x14ac:dyDescent="0.25">
      <c r="AN91" s="22"/>
      <c r="BB91" s="25"/>
      <c r="BC91" s="22"/>
      <c r="BD91" s="26"/>
      <c r="BE91" s="26"/>
      <c r="BF91" s="26"/>
      <c r="BG91" s="27"/>
    </row>
    <row r="92" spans="2:67" x14ac:dyDescent="0.25">
      <c r="AN92" s="22"/>
      <c r="BB92" s="25"/>
      <c r="BC92" s="22"/>
      <c r="BD92" s="26"/>
      <c r="BE92" s="26"/>
      <c r="BF92" s="26"/>
      <c r="BG92" s="27"/>
    </row>
    <row r="93" spans="2:67" x14ac:dyDescent="0.25">
      <c r="AN93" s="22"/>
      <c r="BB93" s="25"/>
      <c r="BC93" s="22"/>
      <c r="BD93" s="26"/>
      <c r="BE93" s="26"/>
      <c r="BF93" s="26"/>
      <c r="BG93" s="27"/>
    </row>
    <row r="94" spans="2:67" x14ac:dyDescent="0.25">
      <c r="AN94" s="22"/>
      <c r="BB94" s="25"/>
      <c r="BC94" s="22"/>
      <c r="BD94" s="26"/>
      <c r="BE94" s="26"/>
      <c r="BF94" s="26"/>
      <c r="BG94" s="27"/>
    </row>
    <row r="95" spans="2:67" x14ac:dyDescent="0.25">
      <c r="AN95" s="22"/>
      <c r="BB95" s="25"/>
      <c r="BC95" s="22"/>
      <c r="BD95" s="26"/>
      <c r="BE95" s="26"/>
      <c r="BF95" s="26"/>
      <c r="BG95" s="27"/>
    </row>
    <row r="96" spans="2:67" x14ac:dyDescent="0.25">
      <c r="AN96" s="22"/>
      <c r="BB96" s="25"/>
      <c r="BC96" s="22"/>
      <c r="BD96" s="26"/>
      <c r="BE96" s="26"/>
      <c r="BF96" s="26"/>
      <c r="BG96" s="27"/>
    </row>
    <row r="97" spans="40:59" x14ac:dyDescent="0.25">
      <c r="AN97" s="22"/>
      <c r="BB97" s="25"/>
      <c r="BC97" s="22"/>
      <c r="BD97" s="26"/>
      <c r="BE97" s="26"/>
      <c r="BF97" s="26"/>
      <c r="BG97" s="27"/>
    </row>
    <row r="98" spans="40:59" x14ac:dyDescent="0.25">
      <c r="AN98" s="22"/>
      <c r="BB98" s="25"/>
      <c r="BC98" s="22"/>
      <c r="BD98" s="26"/>
      <c r="BE98" s="26"/>
      <c r="BF98" s="26"/>
      <c r="BG98" s="27"/>
    </row>
    <row r="99" spans="40:59" x14ac:dyDescent="0.25">
      <c r="AN99" s="22"/>
      <c r="BB99" s="25"/>
      <c r="BC99" s="22"/>
      <c r="BD99" s="26"/>
      <c r="BE99" s="26"/>
      <c r="BF99" s="26"/>
      <c r="BG99" s="27"/>
    </row>
    <row r="100" spans="40:59" x14ac:dyDescent="0.25">
      <c r="AN100" s="22"/>
      <c r="BB100" s="25"/>
      <c r="BC100" s="22"/>
      <c r="BD100" s="26"/>
      <c r="BE100" s="26"/>
      <c r="BF100" s="26"/>
      <c r="BG100" s="27"/>
    </row>
    <row r="101" spans="40:59" x14ac:dyDescent="0.25">
      <c r="AN101" s="22"/>
      <c r="BB101" s="25"/>
      <c r="BC101" s="22"/>
      <c r="BD101" s="26"/>
      <c r="BE101" s="26"/>
      <c r="BF101" s="26"/>
      <c r="BG101" s="27"/>
    </row>
    <row r="102" spans="40:59" x14ac:dyDescent="0.25">
      <c r="AN102" s="22"/>
      <c r="BB102" s="25"/>
      <c r="BC102" s="22"/>
      <c r="BD102" s="26"/>
      <c r="BE102" s="26"/>
      <c r="BF102" s="26"/>
      <c r="BG102" s="27"/>
    </row>
    <row r="103" spans="40:59" x14ac:dyDescent="0.25">
      <c r="AN103" s="22"/>
      <c r="BB103" s="25"/>
      <c r="BC103" s="22"/>
      <c r="BD103" s="26"/>
      <c r="BE103" s="26"/>
      <c r="BF103" s="26"/>
      <c r="BG103" s="27"/>
    </row>
    <row r="104" spans="40:59" x14ac:dyDescent="0.25">
      <c r="AN104" s="22"/>
      <c r="BB104" s="25"/>
    </row>
    <row r="105" spans="40:59" x14ac:dyDescent="0.25">
      <c r="AN105" s="22"/>
      <c r="BB105" s="25"/>
    </row>
    <row r="106" spans="40:59" x14ac:dyDescent="0.25">
      <c r="AN106" s="22"/>
      <c r="BB106" s="25"/>
    </row>
    <row r="107" spans="40:59" x14ac:dyDescent="0.25">
      <c r="AN107" s="22"/>
      <c r="BB107" s="25"/>
    </row>
    <row r="108" spans="40:59" x14ac:dyDescent="0.25">
      <c r="AN108" s="22"/>
      <c r="BB108" s="25"/>
    </row>
    <row r="109" spans="40:59" x14ac:dyDescent="0.25">
      <c r="AN109" s="22"/>
      <c r="BB109" s="25"/>
    </row>
    <row r="110" spans="40:59" x14ac:dyDescent="0.25">
      <c r="AN110" s="22"/>
    </row>
    <row r="111" spans="40:59" x14ac:dyDescent="0.25">
      <c r="AN111" s="22"/>
    </row>
    <row r="112" spans="40:59" x14ac:dyDescent="0.25">
      <c r="AN112" s="22"/>
    </row>
    <row r="113" spans="40:40" x14ac:dyDescent="0.25">
      <c r="AN113" s="22"/>
    </row>
    <row r="114" spans="40:40" x14ac:dyDescent="0.25">
      <c r="AN114" s="22"/>
    </row>
    <row r="115" spans="40:40" x14ac:dyDescent="0.25">
      <c r="AN115" s="22"/>
    </row>
    <row r="116" spans="40:40" x14ac:dyDescent="0.25">
      <c r="AN116" s="22"/>
    </row>
    <row r="117" spans="40:40" x14ac:dyDescent="0.25">
      <c r="AN117" s="22"/>
    </row>
    <row r="118" spans="40:40" x14ac:dyDescent="0.25">
      <c r="AN118" s="22"/>
    </row>
    <row r="119" spans="40:40" x14ac:dyDescent="0.25">
      <c r="AN119" s="22"/>
    </row>
    <row r="120" spans="40:40" x14ac:dyDescent="0.25">
      <c r="AN120" s="22"/>
    </row>
    <row r="121" spans="40:40" x14ac:dyDescent="0.25">
      <c r="AN121" s="22"/>
    </row>
    <row r="122" spans="40:40" x14ac:dyDescent="0.25">
      <c r="AN122" s="22"/>
    </row>
    <row r="123" spans="40:40" x14ac:dyDescent="0.25">
      <c r="AN123" s="22"/>
    </row>
    <row r="124" spans="40:40" x14ac:dyDescent="0.25">
      <c r="AN124" s="22"/>
    </row>
    <row r="125" spans="40:40" x14ac:dyDescent="0.25">
      <c r="AN125" s="22"/>
    </row>
    <row r="126" spans="40:40" x14ac:dyDescent="0.25">
      <c r="AN126" s="22"/>
    </row>
    <row r="127" spans="40:40" x14ac:dyDescent="0.25">
      <c r="AN127" s="22"/>
    </row>
    <row r="128" spans="40:40" x14ac:dyDescent="0.25">
      <c r="AN128" s="22"/>
    </row>
    <row r="129" spans="40:40" x14ac:dyDescent="0.25">
      <c r="AN129" s="22"/>
    </row>
    <row r="130" spans="40:40" x14ac:dyDescent="0.25">
      <c r="AN130" s="22"/>
    </row>
    <row r="131" spans="40:40" x14ac:dyDescent="0.25">
      <c r="AN131" s="22"/>
    </row>
    <row r="132" spans="40:40" x14ac:dyDescent="0.25">
      <c r="AN132" s="22"/>
    </row>
    <row r="133" spans="40:40" x14ac:dyDescent="0.25">
      <c r="AN133" s="22"/>
    </row>
    <row r="134" spans="40:40" x14ac:dyDescent="0.25">
      <c r="AN134" s="22"/>
    </row>
    <row r="135" spans="40:40" x14ac:dyDescent="0.25">
      <c r="AN135" s="22"/>
    </row>
    <row r="136" spans="40:40" x14ac:dyDescent="0.25">
      <c r="AN136" s="22"/>
    </row>
    <row r="137" spans="40:40" x14ac:dyDescent="0.25">
      <c r="AN137" s="22"/>
    </row>
    <row r="138" spans="40:40" x14ac:dyDescent="0.25">
      <c r="AN138" s="22"/>
    </row>
    <row r="139" spans="40:40" x14ac:dyDescent="0.25">
      <c r="AN139" s="22"/>
    </row>
    <row r="140" spans="40:40" x14ac:dyDescent="0.25">
      <c r="AN140" s="22"/>
    </row>
    <row r="141" spans="40:40" x14ac:dyDescent="0.25">
      <c r="AN141" s="22"/>
    </row>
    <row r="142" spans="40:40" x14ac:dyDescent="0.25">
      <c r="AN142" s="22"/>
    </row>
    <row r="143" spans="40:40" x14ac:dyDescent="0.25">
      <c r="AN143" s="22"/>
    </row>
    <row r="144" spans="40:40" x14ac:dyDescent="0.25">
      <c r="AN144" s="22"/>
    </row>
    <row r="145" spans="40:40" x14ac:dyDescent="0.25">
      <c r="AN145" s="22"/>
    </row>
    <row r="146" spans="40:40" x14ac:dyDescent="0.25">
      <c r="AN146" s="22"/>
    </row>
    <row r="147" spans="40:40" x14ac:dyDescent="0.25">
      <c r="AN147" s="22"/>
    </row>
    <row r="148" spans="40:40" x14ac:dyDescent="0.25">
      <c r="AN148" s="22"/>
    </row>
    <row r="149" spans="40:40" x14ac:dyDescent="0.25">
      <c r="AN149" s="22"/>
    </row>
    <row r="150" spans="40:40" x14ac:dyDescent="0.25">
      <c r="AN150" s="22"/>
    </row>
    <row r="151" spans="40:40" x14ac:dyDescent="0.25">
      <c r="AN151" s="22"/>
    </row>
    <row r="152" spans="40:40" x14ac:dyDescent="0.25">
      <c r="AN152" s="22"/>
    </row>
    <row r="153" spans="40:40" x14ac:dyDescent="0.25">
      <c r="AN153" s="22"/>
    </row>
    <row r="154" spans="40:40" x14ac:dyDescent="0.25">
      <c r="AN154" s="22"/>
    </row>
    <row r="155" spans="40:40" x14ac:dyDescent="0.25">
      <c r="AN155" s="22"/>
    </row>
    <row r="156" spans="40:40" x14ac:dyDescent="0.25">
      <c r="AN156" s="22"/>
    </row>
    <row r="157" spans="40:40" x14ac:dyDescent="0.25">
      <c r="AN157" s="22"/>
    </row>
    <row r="158" spans="40:40" x14ac:dyDescent="0.25">
      <c r="AN158" s="22"/>
    </row>
    <row r="159" spans="40:40" x14ac:dyDescent="0.25">
      <c r="AN159" s="22"/>
    </row>
    <row r="160" spans="40:40" x14ac:dyDescent="0.25">
      <c r="AN160" s="22"/>
    </row>
    <row r="161" spans="40:40" x14ac:dyDescent="0.25">
      <c r="AN161" s="22"/>
    </row>
    <row r="162" spans="40:40" x14ac:dyDescent="0.25">
      <c r="AN162" s="22"/>
    </row>
    <row r="163" spans="40:40" x14ac:dyDescent="0.25">
      <c r="AN163" s="22"/>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6679F3-8E7F-4E78-A421-D2020E983445}">
          <x14:formula1>
            <xm:f>'2BR_F-processed'!$E$1:$E$1</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466</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8" t="s">
        <v>63</v>
      </c>
      <c r="B1" s="28" t="s">
        <v>304</v>
      </c>
      <c r="C1" s="28" t="s">
        <v>460</v>
      </c>
      <c r="D1" s="28" t="s">
        <v>461</v>
      </c>
    </row>
    <row r="2" spans="1:4" x14ac:dyDescent="0.25">
      <c r="A2" t="s">
        <v>349</v>
      </c>
      <c r="B2" s="3">
        <f>DATE(YEAR(A2),MONTH(A2)+1,1)</f>
        <v>35462</v>
      </c>
      <c r="C2">
        <v>419.26599499999998</v>
      </c>
      <c r="D2">
        <v>245.207708</v>
      </c>
    </row>
    <row r="3" spans="1:4" x14ac:dyDescent="0.25">
      <c r="A3" t="s">
        <v>350</v>
      </c>
      <c r="B3" s="3">
        <f t="shared" ref="B3:B66" si="0">DATE(YEAR(A3),MONTH(A3)+1,1)</f>
        <v>35490</v>
      </c>
      <c r="C3">
        <v>421.97543999999999</v>
      </c>
      <c r="D3">
        <v>249.744114</v>
      </c>
    </row>
    <row r="4" spans="1:4" x14ac:dyDescent="0.25">
      <c r="A4" t="s">
        <v>351</v>
      </c>
      <c r="B4" s="3">
        <f t="shared" si="0"/>
        <v>35521</v>
      </c>
      <c r="C4">
        <v>412.53766899999999</v>
      </c>
      <c r="D4">
        <v>247.58019400000001</v>
      </c>
    </row>
    <row r="5" spans="1:4" x14ac:dyDescent="0.25">
      <c r="A5" t="s">
        <v>352</v>
      </c>
      <c r="B5" s="3">
        <f t="shared" si="0"/>
        <v>35551</v>
      </c>
      <c r="C5">
        <v>421.84386999999998</v>
      </c>
      <c r="D5">
        <v>254.80865900000001</v>
      </c>
    </row>
    <row r="6" spans="1:4" x14ac:dyDescent="0.25">
      <c r="A6" t="s">
        <v>353</v>
      </c>
      <c r="B6" s="3">
        <f t="shared" si="0"/>
        <v>35582</v>
      </c>
      <c r="C6">
        <v>453.076662</v>
      </c>
      <c r="D6">
        <v>267.63286599999998</v>
      </c>
    </row>
    <row r="7" spans="1:4" x14ac:dyDescent="0.25">
      <c r="A7" t="s">
        <v>354</v>
      </c>
      <c r="B7" s="3">
        <f t="shared" si="0"/>
        <v>35612</v>
      </c>
      <c r="C7">
        <v>473.95344</v>
      </c>
      <c r="D7">
        <v>281.16866099999999</v>
      </c>
    </row>
    <row r="8" spans="1:4" x14ac:dyDescent="0.25">
      <c r="A8" t="s">
        <v>355</v>
      </c>
      <c r="B8" s="3">
        <f t="shared" si="0"/>
        <v>35643</v>
      </c>
      <c r="C8">
        <v>493.872681</v>
      </c>
      <c r="D8">
        <v>282.567724</v>
      </c>
    </row>
    <row r="9" spans="1:4" x14ac:dyDescent="0.25">
      <c r="A9" t="s">
        <v>356</v>
      </c>
      <c r="B9" s="3">
        <f t="shared" si="0"/>
        <v>35674</v>
      </c>
      <c r="C9">
        <v>468.06400400000001</v>
      </c>
      <c r="D9">
        <v>268.42931800000002</v>
      </c>
    </row>
    <row r="10" spans="1:4" x14ac:dyDescent="0.25">
      <c r="A10" t="s">
        <v>357</v>
      </c>
      <c r="B10" s="3">
        <f t="shared" si="0"/>
        <v>35704</v>
      </c>
      <c r="C10">
        <v>491.88310899999999</v>
      </c>
      <c r="D10">
        <v>287.58004599999998</v>
      </c>
    </row>
    <row r="11" spans="1:4" x14ac:dyDescent="0.25">
      <c r="A11" t="s">
        <v>358</v>
      </c>
      <c r="B11" s="3">
        <f t="shared" si="0"/>
        <v>35735</v>
      </c>
      <c r="C11">
        <v>467.52385700000002</v>
      </c>
      <c r="D11">
        <v>257.39946700000002</v>
      </c>
    </row>
    <row r="12" spans="1:4" x14ac:dyDescent="0.25">
      <c r="A12" t="s">
        <v>359</v>
      </c>
      <c r="B12" s="3">
        <f t="shared" si="0"/>
        <v>35765</v>
      </c>
      <c r="C12">
        <v>470.88535200000001</v>
      </c>
      <c r="D12">
        <v>258.770014</v>
      </c>
    </row>
    <row r="13" spans="1:4" x14ac:dyDescent="0.25">
      <c r="A13" t="s">
        <v>360</v>
      </c>
      <c r="B13" s="3">
        <f t="shared" si="0"/>
        <v>35796</v>
      </c>
      <c r="C13">
        <v>475.56997200000001</v>
      </c>
      <c r="D13">
        <v>278.75803500000001</v>
      </c>
    </row>
    <row r="14" spans="1:4" x14ac:dyDescent="0.25">
      <c r="A14" t="s">
        <v>361</v>
      </c>
      <c r="B14" s="3">
        <f t="shared" si="0"/>
        <v>35827</v>
      </c>
      <c r="C14">
        <v>487.18107199999997</v>
      </c>
      <c r="D14">
        <v>282.68164000000002</v>
      </c>
    </row>
    <row r="15" spans="1:4" x14ac:dyDescent="0.25">
      <c r="A15" t="s">
        <v>362</v>
      </c>
      <c r="B15" s="3">
        <f t="shared" si="0"/>
        <v>35855</v>
      </c>
      <c r="C15">
        <v>520.56558500000006</v>
      </c>
      <c r="D15">
        <v>292.18862899999999</v>
      </c>
    </row>
    <row r="16" spans="1:4" x14ac:dyDescent="0.25">
      <c r="A16" t="s">
        <v>363</v>
      </c>
      <c r="B16" s="3">
        <f t="shared" si="0"/>
        <v>35886</v>
      </c>
      <c r="C16">
        <v>542.45833400000004</v>
      </c>
      <c r="D16">
        <v>297.69347099999999</v>
      </c>
    </row>
    <row r="17" spans="1:4" x14ac:dyDescent="0.25">
      <c r="A17" t="s">
        <v>364</v>
      </c>
      <c r="B17" s="3">
        <f t="shared" si="0"/>
        <v>35916</v>
      </c>
      <c r="C17">
        <v>547.82319199999995</v>
      </c>
      <c r="D17">
        <v>297.31546800000001</v>
      </c>
    </row>
    <row r="18" spans="1:4" x14ac:dyDescent="0.25">
      <c r="A18" t="s">
        <v>365</v>
      </c>
      <c r="B18" s="3">
        <f t="shared" si="0"/>
        <v>35947</v>
      </c>
      <c r="C18">
        <v>540.83214299999997</v>
      </c>
      <c r="D18">
        <v>294.667507</v>
      </c>
    </row>
    <row r="19" spans="1:4" x14ac:dyDescent="0.25">
      <c r="A19" t="s">
        <v>366</v>
      </c>
      <c r="B19" s="3">
        <f t="shared" si="0"/>
        <v>35977</v>
      </c>
      <c r="C19">
        <v>550.43480499999998</v>
      </c>
      <c r="D19">
        <v>293.24988500000001</v>
      </c>
    </row>
    <row r="20" spans="1:4" x14ac:dyDescent="0.25">
      <c r="A20" t="s">
        <v>367</v>
      </c>
      <c r="B20" s="3">
        <f t="shared" si="0"/>
        <v>36008</v>
      </c>
      <c r="C20">
        <v>545.83012699999995</v>
      </c>
      <c r="D20">
        <v>301.50394299999999</v>
      </c>
    </row>
    <row r="21" spans="1:4" x14ac:dyDescent="0.25">
      <c r="A21" t="s">
        <v>368</v>
      </c>
      <c r="B21" s="3">
        <f t="shared" si="0"/>
        <v>36039</v>
      </c>
      <c r="C21">
        <v>469.555497</v>
      </c>
      <c r="D21">
        <v>279.68454500000001</v>
      </c>
    </row>
    <row r="22" spans="1:4" x14ac:dyDescent="0.25">
      <c r="A22" t="s">
        <v>369</v>
      </c>
      <c r="B22" s="3">
        <f t="shared" si="0"/>
        <v>36069</v>
      </c>
      <c r="C22">
        <v>479.354175</v>
      </c>
      <c r="D22">
        <v>292.49027799999999</v>
      </c>
    </row>
    <row r="23" spans="1:4" x14ac:dyDescent="0.25">
      <c r="A23" t="s">
        <v>370</v>
      </c>
      <c r="B23" s="3">
        <f t="shared" si="0"/>
        <v>36100</v>
      </c>
      <c r="C23">
        <v>520.18450900000005</v>
      </c>
      <c r="D23">
        <v>299.94997000000001</v>
      </c>
    </row>
    <row r="24" spans="1:4" x14ac:dyDescent="0.25">
      <c r="A24" t="s">
        <v>371</v>
      </c>
      <c r="B24" s="3">
        <f t="shared" si="0"/>
        <v>36130</v>
      </c>
      <c r="C24">
        <v>548.94135900000003</v>
      </c>
      <c r="D24">
        <v>317.80167599999999</v>
      </c>
    </row>
    <row r="25" spans="1:4" x14ac:dyDescent="0.25">
      <c r="A25" t="s">
        <v>372</v>
      </c>
      <c r="B25" s="3">
        <f t="shared" si="0"/>
        <v>36161</v>
      </c>
      <c r="C25">
        <v>576.87406099999998</v>
      </c>
      <c r="D25">
        <v>326.69956000000002</v>
      </c>
    </row>
    <row r="26" spans="1:4" x14ac:dyDescent="0.25">
      <c r="A26" t="s">
        <v>373</v>
      </c>
      <c r="B26" s="3">
        <f t="shared" si="0"/>
        <v>36192</v>
      </c>
      <c r="C26">
        <v>589.02460499999995</v>
      </c>
      <c r="D26">
        <v>341.27213999999998</v>
      </c>
    </row>
    <row r="27" spans="1:4" x14ac:dyDescent="0.25">
      <c r="A27" t="s">
        <v>374</v>
      </c>
      <c r="B27" s="3">
        <f t="shared" si="0"/>
        <v>36220</v>
      </c>
      <c r="C27">
        <v>571.30165199999999</v>
      </c>
      <c r="D27">
        <v>338.67590200000001</v>
      </c>
    </row>
    <row r="28" spans="1:4" x14ac:dyDescent="0.25">
      <c r="A28" t="s">
        <v>375</v>
      </c>
      <c r="B28" s="3">
        <f t="shared" si="0"/>
        <v>36251</v>
      </c>
      <c r="C28">
        <v>595.12350400000003</v>
      </c>
      <c r="D28">
        <v>349.72103800000002</v>
      </c>
    </row>
    <row r="29" spans="1:4" x14ac:dyDescent="0.25">
      <c r="A29" t="s">
        <v>376</v>
      </c>
      <c r="B29" s="3">
        <f t="shared" si="0"/>
        <v>36281</v>
      </c>
      <c r="C29">
        <v>623.09263199999998</v>
      </c>
      <c r="D29">
        <v>362.67756600000001</v>
      </c>
    </row>
    <row r="30" spans="1:4" x14ac:dyDescent="0.25">
      <c r="A30" t="s">
        <v>377</v>
      </c>
      <c r="B30" s="3">
        <f t="shared" si="0"/>
        <v>36312</v>
      </c>
      <c r="C30">
        <v>603.66703900000005</v>
      </c>
      <c r="D30">
        <v>341.25879600000002</v>
      </c>
    </row>
    <row r="31" spans="1:4" x14ac:dyDescent="0.25">
      <c r="A31" t="s">
        <v>378</v>
      </c>
      <c r="B31" s="3">
        <f t="shared" si="0"/>
        <v>36342</v>
      </c>
      <c r="C31">
        <v>632.94609400000002</v>
      </c>
      <c r="D31">
        <v>353.43616200000002</v>
      </c>
    </row>
    <row r="32" spans="1:4" x14ac:dyDescent="0.25">
      <c r="A32" t="s">
        <v>379</v>
      </c>
      <c r="B32" s="3">
        <f t="shared" si="0"/>
        <v>36373</v>
      </c>
      <c r="C32">
        <v>632.94434100000001</v>
      </c>
      <c r="D32">
        <v>357.66240900000003</v>
      </c>
    </row>
    <row r="33" spans="1:4" x14ac:dyDescent="0.25">
      <c r="A33" t="s">
        <v>380</v>
      </c>
      <c r="B33" s="3">
        <f t="shared" si="0"/>
        <v>36404</v>
      </c>
      <c r="C33">
        <v>634.60723099999996</v>
      </c>
      <c r="D33">
        <v>349.73998799999998</v>
      </c>
    </row>
    <row r="34" spans="1:4" x14ac:dyDescent="0.25">
      <c r="A34" t="s">
        <v>381</v>
      </c>
      <c r="B34" s="3">
        <f t="shared" si="0"/>
        <v>36434</v>
      </c>
      <c r="C34">
        <v>632.02789399999995</v>
      </c>
      <c r="D34">
        <v>345.53602100000001</v>
      </c>
    </row>
    <row r="35" spans="1:4" x14ac:dyDescent="0.25">
      <c r="A35" t="s">
        <v>382</v>
      </c>
      <c r="B35" s="3">
        <f t="shared" si="0"/>
        <v>36465</v>
      </c>
      <c r="C35">
        <v>663.264994</v>
      </c>
      <c r="D35">
        <v>346.95410600000002</v>
      </c>
    </row>
    <row r="36" spans="1:4" x14ac:dyDescent="0.25">
      <c r="A36" t="s">
        <v>383</v>
      </c>
      <c r="B36" s="3">
        <f t="shared" si="0"/>
        <v>36495</v>
      </c>
      <c r="C36">
        <v>690.32487800000001</v>
      </c>
      <c r="D36">
        <v>370.51854700000001</v>
      </c>
    </row>
    <row r="37" spans="1:4" x14ac:dyDescent="0.25">
      <c r="A37" t="s">
        <v>384</v>
      </c>
      <c r="B37" s="3">
        <f t="shared" si="0"/>
        <v>36526</v>
      </c>
      <c r="C37">
        <v>745.81840699999998</v>
      </c>
      <c r="D37">
        <v>379.19121799999999</v>
      </c>
    </row>
    <row r="38" spans="1:4" x14ac:dyDescent="0.25">
      <c r="A38" t="s">
        <v>385</v>
      </c>
      <c r="B38" s="3">
        <f t="shared" si="0"/>
        <v>36557</v>
      </c>
      <c r="C38">
        <v>709.30854399999998</v>
      </c>
      <c r="D38">
        <v>373.13591100000002</v>
      </c>
    </row>
    <row r="39" spans="1:4" x14ac:dyDescent="0.25">
      <c r="A39" t="s">
        <v>386</v>
      </c>
      <c r="B39" s="3">
        <f t="shared" si="0"/>
        <v>36586</v>
      </c>
      <c r="C39">
        <v>730.75816599999996</v>
      </c>
      <c r="D39">
        <v>378.41239000000002</v>
      </c>
    </row>
    <row r="40" spans="1:4" x14ac:dyDescent="0.25">
      <c r="A40" t="s">
        <v>387</v>
      </c>
      <c r="B40" s="3">
        <f t="shared" si="0"/>
        <v>36617</v>
      </c>
      <c r="C40">
        <v>761.42918399999996</v>
      </c>
      <c r="D40">
        <v>382.68910399999999</v>
      </c>
    </row>
    <row r="41" spans="1:4" x14ac:dyDescent="0.25">
      <c r="A41" t="s">
        <v>388</v>
      </c>
      <c r="B41" s="3">
        <f t="shared" si="0"/>
        <v>36647</v>
      </c>
      <c r="C41">
        <v>716.50829499999998</v>
      </c>
      <c r="D41">
        <v>377.67006900000001</v>
      </c>
    </row>
    <row r="42" spans="1:4" x14ac:dyDescent="0.25">
      <c r="A42" t="s">
        <v>389</v>
      </c>
      <c r="B42" s="3">
        <f t="shared" si="0"/>
        <v>36678</v>
      </c>
      <c r="C42">
        <v>691.711366</v>
      </c>
      <c r="D42">
        <v>371.946934</v>
      </c>
    </row>
    <row r="43" spans="1:4" x14ac:dyDescent="0.25">
      <c r="A43" t="s">
        <v>390</v>
      </c>
      <c r="B43" s="3">
        <f t="shared" si="0"/>
        <v>36708</v>
      </c>
      <c r="C43">
        <v>723.48165300000005</v>
      </c>
      <c r="D43">
        <v>398.62485600000002</v>
      </c>
    </row>
    <row r="44" spans="1:4" x14ac:dyDescent="0.25">
      <c r="A44" t="s">
        <v>391</v>
      </c>
      <c r="B44" s="3">
        <f t="shared" si="0"/>
        <v>36739</v>
      </c>
      <c r="C44">
        <v>700.33131600000002</v>
      </c>
      <c r="D44">
        <v>394.40840900000001</v>
      </c>
    </row>
    <row r="45" spans="1:4" x14ac:dyDescent="0.25">
      <c r="A45" t="s">
        <v>392</v>
      </c>
      <c r="B45" s="3">
        <f t="shared" si="0"/>
        <v>36770</v>
      </c>
      <c r="C45">
        <v>734.25646800000004</v>
      </c>
      <c r="D45">
        <v>397.64990899999998</v>
      </c>
    </row>
    <row r="46" spans="1:4" x14ac:dyDescent="0.25">
      <c r="A46" t="s">
        <v>393</v>
      </c>
      <c r="B46" s="3">
        <f t="shared" si="0"/>
        <v>36800</v>
      </c>
      <c r="C46">
        <v>697.733655</v>
      </c>
      <c r="D46">
        <v>398.73303399999998</v>
      </c>
    </row>
    <row r="47" spans="1:4" x14ac:dyDescent="0.25">
      <c r="A47" t="s">
        <v>394</v>
      </c>
      <c r="B47" s="3">
        <f t="shared" si="0"/>
        <v>36831</v>
      </c>
      <c r="C47">
        <v>676.89342699999997</v>
      </c>
      <c r="D47">
        <v>395.55164400000001</v>
      </c>
    </row>
    <row r="48" spans="1:4" x14ac:dyDescent="0.25">
      <c r="A48" t="s">
        <v>395</v>
      </c>
      <c r="B48" s="3">
        <f t="shared" si="0"/>
        <v>36861</v>
      </c>
      <c r="C48">
        <v>627.38469599999996</v>
      </c>
      <c r="D48">
        <v>399.26271500000001</v>
      </c>
    </row>
    <row r="49" spans="1:4" x14ac:dyDescent="0.25">
      <c r="A49" t="s">
        <v>396</v>
      </c>
      <c r="B49" s="3">
        <f t="shared" si="0"/>
        <v>36892</v>
      </c>
      <c r="C49">
        <v>641.01747399999999</v>
      </c>
      <c r="D49">
        <v>392.21904599999999</v>
      </c>
    </row>
    <row r="50" spans="1:4" x14ac:dyDescent="0.25">
      <c r="A50" t="s">
        <v>397</v>
      </c>
      <c r="B50" s="3">
        <f t="shared" si="0"/>
        <v>36923</v>
      </c>
      <c r="C50">
        <v>655.66203299999995</v>
      </c>
      <c r="D50">
        <v>411.012811</v>
      </c>
    </row>
    <row r="51" spans="1:4" x14ac:dyDescent="0.25">
      <c r="A51" t="s">
        <v>398</v>
      </c>
      <c r="B51" s="3">
        <f t="shared" si="0"/>
        <v>36951</v>
      </c>
      <c r="C51">
        <v>598.73344299999997</v>
      </c>
      <c r="D51">
        <v>407.13708600000001</v>
      </c>
    </row>
    <row r="52" spans="1:4" x14ac:dyDescent="0.25">
      <c r="A52" t="s">
        <v>399</v>
      </c>
      <c r="B52" s="3">
        <f t="shared" si="0"/>
        <v>36982</v>
      </c>
      <c r="C52">
        <v>556.67208900000003</v>
      </c>
      <c r="D52">
        <v>390.11319400000002</v>
      </c>
    </row>
    <row r="53" spans="1:4" x14ac:dyDescent="0.25">
      <c r="A53" t="s">
        <v>400</v>
      </c>
      <c r="B53" s="3">
        <f t="shared" si="0"/>
        <v>37012</v>
      </c>
      <c r="C53">
        <v>599.73245699999995</v>
      </c>
      <c r="D53">
        <v>411.44194099999999</v>
      </c>
    </row>
    <row r="54" spans="1:4" x14ac:dyDescent="0.25">
      <c r="A54" t="s">
        <v>401</v>
      </c>
      <c r="B54" s="3">
        <f t="shared" si="0"/>
        <v>37043</v>
      </c>
      <c r="C54">
        <v>594.57954099999995</v>
      </c>
      <c r="D54">
        <v>416.925454</v>
      </c>
    </row>
    <row r="55" spans="1:4" x14ac:dyDescent="0.25">
      <c r="A55" t="s">
        <v>402</v>
      </c>
      <c r="B55" s="3">
        <f t="shared" si="0"/>
        <v>37073</v>
      </c>
      <c r="C55">
        <v>577.97751400000004</v>
      </c>
      <c r="D55">
        <v>428.45855299999999</v>
      </c>
    </row>
    <row r="56" spans="1:4" x14ac:dyDescent="0.25">
      <c r="A56" t="s">
        <v>403</v>
      </c>
      <c r="B56" s="3">
        <f t="shared" si="0"/>
        <v>37104</v>
      </c>
      <c r="C56">
        <v>565.59589800000003</v>
      </c>
      <c r="D56">
        <v>408.67690199999998</v>
      </c>
    </row>
    <row r="57" spans="1:4" x14ac:dyDescent="0.25">
      <c r="A57" t="s">
        <v>404</v>
      </c>
      <c r="B57" s="3">
        <f t="shared" si="0"/>
        <v>37135</v>
      </c>
      <c r="C57">
        <v>540.64853900000003</v>
      </c>
      <c r="D57">
        <v>402.90077000000002</v>
      </c>
    </row>
    <row r="58" spans="1:4" x14ac:dyDescent="0.25">
      <c r="A58" t="s">
        <v>405</v>
      </c>
      <c r="B58" s="3">
        <f t="shared" si="0"/>
        <v>37165</v>
      </c>
      <c r="C58">
        <v>489.05500599999999</v>
      </c>
      <c r="D58">
        <v>379.40931899999998</v>
      </c>
    </row>
    <row r="59" spans="1:4" x14ac:dyDescent="0.25">
      <c r="A59" t="s">
        <v>406</v>
      </c>
      <c r="B59" s="3">
        <f t="shared" si="0"/>
        <v>37196</v>
      </c>
      <c r="C59">
        <v>502.47792900000002</v>
      </c>
      <c r="D59">
        <v>403.27659899999998</v>
      </c>
    </row>
    <row r="60" spans="1:4" x14ac:dyDescent="0.25">
      <c r="A60" t="s">
        <v>407</v>
      </c>
      <c r="B60" s="3">
        <f t="shared" si="0"/>
        <v>37226</v>
      </c>
      <c r="C60">
        <v>531.14396699999998</v>
      </c>
      <c r="D60">
        <v>418.04074100000003</v>
      </c>
    </row>
    <row r="61" spans="1:4" x14ac:dyDescent="0.25">
      <c r="A61" t="s">
        <v>408</v>
      </c>
      <c r="B61" s="3">
        <f t="shared" si="0"/>
        <v>37257</v>
      </c>
      <c r="C61">
        <v>535.84732699999995</v>
      </c>
      <c r="D61">
        <v>428.29222499999997</v>
      </c>
    </row>
    <row r="62" spans="1:4" x14ac:dyDescent="0.25">
      <c r="A62" t="s">
        <v>409</v>
      </c>
      <c r="B62" s="3">
        <f t="shared" si="0"/>
        <v>37288</v>
      </c>
      <c r="C62">
        <v>519.53382099999999</v>
      </c>
      <c r="D62">
        <v>433.33055400000001</v>
      </c>
    </row>
    <row r="63" spans="1:4" x14ac:dyDescent="0.25">
      <c r="A63" t="s">
        <v>410</v>
      </c>
      <c r="B63" s="3">
        <f t="shared" si="0"/>
        <v>37316</v>
      </c>
      <c r="C63">
        <v>514.53895</v>
      </c>
      <c r="D63">
        <v>427.75501300000002</v>
      </c>
    </row>
    <row r="64" spans="1:4" x14ac:dyDescent="0.25">
      <c r="A64" t="s">
        <v>411</v>
      </c>
      <c r="B64" s="3">
        <f t="shared" si="0"/>
        <v>37347</v>
      </c>
      <c r="C64">
        <v>539.98240899999996</v>
      </c>
      <c r="D64">
        <v>432.43544200000002</v>
      </c>
    </row>
    <row r="65" spans="1:4" x14ac:dyDescent="0.25">
      <c r="A65" t="s">
        <v>412</v>
      </c>
      <c r="B65" s="3">
        <f t="shared" si="0"/>
        <v>37377</v>
      </c>
      <c r="C65">
        <v>527.11614399999996</v>
      </c>
      <c r="D65">
        <v>423.91694799999999</v>
      </c>
    </row>
    <row r="66" spans="1:4" x14ac:dyDescent="0.25">
      <c r="A66" t="s">
        <v>413</v>
      </c>
      <c r="B66" s="3">
        <f t="shared" si="0"/>
        <v>37408</v>
      </c>
      <c r="C66">
        <v>529.05337899999995</v>
      </c>
      <c r="D66">
        <v>426.374011</v>
      </c>
    </row>
    <row r="67" spans="1:4" x14ac:dyDescent="0.25">
      <c r="A67" t="s">
        <v>414</v>
      </c>
      <c r="B67" s="3">
        <f t="shared" ref="B67:B130" si="1">DATE(YEAR(A67),MONTH(A67)+1,1)</f>
        <v>37438</v>
      </c>
      <c r="C67">
        <v>497.15596299999999</v>
      </c>
      <c r="D67">
        <v>409.86811299999999</v>
      </c>
    </row>
    <row r="68" spans="1:4" x14ac:dyDescent="0.25">
      <c r="A68" t="s">
        <v>415</v>
      </c>
      <c r="B68" s="3">
        <f t="shared" si="1"/>
        <v>37469</v>
      </c>
      <c r="C68">
        <v>454.70469500000002</v>
      </c>
      <c r="D68">
        <v>391.43480699999998</v>
      </c>
    </row>
    <row r="69" spans="1:4" x14ac:dyDescent="0.25">
      <c r="A69" t="s">
        <v>416</v>
      </c>
      <c r="B69" s="3">
        <f t="shared" si="1"/>
        <v>37500</v>
      </c>
      <c r="C69">
        <v>455.95183400000002</v>
      </c>
      <c r="D69">
        <v>397.88295799999997</v>
      </c>
    </row>
    <row r="70" spans="1:4" x14ac:dyDescent="0.25">
      <c r="A70" t="s">
        <v>417</v>
      </c>
      <c r="B70" s="3">
        <f t="shared" si="1"/>
        <v>37530</v>
      </c>
      <c r="C70">
        <v>408.70013899999998</v>
      </c>
      <c r="D70">
        <v>381.60909900000001</v>
      </c>
    </row>
    <row r="71" spans="1:4" x14ac:dyDescent="0.25">
      <c r="A71" t="s">
        <v>418</v>
      </c>
      <c r="B71" s="3">
        <f t="shared" si="1"/>
        <v>37561</v>
      </c>
      <c r="C71">
        <v>435.50903099999999</v>
      </c>
      <c r="D71">
        <v>392.030418</v>
      </c>
    </row>
    <row r="72" spans="1:4" x14ac:dyDescent="0.25">
      <c r="A72" t="s">
        <v>419</v>
      </c>
      <c r="B72" s="3">
        <f t="shared" si="1"/>
        <v>37591</v>
      </c>
      <c r="C72">
        <v>458.79289399999999</v>
      </c>
      <c r="D72">
        <v>397.08247299999999</v>
      </c>
    </row>
    <row r="73" spans="1:4" x14ac:dyDescent="0.25">
      <c r="A73" t="s">
        <v>420</v>
      </c>
      <c r="B73" s="3">
        <f t="shared" si="1"/>
        <v>37622</v>
      </c>
      <c r="C73">
        <v>438.05187100000001</v>
      </c>
      <c r="D73">
        <v>389.53384599999998</v>
      </c>
    </row>
    <row r="74" spans="1:4" x14ac:dyDescent="0.25">
      <c r="A74" t="s">
        <v>421</v>
      </c>
      <c r="B74" s="3">
        <f t="shared" si="1"/>
        <v>37653</v>
      </c>
      <c r="C74">
        <v>424.98913299999998</v>
      </c>
      <c r="D74">
        <v>382.469696</v>
      </c>
    </row>
    <row r="75" spans="1:4" x14ac:dyDescent="0.25">
      <c r="A75" t="s">
        <v>422</v>
      </c>
      <c r="B75" s="3">
        <f t="shared" si="1"/>
        <v>37681</v>
      </c>
      <c r="C75">
        <v>417.71146599999997</v>
      </c>
      <c r="D75">
        <v>365.23843799999997</v>
      </c>
    </row>
    <row r="76" spans="1:4" x14ac:dyDescent="0.25">
      <c r="A76" t="s">
        <v>423</v>
      </c>
      <c r="B76" s="3">
        <f t="shared" si="1"/>
        <v>37712</v>
      </c>
      <c r="C76">
        <v>417.12785600000001</v>
      </c>
      <c r="D76">
        <v>379.85224199999999</v>
      </c>
    </row>
    <row r="77" spans="1:4" x14ac:dyDescent="0.25">
      <c r="A77" t="s">
        <v>424</v>
      </c>
      <c r="B77" s="3">
        <f t="shared" si="1"/>
        <v>37742</v>
      </c>
      <c r="C77">
        <v>453.42995200000001</v>
      </c>
      <c r="D77">
        <v>396.40645699999999</v>
      </c>
    </row>
    <row r="78" spans="1:4" x14ac:dyDescent="0.25">
      <c r="A78" t="s">
        <v>425</v>
      </c>
      <c r="B78" s="3">
        <f t="shared" si="1"/>
        <v>37773</v>
      </c>
      <c r="C78">
        <v>481.76416999999998</v>
      </c>
      <c r="D78">
        <v>395.906949</v>
      </c>
    </row>
    <row r="79" spans="1:4" x14ac:dyDescent="0.25">
      <c r="A79" t="s">
        <v>426</v>
      </c>
      <c r="B79" s="3">
        <f t="shared" si="1"/>
        <v>37803</v>
      </c>
      <c r="C79">
        <v>490.56626399999999</v>
      </c>
      <c r="D79">
        <v>401.72944899999999</v>
      </c>
    </row>
    <row r="80" spans="1:4" x14ac:dyDescent="0.25">
      <c r="A80" t="s">
        <v>427</v>
      </c>
      <c r="B80" s="3">
        <f t="shared" si="1"/>
        <v>37834</v>
      </c>
      <c r="C80">
        <v>501.40116999999998</v>
      </c>
      <c r="D80">
        <v>414.16278199999999</v>
      </c>
    </row>
    <row r="81" spans="1:4" x14ac:dyDescent="0.25">
      <c r="A81" t="s">
        <v>428</v>
      </c>
      <c r="B81" s="3">
        <f t="shared" si="1"/>
        <v>37865</v>
      </c>
      <c r="C81">
        <v>513.93189900000004</v>
      </c>
      <c r="D81">
        <v>424.92341699999997</v>
      </c>
    </row>
    <row r="82" spans="1:4" x14ac:dyDescent="0.25">
      <c r="A82" t="s">
        <v>429</v>
      </c>
      <c r="B82" s="3">
        <f t="shared" si="1"/>
        <v>37895</v>
      </c>
      <c r="C82">
        <v>517.59826499999997</v>
      </c>
      <c r="D82">
        <v>423.67713300000003</v>
      </c>
    </row>
    <row r="83" spans="1:4" x14ac:dyDescent="0.25">
      <c r="A83" t="s">
        <v>430</v>
      </c>
      <c r="B83" s="3">
        <f t="shared" si="1"/>
        <v>37926</v>
      </c>
      <c r="C83">
        <v>549.31843200000003</v>
      </c>
      <c r="D83">
        <v>437.952045</v>
      </c>
    </row>
    <row r="84" spans="1:4" x14ac:dyDescent="0.25">
      <c r="A84" t="s">
        <v>431</v>
      </c>
      <c r="B84" s="3">
        <f t="shared" si="1"/>
        <v>37956</v>
      </c>
      <c r="C84">
        <v>558.16411200000005</v>
      </c>
      <c r="D84">
        <v>428.613112</v>
      </c>
    </row>
    <row r="85" spans="1:4" x14ac:dyDescent="0.25">
      <c r="A85" t="s">
        <v>432</v>
      </c>
      <c r="B85" s="3">
        <f t="shared" si="1"/>
        <v>37987</v>
      </c>
      <c r="C85">
        <v>590.551287</v>
      </c>
      <c r="D85">
        <v>445.54745200000002</v>
      </c>
    </row>
    <row r="86" spans="1:4" x14ac:dyDescent="0.25">
      <c r="A86" t="s">
        <v>433</v>
      </c>
      <c r="B86" s="3">
        <f t="shared" si="1"/>
        <v>38018</v>
      </c>
      <c r="C86">
        <v>602.12515800000006</v>
      </c>
      <c r="D86">
        <v>441.16674499999999</v>
      </c>
    </row>
    <row r="87" spans="1:4" x14ac:dyDescent="0.25">
      <c r="A87" t="s">
        <v>434</v>
      </c>
      <c r="B87" s="3">
        <f t="shared" si="1"/>
        <v>38047</v>
      </c>
      <c r="C87">
        <v>613.194253</v>
      </c>
      <c r="D87">
        <v>455.74374999999998</v>
      </c>
    </row>
    <row r="88" spans="1:4" x14ac:dyDescent="0.25">
      <c r="A88" t="s">
        <v>435</v>
      </c>
      <c r="B88" s="3">
        <f t="shared" si="1"/>
        <v>38078</v>
      </c>
      <c r="C88">
        <v>611.92215799999997</v>
      </c>
      <c r="D88">
        <v>467.21541999999999</v>
      </c>
    </row>
    <row r="89" spans="1:4" x14ac:dyDescent="0.25">
      <c r="A89" t="s">
        <v>436</v>
      </c>
      <c r="B89" s="3">
        <f t="shared" si="1"/>
        <v>38108</v>
      </c>
      <c r="C89">
        <v>597.30290600000001</v>
      </c>
      <c r="D89">
        <v>464.64449200000001</v>
      </c>
    </row>
    <row r="90" spans="1:4" x14ac:dyDescent="0.25">
      <c r="A90" t="s">
        <v>437</v>
      </c>
      <c r="B90" s="3">
        <f t="shared" si="1"/>
        <v>38139</v>
      </c>
      <c r="C90">
        <v>602.76812500000005</v>
      </c>
      <c r="D90">
        <v>474.19775099999998</v>
      </c>
    </row>
    <row r="91" spans="1:4" x14ac:dyDescent="0.25">
      <c r="A91" t="s">
        <v>438</v>
      </c>
      <c r="B91" s="3">
        <f t="shared" si="1"/>
        <v>38169</v>
      </c>
      <c r="C91">
        <v>616.60845900000004</v>
      </c>
      <c r="D91">
        <v>485.52058799999998</v>
      </c>
    </row>
    <row r="92" spans="1:4" x14ac:dyDescent="0.25">
      <c r="A92" t="s">
        <v>439</v>
      </c>
      <c r="B92" s="3">
        <f t="shared" si="1"/>
        <v>38200</v>
      </c>
      <c r="C92">
        <v>595.14427599999999</v>
      </c>
      <c r="D92">
        <v>487.06471499999998</v>
      </c>
    </row>
    <row r="93" spans="1:4" x14ac:dyDescent="0.25">
      <c r="A93" t="s">
        <v>440</v>
      </c>
      <c r="B93" s="3">
        <f t="shared" si="1"/>
        <v>38231</v>
      </c>
      <c r="C93">
        <v>597.33135200000004</v>
      </c>
      <c r="D93">
        <v>493.48162400000001</v>
      </c>
    </row>
    <row r="94" spans="1:4" x14ac:dyDescent="0.25">
      <c r="A94" t="s">
        <v>441</v>
      </c>
      <c r="B94" s="3">
        <f t="shared" si="1"/>
        <v>38261</v>
      </c>
      <c r="C94">
        <v>609.98534900000004</v>
      </c>
      <c r="D94">
        <v>512.36401000000001</v>
      </c>
    </row>
    <row r="95" spans="1:4" x14ac:dyDescent="0.25">
      <c r="A95" t="s">
        <v>442</v>
      </c>
      <c r="B95" s="3">
        <f t="shared" si="1"/>
        <v>38292</v>
      </c>
      <c r="C95">
        <v>624.76145299999996</v>
      </c>
      <c r="D95">
        <v>528.98198500000001</v>
      </c>
    </row>
    <row r="96" spans="1:4" x14ac:dyDescent="0.25">
      <c r="A96" t="s">
        <v>443</v>
      </c>
      <c r="B96" s="3">
        <f t="shared" si="1"/>
        <v>38322</v>
      </c>
      <c r="C96">
        <v>658.97651699999994</v>
      </c>
      <c r="D96">
        <v>552.68751299999997</v>
      </c>
    </row>
    <row r="97" spans="1:6" x14ac:dyDescent="0.25">
      <c r="A97" t="s">
        <v>444</v>
      </c>
      <c r="B97" s="3">
        <f t="shared" si="1"/>
        <v>38353</v>
      </c>
      <c r="C97">
        <v>684.59750399999996</v>
      </c>
      <c r="D97">
        <v>569.48878100000002</v>
      </c>
    </row>
    <row r="98" spans="1:6" x14ac:dyDescent="0.25">
      <c r="A98" t="s">
        <v>445</v>
      </c>
      <c r="B98" s="3">
        <f t="shared" si="1"/>
        <v>38384</v>
      </c>
      <c r="C98">
        <v>670.03907500000003</v>
      </c>
      <c r="D98">
        <v>580.95268799999997</v>
      </c>
    </row>
    <row r="99" spans="1:6" x14ac:dyDescent="0.25">
      <c r="A99" t="s">
        <v>446</v>
      </c>
      <c r="B99" s="3">
        <f t="shared" si="1"/>
        <v>38412</v>
      </c>
      <c r="C99">
        <v>691.13903000000005</v>
      </c>
      <c r="D99">
        <v>595.55734399999994</v>
      </c>
    </row>
    <row r="100" spans="1:6" x14ac:dyDescent="0.25">
      <c r="A100" t="s">
        <v>447</v>
      </c>
      <c r="B100" s="3">
        <f t="shared" si="1"/>
        <v>38443</v>
      </c>
      <c r="C100">
        <v>677.689123</v>
      </c>
      <c r="D100">
        <v>588.82971399999997</v>
      </c>
    </row>
    <row r="101" spans="1:6" x14ac:dyDescent="0.25">
      <c r="A101" t="s">
        <v>448</v>
      </c>
      <c r="B101" s="3">
        <f t="shared" si="1"/>
        <v>38473</v>
      </c>
      <c r="C101">
        <v>661.56467899999996</v>
      </c>
      <c r="D101">
        <v>572.65475100000003</v>
      </c>
    </row>
    <row r="102" spans="1:6" x14ac:dyDescent="0.25">
      <c r="A102" t="s">
        <v>449</v>
      </c>
      <c r="B102" s="3">
        <f t="shared" si="1"/>
        <v>38504</v>
      </c>
      <c r="C102">
        <v>675.335868</v>
      </c>
      <c r="D102">
        <v>588.799443</v>
      </c>
    </row>
    <row r="103" spans="1:6" x14ac:dyDescent="0.25">
      <c r="A103" t="s">
        <v>450</v>
      </c>
      <c r="B103" s="3">
        <f t="shared" si="1"/>
        <v>38534</v>
      </c>
      <c r="C103">
        <v>683.308854</v>
      </c>
      <c r="D103">
        <v>619.34059000000002</v>
      </c>
    </row>
    <row r="104" spans="1:6" x14ac:dyDescent="0.25">
      <c r="A104" t="s">
        <v>451</v>
      </c>
      <c r="B104" s="3">
        <f t="shared" si="1"/>
        <v>38565</v>
      </c>
      <c r="C104">
        <v>708.72342200000003</v>
      </c>
      <c r="D104">
        <v>636.22614499999997</v>
      </c>
    </row>
    <row r="105" spans="1:6" x14ac:dyDescent="0.25">
      <c r="A105" t="s">
        <v>452</v>
      </c>
      <c r="B105" s="3">
        <f t="shared" si="1"/>
        <v>38596</v>
      </c>
      <c r="C105">
        <v>713.86385600000006</v>
      </c>
      <c r="D105">
        <v>651.01550699999996</v>
      </c>
    </row>
    <row r="106" spans="1:6" x14ac:dyDescent="0.25">
      <c r="A106" t="s">
        <v>453</v>
      </c>
      <c r="B106" s="3">
        <f t="shared" si="1"/>
        <v>38626</v>
      </c>
      <c r="C106">
        <v>731.66832699999998</v>
      </c>
      <c r="D106">
        <v>686.90116399999999</v>
      </c>
    </row>
    <row r="107" spans="1:6" x14ac:dyDescent="0.25">
      <c r="A107" t="s">
        <v>454</v>
      </c>
      <c r="B107" s="3">
        <f t="shared" si="1"/>
        <v>38657</v>
      </c>
      <c r="C107">
        <v>713.93244600000003</v>
      </c>
      <c r="D107">
        <v>659.29257500000006</v>
      </c>
    </row>
    <row r="108" spans="1:6" x14ac:dyDescent="0.25">
      <c r="A108" t="s">
        <v>455</v>
      </c>
      <c r="B108" s="3">
        <f t="shared" si="1"/>
        <v>38687</v>
      </c>
      <c r="C108">
        <v>737.88902800000005</v>
      </c>
      <c r="D108">
        <v>690.71817999999996</v>
      </c>
    </row>
    <row r="109" spans="1:6" x14ac:dyDescent="0.25">
      <c r="A109" t="s">
        <v>456</v>
      </c>
      <c r="B109" s="3">
        <f t="shared" si="1"/>
        <v>38718</v>
      </c>
      <c r="C109">
        <v>754.87961099999995</v>
      </c>
      <c r="D109">
        <v>712.95624699999996</v>
      </c>
      <c r="F109" s="3"/>
    </row>
    <row r="110" spans="1:6" x14ac:dyDescent="0.25">
      <c r="A110" t="s">
        <v>64</v>
      </c>
      <c r="B110" s="3">
        <f t="shared" si="1"/>
        <v>38749</v>
      </c>
      <c r="C110">
        <v>791.29907400000002</v>
      </c>
      <c r="D110">
        <v>739.35562500000003</v>
      </c>
    </row>
    <row r="111" spans="1:6" x14ac:dyDescent="0.25">
      <c r="A111" t="s">
        <v>65</v>
      </c>
      <c r="B111" s="3">
        <f t="shared" si="1"/>
        <v>38777</v>
      </c>
      <c r="C111">
        <v>789.79312600000003</v>
      </c>
      <c r="D111">
        <v>743.83735200000001</v>
      </c>
    </row>
    <row r="112" spans="1:6" x14ac:dyDescent="0.25">
      <c r="A112" t="s">
        <v>66</v>
      </c>
      <c r="B112" s="3">
        <f t="shared" si="1"/>
        <v>38808</v>
      </c>
      <c r="C112">
        <v>809.32011899999998</v>
      </c>
      <c r="D112">
        <v>780.24346800000001</v>
      </c>
      <c r="F112" s="3"/>
    </row>
    <row r="113" spans="1:6" x14ac:dyDescent="0.25">
      <c r="A113" t="s">
        <v>67</v>
      </c>
      <c r="B113" s="3">
        <f t="shared" si="1"/>
        <v>38838</v>
      </c>
      <c r="C113">
        <v>832.75785599999995</v>
      </c>
      <c r="D113">
        <v>800.31266500000004</v>
      </c>
    </row>
    <row r="114" spans="1:6" x14ac:dyDescent="0.25">
      <c r="A114" t="s">
        <v>68</v>
      </c>
      <c r="B114" s="3">
        <f t="shared" si="1"/>
        <v>38869</v>
      </c>
      <c r="C114">
        <v>803.43851500000005</v>
      </c>
      <c r="D114">
        <v>763.36238100000003</v>
      </c>
    </row>
    <row r="115" spans="1:6" x14ac:dyDescent="0.25">
      <c r="A115" t="s">
        <v>69</v>
      </c>
      <c r="B115" s="3">
        <f t="shared" si="1"/>
        <v>38899</v>
      </c>
      <c r="C115">
        <v>802.64573099999996</v>
      </c>
      <c r="D115">
        <v>780.02674300000001</v>
      </c>
      <c r="F115" s="3"/>
    </row>
    <row r="116" spans="1:6" x14ac:dyDescent="0.25">
      <c r="A116" t="s">
        <v>70</v>
      </c>
      <c r="B116" s="3">
        <f t="shared" si="1"/>
        <v>38930</v>
      </c>
      <c r="C116">
        <v>805.27560300000005</v>
      </c>
      <c r="D116">
        <v>766.24458300000003</v>
      </c>
    </row>
    <row r="117" spans="1:6" x14ac:dyDescent="0.25">
      <c r="A117" t="s">
        <v>71</v>
      </c>
      <c r="B117" s="3">
        <f t="shared" si="1"/>
        <v>38961</v>
      </c>
      <c r="C117">
        <v>826.06136200000003</v>
      </c>
      <c r="D117">
        <v>792.22571000000005</v>
      </c>
    </row>
    <row r="118" spans="1:6" x14ac:dyDescent="0.25">
      <c r="A118" t="s">
        <v>72</v>
      </c>
      <c r="B118" s="3">
        <f t="shared" si="1"/>
        <v>38991</v>
      </c>
      <c r="C118">
        <v>835.13401499999998</v>
      </c>
      <c r="D118">
        <v>801.24066600000003</v>
      </c>
      <c r="F118" s="3"/>
    </row>
    <row r="119" spans="1:6" x14ac:dyDescent="0.25">
      <c r="A119" t="s">
        <v>73</v>
      </c>
      <c r="B119" s="3">
        <f t="shared" si="1"/>
        <v>39022</v>
      </c>
      <c r="C119">
        <v>866.42879000000005</v>
      </c>
      <c r="D119">
        <v>837.47286199999996</v>
      </c>
    </row>
    <row r="120" spans="1:6" x14ac:dyDescent="0.25">
      <c r="A120" t="s">
        <v>74</v>
      </c>
      <c r="B120" s="3">
        <f t="shared" si="1"/>
        <v>39052</v>
      </c>
      <c r="C120">
        <v>889.05699800000002</v>
      </c>
      <c r="D120">
        <v>856.06237399999998</v>
      </c>
    </row>
    <row r="121" spans="1:6" x14ac:dyDescent="0.25">
      <c r="A121" t="s">
        <v>75</v>
      </c>
      <c r="B121" s="3">
        <f t="shared" si="1"/>
        <v>39083</v>
      </c>
      <c r="C121">
        <v>906.58022200000005</v>
      </c>
      <c r="D121">
        <v>885.32149100000004</v>
      </c>
    </row>
    <row r="122" spans="1:6" x14ac:dyDescent="0.25">
      <c r="A122" t="s">
        <v>76</v>
      </c>
      <c r="B122" s="3">
        <f t="shared" si="1"/>
        <v>39114</v>
      </c>
      <c r="C122">
        <v>918.27120000000002</v>
      </c>
      <c r="D122">
        <v>902.41136300000005</v>
      </c>
    </row>
    <row r="123" spans="1:6" x14ac:dyDescent="0.25">
      <c r="A123" t="s">
        <v>77</v>
      </c>
      <c r="B123" s="3">
        <f t="shared" si="1"/>
        <v>39142</v>
      </c>
      <c r="C123">
        <v>914.90818100000001</v>
      </c>
      <c r="D123">
        <v>916.61606400000005</v>
      </c>
    </row>
    <row r="124" spans="1:6" x14ac:dyDescent="0.25">
      <c r="A124" t="s">
        <v>78</v>
      </c>
      <c r="B124" s="3">
        <f t="shared" si="1"/>
        <v>39173</v>
      </c>
      <c r="C124">
        <v>932.09759399999996</v>
      </c>
      <c r="D124">
        <v>946.08734200000004</v>
      </c>
    </row>
    <row r="125" spans="1:6" x14ac:dyDescent="0.25">
      <c r="A125" t="s">
        <v>79</v>
      </c>
      <c r="B125" s="3">
        <f t="shared" si="1"/>
        <v>39203</v>
      </c>
      <c r="C125">
        <v>971.96099900000002</v>
      </c>
      <c r="D125">
        <v>975.14952900000003</v>
      </c>
    </row>
    <row r="126" spans="1:6" x14ac:dyDescent="0.25">
      <c r="A126" t="s">
        <v>80</v>
      </c>
      <c r="B126" s="3">
        <f t="shared" si="1"/>
        <v>39234</v>
      </c>
      <c r="C126">
        <v>1000</v>
      </c>
      <c r="D126">
        <v>1000</v>
      </c>
    </row>
    <row r="127" spans="1:6" x14ac:dyDescent="0.25">
      <c r="A127" t="s">
        <v>81</v>
      </c>
      <c r="B127" s="3">
        <f t="shared" si="1"/>
        <v>39264</v>
      </c>
      <c r="C127">
        <v>991.70582300000001</v>
      </c>
      <c r="D127">
        <v>1000.983113</v>
      </c>
    </row>
    <row r="128" spans="1:6" x14ac:dyDescent="0.25">
      <c r="A128" t="s">
        <v>82</v>
      </c>
      <c r="B128" s="3">
        <f t="shared" si="1"/>
        <v>39295</v>
      </c>
      <c r="C128">
        <v>968.58951500000001</v>
      </c>
      <c r="D128">
        <v>978.68189099999995</v>
      </c>
    </row>
    <row r="129" spans="1:4" x14ac:dyDescent="0.25">
      <c r="A129" t="s">
        <v>83</v>
      </c>
      <c r="B129" s="3">
        <f t="shared" si="1"/>
        <v>39326</v>
      </c>
      <c r="C129">
        <v>966.14903300000003</v>
      </c>
      <c r="D129">
        <v>1004.835473</v>
      </c>
    </row>
    <row r="130" spans="1:4" x14ac:dyDescent="0.25">
      <c r="A130" t="s">
        <v>84</v>
      </c>
      <c r="B130" s="3">
        <f t="shared" si="1"/>
        <v>39356</v>
      </c>
      <c r="C130">
        <v>1009.870131</v>
      </c>
      <c r="D130">
        <v>1061.067018</v>
      </c>
    </row>
    <row r="131" spans="1:4" x14ac:dyDescent="0.25">
      <c r="A131" t="s">
        <v>85</v>
      </c>
      <c r="B131" s="3">
        <f t="shared" ref="B131:B194" si="2">DATE(YEAR(A131),MONTH(A131)+1,1)</f>
        <v>39387</v>
      </c>
      <c r="C131">
        <v>1042.1508899999999</v>
      </c>
      <c r="D131">
        <v>1091.8532560000001</v>
      </c>
    </row>
    <row r="132" spans="1:4" x14ac:dyDescent="0.25">
      <c r="A132" t="s">
        <v>86</v>
      </c>
      <c r="B132" s="3">
        <f t="shared" si="2"/>
        <v>39417</v>
      </c>
      <c r="C132">
        <v>997.11917800000003</v>
      </c>
      <c r="D132">
        <v>1059.551391</v>
      </c>
    </row>
    <row r="133" spans="1:4" x14ac:dyDescent="0.25">
      <c r="A133" t="s">
        <v>87</v>
      </c>
      <c r="B133" s="3">
        <f t="shared" si="2"/>
        <v>39448</v>
      </c>
      <c r="C133">
        <v>983.50383399999998</v>
      </c>
      <c r="D133">
        <v>1030.119647</v>
      </c>
    </row>
    <row r="134" spans="1:4" x14ac:dyDescent="0.25">
      <c r="A134" t="s">
        <v>88</v>
      </c>
      <c r="B134" s="3">
        <f t="shared" si="2"/>
        <v>39479</v>
      </c>
      <c r="C134">
        <v>908.21018000000004</v>
      </c>
      <c r="D134">
        <v>917.29253800000004</v>
      </c>
    </row>
    <row r="135" spans="1:4" x14ac:dyDescent="0.25">
      <c r="A135" t="s">
        <v>89</v>
      </c>
      <c r="B135" s="3">
        <f t="shared" si="2"/>
        <v>39508</v>
      </c>
      <c r="C135">
        <v>904.24873600000001</v>
      </c>
      <c r="D135">
        <v>909.515897</v>
      </c>
    </row>
    <row r="136" spans="1:4" x14ac:dyDescent="0.25">
      <c r="A136" t="s">
        <v>90</v>
      </c>
      <c r="B136" s="3">
        <f t="shared" si="2"/>
        <v>39539</v>
      </c>
      <c r="C136">
        <v>894.99836200000004</v>
      </c>
      <c r="D136">
        <v>881.21372699999995</v>
      </c>
    </row>
    <row r="137" spans="1:4" x14ac:dyDescent="0.25">
      <c r="A137" t="s">
        <v>91</v>
      </c>
      <c r="B137" s="3">
        <f t="shared" si="2"/>
        <v>39569</v>
      </c>
      <c r="C137">
        <v>941.002206</v>
      </c>
      <c r="D137">
        <v>925.23994400000004</v>
      </c>
    </row>
    <row r="138" spans="1:4" x14ac:dyDescent="0.25">
      <c r="A138" t="s">
        <v>92</v>
      </c>
      <c r="B138" s="3">
        <f t="shared" si="2"/>
        <v>39600</v>
      </c>
      <c r="C138">
        <v>958.34058800000003</v>
      </c>
      <c r="D138">
        <v>937.70794799999999</v>
      </c>
    </row>
    <row r="139" spans="1:4" x14ac:dyDescent="0.25">
      <c r="A139" t="s">
        <v>93</v>
      </c>
      <c r="B139" s="3">
        <f t="shared" si="2"/>
        <v>39630</v>
      </c>
      <c r="C139">
        <v>881.79173700000001</v>
      </c>
      <c r="D139">
        <v>867.41146500000002</v>
      </c>
    </row>
    <row r="140" spans="1:4" x14ac:dyDescent="0.25">
      <c r="A140" t="s">
        <v>94</v>
      </c>
      <c r="B140" s="3">
        <f t="shared" si="2"/>
        <v>39661</v>
      </c>
      <c r="C140">
        <v>860.930924</v>
      </c>
      <c r="D140">
        <v>826.17445299999997</v>
      </c>
    </row>
    <row r="141" spans="1:4" x14ac:dyDescent="0.25">
      <c r="A141" t="s">
        <v>95</v>
      </c>
      <c r="B141" s="3">
        <f t="shared" si="2"/>
        <v>39692</v>
      </c>
      <c r="C141">
        <v>850.22364800000003</v>
      </c>
      <c r="D141">
        <v>862.53920200000005</v>
      </c>
    </row>
    <row r="142" spans="1:4" x14ac:dyDescent="0.25">
      <c r="A142" t="s">
        <v>96</v>
      </c>
      <c r="B142" s="3">
        <f t="shared" si="2"/>
        <v>39722</v>
      </c>
      <c r="C142">
        <v>747.65997700000003</v>
      </c>
      <c r="D142">
        <v>775.74397499999998</v>
      </c>
    </row>
    <row r="143" spans="1:4" x14ac:dyDescent="0.25">
      <c r="A143" t="s">
        <v>97</v>
      </c>
      <c r="B143" s="3">
        <f t="shared" si="2"/>
        <v>39753</v>
      </c>
      <c r="C143">
        <v>602.63365599999997</v>
      </c>
      <c r="D143">
        <v>678.90937199999996</v>
      </c>
    </row>
    <row r="144" spans="1:4" x14ac:dyDescent="0.25">
      <c r="A144" t="s">
        <v>98</v>
      </c>
      <c r="B144" s="3">
        <f t="shared" si="2"/>
        <v>39783</v>
      </c>
      <c r="C144">
        <v>562.23226099999999</v>
      </c>
      <c r="D144">
        <v>633.23523599999999</v>
      </c>
    </row>
    <row r="145" spans="1:4" x14ac:dyDescent="0.25">
      <c r="A145" t="s">
        <v>99</v>
      </c>
      <c r="B145" s="3">
        <f t="shared" si="2"/>
        <v>39814</v>
      </c>
      <c r="C145">
        <v>582.01081599999998</v>
      </c>
      <c r="D145">
        <v>630.66129899999999</v>
      </c>
    </row>
    <row r="146" spans="1:4" x14ac:dyDescent="0.25">
      <c r="A146" t="s">
        <v>100</v>
      </c>
      <c r="B146" s="3">
        <f t="shared" si="2"/>
        <v>39845</v>
      </c>
      <c r="C146">
        <v>531.75176799999997</v>
      </c>
      <c r="D146">
        <v>598.43572400000005</v>
      </c>
    </row>
    <row r="147" spans="1:4" x14ac:dyDescent="0.25">
      <c r="A147" t="s">
        <v>101</v>
      </c>
      <c r="B147" s="3">
        <f t="shared" si="2"/>
        <v>39873</v>
      </c>
      <c r="C147">
        <v>477.20596</v>
      </c>
      <c r="D147">
        <v>571.91131800000005</v>
      </c>
    </row>
    <row r="148" spans="1:4" x14ac:dyDescent="0.25">
      <c r="A148" t="s">
        <v>102</v>
      </c>
      <c r="B148" s="3">
        <f t="shared" si="2"/>
        <v>39904</v>
      </c>
      <c r="C148">
        <v>513.55423199999996</v>
      </c>
      <c r="D148">
        <v>621.64895000000001</v>
      </c>
    </row>
    <row r="149" spans="1:4" x14ac:dyDescent="0.25">
      <c r="A149" t="s">
        <v>103</v>
      </c>
      <c r="B149" s="3">
        <f t="shared" si="2"/>
        <v>39934</v>
      </c>
      <c r="C149">
        <v>574.22196699999995</v>
      </c>
      <c r="D149">
        <v>657.99675400000001</v>
      </c>
    </row>
    <row r="150" spans="1:4" x14ac:dyDescent="0.25">
      <c r="A150" t="s">
        <v>104</v>
      </c>
      <c r="B150" s="3">
        <f t="shared" si="2"/>
        <v>39965</v>
      </c>
      <c r="C150">
        <v>626.00798199999997</v>
      </c>
      <c r="D150">
        <v>667.46358999999995</v>
      </c>
    </row>
    <row r="151" spans="1:4" x14ac:dyDescent="0.25">
      <c r="A151" t="s">
        <v>105</v>
      </c>
      <c r="B151" s="3">
        <f t="shared" si="2"/>
        <v>39995</v>
      </c>
      <c r="C151">
        <v>624.35597900000005</v>
      </c>
      <c r="D151">
        <v>694.44244900000001</v>
      </c>
    </row>
    <row r="152" spans="1:4" x14ac:dyDescent="0.25">
      <c r="A152" t="s">
        <v>106</v>
      </c>
      <c r="B152" s="3">
        <f t="shared" si="2"/>
        <v>40026</v>
      </c>
      <c r="C152">
        <v>677.47592099999997</v>
      </c>
      <c r="D152">
        <v>746.74750600000004</v>
      </c>
    </row>
    <row r="153" spans="1:4" x14ac:dyDescent="0.25">
      <c r="A153" t="s">
        <v>107</v>
      </c>
      <c r="B153" s="3">
        <f t="shared" si="2"/>
        <v>40057</v>
      </c>
      <c r="C153">
        <v>707.04081299999996</v>
      </c>
      <c r="D153">
        <v>797.87444200000004</v>
      </c>
    </row>
    <row r="154" spans="1:4" x14ac:dyDescent="0.25">
      <c r="A154" t="s">
        <v>108</v>
      </c>
      <c r="B154" s="3">
        <f t="shared" si="2"/>
        <v>40087</v>
      </c>
      <c r="C154">
        <v>736.86332800000002</v>
      </c>
      <c r="D154">
        <v>849.38296100000002</v>
      </c>
    </row>
    <row r="155" spans="1:4" x14ac:dyDescent="0.25">
      <c r="A155" t="s">
        <v>109</v>
      </c>
      <c r="B155" s="3">
        <f t="shared" si="2"/>
        <v>40118</v>
      </c>
      <c r="C155">
        <v>721.77847399999996</v>
      </c>
      <c r="D155">
        <v>831.73330299999998</v>
      </c>
    </row>
    <row r="156" spans="1:4" x14ac:dyDescent="0.25">
      <c r="A156" t="s">
        <v>110</v>
      </c>
      <c r="B156" s="3">
        <f t="shared" si="2"/>
        <v>40148</v>
      </c>
      <c r="C156">
        <v>749.75539100000003</v>
      </c>
      <c r="D156">
        <v>846.90827100000001</v>
      </c>
    </row>
    <row r="157" spans="1:4" x14ac:dyDescent="0.25">
      <c r="A157" t="s">
        <v>111</v>
      </c>
      <c r="B157" s="3">
        <f t="shared" si="2"/>
        <v>40179</v>
      </c>
      <c r="C157">
        <v>765.74116200000003</v>
      </c>
      <c r="D157">
        <v>878.343298</v>
      </c>
    </row>
    <row r="158" spans="1:4" x14ac:dyDescent="0.25">
      <c r="A158" t="s">
        <v>112</v>
      </c>
      <c r="B158" s="3">
        <f t="shared" si="2"/>
        <v>40210</v>
      </c>
      <c r="C158">
        <v>735.72610499999996</v>
      </c>
      <c r="D158">
        <v>825.12266299999999</v>
      </c>
    </row>
    <row r="159" spans="1:4" x14ac:dyDescent="0.25">
      <c r="A159" t="s">
        <v>113</v>
      </c>
      <c r="B159" s="3">
        <f t="shared" si="2"/>
        <v>40238</v>
      </c>
      <c r="C159">
        <v>746.93843700000002</v>
      </c>
      <c r="D159">
        <v>844.79941899999994</v>
      </c>
    </row>
    <row r="160" spans="1:4" x14ac:dyDescent="0.25">
      <c r="A160" t="s">
        <v>114</v>
      </c>
      <c r="B160" s="3">
        <f t="shared" si="2"/>
        <v>40269</v>
      </c>
      <c r="C160">
        <v>794.63717599999995</v>
      </c>
      <c r="D160">
        <v>893.60148100000004</v>
      </c>
    </row>
    <row r="161" spans="1:4" x14ac:dyDescent="0.25">
      <c r="A161" t="s">
        <v>115</v>
      </c>
      <c r="B161" s="3">
        <f t="shared" si="2"/>
        <v>40299</v>
      </c>
      <c r="C161">
        <v>798.66063399999996</v>
      </c>
      <c r="D161">
        <v>878.31767300000001</v>
      </c>
    </row>
    <row r="162" spans="1:4" x14ac:dyDescent="0.25">
      <c r="A162" t="s">
        <v>116</v>
      </c>
      <c r="B162" s="3">
        <f t="shared" si="2"/>
        <v>40330</v>
      </c>
      <c r="C162">
        <v>722.13463200000001</v>
      </c>
      <c r="D162">
        <v>810.3655</v>
      </c>
    </row>
    <row r="163" spans="1:4" x14ac:dyDescent="0.25">
      <c r="A163" t="s">
        <v>117</v>
      </c>
      <c r="B163" s="3">
        <f t="shared" si="2"/>
        <v>40360</v>
      </c>
      <c r="C163">
        <v>696.18017999999995</v>
      </c>
      <c r="D163">
        <v>786.77036999999996</v>
      </c>
    </row>
    <row r="164" spans="1:4" x14ac:dyDescent="0.25">
      <c r="A164" t="s">
        <v>118</v>
      </c>
      <c r="B164" s="3">
        <f t="shared" si="2"/>
        <v>40391</v>
      </c>
      <c r="C164">
        <v>752.30474800000002</v>
      </c>
      <c r="D164">
        <v>823.47481000000005</v>
      </c>
    </row>
    <row r="165" spans="1:4" x14ac:dyDescent="0.25">
      <c r="A165" t="s">
        <v>119</v>
      </c>
      <c r="B165" s="3">
        <f t="shared" si="2"/>
        <v>40422</v>
      </c>
      <c r="C165">
        <v>723.35562900000002</v>
      </c>
      <c r="D165">
        <v>815.33957699999996</v>
      </c>
    </row>
    <row r="166" spans="1:4" x14ac:dyDescent="0.25">
      <c r="A166" t="s">
        <v>120</v>
      </c>
      <c r="B166" s="3">
        <f t="shared" si="2"/>
        <v>40452</v>
      </c>
      <c r="C166">
        <v>792.86985700000002</v>
      </c>
      <c r="D166">
        <v>855.92990299999997</v>
      </c>
    </row>
    <row r="167" spans="1:4" x14ac:dyDescent="0.25">
      <c r="A167" t="s">
        <v>121</v>
      </c>
      <c r="B167" s="3">
        <f t="shared" si="2"/>
        <v>40483</v>
      </c>
      <c r="C167">
        <v>822.66059399999995</v>
      </c>
      <c r="D167">
        <v>871.68818999999996</v>
      </c>
    </row>
    <row r="168" spans="1:4" x14ac:dyDescent="0.25">
      <c r="A168" t="s">
        <v>122</v>
      </c>
      <c r="B168" s="3">
        <f t="shared" si="2"/>
        <v>40513</v>
      </c>
      <c r="C168">
        <v>807.79310999999996</v>
      </c>
      <c r="D168">
        <v>861.36674900000003</v>
      </c>
    </row>
    <row r="169" spans="1:4" x14ac:dyDescent="0.25">
      <c r="A169" t="s">
        <v>123</v>
      </c>
      <c r="B169" s="3">
        <f t="shared" si="2"/>
        <v>40544</v>
      </c>
      <c r="C169">
        <v>869.423677</v>
      </c>
      <c r="D169">
        <v>894.74693600000001</v>
      </c>
    </row>
    <row r="170" spans="1:4" x14ac:dyDescent="0.25">
      <c r="A170" t="s">
        <v>124</v>
      </c>
      <c r="B170" s="3">
        <f t="shared" si="2"/>
        <v>40575</v>
      </c>
      <c r="C170">
        <v>887.43276300000002</v>
      </c>
      <c r="D170">
        <v>896.15149699999995</v>
      </c>
    </row>
    <row r="171" spans="1:4" x14ac:dyDescent="0.25">
      <c r="A171" t="s">
        <v>125</v>
      </c>
      <c r="B171" s="3">
        <f t="shared" si="2"/>
        <v>40603</v>
      </c>
      <c r="C171">
        <v>919.16656599999999</v>
      </c>
      <c r="D171">
        <v>917.41523800000004</v>
      </c>
    </row>
    <row r="172" spans="1:4" x14ac:dyDescent="0.25">
      <c r="A172" t="s">
        <v>126</v>
      </c>
      <c r="B172" s="3">
        <f t="shared" si="2"/>
        <v>40634</v>
      </c>
      <c r="C172">
        <v>912.83803799999998</v>
      </c>
      <c r="D172">
        <v>924.58628799999997</v>
      </c>
    </row>
    <row r="173" spans="1:4" x14ac:dyDescent="0.25">
      <c r="A173" t="s">
        <v>127</v>
      </c>
      <c r="B173" s="3">
        <f t="shared" si="2"/>
        <v>40664</v>
      </c>
      <c r="C173">
        <v>951.03076599999997</v>
      </c>
      <c r="D173">
        <v>921.430026</v>
      </c>
    </row>
    <row r="174" spans="1:4" x14ac:dyDescent="0.25">
      <c r="A174" t="s">
        <v>128</v>
      </c>
      <c r="B174" s="3">
        <f t="shared" si="2"/>
        <v>40695</v>
      </c>
      <c r="C174">
        <v>931.32413899999995</v>
      </c>
      <c r="D174">
        <v>901.03274399999998</v>
      </c>
    </row>
    <row r="175" spans="1:4" x14ac:dyDescent="0.25">
      <c r="A175" t="s">
        <v>129</v>
      </c>
      <c r="B175" s="3">
        <f t="shared" si="2"/>
        <v>40725</v>
      </c>
      <c r="C175">
        <v>915.80493999999999</v>
      </c>
      <c r="D175">
        <v>884.12823400000002</v>
      </c>
    </row>
    <row r="176" spans="1:4" x14ac:dyDescent="0.25">
      <c r="A176" t="s">
        <v>130</v>
      </c>
      <c r="B176" s="3">
        <f t="shared" si="2"/>
        <v>40756</v>
      </c>
      <c r="C176">
        <v>898.54166099999998</v>
      </c>
      <c r="D176">
        <v>847.32953399999997</v>
      </c>
    </row>
    <row r="177" spans="1:4" x14ac:dyDescent="0.25">
      <c r="A177" t="s">
        <v>131</v>
      </c>
      <c r="B177" s="3">
        <f t="shared" si="2"/>
        <v>40787</v>
      </c>
      <c r="C177">
        <v>833.72213099999999</v>
      </c>
      <c r="D177">
        <v>829.35161300000004</v>
      </c>
    </row>
    <row r="178" spans="1:4" x14ac:dyDescent="0.25">
      <c r="A178" t="s">
        <v>132</v>
      </c>
      <c r="B178" s="3">
        <f t="shared" si="2"/>
        <v>40817</v>
      </c>
      <c r="C178">
        <v>758.748516</v>
      </c>
      <c r="D178">
        <v>776.26675599999999</v>
      </c>
    </row>
    <row r="179" spans="1:4" x14ac:dyDescent="0.25">
      <c r="A179" t="s">
        <v>133</v>
      </c>
      <c r="B179" s="3">
        <f t="shared" si="2"/>
        <v>40848</v>
      </c>
      <c r="C179">
        <v>838.72975299999996</v>
      </c>
      <c r="D179">
        <v>834.08701799999994</v>
      </c>
    </row>
    <row r="180" spans="1:4" x14ac:dyDescent="0.25">
      <c r="A180" t="s">
        <v>134</v>
      </c>
      <c r="B180" s="3">
        <f t="shared" si="2"/>
        <v>40878</v>
      </c>
      <c r="C180">
        <v>818.29438200000004</v>
      </c>
      <c r="D180">
        <v>803.72623199999998</v>
      </c>
    </row>
    <row r="181" spans="1:4" x14ac:dyDescent="0.25">
      <c r="A181" t="s">
        <v>135</v>
      </c>
      <c r="B181" s="3">
        <f t="shared" si="2"/>
        <v>40909</v>
      </c>
      <c r="C181">
        <v>816.97540400000003</v>
      </c>
      <c r="D181">
        <v>790.49635000000001</v>
      </c>
    </row>
    <row r="182" spans="1:4" x14ac:dyDescent="0.25">
      <c r="A182" t="s">
        <v>136</v>
      </c>
      <c r="B182" s="3">
        <f t="shared" si="2"/>
        <v>40940</v>
      </c>
      <c r="C182">
        <v>860.75132900000006</v>
      </c>
      <c r="D182">
        <v>832.33436900000004</v>
      </c>
    </row>
    <row r="183" spans="1:4" x14ac:dyDescent="0.25">
      <c r="A183" t="s">
        <v>137</v>
      </c>
      <c r="B183" s="3">
        <f t="shared" si="2"/>
        <v>40969</v>
      </c>
      <c r="C183">
        <v>902.40033100000005</v>
      </c>
      <c r="D183">
        <v>848.33347300000003</v>
      </c>
    </row>
    <row r="184" spans="1:4" x14ac:dyDescent="0.25">
      <c r="A184" t="s">
        <v>138</v>
      </c>
      <c r="B184" s="3">
        <f t="shared" si="2"/>
        <v>41000</v>
      </c>
      <c r="C184">
        <v>913.58723299999997</v>
      </c>
      <c r="D184">
        <v>858.531702</v>
      </c>
    </row>
    <row r="185" spans="1:4" x14ac:dyDescent="0.25">
      <c r="A185" t="s">
        <v>139</v>
      </c>
      <c r="B185" s="3">
        <f t="shared" si="2"/>
        <v>41030</v>
      </c>
      <c r="C185">
        <v>903.73513700000001</v>
      </c>
      <c r="D185">
        <v>869.04784099999995</v>
      </c>
    </row>
    <row r="186" spans="1:4" x14ac:dyDescent="0.25">
      <c r="A186" t="s">
        <v>140</v>
      </c>
      <c r="B186" s="3">
        <f t="shared" si="2"/>
        <v>41061</v>
      </c>
      <c r="C186">
        <v>825.36333999999999</v>
      </c>
      <c r="D186">
        <v>808.81192899999996</v>
      </c>
    </row>
    <row r="187" spans="1:4" x14ac:dyDescent="0.25">
      <c r="A187" t="s">
        <v>141</v>
      </c>
      <c r="B187" s="3">
        <f t="shared" si="2"/>
        <v>41091</v>
      </c>
      <c r="C187">
        <v>865.80589099999997</v>
      </c>
      <c r="D187">
        <v>813.09506399999998</v>
      </c>
    </row>
    <row r="188" spans="1:4" x14ac:dyDescent="0.25">
      <c r="A188" t="s">
        <v>142</v>
      </c>
      <c r="B188" s="3">
        <f t="shared" si="2"/>
        <v>41122</v>
      </c>
      <c r="C188">
        <v>875.33399299999996</v>
      </c>
      <c r="D188">
        <v>846.55208700000003</v>
      </c>
    </row>
    <row r="189" spans="1:4" x14ac:dyDescent="0.25">
      <c r="A189" t="s">
        <v>143</v>
      </c>
      <c r="B189" s="3">
        <f t="shared" si="2"/>
        <v>41153</v>
      </c>
      <c r="C189">
        <v>898.356583</v>
      </c>
      <c r="D189">
        <v>864.26377200000002</v>
      </c>
    </row>
    <row r="190" spans="1:4" x14ac:dyDescent="0.25">
      <c r="A190" t="s">
        <v>144</v>
      </c>
      <c r="B190" s="3">
        <f t="shared" si="2"/>
        <v>41183</v>
      </c>
      <c r="C190">
        <v>923.89950299999998</v>
      </c>
      <c r="D190">
        <v>883.33647499999995</v>
      </c>
    </row>
    <row r="191" spans="1:4" x14ac:dyDescent="0.25">
      <c r="A191" t="s">
        <v>145</v>
      </c>
      <c r="B191" s="3">
        <f t="shared" si="2"/>
        <v>41214</v>
      </c>
      <c r="C191">
        <v>917.76942299999996</v>
      </c>
      <c r="D191">
        <v>909.15834099999995</v>
      </c>
    </row>
    <row r="192" spans="1:4" x14ac:dyDescent="0.25">
      <c r="A192" t="s">
        <v>146</v>
      </c>
      <c r="B192" s="3">
        <f t="shared" si="2"/>
        <v>41244</v>
      </c>
      <c r="C192">
        <v>929.165569</v>
      </c>
      <c r="D192">
        <v>912.10675700000002</v>
      </c>
    </row>
    <row r="193" spans="1:4" x14ac:dyDescent="0.25">
      <c r="A193" t="s">
        <v>147</v>
      </c>
      <c r="B193" s="3">
        <f t="shared" si="2"/>
        <v>41275</v>
      </c>
      <c r="C193">
        <v>948.15110700000002</v>
      </c>
      <c r="D193">
        <v>943.69728799999996</v>
      </c>
    </row>
    <row r="194" spans="1:4" x14ac:dyDescent="0.25">
      <c r="A194" t="s">
        <v>148</v>
      </c>
      <c r="B194" s="3">
        <f t="shared" si="2"/>
        <v>41306</v>
      </c>
      <c r="C194">
        <v>997.35141499999997</v>
      </c>
      <c r="D194">
        <v>990.70101599999998</v>
      </c>
    </row>
    <row r="195" spans="1:4" x14ac:dyDescent="0.25">
      <c r="A195" t="s">
        <v>149</v>
      </c>
      <c r="B195" s="3">
        <f t="shared" ref="B195:B258" si="3">DATE(YEAR(A195),MONTH(A195)+1,1)</f>
        <v>41334</v>
      </c>
      <c r="C195">
        <v>999.84499500000004</v>
      </c>
      <c r="D195">
        <v>1045.6892989999999</v>
      </c>
    </row>
    <row r="196" spans="1:4" x14ac:dyDescent="0.25">
      <c r="A196" t="s">
        <v>150</v>
      </c>
      <c r="B196" s="3">
        <f t="shared" si="3"/>
        <v>41365</v>
      </c>
      <c r="C196">
        <v>1024.705295</v>
      </c>
      <c r="D196">
        <v>1021.5672520000001</v>
      </c>
    </row>
    <row r="197" spans="1:4" x14ac:dyDescent="0.25">
      <c r="A197" t="s">
        <v>151</v>
      </c>
      <c r="B197" s="3">
        <f t="shared" si="3"/>
        <v>41395</v>
      </c>
      <c r="C197">
        <v>1054.361656</v>
      </c>
      <c r="D197">
        <v>1064.8594909999999</v>
      </c>
    </row>
    <row r="198" spans="1:4" x14ac:dyDescent="0.25">
      <c r="A198" t="s">
        <v>152</v>
      </c>
      <c r="B198" s="3">
        <f t="shared" si="3"/>
        <v>41426</v>
      </c>
      <c r="C198">
        <v>1056.115992</v>
      </c>
      <c r="D198">
        <v>1013.127438</v>
      </c>
    </row>
    <row r="199" spans="1:4" x14ac:dyDescent="0.25">
      <c r="A199" t="s">
        <v>153</v>
      </c>
      <c r="B199" s="3">
        <f t="shared" si="3"/>
        <v>41456</v>
      </c>
      <c r="C199">
        <v>1030.5183939999999</v>
      </c>
      <c r="D199">
        <v>988.35138400000005</v>
      </c>
    </row>
    <row r="200" spans="1:4" x14ac:dyDescent="0.25">
      <c r="A200" t="s">
        <v>154</v>
      </c>
      <c r="B200" s="3">
        <f t="shared" si="3"/>
        <v>41487</v>
      </c>
      <c r="C200">
        <v>1086.3616199999999</v>
      </c>
      <c r="D200">
        <v>1040.0141149999999</v>
      </c>
    </row>
    <row r="201" spans="1:4" x14ac:dyDescent="0.25">
      <c r="A201" t="s">
        <v>155</v>
      </c>
      <c r="B201" s="3">
        <f t="shared" si="3"/>
        <v>41518</v>
      </c>
      <c r="C201">
        <v>1063.5324410000001</v>
      </c>
      <c r="D201">
        <v>1065.3797830000001</v>
      </c>
    </row>
    <row r="202" spans="1:4" x14ac:dyDescent="0.25">
      <c r="A202" t="s">
        <v>156</v>
      </c>
      <c r="B202" s="3">
        <f t="shared" si="3"/>
        <v>41548</v>
      </c>
      <c r="C202">
        <v>1119.437079</v>
      </c>
      <c r="D202">
        <v>1088.458187</v>
      </c>
    </row>
    <row r="203" spans="1:4" x14ac:dyDescent="0.25">
      <c r="A203" t="s">
        <v>157</v>
      </c>
      <c r="B203" s="3">
        <f t="shared" si="3"/>
        <v>41579</v>
      </c>
      <c r="C203">
        <v>1161.9863210000001</v>
      </c>
      <c r="D203">
        <v>1132.4048290000001</v>
      </c>
    </row>
    <row r="204" spans="1:4" x14ac:dyDescent="0.25">
      <c r="A204" t="s">
        <v>158</v>
      </c>
      <c r="B204" s="3">
        <f t="shared" si="3"/>
        <v>41609</v>
      </c>
      <c r="C204">
        <v>1182.692513</v>
      </c>
      <c r="D204">
        <v>1117.8321410000001</v>
      </c>
    </row>
    <row r="205" spans="1:4" x14ac:dyDescent="0.25">
      <c r="A205" t="s">
        <v>159</v>
      </c>
      <c r="B205" s="3">
        <f t="shared" si="3"/>
        <v>41640</v>
      </c>
      <c r="C205">
        <v>1208.107446</v>
      </c>
      <c r="D205">
        <v>1124.7671330000001</v>
      </c>
    </row>
    <row r="206" spans="1:4" x14ac:dyDescent="0.25">
      <c r="A206" t="s">
        <v>160</v>
      </c>
      <c r="B206" s="3">
        <f t="shared" si="3"/>
        <v>41671</v>
      </c>
      <c r="C206">
        <v>1166.364677</v>
      </c>
      <c r="D206">
        <v>1090.6775709999999</v>
      </c>
    </row>
    <row r="207" spans="1:4" x14ac:dyDescent="0.25">
      <c r="A207" t="s">
        <v>161</v>
      </c>
      <c r="B207" s="3">
        <f t="shared" si="3"/>
        <v>41699</v>
      </c>
      <c r="C207">
        <v>1225.1595030000001</v>
      </c>
      <c r="D207">
        <v>1146.1314159999999</v>
      </c>
    </row>
    <row r="208" spans="1:4" x14ac:dyDescent="0.25">
      <c r="A208" t="s">
        <v>162</v>
      </c>
      <c r="B208" s="3">
        <f t="shared" si="3"/>
        <v>41730</v>
      </c>
      <c r="C208">
        <v>1225.920044</v>
      </c>
      <c r="D208">
        <v>1149.5383919999999</v>
      </c>
    </row>
    <row r="209" spans="1:4" x14ac:dyDescent="0.25">
      <c r="A209" t="s">
        <v>163</v>
      </c>
      <c r="B209" s="3">
        <f t="shared" si="3"/>
        <v>41760</v>
      </c>
      <c r="C209">
        <v>1233.94615</v>
      </c>
      <c r="D209">
        <v>1169.1929600000001</v>
      </c>
    </row>
    <row r="210" spans="1:4" x14ac:dyDescent="0.25">
      <c r="A210" t="s">
        <v>164</v>
      </c>
      <c r="B210" s="3">
        <f t="shared" si="3"/>
        <v>41791</v>
      </c>
      <c r="C210">
        <v>1256.811226</v>
      </c>
      <c r="D210">
        <v>1175.800176</v>
      </c>
    </row>
    <row r="211" spans="1:4" x14ac:dyDescent="0.25">
      <c r="A211" t="s">
        <v>165</v>
      </c>
      <c r="B211" s="3">
        <f t="shared" si="3"/>
        <v>41821</v>
      </c>
      <c r="C211">
        <v>1282.9430809999999</v>
      </c>
      <c r="D211">
        <v>1158.3053090000001</v>
      </c>
    </row>
    <row r="212" spans="1:4" x14ac:dyDescent="0.25">
      <c r="A212" t="s">
        <v>166</v>
      </c>
      <c r="B212" s="3">
        <f t="shared" si="3"/>
        <v>41852</v>
      </c>
      <c r="C212">
        <v>1258.1219189999999</v>
      </c>
      <c r="D212">
        <v>1210.442202</v>
      </c>
    </row>
    <row r="213" spans="1:4" x14ac:dyDescent="0.25">
      <c r="A213" t="s">
        <v>167</v>
      </c>
      <c r="B213" s="3">
        <f t="shared" si="3"/>
        <v>41883</v>
      </c>
      <c r="C213">
        <v>1287.3417750000001</v>
      </c>
      <c r="D213">
        <v>1216.533979</v>
      </c>
    </row>
    <row r="214" spans="1:4" x14ac:dyDescent="0.25">
      <c r="A214" t="s">
        <v>168</v>
      </c>
      <c r="B214" s="3">
        <f t="shared" si="3"/>
        <v>41913</v>
      </c>
      <c r="C214">
        <v>1247.292238</v>
      </c>
      <c r="D214">
        <v>1150.6246120000001</v>
      </c>
    </row>
    <row r="215" spans="1:4" x14ac:dyDescent="0.25">
      <c r="A215" t="s">
        <v>169</v>
      </c>
      <c r="B215" s="3">
        <f t="shared" si="3"/>
        <v>41944</v>
      </c>
      <c r="C215">
        <v>1257.1149820000001</v>
      </c>
      <c r="D215">
        <v>1200.80934</v>
      </c>
    </row>
    <row r="216" spans="1:4" x14ac:dyDescent="0.25">
      <c r="A216" t="s">
        <v>170</v>
      </c>
      <c r="B216" s="3">
        <f t="shared" si="3"/>
        <v>41974</v>
      </c>
      <c r="C216">
        <v>1279.6631170000001</v>
      </c>
      <c r="D216">
        <v>1158.7389129999999</v>
      </c>
    </row>
    <row r="217" spans="1:4" x14ac:dyDescent="0.25">
      <c r="A217" t="s">
        <v>171</v>
      </c>
      <c r="B217" s="3">
        <f t="shared" si="3"/>
        <v>42005</v>
      </c>
      <c r="C217">
        <v>1262.6926370000001</v>
      </c>
      <c r="D217">
        <v>1181.3296580000001</v>
      </c>
    </row>
    <row r="218" spans="1:4" x14ac:dyDescent="0.25">
      <c r="A218" t="s">
        <v>172</v>
      </c>
      <c r="B218" s="3">
        <f t="shared" si="3"/>
        <v>42036</v>
      </c>
      <c r="C218">
        <v>1239.8204470000001</v>
      </c>
      <c r="D218">
        <v>1216.3028099999999</v>
      </c>
    </row>
    <row r="219" spans="1:4" x14ac:dyDescent="0.25">
      <c r="A219" t="s">
        <v>173</v>
      </c>
      <c r="B219" s="3">
        <f t="shared" si="3"/>
        <v>42064</v>
      </c>
      <c r="C219">
        <v>1312.9645479999999</v>
      </c>
      <c r="D219">
        <v>1303.8206479999999</v>
      </c>
    </row>
    <row r="220" spans="1:4" x14ac:dyDescent="0.25">
      <c r="A220" t="s">
        <v>174</v>
      </c>
      <c r="B220" s="3">
        <f t="shared" si="3"/>
        <v>42095</v>
      </c>
      <c r="C220">
        <v>1295.5072580000001</v>
      </c>
      <c r="D220">
        <v>1301.9298140000001</v>
      </c>
    </row>
    <row r="221" spans="1:4" x14ac:dyDescent="0.25">
      <c r="A221" t="s">
        <v>175</v>
      </c>
      <c r="B221" s="3">
        <f t="shared" si="3"/>
        <v>42125</v>
      </c>
      <c r="C221">
        <v>1323.3910330000001</v>
      </c>
      <c r="D221">
        <v>1278.5228079999999</v>
      </c>
    </row>
    <row r="222" spans="1:4" x14ac:dyDescent="0.25">
      <c r="A222" t="s">
        <v>176</v>
      </c>
      <c r="B222" s="3">
        <f t="shared" si="3"/>
        <v>42156</v>
      </c>
      <c r="C222">
        <v>1329.9075350000001</v>
      </c>
      <c r="D222">
        <v>1284.440351</v>
      </c>
    </row>
    <row r="223" spans="1:4" x14ac:dyDescent="0.25">
      <c r="A223" t="s">
        <v>177</v>
      </c>
      <c r="B223" s="3">
        <f t="shared" si="3"/>
        <v>42186</v>
      </c>
      <c r="C223">
        <v>1301.506973</v>
      </c>
      <c r="D223">
        <v>1215.1659059999999</v>
      </c>
    </row>
    <row r="224" spans="1:4" x14ac:dyDescent="0.25">
      <c r="A224" t="s">
        <v>178</v>
      </c>
      <c r="B224" s="3">
        <f t="shared" si="3"/>
        <v>42217</v>
      </c>
      <c r="C224">
        <v>1320.921155</v>
      </c>
      <c r="D224">
        <v>1266.3947559999999</v>
      </c>
    </row>
    <row r="225" spans="1:4" x14ac:dyDescent="0.25">
      <c r="A225" t="s">
        <v>179</v>
      </c>
      <c r="B225" s="3">
        <f t="shared" si="3"/>
        <v>42248</v>
      </c>
      <c r="C225">
        <v>1235.829283</v>
      </c>
      <c r="D225">
        <v>1168.419913</v>
      </c>
    </row>
    <row r="226" spans="1:4" x14ac:dyDescent="0.25">
      <c r="A226" t="s">
        <v>180</v>
      </c>
      <c r="B226" s="3">
        <f t="shared" si="3"/>
        <v>42278</v>
      </c>
      <c r="C226">
        <v>1189.2854910000001</v>
      </c>
      <c r="D226">
        <v>1131.230902</v>
      </c>
    </row>
    <row r="227" spans="1:4" x14ac:dyDescent="0.25">
      <c r="A227" t="s">
        <v>181</v>
      </c>
      <c r="B227" s="3">
        <f t="shared" si="3"/>
        <v>42309</v>
      </c>
      <c r="C227">
        <v>1280.0525500000001</v>
      </c>
      <c r="D227">
        <v>1182.3183509999999</v>
      </c>
    </row>
    <row r="228" spans="1:4" x14ac:dyDescent="0.25">
      <c r="A228" t="s">
        <v>182</v>
      </c>
      <c r="B228" s="3">
        <f t="shared" si="3"/>
        <v>42339</v>
      </c>
      <c r="C228">
        <v>1276.396923</v>
      </c>
      <c r="D228">
        <v>1173.1806200000001</v>
      </c>
    </row>
    <row r="229" spans="1:4" x14ac:dyDescent="0.25">
      <c r="A229" t="s">
        <v>183</v>
      </c>
      <c r="B229" s="3">
        <f t="shared" si="3"/>
        <v>42370</v>
      </c>
      <c r="C229">
        <v>1252.64913</v>
      </c>
      <c r="D229">
        <v>1204.1584660000001</v>
      </c>
    </row>
    <row r="230" spans="1:4" x14ac:dyDescent="0.25">
      <c r="A230" t="s">
        <v>184</v>
      </c>
      <c r="B230" s="3">
        <f t="shared" si="3"/>
        <v>42401</v>
      </c>
      <c r="C230">
        <v>1174.7232409999999</v>
      </c>
      <c r="D230">
        <v>1135.118189</v>
      </c>
    </row>
    <row r="231" spans="1:4" x14ac:dyDescent="0.25">
      <c r="A231" t="s">
        <v>185</v>
      </c>
      <c r="B231" s="3">
        <f t="shared" si="3"/>
        <v>42430</v>
      </c>
      <c r="C231">
        <v>1168.1742529999999</v>
      </c>
      <c r="D231">
        <v>1117.995437</v>
      </c>
    </row>
    <row r="232" spans="1:4" x14ac:dyDescent="0.25">
      <c r="A232" t="s">
        <v>186</v>
      </c>
      <c r="B232" s="3">
        <f t="shared" si="3"/>
        <v>42461</v>
      </c>
      <c r="C232">
        <v>1249.9268750000001</v>
      </c>
      <c r="D232">
        <v>1171.1690430000001</v>
      </c>
    </row>
    <row r="233" spans="1:4" x14ac:dyDescent="0.25">
      <c r="A233" t="s">
        <v>187</v>
      </c>
      <c r="B233" s="3">
        <f t="shared" si="3"/>
        <v>42491</v>
      </c>
      <c r="C233">
        <v>1270.9766320000001</v>
      </c>
      <c r="D233">
        <v>1213.2496169999999</v>
      </c>
    </row>
    <row r="234" spans="1:4" x14ac:dyDescent="0.25">
      <c r="A234" t="s">
        <v>188</v>
      </c>
      <c r="B234" s="3">
        <f t="shared" si="3"/>
        <v>42522</v>
      </c>
      <c r="C234">
        <v>1279.197525</v>
      </c>
      <c r="D234">
        <v>1248.5950009999999</v>
      </c>
    </row>
    <row r="235" spans="1:4" x14ac:dyDescent="0.25">
      <c r="A235" t="s">
        <v>189</v>
      </c>
      <c r="B235" s="3">
        <f t="shared" si="3"/>
        <v>42552</v>
      </c>
      <c r="C235">
        <v>1263.5195100000001</v>
      </c>
      <c r="D235">
        <v>1218.479752</v>
      </c>
    </row>
    <row r="236" spans="1:4" x14ac:dyDescent="0.25">
      <c r="A236" t="s">
        <v>190</v>
      </c>
      <c r="B236" s="3">
        <f t="shared" si="3"/>
        <v>42583</v>
      </c>
      <c r="C236">
        <v>1319.082611</v>
      </c>
      <c r="D236">
        <v>1295.1543349999999</v>
      </c>
    </row>
    <row r="237" spans="1:4" x14ac:dyDescent="0.25">
      <c r="A237" t="s">
        <v>191</v>
      </c>
      <c r="B237" s="3">
        <f t="shared" si="3"/>
        <v>42614</v>
      </c>
      <c r="C237">
        <v>1320.2884340000001</v>
      </c>
      <c r="D237">
        <v>1276.4174029999999</v>
      </c>
    </row>
    <row r="238" spans="1:4" x14ac:dyDescent="0.25">
      <c r="A238" t="s">
        <v>192</v>
      </c>
      <c r="B238" s="3">
        <f t="shared" si="3"/>
        <v>42644</v>
      </c>
      <c r="C238">
        <v>1329.025858</v>
      </c>
      <c r="D238">
        <v>1284.47801</v>
      </c>
    </row>
    <row r="239" spans="1:4" x14ac:dyDescent="0.25">
      <c r="A239" t="s">
        <v>193</v>
      </c>
      <c r="B239" s="3">
        <f t="shared" si="3"/>
        <v>42675</v>
      </c>
      <c r="C239">
        <v>1300.128228</v>
      </c>
      <c r="D239">
        <v>1259.1495629999999</v>
      </c>
    </row>
    <row r="240" spans="1:4" x14ac:dyDescent="0.25">
      <c r="A240" t="s">
        <v>194</v>
      </c>
      <c r="B240" s="3">
        <f t="shared" si="3"/>
        <v>42705</v>
      </c>
      <c r="C240">
        <v>1323.644141</v>
      </c>
      <c r="D240">
        <v>1297.1031390000001</v>
      </c>
    </row>
    <row r="241" spans="1:4" x14ac:dyDescent="0.25">
      <c r="A241" t="s">
        <v>195</v>
      </c>
      <c r="B241" s="3">
        <f t="shared" si="3"/>
        <v>42736</v>
      </c>
      <c r="C241">
        <v>1355.3009059999999</v>
      </c>
      <c r="D241">
        <v>1356.3584840000001</v>
      </c>
    </row>
    <row r="242" spans="1:4" x14ac:dyDescent="0.25">
      <c r="A242" t="s">
        <v>196</v>
      </c>
      <c r="B242" s="3">
        <f t="shared" si="3"/>
        <v>42767</v>
      </c>
      <c r="C242">
        <v>1387.801056</v>
      </c>
      <c r="D242">
        <v>1345.6171670000001</v>
      </c>
    </row>
    <row r="243" spans="1:4" x14ac:dyDescent="0.25">
      <c r="A243" t="s">
        <v>197</v>
      </c>
      <c r="B243" s="3">
        <f t="shared" si="3"/>
        <v>42795</v>
      </c>
      <c r="C243">
        <v>1425.076812</v>
      </c>
      <c r="D243">
        <v>1377.4070879999999</v>
      </c>
    </row>
    <row r="244" spans="1:4" x14ac:dyDescent="0.25">
      <c r="A244" t="s">
        <v>198</v>
      </c>
      <c r="B244" s="3">
        <f t="shared" si="3"/>
        <v>42826</v>
      </c>
      <c r="C244">
        <v>1439.6180119999999</v>
      </c>
      <c r="D244">
        <v>1424.068485</v>
      </c>
    </row>
    <row r="245" spans="1:4" x14ac:dyDescent="0.25">
      <c r="A245" t="s">
        <v>199</v>
      </c>
      <c r="B245" s="3">
        <f t="shared" si="3"/>
        <v>42856</v>
      </c>
      <c r="C245">
        <v>1461.967727</v>
      </c>
      <c r="D245">
        <v>1440.8862509999999</v>
      </c>
    </row>
    <row r="246" spans="1:4" x14ac:dyDescent="0.25">
      <c r="A246" t="s">
        <v>200</v>
      </c>
      <c r="B246" s="3">
        <f t="shared" si="3"/>
        <v>42887</v>
      </c>
      <c r="C246">
        <v>1489.951247</v>
      </c>
      <c r="D246">
        <v>1395.588694</v>
      </c>
    </row>
    <row r="247" spans="1:4" x14ac:dyDescent="0.25">
      <c r="A247" t="s">
        <v>201</v>
      </c>
      <c r="B247" s="3">
        <f t="shared" si="3"/>
        <v>42917</v>
      </c>
      <c r="C247">
        <v>1498.0163219999999</v>
      </c>
      <c r="D247">
        <v>1396.8056610000001</v>
      </c>
    </row>
    <row r="248" spans="1:4" x14ac:dyDescent="0.25">
      <c r="A248" t="s">
        <v>202</v>
      </c>
      <c r="B248" s="3">
        <f t="shared" si="3"/>
        <v>42948</v>
      </c>
      <c r="C248">
        <v>1533.6114279999999</v>
      </c>
      <c r="D248">
        <v>1399.659396</v>
      </c>
    </row>
    <row r="249" spans="1:4" x14ac:dyDescent="0.25">
      <c r="A249" t="s">
        <v>203</v>
      </c>
      <c r="B249" s="3">
        <f t="shared" si="3"/>
        <v>42979</v>
      </c>
      <c r="C249">
        <v>1535.357344</v>
      </c>
      <c r="D249">
        <v>1410.4325510000001</v>
      </c>
    </row>
    <row r="250" spans="1:4" x14ac:dyDescent="0.25">
      <c r="A250" t="s">
        <v>204</v>
      </c>
      <c r="B250" s="3">
        <f t="shared" si="3"/>
        <v>43009</v>
      </c>
      <c r="C250">
        <v>1573.3488809999999</v>
      </c>
      <c r="D250">
        <v>1410.9739790000001</v>
      </c>
    </row>
    <row r="251" spans="1:4" x14ac:dyDescent="0.25">
      <c r="A251" t="s">
        <v>205</v>
      </c>
      <c r="B251" s="3">
        <f t="shared" si="3"/>
        <v>43040</v>
      </c>
      <c r="C251">
        <v>1602.1399630000001</v>
      </c>
      <c r="D251">
        <v>1467.7666369999999</v>
      </c>
    </row>
    <row r="252" spans="1:4" x14ac:dyDescent="0.25">
      <c r="A252" t="s">
        <v>206</v>
      </c>
      <c r="B252" s="3">
        <f t="shared" si="3"/>
        <v>43070</v>
      </c>
      <c r="C252">
        <v>1636.8935879999999</v>
      </c>
      <c r="D252">
        <v>1493.748163</v>
      </c>
    </row>
    <row r="253" spans="1:4" x14ac:dyDescent="0.25">
      <c r="A253" t="s">
        <v>207</v>
      </c>
      <c r="B253" s="3">
        <f t="shared" si="3"/>
        <v>43101</v>
      </c>
      <c r="C253">
        <v>1659.3666479999999</v>
      </c>
      <c r="D253">
        <v>1521.502109</v>
      </c>
    </row>
    <row r="254" spans="1:4" x14ac:dyDescent="0.25">
      <c r="A254" t="s">
        <v>208</v>
      </c>
      <c r="B254" s="3">
        <f t="shared" si="3"/>
        <v>43132</v>
      </c>
      <c r="C254">
        <v>1743.0612860000001</v>
      </c>
      <c r="D254">
        <v>1513.237273</v>
      </c>
    </row>
    <row r="255" spans="1:4" x14ac:dyDescent="0.25">
      <c r="A255" t="s">
        <v>209</v>
      </c>
      <c r="B255" s="3">
        <f t="shared" si="3"/>
        <v>43160</v>
      </c>
      <c r="C255">
        <v>1671.1820620000001</v>
      </c>
      <c r="D255">
        <v>1517.925035</v>
      </c>
    </row>
    <row r="256" spans="1:4" x14ac:dyDescent="0.25">
      <c r="A256" t="s">
        <v>210</v>
      </c>
      <c r="B256" s="3">
        <f t="shared" si="3"/>
        <v>43191</v>
      </c>
      <c r="C256">
        <v>1639.7568659999999</v>
      </c>
      <c r="D256">
        <v>1460.9362550000001</v>
      </c>
    </row>
    <row r="257" spans="1:4" x14ac:dyDescent="0.25">
      <c r="A257" t="s">
        <v>211</v>
      </c>
      <c r="B257" s="3">
        <f t="shared" si="3"/>
        <v>43221</v>
      </c>
      <c r="C257">
        <v>1658.085163</v>
      </c>
      <c r="D257">
        <v>1519.358479</v>
      </c>
    </row>
    <row r="258" spans="1:4" x14ac:dyDescent="0.25">
      <c r="A258" t="s">
        <v>212</v>
      </c>
      <c r="B258" s="3">
        <f t="shared" si="3"/>
        <v>43252</v>
      </c>
      <c r="C258">
        <v>1673.063488</v>
      </c>
      <c r="D258">
        <v>1538.849494</v>
      </c>
    </row>
    <row r="259" spans="1:4" x14ac:dyDescent="0.25">
      <c r="A259" t="s">
        <v>213</v>
      </c>
      <c r="B259" s="3">
        <f t="shared" ref="B259:B322" si="4">DATE(YEAR(A259),MONTH(A259)+1,1)</f>
        <v>43282</v>
      </c>
      <c r="C259">
        <v>1671.6050210000001</v>
      </c>
      <c r="D259">
        <v>1590.772543</v>
      </c>
    </row>
    <row r="260" spans="1:4" x14ac:dyDescent="0.25">
      <c r="A260" t="s">
        <v>214</v>
      </c>
      <c r="B260" s="3">
        <f t="shared" si="4"/>
        <v>43313</v>
      </c>
      <c r="C260">
        <v>1719.3895379999999</v>
      </c>
      <c r="D260">
        <v>1610.731295</v>
      </c>
    </row>
    <row r="261" spans="1:4" x14ac:dyDescent="0.25">
      <c r="A261" t="s">
        <v>215</v>
      </c>
      <c r="B261" s="3">
        <f t="shared" si="4"/>
        <v>43344</v>
      </c>
      <c r="C261">
        <v>1742.9115409999999</v>
      </c>
      <c r="D261">
        <v>1629.8424399999999</v>
      </c>
    </row>
    <row r="262" spans="1:4" x14ac:dyDescent="0.25">
      <c r="A262" t="s">
        <v>216</v>
      </c>
      <c r="B262" s="3">
        <f t="shared" si="4"/>
        <v>43374</v>
      </c>
      <c r="C262">
        <v>1747.837315</v>
      </c>
      <c r="D262">
        <v>1610.255349</v>
      </c>
    </row>
    <row r="263" spans="1:4" x14ac:dyDescent="0.25">
      <c r="A263" t="s">
        <v>217</v>
      </c>
      <c r="B263" s="3">
        <f t="shared" si="4"/>
        <v>43405</v>
      </c>
      <c r="C263">
        <v>1613.4191129999999</v>
      </c>
      <c r="D263">
        <v>1513.3143110000001</v>
      </c>
    </row>
    <row r="264" spans="1:4" x14ac:dyDescent="0.25">
      <c r="A264" t="s">
        <v>218</v>
      </c>
      <c r="B264" s="3">
        <f t="shared" si="4"/>
        <v>43435</v>
      </c>
      <c r="C264">
        <v>1630.6994769999999</v>
      </c>
      <c r="D264">
        <v>1480.066239</v>
      </c>
    </row>
    <row r="265" spans="1:4" x14ac:dyDescent="0.25">
      <c r="A265" t="s">
        <v>219</v>
      </c>
      <c r="B265" s="3">
        <f t="shared" si="4"/>
        <v>43466</v>
      </c>
      <c r="C265">
        <v>1503.1567950000001</v>
      </c>
      <c r="D265">
        <v>1478.088164</v>
      </c>
    </row>
    <row r="266" spans="1:4" x14ac:dyDescent="0.25">
      <c r="A266" t="s">
        <v>220</v>
      </c>
      <c r="B266" s="3">
        <f t="shared" si="4"/>
        <v>43497</v>
      </c>
      <c r="C266">
        <v>1625.0044849999999</v>
      </c>
      <c r="D266">
        <v>1535.4617659999999</v>
      </c>
    </row>
    <row r="267" spans="1:4" x14ac:dyDescent="0.25">
      <c r="A267" t="s">
        <v>221</v>
      </c>
      <c r="B267" s="3">
        <f t="shared" si="4"/>
        <v>43525</v>
      </c>
      <c r="C267">
        <v>1675.460779</v>
      </c>
      <c r="D267">
        <v>1627.519552</v>
      </c>
    </row>
    <row r="268" spans="1:4" x14ac:dyDescent="0.25">
      <c r="A268" t="s">
        <v>222</v>
      </c>
      <c r="B268" s="3">
        <f t="shared" si="4"/>
        <v>43556</v>
      </c>
      <c r="C268">
        <v>1693.1497079999999</v>
      </c>
      <c r="D268">
        <v>1637.459214</v>
      </c>
    </row>
    <row r="269" spans="1:4" x14ac:dyDescent="0.25">
      <c r="A269" t="s">
        <v>223</v>
      </c>
      <c r="B269" s="3">
        <f t="shared" si="4"/>
        <v>43586</v>
      </c>
      <c r="C269">
        <v>1752.2525250000001</v>
      </c>
      <c r="D269">
        <v>1675.4307980000001</v>
      </c>
    </row>
    <row r="270" spans="1:4" x14ac:dyDescent="0.25">
      <c r="A270" t="s">
        <v>224</v>
      </c>
      <c r="B270" s="3">
        <f t="shared" si="4"/>
        <v>43617</v>
      </c>
      <c r="C270">
        <v>1649.392507</v>
      </c>
      <c r="D270">
        <v>1705.0608460000001</v>
      </c>
    </row>
    <row r="271" spans="1:4" x14ac:dyDescent="0.25">
      <c r="A271" t="s">
        <v>225</v>
      </c>
      <c r="B271" s="3">
        <f t="shared" si="4"/>
        <v>43647</v>
      </c>
      <c r="C271">
        <v>1756.4484090000001</v>
      </c>
      <c r="D271">
        <v>1769.0189379999999</v>
      </c>
    </row>
    <row r="272" spans="1:4" x14ac:dyDescent="0.25">
      <c r="A272" t="s">
        <v>226</v>
      </c>
      <c r="B272" s="3">
        <f t="shared" si="4"/>
        <v>43678</v>
      </c>
      <c r="C272">
        <v>1765.326112</v>
      </c>
      <c r="D272">
        <v>1819.4707109999999</v>
      </c>
    </row>
    <row r="273" spans="1:4" x14ac:dyDescent="0.25">
      <c r="A273" t="s">
        <v>227</v>
      </c>
      <c r="B273" s="3">
        <f t="shared" si="4"/>
        <v>43709</v>
      </c>
      <c r="C273">
        <v>1726.168711</v>
      </c>
      <c r="D273">
        <v>1779.170615</v>
      </c>
    </row>
    <row r="274" spans="1:4" x14ac:dyDescent="0.25">
      <c r="A274" t="s">
        <v>228</v>
      </c>
      <c r="B274" s="3">
        <f t="shared" si="4"/>
        <v>43739</v>
      </c>
      <c r="C274">
        <v>1762.7547079999999</v>
      </c>
      <c r="D274">
        <v>1817.7602159999999</v>
      </c>
    </row>
    <row r="275" spans="1:4" x14ac:dyDescent="0.25">
      <c r="A275" t="s">
        <v>229</v>
      </c>
      <c r="B275" s="3">
        <f t="shared" si="4"/>
        <v>43770</v>
      </c>
      <c r="C275">
        <v>1808.0896869999999</v>
      </c>
      <c r="D275">
        <v>1808.0477020000001</v>
      </c>
    </row>
    <row r="276" spans="1:4" x14ac:dyDescent="0.25">
      <c r="A276" t="s">
        <v>230</v>
      </c>
      <c r="B276" s="3">
        <f t="shared" si="4"/>
        <v>43800</v>
      </c>
      <c r="C276">
        <v>1859.4654129999999</v>
      </c>
      <c r="D276">
        <v>1857.2461430000001</v>
      </c>
    </row>
    <row r="277" spans="1:4" x14ac:dyDescent="0.25">
      <c r="A277" t="s">
        <v>231</v>
      </c>
      <c r="B277" s="3">
        <f t="shared" si="4"/>
        <v>43831</v>
      </c>
      <c r="C277">
        <v>1916.2448380000001</v>
      </c>
      <c r="D277">
        <v>1819.5211509999999</v>
      </c>
    </row>
    <row r="278" spans="1:4" x14ac:dyDescent="0.25">
      <c r="A278" t="s">
        <v>232</v>
      </c>
      <c r="B278" s="3">
        <f t="shared" si="4"/>
        <v>43862</v>
      </c>
      <c r="C278">
        <v>1899.4351830000001</v>
      </c>
      <c r="D278">
        <v>1910.221679</v>
      </c>
    </row>
    <row r="279" spans="1:4" x14ac:dyDescent="0.25">
      <c r="A279" t="s">
        <v>233</v>
      </c>
      <c r="B279" s="3">
        <f t="shared" si="4"/>
        <v>43891</v>
      </c>
      <c r="C279">
        <v>1737.1784970000001</v>
      </c>
      <c r="D279">
        <v>1760.936571</v>
      </c>
    </row>
    <row r="280" spans="1:4" x14ac:dyDescent="0.25">
      <c r="A280" t="s">
        <v>234</v>
      </c>
      <c r="B280" s="3">
        <f t="shared" si="4"/>
        <v>43922</v>
      </c>
      <c r="C280">
        <v>1491.44822</v>
      </c>
      <c r="D280">
        <v>1384.5123450000001</v>
      </c>
    </row>
    <row r="281" spans="1:4" x14ac:dyDescent="0.25">
      <c r="A281" t="s">
        <v>235</v>
      </c>
      <c r="B281" s="3">
        <f t="shared" si="4"/>
        <v>43952</v>
      </c>
      <c r="C281">
        <v>1658.5180359999999</v>
      </c>
      <c r="D281">
        <v>1510.871146</v>
      </c>
    </row>
    <row r="282" spans="1:4" x14ac:dyDescent="0.25">
      <c r="A282" t="s">
        <v>236</v>
      </c>
      <c r="B282" s="3">
        <f t="shared" si="4"/>
        <v>43983</v>
      </c>
      <c r="C282">
        <v>1742.8376470000001</v>
      </c>
      <c r="D282">
        <v>1579.0282729999999</v>
      </c>
    </row>
    <row r="283" spans="1:4" x14ac:dyDescent="0.25">
      <c r="A283" t="s">
        <v>237</v>
      </c>
      <c r="B283" s="3">
        <f t="shared" si="4"/>
        <v>44013</v>
      </c>
      <c r="C283">
        <v>1788.7914370000001</v>
      </c>
      <c r="D283">
        <v>1621.623241</v>
      </c>
    </row>
    <row r="284" spans="1:4" x14ac:dyDescent="0.25">
      <c r="A284" t="s">
        <v>238</v>
      </c>
      <c r="B284" s="3">
        <f t="shared" si="4"/>
        <v>44044</v>
      </c>
      <c r="C284">
        <v>1872.563124</v>
      </c>
      <c r="D284">
        <v>1629.994559</v>
      </c>
    </row>
    <row r="285" spans="1:4" x14ac:dyDescent="0.25">
      <c r="A285" t="s">
        <v>239</v>
      </c>
      <c r="B285" s="3">
        <f t="shared" si="4"/>
        <v>44075</v>
      </c>
      <c r="C285">
        <v>1995.569788</v>
      </c>
      <c r="D285">
        <v>1682.5170149999999</v>
      </c>
    </row>
    <row r="286" spans="1:4" x14ac:dyDescent="0.25">
      <c r="A286" t="s">
        <v>240</v>
      </c>
      <c r="B286" s="3">
        <f t="shared" si="4"/>
        <v>44105</v>
      </c>
      <c r="C286">
        <v>1929.6383699999999</v>
      </c>
      <c r="D286">
        <v>1620.9837990000001</v>
      </c>
    </row>
    <row r="287" spans="1:4" x14ac:dyDescent="0.25">
      <c r="A287" t="s">
        <v>241</v>
      </c>
      <c r="B287" s="3">
        <f t="shared" si="4"/>
        <v>44136</v>
      </c>
      <c r="C287">
        <v>1877.204829</v>
      </c>
      <c r="D287">
        <v>1652.819984</v>
      </c>
    </row>
    <row r="288" spans="1:4" x14ac:dyDescent="0.25">
      <c r="A288" t="s">
        <v>242</v>
      </c>
      <c r="B288" s="3">
        <f t="shared" si="4"/>
        <v>44166</v>
      </c>
      <c r="C288">
        <v>2122.9344940000001</v>
      </c>
      <c r="D288">
        <v>1820.9634980000001</v>
      </c>
    </row>
    <row r="289" spans="1:4" x14ac:dyDescent="0.25">
      <c r="A289" t="s">
        <v>243</v>
      </c>
      <c r="B289" s="3">
        <f t="shared" si="4"/>
        <v>44197</v>
      </c>
      <c r="C289">
        <v>2220.940302</v>
      </c>
      <c r="D289">
        <v>1849.5394759999999</v>
      </c>
    </row>
    <row r="290" spans="1:4" x14ac:dyDescent="0.25">
      <c r="A290" t="s">
        <v>244</v>
      </c>
      <c r="B290" s="3">
        <f t="shared" si="4"/>
        <v>44228</v>
      </c>
      <c r="C290">
        <v>2207.259403</v>
      </c>
      <c r="D290">
        <v>1856.5680110000001</v>
      </c>
    </row>
    <row r="291" spans="1:4" x14ac:dyDescent="0.25">
      <c r="A291" t="s">
        <v>245</v>
      </c>
      <c r="B291" s="3">
        <f t="shared" si="4"/>
        <v>44256</v>
      </c>
      <c r="C291">
        <v>2270.5984779999999</v>
      </c>
      <c r="D291">
        <v>1887.0733270000001</v>
      </c>
    </row>
    <row r="292" spans="1:4" x14ac:dyDescent="0.25">
      <c r="A292" t="s">
        <v>246</v>
      </c>
      <c r="B292" s="3">
        <f t="shared" si="4"/>
        <v>44287</v>
      </c>
      <c r="C292">
        <v>2342.5854599999998</v>
      </c>
      <c r="D292">
        <v>1930.8659110000001</v>
      </c>
    </row>
    <row r="293" spans="1:4" x14ac:dyDescent="0.25">
      <c r="A293" t="s">
        <v>247</v>
      </c>
      <c r="B293" s="3">
        <f t="shared" si="4"/>
        <v>44317</v>
      </c>
      <c r="C293">
        <v>2449.2988399999999</v>
      </c>
      <c r="D293">
        <v>2002.1391080000001</v>
      </c>
    </row>
    <row r="294" spans="1:4" x14ac:dyDescent="0.25">
      <c r="A294" t="s">
        <v>248</v>
      </c>
      <c r="B294" s="3">
        <f t="shared" si="4"/>
        <v>44348</v>
      </c>
      <c r="C294">
        <v>2482.7468880000001</v>
      </c>
      <c r="D294">
        <v>2052.2309369999998</v>
      </c>
    </row>
    <row r="295" spans="1:4" x14ac:dyDescent="0.25">
      <c r="A295" t="s">
        <v>249</v>
      </c>
      <c r="B295" s="3">
        <f t="shared" si="4"/>
        <v>44378</v>
      </c>
      <c r="C295">
        <v>2515.6062010000001</v>
      </c>
      <c r="D295">
        <v>2095.0894480000002</v>
      </c>
    </row>
    <row r="296" spans="1:4" x14ac:dyDescent="0.25">
      <c r="A296" t="s">
        <v>250</v>
      </c>
      <c r="B296" s="3">
        <f t="shared" si="4"/>
        <v>44409</v>
      </c>
      <c r="C296">
        <v>2552.663677</v>
      </c>
      <c r="D296">
        <v>2115.2801509999999</v>
      </c>
    </row>
    <row r="297" spans="1:4" x14ac:dyDescent="0.25">
      <c r="A297" t="s">
        <v>251</v>
      </c>
      <c r="B297" s="3">
        <f t="shared" si="4"/>
        <v>44440</v>
      </c>
      <c r="C297">
        <v>2616.002708</v>
      </c>
      <c r="D297">
        <v>2165.7231299999999</v>
      </c>
    </row>
    <row r="298" spans="1:4" x14ac:dyDescent="0.25">
      <c r="A298" t="s">
        <v>252</v>
      </c>
      <c r="B298" s="3">
        <f t="shared" si="4"/>
        <v>44470</v>
      </c>
      <c r="C298">
        <v>2510.8156309999999</v>
      </c>
      <c r="D298">
        <v>2125.1172740000002</v>
      </c>
    </row>
    <row r="299" spans="1:4" x14ac:dyDescent="0.25">
      <c r="A299" t="s">
        <v>253</v>
      </c>
      <c r="B299" s="3">
        <f t="shared" si="4"/>
        <v>44501</v>
      </c>
      <c r="C299">
        <v>2646.5039860000002</v>
      </c>
      <c r="D299">
        <v>2128.4635130000001</v>
      </c>
    </row>
    <row r="300" spans="1:4" x14ac:dyDescent="0.25">
      <c r="A300" t="s">
        <v>254</v>
      </c>
      <c r="B300" s="3">
        <f t="shared" si="4"/>
        <v>44531</v>
      </c>
      <c r="C300">
        <v>2579.7578039999999</v>
      </c>
      <c r="D300">
        <v>2112.9145619999999</v>
      </c>
    </row>
    <row r="301" spans="1:4" x14ac:dyDescent="0.25">
      <c r="A301" t="s">
        <v>255</v>
      </c>
      <c r="B301" s="3">
        <f t="shared" si="4"/>
        <v>44562</v>
      </c>
      <c r="C301">
        <v>2688.1915319999998</v>
      </c>
      <c r="D301">
        <v>2173.034118</v>
      </c>
    </row>
    <row r="302" spans="1:4" x14ac:dyDescent="0.25">
      <c r="A302" t="s">
        <v>256</v>
      </c>
      <c r="B302" s="3">
        <f t="shared" si="4"/>
        <v>44593</v>
      </c>
      <c r="C302">
        <v>2538.577534</v>
      </c>
      <c r="D302">
        <v>2033.6410619999999</v>
      </c>
    </row>
    <row r="303" spans="1:4" x14ac:dyDescent="0.25">
      <c r="A303" t="s">
        <v>257</v>
      </c>
      <c r="B303" s="3">
        <f t="shared" si="4"/>
        <v>44621</v>
      </c>
      <c r="C303">
        <v>2482.6334449999999</v>
      </c>
      <c r="D303">
        <v>2081.5239350000002</v>
      </c>
    </row>
    <row r="304" spans="1:4" x14ac:dyDescent="0.25">
      <c r="A304" t="s">
        <v>258</v>
      </c>
      <c r="B304" s="3">
        <f t="shared" si="4"/>
        <v>44652</v>
      </c>
      <c r="C304">
        <v>2545.291346</v>
      </c>
      <c r="D304">
        <v>2228.6053740000002</v>
      </c>
    </row>
    <row r="305" spans="1:4" x14ac:dyDescent="0.25">
      <c r="A305" t="s">
        <v>259</v>
      </c>
      <c r="B305" s="3">
        <f t="shared" si="4"/>
        <v>44682</v>
      </c>
      <c r="C305">
        <v>2335.3613070000001</v>
      </c>
      <c r="D305">
        <v>2213.8342870000001</v>
      </c>
    </row>
    <row r="306" spans="1:4" x14ac:dyDescent="0.25">
      <c r="A306" t="s">
        <v>260</v>
      </c>
      <c r="B306" s="3">
        <f t="shared" si="4"/>
        <v>44713</v>
      </c>
      <c r="C306">
        <v>2336.3385370000001</v>
      </c>
      <c r="D306">
        <v>2155.5054009999999</v>
      </c>
    </row>
    <row r="307" spans="1:4" x14ac:dyDescent="0.25">
      <c r="A307" t="s">
        <v>261</v>
      </c>
      <c r="B307" s="3">
        <f t="shared" si="4"/>
        <v>44743</v>
      </c>
      <c r="C307">
        <v>2130.2472859999998</v>
      </c>
      <c r="D307">
        <v>1959.3691980000001</v>
      </c>
    </row>
    <row r="308" spans="1:4" x14ac:dyDescent="0.25">
      <c r="A308" t="s">
        <v>262</v>
      </c>
      <c r="B308" s="3">
        <f t="shared" si="4"/>
        <v>44774</v>
      </c>
      <c r="C308">
        <v>2302.3344550000002</v>
      </c>
      <c r="D308">
        <v>2073.8365450000001</v>
      </c>
    </row>
    <row r="309" spans="1:4" x14ac:dyDescent="0.25">
      <c r="A309" t="s">
        <v>263</v>
      </c>
      <c r="B309" s="3">
        <f t="shared" si="4"/>
        <v>44805</v>
      </c>
      <c r="C309">
        <v>2208.6026940000002</v>
      </c>
      <c r="D309">
        <v>2098.9149299999999</v>
      </c>
    </row>
    <row r="310" spans="1:4" x14ac:dyDescent="0.25">
      <c r="A310" t="s">
        <v>264</v>
      </c>
      <c r="B310" s="3">
        <f t="shared" si="4"/>
        <v>44835</v>
      </c>
      <c r="C310">
        <v>2000.7468469999999</v>
      </c>
      <c r="D310">
        <v>1968.166029</v>
      </c>
    </row>
    <row r="311" spans="1:4" x14ac:dyDescent="0.25">
      <c r="A311" t="s">
        <v>265</v>
      </c>
      <c r="B311" s="3">
        <f t="shared" si="4"/>
        <v>44866</v>
      </c>
      <c r="C311">
        <v>2146.4540019999999</v>
      </c>
      <c r="D311">
        <v>2085.9372159999998</v>
      </c>
    </row>
    <row r="312" spans="1:4" x14ac:dyDescent="0.25">
      <c r="A312" t="s">
        <v>266</v>
      </c>
      <c r="B312" s="3">
        <f t="shared" si="4"/>
        <v>44896</v>
      </c>
      <c r="C312">
        <v>2293.6830869999999</v>
      </c>
      <c r="D312">
        <v>2225.2999570000002</v>
      </c>
    </row>
    <row r="313" spans="1:4" x14ac:dyDescent="0.25">
      <c r="A313" t="s">
        <v>267</v>
      </c>
      <c r="B313" s="3">
        <f t="shared" si="4"/>
        <v>44927</v>
      </c>
      <c r="C313">
        <v>2198.4432400000001</v>
      </c>
      <c r="D313">
        <v>2149.944184</v>
      </c>
    </row>
    <row r="314" spans="1:4" x14ac:dyDescent="0.25">
      <c r="A314" t="s">
        <v>268</v>
      </c>
      <c r="B314" s="3">
        <f t="shared" si="4"/>
        <v>44958</v>
      </c>
      <c r="C314">
        <v>2359.6117850000001</v>
      </c>
      <c r="D314">
        <v>2288.160558</v>
      </c>
    </row>
    <row r="315" spans="1:4" x14ac:dyDescent="0.25">
      <c r="A315" t="s">
        <v>269</v>
      </c>
      <c r="B315" s="3">
        <f t="shared" si="4"/>
        <v>44986</v>
      </c>
      <c r="C315">
        <v>2303.9123079999999</v>
      </c>
      <c r="D315">
        <v>2228.1537530000001</v>
      </c>
    </row>
    <row r="316" spans="1:4" x14ac:dyDescent="0.25">
      <c r="A316" t="s">
        <v>270</v>
      </c>
      <c r="B316" s="3">
        <f t="shared" si="4"/>
        <v>45017</v>
      </c>
      <c r="C316">
        <v>2359.7519419999999</v>
      </c>
      <c r="D316">
        <v>2221.7402550000002</v>
      </c>
    </row>
    <row r="317" spans="1:4" x14ac:dyDescent="0.25">
      <c r="A317" t="s">
        <v>271</v>
      </c>
      <c r="B317" s="3">
        <f t="shared" si="4"/>
        <v>45047</v>
      </c>
      <c r="C317">
        <v>2396.2274729999999</v>
      </c>
      <c r="D317">
        <v>2262.3389670000001</v>
      </c>
    </row>
    <row r="318" spans="1:4" x14ac:dyDescent="0.25">
      <c r="A318" t="s">
        <v>272</v>
      </c>
      <c r="B318" s="3">
        <f t="shared" si="4"/>
        <v>45078</v>
      </c>
      <c r="C318">
        <v>2367.6177969999999</v>
      </c>
      <c r="D318">
        <v>2204.4066990000001</v>
      </c>
    </row>
    <row r="319" spans="1:4" x14ac:dyDescent="0.25">
      <c r="A319" t="s">
        <v>273</v>
      </c>
      <c r="B319" s="3">
        <f t="shared" si="4"/>
        <v>45108</v>
      </c>
      <c r="C319">
        <v>2511.4075790000002</v>
      </c>
      <c r="D319">
        <v>2245.4056799999998</v>
      </c>
    </row>
    <row r="320" spans="1:4" x14ac:dyDescent="0.25">
      <c r="A320" t="s">
        <v>274</v>
      </c>
      <c r="B320" s="3">
        <f t="shared" si="4"/>
        <v>45139</v>
      </c>
      <c r="C320">
        <v>2599.9754029999999</v>
      </c>
      <c r="D320">
        <v>2310.6147580000002</v>
      </c>
    </row>
    <row r="321" spans="1:4" x14ac:dyDescent="0.25">
      <c r="A321" t="s">
        <v>275</v>
      </c>
      <c r="B321" s="3">
        <f t="shared" si="4"/>
        <v>45170</v>
      </c>
      <c r="C321">
        <v>2533.8352030000001</v>
      </c>
      <c r="D321">
        <v>2299.4458420000001</v>
      </c>
    </row>
    <row r="322" spans="1:4" x14ac:dyDescent="0.25">
      <c r="A322" t="s">
        <v>276</v>
      </c>
      <c r="B322" s="3">
        <f t="shared" si="4"/>
        <v>45200</v>
      </c>
      <c r="C322">
        <v>2421.9848459999998</v>
      </c>
      <c r="D322">
        <v>2235.3141679999999</v>
      </c>
    </row>
    <row r="323" spans="1:4" x14ac:dyDescent="0.25">
      <c r="A323" t="s">
        <v>277</v>
      </c>
      <c r="B323" s="3">
        <f t="shared" ref="B323:B352" si="5">DATE(YEAR(A323),MONTH(A323)+1,1)</f>
        <v>45231</v>
      </c>
      <c r="C323">
        <v>2343.3858879999998</v>
      </c>
      <c r="D323">
        <v>2150.5167080000001</v>
      </c>
    </row>
    <row r="324" spans="1:4" x14ac:dyDescent="0.25">
      <c r="A324" t="s">
        <v>278</v>
      </c>
      <c r="B324" s="3">
        <f t="shared" si="5"/>
        <v>45261</v>
      </c>
      <c r="C324">
        <v>2562.9281489999998</v>
      </c>
      <c r="D324">
        <v>2259.1025599999998</v>
      </c>
    </row>
    <row r="325" spans="1:4" x14ac:dyDescent="0.25">
      <c r="A325" t="s">
        <v>279</v>
      </c>
      <c r="B325" s="3">
        <f t="shared" si="5"/>
        <v>45292</v>
      </c>
      <c r="C325">
        <v>2701.360248</v>
      </c>
      <c r="D325">
        <v>2426.6837019999998</v>
      </c>
    </row>
    <row r="326" spans="1:4" x14ac:dyDescent="0.25">
      <c r="A326" t="s">
        <v>280</v>
      </c>
      <c r="B326" s="3">
        <f t="shared" si="5"/>
        <v>45323</v>
      </c>
      <c r="C326">
        <v>2722.1422080000002</v>
      </c>
      <c r="D326">
        <v>2458.8264300000001</v>
      </c>
    </row>
    <row r="327" spans="1:4" x14ac:dyDescent="0.25">
      <c r="A327" t="s">
        <v>281</v>
      </c>
      <c r="B327" s="3">
        <f t="shared" si="5"/>
        <v>45352</v>
      </c>
      <c r="C327">
        <v>2834.978188</v>
      </c>
      <c r="D327">
        <v>2486.9474879999998</v>
      </c>
    </row>
    <row r="328" spans="1:4" x14ac:dyDescent="0.25">
      <c r="A328" t="s">
        <v>282</v>
      </c>
      <c r="B328" s="3">
        <f t="shared" si="5"/>
        <v>45383</v>
      </c>
      <c r="C328">
        <v>2928.0916900000002</v>
      </c>
      <c r="D328">
        <v>2563.417899</v>
      </c>
    </row>
    <row r="329" spans="1:4" x14ac:dyDescent="0.25">
      <c r="A329" t="s">
        <v>283</v>
      </c>
      <c r="B329" s="3">
        <f t="shared" si="5"/>
        <v>45413</v>
      </c>
      <c r="C329">
        <v>2814.8743220000001</v>
      </c>
      <c r="D329">
        <v>2483.241704</v>
      </c>
    </row>
    <row r="330" spans="1:4" x14ac:dyDescent="0.25">
      <c r="A330" t="s">
        <v>284</v>
      </c>
      <c r="B330" s="3">
        <f t="shared" si="5"/>
        <v>45444</v>
      </c>
      <c r="C330">
        <v>2940.8158749999998</v>
      </c>
      <c r="D330">
        <v>2507.5076979999999</v>
      </c>
    </row>
    <row r="331" spans="1:4" x14ac:dyDescent="0.25">
      <c r="A331" t="s">
        <v>285</v>
      </c>
      <c r="B331" s="3">
        <f t="shared" si="5"/>
        <v>45474</v>
      </c>
      <c r="C331">
        <v>2988.3970690000001</v>
      </c>
      <c r="D331">
        <v>2534.3685369999998</v>
      </c>
    </row>
    <row r="332" spans="1:4" x14ac:dyDescent="0.25">
      <c r="A332" t="s">
        <v>286</v>
      </c>
      <c r="B332" s="3">
        <f t="shared" si="5"/>
        <v>45505</v>
      </c>
      <c r="C332">
        <v>3056.3818259999998</v>
      </c>
      <c r="D332">
        <v>2636.4598879999999</v>
      </c>
    </row>
    <row r="333" spans="1:4" x14ac:dyDescent="0.25">
      <c r="A333" t="s">
        <v>287</v>
      </c>
      <c r="B333" s="3">
        <f t="shared" si="5"/>
        <v>45536</v>
      </c>
      <c r="C333">
        <v>3130.2493469999999</v>
      </c>
      <c r="D333">
        <v>2644.2470440000002</v>
      </c>
    </row>
    <row r="334" spans="1:4" x14ac:dyDescent="0.25">
      <c r="A334" t="s">
        <v>288</v>
      </c>
      <c r="B334" s="3">
        <f t="shared" si="5"/>
        <v>45566</v>
      </c>
      <c r="C334">
        <v>3187.708345</v>
      </c>
      <c r="D334">
        <v>2727.9035779999999</v>
      </c>
    </row>
    <row r="335" spans="1:4" x14ac:dyDescent="0.25">
      <c r="A335" t="s">
        <v>289</v>
      </c>
      <c r="B335" s="3">
        <f t="shared" si="5"/>
        <v>45597</v>
      </c>
      <c r="C335">
        <v>3122.1135049999998</v>
      </c>
      <c r="D335">
        <v>2686.809878</v>
      </c>
    </row>
    <row r="336" spans="1:4" x14ac:dyDescent="0.25">
      <c r="A336" t="s">
        <v>290</v>
      </c>
      <c r="B336" s="3">
        <f t="shared" si="5"/>
        <v>45627</v>
      </c>
      <c r="C336">
        <v>3271.4424450000001</v>
      </c>
      <c r="D336">
        <v>2785.710024</v>
      </c>
    </row>
    <row r="337" spans="1:4" x14ac:dyDescent="0.25">
      <c r="A337" t="s">
        <v>291</v>
      </c>
      <c r="B337" s="3">
        <f t="shared" si="5"/>
        <v>45658</v>
      </c>
      <c r="C337">
        <v>3174.5512990000002</v>
      </c>
      <c r="D337">
        <v>2697.7873119999999</v>
      </c>
    </row>
    <row r="338" spans="1:4" x14ac:dyDescent="0.25">
      <c r="A338" t="s">
        <v>292</v>
      </c>
      <c r="B338" s="3">
        <f t="shared" si="5"/>
        <v>45689</v>
      </c>
      <c r="C338">
        <v>3286.370723</v>
      </c>
      <c r="D338">
        <v>2820.6901130000001</v>
      </c>
    </row>
    <row r="339" spans="1:4" x14ac:dyDescent="0.25">
      <c r="A339" t="s">
        <v>293</v>
      </c>
      <c r="B339" s="3">
        <f t="shared" si="5"/>
        <v>45717</v>
      </c>
      <c r="C339">
        <v>3254.016721</v>
      </c>
      <c r="D339">
        <v>2711.6092140000001</v>
      </c>
    </row>
    <row r="340" spans="1:4" x14ac:dyDescent="0.25">
      <c r="A340" t="s">
        <v>294</v>
      </c>
      <c r="B340" s="3">
        <f t="shared" si="5"/>
        <v>45748</v>
      </c>
      <c r="C340">
        <v>3111.4241780000002</v>
      </c>
      <c r="D340">
        <v>2619.6825220000001</v>
      </c>
    </row>
    <row r="341" spans="1:4" x14ac:dyDescent="0.25">
      <c r="A341" t="s">
        <v>295</v>
      </c>
      <c r="B341" s="3">
        <f t="shared" si="5"/>
        <v>45778</v>
      </c>
      <c r="C341">
        <v>3138.4724179999998</v>
      </c>
      <c r="D341">
        <v>2715.6442059999999</v>
      </c>
    </row>
    <row r="342" spans="1:4" x14ac:dyDescent="0.25">
      <c r="A342" t="s">
        <v>296</v>
      </c>
      <c r="B342" s="3">
        <f t="shared" si="5"/>
        <v>45809</v>
      </c>
      <c r="C342">
        <v>3323.8839370000001</v>
      </c>
      <c r="D342">
        <v>2826.7418990000001</v>
      </c>
    </row>
    <row r="343" spans="1:4" x14ac:dyDescent="0.25">
      <c r="A343" t="s">
        <v>297</v>
      </c>
      <c r="B343" s="3">
        <f t="shared" si="5"/>
        <v>45839</v>
      </c>
      <c r="C343">
        <v>3468.7668789999998</v>
      </c>
      <c r="D343">
        <v>2865.243618</v>
      </c>
    </row>
    <row r="344" spans="1:4" x14ac:dyDescent="0.25">
      <c r="A344" t="s">
        <v>298</v>
      </c>
      <c r="B344" s="3">
        <f t="shared" si="5"/>
        <v>45870</v>
      </c>
      <c r="C344">
        <v>3513.1155220000001</v>
      </c>
      <c r="D344">
        <v>2927.5109849999999</v>
      </c>
    </row>
    <row r="345" spans="1:4" x14ac:dyDescent="0.25">
      <c r="A345" t="s">
        <v>299</v>
      </c>
      <c r="B345" s="3">
        <f t="shared" si="5"/>
        <v>45901</v>
      </c>
      <c r="C345">
        <v>3614.0871950000001</v>
      </c>
      <c r="D345">
        <v>3020.351803</v>
      </c>
    </row>
    <row r="346" spans="1:4" x14ac:dyDescent="0.25">
      <c r="A346" t="s">
        <v>300</v>
      </c>
      <c r="B346" s="3">
        <f t="shared" si="5"/>
        <v>45931</v>
      </c>
      <c r="C346">
        <v>3725.5302940000001</v>
      </c>
      <c r="D346">
        <v>2996.9746749999999</v>
      </c>
    </row>
    <row r="347" spans="1:4" x14ac:dyDescent="0.25">
      <c r="A347" t="s">
        <v>301</v>
      </c>
      <c r="B347" s="3">
        <f t="shared" si="5"/>
        <v>45962</v>
      </c>
      <c r="C347">
        <v>3793.0013990000002</v>
      </c>
      <c r="D347">
        <v>3012.4159549999999</v>
      </c>
    </row>
    <row r="348" spans="1:4" x14ac:dyDescent="0.25">
      <c r="A348" t="s">
        <v>302</v>
      </c>
      <c r="B348" s="3">
        <f t="shared" si="5"/>
        <v>45992</v>
      </c>
      <c r="C348">
        <v>3809.2578579999999</v>
      </c>
      <c r="D348">
        <v>2920.2984430000001</v>
      </c>
    </row>
    <row r="349" spans="1:4" x14ac:dyDescent="0.25">
      <c r="A349" t="s">
        <v>303</v>
      </c>
      <c r="B349" s="3">
        <f t="shared" si="5"/>
        <v>46023</v>
      </c>
      <c r="C349">
        <v>3840.531755</v>
      </c>
      <c r="D349">
        <v>2964.4622850000001</v>
      </c>
    </row>
    <row r="350" spans="1:4" x14ac:dyDescent="0.25">
      <c r="A350" t="s">
        <v>457</v>
      </c>
      <c r="B350" s="3">
        <f t="shared" si="5"/>
        <v>46054</v>
      </c>
      <c r="C350">
        <v>3940.1240859999998</v>
      </c>
      <c r="D350">
        <v>3014.8543559999998</v>
      </c>
    </row>
    <row r="351" spans="1:4" x14ac:dyDescent="0.25">
      <c r="A351" t="s">
        <v>458</v>
      </c>
      <c r="B351" s="3">
        <f t="shared" si="5"/>
        <v>46082</v>
      </c>
      <c r="C351">
        <v>3982.2917170000001</v>
      </c>
      <c r="D351">
        <v>3143.7570700000001</v>
      </c>
    </row>
    <row r="352" spans="1:4" x14ac:dyDescent="0.25">
      <c r="A352" t="s">
        <v>459</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topLeftCell="A795" workbookViewId="0">
      <selection activeCell="H823" sqref="H823"/>
    </sheetView>
  </sheetViews>
  <sheetFormatPr defaultRowHeight="15" x14ac:dyDescent="0.25"/>
  <cols>
    <col min="2" max="7" width="12.5703125" customWidth="1"/>
    <col min="8" max="8" width="10.42578125" bestFit="1" customWidth="1"/>
  </cols>
  <sheetData>
    <row r="1" spans="1:8" ht="96" x14ac:dyDescent="0.25">
      <c r="A1" s="14" t="s">
        <v>27</v>
      </c>
      <c r="B1" s="14" t="s">
        <v>28</v>
      </c>
      <c r="C1" s="14" t="s">
        <v>29</v>
      </c>
      <c r="D1" s="14" t="s">
        <v>30</v>
      </c>
      <c r="E1" s="14" t="s">
        <v>31</v>
      </c>
      <c r="F1" s="14" t="s">
        <v>32</v>
      </c>
      <c r="G1" s="14" t="s">
        <v>33</v>
      </c>
    </row>
    <row r="2" spans="1:8" x14ac:dyDescent="0.25">
      <c r="A2" s="15" t="s">
        <v>34</v>
      </c>
      <c r="B2" s="15" t="s">
        <v>28</v>
      </c>
      <c r="C2" s="15" t="s">
        <v>29</v>
      </c>
      <c r="D2" s="15" t="s">
        <v>30</v>
      </c>
      <c r="E2" s="15" t="s">
        <v>31</v>
      </c>
      <c r="F2" s="16" t="s">
        <v>32</v>
      </c>
      <c r="G2" s="16" t="s">
        <v>33</v>
      </c>
    </row>
    <row r="3" spans="1:8" x14ac:dyDescent="0.25">
      <c r="A3" s="15" t="s">
        <v>35</v>
      </c>
      <c r="B3" s="17" t="s">
        <v>36</v>
      </c>
      <c r="C3" s="17" t="s">
        <v>36</v>
      </c>
      <c r="D3" s="17" t="s">
        <v>36</v>
      </c>
      <c r="E3" s="17" t="s">
        <v>36</v>
      </c>
      <c r="F3" s="17" t="s">
        <v>36</v>
      </c>
      <c r="G3" s="17" t="s">
        <v>36</v>
      </c>
    </row>
    <row r="4" spans="1:8" x14ac:dyDescent="0.25">
      <c r="A4" s="15" t="s">
        <v>37</v>
      </c>
      <c r="B4" s="17" t="s">
        <v>38</v>
      </c>
      <c r="C4" s="17" t="s">
        <v>38</v>
      </c>
      <c r="D4" s="17" t="s">
        <v>38</v>
      </c>
      <c r="E4" s="17" t="s">
        <v>38</v>
      </c>
      <c r="F4" s="17" t="s">
        <v>38</v>
      </c>
      <c r="G4" s="17" t="s">
        <v>38</v>
      </c>
    </row>
    <row r="5" spans="1:8" ht="24.75" x14ac:dyDescent="0.25">
      <c r="A5" s="15" t="s">
        <v>39</v>
      </c>
      <c r="B5" s="17" t="s">
        <v>40</v>
      </c>
      <c r="C5" s="17" t="s">
        <v>40</v>
      </c>
      <c r="D5" s="17" t="s">
        <v>40</v>
      </c>
      <c r="E5" s="17" t="s">
        <v>40</v>
      </c>
      <c r="F5" s="17" t="s">
        <v>40</v>
      </c>
      <c r="G5" s="17" t="s">
        <v>40</v>
      </c>
    </row>
    <row r="6" spans="1:8" x14ac:dyDescent="0.25">
      <c r="A6" s="15"/>
      <c r="B6" s="15"/>
      <c r="C6" s="15"/>
      <c r="D6" s="15"/>
      <c r="E6" s="15"/>
      <c r="F6" s="15"/>
      <c r="G6" s="15"/>
    </row>
    <row r="7" spans="1:8" x14ac:dyDescent="0.25">
      <c r="A7" s="15"/>
      <c r="B7" s="18"/>
      <c r="C7" s="18"/>
      <c r="D7" s="18"/>
      <c r="E7" s="18"/>
      <c r="F7" s="18"/>
      <c r="G7" s="18"/>
    </row>
    <row r="8" spans="1:8" x14ac:dyDescent="0.25">
      <c r="A8" s="17" t="s">
        <v>41</v>
      </c>
      <c r="B8" s="15" t="s">
        <v>42</v>
      </c>
      <c r="C8" s="15" t="s">
        <v>42</v>
      </c>
      <c r="D8" s="15" t="s">
        <v>42</v>
      </c>
      <c r="E8" s="15" t="s">
        <v>42</v>
      </c>
      <c r="F8" s="15" t="s">
        <v>42</v>
      </c>
      <c r="G8" s="15" t="s">
        <v>42</v>
      </c>
    </row>
    <row r="9" spans="1:8" x14ac:dyDescent="0.25">
      <c r="A9" s="15" t="s">
        <v>43</v>
      </c>
      <c r="B9" s="19">
        <v>46087</v>
      </c>
      <c r="C9" s="19">
        <v>46087</v>
      </c>
      <c r="D9" s="19">
        <v>46087</v>
      </c>
      <c r="E9" s="19">
        <v>46087</v>
      </c>
      <c r="F9" s="19">
        <v>46087</v>
      </c>
      <c r="G9" s="19">
        <v>46087</v>
      </c>
    </row>
    <row r="10" spans="1:8" x14ac:dyDescent="0.25">
      <c r="A10" s="15" t="s">
        <v>44</v>
      </c>
      <c r="B10" s="15" t="s">
        <v>45</v>
      </c>
      <c r="C10" s="15" t="s">
        <v>46</v>
      </c>
      <c r="D10" s="15" t="s">
        <v>47</v>
      </c>
      <c r="E10" s="15" t="s">
        <v>48</v>
      </c>
      <c r="F10" s="15" t="s">
        <v>49</v>
      </c>
      <c r="G10" s="15" t="s">
        <v>50</v>
      </c>
    </row>
    <row r="11" spans="1:8" x14ac:dyDescent="0.25">
      <c r="A11" s="20">
        <v>21551</v>
      </c>
      <c r="B11" s="21"/>
      <c r="C11" s="21"/>
      <c r="D11" s="21">
        <v>5</v>
      </c>
      <c r="E11" s="21"/>
      <c r="F11" s="21"/>
      <c r="G11" s="21"/>
      <c r="H11" s="3"/>
    </row>
    <row r="12" spans="1:8" x14ac:dyDescent="0.25">
      <c r="A12" s="20">
        <v>21582</v>
      </c>
      <c r="B12" s="21"/>
      <c r="C12" s="21"/>
      <c r="D12" s="21">
        <v>5</v>
      </c>
      <c r="E12" s="21"/>
      <c r="F12" s="21"/>
      <c r="G12" s="21"/>
      <c r="H12" s="3"/>
    </row>
    <row r="13" spans="1:8" x14ac:dyDescent="0.25">
      <c r="A13" s="20">
        <v>21610</v>
      </c>
      <c r="B13" s="21"/>
      <c r="C13" s="21"/>
      <c r="D13" s="21">
        <v>5</v>
      </c>
      <c r="E13" s="21"/>
      <c r="F13" s="21"/>
      <c r="G13" s="21"/>
      <c r="H13" s="3"/>
    </row>
    <row r="14" spans="1:8" x14ac:dyDescent="0.25">
      <c r="A14" s="20">
        <v>21641</v>
      </c>
      <c r="B14" s="21"/>
      <c r="C14" s="21"/>
      <c r="D14" s="21">
        <v>5</v>
      </c>
      <c r="E14" s="21"/>
      <c r="F14" s="21"/>
      <c r="G14" s="21"/>
      <c r="H14" s="3"/>
    </row>
    <row r="15" spans="1:8" x14ac:dyDescent="0.25">
      <c r="A15" s="20">
        <v>21671</v>
      </c>
      <c r="B15" s="21"/>
      <c r="C15" s="21"/>
      <c r="D15" s="21">
        <v>5</v>
      </c>
      <c r="E15" s="21"/>
      <c r="F15" s="21"/>
      <c r="G15" s="21"/>
      <c r="H15" s="3"/>
    </row>
    <row r="16" spans="1:8" x14ac:dyDescent="0.25">
      <c r="A16" s="20">
        <v>21702</v>
      </c>
      <c r="B16" s="21"/>
      <c r="C16" s="21"/>
      <c r="D16" s="21">
        <v>5</v>
      </c>
      <c r="E16" s="21"/>
      <c r="F16" s="21"/>
      <c r="G16" s="21"/>
      <c r="H16" s="3"/>
    </row>
    <row r="17" spans="1:8" x14ac:dyDescent="0.25">
      <c r="A17" s="20">
        <v>21732</v>
      </c>
      <c r="B17" s="21"/>
      <c r="C17" s="21"/>
      <c r="D17" s="21">
        <v>5</v>
      </c>
      <c r="E17" s="21"/>
      <c r="F17" s="21"/>
      <c r="G17" s="21"/>
      <c r="H17" s="3"/>
    </row>
    <row r="18" spans="1:8" x14ac:dyDescent="0.25">
      <c r="A18" s="20">
        <v>21763</v>
      </c>
      <c r="B18" s="21"/>
      <c r="C18" s="21"/>
      <c r="D18" s="21">
        <v>5</v>
      </c>
      <c r="E18" s="21"/>
      <c r="F18" s="21"/>
      <c r="G18" s="21"/>
      <c r="H18" s="3"/>
    </row>
    <row r="19" spans="1:8" x14ac:dyDescent="0.25">
      <c r="A19" s="20">
        <v>21794</v>
      </c>
      <c r="B19" s="21"/>
      <c r="C19" s="21"/>
      <c r="D19" s="21">
        <v>5</v>
      </c>
      <c r="E19" s="21"/>
      <c r="F19" s="21"/>
      <c r="G19" s="21"/>
      <c r="H19" s="3"/>
    </row>
    <row r="20" spans="1:8" x14ac:dyDescent="0.25">
      <c r="A20" s="20">
        <v>21824</v>
      </c>
      <c r="B20" s="21"/>
      <c r="C20" s="21"/>
      <c r="D20" s="21">
        <v>5</v>
      </c>
      <c r="E20" s="21"/>
      <c r="F20" s="21"/>
      <c r="G20" s="21"/>
      <c r="H20" s="3"/>
    </row>
    <row r="21" spans="1:8" x14ac:dyDescent="0.25">
      <c r="A21" s="20">
        <v>21855</v>
      </c>
      <c r="B21" s="21"/>
      <c r="C21" s="21"/>
      <c r="D21" s="21">
        <v>5</v>
      </c>
      <c r="E21" s="21"/>
      <c r="F21" s="21"/>
      <c r="G21" s="21"/>
      <c r="H21" s="3"/>
    </row>
    <row r="22" spans="1:8" x14ac:dyDescent="0.25">
      <c r="A22" s="20">
        <v>21885</v>
      </c>
      <c r="B22" s="21"/>
      <c r="C22" s="21"/>
      <c r="D22" s="21">
        <v>5</v>
      </c>
      <c r="E22" s="21"/>
      <c r="F22" s="21"/>
      <c r="G22" s="21"/>
      <c r="H22" s="3"/>
    </row>
    <row r="23" spans="1:8" x14ac:dyDescent="0.25">
      <c r="A23" s="20">
        <v>21916</v>
      </c>
      <c r="B23" s="21"/>
      <c r="C23" s="21"/>
      <c r="D23" s="21">
        <v>5</v>
      </c>
      <c r="E23" s="21"/>
      <c r="F23" s="21"/>
      <c r="G23" s="21"/>
      <c r="H23" s="3"/>
    </row>
    <row r="24" spans="1:8" x14ac:dyDescent="0.25">
      <c r="A24" s="20">
        <v>21947</v>
      </c>
      <c r="B24" s="21"/>
      <c r="C24" s="21"/>
      <c r="D24" s="21">
        <v>5</v>
      </c>
      <c r="E24" s="21"/>
      <c r="F24" s="21"/>
      <c r="G24" s="21"/>
      <c r="H24" s="3"/>
    </row>
    <row r="25" spans="1:8" x14ac:dyDescent="0.25">
      <c r="A25" s="20">
        <v>21976</v>
      </c>
      <c r="B25" s="21"/>
      <c r="C25" s="21"/>
      <c r="D25" s="21">
        <v>5</v>
      </c>
      <c r="E25" s="21"/>
      <c r="F25" s="21"/>
      <c r="G25" s="21"/>
      <c r="H25" s="3"/>
    </row>
    <row r="26" spans="1:8" x14ac:dyDescent="0.25">
      <c r="A26" s="20">
        <v>22007</v>
      </c>
      <c r="B26" s="21"/>
      <c r="C26" s="21"/>
      <c r="D26" s="21">
        <v>5</v>
      </c>
      <c r="E26" s="21"/>
      <c r="F26" s="21"/>
      <c r="G26" s="21"/>
      <c r="H26" s="3"/>
    </row>
    <row r="27" spans="1:8" x14ac:dyDescent="0.25">
      <c r="A27" s="20">
        <v>22037</v>
      </c>
      <c r="B27" s="21"/>
      <c r="C27" s="21"/>
      <c r="D27" s="21">
        <v>5</v>
      </c>
      <c r="E27" s="21"/>
      <c r="F27" s="21"/>
      <c r="G27" s="21"/>
      <c r="H27" s="3"/>
    </row>
    <row r="28" spans="1:8" x14ac:dyDescent="0.25">
      <c r="A28" s="20">
        <v>22068</v>
      </c>
      <c r="B28" s="21"/>
      <c r="C28" s="21"/>
      <c r="D28" s="21">
        <v>5</v>
      </c>
      <c r="E28" s="21"/>
      <c r="F28" s="21"/>
      <c r="G28" s="21"/>
      <c r="H28" s="3"/>
    </row>
    <row r="29" spans="1:8" x14ac:dyDescent="0.25">
      <c r="A29" s="20">
        <v>22098</v>
      </c>
      <c r="B29" s="21"/>
      <c r="C29" s="21"/>
      <c r="D29" s="21">
        <v>5</v>
      </c>
      <c r="E29" s="21"/>
      <c r="F29" s="21"/>
      <c r="G29" s="21"/>
      <c r="H29" s="3"/>
    </row>
    <row r="30" spans="1:8" x14ac:dyDescent="0.25">
      <c r="A30" s="20">
        <v>22129</v>
      </c>
      <c r="B30" s="21"/>
      <c r="C30" s="21"/>
      <c r="D30" s="21">
        <v>5</v>
      </c>
      <c r="E30" s="21"/>
      <c r="F30" s="21"/>
      <c r="G30" s="21"/>
      <c r="H30" s="3"/>
    </row>
    <row r="31" spans="1:8" x14ac:dyDescent="0.25">
      <c r="A31" s="20">
        <v>22160</v>
      </c>
      <c r="B31" s="21"/>
      <c r="C31" s="21"/>
      <c r="D31" s="21">
        <v>5</v>
      </c>
      <c r="E31" s="21"/>
      <c r="F31" s="21"/>
      <c r="G31" s="21"/>
      <c r="H31" s="3"/>
    </row>
    <row r="32" spans="1:8" x14ac:dyDescent="0.25">
      <c r="A32" s="20">
        <v>22190</v>
      </c>
      <c r="B32" s="21"/>
      <c r="C32" s="21"/>
      <c r="D32" s="21">
        <v>5</v>
      </c>
      <c r="E32" s="21"/>
      <c r="F32" s="21"/>
      <c r="G32" s="21"/>
      <c r="H32" s="3"/>
    </row>
    <row r="33" spans="1:8" x14ac:dyDescent="0.25">
      <c r="A33" s="20">
        <v>22221</v>
      </c>
      <c r="B33" s="21"/>
      <c r="C33" s="21"/>
      <c r="D33" s="21">
        <v>5</v>
      </c>
      <c r="E33" s="21"/>
      <c r="F33" s="21"/>
      <c r="G33" s="21"/>
      <c r="H33" s="3"/>
    </row>
    <row r="34" spans="1:8" x14ac:dyDescent="0.25">
      <c r="A34" s="20">
        <v>22251</v>
      </c>
      <c r="B34" s="21"/>
      <c r="C34" s="21"/>
      <c r="D34" s="21">
        <v>5</v>
      </c>
      <c r="E34" s="21"/>
      <c r="F34" s="21"/>
      <c r="G34" s="21"/>
      <c r="H34" s="3"/>
    </row>
    <row r="35" spans="1:8" x14ac:dyDescent="0.25">
      <c r="A35" s="20">
        <v>22282</v>
      </c>
      <c r="B35" s="21"/>
      <c r="C35" s="21"/>
      <c r="D35" s="21">
        <v>5.5</v>
      </c>
      <c r="E35" s="21"/>
      <c r="F35" s="21"/>
      <c r="G35" s="21"/>
      <c r="H35" s="3"/>
    </row>
    <row r="36" spans="1:8" x14ac:dyDescent="0.25">
      <c r="A36" s="20">
        <v>22313</v>
      </c>
      <c r="B36" s="21"/>
      <c r="C36" s="21"/>
      <c r="D36" s="21">
        <v>5.5</v>
      </c>
      <c r="E36" s="21"/>
      <c r="F36" s="21"/>
      <c r="G36" s="21"/>
      <c r="H36" s="3"/>
    </row>
    <row r="37" spans="1:8" x14ac:dyDescent="0.25">
      <c r="A37" s="20">
        <v>22341</v>
      </c>
      <c r="B37" s="21"/>
      <c r="C37" s="21"/>
      <c r="D37" s="21">
        <v>5.5</v>
      </c>
      <c r="E37" s="21"/>
      <c r="F37" s="21"/>
      <c r="G37" s="21"/>
      <c r="H37" s="3"/>
    </row>
    <row r="38" spans="1:8" x14ac:dyDescent="0.25">
      <c r="A38" s="20">
        <v>22372</v>
      </c>
      <c r="B38" s="21"/>
      <c r="C38" s="21"/>
      <c r="D38" s="21">
        <v>5.5</v>
      </c>
      <c r="E38" s="21"/>
      <c r="F38" s="21"/>
      <c r="G38" s="21"/>
      <c r="H38" s="3"/>
    </row>
    <row r="39" spans="1:8" x14ac:dyDescent="0.25">
      <c r="A39" s="20">
        <v>22402</v>
      </c>
      <c r="B39" s="21"/>
      <c r="C39" s="21"/>
      <c r="D39" s="21">
        <v>5.5</v>
      </c>
      <c r="E39" s="21"/>
      <c r="F39" s="21"/>
      <c r="G39" s="21"/>
      <c r="H39" s="3"/>
    </row>
    <row r="40" spans="1:8" x14ac:dyDescent="0.25">
      <c r="A40" s="20">
        <v>22433</v>
      </c>
      <c r="B40" s="21"/>
      <c r="C40" s="21"/>
      <c r="D40" s="21">
        <v>5.5</v>
      </c>
      <c r="E40" s="21"/>
      <c r="F40" s="21"/>
      <c r="G40" s="21"/>
      <c r="H40" s="3"/>
    </row>
    <row r="41" spans="1:8" x14ac:dyDescent="0.25">
      <c r="A41" s="20">
        <v>22463</v>
      </c>
      <c r="B41" s="21"/>
      <c r="C41" s="21"/>
      <c r="D41" s="21">
        <v>5.5</v>
      </c>
      <c r="E41" s="21"/>
      <c r="F41" s="21"/>
      <c r="G41" s="21"/>
      <c r="H41" s="3"/>
    </row>
    <row r="42" spans="1:8" x14ac:dyDescent="0.25">
      <c r="A42" s="20">
        <v>22494</v>
      </c>
      <c r="B42" s="21"/>
      <c r="C42" s="21"/>
      <c r="D42" s="21">
        <v>5.5</v>
      </c>
      <c r="E42" s="21"/>
      <c r="F42" s="21"/>
      <c r="G42" s="21"/>
      <c r="H42" s="3"/>
    </row>
    <row r="43" spans="1:8" x14ac:dyDescent="0.25">
      <c r="A43" s="20">
        <v>22525</v>
      </c>
      <c r="B43" s="21"/>
      <c r="C43" s="21"/>
      <c r="D43" s="21">
        <v>5.5</v>
      </c>
      <c r="E43" s="21"/>
      <c r="F43" s="21"/>
      <c r="G43" s="21"/>
      <c r="H43" s="3"/>
    </row>
    <row r="44" spans="1:8" x14ac:dyDescent="0.25">
      <c r="A44" s="20">
        <v>22555</v>
      </c>
      <c r="B44" s="21"/>
      <c r="C44" s="21"/>
      <c r="D44" s="21">
        <v>5.5</v>
      </c>
      <c r="E44" s="21"/>
      <c r="F44" s="21"/>
      <c r="G44" s="21"/>
      <c r="H44" s="3"/>
    </row>
    <row r="45" spans="1:8" x14ac:dyDescent="0.25">
      <c r="A45" s="20">
        <v>22586</v>
      </c>
      <c r="B45" s="21"/>
      <c r="C45" s="21"/>
      <c r="D45" s="21">
        <v>5.5</v>
      </c>
      <c r="E45" s="21"/>
      <c r="F45" s="21"/>
      <c r="G45" s="21"/>
      <c r="H45" s="3"/>
    </row>
    <row r="46" spans="1:8" x14ac:dyDescent="0.25">
      <c r="A46" s="20">
        <v>22616</v>
      </c>
      <c r="B46" s="21"/>
      <c r="C46" s="21"/>
      <c r="D46" s="21">
        <v>5.5</v>
      </c>
      <c r="E46" s="21"/>
      <c r="F46" s="21"/>
      <c r="G46" s="21"/>
      <c r="H46" s="3"/>
    </row>
    <row r="47" spans="1:8" x14ac:dyDescent="0.25">
      <c r="A47" s="20">
        <v>22647</v>
      </c>
      <c r="B47" s="21"/>
      <c r="C47" s="21"/>
      <c r="D47" s="21">
        <v>5.5</v>
      </c>
      <c r="E47" s="21"/>
      <c r="F47" s="21"/>
      <c r="G47" s="21"/>
      <c r="H47" s="3"/>
    </row>
    <row r="48" spans="1:8" x14ac:dyDescent="0.25">
      <c r="A48" s="20">
        <v>22678</v>
      </c>
      <c r="B48" s="21"/>
      <c r="C48" s="21"/>
      <c r="D48" s="21">
        <v>5.5</v>
      </c>
      <c r="E48" s="21"/>
      <c r="F48" s="21"/>
      <c r="G48" s="21"/>
      <c r="H48" s="3"/>
    </row>
    <row r="49" spans="1:8" x14ac:dyDescent="0.25">
      <c r="A49" s="20">
        <v>22706</v>
      </c>
      <c r="B49" s="21"/>
      <c r="C49" s="21"/>
      <c r="D49" s="21">
        <v>5.5</v>
      </c>
      <c r="E49" s="21"/>
      <c r="F49" s="21"/>
      <c r="G49" s="21"/>
      <c r="H49" s="3"/>
    </row>
    <row r="50" spans="1:8" x14ac:dyDescent="0.25">
      <c r="A50" s="20">
        <v>22737</v>
      </c>
      <c r="B50" s="21"/>
      <c r="C50" s="21"/>
      <c r="D50" s="21">
        <v>5.5</v>
      </c>
      <c r="E50" s="21"/>
      <c r="F50" s="21"/>
      <c r="G50" s="21"/>
      <c r="H50" s="3"/>
    </row>
    <row r="51" spans="1:8" x14ac:dyDescent="0.25">
      <c r="A51" s="20">
        <v>22767</v>
      </c>
      <c r="B51" s="21"/>
      <c r="C51" s="21"/>
      <c r="D51" s="21">
        <v>5.5</v>
      </c>
      <c r="E51" s="21"/>
      <c r="F51" s="21"/>
      <c r="G51" s="21"/>
      <c r="H51" s="3"/>
    </row>
    <row r="52" spans="1:8" x14ac:dyDescent="0.25">
      <c r="A52" s="20">
        <v>22798</v>
      </c>
      <c r="B52" s="21"/>
      <c r="C52" s="21"/>
      <c r="D52" s="21">
        <v>5.5</v>
      </c>
      <c r="E52" s="21"/>
      <c r="F52" s="21"/>
      <c r="G52" s="21"/>
      <c r="H52" s="3"/>
    </row>
    <row r="53" spans="1:8" x14ac:dyDescent="0.25">
      <c r="A53" s="20">
        <v>22828</v>
      </c>
      <c r="B53" s="21"/>
      <c r="C53" s="21"/>
      <c r="D53" s="21">
        <v>5.5</v>
      </c>
      <c r="E53" s="21"/>
      <c r="F53" s="21"/>
      <c r="G53" s="21"/>
      <c r="H53" s="3"/>
    </row>
    <row r="54" spans="1:8" x14ac:dyDescent="0.25">
      <c r="A54" s="20">
        <v>22859</v>
      </c>
      <c r="B54" s="21"/>
      <c r="C54" s="21"/>
      <c r="D54" s="21">
        <v>5.5</v>
      </c>
      <c r="E54" s="21"/>
      <c r="F54" s="21"/>
      <c r="G54" s="21"/>
      <c r="H54" s="3"/>
    </row>
    <row r="55" spans="1:8" x14ac:dyDescent="0.25">
      <c r="A55" s="20">
        <v>22890</v>
      </c>
      <c r="B55" s="21"/>
      <c r="C55" s="21"/>
      <c r="D55" s="21">
        <v>5.5</v>
      </c>
      <c r="E55" s="21"/>
      <c r="F55" s="21"/>
      <c r="G55" s="21"/>
      <c r="H55" s="3"/>
    </row>
    <row r="56" spans="1:8" x14ac:dyDescent="0.25">
      <c r="A56" s="20">
        <v>22920</v>
      </c>
      <c r="B56" s="21"/>
      <c r="C56" s="21"/>
      <c r="D56" s="21">
        <v>5.5</v>
      </c>
      <c r="E56" s="21"/>
      <c r="F56" s="21"/>
      <c r="G56" s="21"/>
      <c r="H56" s="3"/>
    </row>
    <row r="57" spans="1:8" x14ac:dyDescent="0.25">
      <c r="A57" s="20">
        <v>22951</v>
      </c>
      <c r="B57" s="21"/>
      <c r="C57" s="21"/>
      <c r="D57" s="21">
        <v>5.5</v>
      </c>
      <c r="E57" s="21"/>
      <c r="F57" s="21"/>
      <c r="G57" s="21"/>
      <c r="H57" s="3"/>
    </row>
    <row r="58" spans="1:8" x14ac:dyDescent="0.25">
      <c r="A58" s="20">
        <v>22981</v>
      </c>
      <c r="B58" s="21"/>
      <c r="C58" s="21"/>
      <c r="D58" s="21">
        <v>5.5</v>
      </c>
      <c r="E58" s="21"/>
      <c r="F58" s="21"/>
      <c r="G58" s="21"/>
      <c r="H58" s="3"/>
    </row>
    <row r="59" spans="1:8" x14ac:dyDescent="0.25">
      <c r="A59" s="20">
        <v>23012</v>
      </c>
      <c r="B59" s="21"/>
      <c r="C59" s="21"/>
      <c r="D59" s="21">
        <v>5.5</v>
      </c>
      <c r="E59" s="21"/>
      <c r="F59" s="21"/>
      <c r="G59" s="21"/>
      <c r="H59" s="3"/>
    </row>
    <row r="60" spans="1:8" x14ac:dyDescent="0.25">
      <c r="A60" s="20">
        <v>23043</v>
      </c>
      <c r="B60" s="21"/>
      <c r="C60" s="21"/>
      <c r="D60" s="21">
        <v>5.5</v>
      </c>
      <c r="E60" s="21"/>
      <c r="F60" s="21"/>
      <c r="G60" s="21"/>
      <c r="H60" s="3"/>
    </row>
    <row r="61" spans="1:8" x14ac:dyDescent="0.25">
      <c r="A61" s="20">
        <v>23071</v>
      </c>
      <c r="B61" s="21"/>
      <c r="C61" s="21"/>
      <c r="D61" s="21">
        <v>5.5</v>
      </c>
      <c r="E61" s="21"/>
      <c r="F61" s="21"/>
      <c r="G61" s="21"/>
      <c r="H61" s="3"/>
    </row>
    <row r="62" spans="1:8" x14ac:dyDescent="0.25">
      <c r="A62" s="20">
        <v>23102</v>
      </c>
      <c r="B62" s="21"/>
      <c r="C62" s="21"/>
      <c r="D62" s="21">
        <v>5</v>
      </c>
      <c r="E62" s="21"/>
      <c r="F62" s="21"/>
      <c r="G62" s="21"/>
      <c r="H62" s="3"/>
    </row>
    <row r="63" spans="1:8" x14ac:dyDescent="0.25">
      <c r="A63" s="20">
        <v>23132</v>
      </c>
      <c r="B63" s="21"/>
      <c r="C63" s="21"/>
      <c r="D63" s="21">
        <v>5</v>
      </c>
      <c r="E63" s="21"/>
      <c r="F63" s="21"/>
      <c r="G63" s="21"/>
      <c r="H63" s="3"/>
    </row>
    <row r="64" spans="1:8" x14ac:dyDescent="0.25">
      <c r="A64" s="20">
        <v>23163</v>
      </c>
      <c r="B64" s="21"/>
      <c r="C64" s="21"/>
      <c r="D64" s="21">
        <v>5</v>
      </c>
      <c r="E64" s="21"/>
      <c r="F64" s="21"/>
      <c r="G64" s="21"/>
      <c r="H64" s="3"/>
    </row>
    <row r="65" spans="1:8" x14ac:dyDescent="0.25">
      <c r="A65" s="20">
        <v>23193</v>
      </c>
      <c r="B65" s="21"/>
      <c r="C65" s="21"/>
      <c r="D65" s="21">
        <v>5</v>
      </c>
      <c r="E65" s="21"/>
      <c r="F65" s="21"/>
      <c r="G65" s="21"/>
      <c r="H65" s="3"/>
    </row>
    <row r="66" spans="1:8" x14ac:dyDescent="0.25">
      <c r="A66" s="20">
        <v>23224</v>
      </c>
      <c r="B66" s="21"/>
      <c r="C66" s="21"/>
      <c r="D66" s="21">
        <v>5</v>
      </c>
      <c r="E66" s="21"/>
      <c r="F66" s="21"/>
      <c r="G66" s="21"/>
      <c r="H66" s="3"/>
    </row>
    <row r="67" spans="1:8" x14ac:dyDescent="0.25">
      <c r="A67" s="20">
        <v>23255</v>
      </c>
      <c r="B67" s="21"/>
      <c r="C67" s="21"/>
      <c r="D67" s="21">
        <v>5</v>
      </c>
      <c r="E67" s="21"/>
      <c r="F67" s="21"/>
      <c r="G67" s="21"/>
      <c r="H67" s="3"/>
    </row>
    <row r="68" spans="1:8" x14ac:dyDescent="0.25">
      <c r="A68" s="20">
        <v>23285</v>
      </c>
      <c r="B68" s="21"/>
      <c r="C68" s="21"/>
      <c r="D68" s="21">
        <v>5</v>
      </c>
      <c r="E68" s="21"/>
      <c r="F68" s="21"/>
      <c r="G68" s="21"/>
      <c r="H68" s="3"/>
    </row>
    <row r="69" spans="1:8" x14ac:dyDescent="0.25">
      <c r="A69" s="20">
        <v>23316</v>
      </c>
      <c r="B69" s="21"/>
      <c r="C69" s="21"/>
      <c r="D69" s="21">
        <v>5</v>
      </c>
      <c r="E69" s="21"/>
      <c r="F69" s="21"/>
      <c r="G69" s="21"/>
      <c r="H69" s="3"/>
    </row>
    <row r="70" spans="1:8" x14ac:dyDescent="0.25">
      <c r="A70" s="20">
        <v>23346</v>
      </c>
      <c r="B70" s="21"/>
      <c r="C70" s="21"/>
      <c r="D70" s="21">
        <v>5</v>
      </c>
      <c r="E70" s="21"/>
      <c r="F70" s="21"/>
      <c r="G70" s="21"/>
      <c r="H70" s="3"/>
    </row>
    <row r="71" spans="1:8" x14ac:dyDescent="0.25">
      <c r="A71" s="20">
        <v>23377</v>
      </c>
      <c r="B71" s="21"/>
      <c r="C71" s="21"/>
      <c r="D71" s="21">
        <v>5</v>
      </c>
      <c r="E71" s="21"/>
      <c r="F71" s="21"/>
      <c r="G71" s="21"/>
      <c r="H71" s="3"/>
    </row>
    <row r="72" spans="1:8" x14ac:dyDescent="0.25">
      <c r="A72" s="20">
        <v>23408</v>
      </c>
      <c r="B72" s="21"/>
      <c r="C72" s="21"/>
      <c r="D72" s="21">
        <v>5</v>
      </c>
      <c r="E72" s="21"/>
      <c r="F72" s="21"/>
      <c r="G72" s="21"/>
      <c r="H72" s="3"/>
    </row>
    <row r="73" spans="1:8" x14ac:dyDescent="0.25">
      <c r="A73" s="20">
        <v>23437</v>
      </c>
      <c r="B73" s="21"/>
      <c r="C73" s="21"/>
      <c r="D73" s="21">
        <v>5</v>
      </c>
      <c r="E73" s="21"/>
      <c r="F73" s="21"/>
      <c r="G73" s="21"/>
      <c r="H73" s="3"/>
    </row>
    <row r="74" spans="1:8" x14ac:dyDescent="0.25">
      <c r="A74" s="20">
        <v>23468</v>
      </c>
      <c r="B74" s="21"/>
      <c r="C74" s="21"/>
      <c r="D74" s="21">
        <v>5</v>
      </c>
      <c r="E74" s="21"/>
      <c r="F74" s="21"/>
      <c r="G74" s="21"/>
      <c r="H74" s="3"/>
    </row>
    <row r="75" spans="1:8" x14ac:dyDescent="0.25">
      <c r="A75" s="20">
        <v>23498</v>
      </c>
      <c r="B75" s="21"/>
      <c r="C75" s="21"/>
      <c r="D75" s="21">
        <v>5</v>
      </c>
      <c r="E75" s="21"/>
      <c r="F75" s="21"/>
      <c r="G75" s="21"/>
      <c r="H75" s="3"/>
    </row>
    <row r="76" spans="1:8" x14ac:dyDescent="0.25">
      <c r="A76" s="20">
        <v>23529</v>
      </c>
      <c r="B76" s="21"/>
      <c r="C76" s="21"/>
      <c r="D76" s="21">
        <v>5.13</v>
      </c>
      <c r="E76" s="21"/>
      <c r="F76" s="21"/>
      <c r="G76" s="21"/>
      <c r="H76" s="3"/>
    </row>
    <row r="77" spans="1:8" x14ac:dyDescent="0.25">
      <c r="A77" s="20">
        <v>23559</v>
      </c>
      <c r="B77" s="21"/>
      <c r="C77" s="21"/>
      <c r="D77" s="21">
        <v>5.13</v>
      </c>
      <c r="E77" s="21"/>
      <c r="F77" s="21"/>
      <c r="G77" s="21"/>
      <c r="H77" s="3"/>
    </row>
    <row r="78" spans="1:8" x14ac:dyDescent="0.25">
      <c r="A78" s="20">
        <v>23590</v>
      </c>
      <c r="B78" s="21"/>
      <c r="C78" s="21"/>
      <c r="D78" s="21">
        <v>5.13</v>
      </c>
      <c r="E78" s="21"/>
      <c r="F78" s="21"/>
      <c r="G78" s="21"/>
      <c r="H78" s="3"/>
    </row>
    <row r="79" spans="1:8" x14ac:dyDescent="0.25">
      <c r="A79" s="20">
        <v>23621</v>
      </c>
      <c r="B79" s="21"/>
      <c r="C79" s="21"/>
      <c r="D79" s="21">
        <v>5.13</v>
      </c>
      <c r="E79" s="21"/>
      <c r="F79" s="21"/>
      <c r="G79" s="21"/>
      <c r="H79" s="3"/>
    </row>
    <row r="80" spans="1:8" x14ac:dyDescent="0.25">
      <c r="A80" s="20">
        <v>23651</v>
      </c>
      <c r="B80" s="21"/>
      <c r="C80" s="21"/>
      <c r="D80" s="21">
        <v>5.13</v>
      </c>
      <c r="E80" s="21"/>
      <c r="F80" s="21"/>
      <c r="G80" s="21"/>
      <c r="H80" s="3"/>
    </row>
    <row r="81" spans="1:8" x14ac:dyDescent="0.25">
      <c r="A81" s="20">
        <v>23682</v>
      </c>
      <c r="B81" s="21"/>
      <c r="C81" s="21"/>
      <c r="D81" s="21">
        <v>5.13</v>
      </c>
      <c r="E81" s="21"/>
      <c r="F81" s="21"/>
      <c r="G81" s="21"/>
      <c r="H81" s="3"/>
    </row>
    <row r="82" spans="1:8" x14ac:dyDescent="0.25">
      <c r="A82" s="20">
        <v>23712</v>
      </c>
      <c r="B82" s="21"/>
      <c r="C82" s="21"/>
      <c r="D82" s="21">
        <v>5.13</v>
      </c>
      <c r="E82" s="21"/>
      <c r="F82" s="21"/>
      <c r="G82" s="21"/>
      <c r="H82" s="3"/>
    </row>
    <row r="83" spans="1:8" x14ac:dyDescent="0.25">
      <c r="A83" s="20">
        <v>23743</v>
      </c>
      <c r="B83" s="21"/>
      <c r="C83" s="21"/>
      <c r="D83" s="21">
        <v>5.13</v>
      </c>
      <c r="E83" s="21"/>
      <c r="F83" s="21"/>
      <c r="G83" s="21"/>
      <c r="H83" s="3"/>
    </row>
    <row r="84" spans="1:8" x14ac:dyDescent="0.25">
      <c r="A84" s="20">
        <v>23774</v>
      </c>
      <c r="B84" s="21"/>
      <c r="C84" s="21"/>
      <c r="D84" s="21">
        <v>5.13</v>
      </c>
      <c r="E84" s="21"/>
      <c r="F84" s="21"/>
      <c r="G84" s="21"/>
      <c r="H84" s="3"/>
    </row>
    <row r="85" spans="1:8" x14ac:dyDescent="0.25">
      <c r="A85" s="20">
        <v>23802</v>
      </c>
      <c r="B85" s="21"/>
      <c r="C85" s="21"/>
      <c r="D85" s="21">
        <v>5.13</v>
      </c>
      <c r="E85" s="21"/>
      <c r="F85" s="21"/>
      <c r="G85" s="21"/>
      <c r="H85" s="3"/>
    </row>
    <row r="86" spans="1:8" x14ac:dyDescent="0.25">
      <c r="A86" s="20">
        <v>23833</v>
      </c>
      <c r="B86" s="21"/>
      <c r="C86" s="21"/>
      <c r="D86" s="21">
        <v>5.38</v>
      </c>
      <c r="E86" s="21"/>
      <c r="F86" s="21"/>
      <c r="G86" s="21"/>
      <c r="H86" s="3"/>
    </row>
    <row r="87" spans="1:8" x14ac:dyDescent="0.25">
      <c r="A87" s="20">
        <v>23863</v>
      </c>
      <c r="B87" s="21"/>
      <c r="C87" s="21"/>
      <c r="D87" s="21">
        <v>5.38</v>
      </c>
      <c r="E87" s="21"/>
      <c r="F87" s="21"/>
      <c r="G87" s="21"/>
      <c r="H87" s="3"/>
    </row>
    <row r="88" spans="1:8" x14ac:dyDescent="0.25">
      <c r="A88" s="20">
        <v>23894</v>
      </c>
      <c r="B88" s="21"/>
      <c r="C88" s="21"/>
      <c r="D88" s="21">
        <v>5.38</v>
      </c>
      <c r="E88" s="21"/>
      <c r="F88" s="21"/>
      <c r="G88" s="21"/>
      <c r="H88" s="3"/>
    </row>
    <row r="89" spans="1:8" x14ac:dyDescent="0.25">
      <c r="A89" s="20">
        <v>23924</v>
      </c>
      <c r="B89" s="21"/>
      <c r="C89" s="21"/>
      <c r="D89" s="21">
        <v>5.38</v>
      </c>
      <c r="E89" s="21"/>
      <c r="F89" s="21"/>
      <c r="G89" s="21"/>
      <c r="H89" s="3"/>
    </row>
    <row r="90" spans="1:8" x14ac:dyDescent="0.25">
      <c r="A90" s="20">
        <v>23955</v>
      </c>
      <c r="B90" s="21"/>
      <c r="C90" s="21"/>
      <c r="D90" s="21">
        <v>5.38</v>
      </c>
      <c r="E90" s="21"/>
      <c r="F90" s="21"/>
      <c r="G90" s="21"/>
      <c r="H90" s="3"/>
    </row>
    <row r="91" spans="1:8" x14ac:dyDescent="0.25">
      <c r="A91" s="20">
        <v>23986</v>
      </c>
      <c r="B91" s="21"/>
      <c r="C91" s="21"/>
      <c r="D91" s="21">
        <v>5.38</v>
      </c>
      <c r="E91" s="21"/>
      <c r="F91" s="21"/>
      <c r="G91" s="21"/>
      <c r="H91" s="3"/>
    </row>
    <row r="92" spans="1:8" x14ac:dyDescent="0.25">
      <c r="A92" s="20">
        <v>24016</v>
      </c>
      <c r="B92" s="21"/>
      <c r="C92" s="21"/>
      <c r="D92" s="21">
        <v>5.38</v>
      </c>
      <c r="E92" s="21"/>
      <c r="F92" s="21"/>
      <c r="G92" s="21"/>
      <c r="H92" s="3"/>
    </row>
    <row r="93" spans="1:8" x14ac:dyDescent="0.25">
      <c r="A93" s="20">
        <v>24047</v>
      </c>
      <c r="B93" s="21"/>
      <c r="C93" s="21"/>
      <c r="D93" s="21">
        <v>5.38</v>
      </c>
      <c r="E93" s="21"/>
      <c r="F93" s="21"/>
      <c r="G93" s="21"/>
      <c r="H93" s="3"/>
    </row>
    <row r="94" spans="1:8" x14ac:dyDescent="0.25">
      <c r="A94" s="20">
        <v>24077</v>
      </c>
      <c r="B94" s="21"/>
      <c r="C94" s="21"/>
      <c r="D94" s="21">
        <v>5.38</v>
      </c>
      <c r="E94" s="21"/>
      <c r="F94" s="21"/>
      <c r="G94" s="21"/>
      <c r="H94" s="3"/>
    </row>
    <row r="95" spans="1:8" x14ac:dyDescent="0.25">
      <c r="A95" s="20">
        <v>24108</v>
      </c>
      <c r="B95" s="21"/>
      <c r="C95" s="21"/>
      <c r="D95" s="21">
        <v>5.38</v>
      </c>
      <c r="E95" s="21"/>
      <c r="F95" s="21"/>
      <c r="G95" s="21"/>
      <c r="H95" s="3"/>
    </row>
    <row r="96" spans="1:8" x14ac:dyDescent="0.25">
      <c r="A96" s="20">
        <v>24139</v>
      </c>
      <c r="B96" s="21"/>
      <c r="C96" s="21"/>
      <c r="D96" s="21">
        <v>5.38</v>
      </c>
      <c r="E96" s="21"/>
      <c r="F96" s="21"/>
      <c r="G96" s="21"/>
      <c r="H96" s="3"/>
    </row>
    <row r="97" spans="1:8" x14ac:dyDescent="0.25">
      <c r="A97" s="20">
        <v>24167</v>
      </c>
      <c r="B97" s="21"/>
      <c r="C97" s="21"/>
      <c r="D97" s="21">
        <v>5.38</v>
      </c>
      <c r="E97" s="21"/>
      <c r="F97" s="21"/>
      <c r="G97" s="21"/>
      <c r="H97" s="3"/>
    </row>
    <row r="98" spans="1:8" x14ac:dyDescent="0.25">
      <c r="A98" s="20">
        <v>24198</v>
      </c>
      <c r="B98" s="21"/>
      <c r="C98" s="21"/>
      <c r="D98" s="21">
        <v>5.38</v>
      </c>
      <c r="E98" s="21"/>
      <c r="F98" s="21"/>
      <c r="G98" s="21"/>
      <c r="H98" s="3"/>
    </row>
    <row r="99" spans="1:8" x14ac:dyDescent="0.25">
      <c r="A99" s="20">
        <v>24228</v>
      </c>
      <c r="B99" s="21"/>
      <c r="C99" s="21"/>
      <c r="D99" s="21">
        <v>5.38</v>
      </c>
      <c r="E99" s="21"/>
      <c r="F99" s="21"/>
      <c r="G99" s="21"/>
      <c r="H99" s="3"/>
    </row>
    <row r="100" spans="1:8" x14ac:dyDescent="0.25">
      <c r="A100" s="20">
        <v>24259</v>
      </c>
      <c r="B100" s="21"/>
      <c r="C100" s="21"/>
      <c r="D100" s="21">
        <v>5.38</v>
      </c>
      <c r="E100" s="21"/>
      <c r="F100" s="21"/>
      <c r="G100" s="21"/>
      <c r="H100" s="3"/>
    </row>
    <row r="101" spans="1:8" x14ac:dyDescent="0.25">
      <c r="A101" s="20">
        <v>24289</v>
      </c>
      <c r="B101" s="21"/>
      <c r="C101" s="21"/>
      <c r="D101" s="21">
        <v>5.38</v>
      </c>
      <c r="E101" s="21"/>
      <c r="F101" s="21"/>
      <c r="G101" s="21"/>
      <c r="H101" s="3"/>
    </row>
    <row r="102" spans="1:8" x14ac:dyDescent="0.25">
      <c r="A102" s="20">
        <v>24320</v>
      </c>
      <c r="B102" s="21"/>
      <c r="C102" s="21"/>
      <c r="D102" s="21">
        <v>5.38</v>
      </c>
      <c r="E102" s="21"/>
      <c r="F102" s="21"/>
      <c r="G102" s="21"/>
      <c r="H102" s="3"/>
    </row>
    <row r="103" spans="1:8" x14ac:dyDescent="0.25">
      <c r="A103" s="20">
        <v>24351</v>
      </c>
      <c r="B103" s="21"/>
      <c r="C103" s="21"/>
      <c r="D103" s="21">
        <v>5.38</v>
      </c>
      <c r="E103" s="21"/>
      <c r="F103" s="21"/>
      <c r="G103" s="21"/>
      <c r="H103" s="3"/>
    </row>
    <row r="104" spans="1:8" x14ac:dyDescent="0.25">
      <c r="A104" s="20">
        <v>24381</v>
      </c>
      <c r="B104" s="21"/>
      <c r="C104" s="21"/>
      <c r="D104" s="21">
        <v>5.38</v>
      </c>
      <c r="E104" s="21"/>
      <c r="F104" s="21"/>
      <c r="G104" s="21"/>
      <c r="H104" s="3"/>
    </row>
    <row r="105" spans="1:8" x14ac:dyDescent="0.25">
      <c r="A105" s="20">
        <v>24412</v>
      </c>
      <c r="B105" s="21"/>
      <c r="C105" s="21"/>
      <c r="D105" s="21">
        <v>5.38</v>
      </c>
      <c r="E105" s="21"/>
      <c r="F105" s="21"/>
      <c r="G105" s="21"/>
      <c r="H105" s="3"/>
    </row>
    <row r="106" spans="1:8" x14ac:dyDescent="0.25">
      <c r="A106" s="20">
        <v>24442</v>
      </c>
      <c r="B106" s="21"/>
      <c r="C106" s="21"/>
      <c r="D106" s="21">
        <v>5.38</v>
      </c>
      <c r="E106" s="21"/>
      <c r="F106" s="21"/>
      <c r="G106" s="21"/>
      <c r="H106" s="3"/>
    </row>
    <row r="107" spans="1:8" x14ac:dyDescent="0.25">
      <c r="A107" s="20">
        <v>24473</v>
      </c>
      <c r="B107" s="21"/>
      <c r="C107" s="21"/>
      <c r="D107" s="21">
        <v>5.38</v>
      </c>
      <c r="E107" s="21"/>
      <c r="F107" s="21"/>
      <c r="G107" s="21"/>
      <c r="H107" s="3"/>
    </row>
    <row r="108" spans="1:8" x14ac:dyDescent="0.25">
      <c r="A108" s="20">
        <v>24504</v>
      </c>
      <c r="B108" s="21"/>
      <c r="C108" s="21"/>
      <c r="D108" s="21">
        <v>5.38</v>
      </c>
      <c r="E108" s="21"/>
      <c r="F108" s="21"/>
      <c r="G108" s="21"/>
      <c r="H108" s="3"/>
    </row>
    <row r="109" spans="1:8" x14ac:dyDescent="0.25">
      <c r="A109" s="20">
        <v>24532</v>
      </c>
      <c r="B109" s="21"/>
      <c r="C109" s="21"/>
      <c r="D109" s="21">
        <v>5.38</v>
      </c>
      <c r="E109" s="21"/>
      <c r="F109" s="21"/>
      <c r="G109" s="21"/>
      <c r="H109" s="3"/>
    </row>
    <row r="110" spans="1:8" x14ac:dyDescent="0.25">
      <c r="A110" s="20">
        <v>24563</v>
      </c>
      <c r="B110" s="21"/>
      <c r="C110" s="21"/>
      <c r="D110" s="21">
        <v>5.38</v>
      </c>
      <c r="E110" s="21"/>
      <c r="F110" s="21"/>
      <c r="G110" s="21"/>
      <c r="H110" s="3"/>
    </row>
    <row r="111" spans="1:8" x14ac:dyDescent="0.25">
      <c r="A111" s="20">
        <v>24593</v>
      </c>
      <c r="B111" s="21"/>
      <c r="C111" s="21"/>
      <c r="D111" s="21">
        <v>5.38</v>
      </c>
      <c r="E111" s="21"/>
      <c r="F111" s="21"/>
      <c r="G111" s="21"/>
      <c r="H111" s="3"/>
    </row>
    <row r="112" spans="1:8" x14ac:dyDescent="0.25">
      <c r="A112" s="20">
        <v>24624</v>
      </c>
      <c r="B112" s="21"/>
      <c r="C112" s="21"/>
      <c r="D112" s="21">
        <v>5.38</v>
      </c>
      <c r="E112" s="21"/>
      <c r="F112" s="21"/>
      <c r="G112" s="21"/>
      <c r="H112" s="3"/>
    </row>
    <row r="113" spans="1:8" x14ac:dyDescent="0.25">
      <c r="A113" s="20">
        <v>24654</v>
      </c>
      <c r="B113" s="21"/>
      <c r="C113" s="21"/>
      <c r="D113" s="21">
        <v>5.38</v>
      </c>
      <c r="E113" s="21"/>
      <c r="F113" s="21"/>
      <c r="G113" s="21"/>
      <c r="H113" s="3"/>
    </row>
    <row r="114" spans="1:8" x14ac:dyDescent="0.25">
      <c r="A114" s="20">
        <v>24685</v>
      </c>
      <c r="B114" s="21"/>
      <c r="C114" s="21"/>
      <c r="D114" s="21">
        <v>5.38</v>
      </c>
      <c r="E114" s="21"/>
      <c r="F114" s="21"/>
      <c r="G114" s="21"/>
      <c r="H114" s="3"/>
    </row>
    <row r="115" spans="1:8" x14ac:dyDescent="0.25">
      <c r="A115" s="20">
        <v>24716</v>
      </c>
      <c r="B115" s="21"/>
      <c r="C115" s="21"/>
      <c r="D115" s="21">
        <v>5.38</v>
      </c>
      <c r="E115" s="21"/>
      <c r="F115" s="21"/>
      <c r="G115" s="21"/>
      <c r="H115" s="3"/>
    </row>
    <row r="116" spans="1:8" x14ac:dyDescent="0.25">
      <c r="A116" s="20">
        <v>24746</v>
      </c>
      <c r="B116" s="21"/>
      <c r="C116" s="21"/>
      <c r="D116" s="21">
        <v>5.38</v>
      </c>
      <c r="E116" s="21"/>
      <c r="F116" s="21"/>
      <c r="G116" s="21"/>
      <c r="H116" s="3"/>
    </row>
    <row r="117" spans="1:8" x14ac:dyDescent="0.25">
      <c r="A117" s="20">
        <v>24777</v>
      </c>
      <c r="B117" s="21"/>
      <c r="C117" s="21"/>
      <c r="D117" s="21">
        <v>5.38</v>
      </c>
      <c r="E117" s="21"/>
      <c r="F117" s="21"/>
      <c r="G117" s="21"/>
      <c r="H117" s="3"/>
    </row>
    <row r="118" spans="1:8" x14ac:dyDescent="0.25">
      <c r="A118" s="20">
        <v>24807</v>
      </c>
      <c r="B118" s="21"/>
      <c r="C118" s="21"/>
      <c r="D118" s="21">
        <v>5.38</v>
      </c>
      <c r="E118" s="21"/>
      <c r="F118" s="21"/>
      <c r="G118" s="21"/>
      <c r="H118" s="3"/>
    </row>
    <row r="119" spans="1:8" x14ac:dyDescent="0.25">
      <c r="A119" s="20">
        <v>24838</v>
      </c>
      <c r="B119" s="21"/>
      <c r="C119" s="21"/>
      <c r="D119" s="21">
        <v>5.38</v>
      </c>
      <c r="E119" s="21"/>
      <c r="F119" s="21"/>
      <c r="G119" s="21"/>
      <c r="H119" s="3"/>
    </row>
    <row r="120" spans="1:8" x14ac:dyDescent="0.25">
      <c r="A120" s="20">
        <v>24869</v>
      </c>
      <c r="B120" s="21"/>
      <c r="C120" s="21"/>
      <c r="D120" s="21">
        <v>5.38</v>
      </c>
      <c r="E120" s="21"/>
      <c r="F120" s="21"/>
      <c r="G120" s="21"/>
      <c r="H120" s="3"/>
    </row>
    <row r="121" spans="1:8" x14ac:dyDescent="0.25">
      <c r="A121" s="20">
        <v>24898</v>
      </c>
      <c r="B121" s="21"/>
      <c r="C121" s="21"/>
      <c r="D121" s="21">
        <v>5.38</v>
      </c>
      <c r="E121" s="21"/>
      <c r="F121" s="21"/>
      <c r="G121" s="21"/>
      <c r="H121" s="3"/>
    </row>
    <row r="122" spans="1:8" x14ac:dyDescent="0.25">
      <c r="A122" s="20">
        <v>24929</v>
      </c>
      <c r="B122" s="21"/>
      <c r="C122" s="21"/>
      <c r="D122" s="21">
        <v>5.38</v>
      </c>
      <c r="E122" s="21"/>
      <c r="F122" s="21"/>
      <c r="G122" s="21"/>
      <c r="H122" s="3"/>
    </row>
    <row r="123" spans="1:8" x14ac:dyDescent="0.25">
      <c r="A123" s="20">
        <v>24959</v>
      </c>
      <c r="B123" s="21"/>
      <c r="C123" s="21"/>
      <c r="D123" s="21">
        <v>5.38</v>
      </c>
      <c r="E123" s="21"/>
      <c r="F123" s="21"/>
      <c r="G123" s="21"/>
      <c r="H123" s="3"/>
    </row>
    <row r="124" spans="1:8" x14ac:dyDescent="0.25">
      <c r="A124" s="20">
        <v>24990</v>
      </c>
      <c r="B124" s="21"/>
      <c r="C124" s="21"/>
      <c r="D124" s="21">
        <v>5.38</v>
      </c>
      <c r="E124" s="21"/>
      <c r="F124" s="21"/>
      <c r="G124" s="21"/>
      <c r="H124" s="3"/>
    </row>
    <row r="125" spans="1:8" x14ac:dyDescent="0.25">
      <c r="A125" s="20">
        <v>25020</v>
      </c>
      <c r="B125" s="21"/>
      <c r="C125" s="21"/>
      <c r="D125" s="21">
        <v>5.38</v>
      </c>
      <c r="E125" s="21"/>
      <c r="F125" s="21"/>
      <c r="G125" s="21"/>
      <c r="H125" s="3"/>
    </row>
    <row r="126" spans="1:8" x14ac:dyDescent="0.25">
      <c r="A126" s="20">
        <v>25051</v>
      </c>
      <c r="B126" s="21"/>
      <c r="C126" s="21"/>
      <c r="D126" s="21">
        <v>5.88</v>
      </c>
      <c r="E126" s="21"/>
      <c r="F126" s="21"/>
      <c r="G126" s="21"/>
      <c r="H126" s="3"/>
    </row>
    <row r="127" spans="1:8" x14ac:dyDescent="0.25">
      <c r="A127" s="20">
        <v>25082</v>
      </c>
      <c r="B127" s="21"/>
      <c r="C127" s="21"/>
      <c r="D127" s="21">
        <v>5.88</v>
      </c>
      <c r="E127" s="21"/>
      <c r="F127" s="21"/>
      <c r="G127" s="21"/>
      <c r="H127" s="3"/>
    </row>
    <row r="128" spans="1:8" x14ac:dyDescent="0.25">
      <c r="A128" s="20">
        <v>25112</v>
      </c>
      <c r="B128" s="21"/>
      <c r="C128" s="21"/>
      <c r="D128" s="21">
        <v>5.88</v>
      </c>
      <c r="E128" s="21"/>
      <c r="F128" s="21"/>
      <c r="G128" s="21"/>
      <c r="H128" s="3"/>
    </row>
    <row r="129" spans="1:8" x14ac:dyDescent="0.25">
      <c r="A129" s="20">
        <v>25143</v>
      </c>
      <c r="B129" s="21"/>
      <c r="C129" s="21"/>
      <c r="D129" s="21">
        <v>5.88</v>
      </c>
      <c r="E129" s="21"/>
      <c r="F129" s="21"/>
      <c r="G129" s="21"/>
      <c r="H129" s="3"/>
    </row>
    <row r="130" spans="1:8" x14ac:dyDescent="0.25">
      <c r="A130" s="20">
        <v>25173</v>
      </c>
      <c r="B130" s="21"/>
      <c r="C130" s="21"/>
      <c r="D130" s="21">
        <v>5.88</v>
      </c>
      <c r="E130" s="21"/>
      <c r="F130" s="21"/>
      <c r="G130" s="21"/>
      <c r="H130" s="3"/>
    </row>
    <row r="131" spans="1:8" x14ac:dyDescent="0.25">
      <c r="A131" s="20">
        <v>25204</v>
      </c>
      <c r="B131" s="21"/>
      <c r="C131" s="21"/>
      <c r="D131" s="21">
        <v>5.88</v>
      </c>
      <c r="E131" s="21"/>
      <c r="F131" s="21"/>
      <c r="G131" s="21"/>
      <c r="H131" s="3"/>
    </row>
    <row r="132" spans="1:8" x14ac:dyDescent="0.25">
      <c r="A132" s="20">
        <v>25235</v>
      </c>
      <c r="B132" s="21"/>
      <c r="C132" s="21"/>
      <c r="D132" s="21">
        <v>5.88</v>
      </c>
      <c r="E132" s="21"/>
      <c r="F132" s="21"/>
      <c r="G132" s="21"/>
      <c r="H132" s="3"/>
    </row>
    <row r="133" spans="1:8" x14ac:dyDescent="0.25">
      <c r="A133" s="20">
        <v>25263</v>
      </c>
      <c r="B133" s="21"/>
      <c r="C133" s="21"/>
      <c r="D133" s="21">
        <v>5.88</v>
      </c>
      <c r="E133" s="21"/>
      <c r="F133" s="21"/>
      <c r="G133" s="21"/>
      <c r="H133" s="3"/>
    </row>
    <row r="134" spans="1:8" x14ac:dyDescent="0.25">
      <c r="A134" s="20">
        <v>25294</v>
      </c>
      <c r="B134" s="21"/>
      <c r="C134" s="21"/>
      <c r="D134" s="21">
        <v>5.88</v>
      </c>
      <c r="E134" s="21"/>
      <c r="F134" s="21"/>
      <c r="G134" s="21"/>
      <c r="H134" s="3"/>
    </row>
    <row r="135" spans="1:8" x14ac:dyDescent="0.25">
      <c r="A135" s="20">
        <v>25324</v>
      </c>
      <c r="B135" s="21"/>
      <c r="C135" s="21"/>
      <c r="D135" s="21">
        <v>5.88</v>
      </c>
      <c r="E135" s="21"/>
      <c r="F135" s="21"/>
      <c r="G135" s="21"/>
      <c r="H135" s="3"/>
    </row>
    <row r="136" spans="1:8" x14ac:dyDescent="0.25">
      <c r="A136" s="20">
        <v>25355</v>
      </c>
      <c r="B136" s="21"/>
      <c r="C136" s="21"/>
      <c r="D136" s="21">
        <v>5.88</v>
      </c>
      <c r="E136" s="21"/>
      <c r="F136" s="21"/>
      <c r="G136" s="21"/>
      <c r="H136" s="3"/>
    </row>
    <row r="137" spans="1:8" x14ac:dyDescent="0.25">
      <c r="A137" s="20">
        <v>25385</v>
      </c>
      <c r="B137" s="21"/>
      <c r="C137" s="21"/>
      <c r="D137" s="21">
        <v>5.88</v>
      </c>
      <c r="E137" s="21"/>
      <c r="F137" s="21"/>
      <c r="G137" s="21"/>
      <c r="H137" s="3"/>
    </row>
    <row r="138" spans="1:8" x14ac:dyDescent="0.25">
      <c r="A138" s="20">
        <v>25416</v>
      </c>
      <c r="B138" s="21"/>
      <c r="C138" s="21"/>
      <c r="D138" s="21">
        <v>5.88</v>
      </c>
      <c r="E138" s="21"/>
      <c r="F138" s="21"/>
      <c r="G138" s="21"/>
      <c r="H138" s="3"/>
    </row>
    <row r="139" spans="1:8" x14ac:dyDescent="0.25">
      <c r="A139" s="20">
        <v>25447</v>
      </c>
      <c r="B139" s="21"/>
      <c r="C139" s="21"/>
      <c r="D139" s="21">
        <v>5.88</v>
      </c>
      <c r="E139" s="21"/>
      <c r="F139" s="21"/>
      <c r="G139" s="21"/>
      <c r="H139" s="3"/>
    </row>
    <row r="140" spans="1:8" x14ac:dyDescent="0.25">
      <c r="A140" s="20">
        <v>25477</v>
      </c>
      <c r="B140" s="21"/>
      <c r="C140" s="21"/>
      <c r="D140" s="21">
        <v>5.88</v>
      </c>
      <c r="E140" s="21"/>
      <c r="F140" s="21"/>
      <c r="G140" s="21"/>
      <c r="H140" s="3"/>
    </row>
    <row r="141" spans="1:8" x14ac:dyDescent="0.25">
      <c r="A141" s="20">
        <v>25508</v>
      </c>
      <c r="B141" s="21"/>
      <c r="C141" s="21"/>
      <c r="D141" s="21">
        <v>5.88</v>
      </c>
      <c r="E141" s="21"/>
      <c r="F141" s="21"/>
      <c r="G141" s="21"/>
      <c r="H141" s="3"/>
    </row>
    <row r="142" spans="1:8" x14ac:dyDescent="0.25">
      <c r="A142" s="20">
        <v>25538</v>
      </c>
      <c r="B142" s="21"/>
      <c r="C142" s="21"/>
      <c r="D142" s="21">
        <v>5.88</v>
      </c>
      <c r="E142" s="21"/>
      <c r="F142" s="21"/>
      <c r="G142" s="21"/>
      <c r="H142" s="3"/>
    </row>
    <row r="143" spans="1:8" x14ac:dyDescent="0.25">
      <c r="A143" s="20">
        <v>25569</v>
      </c>
      <c r="B143" s="21"/>
      <c r="C143" s="21"/>
      <c r="D143" s="21">
        <v>5.88</v>
      </c>
      <c r="E143" s="21"/>
      <c r="F143" s="21"/>
      <c r="G143" s="21"/>
      <c r="H143" s="3"/>
    </row>
    <row r="144" spans="1:8" x14ac:dyDescent="0.25">
      <c r="A144" s="20">
        <v>25600</v>
      </c>
      <c r="B144" s="21"/>
      <c r="C144" s="21"/>
      <c r="D144" s="21">
        <v>5.88</v>
      </c>
      <c r="E144" s="21"/>
      <c r="F144" s="21"/>
      <c r="G144" s="21"/>
      <c r="H144" s="3"/>
    </row>
    <row r="145" spans="1:8" x14ac:dyDescent="0.25">
      <c r="A145" s="20">
        <v>25628</v>
      </c>
      <c r="B145" s="21"/>
      <c r="C145" s="21"/>
      <c r="D145" s="21">
        <v>5.88</v>
      </c>
      <c r="E145" s="21"/>
      <c r="F145" s="21"/>
      <c r="G145" s="21"/>
      <c r="H145" s="3"/>
    </row>
    <row r="146" spans="1:8" x14ac:dyDescent="0.25">
      <c r="A146" s="20">
        <v>25659</v>
      </c>
      <c r="B146" s="21"/>
      <c r="C146" s="21"/>
      <c r="D146" s="21">
        <v>7.25</v>
      </c>
      <c r="E146" s="21"/>
      <c r="F146" s="21"/>
      <c r="G146" s="21"/>
      <c r="H146" s="3"/>
    </row>
    <row r="147" spans="1:8" x14ac:dyDescent="0.25">
      <c r="A147" s="20">
        <v>25689</v>
      </c>
      <c r="B147" s="21"/>
      <c r="C147" s="21"/>
      <c r="D147" s="21">
        <v>7.25</v>
      </c>
      <c r="E147" s="21"/>
      <c r="F147" s="21"/>
      <c r="G147" s="21"/>
      <c r="H147" s="3"/>
    </row>
    <row r="148" spans="1:8" x14ac:dyDescent="0.25">
      <c r="A148" s="20">
        <v>25720</v>
      </c>
      <c r="B148" s="21"/>
      <c r="C148" s="21"/>
      <c r="D148" s="21">
        <v>7.25</v>
      </c>
      <c r="E148" s="21"/>
      <c r="F148" s="21"/>
      <c r="G148" s="21"/>
      <c r="H148" s="3"/>
    </row>
    <row r="149" spans="1:8" x14ac:dyDescent="0.25">
      <c r="A149" s="20">
        <v>25750</v>
      </c>
      <c r="B149" s="21"/>
      <c r="C149" s="21"/>
      <c r="D149" s="21">
        <v>7.25</v>
      </c>
      <c r="E149" s="21"/>
      <c r="F149" s="21"/>
      <c r="G149" s="21"/>
      <c r="H149" s="3"/>
    </row>
    <row r="150" spans="1:8" x14ac:dyDescent="0.25">
      <c r="A150" s="20">
        <v>25781</v>
      </c>
      <c r="B150" s="21"/>
      <c r="C150" s="21"/>
      <c r="D150" s="21">
        <v>7.25</v>
      </c>
      <c r="E150" s="21"/>
      <c r="F150" s="21"/>
      <c r="G150" s="21"/>
      <c r="H150" s="3"/>
    </row>
    <row r="151" spans="1:8" x14ac:dyDescent="0.25">
      <c r="A151" s="20">
        <v>25812</v>
      </c>
      <c r="B151" s="21"/>
      <c r="C151" s="21"/>
      <c r="D151" s="21">
        <v>7.25</v>
      </c>
      <c r="E151" s="21"/>
      <c r="F151" s="21"/>
      <c r="G151" s="21"/>
      <c r="H151" s="3"/>
    </row>
    <row r="152" spans="1:8" x14ac:dyDescent="0.25">
      <c r="A152" s="20">
        <v>25842</v>
      </c>
      <c r="B152" s="21"/>
      <c r="C152" s="21"/>
      <c r="D152" s="21">
        <v>7.25</v>
      </c>
      <c r="E152" s="21"/>
      <c r="F152" s="21"/>
      <c r="G152" s="21"/>
      <c r="H152" s="3"/>
    </row>
    <row r="153" spans="1:8" x14ac:dyDescent="0.25">
      <c r="A153" s="20">
        <v>25873</v>
      </c>
      <c r="B153" s="21"/>
      <c r="C153" s="21"/>
      <c r="D153" s="21">
        <v>7.25</v>
      </c>
      <c r="E153" s="21"/>
      <c r="F153" s="21"/>
      <c r="G153" s="21"/>
      <c r="H153" s="3"/>
    </row>
    <row r="154" spans="1:8" x14ac:dyDescent="0.25">
      <c r="A154" s="20">
        <v>25903</v>
      </c>
      <c r="B154" s="21"/>
      <c r="C154" s="21"/>
      <c r="D154" s="21">
        <v>7.25</v>
      </c>
      <c r="E154" s="21"/>
      <c r="F154" s="21"/>
      <c r="G154" s="21"/>
      <c r="H154" s="3"/>
    </row>
    <row r="155" spans="1:8" x14ac:dyDescent="0.25">
      <c r="A155" s="20">
        <v>25934</v>
      </c>
      <c r="B155" s="21"/>
      <c r="C155" s="21"/>
      <c r="D155" s="21">
        <v>7.25</v>
      </c>
      <c r="E155" s="21"/>
      <c r="F155" s="21"/>
      <c r="G155" s="21"/>
      <c r="H155" s="3"/>
    </row>
    <row r="156" spans="1:8" x14ac:dyDescent="0.25">
      <c r="A156" s="20">
        <v>25965</v>
      </c>
      <c r="B156" s="21"/>
      <c r="C156" s="21"/>
      <c r="D156" s="21">
        <v>7.25</v>
      </c>
      <c r="E156" s="21"/>
      <c r="F156" s="21"/>
      <c r="G156" s="21"/>
      <c r="H156" s="3"/>
    </row>
    <row r="157" spans="1:8" x14ac:dyDescent="0.25">
      <c r="A157" s="20">
        <v>25993</v>
      </c>
      <c r="B157" s="21"/>
      <c r="C157" s="21"/>
      <c r="D157" s="21">
        <v>7.25</v>
      </c>
      <c r="E157" s="21"/>
      <c r="F157" s="21"/>
      <c r="G157" s="21"/>
      <c r="H157" s="3"/>
    </row>
    <row r="158" spans="1:8" x14ac:dyDescent="0.25">
      <c r="A158" s="20">
        <v>26024</v>
      </c>
      <c r="B158" s="21"/>
      <c r="C158" s="21"/>
      <c r="D158" s="21">
        <v>7.25</v>
      </c>
      <c r="E158" s="21"/>
      <c r="F158" s="21"/>
      <c r="G158" s="21"/>
      <c r="H158" s="3"/>
    </row>
    <row r="159" spans="1:8" x14ac:dyDescent="0.25">
      <c r="A159" s="20">
        <v>26054</v>
      </c>
      <c r="B159" s="21"/>
      <c r="C159" s="21"/>
      <c r="D159" s="21">
        <v>7.25</v>
      </c>
      <c r="E159" s="21"/>
      <c r="F159" s="21"/>
      <c r="G159" s="21"/>
      <c r="H159" s="3"/>
    </row>
    <row r="160" spans="1:8" x14ac:dyDescent="0.25">
      <c r="A160" s="20">
        <v>26085</v>
      </c>
      <c r="B160" s="21"/>
      <c r="C160" s="21"/>
      <c r="D160" s="21">
        <v>7.25</v>
      </c>
      <c r="E160" s="21"/>
      <c r="F160" s="21"/>
      <c r="G160" s="21"/>
      <c r="H160" s="3"/>
    </row>
    <row r="161" spans="1:8" x14ac:dyDescent="0.25">
      <c r="A161" s="20">
        <v>26115</v>
      </c>
      <c r="B161" s="21"/>
      <c r="C161" s="21"/>
      <c r="D161" s="21">
        <v>7.25</v>
      </c>
      <c r="E161" s="21"/>
      <c r="F161" s="21"/>
      <c r="G161" s="21"/>
      <c r="H161" s="3"/>
    </row>
    <row r="162" spans="1:8" x14ac:dyDescent="0.25">
      <c r="A162" s="20">
        <v>26146</v>
      </c>
      <c r="B162" s="21"/>
      <c r="C162" s="21"/>
      <c r="D162" s="21">
        <v>7.25</v>
      </c>
      <c r="E162" s="21"/>
      <c r="F162" s="21"/>
      <c r="G162" s="21"/>
      <c r="H162" s="3"/>
    </row>
    <row r="163" spans="1:8" x14ac:dyDescent="0.25">
      <c r="A163" s="20">
        <v>26177</v>
      </c>
      <c r="B163" s="21"/>
      <c r="C163" s="21"/>
      <c r="D163" s="21">
        <v>7.25</v>
      </c>
      <c r="E163" s="21"/>
      <c r="F163" s="21"/>
      <c r="G163" s="21"/>
      <c r="H163" s="3"/>
    </row>
    <row r="164" spans="1:8" x14ac:dyDescent="0.25">
      <c r="A164" s="20">
        <v>26207</v>
      </c>
      <c r="B164" s="21"/>
      <c r="C164" s="21"/>
      <c r="D164" s="21">
        <v>7.25</v>
      </c>
      <c r="E164" s="21"/>
      <c r="F164" s="21"/>
      <c r="G164" s="21"/>
      <c r="H164" s="3"/>
    </row>
    <row r="165" spans="1:8" x14ac:dyDescent="0.25">
      <c r="A165" s="20">
        <v>26238</v>
      </c>
      <c r="B165" s="21"/>
      <c r="C165" s="21"/>
      <c r="D165" s="21">
        <v>7.25</v>
      </c>
      <c r="E165" s="21"/>
      <c r="F165" s="21"/>
      <c r="G165" s="21"/>
      <c r="H165" s="3"/>
    </row>
    <row r="166" spans="1:8" x14ac:dyDescent="0.25">
      <c r="A166" s="20">
        <v>26268</v>
      </c>
      <c r="B166" s="21"/>
      <c r="C166" s="21"/>
      <c r="D166" s="21">
        <v>7.25</v>
      </c>
      <c r="E166" s="21"/>
      <c r="F166" s="21"/>
      <c r="G166" s="21"/>
      <c r="H166" s="3"/>
    </row>
    <row r="167" spans="1:8" x14ac:dyDescent="0.25">
      <c r="A167" s="20">
        <v>26299</v>
      </c>
      <c r="B167" s="21"/>
      <c r="C167" s="21"/>
      <c r="D167" s="21">
        <v>7.25</v>
      </c>
      <c r="E167" s="21"/>
      <c r="F167" s="21"/>
      <c r="G167" s="21"/>
      <c r="H167" s="3"/>
    </row>
    <row r="168" spans="1:8" x14ac:dyDescent="0.25">
      <c r="A168" s="20">
        <v>26330</v>
      </c>
      <c r="B168" s="21"/>
      <c r="C168" s="21"/>
      <c r="D168" s="21">
        <v>7</v>
      </c>
      <c r="E168" s="21"/>
      <c r="F168" s="21"/>
      <c r="G168" s="21"/>
      <c r="H168" s="3"/>
    </row>
    <row r="169" spans="1:8" x14ac:dyDescent="0.25">
      <c r="A169" s="20">
        <v>26359</v>
      </c>
      <c r="B169" s="21"/>
      <c r="C169" s="21"/>
      <c r="D169" s="21">
        <v>7</v>
      </c>
      <c r="E169" s="21"/>
      <c r="F169" s="21"/>
      <c r="G169" s="21"/>
      <c r="H169" s="3"/>
    </row>
    <row r="170" spans="1:8" x14ac:dyDescent="0.25">
      <c r="A170" s="20">
        <v>26390</v>
      </c>
      <c r="B170" s="21"/>
      <c r="C170" s="21"/>
      <c r="D170" s="21">
        <v>7</v>
      </c>
      <c r="E170" s="21"/>
      <c r="F170" s="21"/>
      <c r="G170" s="21"/>
      <c r="H170" s="3"/>
    </row>
    <row r="171" spans="1:8" x14ac:dyDescent="0.25">
      <c r="A171" s="20">
        <v>26420</v>
      </c>
      <c r="B171" s="21"/>
      <c r="C171" s="21"/>
      <c r="D171" s="21">
        <v>7</v>
      </c>
      <c r="E171" s="21"/>
      <c r="F171" s="21"/>
      <c r="G171" s="21"/>
      <c r="H171" s="3"/>
    </row>
    <row r="172" spans="1:8" x14ac:dyDescent="0.25">
      <c r="A172" s="20">
        <v>26451</v>
      </c>
      <c r="B172" s="21"/>
      <c r="C172" s="21"/>
      <c r="D172" s="21">
        <v>7</v>
      </c>
      <c r="E172" s="21"/>
      <c r="F172" s="21"/>
      <c r="G172" s="21"/>
      <c r="H172" s="3"/>
    </row>
    <row r="173" spans="1:8" x14ac:dyDescent="0.25">
      <c r="A173" s="20">
        <v>26481</v>
      </c>
      <c r="B173" s="21"/>
      <c r="C173" s="21"/>
      <c r="D173" s="21">
        <v>7</v>
      </c>
      <c r="E173" s="21"/>
      <c r="F173" s="21"/>
      <c r="G173" s="21"/>
      <c r="H173" s="3"/>
    </row>
    <row r="174" spans="1:8" x14ac:dyDescent="0.25">
      <c r="A174" s="20">
        <v>26512</v>
      </c>
      <c r="B174" s="21"/>
      <c r="C174" s="21"/>
      <c r="D174" s="21">
        <v>7</v>
      </c>
      <c r="E174" s="21"/>
      <c r="F174" s="21"/>
      <c r="G174" s="21"/>
      <c r="H174" s="3"/>
    </row>
    <row r="175" spans="1:8" x14ac:dyDescent="0.25">
      <c r="A175" s="20">
        <v>26543</v>
      </c>
      <c r="B175" s="21"/>
      <c r="C175" s="21"/>
      <c r="D175" s="21">
        <v>7</v>
      </c>
      <c r="E175" s="21"/>
      <c r="F175" s="21"/>
      <c r="G175" s="21"/>
      <c r="H175" s="3"/>
    </row>
    <row r="176" spans="1:8" x14ac:dyDescent="0.25">
      <c r="A176" s="20">
        <v>26573</v>
      </c>
      <c r="B176" s="21"/>
      <c r="C176" s="21"/>
      <c r="D176" s="21">
        <v>7</v>
      </c>
      <c r="E176" s="21"/>
      <c r="F176" s="21"/>
      <c r="G176" s="21"/>
      <c r="H176" s="3"/>
    </row>
    <row r="177" spans="1:8" x14ac:dyDescent="0.25">
      <c r="A177" s="20">
        <v>26604</v>
      </c>
      <c r="B177" s="21"/>
      <c r="C177" s="21"/>
      <c r="D177" s="21">
        <v>7</v>
      </c>
      <c r="E177" s="21"/>
      <c r="F177" s="21"/>
      <c r="G177" s="21"/>
      <c r="H177" s="3"/>
    </row>
    <row r="178" spans="1:8" x14ac:dyDescent="0.25">
      <c r="A178" s="20">
        <v>26634</v>
      </c>
      <c r="B178" s="21"/>
      <c r="C178" s="21"/>
      <c r="D178" s="21">
        <v>7</v>
      </c>
      <c r="E178" s="21"/>
      <c r="F178" s="21"/>
      <c r="G178" s="21"/>
      <c r="H178" s="3"/>
    </row>
    <row r="179" spans="1:8" x14ac:dyDescent="0.25">
      <c r="A179" s="20">
        <v>26665</v>
      </c>
      <c r="B179" s="21"/>
      <c r="C179" s="21"/>
      <c r="D179" s="21">
        <v>7</v>
      </c>
      <c r="E179" s="21"/>
      <c r="F179" s="21"/>
      <c r="G179" s="21"/>
      <c r="H179" s="3"/>
    </row>
    <row r="180" spans="1:8" x14ac:dyDescent="0.25">
      <c r="A180" s="20">
        <v>26696</v>
      </c>
      <c r="B180" s="21"/>
      <c r="C180" s="21"/>
      <c r="D180" s="21">
        <v>7</v>
      </c>
      <c r="E180" s="21"/>
      <c r="F180" s="21"/>
      <c r="G180" s="21"/>
      <c r="H180" s="3"/>
    </row>
    <row r="181" spans="1:8" x14ac:dyDescent="0.25">
      <c r="A181" s="20">
        <v>26724</v>
      </c>
      <c r="B181" s="21"/>
      <c r="C181" s="21"/>
      <c r="D181" s="21">
        <v>7</v>
      </c>
      <c r="E181" s="21"/>
      <c r="F181" s="21"/>
      <c r="G181" s="21"/>
      <c r="H181" s="3"/>
    </row>
    <row r="182" spans="1:8" x14ac:dyDescent="0.25">
      <c r="A182" s="20">
        <v>26755</v>
      </c>
      <c r="B182" s="21"/>
      <c r="C182" s="21"/>
      <c r="D182" s="21">
        <v>7</v>
      </c>
      <c r="E182" s="21"/>
      <c r="F182" s="21"/>
      <c r="G182" s="21"/>
      <c r="H182" s="3"/>
    </row>
    <row r="183" spans="1:8" x14ac:dyDescent="0.25">
      <c r="A183" s="20">
        <v>26785</v>
      </c>
      <c r="B183" s="21"/>
      <c r="C183" s="21"/>
      <c r="D183" s="21">
        <v>7</v>
      </c>
      <c r="E183" s="21"/>
      <c r="F183" s="21"/>
      <c r="G183" s="21"/>
      <c r="H183" s="3"/>
    </row>
    <row r="184" spans="1:8" x14ac:dyDescent="0.25">
      <c r="A184" s="20">
        <v>26816</v>
      </c>
      <c r="B184" s="21"/>
      <c r="C184" s="21"/>
      <c r="D184" s="21">
        <v>7</v>
      </c>
      <c r="E184" s="21"/>
      <c r="F184" s="21"/>
      <c r="G184" s="21"/>
      <c r="H184" s="3"/>
    </row>
    <row r="185" spans="1:8" x14ac:dyDescent="0.25">
      <c r="A185" s="20">
        <v>26846</v>
      </c>
      <c r="B185" s="21"/>
      <c r="C185" s="21"/>
      <c r="D185" s="21">
        <v>7</v>
      </c>
      <c r="E185" s="21"/>
      <c r="F185" s="21"/>
      <c r="G185" s="21"/>
      <c r="H185" s="3"/>
    </row>
    <row r="186" spans="1:8" x14ac:dyDescent="0.25">
      <c r="A186" s="20">
        <v>26877</v>
      </c>
      <c r="B186" s="21"/>
      <c r="C186" s="21"/>
      <c r="D186" s="21">
        <v>7</v>
      </c>
      <c r="E186" s="21"/>
      <c r="F186" s="21"/>
      <c r="G186" s="21"/>
      <c r="H186" s="3"/>
    </row>
    <row r="187" spans="1:8" x14ac:dyDescent="0.25">
      <c r="A187" s="20">
        <v>26908</v>
      </c>
      <c r="B187" s="21"/>
      <c r="C187" s="21"/>
      <c r="D187" s="21">
        <v>7</v>
      </c>
      <c r="E187" s="21"/>
      <c r="F187" s="21"/>
      <c r="G187" s="21"/>
      <c r="H187" s="3"/>
    </row>
    <row r="188" spans="1:8" x14ac:dyDescent="0.25">
      <c r="A188" s="20">
        <v>26938</v>
      </c>
      <c r="B188" s="21"/>
      <c r="C188" s="21"/>
      <c r="D188" s="21">
        <v>8.3800000000000008</v>
      </c>
      <c r="E188" s="21"/>
      <c r="F188" s="21"/>
      <c r="G188" s="21"/>
      <c r="H188" s="3"/>
    </row>
    <row r="189" spans="1:8" x14ac:dyDescent="0.25">
      <c r="A189" s="20">
        <v>26969</v>
      </c>
      <c r="B189" s="21"/>
      <c r="C189" s="21"/>
      <c r="D189" s="21">
        <v>8.3800000000000008</v>
      </c>
      <c r="E189" s="21"/>
      <c r="F189" s="21"/>
      <c r="G189" s="21"/>
      <c r="H189" s="3"/>
    </row>
    <row r="190" spans="1:8" x14ac:dyDescent="0.25">
      <c r="A190" s="20">
        <v>26999</v>
      </c>
      <c r="B190" s="21"/>
      <c r="C190" s="21"/>
      <c r="D190" s="21">
        <v>8.3800000000000008</v>
      </c>
      <c r="E190" s="21"/>
      <c r="F190" s="21"/>
      <c r="G190" s="21"/>
      <c r="H190" s="3"/>
    </row>
    <row r="191" spans="1:8" x14ac:dyDescent="0.25">
      <c r="A191" s="20">
        <v>27030</v>
      </c>
      <c r="B191" s="21"/>
      <c r="C191" s="21"/>
      <c r="D191" s="21">
        <v>8.3800000000000008</v>
      </c>
      <c r="E191" s="21"/>
      <c r="F191" s="21"/>
      <c r="G191" s="21"/>
      <c r="H191" s="3"/>
    </row>
    <row r="192" spans="1:8" x14ac:dyDescent="0.25">
      <c r="A192" s="20">
        <v>27061</v>
      </c>
      <c r="B192" s="21"/>
      <c r="C192" s="21"/>
      <c r="D192" s="21">
        <v>8.3800000000000008</v>
      </c>
      <c r="E192" s="21"/>
      <c r="F192" s="21"/>
      <c r="G192" s="21"/>
      <c r="H192" s="3"/>
    </row>
    <row r="193" spans="1:8" x14ac:dyDescent="0.25">
      <c r="A193" s="20">
        <v>27089</v>
      </c>
      <c r="B193" s="21"/>
      <c r="C193" s="21"/>
      <c r="D193" s="21">
        <v>8.3800000000000008</v>
      </c>
      <c r="E193" s="21"/>
      <c r="F193" s="21"/>
      <c r="G193" s="21"/>
      <c r="H193" s="3"/>
    </row>
    <row r="194" spans="1:8" x14ac:dyDescent="0.25">
      <c r="A194" s="20">
        <v>27120</v>
      </c>
      <c r="B194" s="21"/>
      <c r="C194" s="21"/>
      <c r="D194" s="21">
        <v>8.3800000000000008</v>
      </c>
      <c r="E194" s="21"/>
      <c r="F194" s="21"/>
      <c r="G194" s="21"/>
      <c r="H194" s="3"/>
    </row>
    <row r="195" spans="1:8" x14ac:dyDescent="0.25">
      <c r="A195" s="20">
        <v>27150</v>
      </c>
      <c r="B195" s="21"/>
      <c r="C195" s="21"/>
      <c r="D195" s="21">
        <v>8.3800000000000008</v>
      </c>
      <c r="E195" s="21"/>
      <c r="F195" s="21"/>
      <c r="G195" s="21"/>
      <c r="H195" s="3"/>
    </row>
    <row r="196" spans="1:8" x14ac:dyDescent="0.25">
      <c r="A196" s="20">
        <v>27181</v>
      </c>
      <c r="B196" s="21"/>
      <c r="C196" s="21"/>
      <c r="D196" s="21">
        <v>8.3800000000000008</v>
      </c>
      <c r="E196" s="21"/>
      <c r="F196" s="21"/>
      <c r="G196" s="21"/>
      <c r="H196" s="3"/>
    </row>
    <row r="197" spans="1:8" x14ac:dyDescent="0.25">
      <c r="A197" s="20">
        <v>27211</v>
      </c>
      <c r="B197" s="21"/>
      <c r="C197" s="21"/>
      <c r="D197" s="21">
        <v>10.38</v>
      </c>
      <c r="E197" s="21"/>
      <c r="F197" s="21"/>
      <c r="G197" s="21"/>
      <c r="H197" s="3"/>
    </row>
    <row r="198" spans="1:8" x14ac:dyDescent="0.25">
      <c r="A198" s="20">
        <v>27242</v>
      </c>
      <c r="B198" s="21"/>
      <c r="C198" s="21"/>
      <c r="D198" s="21">
        <v>10.38</v>
      </c>
      <c r="E198" s="21"/>
      <c r="F198" s="21"/>
      <c r="G198" s="21"/>
      <c r="H198" s="3"/>
    </row>
    <row r="199" spans="1:8" x14ac:dyDescent="0.25">
      <c r="A199" s="20">
        <v>27273</v>
      </c>
      <c r="B199" s="21"/>
      <c r="C199" s="21"/>
      <c r="D199" s="21">
        <v>10.38</v>
      </c>
      <c r="E199" s="21"/>
      <c r="F199" s="21"/>
      <c r="G199" s="21"/>
      <c r="H199" s="3"/>
    </row>
    <row r="200" spans="1:8" x14ac:dyDescent="0.25">
      <c r="A200" s="20">
        <v>27303</v>
      </c>
      <c r="B200" s="21"/>
      <c r="C200" s="21"/>
      <c r="D200" s="21">
        <v>10.38</v>
      </c>
      <c r="E200" s="21"/>
      <c r="F200" s="21"/>
      <c r="G200" s="21"/>
      <c r="H200" s="3"/>
    </row>
    <row r="201" spans="1:8" x14ac:dyDescent="0.25">
      <c r="A201" s="20">
        <v>27334</v>
      </c>
      <c r="B201" s="21"/>
      <c r="C201" s="21"/>
      <c r="D201" s="21">
        <v>10.38</v>
      </c>
      <c r="E201" s="21"/>
      <c r="F201" s="21"/>
      <c r="G201" s="21"/>
      <c r="H201" s="3"/>
    </row>
    <row r="202" spans="1:8" x14ac:dyDescent="0.25">
      <c r="A202" s="20">
        <v>27364</v>
      </c>
      <c r="B202" s="21"/>
      <c r="C202" s="21"/>
      <c r="D202" s="21">
        <v>10.38</v>
      </c>
      <c r="E202" s="21"/>
      <c r="F202" s="21"/>
      <c r="G202" s="21"/>
      <c r="H202" s="3"/>
    </row>
    <row r="203" spans="1:8" x14ac:dyDescent="0.25">
      <c r="A203" s="20">
        <v>27395</v>
      </c>
      <c r="B203" s="21"/>
      <c r="C203" s="21"/>
      <c r="D203" s="21">
        <v>10.38</v>
      </c>
      <c r="E203" s="21"/>
      <c r="F203" s="21"/>
      <c r="G203" s="21"/>
      <c r="H203" s="3"/>
    </row>
    <row r="204" spans="1:8" x14ac:dyDescent="0.25">
      <c r="A204" s="20">
        <v>27426</v>
      </c>
      <c r="B204" s="21"/>
      <c r="C204" s="21"/>
      <c r="D204" s="21">
        <v>10.38</v>
      </c>
      <c r="E204" s="21"/>
      <c r="F204" s="21"/>
      <c r="G204" s="21"/>
      <c r="H204" s="3"/>
    </row>
    <row r="205" spans="1:8" x14ac:dyDescent="0.25">
      <c r="A205" s="20">
        <v>27454</v>
      </c>
      <c r="B205" s="21"/>
      <c r="C205" s="21"/>
      <c r="D205" s="21">
        <v>10.38</v>
      </c>
      <c r="E205" s="21"/>
      <c r="F205" s="21"/>
      <c r="G205" s="21"/>
      <c r="H205" s="3"/>
    </row>
    <row r="206" spans="1:8" x14ac:dyDescent="0.25">
      <c r="A206" s="20">
        <v>27485</v>
      </c>
      <c r="B206" s="21"/>
      <c r="C206" s="21"/>
      <c r="D206" s="21">
        <v>10.130000000000001</v>
      </c>
      <c r="E206" s="21"/>
      <c r="F206" s="21"/>
      <c r="G206" s="21"/>
      <c r="H206" s="3"/>
    </row>
    <row r="207" spans="1:8" x14ac:dyDescent="0.25">
      <c r="A207" s="20">
        <v>27515</v>
      </c>
      <c r="B207" s="21"/>
      <c r="C207" s="21"/>
      <c r="D207" s="21">
        <v>10.130000000000001</v>
      </c>
      <c r="E207" s="21"/>
      <c r="F207" s="21"/>
      <c r="G207" s="21"/>
      <c r="H207" s="3"/>
    </row>
    <row r="208" spans="1:8" x14ac:dyDescent="0.25">
      <c r="A208" s="20">
        <v>27546</v>
      </c>
      <c r="B208" s="21"/>
      <c r="C208" s="21"/>
      <c r="D208" s="21">
        <v>10.130000000000001</v>
      </c>
      <c r="E208" s="21"/>
      <c r="F208" s="21"/>
      <c r="G208" s="21"/>
      <c r="H208" s="3"/>
    </row>
    <row r="209" spans="1:8" x14ac:dyDescent="0.25">
      <c r="A209" s="20">
        <v>27576</v>
      </c>
      <c r="B209" s="21"/>
      <c r="C209" s="21"/>
      <c r="D209" s="21">
        <v>10.130000000000001</v>
      </c>
      <c r="E209" s="21"/>
      <c r="F209" s="21"/>
      <c r="G209" s="21"/>
      <c r="H209" s="3"/>
    </row>
    <row r="210" spans="1:8" x14ac:dyDescent="0.25">
      <c r="A210" s="20">
        <v>27607</v>
      </c>
      <c r="B210" s="21"/>
      <c r="C210" s="21"/>
      <c r="D210" s="21">
        <v>10.130000000000001</v>
      </c>
      <c r="E210" s="21"/>
      <c r="F210" s="21"/>
      <c r="G210" s="21"/>
      <c r="H210" s="3"/>
    </row>
    <row r="211" spans="1:8" x14ac:dyDescent="0.25">
      <c r="A211" s="20">
        <v>27638</v>
      </c>
      <c r="B211" s="21"/>
      <c r="C211" s="21"/>
      <c r="D211" s="21">
        <v>10.38</v>
      </c>
      <c r="E211" s="21"/>
      <c r="F211" s="21"/>
      <c r="G211" s="21"/>
      <c r="H211" s="3"/>
    </row>
    <row r="212" spans="1:8" x14ac:dyDescent="0.25">
      <c r="A212" s="20">
        <v>27668</v>
      </c>
      <c r="B212" s="21"/>
      <c r="C212" s="21"/>
      <c r="D212" s="21">
        <v>10.38</v>
      </c>
      <c r="E212" s="21"/>
      <c r="F212" s="21"/>
      <c r="G212" s="21"/>
      <c r="H212" s="3"/>
    </row>
    <row r="213" spans="1:8" x14ac:dyDescent="0.25">
      <c r="A213" s="20">
        <v>27699</v>
      </c>
      <c r="B213" s="21"/>
      <c r="C213" s="21"/>
      <c r="D213" s="21">
        <v>10.38</v>
      </c>
      <c r="E213" s="21"/>
      <c r="F213" s="21"/>
      <c r="G213" s="21"/>
      <c r="H213" s="3"/>
    </row>
    <row r="214" spans="1:8" x14ac:dyDescent="0.25">
      <c r="A214" s="20">
        <v>27729</v>
      </c>
      <c r="B214" s="21"/>
      <c r="C214" s="21"/>
      <c r="D214" s="21">
        <v>10.38</v>
      </c>
      <c r="E214" s="21"/>
      <c r="F214" s="21"/>
      <c r="G214" s="21"/>
      <c r="H214" s="3"/>
    </row>
    <row r="215" spans="1:8" x14ac:dyDescent="0.25">
      <c r="A215" s="20">
        <v>27760</v>
      </c>
      <c r="B215" s="21"/>
      <c r="C215" s="21"/>
      <c r="D215" s="21">
        <v>10.38</v>
      </c>
      <c r="E215" s="21"/>
      <c r="F215" s="21"/>
      <c r="G215" s="21"/>
      <c r="H215" s="3"/>
    </row>
    <row r="216" spans="1:8" x14ac:dyDescent="0.25">
      <c r="A216" s="20">
        <v>27791</v>
      </c>
      <c r="B216" s="21"/>
      <c r="C216" s="21">
        <v>10.46</v>
      </c>
      <c r="D216" s="21">
        <v>9.8800000000000008</v>
      </c>
      <c r="E216" s="21"/>
      <c r="F216" s="21"/>
      <c r="G216" s="21"/>
      <c r="H216" s="3"/>
    </row>
    <row r="217" spans="1:8" x14ac:dyDescent="0.25">
      <c r="A217" s="20">
        <v>27820</v>
      </c>
      <c r="B217" s="21"/>
      <c r="C217" s="21">
        <v>10.46</v>
      </c>
      <c r="D217" s="21">
        <v>9.8800000000000008</v>
      </c>
      <c r="E217" s="21"/>
      <c r="F217" s="21"/>
      <c r="G217" s="21"/>
      <c r="H217" s="3"/>
    </row>
    <row r="218" spans="1:8" x14ac:dyDescent="0.25">
      <c r="A218" s="20">
        <v>27851</v>
      </c>
      <c r="B218" s="21"/>
      <c r="C218" s="21">
        <v>10.46</v>
      </c>
      <c r="D218" s="21">
        <v>9.8800000000000008</v>
      </c>
      <c r="E218" s="21"/>
      <c r="F218" s="21"/>
      <c r="G218" s="21"/>
      <c r="H218" s="3"/>
    </row>
    <row r="219" spans="1:8" x14ac:dyDescent="0.25">
      <c r="A219" s="20">
        <v>27881</v>
      </c>
      <c r="B219" s="21"/>
      <c r="C219" s="21">
        <v>10.46</v>
      </c>
      <c r="D219" s="21">
        <v>9.8800000000000008</v>
      </c>
      <c r="E219" s="21"/>
      <c r="F219" s="21"/>
      <c r="G219" s="21"/>
      <c r="H219" s="3"/>
    </row>
    <row r="220" spans="1:8" x14ac:dyDescent="0.25">
      <c r="A220" s="20">
        <v>27912</v>
      </c>
      <c r="B220" s="21"/>
      <c r="C220" s="21">
        <v>10.46</v>
      </c>
      <c r="D220" s="21">
        <v>9.8800000000000008</v>
      </c>
      <c r="E220" s="21"/>
      <c r="F220" s="21"/>
      <c r="G220" s="21"/>
      <c r="H220" s="3"/>
    </row>
    <row r="221" spans="1:8" x14ac:dyDescent="0.25">
      <c r="A221" s="20">
        <v>27942</v>
      </c>
      <c r="B221" s="21"/>
      <c r="C221" s="21">
        <v>10.46</v>
      </c>
      <c r="D221" s="21">
        <v>9.8800000000000008</v>
      </c>
      <c r="E221" s="21"/>
      <c r="F221" s="21"/>
      <c r="G221" s="21"/>
      <c r="H221" s="3"/>
    </row>
    <row r="222" spans="1:8" x14ac:dyDescent="0.25">
      <c r="A222" s="20">
        <v>27973</v>
      </c>
      <c r="B222" s="21"/>
      <c r="C222" s="21">
        <v>10.46</v>
      </c>
      <c r="D222" s="21">
        <v>9.8800000000000008</v>
      </c>
      <c r="E222" s="21"/>
      <c r="F222" s="21"/>
      <c r="G222" s="21"/>
      <c r="H222" s="3"/>
    </row>
    <row r="223" spans="1:8" x14ac:dyDescent="0.25">
      <c r="A223" s="20">
        <v>28004</v>
      </c>
      <c r="B223" s="21"/>
      <c r="C223" s="21">
        <v>10.46</v>
      </c>
      <c r="D223" s="21">
        <v>9.8800000000000008</v>
      </c>
      <c r="E223" s="21"/>
      <c r="F223" s="21"/>
      <c r="G223" s="21"/>
      <c r="H223" s="3"/>
    </row>
    <row r="224" spans="1:8" x14ac:dyDescent="0.25">
      <c r="A224" s="20">
        <v>28034</v>
      </c>
      <c r="B224" s="21"/>
      <c r="C224" s="21">
        <v>10.46</v>
      </c>
      <c r="D224" s="21">
        <v>9.8800000000000008</v>
      </c>
      <c r="E224" s="21"/>
      <c r="F224" s="21"/>
      <c r="G224" s="21"/>
      <c r="H224" s="3"/>
    </row>
    <row r="225" spans="1:8" x14ac:dyDescent="0.25">
      <c r="A225" s="20">
        <v>28065</v>
      </c>
      <c r="B225" s="21"/>
      <c r="C225" s="21">
        <v>10.46</v>
      </c>
      <c r="D225" s="21">
        <v>9.8800000000000008</v>
      </c>
      <c r="E225" s="21"/>
      <c r="F225" s="21"/>
      <c r="G225" s="21"/>
      <c r="H225" s="3"/>
    </row>
    <row r="226" spans="1:8" x14ac:dyDescent="0.25">
      <c r="A226" s="20">
        <v>28095</v>
      </c>
      <c r="B226" s="21"/>
      <c r="C226" s="21">
        <v>10.46</v>
      </c>
      <c r="D226" s="21">
        <v>9.8800000000000008</v>
      </c>
      <c r="E226" s="21"/>
      <c r="F226" s="21"/>
      <c r="G226" s="21"/>
      <c r="H226" s="3"/>
    </row>
    <row r="227" spans="1:8" x14ac:dyDescent="0.25">
      <c r="A227" s="20">
        <v>28126</v>
      </c>
      <c r="B227" s="21"/>
      <c r="C227" s="21">
        <v>10.46</v>
      </c>
      <c r="D227" s="21">
        <v>9.8800000000000008</v>
      </c>
      <c r="E227" s="21"/>
      <c r="F227" s="21"/>
      <c r="G227" s="21"/>
      <c r="H227" s="3"/>
    </row>
    <row r="228" spans="1:8" x14ac:dyDescent="0.25">
      <c r="A228" s="20">
        <v>28157</v>
      </c>
      <c r="B228" s="21"/>
      <c r="C228" s="21">
        <v>10.46</v>
      </c>
      <c r="D228" s="21">
        <v>9.8800000000000008</v>
      </c>
      <c r="E228" s="21"/>
      <c r="F228" s="21"/>
      <c r="G228" s="21"/>
      <c r="H228" s="3"/>
    </row>
    <row r="229" spans="1:8" x14ac:dyDescent="0.25">
      <c r="A229" s="20">
        <v>28185</v>
      </c>
      <c r="B229" s="21"/>
      <c r="C229" s="21">
        <v>10.46</v>
      </c>
      <c r="D229" s="21">
        <v>9.8800000000000008</v>
      </c>
      <c r="E229" s="21"/>
      <c r="F229" s="21"/>
      <c r="G229" s="21"/>
      <c r="H229" s="3"/>
    </row>
    <row r="230" spans="1:8" x14ac:dyDescent="0.25">
      <c r="A230" s="20">
        <v>28216</v>
      </c>
      <c r="B230" s="21"/>
      <c r="C230" s="21">
        <v>10.46</v>
      </c>
      <c r="D230" s="21">
        <v>9.8800000000000008</v>
      </c>
      <c r="E230" s="21"/>
      <c r="F230" s="21"/>
      <c r="G230" s="21"/>
      <c r="H230" s="3"/>
    </row>
    <row r="231" spans="1:8" x14ac:dyDescent="0.25">
      <c r="A231" s="20">
        <v>28246</v>
      </c>
      <c r="B231" s="21"/>
      <c r="C231" s="21">
        <v>10.46</v>
      </c>
      <c r="D231" s="21">
        <v>9.8800000000000008</v>
      </c>
      <c r="E231" s="21"/>
      <c r="F231" s="21"/>
      <c r="G231" s="21"/>
      <c r="H231" s="3"/>
    </row>
    <row r="232" spans="1:8" x14ac:dyDescent="0.25">
      <c r="A232" s="20">
        <v>28277</v>
      </c>
      <c r="B232" s="21"/>
      <c r="C232" s="21">
        <v>10.46</v>
      </c>
      <c r="D232" s="21">
        <v>9.8800000000000008</v>
      </c>
      <c r="E232" s="21"/>
      <c r="F232" s="21"/>
      <c r="G232" s="21"/>
      <c r="H232" s="3"/>
    </row>
    <row r="233" spans="1:8" x14ac:dyDescent="0.25">
      <c r="A233" s="20">
        <v>28307</v>
      </c>
      <c r="B233" s="21"/>
      <c r="C233" s="21">
        <v>10.46</v>
      </c>
      <c r="D233" s="21">
        <v>9.8800000000000008</v>
      </c>
      <c r="E233" s="21"/>
      <c r="F233" s="21"/>
      <c r="G233" s="21"/>
      <c r="H233" s="3"/>
    </row>
    <row r="234" spans="1:8" x14ac:dyDescent="0.25">
      <c r="A234" s="20">
        <v>28338</v>
      </c>
      <c r="B234" s="21"/>
      <c r="C234" s="21">
        <v>10.46</v>
      </c>
      <c r="D234" s="21">
        <v>9.8800000000000008</v>
      </c>
      <c r="E234" s="21"/>
      <c r="F234" s="21"/>
      <c r="G234" s="21"/>
      <c r="H234" s="3"/>
    </row>
    <row r="235" spans="1:8" x14ac:dyDescent="0.25">
      <c r="A235" s="20">
        <v>28369</v>
      </c>
      <c r="B235" s="21"/>
      <c r="C235" s="21">
        <v>10.46</v>
      </c>
      <c r="D235" s="21">
        <v>9.8800000000000008</v>
      </c>
      <c r="E235" s="21"/>
      <c r="F235" s="21"/>
      <c r="G235" s="21"/>
      <c r="H235" s="3"/>
    </row>
    <row r="236" spans="1:8" x14ac:dyDescent="0.25">
      <c r="A236" s="20">
        <v>28399</v>
      </c>
      <c r="B236" s="21"/>
      <c r="C236" s="21">
        <v>10.46</v>
      </c>
      <c r="D236" s="21">
        <v>9.8800000000000008</v>
      </c>
      <c r="E236" s="21"/>
      <c r="F236" s="21"/>
      <c r="G236" s="21"/>
      <c r="H236" s="3"/>
    </row>
    <row r="237" spans="1:8" x14ac:dyDescent="0.25">
      <c r="A237" s="20">
        <v>28430</v>
      </c>
      <c r="B237" s="21"/>
      <c r="C237" s="21">
        <v>10.46</v>
      </c>
      <c r="D237" s="21">
        <v>9.8800000000000008</v>
      </c>
      <c r="E237" s="21"/>
      <c r="F237" s="21"/>
      <c r="G237" s="21"/>
      <c r="H237" s="3"/>
    </row>
    <row r="238" spans="1:8" x14ac:dyDescent="0.25">
      <c r="A238" s="20">
        <v>28460</v>
      </c>
      <c r="B238" s="21"/>
      <c r="C238" s="21">
        <v>10.46</v>
      </c>
      <c r="D238" s="21">
        <v>9.8800000000000008</v>
      </c>
      <c r="E238" s="21"/>
      <c r="F238" s="21"/>
      <c r="G238" s="21"/>
      <c r="H238" s="3"/>
    </row>
    <row r="239" spans="1:8" x14ac:dyDescent="0.25">
      <c r="A239" s="20">
        <v>28491</v>
      </c>
      <c r="B239" s="21"/>
      <c r="C239" s="21">
        <v>10.46</v>
      </c>
      <c r="D239" s="21">
        <v>9.6300000000000008</v>
      </c>
      <c r="E239" s="21"/>
      <c r="F239" s="21"/>
      <c r="G239" s="21"/>
      <c r="H239" s="3"/>
    </row>
    <row r="240" spans="1:8" x14ac:dyDescent="0.25">
      <c r="A240" s="20">
        <v>28522</v>
      </c>
      <c r="B240" s="21"/>
      <c r="C240" s="21">
        <v>10.46</v>
      </c>
      <c r="D240" s="21">
        <v>9.3800000000000008</v>
      </c>
      <c r="E240" s="21"/>
      <c r="F240" s="21"/>
      <c r="G240" s="21"/>
      <c r="H240" s="3"/>
    </row>
    <row r="241" spans="1:8" x14ac:dyDescent="0.25">
      <c r="A241" s="20">
        <v>28550</v>
      </c>
      <c r="B241" s="21"/>
      <c r="C241" s="21">
        <v>10.46</v>
      </c>
      <c r="D241" s="21">
        <v>9.3800000000000008</v>
      </c>
      <c r="E241" s="21"/>
      <c r="F241" s="21"/>
      <c r="G241" s="21"/>
      <c r="H241" s="3"/>
    </row>
    <row r="242" spans="1:8" x14ac:dyDescent="0.25">
      <c r="A242" s="20">
        <v>28581</v>
      </c>
      <c r="B242" s="21"/>
      <c r="C242" s="21">
        <v>10.46</v>
      </c>
      <c r="D242" s="21">
        <v>9.3800000000000008</v>
      </c>
      <c r="E242" s="21"/>
      <c r="F242" s="21"/>
      <c r="G242" s="21"/>
      <c r="H242" s="3"/>
    </row>
    <row r="243" spans="1:8" x14ac:dyDescent="0.25">
      <c r="A243" s="20">
        <v>28611</v>
      </c>
      <c r="B243" s="21"/>
      <c r="C243" s="21">
        <v>10.46</v>
      </c>
      <c r="D243" s="21">
        <v>9.3800000000000008</v>
      </c>
      <c r="E243" s="21"/>
      <c r="F243" s="21"/>
      <c r="G243" s="21"/>
      <c r="H243" s="3"/>
    </row>
    <row r="244" spans="1:8" x14ac:dyDescent="0.25">
      <c r="A244" s="20">
        <v>28642</v>
      </c>
      <c r="B244" s="21"/>
      <c r="C244" s="21">
        <v>10.46</v>
      </c>
      <c r="D244" s="21">
        <v>9.3800000000000008</v>
      </c>
      <c r="E244" s="21"/>
      <c r="F244" s="21"/>
      <c r="G244" s="21"/>
      <c r="H244" s="3"/>
    </row>
    <row r="245" spans="1:8" x14ac:dyDescent="0.25">
      <c r="A245" s="20">
        <v>28672</v>
      </c>
      <c r="B245" s="21"/>
      <c r="C245" s="21">
        <v>10.46</v>
      </c>
      <c r="D245" s="21">
        <v>9.3800000000000008</v>
      </c>
      <c r="E245" s="21"/>
      <c r="F245" s="21"/>
      <c r="G245" s="21"/>
      <c r="H245" s="3"/>
    </row>
    <row r="246" spans="1:8" x14ac:dyDescent="0.25">
      <c r="A246" s="20">
        <v>28703</v>
      </c>
      <c r="B246" s="21"/>
      <c r="C246" s="21">
        <v>10.46</v>
      </c>
      <c r="D246" s="21">
        <v>9.3800000000000008</v>
      </c>
      <c r="E246" s="21"/>
      <c r="F246" s="21"/>
      <c r="G246" s="21"/>
      <c r="H246" s="3"/>
    </row>
    <row r="247" spans="1:8" x14ac:dyDescent="0.25">
      <c r="A247" s="20">
        <v>28734</v>
      </c>
      <c r="B247" s="21"/>
      <c r="C247" s="21">
        <v>10.46</v>
      </c>
      <c r="D247" s="21">
        <v>9.3800000000000008</v>
      </c>
      <c r="E247" s="21"/>
      <c r="F247" s="21"/>
      <c r="G247" s="21"/>
      <c r="H247" s="3"/>
    </row>
    <row r="248" spans="1:8" x14ac:dyDescent="0.25">
      <c r="A248" s="20">
        <v>28764</v>
      </c>
      <c r="B248" s="21"/>
      <c r="C248" s="21">
        <v>10.46</v>
      </c>
      <c r="D248" s="21">
        <v>9.3800000000000008</v>
      </c>
      <c r="E248" s="21"/>
      <c r="F248" s="21"/>
      <c r="G248" s="21"/>
      <c r="H248" s="3"/>
    </row>
    <row r="249" spans="1:8" x14ac:dyDescent="0.25">
      <c r="A249" s="20">
        <v>28795</v>
      </c>
      <c r="B249" s="21"/>
      <c r="C249" s="21">
        <v>10.34</v>
      </c>
      <c r="D249" s="21">
        <v>9.3800000000000008</v>
      </c>
      <c r="E249" s="21"/>
      <c r="F249" s="21"/>
      <c r="G249" s="21"/>
      <c r="H249" s="3"/>
    </row>
    <row r="250" spans="1:8" x14ac:dyDescent="0.25">
      <c r="A250" s="20">
        <v>28825</v>
      </c>
      <c r="B250" s="21"/>
      <c r="C250" s="21">
        <v>9.9600000000000009</v>
      </c>
      <c r="D250" s="21">
        <v>9.1300000000000008</v>
      </c>
      <c r="E250" s="21"/>
      <c r="F250" s="21"/>
      <c r="G250" s="21"/>
      <c r="H250" s="3"/>
    </row>
    <row r="251" spans="1:8" x14ac:dyDescent="0.25">
      <c r="A251" s="20">
        <v>28856</v>
      </c>
      <c r="B251" s="21"/>
      <c r="C251" s="21">
        <v>9.9600000000000009</v>
      </c>
      <c r="D251" s="21">
        <v>9.1300000000000008</v>
      </c>
      <c r="E251" s="21"/>
      <c r="F251" s="21"/>
      <c r="G251" s="21"/>
      <c r="H251" s="3"/>
    </row>
    <row r="252" spans="1:8" x14ac:dyDescent="0.25">
      <c r="A252" s="20">
        <v>28887</v>
      </c>
      <c r="B252" s="21"/>
      <c r="C252" s="21">
        <v>9.9600000000000009</v>
      </c>
      <c r="D252" s="21">
        <v>9.1300000000000008</v>
      </c>
      <c r="E252" s="21"/>
      <c r="F252" s="21"/>
      <c r="G252" s="21"/>
      <c r="H252" s="3"/>
    </row>
    <row r="253" spans="1:8" x14ac:dyDescent="0.25">
      <c r="A253" s="20">
        <v>28915</v>
      </c>
      <c r="B253" s="21"/>
      <c r="C253" s="21">
        <v>9.9600000000000009</v>
      </c>
      <c r="D253" s="21">
        <v>9.1300000000000008</v>
      </c>
      <c r="E253" s="21"/>
      <c r="F253" s="21"/>
      <c r="G253" s="21"/>
      <c r="H253" s="3"/>
    </row>
    <row r="254" spans="1:8" x14ac:dyDescent="0.25">
      <c r="A254" s="20">
        <v>28946</v>
      </c>
      <c r="B254" s="21"/>
      <c r="C254" s="21">
        <v>9.9600000000000009</v>
      </c>
      <c r="D254" s="21">
        <v>9.1300000000000008</v>
      </c>
      <c r="E254" s="21"/>
      <c r="F254" s="21"/>
      <c r="G254" s="21"/>
      <c r="H254" s="3"/>
    </row>
    <row r="255" spans="1:8" x14ac:dyDescent="0.25">
      <c r="A255" s="20">
        <v>28976</v>
      </c>
      <c r="B255" s="21"/>
      <c r="C255" s="21">
        <v>9.9600000000000009</v>
      </c>
      <c r="D255" s="21">
        <v>9.1300000000000008</v>
      </c>
      <c r="E255" s="21"/>
      <c r="F255" s="21"/>
      <c r="G255" s="21"/>
      <c r="H255" s="3"/>
    </row>
    <row r="256" spans="1:8" x14ac:dyDescent="0.25">
      <c r="A256" s="20">
        <v>29007</v>
      </c>
      <c r="B256" s="21"/>
      <c r="C256" s="21">
        <v>9.9600000000000009</v>
      </c>
      <c r="D256" s="21">
        <v>9.1300000000000008</v>
      </c>
      <c r="E256" s="21"/>
      <c r="F256" s="21"/>
      <c r="G256" s="21"/>
      <c r="H256" s="3"/>
    </row>
    <row r="257" spans="1:8" x14ac:dyDescent="0.25">
      <c r="A257" s="20">
        <v>29037</v>
      </c>
      <c r="B257" s="21"/>
      <c r="C257" s="21">
        <v>9.9600000000000009</v>
      </c>
      <c r="D257" s="21">
        <v>9.1300000000000008</v>
      </c>
      <c r="E257" s="21"/>
      <c r="F257" s="21"/>
      <c r="G257" s="21"/>
      <c r="H257" s="3"/>
    </row>
    <row r="258" spans="1:8" x14ac:dyDescent="0.25">
      <c r="A258" s="20">
        <v>29068</v>
      </c>
      <c r="B258" s="21"/>
      <c r="C258" s="21">
        <v>9.9600000000000009</v>
      </c>
      <c r="D258" s="21">
        <v>9.1300000000000008</v>
      </c>
      <c r="E258" s="21"/>
      <c r="F258" s="21"/>
      <c r="G258" s="21"/>
      <c r="H258" s="3"/>
    </row>
    <row r="259" spans="1:8" x14ac:dyDescent="0.25">
      <c r="A259" s="20">
        <v>29099</v>
      </c>
      <c r="B259" s="21"/>
      <c r="C259" s="21">
        <v>9.9600000000000009</v>
      </c>
      <c r="D259" s="21">
        <v>9.1300000000000008</v>
      </c>
      <c r="E259" s="21"/>
      <c r="F259" s="21"/>
      <c r="G259" s="21"/>
      <c r="H259" s="3"/>
    </row>
    <row r="260" spans="1:8" x14ac:dyDescent="0.25">
      <c r="A260" s="20">
        <v>29129</v>
      </c>
      <c r="B260" s="21"/>
      <c r="C260" s="21">
        <v>9.9600000000000009</v>
      </c>
      <c r="D260" s="21">
        <v>9.1300000000000008</v>
      </c>
      <c r="E260" s="21"/>
      <c r="F260" s="21"/>
      <c r="G260" s="21"/>
      <c r="H260" s="3"/>
    </row>
    <row r="261" spans="1:8" x14ac:dyDescent="0.25">
      <c r="A261" s="20">
        <v>29160</v>
      </c>
      <c r="B261" s="21"/>
      <c r="C261" s="21">
        <v>9.9600000000000009</v>
      </c>
      <c r="D261" s="21">
        <v>9.1300000000000008</v>
      </c>
      <c r="E261" s="21"/>
      <c r="F261" s="21"/>
      <c r="G261" s="21"/>
      <c r="H261" s="3"/>
    </row>
    <row r="262" spans="1:8" x14ac:dyDescent="0.25">
      <c r="A262" s="20">
        <v>29190</v>
      </c>
      <c r="B262" s="21"/>
      <c r="C262" s="21">
        <v>9.9600000000000009</v>
      </c>
      <c r="D262" s="21">
        <v>9.1300000000000008</v>
      </c>
      <c r="E262" s="21"/>
      <c r="F262" s="21"/>
      <c r="G262" s="21"/>
      <c r="H262" s="3"/>
    </row>
    <row r="263" spans="1:8" x14ac:dyDescent="0.25">
      <c r="A263" s="20">
        <v>29221</v>
      </c>
      <c r="B263" s="21"/>
      <c r="C263" s="21">
        <v>9.9600000000000009</v>
      </c>
      <c r="D263" s="21">
        <v>9.1300000000000008</v>
      </c>
      <c r="E263" s="21"/>
      <c r="F263" s="21"/>
      <c r="G263" s="21"/>
      <c r="H263" s="3"/>
    </row>
    <row r="264" spans="1:8" x14ac:dyDescent="0.25">
      <c r="A264" s="20">
        <v>29252</v>
      </c>
      <c r="B264" s="21"/>
      <c r="C264" s="21">
        <v>9.9600000000000009</v>
      </c>
      <c r="D264" s="21">
        <v>9.1300000000000008</v>
      </c>
      <c r="E264" s="21"/>
      <c r="F264" s="21"/>
      <c r="G264" s="21"/>
      <c r="H264" s="3"/>
    </row>
    <row r="265" spans="1:8" x14ac:dyDescent="0.25">
      <c r="A265" s="20">
        <v>29281</v>
      </c>
      <c r="B265" s="21"/>
      <c r="C265" s="21">
        <v>10.34</v>
      </c>
      <c r="D265" s="21">
        <v>9.6300000000000008</v>
      </c>
      <c r="E265" s="21"/>
      <c r="F265" s="21"/>
      <c r="G265" s="21"/>
      <c r="H265" s="3"/>
    </row>
    <row r="266" spans="1:8" x14ac:dyDescent="0.25">
      <c r="A266" s="20">
        <v>29312</v>
      </c>
      <c r="B266" s="21"/>
      <c r="C266" s="21">
        <v>10.46</v>
      </c>
      <c r="D266" s="21">
        <v>9.8800000000000008</v>
      </c>
      <c r="E266" s="21"/>
      <c r="F266" s="21"/>
      <c r="G266" s="21"/>
      <c r="H266" s="3"/>
    </row>
    <row r="267" spans="1:8" x14ac:dyDescent="0.25">
      <c r="A267" s="20">
        <v>29342</v>
      </c>
      <c r="B267" s="21"/>
      <c r="C267" s="21">
        <v>10.46</v>
      </c>
      <c r="D267" s="21">
        <v>9.8800000000000008</v>
      </c>
      <c r="E267" s="21"/>
      <c r="F267" s="21"/>
      <c r="G267" s="21"/>
      <c r="H267" s="3"/>
    </row>
    <row r="268" spans="1:8" x14ac:dyDescent="0.25">
      <c r="A268" s="20">
        <v>29373</v>
      </c>
      <c r="B268" s="21"/>
      <c r="C268" s="21">
        <v>10.46</v>
      </c>
      <c r="D268" s="21">
        <v>9.8800000000000008</v>
      </c>
      <c r="E268" s="21"/>
      <c r="F268" s="21"/>
      <c r="G268" s="21"/>
      <c r="H268" s="3"/>
    </row>
    <row r="269" spans="1:8" x14ac:dyDescent="0.25">
      <c r="A269" s="20">
        <v>29403</v>
      </c>
      <c r="B269" s="21"/>
      <c r="C269" s="21">
        <v>10.46</v>
      </c>
      <c r="D269" s="21">
        <v>10.25</v>
      </c>
      <c r="E269" s="21"/>
      <c r="F269" s="21"/>
      <c r="G269" s="21"/>
      <c r="H269" s="3"/>
    </row>
    <row r="270" spans="1:8" x14ac:dyDescent="0.25">
      <c r="A270" s="20">
        <v>29434</v>
      </c>
      <c r="B270" s="21"/>
      <c r="C270" s="21">
        <v>10.46</v>
      </c>
      <c r="D270" s="21">
        <v>10.25</v>
      </c>
      <c r="E270" s="21"/>
      <c r="F270" s="21"/>
      <c r="G270" s="21"/>
      <c r="H270" s="3"/>
    </row>
    <row r="271" spans="1:8" x14ac:dyDescent="0.25">
      <c r="A271" s="20">
        <v>29465</v>
      </c>
      <c r="B271" s="21"/>
      <c r="C271" s="21">
        <v>10.46</v>
      </c>
      <c r="D271" s="21">
        <v>10.25</v>
      </c>
      <c r="E271" s="21"/>
      <c r="F271" s="21"/>
      <c r="G271" s="21"/>
      <c r="H271" s="3"/>
    </row>
    <row r="272" spans="1:8" x14ac:dyDescent="0.25">
      <c r="A272" s="20">
        <v>29495</v>
      </c>
      <c r="B272" s="21"/>
      <c r="C272" s="21">
        <v>10.46</v>
      </c>
      <c r="D272" s="21">
        <v>10.25</v>
      </c>
      <c r="E272" s="21"/>
      <c r="F272" s="21"/>
      <c r="G272" s="21"/>
      <c r="H272" s="3"/>
    </row>
    <row r="273" spans="1:8" x14ac:dyDescent="0.25">
      <c r="A273" s="20">
        <v>29526</v>
      </c>
      <c r="B273" s="21"/>
      <c r="C273" s="21">
        <v>10.46</v>
      </c>
      <c r="D273" s="21">
        <v>10.25</v>
      </c>
      <c r="E273" s="21"/>
      <c r="F273" s="21"/>
      <c r="G273" s="21"/>
      <c r="H273" s="3"/>
    </row>
    <row r="274" spans="1:8" x14ac:dyDescent="0.25">
      <c r="A274" s="20">
        <v>29556</v>
      </c>
      <c r="B274" s="21"/>
      <c r="C274" s="21">
        <v>11.95</v>
      </c>
      <c r="D274" s="21">
        <v>11</v>
      </c>
      <c r="E274" s="21"/>
      <c r="F274" s="21"/>
      <c r="G274" s="21"/>
      <c r="H274" s="3"/>
    </row>
    <row r="275" spans="1:8" x14ac:dyDescent="0.25">
      <c r="A275" s="20">
        <v>29587</v>
      </c>
      <c r="B275" s="21"/>
      <c r="C275" s="21">
        <v>11.95</v>
      </c>
      <c r="D275" s="21">
        <v>11.5</v>
      </c>
      <c r="E275" s="21"/>
      <c r="F275" s="21"/>
      <c r="G275" s="21"/>
      <c r="H275" s="3"/>
    </row>
    <row r="276" spans="1:8" x14ac:dyDescent="0.25">
      <c r="A276" s="20">
        <v>29618</v>
      </c>
      <c r="B276" s="21"/>
      <c r="C276" s="21">
        <v>11.95</v>
      </c>
      <c r="D276" s="21">
        <v>11.5</v>
      </c>
      <c r="E276" s="21"/>
      <c r="F276" s="21"/>
      <c r="G276" s="21"/>
      <c r="H276" s="3"/>
    </row>
    <row r="277" spans="1:8" x14ac:dyDescent="0.25">
      <c r="A277" s="20">
        <v>29646</v>
      </c>
      <c r="B277" s="21"/>
      <c r="C277" s="21">
        <v>12.2</v>
      </c>
      <c r="D277" s="21">
        <v>11.5</v>
      </c>
      <c r="E277" s="21"/>
      <c r="F277" s="21"/>
      <c r="G277" s="21"/>
      <c r="H277" s="3"/>
    </row>
    <row r="278" spans="1:8" x14ac:dyDescent="0.25">
      <c r="A278" s="20">
        <v>29677</v>
      </c>
      <c r="B278" s="21"/>
      <c r="C278" s="21">
        <v>12.38</v>
      </c>
      <c r="D278" s="21">
        <v>11.5</v>
      </c>
      <c r="E278" s="21"/>
      <c r="F278" s="21"/>
      <c r="G278" s="21"/>
      <c r="H278" s="3"/>
    </row>
    <row r="279" spans="1:8" x14ac:dyDescent="0.25">
      <c r="A279" s="20">
        <v>29707</v>
      </c>
      <c r="B279" s="21"/>
      <c r="C279" s="21">
        <v>12.38</v>
      </c>
      <c r="D279" s="21">
        <v>11.5</v>
      </c>
      <c r="E279" s="21"/>
      <c r="F279" s="21"/>
      <c r="G279" s="21"/>
      <c r="H279" s="3"/>
    </row>
    <row r="280" spans="1:8" x14ac:dyDescent="0.25">
      <c r="A280" s="20">
        <v>29738</v>
      </c>
      <c r="B280" s="21"/>
      <c r="C280" s="21">
        <v>12.38</v>
      </c>
      <c r="D280" s="21">
        <v>11.5</v>
      </c>
      <c r="E280" s="21"/>
      <c r="F280" s="21"/>
      <c r="G280" s="21"/>
      <c r="H280" s="3"/>
    </row>
    <row r="281" spans="1:8" x14ac:dyDescent="0.25">
      <c r="A281" s="20">
        <v>29768</v>
      </c>
      <c r="B281" s="21"/>
      <c r="C281" s="21">
        <v>12.46</v>
      </c>
      <c r="D281" s="21">
        <v>11.5</v>
      </c>
      <c r="E281" s="21"/>
      <c r="F281" s="21"/>
      <c r="G281" s="21"/>
      <c r="H281" s="3"/>
    </row>
    <row r="282" spans="1:8" x14ac:dyDescent="0.25">
      <c r="A282" s="20">
        <v>29799</v>
      </c>
      <c r="B282" s="21"/>
      <c r="C282" s="21">
        <v>13.46</v>
      </c>
      <c r="D282" s="21">
        <v>12</v>
      </c>
      <c r="E282" s="21"/>
      <c r="F282" s="21"/>
      <c r="G282" s="21"/>
      <c r="H282" s="3"/>
    </row>
    <row r="283" spans="1:8" x14ac:dyDescent="0.25">
      <c r="A283" s="20">
        <v>29830</v>
      </c>
      <c r="B283" s="21"/>
      <c r="C283" s="21">
        <v>13.46</v>
      </c>
      <c r="D283" s="21">
        <v>12</v>
      </c>
      <c r="E283" s="21"/>
      <c r="F283" s="21"/>
      <c r="G283" s="21"/>
      <c r="H283" s="3"/>
    </row>
    <row r="284" spans="1:8" x14ac:dyDescent="0.25">
      <c r="A284" s="20">
        <v>29860</v>
      </c>
      <c r="B284" s="21"/>
      <c r="C284" s="21">
        <v>13.46</v>
      </c>
      <c r="D284" s="21">
        <v>12.5</v>
      </c>
      <c r="E284" s="21"/>
      <c r="F284" s="21"/>
      <c r="G284" s="21"/>
      <c r="H284" s="3"/>
    </row>
    <row r="285" spans="1:8" x14ac:dyDescent="0.25">
      <c r="A285" s="20">
        <v>29891</v>
      </c>
      <c r="B285" s="21"/>
      <c r="C285" s="21">
        <v>13.46</v>
      </c>
      <c r="D285" s="21">
        <v>12.5</v>
      </c>
      <c r="E285" s="21"/>
      <c r="F285" s="21"/>
      <c r="G285" s="21"/>
      <c r="H285" s="3"/>
    </row>
    <row r="286" spans="1:8" x14ac:dyDescent="0.25">
      <c r="A286" s="20">
        <v>29921</v>
      </c>
      <c r="B286" s="21"/>
      <c r="C286" s="21">
        <v>13.46</v>
      </c>
      <c r="D286" s="21">
        <v>12.5</v>
      </c>
      <c r="E286" s="21"/>
      <c r="F286" s="21"/>
      <c r="G286" s="21"/>
      <c r="H286" s="3"/>
    </row>
    <row r="287" spans="1:8" x14ac:dyDescent="0.25">
      <c r="A287" s="20">
        <v>29952</v>
      </c>
      <c r="B287" s="21"/>
      <c r="C287" s="21">
        <v>13.46</v>
      </c>
      <c r="D287" s="21">
        <v>12.5</v>
      </c>
      <c r="E287" s="21"/>
      <c r="F287" s="21"/>
      <c r="G287" s="21"/>
      <c r="H287" s="3"/>
    </row>
    <row r="288" spans="1:8" x14ac:dyDescent="0.25">
      <c r="A288" s="20">
        <v>29983</v>
      </c>
      <c r="B288" s="21"/>
      <c r="C288" s="21">
        <v>13.46</v>
      </c>
      <c r="D288" s="21">
        <v>12.5</v>
      </c>
      <c r="E288" s="21"/>
      <c r="F288" s="21"/>
      <c r="G288" s="21"/>
      <c r="H288" s="3"/>
    </row>
    <row r="289" spans="1:8" x14ac:dyDescent="0.25">
      <c r="A289" s="20">
        <v>30011</v>
      </c>
      <c r="B289" s="21"/>
      <c r="C289" s="21">
        <v>14.21</v>
      </c>
      <c r="D289" s="21">
        <v>13</v>
      </c>
      <c r="E289" s="21"/>
      <c r="F289" s="21"/>
      <c r="G289" s="21"/>
      <c r="H289" s="3"/>
    </row>
    <row r="290" spans="1:8" x14ac:dyDescent="0.25">
      <c r="A290" s="20">
        <v>30042</v>
      </c>
      <c r="B290" s="21"/>
      <c r="C290" s="21">
        <v>14.46</v>
      </c>
      <c r="D290" s="21">
        <v>13.5</v>
      </c>
      <c r="E290" s="21"/>
      <c r="F290" s="21"/>
      <c r="G290" s="21"/>
      <c r="H290" s="3"/>
    </row>
    <row r="291" spans="1:8" x14ac:dyDescent="0.25">
      <c r="A291" s="20">
        <v>30072</v>
      </c>
      <c r="B291" s="21"/>
      <c r="C291" s="21">
        <v>14.46</v>
      </c>
      <c r="D291" s="21">
        <v>13.5</v>
      </c>
      <c r="E291" s="21"/>
      <c r="F291" s="21"/>
      <c r="G291" s="21"/>
      <c r="H291" s="3"/>
    </row>
    <row r="292" spans="1:8" x14ac:dyDescent="0.25">
      <c r="A292" s="20">
        <v>30103</v>
      </c>
      <c r="B292" s="21"/>
      <c r="C292" s="21">
        <v>14.46</v>
      </c>
      <c r="D292" s="21">
        <v>13.5</v>
      </c>
      <c r="E292" s="21"/>
      <c r="F292" s="21"/>
      <c r="G292" s="21"/>
      <c r="H292" s="3"/>
    </row>
    <row r="293" spans="1:8" x14ac:dyDescent="0.25">
      <c r="A293" s="20">
        <v>30133</v>
      </c>
      <c r="B293" s="21"/>
      <c r="C293" s="21">
        <v>14.46</v>
      </c>
      <c r="D293" s="21">
        <v>13.5</v>
      </c>
      <c r="E293" s="21"/>
      <c r="F293" s="21"/>
      <c r="G293" s="21"/>
      <c r="H293" s="3"/>
    </row>
    <row r="294" spans="1:8" x14ac:dyDescent="0.25">
      <c r="A294" s="20">
        <v>30164</v>
      </c>
      <c r="B294" s="21"/>
      <c r="C294" s="21">
        <v>14.46</v>
      </c>
      <c r="D294" s="21">
        <v>13.5</v>
      </c>
      <c r="E294" s="21"/>
      <c r="F294" s="21"/>
      <c r="G294" s="21"/>
      <c r="H294" s="3"/>
    </row>
    <row r="295" spans="1:8" x14ac:dyDescent="0.25">
      <c r="A295" s="20">
        <v>30195</v>
      </c>
      <c r="B295" s="21"/>
      <c r="C295" s="21">
        <v>14.46</v>
      </c>
      <c r="D295" s="21">
        <v>13.5</v>
      </c>
      <c r="E295" s="21"/>
      <c r="F295" s="21"/>
      <c r="G295" s="21"/>
      <c r="H295" s="3"/>
    </row>
    <row r="296" spans="1:8" x14ac:dyDescent="0.25">
      <c r="A296" s="20">
        <v>30225</v>
      </c>
      <c r="B296" s="21"/>
      <c r="C296" s="21">
        <v>14.46</v>
      </c>
      <c r="D296" s="21">
        <v>13.5</v>
      </c>
      <c r="E296" s="21"/>
      <c r="F296" s="21"/>
      <c r="G296" s="21"/>
      <c r="H296" s="3"/>
    </row>
    <row r="297" spans="1:8" x14ac:dyDescent="0.25">
      <c r="A297" s="20">
        <v>30256</v>
      </c>
      <c r="B297" s="21"/>
      <c r="C297" s="21">
        <v>14.46</v>
      </c>
      <c r="D297" s="21">
        <v>13.5</v>
      </c>
      <c r="E297" s="21"/>
      <c r="F297" s="21"/>
      <c r="G297" s="21"/>
      <c r="H297" s="3"/>
    </row>
    <row r="298" spans="1:8" x14ac:dyDescent="0.25">
      <c r="A298" s="20">
        <v>30286</v>
      </c>
      <c r="B298" s="21"/>
      <c r="C298" s="21">
        <v>14.46</v>
      </c>
      <c r="D298" s="21">
        <v>13.5</v>
      </c>
      <c r="E298" s="21"/>
      <c r="F298" s="21"/>
      <c r="G298" s="21"/>
      <c r="H298" s="3"/>
    </row>
    <row r="299" spans="1:8" x14ac:dyDescent="0.25">
      <c r="A299" s="20">
        <v>30317</v>
      </c>
      <c r="B299" s="21"/>
      <c r="C299" s="21">
        <v>13.96</v>
      </c>
      <c r="D299" s="21">
        <v>13.5</v>
      </c>
      <c r="E299" s="21"/>
      <c r="F299" s="21"/>
      <c r="G299" s="21"/>
      <c r="H299" s="3"/>
    </row>
    <row r="300" spans="1:8" x14ac:dyDescent="0.25">
      <c r="A300" s="20">
        <v>30348</v>
      </c>
      <c r="B300" s="21"/>
      <c r="C300" s="21">
        <v>13.82</v>
      </c>
      <c r="D300" s="21">
        <v>12.5</v>
      </c>
      <c r="E300" s="21"/>
      <c r="F300" s="21"/>
      <c r="G300" s="21"/>
      <c r="H300" s="3"/>
    </row>
    <row r="301" spans="1:8" x14ac:dyDescent="0.25">
      <c r="A301" s="20">
        <v>30376</v>
      </c>
      <c r="B301" s="21"/>
      <c r="C301" s="21">
        <v>13.82</v>
      </c>
      <c r="D301" s="21">
        <v>12.5</v>
      </c>
      <c r="E301" s="21"/>
      <c r="F301" s="21"/>
      <c r="G301" s="21"/>
      <c r="H301" s="3"/>
    </row>
    <row r="302" spans="1:8" x14ac:dyDescent="0.25">
      <c r="A302" s="20">
        <v>30407</v>
      </c>
      <c r="B302" s="21"/>
      <c r="C302" s="21">
        <v>13.82</v>
      </c>
      <c r="D302" s="21">
        <v>12.5</v>
      </c>
      <c r="E302" s="21"/>
      <c r="F302" s="21"/>
      <c r="G302" s="21"/>
      <c r="H302" s="3"/>
    </row>
    <row r="303" spans="1:8" x14ac:dyDescent="0.25">
      <c r="A303" s="20">
        <v>30437</v>
      </c>
      <c r="B303" s="21"/>
      <c r="C303" s="21">
        <v>13.82</v>
      </c>
      <c r="D303" s="21">
        <v>12.5</v>
      </c>
      <c r="E303" s="21"/>
      <c r="F303" s="21"/>
      <c r="G303" s="21"/>
      <c r="H303" s="3"/>
    </row>
    <row r="304" spans="1:8" x14ac:dyDescent="0.25">
      <c r="A304" s="20">
        <v>30468</v>
      </c>
      <c r="B304" s="21"/>
      <c r="C304" s="21">
        <v>13.82</v>
      </c>
      <c r="D304" s="21">
        <v>12.5</v>
      </c>
      <c r="E304" s="21"/>
      <c r="F304" s="21"/>
      <c r="G304" s="21"/>
      <c r="H304" s="3"/>
    </row>
    <row r="305" spans="1:8" x14ac:dyDescent="0.25">
      <c r="A305" s="20">
        <v>30498</v>
      </c>
      <c r="B305" s="21"/>
      <c r="C305" s="21">
        <v>13.82</v>
      </c>
      <c r="D305" s="21">
        <v>12.5</v>
      </c>
      <c r="E305" s="21"/>
      <c r="F305" s="21"/>
      <c r="G305" s="21"/>
      <c r="H305" s="3"/>
    </row>
    <row r="306" spans="1:8" x14ac:dyDescent="0.25">
      <c r="A306" s="20">
        <v>30529</v>
      </c>
      <c r="B306" s="21"/>
      <c r="C306" s="21">
        <v>13.82</v>
      </c>
      <c r="D306" s="21">
        <v>12.5</v>
      </c>
      <c r="E306" s="21"/>
      <c r="F306" s="21"/>
      <c r="G306" s="21"/>
      <c r="H306" s="3"/>
    </row>
    <row r="307" spans="1:8" x14ac:dyDescent="0.25">
      <c r="A307" s="20">
        <v>30560</v>
      </c>
      <c r="B307" s="21"/>
      <c r="C307" s="21">
        <v>13.82</v>
      </c>
      <c r="D307" s="21">
        <v>12</v>
      </c>
      <c r="E307" s="21"/>
      <c r="F307" s="21"/>
      <c r="G307" s="21"/>
      <c r="H307" s="3"/>
    </row>
    <row r="308" spans="1:8" x14ac:dyDescent="0.25">
      <c r="A308" s="20">
        <v>30590</v>
      </c>
      <c r="B308" s="21"/>
      <c r="C308" s="21">
        <v>13.82</v>
      </c>
      <c r="D308" s="21">
        <v>12</v>
      </c>
      <c r="E308" s="21"/>
      <c r="F308" s="21"/>
      <c r="G308" s="21"/>
      <c r="H308" s="3"/>
    </row>
    <row r="309" spans="1:8" x14ac:dyDescent="0.25">
      <c r="A309" s="20">
        <v>30621</v>
      </c>
      <c r="B309" s="21"/>
      <c r="C309" s="21">
        <v>13.82</v>
      </c>
      <c r="D309" s="21">
        <v>12</v>
      </c>
      <c r="E309" s="21"/>
      <c r="F309" s="21"/>
      <c r="G309" s="21"/>
      <c r="H309" s="3"/>
    </row>
    <row r="310" spans="1:8" x14ac:dyDescent="0.25">
      <c r="A310" s="20">
        <v>30651</v>
      </c>
      <c r="B310" s="21"/>
      <c r="C310" s="21">
        <v>13.82</v>
      </c>
      <c r="D310" s="21">
        <v>12</v>
      </c>
      <c r="E310" s="21"/>
      <c r="F310" s="21"/>
      <c r="G310" s="21"/>
      <c r="H310" s="3"/>
    </row>
    <row r="311" spans="1:8" x14ac:dyDescent="0.25">
      <c r="A311" s="20">
        <v>30682</v>
      </c>
      <c r="B311" s="21"/>
      <c r="C311" s="21">
        <v>13.7</v>
      </c>
      <c r="D311" s="21">
        <v>11.5</v>
      </c>
      <c r="E311" s="21"/>
      <c r="F311" s="21"/>
      <c r="G311" s="21"/>
      <c r="H311" s="3"/>
    </row>
    <row r="312" spans="1:8" x14ac:dyDescent="0.25">
      <c r="A312" s="20">
        <v>30713</v>
      </c>
      <c r="B312" s="21"/>
      <c r="C312" s="21">
        <v>13.7</v>
      </c>
      <c r="D312" s="21">
        <v>11.5</v>
      </c>
      <c r="E312" s="21"/>
      <c r="F312" s="21"/>
      <c r="G312" s="21"/>
      <c r="H312" s="3"/>
    </row>
    <row r="313" spans="1:8" x14ac:dyDescent="0.25">
      <c r="A313" s="20">
        <v>30742</v>
      </c>
      <c r="B313" s="21"/>
      <c r="C313" s="21">
        <v>13.82</v>
      </c>
      <c r="D313" s="21">
        <v>11.5</v>
      </c>
      <c r="E313" s="21"/>
      <c r="F313" s="21"/>
      <c r="G313" s="21"/>
      <c r="H313" s="3"/>
    </row>
    <row r="314" spans="1:8" x14ac:dyDescent="0.25">
      <c r="A314" s="20">
        <v>30773</v>
      </c>
      <c r="B314" s="21"/>
      <c r="C314" s="21">
        <v>13.82</v>
      </c>
      <c r="D314" s="21">
        <v>11.5</v>
      </c>
      <c r="E314" s="21"/>
      <c r="F314" s="21"/>
      <c r="G314" s="21"/>
      <c r="H314" s="3"/>
    </row>
    <row r="315" spans="1:8" x14ac:dyDescent="0.25">
      <c r="A315" s="20">
        <v>30803</v>
      </c>
      <c r="B315" s="21"/>
      <c r="C315" s="21">
        <v>13.82</v>
      </c>
      <c r="D315" s="21">
        <v>11.5</v>
      </c>
      <c r="E315" s="21"/>
      <c r="F315" s="21"/>
      <c r="G315" s="21"/>
      <c r="H315" s="3"/>
    </row>
    <row r="316" spans="1:8" x14ac:dyDescent="0.25">
      <c r="A316" s="20">
        <v>30834</v>
      </c>
      <c r="B316" s="21"/>
      <c r="C316" s="21">
        <v>13.82</v>
      </c>
      <c r="D316" s="21">
        <v>11.5</v>
      </c>
      <c r="E316" s="21"/>
      <c r="F316" s="21"/>
      <c r="G316" s="21"/>
      <c r="H316" s="3"/>
    </row>
    <row r="317" spans="1:8" x14ac:dyDescent="0.25">
      <c r="A317" s="20">
        <v>30864</v>
      </c>
      <c r="B317" s="21"/>
      <c r="C317" s="21">
        <v>13.82</v>
      </c>
      <c r="D317" s="21">
        <v>11.5</v>
      </c>
      <c r="E317" s="21"/>
      <c r="F317" s="21"/>
      <c r="G317" s="21"/>
      <c r="H317" s="3"/>
    </row>
    <row r="318" spans="1:8" x14ac:dyDescent="0.25">
      <c r="A318" s="20">
        <v>30895</v>
      </c>
      <c r="B318" s="21"/>
      <c r="C318" s="21">
        <v>13.82</v>
      </c>
      <c r="D318" s="21">
        <v>11.5</v>
      </c>
      <c r="E318" s="21"/>
      <c r="F318" s="21"/>
      <c r="G318" s="21"/>
      <c r="H318" s="3"/>
    </row>
    <row r="319" spans="1:8" x14ac:dyDescent="0.25">
      <c r="A319" s="20">
        <v>30926</v>
      </c>
      <c r="B319" s="21"/>
      <c r="C319" s="21">
        <v>13.82</v>
      </c>
      <c r="D319" s="21">
        <v>11.5</v>
      </c>
      <c r="E319" s="21"/>
      <c r="F319" s="21"/>
      <c r="G319" s="21"/>
      <c r="H319" s="3"/>
    </row>
    <row r="320" spans="1:8" x14ac:dyDescent="0.25">
      <c r="A320" s="20">
        <v>30956</v>
      </c>
      <c r="B320" s="21"/>
      <c r="C320" s="21">
        <v>13.82</v>
      </c>
      <c r="D320" s="21">
        <v>11.5</v>
      </c>
      <c r="E320" s="21"/>
      <c r="F320" s="21"/>
      <c r="G320" s="21"/>
      <c r="H320" s="3"/>
    </row>
    <row r="321" spans="1:8" x14ac:dyDescent="0.25">
      <c r="A321" s="20">
        <v>30987</v>
      </c>
      <c r="B321" s="21"/>
      <c r="C321" s="21">
        <v>13.82</v>
      </c>
      <c r="D321" s="21">
        <v>11.5</v>
      </c>
      <c r="E321" s="21"/>
      <c r="F321" s="21"/>
      <c r="G321" s="21"/>
      <c r="H321" s="3"/>
    </row>
    <row r="322" spans="1:8" x14ac:dyDescent="0.25">
      <c r="A322" s="20">
        <v>31017</v>
      </c>
      <c r="B322" s="21"/>
      <c r="C322" s="21">
        <v>13.82</v>
      </c>
      <c r="D322" s="21">
        <v>11.5</v>
      </c>
      <c r="E322" s="21"/>
      <c r="F322" s="21"/>
      <c r="G322" s="21"/>
      <c r="H322" s="3"/>
    </row>
    <row r="323" spans="1:8" x14ac:dyDescent="0.25">
      <c r="A323" s="20">
        <v>31048</v>
      </c>
      <c r="B323" s="21"/>
      <c r="C323" s="21">
        <v>13.98</v>
      </c>
      <c r="D323" s="21">
        <v>11.5</v>
      </c>
      <c r="E323" s="21"/>
      <c r="F323" s="21"/>
      <c r="G323" s="21"/>
      <c r="H323" s="3"/>
    </row>
    <row r="324" spans="1:8" x14ac:dyDescent="0.25">
      <c r="A324" s="20">
        <v>31079</v>
      </c>
      <c r="B324" s="21"/>
      <c r="C324" s="21">
        <v>13.98</v>
      </c>
      <c r="D324" s="21">
        <v>11.5</v>
      </c>
      <c r="E324" s="21"/>
      <c r="F324" s="21"/>
      <c r="G324" s="21"/>
      <c r="H324" s="3"/>
    </row>
    <row r="325" spans="1:8" x14ac:dyDescent="0.25">
      <c r="A325" s="20">
        <v>31107</v>
      </c>
      <c r="B325" s="21"/>
      <c r="C325" s="21">
        <v>14.05</v>
      </c>
      <c r="D325" s="21">
        <v>11.5</v>
      </c>
      <c r="E325" s="21"/>
      <c r="F325" s="21"/>
      <c r="G325" s="21"/>
      <c r="H325" s="3"/>
    </row>
    <row r="326" spans="1:8" x14ac:dyDescent="0.25">
      <c r="A326" s="20">
        <v>31138</v>
      </c>
      <c r="B326" s="21"/>
      <c r="C326" s="21">
        <v>14.42</v>
      </c>
      <c r="D326" s="21">
        <v>12</v>
      </c>
      <c r="E326" s="21"/>
      <c r="F326" s="21"/>
      <c r="G326" s="21"/>
      <c r="H326" s="3"/>
    </row>
    <row r="327" spans="1:8" x14ac:dyDescent="0.25">
      <c r="A327" s="20">
        <v>31168</v>
      </c>
      <c r="B327" s="21"/>
      <c r="C327" s="21">
        <v>14.48</v>
      </c>
      <c r="D327" s="21">
        <v>12</v>
      </c>
      <c r="E327" s="21"/>
      <c r="F327" s="21"/>
      <c r="G327" s="21"/>
      <c r="H327" s="3"/>
    </row>
    <row r="328" spans="1:8" x14ac:dyDescent="0.25">
      <c r="A328" s="20">
        <v>31199</v>
      </c>
      <c r="B328" s="21"/>
      <c r="C328" s="21">
        <v>15.17</v>
      </c>
      <c r="D328" s="21">
        <v>12.13</v>
      </c>
      <c r="E328" s="21"/>
      <c r="F328" s="21"/>
      <c r="G328" s="21"/>
      <c r="H328" s="3"/>
    </row>
    <row r="329" spans="1:8" x14ac:dyDescent="0.25">
      <c r="A329" s="20">
        <v>31229</v>
      </c>
      <c r="B329" s="21"/>
      <c r="C329" s="21">
        <v>15.48</v>
      </c>
      <c r="D329" s="21">
        <v>12.5</v>
      </c>
      <c r="E329" s="21"/>
      <c r="F329" s="21"/>
      <c r="G329" s="21"/>
      <c r="H329" s="3"/>
    </row>
    <row r="330" spans="1:8" x14ac:dyDescent="0.25">
      <c r="A330" s="20">
        <v>31260</v>
      </c>
      <c r="B330" s="21"/>
      <c r="C330" s="21">
        <v>15.8</v>
      </c>
      <c r="D330" s="21">
        <v>12.5</v>
      </c>
      <c r="E330" s="21"/>
      <c r="F330" s="21"/>
      <c r="G330" s="21"/>
      <c r="H330" s="3"/>
    </row>
    <row r="331" spans="1:8" x14ac:dyDescent="0.25">
      <c r="A331" s="20">
        <v>31291</v>
      </c>
      <c r="B331" s="21"/>
      <c r="C331" s="21">
        <v>16.3</v>
      </c>
      <c r="D331" s="21">
        <v>12.88</v>
      </c>
      <c r="E331" s="21"/>
      <c r="F331" s="21"/>
      <c r="G331" s="21"/>
      <c r="H331" s="3"/>
    </row>
    <row r="332" spans="1:8" x14ac:dyDescent="0.25">
      <c r="A332" s="20">
        <v>31321</v>
      </c>
      <c r="B332" s="21"/>
      <c r="C332" s="21">
        <v>16.3</v>
      </c>
      <c r="D332" s="21">
        <v>13.5</v>
      </c>
      <c r="E332" s="21"/>
      <c r="F332" s="21"/>
      <c r="G332" s="21"/>
      <c r="H332" s="3"/>
    </row>
    <row r="333" spans="1:8" x14ac:dyDescent="0.25">
      <c r="A333" s="20">
        <v>31352</v>
      </c>
      <c r="B333" s="21"/>
      <c r="C333" s="21">
        <v>16.8</v>
      </c>
      <c r="D333" s="21">
        <v>13.5</v>
      </c>
      <c r="E333" s="21"/>
      <c r="F333" s="21"/>
      <c r="G333" s="21"/>
      <c r="H333" s="3"/>
    </row>
    <row r="334" spans="1:8" x14ac:dyDescent="0.25">
      <c r="A334" s="20">
        <v>31382</v>
      </c>
      <c r="B334" s="21"/>
      <c r="C334" s="21">
        <v>18.05</v>
      </c>
      <c r="D334" s="21">
        <v>13.5</v>
      </c>
      <c r="E334" s="21"/>
      <c r="F334" s="21"/>
      <c r="G334" s="21"/>
      <c r="H334" s="3"/>
    </row>
    <row r="335" spans="1:8" x14ac:dyDescent="0.25">
      <c r="A335" s="20">
        <v>31413</v>
      </c>
      <c r="B335" s="21"/>
      <c r="C335" s="21">
        <v>18.05</v>
      </c>
      <c r="D335" s="21">
        <v>13.5</v>
      </c>
      <c r="E335" s="21"/>
      <c r="F335" s="21"/>
      <c r="G335" s="21"/>
      <c r="H335" s="3"/>
    </row>
    <row r="336" spans="1:8" x14ac:dyDescent="0.25">
      <c r="A336" s="20">
        <v>31444</v>
      </c>
      <c r="B336" s="21"/>
      <c r="C336" s="21">
        <v>18.36</v>
      </c>
      <c r="D336" s="21">
        <v>13.5</v>
      </c>
      <c r="E336" s="21"/>
      <c r="F336" s="21"/>
      <c r="G336" s="21"/>
      <c r="H336" s="3"/>
    </row>
    <row r="337" spans="1:8" x14ac:dyDescent="0.25">
      <c r="A337" s="20">
        <v>31472</v>
      </c>
      <c r="B337" s="21"/>
      <c r="C337" s="21">
        <v>18.36</v>
      </c>
      <c r="D337" s="21">
        <v>13.5</v>
      </c>
      <c r="E337" s="21"/>
      <c r="F337" s="21"/>
      <c r="G337" s="21"/>
      <c r="H337" s="3"/>
    </row>
    <row r="338" spans="1:8" x14ac:dyDescent="0.25">
      <c r="A338" s="20">
        <v>31503</v>
      </c>
      <c r="B338" s="21"/>
      <c r="C338" s="21">
        <v>18.36</v>
      </c>
      <c r="D338" s="21">
        <v>15.5</v>
      </c>
      <c r="E338" s="21"/>
      <c r="F338" s="21"/>
      <c r="G338" s="21"/>
      <c r="H338" s="3"/>
    </row>
    <row r="339" spans="1:8" x14ac:dyDescent="0.25">
      <c r="A339" s="20">
        <v>31533</v>
      </c>
      <c r="B339" s="21"/>
      <c r="C339" s="21">
        <v>17.98</v>
      </c>
      <c r="D339" s="21">
        <v>15.5</v>
      </c>
      <c r="E339" s="21"/>
      <c r="F339" s="21"/>
      <c r="G339" s="21"/>
      <c r="H339" s="3"/>
    </row>
    <row r="340" spans="1:8" x14ac:dyDescent="0.25">
      <c r="A340" s="20">
        <v>31564</v>
      </c>
      <c r="B340" s="21"/>
      <c r="C340" s="21">
        <v>17.670000000000002</v>
      </c>
      <c r="D340" s="21">
        <v>15.5</v>
      </c>
      <c r="E340" s="21"/>
      <c r="F340" s="21"/>
      <c r="G340" s="21"/>
      <c r="H340" s="3"/>
    </row>
    <row r="341" spans="1:8" x14ac:dyDescent="0.25">
      <c r="A341" s="20">
        <v>31594</v>
      </c>
      <c r="B341" s="21"/>
      <c r="C341" s="21">
        <v>17.48</v>
      </c>
      <c r="D341" s="21">
        <v>15.5</v>
      </c>
      <c r="E341" s="21"/>
      <c r="F341" s="21"/>
      <c r="G341" s="21"/>
      <c r="H341" s="3"/>
    </row>
    <row r="342" spans="1:8" x14ac:dyDescent="0.25">
      <c r="A342" s="20">
        <v>31625</v>
      </c>
      <c r="B342" s="21"/>
      <c r="C342" s="21">
        <v>18.3</v>
      </c>
      <c r="D342" s="21">
        <v>15.5</v>
      </c>
      <c r="E342" s="21"/>
      <c r="F342" s="21"/>
      <c r="G342" s="21"/>
      <c r="H342" s="3"/>
    </row>
    <row r="343" spans="1:8" x14ac:dyDescent="0.25">
      <c r="A343" s="20">
        <v>31656</v>
      </c>
      <c r="B343" s="21"/>
      <c r="C343" s="21">
        <v>18.98</v>
      </c>
      <c r="D343" s="21">
        <v>15.5</v>
      </c>
      <c r="E343" s="21"/>
      <c r="F343" s="21"/>
      <c r="G343" s="21"/>
      <c r="H343" s="3"/>
    </row>
    <row r="344" spans="1:8" x14ac:dyDescent="0.25">
      <c r="A344" s="20">
        <v>31686</v>
      </c>
      <c r="B344" s="21"/>
      <c r="C344" s="21">
        <v>18.98</v>
      </c>
      <c r="D344" s="21">
        <v>15.5</v>
      </c>
      <c r="E344" s="21"/>
      <c r="F344" s="21"/>
      <c r="G344" s="21"/>
      <c r="H344" s="3"/>
    </row>
    <row r="345" spans="1:8" x14ac:dyDescent="0.25">
      <c r="A345" s="20">
        <v>31717</v>
      </c>
      <c r="B345" s="21"/>
      <c r="C345" s="21">
        <v>18.86</v>
      </c>
      <c r="D345" s="21">
        <v>15.5</v>
      </c>
      <c r="E345" s="21"/>
      <c r="F345" s="21"/>
      <c r="G345" s="21"/>
      <c r="H345" s="3"/>
    </row>
    <row r="346" spans="1:8" x14ac:dyDescent="0.25">
      <c r="A346" s="20">
        <v>31747</v>
      </c>
      <c r="B346" s="21"/>
      <c r="C346" s="21">
        <v>18.55</v>
      </c>
      <c r="D346" s="21">
        <v>15.5</v>
      </c>
      <c r="E346" s="21"/>
      <c r="F346" s="21"/>
      <c r="G346" s="21"/>
      <c r="H346" s="3"/>
    </row>
    <row r="347" spans="1:8" x14ac:dyDescent="0.25">
      <c r="A347" s="20">
        <v>31778</v>
      </c>
      <c r="B347" s="21"/>
      <c r="C347" s="21">
        <v>18.23</v>
      </c>
      <c r="D347" s="21">
        <v>15.5</v>
      </c>
      <c r="E347" s="21"/>
      <c r="F347" s="21"/>
      <c r="G347" s="21"/>
      <c r="H347" s="3"/>
    </row>
    <row r="348" spans="1:8" x14ac:dyDescent="0.25">
      <c r="A348" s="20">
        <v>31809</v>
      </c>
      <c r="B348" s="21"/>
      <c r="C348" s="21">
        <v>18.670000000000002</v>
      </c>
      <c r="D348" s="21">
        <v>15.5</v>
      </c>
      <c r="E348" s="21"/>
      <c r="F348" s="21"/>
      <c r="G348" s="21"/>
      <c r="H348" s="3"/>
    </row>
    <row r="349" spans="1:8" x14ac:dyDescent="0.25">
      <c r="A349" s="20">
        <v>31837</v>
      </c>
      <c r="B349" s="21"/>
      <c r="C349" s="21">
        <v>18.8</v>
      </c>
      <c r="D349" s="21">
        <v>15.5</v>
      </c>
      <c r="E349" s="21"/>
      <c r="F349" s="21"/>
      <c r="G349" s="21"/>
      <c r="H349" s="3"/>
    </row>
    <row r="350" spans="1:8" x14ac:dyDescent="0.25">
      <c r="A350" s="20">
        <v>31868</v>
      </c>
      <c r="B350" s="21"/>
      <c r="C350" s="21">
        <v>18.3</v>
      </c>
      <c r="D350" s="21">
        <v>15.5</v>
      </c>
      <c r="E350" s="21"/>
      <c r="F350" s="21"/>
      <c r="G350" s="21"/>
      <c r="H350" s="3"/>
    </row>
    <row r="351" spans="1:8" x14ac:dyDescent="0.25">
      <c r="A351" s="20">
        <v>31898</v>
      </c>
      <c r="B351" s="21"/>
      <c r="C351" s="21">
        <v>17.55</v>
      </c>
      <c r="D351" s="21">
        <v>15.5</v>
      </c>
      <c r="E351" s="21"/>
      <c r="F351" s="21"/>
      <c r="G351" s="21"/>
      <c r="H351" s="3"/>
    </row>
    <row r="352" spans="1:8" x14ac:dyDescent="0.25">
      <c r="A352" s="20">
        <v>31929</v>
      </c>
      <c r="B352" s="21"/>
      <c r="C352" s="21">
        <v>17.11</v>
      </c>
      <c r="D352" s="21">
        <v>15.5</v>
      </c>
      <c r="E352" s="21"/>
      <c r="F352" s="21"/>
      <c r="G352" s="21"/>
      <c r="H352" s="3"/>
    </row>
    <row r="353" spans="1:8" x14ac:dyDescent="0.25">
      <c r="A353" s="20">
        <v>31959</v>
      </c>
      <c r="B353" s="21"/>
      <c r="C353" s="21">
        <v>16.73</v>
      </c>
      <c r="D353" s="21">
        <v>15.5</v>
      </c>
      <c r="E353" s="21"/>
      <c r="F353" s="21"/>
      <c r="G353" s="21"/>
      <c r="H353" s="3"/>
    </row>
    <row r="354" spans="1:8" x14ac:dyDescent="0.25">
      <c r="A354" s="20">
        <v>31990</v>
      </c>
      <c r="B354" s="21"/>
      <c r="C354" s="21">
        <v>16.05</v>
      </c>
      <c r="D354" s="21">
        <v>15.06</v>
      </c>
      <c r="E354" s="21"/>
      <c r="F354" s="21"/>
      <c r="G354" s="21"/>
      <c r="H354" s="3"/>
    </row>
    <row r="355" spans="1:8" x14ac:dyDescent="0.25">
      <c r="A355" s="20">
        <v>32021</v>
      </c>
      <c r="B355" s="21"/>
      <c r="C355" s="21">
        <v>15.55</v>
      </c>
      <c r="D355" s="21">
        <v>14.75</v>
      </c>
      <c r="E355" s="21"/>
      <c r="F355" s="21"/>
      <c r="G355" s="21"/>
      <c r="H355" s="3"/>
    </row>
    <row r="356" spans="1:8" x14ac:dyDescent="0.25">
      <c r="A356" s="20">
        <v>32051</v>
      </c>
      <c r="B356" s="21"/>
      <c r="C356" s="21">
        <v>14.92</v>
      </c>
      <c r="D356" s="21">
        <v>14.5</v>
      </c>
      <c r="E356" s="21"/>
      <c r="F356" s="21"/>
      <c r="G356" s="21"/>
      <c r="H356" s="3"/>
    </row>
    <row r="357" spans="1:8" x14ac:dyDescent="0.25">
      <c r="A357" s="20">
        <v>32082</v>
      </c>
      <c r="B357" s="21"/>
      <c r="C357" s="21">
        <v>14.92</v>
      </c>
      <c r="D357" s="21">
        <v>14.13</v>
      </c>
      <c r="E357" s="21"/>
      <c r="F357" s="21"/>
      <c r="G357" s="21"/>
      <c r="H357" s="3"/>
    </row>
    <row r="358" spans="1:8" x14ac:dyDescent="0.25">
      <c r="A358" s="20">
        <v>32112</v>
      </c>
      <c r="B358" s="21"/>
      <c r="C358" s="21">
        <v>14.92</v>
      </c>
      <c r="D358" s="21">
        <v>14</v>
      </c>
      <c r="E358" s="21"/>
      <c r="F358" s="21"/>
      <c r="G358" s="21"/>
      <c r="H358" s="3"/>
    </row>
    <row r="359" spans="1:8" x14ac:dyDescent="0.25">
      <c r="A359" s="20">
        <v>32143</v>
      </c>
      <c r="B359" s="21"/>
      <c r="C359" s="21">
        <v>14.55</v>
      </c>
      <c r="D359" s="21">
        <v>14</v>
      </c>
      <c r="E359" s="21"/>
      <c r="F359" s="21"/>
      <c r="G359" s="21"/>
      <c r="H359" s="3"/>
    </row>
    <row r="360" spans="1:8" x14ac:dyDescent="0.25">
      <c r="A360" s="20">
        <v>32174</v>
      </c>
      <c r="B360" s="21"/>
      <c r="C360" s="21">
        <v>14.55</v>
      </c>
      <c r="D360" s="21">
        <v>13.5</v>
      </c>
      <c r="E360" s="21"/>
      <c r="F360" s="21"/>
      <c r="G360" s="21"/>
      <c r="H360" s="3"/>
    </row>
    <row r="361" spans="1:8" x14ac:dyDescent="0.25">
      <c r="A361" s="20">
        <v>32203</v>
      </c>
      <c r="B361" s="21"/>
      <c r="C361" s="21">
        <v>14.42</v>
      </c>
      <c r="D361" s="21">
        <v>13.5</v>
      </c>
      <c r="E361" s="21"/>
      <c r="F361" s="21"/>
      <c r="G361" s="21"/>
      <c r="H361" s="3"/>
    </row>
    <row r="362" spans="1:8" x14ac:dyDescent="0.25">
      <c r="A362" s="20">
        <v>32234</v>
      </c>
      <c r="B362" s="21"/>
      <c r="C362" s="21">
        <v>14.48</v>
      </c>
      <c r="D362" s="21">
        <v>13.5</v>
      </c>
      <c r="E362" s="21"/>
      <c r="F362" s="21"/>
      <c r="G362" s="21"/>
      <c r="H362" s="3"/>
    </row>
    <row r="363" spans="1:8" x14ac:dyDescent="0.25">
      <c r="A363" s="20">
        <v>32264</v>
      </c>
      <c r="B363" s="21"/>
      <c r="C363" s="21">
        <v>14.73</v>
      </c>
      <c r="D363" s="21">
        <v>13.5</v>
      </c>
      <c r="E363" s="21"/>
      <c r="F363" s="21"/>
      <c r="G363" s="21"/>
      <c r="H363" s="3"/>
    </row>
    <row r="364" spans="1:8" x14ac:dyDescent="0.25">
      <c r="A364" s="20">
        <v>32295</v>
      </c>
      <c r="B364" s="21"/>
      <c r="C364" s="21">
        <v>15.48</v>
      </c>
      <c r="D364" s="21">
        <v>13.75</v>
      </c>
      <c r="E364" s="21"/>
      <c r="F364" s="21"/>
      <c r="G364" s="21"/>
      <c r="H364" s="3"/>
    </row>
    <row r="365" spans="1:8" x14ac:dyDescent="0.25">
      <c r="A365" s="20">
        <v>32325</v>
      </c>
      <c r="B365" s="21"/>
      <c r="C365" s="21">
        <v>15.67</v>
      </c>
      <c r="D365" s="21">
        <v>14.5</v>
      </c>
      <c r="E365" s="21"/>
      <c r="F365" s="21"/>
      <c r="G365" s="21"/>
      <c r="H365" s="3"/>
    </row>
    <row r="366" spans="1:8" x14ac:dyDescent="0.25">
      <c r="A366" s="20">
        <v>32356</v>
      </c>
      <c r="B366" s="21"/>
      <c r="C366" s="21">
        <v>15.67</v>
      </c>
      <c r="D366" s="21">
        <v>14.5</v>
      </c>
      <c r="E366" s="21"/>
      <c r="F366" s="21"/>
      <c r="G366" s="21"/>
      <c r="H366" s="3"/>
    </row>
    <row r="367" spans="1:8" x14ac:dyDescent="0.25">
      <c r="A367" s="20">
        <v>32387</v>
      </c>
      <c r="B367" s="21"/>
      <c r="C367" s="21">
        <v>16.23</v>
      </c>
      <c r="D367" s="21">
        <v>14.5</v>
      </c>
      <c r="E367" s="21"/>
      <c r="F367" s="21"/>
      <c r="G367" s="21"/>
      <c r="H367" s="3"/>
    </row>
    <row r="368" spans="1:8" x14ac:dyDescent="0.25">
      <c r="A368" s="20">
        <v>32417</v>
      </c>
      <c r="B368" s="21"/>
      <c r="C368" s="21">
        <v>16.420000000000002</v>
      </c>
      <c r="D368" s="21">
        <v>14.5</v>
      </c>
      <c r="E368" s="21"/>
      <c r="F368" s="21"/>
      <c r="G368" s="21"/>
      <c r="H368" s="3"/>
    </row>
    <row r="369" spans="1:8" x14ac:dyDescent="0.25">
      <c r="A369" s="20">
        <v>32448</v>
      </c>
      <c r="B369" s="21"/>
      <c r="C369" s="21">
        <v>16.8</v>
      </c>
      <c r="D369" s="21">
        <v>14.75</v>
      </c>
      <c r="E369" s="21"/>
      <c r="F369" s="21"/>
      <c r="G369" s="21"/>
      <c r="H369" s="3"/>
    </row>
    <row r="370" spans="1:8" x14ac:dyDescent="0.25">
      <c r="A370" s="20">
        <v>32478</v>
      </c>
      <c r="B370" s="21"/>
      <c r="C370" s="21">
        <v>16.920000000000002</v>
      </c>
      <c r="D370" s="21">
        <v>14.98</v>
      </c>
      <c r="E370" s="21"/>
      <c r="F370" s="21"/>
      <c r="G370" s="21"/>
      <c r="H370" s="3"/>
    </row>
    <row r="371" spans="1:8" x14ac:dyDescent="0.25">
      <c r="A371" s="20">
        <v>32509</v>
      </c>
      <c r="B371" s="21"/>
      <c r="C371" s="21">
        <v>17.420000000000002</v>
      </c>
      <c r="D371" s="21">
        <v>14.98</v>
      </c>
      <c r="E371" s="21"/>
      <c r="F371" s="21"/>
      <c r="G371" s="21"/>
      <c r="H371" s="3"/>
    </row>
    <row r="372" spans="1:8" x14ac:dyDescent="0.25">
      <c r="A372" s="20">
        <v>32540</v>
      </c>
      <c r="B372" s="21"/>
      <c r="C372" s="21">
        <v>18.55</v>
      </c>
      <c r="D372" s="21">
        <v>15.5</v>
      </c>
      <c r="E372" s="21"/>
      <c r="F372" s="21"/>
      <c r="G372" s="21"/>
      <c r="H372" s="3"/>
    </row>
    <row r="373" spans="1:8" x14ac:dyDescent="0.25">
      <c r="A373" s="20">
        <v>32568</v>
      </c>
      <c r="B373" s="21"/>
      <c r="C373" s="21">
        <v>19.11</v>
      </c>
      <c r="D373" s="21">
        <v>16</v>
      </c>
      <c r="E373" s="21"/>
      <c r="F373" s="21"/>
      <c r="G373" s="21"/>
      <c r="H373" s="3"/>
    </row>
    <row r="374" spans="1:8" x14ac:dyDescent="0.25">
      <c r="A374" s="20">
        <v>32599</v>
      </c>
      <c r="B374" s="21"/>
      <c r="C374" s="21">
        <v>19.3</v>
      </c>
      <c r="D374" s="21">
        <v>16</v>
      </c>
      <c r="E374" s="21"/>
      <c r="F374" s="21"/>
      <c r="G374" s="21"/>
      <c r="H374" s="3"/>
    </row>
    <row r="375" spans="1:8" x14ac:dyDescent="0.25">
      <c r="A375" s="20">
        <v>32629</v>
      </c>
      <c r="B375" s="21"/>
      <c r="C375" s="21">
        <v>19.920000000000002</v>
      </c>
      <c r="D375" s="21">
        <v>16</v>
      </c>
      <c r="E375" s="21"/>
      <c r="F375" s="21"/>
      <c r="G375" s="21"/>
      <c r="H375" s="3"/>
    </row>
    <row r="376" spans="1:8" x14ac:dyDescent="0.25">
      <c r="A376" s="20">
        <v>32660</v>
      </c>
      <c r="B376" s="21"/>
      <c r="C376" s="21">
        <v>20.3</v>
      </c>
      <c r="D376" s="21">
        <v>17</v>
      </c>
      <c r="E376" s="21"/>
      <c r="F376" s="21"/>
      <c r="G376" s="21"/>
      <c r="H376" s="3"/>
    </row>
    <row r="377" spans="1:8" x14ac:dyDescent="0.25">
      <c r="A377" s="20">
        <v>32690</v>
      </c>
      <c r="B377" s="21"/>
      <c r="C377" s="21">
        <v>20.67</v>
      </c>
      <c r="D377" s="21">
        <v>17</v>
      </c>
      <c r="E377" s="21"/>
      <c r="F377" s="21"/>
      <c r="G377" s="21"/>
      <c r="H377" s="3"/>
    </row>
    <row r="378" spans="1:8" x14ac:dyDescent="0.25">
      <c r="A378" s="20">
        <v>32721</v>
      </c>
      <c r="B378" s="21"/>
      <c r="C378" s="21">
        <v>20.67</v>
      </c>
      <c r="D378" s="21">
        <v>17</v>
      </c>
      <c r="E378" s="21"/>
      <c r="F378" s="21"/>
      <c r="G378" s="21"/>
      <c r="H378" s="3"/>
    </row>
    <row r="379" spans="1:8" x14ac:dyDescent="0.25">
      <c r="A379" s="20">
        <v>32752</v>
      </c>
      <c r="B379" s="21"/>
      <c r="C379" s="21">
        <v>20.98</v>
      </c>
      <c r="D379" s="21">
        <v>17</v>
      </c>
      <c r="E379" s="21"/>
      <c r="F379" s="21"/>
      <c r="G379" s="21"/>
      <c r="H379" s="3"/>
    </row>
    <row r="380" spans="1:8" x14ac:dyDescent="0.25">
      <c r="A380" s="20">
        <v>32782</v>
      </c>
      <c r="B380" s="21"/>
      <c r="C380" s="21">
        <v>21.05</v>
      </c>
      <c r="D380" s="21">
        <v>17</v>
      </c>
      <c r="E380" s="21"/>
      <c r="F380" s="21"/>
      <c r="G380" s="21"/>
      <c r="H380" s="3"/>
    </row>
    <row r="381" spans="1:8" x14ac:dyDescent="0.25">
      <c r="A381" s="20">
        <v>32813</v>
      </c>
      <c r="B381" s="21"/>
      <c r="C381" s="21">
        <v>21.05</v>
      </c>
      <c r="D381" s="21">
        <v>17</v>
      </c>
      <c r="E381" s="21"/>
      <c r="F381" s="21"/>
      <c r="G381" s="21"/>
      <c r="H381" s="3"/>
    </row>
    <row r="382" spans="1:8" x14ac:dyDescent="0.25">
      <c r="A382" s="20">
        <v>32843</v>
      </c>
      <c r="B382" s="21"/>
      <c r="C382" s="21">
        <v>21.05</v>
      </c>
      <c r="D382" s="21">
        <v>17</v>
      </c>
      <c r="E382" s="21"/>
      <c r="F382" s="21"/>
      <c r="G382" s="21"/>
      <c r="H382" s="3"/>
    </row>
    <row r="383" spans="1:8" x14ac:dyDescent="0.25">
      <c r="A383" s="20">
        <v>32874</v>
      </c>
      <c r="B383" s="21"/>
      <c r="C383" s="21">
        <v>20.92</v>
      </c>
      <c r="D383" s="21">
        <v>17</v>
      </c>
      <c r="E383" s="21"/>
      <c r="F383" s="21"/>
      <c r="G383" s="21"/>
      <c r="H383" s="3"/>
    </row>
    <row r="384" spans="1:8" x14ac:dyDescent="0.25">
      <c r="A384" s="20">
        <v>32905</v>
      </c>
      <c r="B384" s="21"/>
      <c r="C384" s="21">
        <v>20.36</v>
      </c>
      <c r="D384" s="21">
        <v>17</v>
      </c>
      <c r="E384" s="21"/>
      <c r="F384" s="21"/>
      <c r="G384" s="21"/>
      <c r="H384" s="3"/>
    </row>
    <row r="385" spans="1:8" x14ac:dyDescent="0.25">
      <c r="A385" s="20">
        <v>32933</v>
      </c>
      <c r="B385" s="21"/>
      <c r="C385" s="21">
        <v>20.3</v>
      </c>
      <c r="D385" s="21">
        <v>17</v>
      </c>
      <c r="E385" s="21"/>
      <c r="F385" s="21"/>
      <c r="G385" s="21"/>
      <c r="H385" s="3"/>
    </row>
    <row r="386" spans="1:8" x14ac:dyDescent="0.25">
      <c r="A386" s="20">
        <v>32964</v>
      </c>
      <c r="B386" s="21"/>
      <c r="C386" s="21">
        <v>19.3</v>
      </c>
      <c r="D386" s="21">
        <v>16.690000000000001</v>
      </c>
      <c r="E386" s="21"/>
      <c r="F386" s="21"/>
      <c r="G386" s="21"/>
      <c r="H386" s="3"/>
    </row>
    <row r="387" spans="1:8" x14ac:dyDescent="0.25">
      <c r="A387" s="20">
        <v>32994</v>
      </c>
      <c r="B387" s="21"/>
      <c r="C387" s="21">
        <v>18.920000000000002</v>
      </c>
      <c r="D387" s="21">
        <v>16.440000000000001</v>
      </c>
      <c r="E387" s="21"/>
      <c r="F387" s="21"/>
      <c r="G387" s="21"/>
      <c r="H387" s="3"/>
    </row>
    <row r="388" spans="1:8" x14ac:dyDescent="0.25">
      <c r="A388" s="20">
        <v>33025</v>
      </c>
      <c r="B388" s="21"/>
      <c r="C388" s="21">
        <v>18.920000000000002</v>
      </c>
      <c r="D388" s="21">
        <v>16.440000000000001</v>
      </c>
      <c r="E388" s="21"/>
      <c r="F388" s="21"/>
      <c r="G388" s="21"/>
      <c r="H388" s="3"/>
    </row>
    <row r="389" spans="1:8" x14ac:dyDescent="0.25">
      <c r="A389" s="20">
        <v>33055</v>
      </c>
      <c r="B389" s="21"/>
      <c r="C389" s="21">
        <v>18.670000000000002</v>
      </c>
      <c r="D389" s="21">
        <v>16.440000000000001</v>
      </c>
      <c r="E389" s="21"/>
      <c r="F389" s="21"/>
      <c r="G389" s="21"/>
      <c r="H389" s="3"/>
    </row>
    <row r="390" spans="1:8" x14ac:dyDescent="0.25">
      <c r="A390" s="20">
        <v>33086</v>
      </c>
      <c r="B390" s="21"/>
      <c r="C390" s="21">
        <v>17.86</v>
      </c>
      <c r="D390" s="21">
        <v>16.38</v>
      </c>
      <c r="E390" s="21"/>
      <c r="F390" s="21"/>
      <c r="G390" s="21"/>
      <c r="H390" s="3"/>
    </row>
    <row r="391" spans="1:8" x14ac:dyDescent="0.25">
      <c r="A391" s="20">
        <v>33117</v>
      </c>
      <c r="B391" s="21"/>
      <c r="C391" s="21">
        <v>17.23</v>
      </c>
      <c r="D391" s="21">
        <v>16.190000000000001</v>
      </c>
      <c r="E391" s="21"/>
      <c r="F391" s="21"/>
      <c r="G391" s="21">
        <v>15.5</v>
      </c>
      <c r="H391" s="3"/>
    </row>
    <row r="392" spans="1:8" x14ac:dyDescent="0.25">
      <c r="A392" s="20">
        <v>33147</v>
      </c>
      <c r="B392" s="21"/>
      <c r="C392" s="21">
        <v>16.36</v>
      </c>
      <c r="D392" s="21">
        <v>16</v>
      </c>
      <c r="E392" s="21"/>
      <c r="F392" s="21"/>
      <c r="G392" s="21">
        <v>15.13</v>
      </c>
      <c r="H392" s="3"/>
    </row>
    <row r="393" spans="1:8" x14ac:dyDescent="0.25">
      <c r="A393" s="20">
        <v>33178</v>
      </c>
      <c r="B393" s="21"/>
      <c r="C393" s="21">
        <v>16.11</v>
      </c>
      <c r="D393" s="21">
        <v>15.5</v>
      </c>
      <c r="E393" s="21"/>
      <c r="F393" s="21"/>
      <c r="G393" s="21">
        <v>14.58</v>
      </c>
      <c r="H393" s="3"/>
    </row>
    <row r="394" spans="1:8" x14ac:dyDescent="0.25">
      <c r="A394" s="20">
        <v>33208</v>
      </c>
      <c r="B394" s="21"/>
      <c r="C394" s="21">
        <v>16.11</v>
      </c>
      <c r="D394" s="21">
        <v>15.13</v>
      </c>
      <c r="E394" s="21"/>
      <c r="F394" s="21"/>
      <c r="G394" s="21">
        <v>14.52</v>
      </c>
      <c r="H394" s="3"/>
    </row>
    <row r="395" spans="1:8" x14ac:dyDescent="0.25">
      <c r="A395" s="20">
        <v>33239</v>
      </c>
      <c r="B395" s="21"/>
      <c r="C395" s="21">
        <v>15.8</v>
      </c>
      <c r="D395" s="21">
        <v>14.5</v>
      </c>
      <c r="E395" s="21"/>
      <c r="F395" s="21"/>
      <c r="G395" s="21">
        <v>14.25</v>
      </c>
      <c r="H395" s="3"/>
    </row>
    <row r="396" spans="1:8" x14ac:dyDescent="0.25">
      <c r="A396" s="20">
        <v>33270</v>
      </c>
      <c r="B396" s="21"/>
      <c r="C396" s="21">
        <v>15.61</v>
      </c>
      <c r="D396" s="21">
        <v>14.5</v>
      </c>
      <c r="E396" s="21"/>
      <c r="F396" s="21"/>
      <c r="G396" s="21">
        <v>14.33</v>
      </c>
      <c r="H396" s="3"/>
    </row>
    <row r="397" spans="1:8" x14ac:dyDescent="0.25">
      <c r="A397" s="20">
        <v>33298</v>
      </c>
      <c r="B397" s="21"/>
      <c r="C397" s="21">
        <v>15.61</v>
      </c>
      <c r="D397" s="21">
        <v>14.5</v>
      </c>
      <c r="E397" s="21"/>
      <c r="F397" s="21"/>
      <c r="G397" s="21">
        <v>14.33</v>
      </c>
      <c r="H397" s="3"/>
    </row>
    <row r="398" spans="1:8" x14ac:dyDescent="0.25">
      <c r="A398" s="20">
        <v>33329</v>
      </c>
      <c r="B398" s="21"/>
      <c r="C398" s="21">
        <v>15.3</v>
      </c>
      <c r="D398" s="21">
        <v>14.38</v>
      </c>
      <c r="E398" s="21"/>
      <c r="F398" s="21"/>
      <c r="G398" s="21">
        <v>14.17</v>
      </c>
      <c r="H398" s="3"/>
    </row>
    <row r="399" spans="1:8" x14ac:dyDescent="0.25">
      <c r="A399" s="20">
        <v>33359</v>
      </c>
      <c r="B399" s="21"/>
      <c r="C399" s="21">
        <v>14.86</v>
      </c>
      <c r="D399" s="21">
        <v>13.88</v>
      </c>
      <c r="E399" s="21"/>
      <c r="F399" s="21"/>
      <c r="G399" s="21">
        <v>14.08</v>
      </c>
      <c r="H399" s="3"/>
    </row>
    <row r="400" spans="1:8" x14ac:dyDescent="0.25">
      <c r="A400" s="20">
        <v>33390</v>
      </c>
      <c r="B400" s="21"/>
      <c r="C400" s="21">
        <v>14.61</v>
      </c>
      <c r="D400" s="21">
        <v>13.19</v>
      </c>
      <c r="E400" s="21"/>
      <c r="F400" s="21"/>
      <c r="G400" s="21">
        <v>13.67</v>
      </c>
      <c r="H400" s="3"/>
    </row>
    <row r="401" spans="1:8" x14ac:dyDescent="0.25">
      <c r="A401" s="20">
        <v>33420</v>
      </c>
      <c r="B401" s="21"/>
      <c r="C401" s="21">
        <v>14.61</v>
      </c>
      <c r="D401" s="21">
        <v>13</v>
      </c>
      <c r="E401" s="21"/>
      <c r="F401" s="21"/>
      <c r="G401" s="21">
        <v>13.5</v>
      </c>
      <c r="H401" s="3"/>
    </row>
    <row r="402" spans="1:8" x14ac:dyDescent="0.25">
      <c r="A402" s="20">
        <v>33451</v>
      </c>
      <c r="B402" s="21"/>
      <c r="C402" s="21">
        <v>14.61</v>
      </c>
      <c r="D402" s="21">
        <v>13</v>
      </c>
      <c r="E402" s="21"/>
      <c r="F402" s="21"/>
      <c r="G402" s="21">
        <v>13.5</v>
      </c>
      <c r="H402" s="3"/>
    </row>
    <row r="403" spans="1:8" x14ac:dyDescent="0.25">
      <c r="A403" s="20">
        <v>33482</v>
      </c>
      <c r="B403" s="21"/>
      <c r="C403" s="21">
        <v>13.67</v>
      </c>
      <c r="D403" s="21">
        <v>13</v>
      </c>
      <c r="E403" s="21"/>
      <c r="F403" s="21"/>
      <c r="G403" s="21">
        <v>13.5</v>
      </c>
      <c r="H403" s="3"/>
    </row>
    <row r="404" spans="1:8" x14ac:dyDescent="0.25">
      <c r="A404" s="20">
        <v>33512</v>
      </c>
      <c r="B404" s="21"/>
      <c r="C404" s="21">
        <v>13.67</v>
      </c>
      <c r="D404" s="21">
        <v>12.5</v>
      </c>
      <c r="E404" s="21"/>
      <c r="F404" s="21"/>
      <c r="G404" s="21">
        <v>13.08</v>
      </c>
      <c r="H404" s="3"/>
    </row>
    <row r="405" spans="1:8" x14ac:dyDescent="0.25">
      <c r="A405" s="20">
        <v>33543</v>
      </c>
      <c r="B405" s="21"/>
      <c r="C405" s="21">
        <v>12.92</v>
      </c>
      <c r="D405" s="21">
        <v>12.5</v>
      </c>
      <c r="E405" s="21"/>
      <c r="F405" s="21"/>
      <c r="G405" s="21">
        <v>13.08</v>
      </c>
      <c r="H405" s="3"/>
    </row>
    <row r="406" spans="1:8" x14ac:dyDescent="0.25">
      <c r="A406" s="20">
        <v>33573</v>
      </c>
      <c r="B406" s="21"/>
      <c r="C406" s="21">
        <v>12.8</v>
      </c>
      <c r="D406" s="21">
        <v>12</v>
      </c>
      <c r="E406" s="21"/>
      <c r="F406" s="21"/>
      <c r="G406" s="21">
        <v>12.75</v>
      </c>
      <c r="H406" s="3"/>
    </row>
    <row r="407" spans="1:8" x14ac:dyDescent="0.25">
      <c r="A407" s="20">
        <v>33604</v>
      </c>
      <c r="B407" s="21"/>
      <c r="C407" s="21">
        <v>12.42</v>
      </c>
      <c r="D407" s="21">
        <v>11.75</v>
      </c>
      <c r="E407" s="21"/>
      <c r="F407" s="21"/>
      <c r="G407" s="21">
        <v>12.33</v>
      </c>
      <c r="H407" s="3"/>
    </row>
    <row r="408" spans="1:8" x14ac:dyDescent="0.25">
      <c r="A408" s="20">
        <v>33635</v>
      </c>
      <c r="B408" s="21"/>
      <c r="C408" s="21">
        <v>11.98</v>
      </c>
      <c r="D408" s="21">
        <v>11</v>
      </c>
      <c r="E408" s="21"/>
      <c r="F408" s="21"/>
      <c r="G408" s="21">
        <v>12.33</v>
      </c>
      <c r="H408" s="3"/>
    </row>
    <row r="409" spans="1:8" x14ac:dyDescent="0.25">
      <c r="A409" s="20">
        <v>33664</v>
      </c>
      <c r="B409" s="21"/>
      <c r="C409" s="21">
        <v>12.17</v>
      </c>
      <c r="D409" s="21">
        <v>11</v>
      </c>
      <c r="E409" s="21"/>
      <c r="F409" s="21"/>
      <c r="G409" s="21">
        <v>12.17</v>
      </c>
      <c r="H409" s="3"/>
    </row>
    <row r="410" spans="1:8" x14ac:dyDescent="0.25">
      <c r="A410" s="20">
        <v>33695</v>
      </c>
      <c r="B410" s="21"/>
      <c r="C410" s="21">
        <v>12.17</v>
      </c>
      <c r="D410" s="21">
        <v>11</v>
      </c>
      <c r="E410" s="21"/>
      <c r="F410" s="21"/>
      <c r="G410" s="21">
        <v>12.17</v>
      </c>
      <c r="H410" s="3"/>
    </row>
    <row r="411" spans="1:8" x14ac:dyDescent="0.25">
      <c r="A411" s="20">
        <v>33725</v>
      </c>
      <c r="B411" s="21"/>
      <c r="C411" s="21">
        <v>11.86</v>
      </c>
      <c r="D411" s="21">
        <v>11</v>
      </c>
      <c r="E411" s="21"/>
      <c r="F411" s="21"/>
      <c r="G411" s="21">
        <v>11.58</v>
      </c>
      <c r="H411" s="3"/>
    </row>
    <row r="412" spans="1:8" x14ac:dyDescent="0.25">
      <c r="A412" s="20">
        <v>33756</v>
      </c>
      <c r="B412" s="21"/>
      <c r="C412" s="21">
        <v>11.17</v>
      </c>
      <c r="D412" s="21">
        <v>10.38</v>
      </c>
      <c r="E412" s="21"/>
      <c r="F412" s="21"/>
      <c r="G412" s="21">
        <v>11.58</v>
      </c>
      <c r="H412" s="3"/>
    </row>
    <row r="413" spans="1:8" x14ac:dyDescent="0.25">
      <c r="A413" s="20">
        <v>33786</v>
      </c>
      <c r="B413" s="21"/>
      <c r="C413" s="21">
        <v>11.17</v>
      </c>
      <c r="D413" s="21">
        <v>10.3</v>
      </c>
      <c r="E413" s="21"/>
      <c r="F413" s="21"/>
      <c r="G413" s="21">
        <v>10.45</v>
      </c>
      <c r="H413" s="3"/>
    </row>
    <row r="414" spans="1:8" x14ac:dyDescent="0.25">
      <c r="A414" s="20">
        <v>33817</v>
      </c>
      <c r="B414" s="21"/>
      <c r="C414" s="21">
        <v>10.48</v>
      </c>
      <c r="D414" s="21">
        <v>9.98</v>
      </c>
      <c r="E414" s="21"/>
      <c r="F414" s="21"/>
      <c r="G414" s="21">
        <v>10.38</v>
      </c>
      <c r="H414" s="3"/>
    </row>
    <row r="415" spans="1:8" x14ac:dyDescent="0.25">
      <c r="A415" s="20">
        <v>33848</v>
      </c>
      <c r="B415" s="21"/>
      <c r="C415" s="21">
        <v>10.53</v>
      </c>
      <c r="D415" s="21">
        <v>9.92</v>
      </c>
      <c r="E415" s="21"/>
      <c r="F415" s="21"/>
      <c r="G415" s="21">
        <v>10.5</v>
      </c>
      <c r="H415" s="3"/>
    </row>
    <row r="416" spans="1:8" x14ac:dyDescent="0.25">
      <c r="A416" s="20">
        <v>33878</v>
      </c>
      <c r="B416" s="21"/>
      <c r="C416" s="21">
        <v>10.53</v>
      </c>
      <c r="D416" s="21">
        <v>9.92</v>
      </c>
      <c r="E416" s="21"/>
      <c r="F416" s="21"/>
      <c r="G416" s="21">
        <v>10.5</v>
      </c>
      <c r="H416" s="3"/>
    </row>
    <row r="417" spans="1:8" x14ac:dyDescent="0.25">
      <c r="A417" s="20">
        <v>33909</v>
      </c>
      <c r="B417" s="21"/>
      <c r="C417" s="21">
        <v>10.53</v>
      </c>
      <c r="D417" s="21">
        <v>9.92</v>
      </c>
      <c r="E417" s="21"/>
      <c r="F417" s="21"/>
      <c r="G417" s="21">
        <v>10.5</v>
      </c>
      <c r="H417" s="3"/>
    </row>
    <row r="418" spans="1:8" x14ac:dyDescent="0.25">
      <c r="A418" s="20">
        <v>33939</v>
      </c>
      <c r="B418" s="21"/>
      <c r="C418" s="21">
        <v>10.53</v>
      </c>
      <c r="D418" s="21">
        <v>9.92</v>
      </c>
      <c r="E418" s="21"/>
      <c r="F418" s="21"/>
      <c r="G418" s="21">
        <v>10.5</v>
      </c>
      <c r="H418" s="3"/>
    </row>
    <row r="419" spans="1:8" x14ac:dyDescent="0.25">
      <c r="A419" s="20">
        <v>33970</v>
      </c>
      <c r="B419" s="21"/>
      <c r="C419" s="21">
        <v>10.53</v>
      </c>
      <c r="D419" s="21">
        <v>9.92</v>
      </c>
      <c r="E419" s="21"/>
      <c r="F419" s="21"/>
      <c r="G419" s="21">
        <v>10.5</v>
      </c>
      <c r="H419" s="3"/>
    </row>
    <row r="420" spans="1:8" x14ac:dyDescent="0.25">
      <c r="A420" s="20">
        <v>34001</v>
      </c>
      <c r="B420" s="21"/>
      <c r="C420" s="21">
        <v>10.53</v>
      </c>
      <c r="D420" s="21">
        <v>9.92</v>
      </c>
      <c r="E420" s="21"/>
      <c r="F420" s="21"/>
      <c r="G420" s="21">
        <v>10.49</v>
      </c>
      <c r="H420" s="3"/>
    </row>
    <row r="421" spans="1:8" x14ac:dyDescent="0.25">
      <c r="A421" s="20">
        <v>34029</v>
      </c>
      <c r="B421" s="21"/>
      <c r="C421" s="21">
        <v>10.53</v>
      </c>
      <c r="D421" s="21">
        <v>9.92</v>
      </c>
      <c r="E421" s="21"/>
      <c r="F421" s="21"/>
      <c r="G421" s="21">
        <v>10.53</v>
      </c>
      <c r="H421" s="3"/>
    </row>
    <row r="422" spans="1:8" x14ac:dyDescent="0.25">
      <c r="A422" s="20">
        <v>34060</v>
      </c>
      <c r="B422" s="21"/>
      <c r="C422" s="21">
        <v>10.16</v>
      </c>
      <c r="D422" s="21">
        <v>9.7200000000000006</v>
      </c>
      <c r="E422" s="21"/>
      <c r="F422" s="21"/>
      <c r="G422" s="21">
        <v>10.220000000000001</v>
      </c>
      <c r="H422" s="3"/>
    </row>
    <row r="423" spans="1:8" x14ac:dyDescent="0.25">
      <c r="A423" s="20">
        <v>34090</v>
      </c>
      <c r="B423" s="21"/>
      <c r="C423" s="21">
        <v>10.029999999999999</v>
      </c>
      <c r="D423" s="21">
        <v>9.5</v>
      </c>
      <c r="E423" s="21"/>
      <c r="F423" s="21"/>
      <c r="G423" s="21">
        <v>9.84</v>
      </c>
      <c r="H423" s="3"/>
    </row>
    <row r="424" spans="1:8" x14ac:dyDescent="0.25">
      <c r="A424" s="20">
        <v>34121</v>
      </c>
      <c r="B424" s="21"/>
      <c r="C424" s="21">
        <v>10.01</v>
      </c>
      <c r="D424" s="21">
        <v>9.5</v>
      </c>
      <c r="E424" s="21"/>
      <c r="F424" s="21"/>
      <c r="G424" s="21">
        <v>9.7100000000000009</v>
      </c>
      <c r="H424" s="3"/>
    </row>
    <row r="425" spans="1:8" x14ac:dyDescent="0.25">
      <c r="A425" s="20">
        <v>34151</v>
      </c>
      <c r="B425" s="21"/>
      <c r="C425" s="21">
        <v>10.01</v>
      </c>
      <c r="D425" s="21">
        <v>9.5</v>
      </c>
      <c r="E425" s="21"/>
      <c r="F425" s="21"/>
      <c r="G425" s="21">
        <v>9.51</v>
      </c>
      <c r="H425" s="3"/>
    </row>
    <row r="426" spans="1:8" x14ac:dyDescent="0.25">
      <c r="A426" s="20">
        <v>34182</v>
      </c>
      <c r="B426" s="21"/>
      <c r="C426" s="21">
        <v>9.5299999999999994</v>
      </c>
      <c r="D426" s="21">
        <v>9.5</v>
      </c>
      <c r="E426" s="21"/>
      <c r="F426" s="21"/>
      <c r="G426" s="21">
        <v>9.1</v>
      </c>
      <c r="H426" s="3"/>
    </row>
    <row r="427" spans="1:8" x14ac:dyDescent="0.25">
      <c r="A427" s="20">
        <v>34213</v>
      </c>
      <c r="B427" s="21"/>
      <c r="C427" s="21">
        <v>9.5299999999999994</v>
      </c>
      <c r="D427" s="21">
        <v>8.9</v>
      </c>
      <c r="E427" s="21"/>
      <c r="F427" s="21"/>
      <c r="G427" s="21">
        <v>8.94</v>
      </c>
      <c r="H427" s="3"/>
    </row>
    <row r="428" spans="1:8" x14ac:dyDescent="0.25">
      <c r="A428" s="20">
        <v>34243</v>
      </c>
      <c r="B428" s="21"/>
      <c r="C428" s="21">
        <v>9.5299999999999994</v>
      </c>
      <c r="D428" s="21">
        <v>8.75</v>
      </c>
      <c r="E428" s="21"/>
      <c r="F428" s="21"/>
      <c r="G428" s="21">
        <v>8.92</v>
      </c>
      <c r="H428" s="3"/>
    </row>
    <row r="429" spans="1:8" x14ac:dyDescent="0.25">
      <c r="A429" s="20">
        <v>34274</v>
      </c>
      <c r="B429" s="21"/>
      <c r="C429" s="21">
        <v>9.5299999999999994</v>
      </c>
      <c r="D429" s="21">
        <v>8.75</v>
      </c>
      <c r="E429" s="21"/>
      <c r="F429" s="21"/>
      <c r="G429" s="21">
        <v>8.91</v>
      </c>
      <c r="H429" s="3"/>
    </row>
    <row r="430" spans="1:8" x14ac:dyDescent="0.25">
      <c r="A430" s="20">
        <v>34304</v>
      </c>
      <c r="B430" s="21"/>
      <c r="C430" s="21">
        <v>9.5299999999999994</v>
      </c>
      <c r="D430" s="21">
        <v>8.75</v>
      </c>
      <c r="E430" s="21"/>
      <c r="F430" s="21"/>
      <c r="G430" s="21">
        <v>8.9</v>
      </c>
      <c r="H430" s="3"/>
    </row>
    <row r="431" spans="1:8" x14ac:dyDescent="0.25">
      <c r="A431" s="20">
        <v>34335</v>
      </c>
      <c r="B431" s="21"/>
      <c r="C431" s="21">
        <v>9.5299999999999994</v>
      </c>
      <c r="D431" s="21">
        <v>8.75</v>
      </c>
      <c r="E431" s="21"/>
      <c r="F431" s="21"/>
      <c r="G431" s="21">
        <v>8.82</v>
      </c>
      <c r="H431" s="3"/>
    </row>
    <row r="432" spans="1:8" x14ac:dyDescent="0.25">
      <c r="A432" s="20">
        <v>34366</v>
      </c>
      <c r="B432" s="21"/>
      <c r="C432" s="21">
        <v>9.5299999999999994</v>
      </c>
      <c r="D432" s="21">
        <v>8.75</v>
      </c>
      <c r="E432" s="21"/>
      <c r="F432" s="21"/>
      <c r="G432" s="21">
        <v>8.75</v>
      </c>
      <c r="H432" s="3"/>
    </row>
    <row r="433" spans="1:8" x14ac:dyDescent="0.25">
      <c r="A433" s="20">
        <v>34394</v>
      </c>
      <c r="B433" s="21"/>
      <c r="C433" s="21">
        <v>9.5299999999999994</v>
      </c>
      <c r="D433" s="21">
        <v>8.75</v>
      </c>
      <c r="E433" s="21"/>
      <c r="F433" s="21"/>
      <c r="G433" s="21">
        <v>8.74</v>
      </c>
      <c r="H433" s="3"/>
    </row>
    <row r="434" spans="1:8" x14ac:dyDescent="0.25">
      <c r="A434" s="20">
        <v>34425</v>
      </c>
      <c r="B434" s="21"/>
      <c r="C434" s="21">
        <v>9.5299999999999994</v>
      </c>
      <c r="D434" s="21">
        <v>8.75</v>
      </c>
      <c r="E434" s="21"/>
      <c r="F434" s="21"/>
      <c r="G434" s="21">
        <v>9.1300000000000008</v>
      </c>
      <c r="H434" s="3"/>
    </row>
    <row r="435" spans="1:8" x14ac:dyDescent="0.25">
      <c r="A435" s="20">
        <v>34455</v>
      </c>
      <c r="B435" s="21"/>
      <c r="C435" s="21">
        <v>9.5299999999999994</v>
      </c>
      <c r="D435" s="21">
        <v>8.75</v>
      </c>
      <c r="E435" s="21"/>
      <c r="F435" s="21"/>
      <c r="G435" s="21">
        <v>9.26</v>
      </c>
      <c r="H435" s="3"/>
    </row>
    <row r="436" spans="1:8" x14ac:dyDescent="0.25">
      <c r="A436" s="20">
        <v>34486</v>
      </c>
      <c r="B436" s="21"/>
      <c r="C436" s="21">
        <v>9.5299999999999994</v>
      </c>
      <c r="D436" s="21">
        <v>8.75</v>
      </c>
      <c r="E436" s="21"/>
      <c r="F436" s="21"/>
      <c r="G436" s="21">
        <v>9.52</v>
      </c>
      <c r="H436" s="3"/>
    </row>
    <row r="437" spans="1:8" x14ac:dyDescent="0.25">
      <c r="A437" s="20">
        <v>34516</v>
      </c>
      <c r="B437" s="21"/>
      <c r="C437" s="21">
        <v>9.5299999999999994</v>
      </c>
      <c r="D437" s="21">
        <v>8.75</v>
      </c>
      <c r="E437" s="21"/>
      <c r="F437" s="21"/>
      <c r="G437" s="21">
        <v>10.17</v>
      </c>
      <c r="H437" s="3"/>
    </row>
    <row r="438" spans="1:8" x14ac:dyDescent="0.25">
      <c r="A438" s="20">
        <v>34547</v>
      </c>
      <c r="B438" s="21"/>
      <c r="C438" s="21">
        <v>9.5299999999999994</v>
      </c>
      <c r="D438" s="21">
        <v>8.75</v>
      </c>
      <c r="E438" s="21"/>
      <c r="F438" s="21"/>
      <c r="G438" s="21">
        <v>10.24</v>
      </c>
      <c r="H438" s="3"/>
    </row>
    <row r="439" spans="1:8" x14ac:dyDescent="0.25">
      <c r="A439" s="20">
        <v>34578</v>
      </c>
      <c r="B439" s="21"/>
      <c r="C439" s="21">
        <v>9.85</v>
      </c>
      <c r="D439" s="21">
        <v>9.0500000000000007</v>
      </c>
      <c r="E439" s="21"/>
      <c r="F439" s="21"/>
      <c r="G439" s="21">
        <v>10.46</v>
      </c>
      <c r="H439" s="3"/>
    </row>
    <row r="440" spans="1:8" x14ac:dyDescent="0.25">
      <c r="A440" s="20">
        <v>34608</v>
      </c>
      <c r="B440" s="21"/>
      <c r="C440" s="21">
        <v>10.02</v>
      </c>
      <c r="D440" s="21">
        <v>9.36</v>
      </c>
      <c r="E440" s="21"/>
      <c r="F440" s="21"/>
      <c r="G440" s="21">
        <v>10.53</v>
      </c>
      <c r="H440" s="3"/>
    </row>
    <row r="441" spans="1:8" x14ac:dyDescent="0.25">
      <c r="A441" s="20">
        <v>34639</v>
      </c>
      <c r="B441" s="21"/>
      <c r="C441" s="21">
        <v>10.41</v>
      </c>
      <c r="D441" s="21">
        <v>9.57</v>
      </c>
      <c r="E441" s="21"/>
      <c r="F441" s="21"/>
      <c r="G441" s="21">
        <v>10.71</v>
      </c>
      <c r="H441" s="3"/>
    </row>
    <row r="442" spans="1:8" x14ac:dyDescent="0.25">
      <c r="A442" s="20">
        <v>34669</v>
      </c>
      <c r="B442" s="21"/>
      <c r="C442" s="21">
        <v>10.91</v>
      </c>
      <c r="D442" s="21">
        <v>9.9700000000000006</v>
      </c>
      <c r="E442" s="21"/>
      <c r="F442" s="21"/>
      <c r="G442" s="21">
        <v>11.47</v>
      </c>
      <c r="H442" s="3"/>
    </row>
    <row r="443" spans="1:8" x14ac:dyDescent="0.25">
      <c r="A443" s="20">
        <v>34700</v>
      </c>
      <c r="B443" s="21"/>
      <c r="C443" s="21">
        <v>11.4</v>
      </c>
      <c r="D443" s="21">
        <v>10.56</v>
      </c>
      <c r="E443" s="21"/>
      <c r="F443" s="21"/>
      <c r="G443" s="21">
        <v>11.69</v>
      </c>
      <c r="H443" s="3"/>
    </row>
    <row r="444" spans="1:8" x14ac:dyDescent="0.25">
      <c r="A444" s="20">
        <v>34731</v>
      </c>
      <c r="B444" s="21"/>
      <c r="C444" s="21">
        <v>11.4</v>
      </c>
      <c r="D444" s="21">
        <v>10.56</v>
      </c>
      <c r="E444" s="21"/>
      <c r="F444" s="21"/>
      <c r="G444" s="21">
        <v>11.54</v>
      </c>
      <c r="H444" s="3"/>
    </row>
    <row r="445" spans="1:8" x14ac:dyDescent="0.25">
      <c r="A445" s="20">
        <v>34759</v>
      </c>
      <c r="B445" s="21"/>
      <c r="C445" s="21">
        <v>11.33</v>
      </c>
      <c r="D445" s="21">
        <v>10.56</v>
      </c>
      <c r="E445" s="21"/>
      <c r="F445" s="21"/>
      <c r="G445" s="21">
        <v>11.31</v>
      </c>
      <c r="H445" s="3"/>
    </row>
    <row r="446" spans="1:8" x14ac:dyDescent="0.25">
      <c r="A446" s="20">
        <v>34790</v>
      </c>
      <c r="B446" s="21"/>
      <c r="C446" s="21">
        <v>11.33</v>
      </c>
      <c r="D446" s="21">
        <v>10.56</v>
      </c>
      <c r="E446" s="21"/>
      <c r="F446" s="21"/>
      <c r="G446" s="21">
        <v>11</v>
      </c>
      <c r="H446" s="3"/>
    </row>
    <row r="447" spans="1:8" x14ac:dyDescent="0.25">
      <c r="A447" s="20">
        <v>34820</v>
      </c>
      <c r="B447" s="21"/>
      <c r="C447" s="21">
        <v>11.33</v>
      </c>
      <c r="D447" s="21">
        <v>10.56</v>
      </c>
      <c r="E447" s="21"/>
      <c r="F447" s="21"/>
      <c r="G447" s="21">
        <v>10.23</v>
      </c>
      <c r="H447" s="3"/>
    </row>
    <row r="448" spans="1:8" x14ac:dyDescent="0.25">
      <c r="A448" s="20">
        <v>34851</v>
      </c>
      <c r="B448" s="21"/>
      <c r="C448" s="21">
        <v>11.33</v>
      </c>
      <c r="D448" s="21">
        <v>10.49</v>
      </c>
      <c r="E448" s="21"/>
      <c r="F448" s="21"/>
      <c r="G448" s="21">
        <v>9.74</v>
      </c>
      <c r="H448" s="3"/>
    </row>
    <row r="449" spans="1:8" x14ac:dyDescent="0.25">
      <c r="A449" s="20">
        <v>34881</v>
      </c>
      <c r="B449" s="21"/>
      <c r="C449" s="21">
        <v>11.33</v>
      </c>
      <c r="D449" s="21">
        <v>10.49</v>
      </c>
      <c r="E449" s="21"/>
      <c r="F449" s="21"/>
      <c r="G449" s="21">
        <v>9.7899999999999991</v>
      </c>
      <c r="H449" s="3"/>
    </row>
    <row r="450" spans="1:8" x14ac:dyDescent="0.25">
      <c r="A450" s="20">
        <v>34912</v>
      </c>
      <c r="B450" s="21"/>
      <c r="C450" s="21">
        <v>11.33</v>
      </c>
      <c r="D450" s="21">
        <v>10.49</v>
      </c>
      <c r="E450" s="21"/>
      <c r="F450" s="21"/>
      <c r="G450" s="21">
        <v>9.82</v>
      </c>
      <c r="H450" s="3"/>
    </row>
    <row r="451" spans="1:8" x14ac:dyDescent="0.25">
      <c r="A451" s="20">
        <v>34943</v>
      </c>
      <c r="B451" s="21"/>
      <c r="C451" s="21">
        <v>11.33</v>
      </c>
      <c r="D451" s="21">
        <v>10.49</v>
      </c>
      <c r="E451" s="21"/>
      <c r="F451" s="21"/>
      <c r="G451" s="21">
        <v>9.56</v>
      </c>
      <c r="H451" s="3"/>
    </row>
    <row r="452" spans="1:8" x14ac:dyDescent="0.25">
      <c r="A452" s="20">
        <v>34973</v>
      </c>
      <c r="B452" s="21"/>
      <c r="C452" s="21">
        <v>11.33</v>
      </c>
      <c r="D452" s="21">
        <v>10.49</v>
      </c>
      <c r="E452" s="21"/>
      <c r="F452" s="21"/>
      <c r="G452" s="21">
        <v>9.43</v>
      </c>
      <c r="H452" s="3"/>
    </row>
    <row r="453" spans="1:8" x14ac:dyDescent="0.25">
      <c r="A453" s="20">
        <v>35004</v>
      </c>
      <c r="B453" s="21"/>
      <c r="C453" s="21">
        <v>11.33</v>
      </c>
      <c r="D453" s="21">
        <v>10.48</v>
      </c>
      <c r="E453" s="21"/>
      <c r="F453" s="21"/>
      <c r="G453" s="21">
        <v>9.56</v>
      </c>
      <c r="H453" s="3"/>
    </row>
    <row r="454" spans="1:8" x14ac:dyDescent="0.25">
      <c r="A454" s="20">
        <v>35034</v>
      </c>
      <c r="B454" s="21"/>
      <c r="C454" s="21">
        <v>11.4</v>
      </c>
      <c r="D454" s="21">
        <v>10.48</v>
      </c>
      <c r="E454" s="21"/>
      <c r="F454" s="21"/>
      <c r="G454" s="21">
        <v>9.5</v>
      </c>
      <c r="H454" s="3"/>
    </row>
    <row r="455" spans="1:8" x14ac:dyDescent="0.25">
      <c r="A455" s="20">
        <v>35065</v>
      </c>
      <c r="B455" s="21"/>
      <c r="C455" s="21">
        <v>11.43</v>
      </c>
      <c r="D455" s="21">
        <v>10.48</v>
      </c>
      <c r="E455" s="21"/>
      <c r="F455" s="21"/>
      <c r="G455" s="21">
        <v>9.5</v>
      </c>
      <c r="H455" s="3"/>
    </row>
    <row r="456" spans="1:8" x14ac:dyDescent="0.25">
      <c r="A456" s="20">
        <v>35096</v>
      </c>
      <c r="B456" s="21"/>
      <c r="C456" s="21">
        <v>11.48</v>
      </c>
      <c r="D456" s="21">
        <v>10.48</v>
      </c>
      <c r="E456" s="21"/>
      <c r="F456" s="21"/>
      <c r="G456" s="21">
        <v>9.3800000000000008</v>
      </c>
      <c r="H456" s="3"/>
    </row>
    <row r="457" spans="1:8" x14ac:dyDescent="0.25">
      <c r="A457" s="20">
        <v>35125</v>
      </c>
      <c r="B457" s="21"/>
      <c r="C457" s="21">
        <v>11.48</v>
      </c>
      <c r="D457" s="21">
        <v>10.48</v>
      </c>
      <c r="E457" s="21"/>
      <c r="F457" s="21"/>
      <c r="G457" s="21">
        <v>9.39</v>
      </c>
      <c r="H457" s="3"/>
    </row>
    <row r="458" spans="1:8" x14ac:dyDescent="0.25">
      <c r="A458" s="20">
        <v>35156</v>
      </c>
      <c r="B458" s="21">
        <v>10.5</v>
      </c>
      <c r="C458" s="21">
        <v>11.48</v>
      </c>
      <c r="D458" s="21">
        <v>10.48</v>
      </c>
      <c r="E458" s="21"/>
      <c r="F458" s="21"/>
      <c r="G458" s="21">
        <v>9.57</v>
      </c>
      <c r="H458" s="3"/>
    </row>
    <row r="459" spans="1:8" x14ac:dyDescent="0.25">
      <c r="A459" s="20">
        <v>35186</v>
      </c>
      <c r="B459" s="21">
        <v>10.5</v>
      </c>
      <c r="C459" s="21">
        <v>11.48</v>
      </c>
      <c r="D459" s="21">
        <v>10.48</v>
      </c>
      <c r="E459" s="21"/>
      <c r="F459" s="21"/>
      <c r="G459" s="21">
        <v>9.56</v>
      </c>
      <c r="H459" s="3"/>
    </row>
    <row r="460" spans="1:8" x14ac:dyDescent="0.25">
      <c r="A460" s="20">
        <v>35217</v>
      </c>
      <c r="B460" s="21">
        <v>10.5</v>
      </c>
      <c r="C460" s="21">
        <v>11.48</v>
      </c>
      <c r="D460" s="21">
        <v>9.91</v>
      </c>
      <c r="E460" s="21"/>
      <c r="F460" s="21"/>
      <c r="G460" s="21">
        <v>9.59</v>
      </c>
      <c r="H460" s="3"/>
    </row>
    <row r="461" spans="1:8" x14ac:dyDescent="0.25">
      <c r="A461" s="20">
        <v>35247</v>
      </c>
      <c r="B461" s="21">
        <v>10.5</v>
      </c>
      <c r="C461" s="21">
        <v>11.48</v>
      </c>
      <c r="D461" s="21">
        <v>9.91</v>
      </c>
      <c r="E461" s="21"/>
      <c r="F461" s="21"/>
      <c r="G461" s="21">
        <v>9.59</v>
      </c>
      <c r="H461" s="3"/>
    </row>
    <row r="462" spans="1:8" x14ac:dyDescent="0.25">
      <c r="A462" s="20">
        <v>35278</v>
      </c>
      <c r="B462" s="21">
        <v>9.4</v>
      </c>
      <c r="C462" s="21">
        <v>11.11</v>
      </c>
      <c r="D462" s="21">
        <v>9.61</v>
      </c>
      <c r="E462" s="21"/>
      <c r="F462" s="21"/>
      <c r="G462" s="21">
        <v>9.11</v>
      </c>
      <c r="H462" s="3"/>
    </row>
    <row r="463" spans="1:8" x14ac:dyDescent="0.25">
      <c r="A463" s="20">
        <v>35309</v>
      </c>
      <c r="B463" s="21">
        <v>9.4</v>
      </c>
      <c r="C463" s="21">
        <v>10.98</v>
      </c>
      <c r="D463" s="21">
        <v>9.2899999999999991</v>
      </c>
      <c r="E463" s="21"/>
      <c r="F463" s="21"/>
      <c r="G463" s="21">
        <v>8.76</v>
      </c>
      <c r="H463" s="3"/>
    </row>
    <row r="464" spans="1:8" x14ac:dyDescent="0.25">
      <c r="A464" s="20">
        <v>35339</v>
      </c>
      <c r="B464" s="21">
        <v>9.4</v>
      </c>
      <c r="C464" s="21">
        <v>10.98</v>
      </c>
      <c r="D464" s="21">
        <v>9.2899999999999991</v>
      </c>
      <c r="E464" s="21"/>
      <c r="F464" s="21"/>
      <c r="G464" s="21">
        <v>8.6199999999999992</v>
      </c>
      <c r="H464" s="3"/>
    </row>
    <row r="465" spans="1:8" x14ac:dyDescent="0.25">
      <c r="A465" s="20">
        <v>35370</v>
      </c>
      <c r="B465" s="21">
        <v>9.4</v>
      </c>
      <c r="C465" s="21">
        <v>10.98</v>
      </c>
      <c r="D465" s="21">
        <v>8.8800000000000008</v>
      </c>
      <c r="E465" s="21"/>
      <c r="F465" s="21"/>
      <c r="G465" s="21">
        <v>8.4700000000000006</v>
      </c>
      <c r="H465" s="3"/>
    </row>
    <row r="466" spans="1:8" x14ac:dyDescent="0.25">
      <c r="A466" s="20">
        <v>35400</v>
      </c>
      <c r="B466" s="21">
        <v>8.9499999999999993</v>
      </c>
      <c r="C466" s="21">
        <v>10.48</v>
      </c>
      <c r="D466" s="21">
        <v>8.48</v>
      </c>
      <c r="E466" s="21"/>
      <c r="F466" s="21"/>
      <c r="G466" s="21">
        <v>8.4</v>
      </c>
      <c r="H466" s="3"/>
    </row>
    <row r="467" spans="1:8" x14ac:dyDescent="0.25">
      <c r="A467" s="20">
        <v>35431</v>
      </c>
      <c r="B467" s="21">
        <v>8.4499999999999993</v>
      </c>
      <c r="C467" s="21">
        <v>9.98</v>
      </c>
      <c r="D467" s="21">
        <v>8.25</v>
      </c>
      <c r="E467" s="21"/>
      <c r="F467" s="21"/>
      <c r="G467" s="21">
        <v>8.24</v>
      </c>
      <c r="H467" s="3"/>
    </row>
    <row r="468" spans="1:8" x14ac:dyDescent="0.25">
      <c r="A468" s="20">
        <v>35462</v>
      </c>
      <c r="B468" s="21">
        <v>7.95</v>
      </c>
      <c r="C468" s="21">
        <v>9.5</v>
      </c>
      <c r="D468" s="21">
        <v>7.55</v>
      </c>
      <c r="E468" s="21"/>
      <c r="F468" s="21"/>
      <c r="G468" s="21">
        <v>8.14</v>
      </c>
      <c r="H468" s="3"/>
    </row>
    <row r="469" spans="1:8" x14ac:dyDescent="0.25">
      <c r="A469" s="20">
        <v>35490</v>
      </c>
      <c r="B469" s="21">
        <v>7.9</v>
      </c>
      <c r="C469" s="21">
        <v>9.5</v>
      </c>
      <c r="D469" s="21">
        <v>7.55</v>
      </c>
      <c r="E469" s="21"/>
      <c r="F469" s="21"/>
      <c r="G469" s="21">
        <v>8.2100000000000009</v>
      </c>
      <c r="H469" s="3"/>
    </row>
    <row r="470" spans="1:8" x14ac:dyDescent="0.25">
      <c r="A470" s="20">
        <v>35521</v>
      </c>
      <c r="B470" s="21">
        <v>7.8</v>
      </c>
      <c r="C470" s="21">
        <v>9.5</v>
      </c>
      <c r="D470" s="21">
        <v>7.55</v>
      </c>
      <c r="E470" s="21"/>
      <c r="F470" s="21"/>
      <c r="G470" s="21">
        <v>8.2899999999999991</v>
      </c>
      <c r="H470" s="3"/>
    </row>
    <row r="471" spans="1:8" x14ac:dyDescent="0.25">
      <c r="A471" s="20">
        <v>35551</v>
      </c>
      <c r="B471" s="21">
        <v>7.55</v>
      </c>
      <c r="C471" s="21">
        <v>9.36</v>
      </c>
      <c r="D471" s="21">
        <v>7.13</v>
      </c>
      <c r="E471" s="21"/>
      <c r="F471" s="21"/>
      <c r="G471" s="21">
        <v>8.31</v>
      </c>
      <c r="H471" s="3"/>
    </row>
    <row r="472" spans="1:8" x14ac:dyDescent="0.25">
      <c r="A472" s="20">
        <v>35582</v>
      </c>
      <c r="B472" s="21">
        <v>7.5</v>
      </c>
      <c r="C472" s="21">
        <v>9.23</v>
      </c>
      <c r="D472" s="21">
        <v>7.13</v>
      </c>
      <c r="E472" s="21"/>
      <c r="F472" s="21"/>
      <c r="G472" s="21">
        <v>7.68</v>
      </c>
      <c r="H472" s="3"/>
    </row>
    <row r="473" spans="1:8" x14ac:dyDescent="0.25">
      <c r="A473" s="20">
        <v>35612</v>
      </c>
      <c r="B473" s="21">
        <v>7.4</v>
      </c>
      <c r="C473" s="21">
        <v>9.0299999999999994</v>
      </c>
      <c r="D473" s="21">
        <v>7.05</v>
      </c>
      <c r="E473" s="21"/>
      <c r="F473" s="21"/>
      <c r="G473" s="21">
        <v>7.31</v>
      </c>
      <c r="H473" s="3"/>
    </row>
    <row r="474" spans="1:8" x14ac:dyDescent="0.25">
      <c r="A474" s="20">
        <v>35643</v>
      </c>
      <c r="B474" s="21">
        <v>7.3</v>
      </c>
      <c r="C474" s="21">
        <v>8.91</v>
      </c>
      <c r="D474" s="21">
        <v>6.74</v>
      </c>
      <c r="E474" s="21"/>
      <c r="F474" s="21"/>
      <c r="G474" s="21">
        <v>7.22</v>
      </c>
      <c r="H474" s="3"/>
    </row>
    <row r="475" spans="1:8" x14ac:dyDescent="0.25">
      <c r="A475" s="20">
        <v>35674</v>
      </c>
      <c r="B475" s="21">
        <v>7</v>
      </c>
      <c r="C475" s="21">
        <v>8.58</v>
      </c>
      <c r="D475" s="21">
        <v>6.74</v>
      </c>
      <c r="E475" s="21"/>
      <c r="F475" s="21"/>
      <c r="G475" s="21">
        <v>7.07</v>
      </c>
      <c r="H475" s="3"/>
    </row>
    <row r="476" spans="1:8" x14ac:dyDescent="0.25">
      <c r="A476" s="20">
        <v>35704</v>
      </c>
      <c r="B476" s="21">
        <v>7</v>
      </c>
      <c r="C476" s="21">
        <v>8.58</v>
      </c>
      <c r="D476" s="21">
        <v>6.74</v>
      </c>
      <c r="E476" s="21"/>
      <c r="F476" s="21"/>
      <c r="G476" s="21">
        <v>6.98</v>
      </c>
      <c r="H476" s="3"/>
    </row>
    <row r="477" spans="1:8" x14ac:dyDescent="0.25">
      <c r="A477" s="20">
        <v>35735</v>
      </c>
      <c r="B477" s="21">
        <v>7</v>
      </c>
      <c r="C477" s="21">
        <v>8.58</v>
      </c>
      <c r="D477" s="21">
        <v>6.74</v>
      </c>
      <c r="E477" s="21"/>
      <c r="F477" s="21"/>
      <c r="G477" s="21">
        <v>6.98</v>
      </c>
      <c r="H477" s="3"/>
    </row>
    <row r="478" spans="1:8" x14ac:dyDescent="0.25">
      <c r="A478" s="20">
        <v>35765</v>
      </c>
      <c r="B478" s="21">
        <v>7</v>
      </c>
      <c r="C478" s="21">
        <v>8.58</v>
      </c>
      <c r="D478" s="21">
        <v>6.74</v>
      </c>
      <c r="E478" s="21"/>
      <c r="F478" s="21"/>
      <c r="G478" s="21">
        <v>6.98</v>
      </c>
      <c r="H478" s="3"/>
    </row>
    <row r="479" spans="1:8" x14ac:dyDescent="0.25">
      <c r="A479" s="20">
        <v>35796</v>
      </c>
      <c r="B479" s="21">
        <v>7</v>
      </c>
      <c r="C479" s="21">
        <v>8.58</v>
      </c>
      <c r="D479" s="21">
        <v>6.74</v>
      </c>
      <c r="E479" s="21"/>
      <c r="F479" s="21"/>
      <c r="G479" s="21">
        <v>6.66</v>
      </c>
      <c r="H479" s="3"/>
    </row>
    <row r="480" spans="1:8" x14ac:dyDescent="0.25">
      <c r="A480" s="20">
        <v>35827</v>
      </c>
      <c r="B480" s="21">
        <v>7</v>
      </c>
      <c r="C480" s="21">
        <v>8.58</v>
      </c>
      <c r="D480" s="21">
        <v>6.74</v>
      </c>
      <c r="E480" s="21"/>
      <c r="F480" s="21"/>
      <c r="G480" s="21">
        <v>6.78</v>
      </c>
      <c r="H480" s="3"/>
    </row>
    <row r="481" spans="1:8" x14ac:dyDescent="0.25">
      <c r="A481" s="20">
        <v>35855</v>
      </c>
      <c r="B481" s="21">
        <v>7</v>
      </c>
      <c r="C481" s="21">
        <v>8.1999999999999993</v>
      </c>
      <c r="D481" s="21">
        <v>6.74</v>
      </c>
      <c r="E481" s="21"/>
      <c r="F481" s="21"/>
      <c r="G481" s="21">
        <v>6.81</v>
      </c>
      <c r="H481" s="3"/>
    </row>
    <row r="482" spans="1:8" x14ac:dyDescent="0.25">
      <c r="A482" s="20">
        <v>35886</v>
      </c>
      <c r="B482" s="21">
        <v>7</v>
      </c>
      <c r="C482" s="21">
        <v>7.95</v>
      </c>
      <c r="D482" s="21">
        <v>6.74</v>
      </c>
      <c r="E482" s="21"/>
      <c r="F482" s="21"/>
      <c r="G482" s="21">
        <v>6.77</v>
      </c>
      <c r="H482" s="3"/>
    </row>
    <row r="483" spans="1:8" x14ac:dyDescent="0.25">
      <c r="A483" s="20">
        <v>35916</v>
      </c>
      <c r="B483" s="21">
        <v>6.89</v>
      </c>
      <c r="C483" s="21">
        <v>7.95</v>
      </c>
      <c r="D483" s="21">
        <v>6.74</v>
      </c>
      <c r="E483" s="21"/>
      <c r="F483" s="21"/>
      <c r="G483" s="21">
        <v>6.73</v>
      </c>
      <c r="H483" s="3"/>
    </row>
    <row r="484" spans="1:8" x14ac:dyDescent="0.25">
      <c r="A484" s="20">
        <v>35947</v>
      </c>
      <c r="B484" s="21">
        <v>6.89</v>
      </c>
      <c r="C484" s="21">
        <v>7.95</v>
      </c>
      <c r="D484" s="21">
        <v>6.74</v>
      </c>
      <c r="E484" s="21"/>
      <c r="F484" s="21"/>
      <c r="G484" s="21">
        <v>6.85</v>
      </c>
      <c r="H484" s="3"/>
    </row>
    <row r="485" spans="1:8" x14ac:dyDescent="0.25">
      <c r="A485" s="20">
        <v>35977</v>
      </c>
      <c r="B485" s="21">
        <v>6.89</v>
      </c>
      <c r="C485" s="21">
        <v>7.95</v>
      </c>
      <c r="D485" s="21">
        <v>6.74</v>
      </c>
      <c r="E485" s="21"/>
      <c r="F485" s="21"/>
      <c r="G485" s="21">
        <v>6.85</v>
      </c>
      <c r="H485" s="3"/>
    </row>
    <row r="486" spans="1:8" x14ac:dyDescent="0.25">
      <c r="A486" s="20">
        <v>36008</v>
      </c>
      <c r="B486" s="21">
        <v>6.89</v>
      </c>
      <c r="C486" s="21">
        <v>7.95</v>
      </c>
      <c r="D486" s="21">
        <v>6.74</v>
      </c>
      <c r="E486" s="21"/>
      <c r="F486" s="21"/>
      <c r="G486" s="21">
        <v>6.83</v>
      </c>
      <c r="H486" s="3"/>
    </row>
    <row r="487" spans="1:8" x14ac:dyDescent="0.25">
      <c r="A487" s="20">
        <v>36039</v>
      </c>
      <c r="B487" s="21">
        <v>6.89</v>
      </c>
      <c r="C487" s="21">
        <v>7.95</v>
      </c>
      <c r="D487" s="21">
        <v>6.74</v>
      </c>
      <c r="E487" s="21"/>
      <c r="F487" s="21"/>
      <c r="G487" s="21">
        <v>6.64</v>
      </c>
      <c r="H487" s="3"/>
    </row>
    <row r="488" spans="1:8" x14ac:dyDescent="0.25">
      <c r="A488" s="20">
        <v>36069</v>
      </c>
      <c r="B488" s="21">
        <v>6.89</v>
      </c>
      <c r="C488" s="21">
        <v>7.95</v>
      </c>
      <c r="D488" s="21">
        <v>6.74</v>
      </c>
      <c r="E488" s="21"/>
      <c r="F488" s="21"/>
      <c r="G488" s="21">
        <v>6.48</v>
      </c>
      <c r="H488" s="3"/>
    </row>
    <row r="489" spans="1:8" x14ac:dyDescent="0.25">
      <c r="A489" s="20">
        <v>36100</v>
      </c>
      <c r="B489" s="21">
        <v>6.89</v>
      </c>
      <c r="C489" s="21">
        <v>7.95</v>
      </c>
      <c r="D489" s="21">
        <v>6.74</v>
      </c>
      <c r="E489" s="21"/>
      <c r="F489" s="21"/>
      <c r="G489" s="21">
        <v>6.48</v>
      </c>
      <c r="H489" s="3"/>
    </row>
    <row r="490" spans="1:8" x14ac:dyDescent="0.25">
      <c r="A490" s="20">
        <v>36130</v>
      </c>
      <c r="B490" s="21">
        <v>6.71</v>
      </c>
      <c r="C490" s="21">
        <v>7.77</v>
      </c>
      <c r="D490" s="21">
        <v>6.52</v>
      </c>
      <c r="E490" s="21"/>
      <c r="F490" s="21"/>
      <c r="G490" s="21">
        <v>6.44</v>
      </c>
      <c r="H490" s="3"/>
    </row>
    <row r="491" spans="1:8" x14ac:dyDescent="0.25">
      <c r="A491" s="20">
        <v>36161</v>
      </c>
      <c r="B491" s="21">
        <v>6.63</v>
      </c>
      <c r="C491" s="21">
        <v>7.77</v>
      </c>
      <c r="D491" s="21">
        <v>6.52</v>
      </c>
      <c r="E491" s="21"/>
      <c r="F491" s="21"/>
      <c r="G491" s="21">
        <v>6.44</v>
      </c>
      <c r="H491" s="3"/>
    </row>
    <row r="492" spans="1:8" x14ac:dyDescent="0.25">
      <c r="A492" s="20">
        <v>36192</v>
      </c>
      <c r="B492" s="21">
        <v>6.63</v>
      </c>
      <c r="C492" s="21">
        <v>7.77</v>
      </c>
      <c r="D492" s="21">
        <v>6.52</v>
      </c>
      <c r="E492" s="21"/>
      <c r="F492" s="21"/>
      <c r="G492" s="21">
        <v>6.4</v>
      </c>
      <c r="H492" s="3"/>
    </row>
    <row r="493" spans="1:8" x14ac:dyDescent="0.25">
      <c r="A493" s="20">
        <v>36220</v>
      </c>
      <c r="B493" s="21">
        <v>6.63</v>
      </c>
      <c r="C493" s="21">
        <v>7.77</v>
      </c>
      <c r="D493" s="21">
        <v>6.52</v>
      </c>
      <c r="E493" s="21"/>
      <c r="F493" s="21"/>
      <c r="G493" s="21">
        <v>6.63</v>
      </c>
      <c r="H493" s="3"/>
    </row>
    <row r="494" spans="1:8" x14ac:dyDescent="0.25">
      <c r="A494" s="20">
        <v>36251</v>
      </c>
      <c r="B494" s="21">
        <v>6.63</v>
      </c>
      <c r="C494" s="21">
        <v>7.7</v>
      </c>
      <c r="D494" s="21">
        <v>6.52</v>
      </c>
      <c r="E494" s="21"/>
      <c r="F494" s="21"/>
      <c r="G494" s="21">
        <v>6.64</v>
      </c>
      <c r="H494" s="3"/>
    </row>
    <row r="495" spans="1:8" x14ac:dyDescent="0.25">
      <c r="A495" s="20">
        <v>36281</v>
      </c>
      <c r="B495" s="21">
        <v>6.63</v>
      </c>
      <c r="C495" s="21">
        <v>7.7</v>
      </c>
      <c r="D495" s="21">
        <v>6.52</v>
      </c>
      <c r="E495" s="21"/>
      <c r="F495" s="21"/>
      <c r="G495" s="21">
        <v>6.76</v>
      </c>
      <c r="H495" s="3"/>
    </row>
    <row r="496" spans="1:8" x14ac:dyDescent="0.25">
      <c r="A496" s="20">
        <v>36312</v>
      </c>
      <c r="B496" s="21">
        <v>6.63</v>
      </c>
      <c r="C496" s="21">
        <v>7.7</v>
      </c>
      <c r="D496" s="21">
        <v>6.52</v>
      </c>
      <c r="E496" s="21"/>
      <c r="F496" s="21"/>
      <c r="G496" s="21">
        <v>6.98</v>
      </c>
      <c r="H496" s="3"/>
    </row>
    <row r="497" spans="1:8" x14ac:dyDescent="0.25">
      <c r="A497" s="20">
        <v>36342</v>
      </c>
      <c r="B497" s="21">
        <v>6.63</v>
      </c>
      <c r="C497" s="21">
        <v>7.7</v>
      </c>
      <c r="D497" s="21">
        <v>6.55</v>
      </c>
      <c r="E497" s="21"/>
      <c r="F497" s="21"/>
      <c r="G497" s="21">
        <v>6.94</v>
      </c>
      <c r="H497" s="3"/>
    </row>
    <row r="498" spans="1:8" x14ac:dyDescent="0.25">
      <c r="A498" s="20">
        <v>36373</v>
      </c>
      <c r="B498" s="21">
        <v>6.63</v>
      </c>
      <c r="C498" s="21">
        <v>7.7</v>
      </c>
      <c r="D498" s="21">
        <v>6.55</v>
      </c>
      <c r="E498" s="21"/>
      <c r="F498" s="21"/>
      <c r="G498" s="21">
        <v>7.15</v>
      </c>
      <c r="H498" s="3"/>
    </row>
    <row r="499" spans="1:8" x14ac:dyDescent="0.25">
      <c r="A499" s="20">
        <v>36404</v>
      </c>
      <c r="B499" s="21">
        <v>6.63</v>
      </c>
      <c r="C499" s="21">
        <v>7.7</v>
      </c>
      <c r="D499" s="21">
        <v>6.55</v>
      </c>
      <c r="E499" s="21"/>
      <c r="F499" s="21"/>
      <c r="G499" s="21">
        <v>7.3</v>
      </c>
      <c r="H499" s="3"/>
    </row>
    <row r="500" spans="1:8" x14ac:dyDescent="0.25">
      <c r="A500" s="20">
        <v>36434</v>
      </c>
      <c r="B500" s="21">
        <v>6.63</v>
      </c>
      <c r="C500" s="21">
        <v>7.7</v>
      </c>
      <c r="D500" s="21">
        <v>6.55</v>
      </c>
      <c r="E500" s="21"/>
      <c r="F500" s="21"/>
      <c r="G500" s="21">
        <v>7.5</v>
      </c>
      <c r="H500" s="3"/>
    </row>
    <row r="501" spans="1:8" x14ac:dyDescent="0.25">
      <c r="A501" s="20">
        <v>36465</v>
      </c>
      <c r="B501" s="21">
        <v>6.81</v>
      </c>
      <c r="C501" s="21">
        <v>7.89</v>
      </c>
      <c r="D501" s="21">
        <v>6.75</v>
      </c>
      <c r="E501" s="21"/>
      <c r="F501" s="21"/>
      <c r="G501" s="21">
        <v>7.53</v>
      </c>
      <c r="H501" s="3"/>
    </row>
    <row r="502" spans="1:8" x14ac:dyDescent="0.25">
      <c r="A502" s="20">
        <v>36495</v>
      </c>
      <c r="B502" s="21">
        <v>6.87</v>
      </c>
      <c r="C502" s="21">
        <v>7.95</v>
      </c>
      <c r="D502" s="21">
        <v>6.8</v>
      </c>
      <c r="E502" s="21"/>
      <c r="F502" s="21"/>
      <c r="G502" s="21">
        <v>7.44</v>
      </c>
      <c r="H502" s="3"/>
    </row>
    <row r="503" spans="1:8" x14ac:dyDescent="0.25">
      <c r="A503" s="20">
        <v>36526</v>
      </c>
      <c r="B503" s="21">
        <v>6.87</v>
      </c>
      <c r="C503" s="21">
        <v>8.01</v>
      </c>
      <c r="D503" s="21">
        <v>6.8</v>
      </c>
      <c r="E503" s="21"/>
      <c r="F503" s="21"/>
      <c r="G503" s="21">
        <v>7.72</v>
      </c>
      <c r="H503" s="3"/>
    </row>
    <row r="504" spans="1:8" x14ac:dyDescent="0.25">
      <c r="A504" s="20">
        <v>36557</v>
      </c>
      <c r="B504" s="21">
        <v>7.38</v>
      </c>
      <c r="C504" s="21">
        <v>8.51</v>
      </c>
      <c r="D504" s="21">
        <v>7.3</v>
      </c>
      <c r="E504" s="21"/>
      <c r="F504" s="21"/>
      <c r="G504" s="21">
        <v>7.96</v>
      </c>
      <c r="H504" s="3"/>
    </row>
    <row r="505" spans="1:8" x14ac:dyDescent="0.25">
      <c r="A505" s="20">
        <v>36586</v>
      </c>
      <c r="B505" s="21">
        <v>7.4</v>
      </c>
      <c r="C505" s="21">
        <v>8.5299999999999994</v>
      </c>
      <c r="D505" s="21">
        <v>7.3</v>
      </c>
      <c r="E505" s="21"/>
      <c r="F505" s="21"/>
      <c r="G505" s="21">
        <v>7.88</v>
      </c>
      <c r="H505" s="3"/>
    </row>
    <row r="506" spans="1:8" x14ac:dyDescent="0.25">
      <c r="A506" s="20">
        <v>36617</v>
      </c>
      <c r="B506" s="21">
        <v>7.65</v>
      </c>
      <c r="C506" s="21">
        <v>8.7799999999999994</v>
      </c>
      <c r="D506" s="21">
        <v>7.55</v>
      </c>
      <c r="E506" s="21"/>
      <c r="F506" s="21"/>
      <c r="G506" s="21">
        <v>7.86</v>
      </c>
      <c r="H506" s="3"/>
    </row>
    <row r="507" spans="1:8" x14ac:dyDescent="0.25">
      <c r="A507" s="20">
        <v>36647</v>
      </c>
      <c r="B507" s="21">
        <v>7.9</v>
      </c>
      <c r="C507" s="21">
        <v>9.09</v>
      </c>
      <c r="D507" s="21">
        <v>7.8</v>
      </c>
      <c r="E507" s="21"/>
      <c r="F507" s="21"/>
      <c r="G507" s="21">
        <v>7.9</v>
      </c>
      <c r="H507" s="3"/>
    </row>
    <row r="508" spans="1:8" x14ac:dyDescent="0.25">
      <c r="A508" s="20">
        <v>36678</v>
      </c>
      <c r="B508" s="21">
        <v>7.9</v>
      </c>
      <c r="C508" s="21">
        <v>9.09</v>
      </c>
      <c r="D508" s="21">
        <v>7.8</v>
      </c>
      <c r="E508" s="21"/>
      <c r="F508" s="21"/>
      <c r="G508" s="21">
        <v>7.75</v>
      </c>
      <c r="H508" s="3"/>
    </row>
    <row r="509" spans="1:8" x14ac:dyDescent="0.25">
      <c r="A509" s="20">
        <v>36708</v>
      </c>
      <c r="B509" s="21">
        <v>7.93</v>
      </c>
      <c r="C509" s="21">
        <v>9.14</v>
      </c>
      <c r="D509" s="21">
        <v>7.81</v>
      </c>
      <c r="E509" s="21"/>
      <c r="F509" s="21"/>
      <c r="G509" s="21">
        <v>7.62</v>
      </c>
      <c r="H509" s="3"/>
    </row>
    <row r="510" spans="1:8" x14ac:dyDescent="0.25">
      <c r="A510" s="20">
        <v>36739</v>
      </c>
      <c r="B510" s="21">
        <v>8.1999999999999993</v>
      </c>
      <c r="C510" s="21">
        <v>9.41</v>
      </c>
      <c r="D510" s="21">
        <v>8.07</v>
      </c>
      <c r="E510" s="21"/>
      <c r="F510" s="21"/>
      <c r="G510" s="21">
        <v>7.71</v>
      </c>
      <c r="H510" s="3"/>
    </row>
    <row r="511" spans="1:8" x14ac:dyDescent="0.25">
      <c r="A511" s="20">
        <v>36770</v>
      </c>
      <c r="B511" s="21">
        <v>8.1999999999999993</v>
      </c>
      <c r="C511" s="21">
        <v>9.43</v>
      </c>
      <c r="D511" s="21">
        <v>8.07</v>
      </c>
      <c r="E511" s="21"/>
      <c r="F511" s="21"/>
      <c r="G511" s="21">
        <v>7.72</v>
      </c>
      <c r="H511" s="3"/>
    </row>
    <row r="512" spans="1:8" x14ac:dyDescent="0.25">
      <c r="A512" s="20">
        <v>36800</v>
      </c>
      <c r="B512" s="21">
        <v>8.1999999999999993</v>
      </c>
      <c r="C512" s="21">
        <v>9.43</v>
      </c>
      <c r="D512" s="21">
        <v>8.07</v>
      </c>
      <c r="E512" s="21"/>
      <c r="F512" s="21"/>
      <c r="G512" s="21">
        <v>7.7</v>
      </c>
      <c r="H512" s="3"/>
    </row>
    <row r="513" spans="1:8" x14ac:dyDescent="0.25">
      <c r="A513" s="20">
        <v>36831</v>
      </c>
      <c r="B513" s="21">
        <v>8.1999999999999993</v>
      </c>
      <c r="C513" s="21">
        <v>9.43</v>
      </c>
      <c r="D513" s="21">
        <v>8.07</v>
      </c>
      <c r="E513" s="21"/>
      <c r="F513" s="21"/>
      <c r="G513" s="21">
        <v>7.65</v>
      </c>
      <c r="H513" s="3"/>
    </row>
    <row r="514" spans="1:8" x14ac:dyDescent="0.25">
      <c r="A514" s="20">
        <v>36861</v>
      </c>
      <c r="B514" s="21">
        <v>8.1999999999999993</v>
      </c>
      <c r="C514" s="21">
        <v>9.43</v>
      </c>
      <c r="D514" s="21">
        <v>8.07</v>
      </c>
      <c r="E514" s="21"/>
      <c r="F514" s="21"/>
      <c r="G514" s="21">
        <v>7.25</v>
      </c>
      <c r="H514" s="3"/>
    </row>
    <row r="515" spans="1:8" x14ac:dyDescent="0.25">
      <c r="A515" s="20">
        <v>36892</v>
      </c>
      <c r="B515" s="21">
        <v>8.1999999999999993</v>
      </c>
      <c r="C515" s="21">
        <v>9.43</v>
      </c>
      <c r="D515" s="21">
        <v>8.07</v>
      </c>
      <c r="E515" s="21"/>
      <c r="F515" s="21"/>
      <c r="G515" s="21">
        <v>6.93</v>
      </c>
      <c r="H515" s="3"/>
    </row>
    <row r="516" spans="1:8" x14ac:dyDescent="0.25">
      <c r="A516" s="20">
        <v>36923</v>
      </c>
      <c r="B516" s="21">
        <v>7.85</v>
      </c>
      <c r="C516" s="21">
        <v>9.18</v>
      </c>
      <c r="D516" s="21">
        <v>7.57</v>
      </c>
      <c r="E516" s="21"/>
      <c r="F516" s="21"/>
      <c r="G516" s="21">
        <v>6.7</v>
      </c>
      <c r="H516" s="3"/>
    </row>
    <row r="517" spans="1:8" x14ac:dyDescent="0.25">
      <c r="A517" s="20">
        <v>36951</v>
      </c>
      <c r="B517" s="21">
        <v>7.51</v>
      </c>
      <c r="C517" s="21">
        <v>8.7200000000000006</v>
      </c>
      <c r="D517" s="21">
        <v>7.32</v>
      </c>
      <c r="E517" s="21"/>
      <c r="F517" s="21"/>
      <c r="G517" s="21">
        <v>6.39</v>
      </c>
      <c r="H517" s="3"/>
    </row>
    <row r="518" spans="1:8" x14ac:dyDescent="0.25">
      <c r="A518" s="20">
        <v>36982</v>
      </c>
      <c r="B518" s="21">
        <v>7.14</v>
      </c>
      <c r="C518" s="21">
        <v>8.4700000000000006</v>
      </c>
      <c r="D518" s="21">
        <v>6.82</v>
      </c>
      <c r="E518" s="21"/>
      <c r="F518" s="21"/>
      <c r="G518" s="21">
        <v>6.37</v>
      </c>
      <c r="H518" s="3"/>
    </row>
    <row r="519" spans="1:8" x14ac:dyDescent="0.25">
      <c r="A519" s="20">
        <v>37012</v>
      </c>
      <c r="B519" s="21">
        <v>7.01</v>
      </c>
      <c r="C519" s="21">
        <v>8.2200000000000006</v>
      </c>
      <c r="D519" s="21">
        <v>6.82</v>
      </c>
      <c r="E519" s="21"/>
      <c r="F519" s="21"/>
      <c r="G519" s="21">
        <v>6.49</v>
      </c>
      <c r="H519" s="3"/>
    </row>
    <row r="520" spans="1:8" x14ac:dyDescent="0.25">
      <c r="A520" s="20">
        <v>37043</v>
      </c>
      <c r="B520" s="21">
        <v>7.01</v>
      </c>
      <c r="C520" s="21">
        <v>8.2200000000000006</v>
      </c>
      <c r="D520" s="21">
        <v>6.82</v>
      </c>
      <c r="E520" s="21"/>
      <c r="F520" s="21"/>
      <c r="G520" s="21">
        <v>6.57</v>
      </c>
      <c r="H520" s="3"/>
    </row>
    <row r="521" spans="1:8" x14ac:dyDescent="0.25">
      <c r="A521" s="20">
        <v>37073</v>
      </c>
      <c r="B521" s="21">
        <v>7.01</v>
      </c>
      <c r="C521" s="21">
        <v>8.2200000000000006</v>
      </c>
      <c r="D521" s="21">
        <v>6.82</v>
      </c>
      <c r="E521" s="21"/>
      <c r="F521" s="21"/>
      <c r="G521" s="21">
        <v>6.8</v>
      </c>
      <c r="H521" s="3"/>
    </row>
    <row r="522" spans="1:8" x14ac:dyDescent="0.25">
      <c r="A522" s="20">
        <v>37104</v>
      </c>
      <c r="B522" s="21">
        <v>7.01</v>
      </c>
      <c r="C522" s="21">
        <v>8.2200000000000006</v>
      </c>
      <c r="D522" s="21">
        <v>6.82</v>
      </c>
      <c r="E522" s="21"/>
      <c r="F522" s="21"/>
      <c r="G522" s="21">
        <v>6.78</v>
      </c>
      <c r="H522" s="3"/>
    </row>
    <row r="523" spans="1:8" x14ac:dyDescent="0.25">
      <c r="A523" s="20">
        <v>37135</v>
      </c>
      <c r="B523" s="21">
        <v>6.72</v>
      </c>
      <c r="C523" s="21">
        <v>8.0299999999999994</v>
      </c>
      <c r="D523" s="21">
        <v>6.57</v>
      </c>
      <c r="E523" s="21"/>
      <c r="F523" s="21"/>
      <c r="G523" s="21">
        <v>6.65</v>
      </c>
      <c r="H523" s="3"/>
    </row>
    <row r="524" spans="1:8" x14ac:dyDescent="0.25">
      <c r="A524" s="20">
        <v>37165</v>
      </c>
      <c r="B524" s="21">
        <v>6.47</v>
      </c>
      <c r="C524" s="21">
        <v>7.91</v>
      </c>
      <c r="D524" s="21">
        <v>6.32</v>
      </c>
      <c r="E524" s="21"/>
      <c r="F524" s="21"/>
      <c r="G524" s="21">
        <v>6.31</v>
      </c>
      <c r="H524" s="3"/>
    </row>
    <row r="525" spans="1:8" x14ac:dyDescent="0.25">
      <c r="A525" s="20">
        <v>37196</v>
      </c>
      <c r="B525" s="21">
        <v>6.47</v>
      </c>
      <c r="C525" s="21">
        <v>7.84</v>
      </c>
      <c r="D525" s="21">
        <v>6.32</v>
      </c>
      <c r="E525" s="21"/>
      <c r="F525" s="21"/>
      <c r="G525" s="21">
        <v>5.94</v>
      </c>
      <c r="H525" s="3"/>
    </row>
    <row r="526" spans="1:8" x14ac:dyDescent="0.25">
      <c r="A526" s="20">
        <v>37226</v>
      </c>
      <c r="B526" s="21">
        <v>6.29</v>
      </c>
      <c r="C526" s="21">
        <v>7.78</v>
      </c>
      <c r="D526" s="21">
        <v>6.07</v>
      </c>
      <c r="E526" s="21"/>
      <c r="F526" s="21"/>
      <c r="G526" s="21">
        <v>5.98</v>
      </c>
      <c r="H526" s="3"/>
    </row>
    <row r="527" spans="1:8" x14ac:dyDescent="0.25">
      <c r="A527" s="20">
        <v>37257</v>
      </c>
      <c r="B527" s="21">
        <v>6.29</v>
      </c>
      <c r="C527" s="21">
        <v>7.72</v>
      </c>
      <c r="D527" s="21">
        <v>6.07</v>
      </c>
      <c r="E527" s="21"/>
      <c r="F527" s="21"/>
      <c r="G527" s="21">
        <v>6.31</v>
      </c>
      <c r="H527" s="3"/>
    </row>
    <row r="528" spans="1:8" x14ac:dyDescent="0.25">
      <c r="A528" s="20">
        <v>37288</v>
      </c>
      <c r="B528" s="21">
        <v>6.24</v>
      </c>
      <c r="C528" s="21">
        <v>7.72</v>
      </c>
      <c r="D528" s="21">
        <v>6.07</v>
      </c>
      <c r="E528" s="21"/>
      <c r="F528" s="21"/>
      <c r="G528" s="21">
        <v>6.38</v>
      </c>
      <c r="H528" s="3"/>
    </row>
    <row r="529" spans="1:8" x14ac:dyDescent="0.25">
      <c r="A529" s="20">
        <v>37316</v>
      </c>
      <c r="B529" s="21">
        <v>6.24</v>
      </c>
      <c r="C529" s="21">
        <v>7.72</v>
      </c>
      <c r="D529" s="21">
        <v>6.07</v>
      </c>
      <c r="E529" s="21"/>
      <c r="F529" s="21"/>
      <c r="G529" s="21">
        <v>6.62</v>
      </c>
      <c r="H529" s="3"/>
    </row>
    <row r="530" spans="1:8" x14ac:dyDescent="0.25">
      <c r="A530" s="20">
        <v>37347</v>
      </c>
      <c r="B530" s="21">
        <v>6.24</v>
      </c>
      <c r="C530" s="21">
        <v>7.72</v>
      </c>
      <c r="D530" s="21">
        <v>6.07</v>
      </c>
      <c r="E530" s="21"/>
      <c r="F530" s="21"/>
      <c r="G530" s="21">
        <v>6.85</v>
      </c>
      <c r="H530" s="3"/>
    </row>
    <row r="531" spans="1:8" x14ac:dyDescent="0.25">
      <c r="A531" s="20">
        <v>37377</v>
      </c>
      <c r="B531" s="21">
        <v>6.49</v>
      </c>
      <c r="C531" s="21">
        <v>7.97</v>
      </c>
      <c r="D531" s="21">
        <v>6.32</v>
      </c>
      <c r="E531" s="21"/>
      <c r="F531" s="21"/>
      <c r="G531" s="21">
        <v>6.79</v>
      </c>
      <c r="H531" s="3"/>
    </row>
    <row r="532" spans="1:8" x14ac:dyDescent="0.25">
      <c r="A532" s="20">
        <v>37408</v>
      </c>
      <c r="B532" s="21">
        <v>6.74</v>
      </c>
      <c r="C532" s="21">
        <v>8.2200000000000006</v>
      </c>
      <c r="D532" s="21">
        <v>6.57</v>
      </c>
      <c r="E532" s="21"/>
      <c r="F532" s="21"/>
      <c r="G532" s="21">
        <v>6.91</v>
      </c>
      <c r="H532" s="3"/>
    </row>
    <row r="533" spans="1:8" x14ac:dyDescent="0.25">
      <c r="A533" s="20">
        <v>37438</v>
      </c>
      <c r="B533" s="21">
        <v>6.74</v>
      </c>
      <c r="C533" s="21">
        <v>8.2200000000000006</v>
      </c>
      <c r="D533" s="21">
        <v>6.57</v>
      </c>
      <c r="E533" s="21"/>
      <c r="F533" s="21"/>
      <c r="G533" s="21">
        <v>6.75</v>
      </c>
      <c r="H533" s="3"/>
    </row>
    <row r="534" spans="1:8" x14ac:dyDescent="0.25">
      <c r="A534" s="20">
        <v>37469</v>
      </c>
      <c r="B534" s="21">
        <v>6.74</v>
      </c>
      <c r="C534" s="21">
        <v>8.2200000000000006</v>
      </c>
      <c r="D534" s="21">
        <v>6.57</v>
      </c>
      <c r="E534" s="21"/>
      <c r="F534" s="21"/>
      <c r="G534" s="21">
        <v>6.57</v>
      </c>
      <c r="H534" s="3"/>
    </row>
    <row r="535" spans="1:8" x14ac:dyDescent="0.25">
      <c r="A535" s="20">
        <v>37500</v>
      </c>
      <c r="B535" s="21">
        <v>6.74</v>
      </c>
      <c r="C535" s="21">
        <v>8.2200000000000006</v>
      </c>
      <c r="D535" s="21">
        <v>6.57</v>
      </c>
      <c r="E535" s="21"/>
      <c r="F535" s="21"/>
      <c r="G535" s="21">
        <v>6.41</v>
      </c>
      <c r="H535" s="3"/>
    </row>
    <row r="536" spans="1:8" x14ac:dyDescent="0.25">
      <c r="A536" s="20">
        <v>37530</v>
      </c>
      <c r="B536" s="21">
        <v>6.74</v>
      </c>
      <c r="C536" s="21">
        <v>8.2200000000000006</v>
      </c>
      <c r="D536" s="21">
        <v>6.57</v>
      </c>
      <c r="E536" s="21"/>
      <c r="F536" s="21"/>
      <c r="G536" s="21">
        <v>6.39</v>
      </c>
      <c r="H536" s="3"/>
    </row>
    <row r="537" spans="1:8" x14ac:dyDescent="0.25">
      <c r="A537" s="20">
        <v>37561</v>
      </c>
      <c r="B537" s="21">
        <v>6.74</v>
      </c>
      <c r="C537" s="21">
        <v>8.2200000000000006</v>
      </c>
      <c r="D537" s="21">
        <v>6.57</v>
      </c>
      <c r="E537" s="21"/>
      <c r="F537" s="21"/>
      <c r="G537" s="21">
        <v>6.39</v>
      </c>
      <c r="H537" s="3"/>
    </row>
    <row r="538" spans="1:8" x14ac:dyDescent="0.25">
      <c r="A538" s="20">
        <v>37591</v>
      </c>
      <c r="B538" s="21">
        <v>6.74</v>
      </c>
      <c r="C538" s="21">
        <v>8.2200000000000006</v>
      </c>
      <c r="D538" s="21">
        <v>6.57</v>
      </c>
      <c r="E538" s="21"/>
      <c r="F538" s="21"/>
      <c r="G538" s="21">
        <v>6.39</v>
      </c>
      <c r="H538" s="3"/>
    </row>
    <row r="539" spans="1:8" x14ac:dyDescent="0.25">
      <c r="A539" s="20">
        <v>37622</v>
      </c>
      <c r="B539" s="21">
        <v>6.74</v>
      </c>
      <c r="C539" s="21">
        <v>8.2200000000000006</v>
      </c>
      <c r="D539" s="21">
        <v>6.57</v>
      </c>
      <c r="E539" s="21"/>
      <c r="F539" s="21"/>
      <c r="G539" s="21">
        <v>6.37</v>
      </c>
      <c r="H539" s="3"/>
    </row>
    <row r="540" spans="1:8" x14ac:dyDescent="0.25">
      <c r="A540" s="20">
        <v>37653</v>
      </c>
      <c r="B540" s="21">
        <v>6.74</v>
      </c>
      <c r="C540" s="21">
        <v>8.2200000000000006</v>
      </c>
      <c r="D540" s="21">
        <v>6.57</v>
      </c>
      <c r="E540" s="21"/>
      <c r="F540" s="21"/>
      <c r="G540" s="21">
        <v>6.17</v>
      </c>
      <c r="H540" s="3"/>
    </row>
    <row r="541" spans="1:8" x14ac:dyDescent="0.25">
      <c r="A541" s="20">
        <v>37681</v>
      </c>
      <c r="B541" s="21">
        <v>6.74</v>
      </c>
      <c r="C541" s="21">
        <v>8.2200000000000006</v>
      </c>
      <c r="D541" s="21">
        <v>6.57</v>
      </c>
      <c r="E541" s="21"/>
      <c r="F541" s="21"/>
      <c r="G541" s="21">
        <v>6.09</v>
      </c>
      <c r="H541" s="3"/>
    </row>
    <row r="542" spans="1:8" x14ac:dyDescent="0.25">
      <c r="A542" s="20">
        <v>37712</v>
      </c>
      <c r="B542" s="21">
        <v>6.74</v>
      </c>
      <c r="C542" s="21">
        <v>8.2200000000000006</v>
      </c>
      <c r="D542" s="21">
        <v>6.57</v>
      </c>
      <c r="E542" s="21"/>
      <c r="F542" s="21"/>
      <c r="G542" s="21">
        <v>6.09</v>
      </c>
      <c r="H542" s="3"/>
    </row>
    <row r="543" spans="1:8" x14ac:dyDescent="0.25">
      <c r="A543" s="20">
        <v>37742</v>
      </c>
      <c r="B543" s="21">
        <v>6.77</v>
      </c>
      <c r="C543" s="21">
        <v>8.2200000000000006</v>
      </c>
      <c r="D543" s="21">
        <v>6.57</v>
      </c>
      <c r="E543" s="21"/>
      <c r="F543" s="21"/>
      <c r="G543" s="21">
        <v>6.09</v>
      </c>
      <c r="H543" s="3"/>
    </row>
    <row r="544" spans="1:8" x14ac:dyDescent="0.25">
      <c r="A544" s="20">
        <v>37773</v>
      </c>
      <c r="B544" s="21">
        <v>6.77</v>
      </c>
      <c r="C544" s="21">
        <v>8.2200000000000006</v>
      </c>
      <c r="D544" s="21">
        <v>6.57</v>
      </c>
      <c r="E544" s="21"/>
      <c r="F544" s="21"/>
      <c r="G544" s="21">
        <v>5.9</v>
      </c>
      <c r="H544" s="3"/>
    </row>
    <row r="545" spans="1:8" x14ac:dyDescent="0.25">
      <c r="A545" s="20">
        <v>37803</v>
      </c>
      <c r="B545" s="21">
        <v>6.77</v>
      </c>
      <c r="C545" s="21">
        <v>8.2200000000000006</v>
      </c>
      <c r="D545" s="21">
        <v>6.57</v>
      </c>
      <c r="E545" s="21"/>
      <c r="F545" s="21"/>
      <c r="G545" s="21">
        <v>5.94</v>
      </c>
      <c r="H545" s="3"/>
    </row>
    <row r="546" spans="1:8" x14ac:dyDescent="0.25">
      <c r="A546" s="20">
        <v>37834</v>
      </c>
      <c r="B546" s="21">
        <v>6.77</v>
      </c>
      <c r="C546" s="21">
        <v>8.2200000000000006</v>
      </c>
      <c r="D546" s="21">
        <v>6.57</v>
      </c>
      <c r="E546" s="21"/>
      <c r="F546" s="21"/>
      <c r="G546" s="21">
        <v>6.15</v>
      </c>
      <c r="H546" s="3"/>
    </row>
    <row r="547" spans="1:8" x14ac:dyDescent="0.25">
      <c r="A547" s="20">
        <v>37865</v>
      </c>
      <c r="B547" s="21">
        <v>6.77</v>
      </c>
      <c r="C547" s="21">
        <v>8.2200000000000006</v>
      </c>
      <c r="D547" s="21">
        <v>6.57</v>
      </c>
      <c r="E547" s="21"/>
      <c r="F547" s="21"/>
      <c r="G547" s="21">
        <v>6.39</v>
      </c>
      <c r="H547" s="3"/>
    </row>
    <row r="548" spans="1:8" x14ac:dyDescent="0.25">
      <c r="A548" s="20">
        <v>37895</v>
      </c>
      <c r="B548" s="21">
        <v>6.77</v>
      </c>
      <c r="C548" s="21">
        <v>8.2200000000000006</v>
      </c>
      <c r="D548" s="21">
        <v>6.57</v>
      </c>
      <c r="E548" s="21"/>
      <c r="F548" s="21"/>
      <c r="G548" s="21">
        <v>6.55</v>
      </c>
      <c r="H548" s="3"/>
    </row>
    <row r="549" spans="1:8" x14ac:dyDescent="0.25">
      <c r="A549" s="20">
        <v>37926</v>
      </c>
      <c r="B549" s="21">
        <v>7.02</v>
      </c>
      <c r="C549" s="21">
        <v>8.41</v>
      </c>
      <c r="D549" s="21">
        <v>6.82</v>
      </c>
      <c r="E549" s="21"/>
      <c r="F549" s="21"/>
      <c r="G549" s="21">
        <v>6.98</v>
      </c>
      <c r="H549" s="3"/>
    </row>
    <row r="550" spans="1:8" x14ac:dyDescent="0.25">
      <c r="A550" s="20">
        <v>37956</v>
      </c>
      <c r="B550" s="21">
        <v>7.27</v>
      </c>
      <c r="C550" s="21">
        <v>8.7200000000000006</v>
      </c>
      <c r="D550" s="21">
        <v>7.07</v>
      </c>
      <c r="E550" s="21"/>
      <c r="F550" s="21"/>
      <c r="G550" s="21">
        <v>7.15</v>
      </c>
      <c r="H550" s="3"/>
    </row>
    <row r="551" spans="1:8" x14ac:dyDescent="0.25">
      <c r="A551" s="20">
        <v>37987</v>
      </c>
      <c r="B551" s="21">
        <v>7.27</v>
      </c>
      <c r="C551" s="21">
        <v>8.7200000000000006</v>
      </c>
      <c r="D551" s="21">
        <v>7.07</v>
      </c>
      <c r="E551" s="21"/>
      <c r="F551" s="21"/>
      <c r="G551" s="21">
        <v>7.06</v>
      </c>
      <c r="H551" s="3"/>
    </row>
    <row r="552" spans="1:8" x14ac:dyDescent="0.25">
      <c r="A552" s="20">
        <v>38018</v>
      </c>
      <c r="B552" s="21">
        <v>7.27</v>
      </c>
      <c r="C552" s="21">
        <v>8.7200000000000006</v>
      </c>
      <c r="D552" s="21">
        <v>7.07</v>
      </c>
      <c r="E552" s="21"/>
      <c r="F552" s="21"/>
      <c r="G552" s="21">
        <v>6.98</v>
      </c>
      <c r="H552" s="3"/>
    </row>
    <row r="553" spans="1:8" x14ac:dyDescent="0.25">
      <c r="A553" s="20">
        <v>38047</v>
      </c>
      <c r="B553" s="21">
        <v>7.27</v>
      </c>
      <c r="C553" s="21">
        <v>8.7200000000000006</v>
      </c>
      <c r="D553" s="21">
        <v>7.07</v>
      </c>
      <c r="E553" s="21"/>
      <c r="F553" s="21"/>
      <c r="G553" s="21">
        <v>6.97</v>
      </c>
      <c r="H553" s="3"/>
    </row>
    <row r="554" spans="1:8" x14ac:dyDescent="0.25">
      <c r="A554" s="20">
        <v>38078</v>
      </c>
      <c r="B554" s="21">
        <v>7.27</v>
      </c>
      <c r="C554" s="21">
        <v>8.7200000000000006</v>
      </c>
      <c r="D554" s="21">
        <v>7.07</v>
      </c>
      <c r="E554" s="21"/>
      <c r="F554" s="21"/>
      <c r="G554" s="21">
        <v>6.97</v>
      </c>
      <c r="H554" s="3"/>
    </row>
    <row r="555" spans="1:8" x14ac:dyDescent="0.25">
      <c r="A555" s="20">
        <v>38108</v>
      </c>
      <c r="B555" s="21">
        <v>7.27</v>
      </c>
      <c r="C555" s="21">
        <v>8.7200000000000006</v>
      </c>
      <c r="D555" s="21">
        <v>7.07</v>
      </c>
      <c r="E555" s="21"/>
      <c r="F555" s="21"/>
      <c r="G555" s="21">
        <v>6.97</v>
      </c>
      <c r="H555" s="3"/>
    </row>
    <row r="556" spans="1:8" x14ac:dyDescent="0.25">
      <c r="A556" s="20">
        <v>38139</v>
      </c>
      <c r="B556" s="21">
        <v>7.27</v>
      </c>
      <c r="C556" s="21">
        <v>8.7200000000000006</v>
      </c>
      <c r="D556" s="21">
        <v>7.07</v>
      </c>
      <c r="E556" s="21">
        <v>6.59</v>
      </c>
      <c r="F556" s="21"/>
      <c r="G556" s="21">
        <v>6.95</v>
      </c>
      <c r="H556" s="3"/>
    </row>
    <row r="557" spans="1:8" x14ac:dyDescent="0.25">
      <c r="A557" s="20">
        <v>38169</v>
      </c>
      <c r="B557" s="21">
        <v>7.27</v>
      </c>
      <c r="C557" s="21">
        <v>8.7200000000000006</v>
      </c>
      <c r="D557" s="21">
        <v>7.07</v>
      </c>
      <c r="E557" s="21">
        <v>6.59</v>
      </c>
      <c r="F557" s="21"/>
      <c r="G557" s="21">
        <v>6.95</v>
      </c>
      <c r="H557" s="3"/>
    </row>
    <row r="558" spans="1:8" x14ac:dyDescent="0.25">
      <c r="A558" s="20">
        <v>38200</v>
      </c>
      <c r="B558" s="21">
        <v>7.27</v>
      </c>
      <c r="C558" s="21">
        <v>8.7200000000000006</v>
      </c>
      <c r="D558" s="21">
        <v>7.07</v>
      </c>
      <c r="E558" s="21">
        <v>6.59</v>
      </c>
      <c r="F558" s="21"/>
      <c r="G558" s="21">
        <v>6.95</v>
      </c>
      <c r="H558" s="3"/>
    </row>
    <row r="559" spans="1:8" x14ac:dyDescent="0.25">
      <c r="A559" s="20">
        <v>38231</v>
      </c>
      <c r="B559" s="21">
        <v>7.27</v>
      </c>
      <c r="C559" s="21">
        <v>8.7200000000000006</v>
      </c>
      <c r="D559" s="21">
        <v>7.07</v>
      </c>
      <c r="E559" s="21">
        <v>6.59</v>
      </c>
      <c r="F559" s="21"/>
      <c r="G559" s="21">
        <v>6.84</v>
      </c>
      <c r="H559" s="3"/>
    </row>
    <row r="560" spans="1:8" x14ac:dyDescent="0.25">
      <c r="A560" s="20">
        <v>38261</v>
      </c>
      <c r="B560" s="21">
        <v>7.27</v>
      </c>
      <c r="C560" s="21">
        <v>8.7200000000000006</v>
      </c>
      <c r="D560" s="21">
        <v>7.07</v>
      </c>
      <c r="E560" s="21">
        <v>6.59</v>
      </c>
      <c r="F560" s="21"/>
      <c r="G560" s="21">
        <v>6.68</v>
      </c>
      <c r="H560" s="3"/>
    </row>
    <row r="561" spans="1:8" x14ac:dyDescent="0.25">
      <c r="A561" s="20">
        <v>38292</v>
      </c>
      <c r="B561" s="21">
        <v>7.27</v>
      </c>
      <c r="C561" s="21">
        <v>8.7200000000000006</v>
      </c>
      <c r="D561" s="21">
        <v>7.07</v>
      </c>
      <c r="E561" s="21">
        <v>6.59</v>
      </c>
      <c r="F561" s="21"/>
      <c r="G561" s="21">
        <v>6.66</v>
      </c>
      <c r="H561" s="3"/>
    </row>
    <row r="562" spans="1:8" x14ac:dyDescent="0.25">
      <c r="A562" s="20">
        <v>38322</v>
      </c>
      <c r="B562" s="21">
        <v>7.27</v>
      </c>
      <c r="C562" s="21">
        <v>8.7200000000000006</v>
      </c>
      <c r="D562" s="21">
        <v>7.07</v>
      </c>
      <c r="E562" s="21">
        <v>6.59</v>
      </c>
      <c r="F562" s="21"/>
      <c r="G562" s="21">
        <v>6.6</v>
      </c>
      <c r="H562" s="3"/>
    </row>
    <row r="563" spans="1:8" x14ac:dyDescent="0.25">
      <c r="A563" s="20">
        <v>38353</v>
      </c>
      <c r="B563" s="21">
        <v>7.27</v>
      </c>
      <c r="C563" s="21">
        <v>8.7200000000000006</v>
      </c>
      <c r="D563" s="21">
        <v>7.07</v>
      </c>
      <c r="E563" s="21">
        <v>6.59</v>
      </c>
      <c r="F563" s="21"/>
      <c r="G563" s="21">
        <v>6.6</v>
      </c>
      <c r="H563" s="3"/>
    </row>
    <row r="564" spans="1:8" x14ac:dyDescent="0.25">
      <c r="A564" s="20">
        <v>38384</v>
      </c>
      <c r="B564" s="21">
        <v>7.27</v>
      </c>
      <c r="C564" s="21">
        <v>8.7200000000000006</v>
      </c>
      <c r="D564" s="21">
        <v>7.07</v>
      </c>
      <c r="E564" s="21">
        <v>6.59</v>
      </c>
      <c r="F564" s="21"/>
      <c r="G564" s="21">
        <v>6.75</v>
      </c>
      <c r="H564" s="3"/>
    </row>
    <row r="565" spans="1:8" x14ac:dyDescent="0.25">
      <c r="A565" s="20">
        <v>38412</v>
      </c>
      <c r="B565" s="21">
        <v>7.52</v>
      </c>
      <c r="C565" s="21">
        <v>8.9700000000000006</v>
      </c>
      <c r="D565" s="21">
        <v>7.32</v>
      </c>
      <c r="E565" s="21">
        <v>6.82</v>
      </c>
      <c r="F565" s="21"/>
      <c r="G565" s="21">
        <v>6.92</v>
      </c>
      <c r="H565" s="3"/>
    </row>
    <row r="566" spans="1:8" x14ac:dyDescent="0.25">
      <c r="A566" s="20">
        <v>38443</v>
      </c>
      <c r="B566" s="21">
        <v>7.52</v>
      </c>
      <c r="C566" s="21">
        <v>8.9700000000000006</v>
      </c>
      <c r="D566" s="21">
        <v>7.32</v>
      </c>
      <c r="E566" s="21">
        <v>6.82</v>
      </c>
      <c r="F566" s="21"/>
      <c r="G566" s="21">
        <v>6.92</v>
      </c>
      <c r="H566" s="3"/>
    </row>
    <row r="567" spans="1:8" x14ac:dyDescent="0.25">
      <c r="A567" s="20">
        <v>38473</v>
      </c>
      <c r="B567" s="21">
        <v>7.52</v>
      </c>
      <c r="C567" s="21">
        <v>8.9700000000000006</v>
      </c>
      <c r="D567" s="21">
        <v>7.32</v>
      </c>
      <c r="E567" s="21">
        <v>6.78</v>
      </c>
      <c r="F567" s="21"/>
      <c r="G567" s="21">
        <v>6.86</v>
      </c>
      <c r="H567" s="3"/>
    </row>
    <row r="568" spans="1:8" x14ac:dyDescent="0.25">
      <c r="A568" s="20">
        <v>38504</v>
      </c>
      <c r="B568" s="21">
        <v>7.52</v>
      </c>
      <c r="C568" s="21">
        <v>8.9700000000000006</v>
      </c>
      <c r="D568" s="21">
        <v>7.32</v>
      </c>
      <c r="E568" s="21">
        <v>6.78</v>
      </c>
      <c r="F568" s="21"/>
      <c r="G568" s="21">
        <v>6.86</v>
      </c>
      <c r="H568" s="3"/>
    </row>
    <row r="569" spans="1:8" x14ac:dyDescent="0.25">
      <c r="A569" s="20">
        <v>38534</v>
      </c>
      <c r="B569" s="21">
        <v>7.52</v>
      </c>
      <c r="C569" s="21">
        <v>8.9700000000000006</v>
      </c>
      <c r="D569" s="21">
        <v>7.32</v>
      </c>
      <c r="E569" s="21">
        <v>6.7</v>
      </c>
      <c r="F569" s="21"/>
      <c r="G569" s="21">
        <v>6.86</v>
      </c>
      <c r="H569" s="3"/>
    </row>
    <row r="570" spans="1:8" x14ac:dyDescent="0.25">
      <c r="A570" s="20">
        <v>38565</v>
      </c>
      <c r="B570" s="21">
        <v>7.52</v>
      </c>
      <c r="C570" s="21">
        <v>8.9700000000000006</v>
      </c>
      <c r="D570" s="21">
        <v>7.32</v>
      </c>
      <c r="E570" s="21">
        <v>6.7</v>
      </c>
      <c r="F570" s="21"/>
      <c r="G570" s="21">
        <v>6.86</v>
      </c>
      <c r="H570" s="3"/>
    </row>
    <row r="571" spans="1:8" x14ac:dyDescent="0.25">
      <c r="A571" s="20">
        <v>38596</v>
      </c>
      <c r="B571" s="21">
        <v>7.52</v>
      </c>
      <c r="C571" s="21">
        <v>8.9700000000000006</v>
      </c>
      <c r="D571" s="21">
        <v>7.32</v>
      </c>
      <c r="E571" s="21">
        <v>6.68</v>
      </c>
      <c r="F571" s="21"/>
      <c r="G571" s="21">
        <v>6.56</v>
      </c>
      <c r="H571" s="3"/>
    </row>
    <row r="572" spans="1:8" x14ac:dyDescent="0.25">
      <c r="A572" s="20">
        <v>38626</v>
      </c>
      <c r="B572" s="21">
        <v>7.52</v>
      </c>
      <c r="C572" s="21">
        <v>8.9700000000000006</v>
      </c>
      <c r="D572" s="21">
        <v>7.32</v>
      </c>
      <c r="E572" s="21">
        <v>6.72</v>
      </c>
      <c r="F572" s="21"/>
      <c r="G572" s="21">
        <v>6.56</v>
      </c>
      <c r="H572" s="3"/>
    </row>
    <row r="573" spans="1:8" x14ac:dyDescent="0.25">
      <c r="A573" s="20">
        <v>38657</v>
      </c>
      <c r="B573" s="21">
        <v>7.52</v>
      </c>
      <c r="C573" s="21">
        <v>8.9700000000000006</v>
      </c>
      <c r="D573" s="21">
        <v>7.32</v>
      </c>
      <c r="E573" s="21">
        <v>6.72</v>
      </c>
      <c r="F573" s="21"/>
      <c r="G573" s="21">
        <v>6.66</v>
      </c>
      <c r="H573" s="3"/>
    </row>
    <row r="574" spans="1:8" x14ac:dyDescent="0.25">
      <c r="A574" s="20">
        <v>38687</v>
      </c>
      <c r="B574" s="21">
        <v>7.52</v>
      </c>
      <c r="C574" s="21">
        <v>8.9700000000000006</v>
      </c>
      <c r="D574" s="21">
        <v>7.32</v>
      </c>
      <c r="E574" s="21">
        <v>6.72</v>
      </c>
      <c r="F574" s="21"/>
      <c r="G574" s="21">
        <v>6.72</v>
      </c>
      <c r="H574" s="3"/>
    </row>
    <row r="575" spans="1:8" x14ac:dyDescent="0.25">
      <c r="A575" s="20">
        <v>38718</v>
      </c>
      <c r="B575" s="21">
        <v>7.55</v>
      </c>
      <c r="C575" s="21">
        <v>8.9700000000000006</v>
      </c>
      <c r="D575" s="21">
        <v>7.32</v>
      </c>
      <c r="E575" s="21">
        <v>6.72</v>
      </c>
      <c r="F575" s="21"/>
      <c r="G575" s="21">
        <v>6.69</v>
      </c>
      <c r="H575" s="3"/>
    </row>
    <row r="576" spans="1:8" x14ac:dyDescent="0.25">
      <c r="A576" s="20">
        <v>38749</v>
      </c>
      <c r="B576" s="21">
        <v>7.55</v>
      </c>
      <c r="C576" s="21">
        <v>8.9700000000000006</v>
      </c>
      <c r="D576" s="21">
        <v>7.32</v>
      </c>
      <c r="E576" s="21">
        <v>6.64</v>
      </c>
      <c r="F576" s="21"/>
      <c r="G576" s="21">
        <v>6.69</v>
      </c>
      <c r="H576" s="3"/>
    </row>
    <row r="577" spans="1:8" x14ac:dyDescent="0.25">
      <c r="A577" s="20">
        <v>38777</v>
      </c>
      <c r="B577" s="21">
        <v>7.55</v>
      </c>
      <c r="C577" s="21">
        <v>8.9700000000000006</v>
      </c>
      <c r="D577" s="21">
        <v>7.32</v>
      </c>
      <c r="E577" s="21">
        <v>6.64</v>
      </c>
      <c r="F577" s="21"/>
      <c r="G577" s="21">
        <v>6.65</v>
      </c>
      <c r="H577" s="3"/>
    </row>
    <row r="578" spans="1:8" x14ac:dyDescent="0.25">
      <c r="A578" s="20">
        <v>38808</v>
      </c>
      <c r="B578" s="21">
        <v>7.55</v>
      </c>
      <c r="C578" s="21">
        <v>8.9700000000000006</v>
      </c>
      <c r="D578" s="21">
        <v>7.32</v>
      </c>
      <c r="E578" s="21">
        <v>6.68</v>
      </c>
      <c r="F578" s="21"/>
      <c r="G578" s="21">
        <v>6.83</v>
      </c>
      <c r="H578" s="3"/>
    </row>
    <row r="579" spans="1:8" x14ac:dyDescent="0.25">
      <c r="A579" s="20">
        <v>38838</v>
      </c>
      <c r="B579" s="21">
        <v>7.8</v>
      </c>
      <c r="C579" s="21">
        <v>9.2200000000000006</v>
      </c>
      <c r="D579" s="21">
        <v>7.57</v>
      </c>
      <c r="E579" s="21">
        <v>6.93</v>
      </c>
      <c r="F579" s="21"/>
      <c r="G579" s="21">
        <v>7.01</v>
      </c>
      <c r="H579" s="3"/>
    </row>
    <row r="580" spans="1:8" x14ac:dyDescent="0.25">
      <c r="A580" s="20">
        <v>38869</v>
      </c>
      <c r="B580" s="21">
        <v>7.8</v>
      </c>
      <c r="C580" s="21">
        <v>9.2200000000000006</v>
      </c>
      <c r="D580" s="21">
        <v>7.57</v>
      </c>
      <c r="E580" s="21">
        <v>6.93</v>
      </c>
      <c r="F580" s="21"/>
      <c r="G580" s="21">
        <v>7.05</v>
      </c>
      <c r="H580" s="3"/>
    </row>
    <row r="581" spans="1:8" x14ac:dyDescent="0.25">
      <c r="A581" s="20">
        <v>38899</v>
      </c>
      <c r="B581" s="21">
        <v>7.8</v>
      </c>
      <c r="C581" s="21">
        <v>9.2200000000000006</v>
      </c>
      <c r="D581" s="21">
        <v>7.57</v>
      </c>
      <c r="E581" s="21">
        <v>6.97</v>
      </c>
      <c r="F581" s="21"/>
      <c r="G581" s="21">
        <v>7.2</v>
      </c>
      <c r="H581" s="3"/>
    </row>
    <row r="582" spans="1:8" x14ac:dyDescent="0.25">
      <c r="A582" s="20">
        <v>38930</v>
      </c>
      <c r="B582" s="21">
        <v>8.0500000000000007</v>
      </c>
      <c r="C582" s="21">
        <v>9.4700000000000006</v>
      </c>
      <c r="D582" s="21">
        <v>7.82</v>
      </c>
      <c r="E582" s="21">
        <v>7.22</v>
      </c>
      <c r="F582" s="21"/>
      <c r="G582" s="21">
        <v>7.32</v>
      </c>
      <c r="H582" s="3"/>
    </row>
    <row r="583" spans="1:8" x14ac:dyDescent="0.25">
      <c r="A583" s="20">
        <v>38961</v>
      </c>
      <c r="B583" s="21">
        <v>8.0500000000000007</v>
      </c>
      <c r="C583" s="21">
        <v>9.4700000000000006</v>
      </c>
      <c r="D583" s="21">
        <v>7.82</v>
      </c>
      <c r="E583" s="21">
        <v>7.22</v>
      </c>
      <c r="F583" s="21"/>
      <c r="G583" s="21">
        <v>7.27</v>
      </c>
      <c r="H583" s="3"/>
    </row>
    <row r="584" spans="1:8" x14ac:dyDescent="0.25">
      <c r="A584" s="20">
        <v>38991</v>
      </c>
      <c r="B584" s="21">
        <v>8.0500000000000007</v>
      </c>
      <c r="C584" s="21">
        <v>9.4700000000000006</v>
      </c>
      <c r="D584" s="21">
        <v>7.82</v>
      </c>
      <c r="E584" s="21">
        <v>7.22</v>
      </c>
      <c r="F584" s="21"/>
      <c r="G584" s="21">
        <v>7.24</v>
      </c>
      <c r="H584" s="3"/>
    </row>
    <row r="585" spans="1:8" x14ac:dyDescent="0.25">
      <c r="A585" s="20">
        <v>39022</v>
      </c>
      <c r="B585" s="21">
        <v>8.3000000000000007</v>
      </c>
      <c r="C585" s="21">
        <v>9.7200000000000006</v>
      </c>
      <c r="D585" s="21">
        <v>8.07</v>
      </c>
      <c r="E585" s="21">
        <v>7.43</v>
      </c>
      <c r="F585" s="21"/>
      <c r="G585" s="21">
        <v>7.23</v>
      </c>
      <c r="H585" s="3"/>
    </row>
    <row r="586" spans="1:8" x14ac:dyDescent="0.25">
      <c r="A586" s="20">
        <v>39052</v>
      </c>
      <c r="B586" s="21">
        <v>8.3000000000000007</v>
      </c>
      <c r="C586" s="21">
        <v>9.7200000000000006</v>
      </c>
      <c r="D586" s="21">
        <v>8.07</v>
      </c>
      <c r="E586" s="21">
        <v>7.47</v>
      </c>
      <c r="F586" s="21"/>
      <c r="G586" s="21">
        <v>7.26</v>
      </c>
      <c r="H586" s="3"/>
    </row>
    <row r="587" spans="1:8" x14ac:dyDescent="0.25">
      <c r="A587" s="20">
        <v>39083</v>
      </c>
      <c r="B587" s="21">
        <v>8.3000000000000007</v>
      </c>
      <c r="C587" s="21">
        <v>9.7200000000000006</v>
      </c>
      <c r="D587" s="21">
        <v>8.07</v>
      </c>
      <c r="E587" s="21">
        <v>7.47</v>
      </c>
      <c r="F587" s="21"/>
      <c r="G587" s="21">
        <v>7.3</v>
      </c>
      <c r="H587" s="3"/>
    </row>
    <row r="588" spans="1:8" x14ac:dyDescent="0.25">
      <c r="A588" s="20">
        <v>39114</v>
      </c>
      <c r="B588" s="21">
        <v>8.3000000000000007</v>
      </c>
      <c r="C588" s="21">
        <v>9.7200000000000006</v>
      </c>
      <c r="D588" s="21">
        <v>8.07</v>
      </c>
      <c r="E588" s="21">
        <v>7.47</v>
      </c>
      <c r="F588" s="21"/>
      <c r="G588" s="21">
        <v>7.3</v>
      </c>
      <c r="H588" s="3"/>
    </row>
    <row r="589" spans="1:8" x14ac:dyDescent="0.25">
      <c r="A589" s="20">
        <v>39142</v>
      </c>
      <c r="B589" s="21">
        <v>8.3000000000000007</v>
      </c>
      <c r="C589" s="21">
        <v>9.7200000000000006</v>
      </c>
      <c r="D589" s="21">
        <v>8.07</v>
      </c>
      <c r="E589" s="21">
        <v>7.47</v>
      </c>
      <c r="F589" s="21"/>
      <c r="G589" s="21">
        <v>7.3</v>
      </c>
      <c r="H589" s="3"/>
    </row>
    <row r="590" spans="1:8" x14ac:dyDescent="0.25">
      <c r="A590" s="20">
        <v>39173</v>
      </c>
      <c r="B590" s="21">
        <v>8.3000000000000007</v>
      </c>
      <c r="C590" s="21">
        <v>9.7200000000000006</v>
      </c>
      <c r="D590" s="21">
        <v>8.07</v>
      </c>
      <c r="E590" s="21">
        <v>7.47</v>
      </c>
      <c r="F590" s="21"/>
      <c r="G590" s="21">
        <v>7.45</v>
      </c>
      <c r="H590" s="3"/>
    </row>
    <row r="591" spans="1:8" x14ac:dyDescent="0.25">
      <c r="A591" s="20">
        <v>39203</v>
      </c>
      <c r="B591" s="21">
        <v>8.3000000000000007</v>
      </c>
      <c r="C591" s="21">
        <v>9.7200000000000006</v>
      </c>
      <c r="D591" s="21">
        <v>8.07</v>
      </c>
      <c r="E591" s="21">
        <v>7.47</v>
      </c>
      <c r="F591" s="21"/>
      <c r="G591" s="21">
        <v>7.44</v>
      </c>
      <c r="H591" s="3"/>
    </row>
    <row r="592" spans="1:8" x14ac:dyDescent="0.25">
      <c r="A592" s="20">
        <v>39234</v>
      </c>
      <c r="B592" s="21">
        <v>8.3000000000000007</v>
      </c>
      <c r="C592" s="21">
        <v>9.7200000000000006</v>
      </c>
      <c r="D592" s="21">
        <v>8.07</v>
      </c>
      <c r="E592" s="21">
        <v>7.47</v>
      </c>
      <c r="F592" s="21"/>
      <c r="G592" s="21">
        <v>7.51</v>
      </c>
      <c r="H592" s="3"/>
    </row>
    <row r="593" spans="1:8" x14ac:dyDescent="0.25">
      <c r="A593" s="20">
        <v>39264</v>
      </c>
      <c r="B593" s="21">
        <v>8.3000000000000007</v>
      </c>
      <c r="C593" s="21">
        <v>9.7200000000000006</v>
      </c>
      <c r="D593" s="21">
        <v>8.07</v>
      </c>
      <c r="E593" s="21">
        <v>7.47</v>
      </c>
      <c r="F593" s="21"/>
      <c r="G593" s="21">
        <v>7.69</v>
      </c>
      <c r="H593" s="3"/>
    </row>
    <row r="594" spans="1:8" x14ac:dyDescent="0.25">
      <c r="A594" s="20">
        <v>39295</v>
      </c>
      <c r="B594" s="21">
        <v>8.5500000000000007</v>
      </c>
      <c r="C594" s="21">
        <v>9.9700000000000006</v>
      </c>
      <c r="D594" s="21">
        <v>8.32</v>
      </c>
      <c r="E594" s="21">
        <v>7.72</v>
      </c>
      <c r="F594" s="21"/>
      <c r="G594" s="21">
        <v>7.81</v>
      </c>
      <c r="H594" s="3"/>
    </row>
    <row r="595" spans="1:8" x14ac:dyDescent="0.25">
      <c r="A595" s="20">
        <v>39326</v>
      </c>
      <c r="B595" s="21">
        <v>8.5500000000000007</v>
      </c>
      <c r="C595" s="21">
        <v>9.9700000000000006</v>
      </c>
      <c r="D595" s="21">
        <v>8.32</v>
      </c>
      <c r="E595" s="21">
        <v>7.72</v>
      </c>
      <c r="F595" s="21"/>
      <c r="G595" s="21">
        <v>7.76</v>
      </c>
      <c r="H595" s="3"/>
    </row>
    <row r="596" spans="1:8" x14ac:dyDescent="0.25">
      <c r="A596" s="20">
        <v>39356</v>
      </c>
      <c r="B596" s="21">
        <v>8.57</v>
      </c>
      <c r="C596" s="21">
        <v>9.99</v>
      </c>
      <c r="D596" s="21">
        <v>8.32</v>
      </c>
      <c r="E596" s="21">
        <v>7.72</v>
      </c>
      <c r="F596" s="21"/>
      <c r="G596" s="21">
        <v>7.83</v>
      </c>
      <c r="H596" s="3"/>
    </row>
    <row r="597" spans="1:8" x14ac:dyDescent="0.25">
      <c r="A597" s="20">
        <v>39387</v>
      </c>
      <c r="B597" s="21">
        <v>8.82</v>
      </c>
      <c r="C597" s="21">
        <v>10.28</v>
      </c>
      <c r="D597" s="21">
        <v>8.57</v>
      </c>
      <c r="E597" s="21">
        <v>7.97</v>
      </c>
      <c r="F597" s="21"/>
      <c r="G597" s="21">
        <v>8.19</v>
      </c>
      <c r="H597" s="3"/>
    </row>
    <row r="598" spans="1:8" x14ac:dyDescent="0.25">
      <c r="A598" s="20">
        <v>39417</v>
      </c>
      <c r="B598" s="21">
        <v>8.9700000000000006</v>
      </c>
      <c r="C598" s="21">
        <v>10.43</v>
      </c>
      <c r="D598" s="21">
        <v>8.57</v>
      </c>
      <c r="E598" s="21">
        <v>7.97</v>
      </c>
      <c r="F598" s="21"/>
      <c r="G598" s="21">
        <v>8.35</v>
      </c>
      <c r="H598" s="3"/>
    </row>
    <row r="599" spans="1:8" x14ac:dyDescent="0.25">
      <c r="A599" s="20">
        <v>39448</v>
      </c>
      <c r="B599" s="21">
        <v>9.07</v>
      </c>
      <c r="C599" s="21">
        <v>10.53</v>
      </c>
      <c r="D599" s="21">
        <v>8.7200000000000006</v>
      </c>
      <c r="E599" s="21">
        <v>8.1</v>
      </c>
      <c r="F599" s="21"/>
      <c r="G599" s="21">
        <v>8.4700000000000006</v>
      </c>
      <c r="H599" s="3"/>
    </row>
    <row r="600" spans="1:8" x14ac:dyDescent="0.25">
      <c r="A600" s="20">
        <v>39479</v>
      </c>
      <c r="B600" s="21">
        <v>9.36</v>
      </c>
      <c r="C600" s="21">
        <v>10.85</v>
      </c>
      <c r="D600" s="21">
        <v>8.99</v>
      </c>
      <c r="E600" s="21">
        <v>8.33</v>
      </c>
      <c r="F600" s="21"/>
      <c r="G600" s="21">
        <v>8.7200000000000006</v>
      </c>
      <c r="H600" s="3"/>
    </row>
    <row r="601" spans="1:8" x14ac:dyDescent="0.25">
      <c r="A601" s="20">
        <v>39508</v>
      </c>
      <c r="B601" s="21">
        <v>9.7200000000000006</v>
      </c>
      <c r="C601" s="21">
        <v>11.21</v>
      </c>
      <c r="D601" s="21">
        <v>9.34</v>
      </c>
      <c r="E601" s="21">
        <v>8.6999999999999993</v>
      </c>
      <c r="F601" s="21"/>
      <c r="G601" s="21">
        <v>8.9499999999999993</v>
      </c>
      <c r="H601" s="3"/>
    </row>
    <row r="602" spans="1:8" x14ac:dyDescent="0.25">
      <c r="A602" s="20">
        <v>39539</v>
      </c>
      <c r="B602" s="21">
        <v>9.86</v>
      </c>
      <c r="C602" s="21">
        <v>11.35</v>
      </c>
      <c r="D602" s="21">
        <v>9.44</v>
      </c>
      <c r="E602" s="21">
        <v>8.82</v>
      </c>
      <c r="F602" s="21"/>
      <c r="G602" s="21">
        <v>8.9700000000000006</v>
      </c>
      <c r="H602" s="3"/>
    </row>
    <row r="603" spans="1:8" x14ac:dyDescent="0.25">
      <c r="A603" s="20">
        <v>39569</v>
      </c>
      <c r="B603" s="21">
        <v>9.89</v>
      </c>
      <c r="C603" s="21">
        <v>11.37</v>
      </c>
      <c r="D603" s="21">
        <v>9.4600000000000009</v>
      </c>
      <c r="E603" s="21">
        <v>8.84</v>
      </c>
      <c r="F603" s="21"/>
      <c r="G603" s="21">
        <v>8.9700000000000006</v>
      </c>
      <c r="H603" s="3"/>
    </row>
    <row r="604" spans="1:8" x14ac:dyDescent="0.25">
      <c r="A604" s="20">
        <v>39600</v>
      </c>
      <c r="B604" s="21">
        <v>9.99</v>
      </c>
      <c r="C604" s="21">
        <v>11.47</v>
      </c>
      <c r="D604" s="21">
        <v>9.4600000000000009</v>
      </c>
      <c r="E604" s="21">
        <v>8.84</v>
      </c>
      <c r="F604" s="21"/>
      <c r="G604" s="21">
        <v>9.3000000000000007</v>
      </c>
      <c r="H604" s="3"/>
    </row>
    <row r="605" spans="1:8" x14ac:dyDescent="0.25">
      <c r="A605" s="20">
        <v>39630</v>
      </c>
      <c r="B605" s="21">
        <v>10.1</v>
      </c>
      <c r="C605" s="21">
        <v>11.58</v>
      </c>
      <c r="D605" s="21">
        <v>9.6199999999999992</v>
      </c>
      <c r="E605" s="21">
        <v>8.9600000000000009</v>
      </c>
      <c r="F605" s="21"/>
      <c r="G605" s="21">
        <v>9.42</v>
      </c>
      <c r="H605" s="3"/>
    </row>
    <row r="606" spans="1:8" x14ac:dyDescent="0.25">
      <c r="A606" s="20">
        <v>39661</v>
      </c>
      <c r="B606" s="21">
        <v>10.1</v>
      </c>
      <c r="C606" s="21">
        <v>11.58</v>
      </c>
      <c r="D606" s="21">
        <v>9.6199999999999992</v>
      </c>
      <c r="E606" s="21">
        <v>8.9600000000000009</v>
      </c>
      <c r="F606" s="21"/>
      <c r="G606" s="21">
        <v>8.89</v>
      </c>
      <c r="H606" s="3"/>
    </row>
    <row r="607" spans="1:8" x14ac:dyDescent="0.25">
      <c r="A607" s="20">
        <v>39692</v>
      </c>
      <c r="B607" s="21">
        <v>9.9700000000000006</v>
      </c>
      <c r="C607" s="21">
        <v>11.46</v>
      </c>
      <c r="D607" s="21">
        <v>9.36</v>
      </c>
      <c r="E607" s="21">
        <v>8.76</v>
      </c>
      <c r="F607" s="21"/>
      <c r="G607" s="21">
        <v>8.48</v>
      </c>
      <c r="H607" s="3"/>
    </row>
    <row r="608" spans="1:8" x14ac:dyDescent="0.25">
      <c r="A608" s="20">
        <v>39722</v>
      </c>
      <c r="B608" s="21">
        <v>9.41</v>
      </c>
      <c r="C608" s="21">
        <v>10.93</v>
      </c>
      <c r="D608" s="21">
        <v>8.34</v>
      </c>
      <c r="E608" s="21">
        <v>7.7</v>
      </c>
      <c r="F608" s="21"/>
      <c r="G608" s="21">
        <v>7.29</v>
      </c>
      <c r="H608" s="3"/>
    </row>
    <row r="609" spans="1:8" x14ac:dyDescent="0.25">
      <c r="A609" s="20">
        <v>39753</v>
      </c>
      <c r="B609" s="21">
        <v>9.2100000000000009</v>
      </c>
      <c r="C609" s="21">
        <v>10.73</v>
      </c>
      <c r="D609" s="21">
        <v>7.73</v>
      </c>
      <c r="E609" s="21">
        <v>7.09</v>
      </c>
      <c r="F609" s="21"/>
      <c r="G609" s="21">
        <v>6.91</v>
      </c>
      <c r="H609" s="3"/>
    </row>
    <row r="610" spans="1:8" x14ac:dyDescent="0.25">
      <c r="A610" s="20">
        <v>39783</v>
      </c>
      <c r="B610" s="21">
        <v>8.35</v>
      </c>
      <c r="C610" s="21">
        <v>9.93</v>
      </c>
      <c r="D610" s="21">
        <v>6.84</v>
      </c>
      <c r="E610" s="21">
        <v>6.2</v>
      </c>
      <c r="F610" s="21"/>
      <c r="G610" s="21">
        <v>6.25</v>
      </c>
      <c r="H610" s="3"/>
    </row>
    <row r="611" spans="1:8" x14ac:dyDescent="0.25">
      <c r="A611" s="20">
        <v>39814</v>
      </c>
      <c r="B611" s="21">
        <v>8.2799999999999994</v>
      </c>
      <c r="C611" s="21">
        <v>9.93</v>
      </c>
      <c r="D611" s="21">
        <v>6.84</v>
      </c>
      <c r="E611" s="21">
        <v>6.2</v>
      </c>
      <c r="F611" s="21"/>
      <c r="G611" s="21">
        <v>5.83</v>
      </c>
      <c r="H611" s="3"/>
    </row>
    <row r="612" spans="1:8" x14ac:dyDescent="0.25">
      <c r="A612" s="20">
        <v>39845</v>
      </c>
      <c r="B612" s="21">
        <v>7.28</v>
      </c>
      <c r="C612" s="21">
        <v>8.93</v>
      </c>
      <c r="D612" s="21">
        <v>5.84</v>
      </c>
      <c r="E612" s="21">
        <v>5.18</v>
      </c>
      <c r="F612" s="21"/>
      <c r="G612" s="21">
        <v>5.67</v>
      </c>
      <c r="H612" s="3"/>
    </row>
    <row r="613" spans="1:8" x14ac:dyDescent="0.25">
      <c r="A613" s="20">
        <v>39873</v>
      </c>
      <c r="B613" s="21">
        <v>7.22</v>
      </c>
      <c r="C613" s="21">
        <v>8.93</v>
      </c>
      <c r="D613" s="21">
        <v>5.84</v>
      </c>
      <c r="E613" s="21">
        <v>5.18</v>
      </c>
      <c r="F613" s="21"/>
      <c r="G613" s="21">
        <v>5.59</v>
      </c>
      <c r="H613" s="3"/>
    </row>
    <row r="614" spans="1:8" x14ac:dyDescent="0.25">
      <c r="A614" s="20">
        <v>39904</v>
      </c>
      <c r="B614" s="21">
        <v>7.08</v>
      </c>
      <c r="C614" s="21">
        <v>8.81</v>
      </c>
      <c r="D614" s="21">
        <v>5.76</v>
      </c>
      <c r="E614" s="21">
        <v>5.12</v>
      </c>
      <c r="F614" s="21"/>
      <c r="G614" s="21">
        <v>5.87</v>
      </c>
      <c r="H614" s="3"/>
    </row>
    <row r="615" spans="1:8" x14ac:dyDescent="0.25">
      <c r="A615" s="20">
        <v>39934</v>
      </c>
      <c r="B615" s="21">
        <v>7.08</v>
      </c>
      <c r="C615" s="21">
        <v>8.81</v>
      </c>
      <c r="D615" s="21">
        <v>5.76</v>
      </c>
      <c r="E615" s="21">
        <v>5.12</v>
      </c>
      <c r="F615" s="21"/>
      <c r="G615" s="21">
        <v>6.06</v>
      </c>
      <c r="H615" s="3"/>
    </row>
    <row r="616" spans="1:8" x14ac:dyDescent="0.25">
      <c r="A616" s="20">
        <v>39965</v>
      </c>
      <c r="B616" s="21">
        <v>7.11</v>
      </c>
      <c r="C616" s="21">
        <v>8.81</v>
      </c>
      <c r="D616" s="21">
        <v>5.78</v>
      </c>
      <c r="E616" s="21">
        <v>5.14</v>
      </c>
      <c r="F616" s="21"/>
      <c r="G616" s="21">
        <v>6.52</v>
      </c>
      <c r="H616" s="3"/>
    </row>
    <row r="617" spans="1:8" x14ac:dyDescent="0.25">
      <c r="A617" s="20">
        <v>39995</v>
      </c>
      <c r="B617" s="21">
        <v>7.11</v>
      </c>
      <c r="C617" s="21">
        <v>8.81</v>
      </c>
      <c r="D617" s="21">
        <v>5.78</v>
      </c>
      <c r="E617" s="21">
        <v>5.14</v>
      </c>
      <c r="F617" s="21"/>
      <c r="G617" s="21">
        <v>6.52</v>
      </c>
      <c r="H617" s="3"/>
    </row>
    <row r="618" spans="1:8" x14ac:dyDescent="0.25">
      <c r="A618" s="20">
        <v>40026</v>
      </c>
      <c r="B618" s="21">
        <v>7.11</v>
      </c>
      <c r="C618" s="21">
        <v>8.81</v>
      </c>
      <c r="D618" s="21">
        <v>5.78</v>
      </c>
      <c r="E618" s="21">
        <v>5.14</v>
      </c>
      <c r="F618" s="21"/>
      <c r="G618" s="21">
        <v>7.01</v>
      </c>
      <c r="H618" s="3"/>
    </row>
    <row r="619" spans="1:8" x14ac:dyDescent="0.25">
      <c r="A619" s="20">
        <v>40057</v>
      </c>
      <c r="B619" s="21">
        <v>7.11</v>
      </c>
      <c r="C619" s="21">
        <v>8.81</v>
      </c>
      <c r="D619" s="21">
        <v>5.78</v>
      </c>
      <c r="E619" s="21">
        <v>5.14</v>
      </c>
      <c r="F619" s="21"/>
      <c r="G619" s="21">
        <v>7.14</v>
      </c>
      <c r="H619" s="3"/>
    </row>
    <row r="620" spans="1:8" x14ac:dyDescent="0.25">
      <c r="A620" s="20">
        <v>40087</v>
      </c>
      <c r="B620" s="21">
        <v>7.36</v>
      </c>
      <c r="C620" s="21">
        <v>9.06</v>
      </c>
      <c r="D620" s="21">
        <v>6.03</v>
      </c>
      <c r="E620" s="21">
        <v>5.39</v>
      </c>
      <c r="F620" s="21"/>
      <c r="G620" s="21">
        <v>7.62</v>
      </c>
      <c r="H620" s="3"/>
    </row>
    <row r="621" spans="1:8" x14ac:dyDescent="0.25">
      <c r="A621" s="20">
        <v>40118</v>
      </c>
      <c r="B621" s="21">
        <v>7.55</v>
      </c>
      <c r="C621" s="21">
        <v>9.25</v>
      </c>
      <c r="D621" s="21">
        <v>6.28</v>
      </c>
      <c r="E621" s="21">
        <v>5.64</v>
      </c>
      <c r="F621" s="21"/>
      <c r="G621" s="21">
        <v>7.62</v>
      </c>
      <c r="H621" s="3"/>
    </row>
    <row r="622" spans="1:8" x14ac:dyDescent="0.25">
      <c r="A622" s="20">
        <v>40148</v>
      </c>
      <c r="B622" s="21">
        <v>7.84</v>
      </c>
      <c r="C622" s="21">
        <v>9.56</v>
      </c>
      <c r="D622" s="21">
        <v>6.64</v>
      </c>
      <c r="E622" s="21">
        <v>6</v>
      </c>
      <c r="F622" s="21"/>
      <c r="G622" s="21">
        <v>7.62</v>
      </c>
      <c r="H622" s="3"/>
    </row>
    <row r="623" spans="1:8" x14ac:dyDescent="0.25">
      <c r="A623" s="20">
        <v>40179</v>
      </c>
      <c r="B623" s="21">
        <v>7.84</v>
      </c>
      <c r="C623" s="21">
        <v>9.56</v>
      </c>
      <c r="D623" s="21">
        <v>6.64</v>
      </c>
      <c r="E623" s="21">
        <v>6</v>
      </c>
      <c r="F623" s="21"/>
      <c r="G623" s="21">
        <v>7.7</v>
      </c>
      <c r="H623" s="3"/>
    </row>
    <row r="624" spans="1:8" x14ac:dyDescent="0.25">
      <c r="A624" s="20">
        <v>40210</v>
      </c>
      <c r="B624" s="21">
        <v>7.84</v>
      </c>
      <c r="C624" s="21">
        <v>9.56</v>
      </c>
      <c r="D624" s="21">
        <v>6.64</v>
      </c>
      <c r="E624" s="21">
        <v>6</v>
      </c>
      <c r="F624" s="21"/>
      <c r="G624" s="21">
        <v>7.7</v>
      </c>
      <c r="H624" s="3"/>
    </row>
    <row r="625" spans="1:8" x14ac:dyDescent="0.25">
      <c r="A625" s="20">
        <v>40238</v>
      </c>
      <c r="B625" s="21">
        <v>8.09</v>
      </c>
      <c r="C625" s="21">
        <v>9.81</v>
      </c>
      <c r="D625" s="21">
        <v>6.89</v>
      </c>
      <c r="E625" s="21">
        <v>6.25</v>
      </c>
      <c r="F625" s="21"/>
      <c r="G625" s="21">
        <v>7.73</v>
      </c>
      <c r="H625" s="3"/>
    </row>
    <row r="626" spans="1:8" x14ac:dyDescent="0.25">
      <c r="A626" s="20">
        <v>40269</v>
      </c>
      <c r="B626" s="21">
        <v>8.34</v>
      </c>
      <c r="C626" s="21">
        <v>10.06</v>
      </c>
      <c r="D626" s="21">
        <v>7.14</v>
      </c>
      <c r="E626" s="21">
        <v>6.5</v>
      </c>
      <c r="F626" s="21"/>
      <c r="G626" s="21">
        <v>7.78</v>
      </c>
      <c r="H626" s="3"/>
    </row>
    <row r="627" spans="1:8" x14ac:dyDescent="0.25">
      <c r="A627" s="20">
        <v>40299</v>
      </c>
      <c r="B627" s="21">
        <v>8.59</v>
      </c>
      <c r="C627" s="21">
        <v>10.31</v>
      </c>
      <c r="D627" s="21">
        <v>7.39</v>
      </c>
      <c r="E627" s="21">
        <v>6.75</v>
      </c>
      <c r="F627" s="21"/>
      <c r="G627" s="21">
        <v>7.77</v>
      </c>
      <c r="H627" s="3"/>
    </row>
    <row r="628" spans="1:8" x14ac:dyDescent="0.25">
      <c r="A628" s="20">
        <v>40330</v>
      </c>
      <c r="B628" s="21">
        <v>8.59</v>
      </c>
      <c r="C628" s="21">
        <v>10.31</v>
      </c>
      <c r="D628" s="21">
        <v>7.39</v>
      </c>
      <c r="E628" s="21">
        <v>6.75</v>
      </c>
      <c r="F628" s="21"/>
      <c r="G628" s="21">
        <v>7.54</v>
      </c>
      <c r="H628" s="3"/>
    </row>
    <row r="629" spans="1:8" x14ac:dyDescent="0.25">
      <c r="A629" s="20">
        <v>40360</v>
      </c>
      <c r="B629" s="21">
        <v>8.59</v>
      </c>
      <c r="C629" s="21">
        <v>10.31</v>
      </c>
      <c r="D629" s="21">
        <v>7.39</v>
      </c>
      <c r="E629" s="21">
        <v>6.75</v>
      </c>
      <c r="F629" s="21"/>
      <c r="G629" s="21">
        <v>7.48</v>
      </c>
      <c r="H629" s="3"/>
    </row>
    <row r="630" spans="1:8" x14ac:dyDescent="0.25">
      <c r="A630" s="20">
        <v>40391</v>
      </c>
      <c r="B630" s="21">
        <v>8.59</v>
      </c>
      <c r="C630" s="21">
        <v>10.31</v>
      </c>
      <c r="D630" s="21">
        <v>7.39</v>
      </c>
      <c r="E630" s="21">
        <v>6.75</v>
      </c>
      <c r="F630" s="21"/>
      <c r="G630" s="21">
        <v>7.14</v>
      </c>
      <c r="H630" s="3"/>
    </row>
    <row r="631" spans="1:8" x14ac:dyDescent="0.25">
      <c r="A631" s="20">
        <v>40422</v>
      </c>
      <c r="B631" s="21">
        <v>8.59</v>
      </c>
      <c r="C631" s="21">
        <v>10.31</v>
      </c>
      <c r="D631" s="21">
        <v>7.39</v>
      </c>
      <c r="E631" s="21">
        <v>6.75</v>
      </c>
      <c r="F631" s="21"/>
      <c r="G631" s="21">
        <v>7.47</v>
      </c>
      <c r="H631" s="3"/>
    </row>
    <row r="632" spans="1:8" x14ac:dyDescent="0.25">
      <c r="A632" s="20">
        <v>40452</v>
      </c>
      <c r="B632" s="21">
        <v>8.59</v>
      </c>
      <c r="C632" s="21">
        <v>10.31</v>
      </c>
      <c r="D632" s="21">
        <v>7.39</v>
      </c>
      <c r="E632" s="21">
        <v>6.75</v>
      </c>
      <c r="F632" s="21"/>
      <c r="G632" s="21">
        <v>7.44</v>
      </c>
      <c r="H632" s="3"/>
    </row>
    <row r="633" spans="1:8" x14ac:dyDescent="0.25">
      <c r="A633" s="20">
        <v>40483</v>
      </c>
      <c r="B633" s="21">
        <v>8.99</v>
      </c>
      <c r="C633" s="21">
        <v>10.67</v>
      </c>
      <c r="D633" s="21">
        <v>7.79</v>
      </c>
      <c r="E633" s="21">
        <v>7.15</v>
      </c>
      <c r="F633" s="21"/>
      <c r="G633" s="21">
        <v>7.34</v>
      </c>
      <c r="H633" s="3"/>
    </row>
    <row r="634" spans="1:8" x14ac:dyDescent="0.25">
      <c r="A634" s="20">
        <v>40513</v>
      </c>
      <c r="B634" s="21">
        <v>8.99</v>
      </c>
      <c r="C634" s="21">
        <v>10.67</v>
      </c>
      <c r="D634" s="21">
        <v>7.79</v>
      </c>
      <c r="E634" s="21">
        <v>7.15</v>
      </c>
      <c r="F634" s="21"/>
      <c r="G634" s="21">
        <v>7.34</v>
      </c>
      <c r="H634" s="3"/>
    </row>
    <row r="635" spans="1:8" x14ac:dyDescent="0.25">
      <c r="A635" s="20">
        <v>40544</v>
      </c>
      <c r="B635" s="21">
        <v>8.99</v>
      </c>
      <c r="C635" s="21">
        <v>10.67</v>
      </c>
      <c r="D635" s="21">
        <v>7.79</v>
      </c>
      <c r="E635" s="21">
        <v>7.15</v>
      </c>
      <c r="F635" s="21"/>
      <c r="G635" s="21">
        <v>7.42</v>
      </c>
      <c r="H635" s="3"/>
    </row>
    <row r="636" spans="1:8" x14ac:dyDescent="0.25">
      <c r="A636" s="20">
        <v>40575</v>
      </c>
      <c r="B636" s="21">
        <v>8.99</v>
      </c>
      <c r="C636" s="21">
        <v>10.67</v>
      </c>
      <c r="D636" s="21">
        <v>7.79</v>
      </c>
      <c r="E636" s="21">
        <v>7.11</v>
      </c>
      <c r="F636" s="21"/>
      <c r="G636" s="21">
        <v>7.52</v>
      </c>
      <c r="H636" s="3"/>
    </row>
    <row r="637" spans="1:8" x14ac:dyDescent="0.25">
      <c r="A637" s="20">
        <v>40603</v>
      </c>
      <c r="B637" s="21">
        <v>8.99</v>
      </c>
      <c r="C637" s="21">
        <v>10.67</v>
      </c>
      <c r="D637" s="21">
        <v>7.79</v>
      </c>
      <c r="E637" s="21">
        <v>7.11</v>
      </c>
      <c r="F637" s="21"/>
      <c r="G637" s="21">
        <v>7.41</v>
      </c>
      <c r="H637" s="3"/>
    </row>
    <row r="638" spans="1:8" x14ac:dyDescent="0.25">
      <c r="A638" s="20">
        <v>40634</v>
      </c>
      <c r="B638" s="21">
        <v>8.99</v>
      </c>
      <c r="C638" s="21">
        <v>10.67</v>
      </c>
      <c r="D638" s="21">
        <v>7.79</v>
      </c>
      <c r="E638" s="21">
        <v>7.09</v>
      </c>
      <c r="F638" s="21"/>
      <c r="G638" s="21">
        <v>7.41</v>
      </c>
      <c r="H638" s="3"/>
    </row>
    <row r="639" spans="1:8" x14ac:dyDescent="0.25">
      <c r="A639" s="20">
        <v>40664</v>
      </c>
      <c r="B639" s="21">
        <v>8.99</v>
      </c>
      <c r="C639" s="21">
        <v>10.67</v>
      </c>
      <c r="D639" s="21">
        <v>7.79</v>
      </c>
      <c r="E639" s="21">
        <v>7.08</v>
      </c>
      <c r="F639" s="21"/>
      <c r="G639" s="21">
        <v>7.41</v>
      </c>
      <c r="H639" s="3"/>
    </row>
    <row r="640" spans="1:8" x14ac:dyDescent="0.25">
      <c r="A640" s="20">
        <v>40695</v>
      </c>
      <c r="B640" s="21">
        <v>8.99</v>
      </c>
      <c r="C640" s="21">
        <v>10.67</v>
      </c>
      <c r="D640" s="21">
        <v>7.79</v>
      </c>
      <c r="E640" s="21">
        <v>7.04</v>
      </c>
      <c r="F640" s="21"/>
      <c r="G640" s="21">
        <v>7.37</v>
      </c>
      <c r="H640" s="3"/>
    </row>
    <row r="641" spans="1:8" x14ac:dyDescent="0.25">
      <c r="A641" s="20">
        <v>40725</v>
      </c>
      <c r="B641" s="21">
        <v>8.99</v>
      </c>
      <c r="C641" s="21">
        <v>10.67</v>
      </c>
      <c r="D641" s="21">
        <v>7.79</v>
      </c>
      <c r="E641" s="21">
        <v>7.04</v>
      </c>
      <c r="F641" s="21"/>
      <c r="G641" s="21">
        <v>7.12</v>
      </c>
      <c r="H641" s="3"/>
    </row>
    <row r="642" spans="1:8" x14ac:dyDescent="0.25">
      <c r="A642" s="20">
        <v>40756</v>
      </c>
      <c r="B642" s="21">
        <v>8.99</v>
      </c>
      <c r="C642" s="21">
        <v>10.67</v>
      </c>
      <c r="D642" s="21">
        <v>7.79</v>
      </c>
      <c r="E642" s="21">
        <v>7.03</v>
      </c>
      <c r="F642" s="21"/>
      <c r="G642" s="21">
        <v>6.71</v>
      </c>
      <c r="H642" s="3"/>
    </row>
    <row r="643" spans="1:8" x14ac:dyDescent="0.25">
      <c r="A643" s="20">
        <v>40787</v>
      </c>
      <c r="B643" s="21">
        <v>8.99</v>
      </c>
      <c r="C643" s="21">
        <v>10.67</v>
      </c>
      <c r="D643" s="21">
        <v>7.79</v>
      </c>
      <c r="E643" s="21">
        <v>7.03</v>
      </c>
      <c r="F643" s="21"/>
      <c r="G643" s="21">
        <v>6.61</v>
      </c>
      <c r="H643" s="3"/>
    </row>
    <row r="644" spans="1:8" x14ac:dyDescent="0.25">
      <c r="A644" s="20">
        <v>40817</v>
      </c>
      <c r="B644" s="21">
        <v>8.99</v>
      </c>
      <c r="C644" s="21">
        <v>10.67</v>
      </c>
      <c r="D644" s="21">
        <v>7.79</v>
      </c>
      <c r="E644" s="21">
        <v>7.03</v>
      </c>
      <c r="F644" s="21"/>
      <c r="G644" s="21">
        <v>6.52</v>
      </c>
      <c r="H644" s="3"/>
    </row>
    <row r="645" spans="1:8" x14ac:dyDescent="0.25">
      <c r="A645" s="20">
        <v>40848</v>
      </c>
      <c r="B645" s="21">
        <v>8.77</v>
      </c>
      <c r="C645" s="21">
        <v>10.44</v>
      </c>
      <c r="D645" s="21">
        <v>7.55</v>
      </c>
      <c r="E645" s="21">
        <v>6.79</v>
      </c>
      <c r="F645" s="21"/>
      <c r="G645" s="21">
        <v>6.39</v>
      </c>
      <c r="H645" s="3"/>
    </row>
    <row r="646" spans="1:8" x14ac:dyDescent="0.25">
      <c r="A646" s="20">
        <v>40878</v>
      </c>
      <c r="B646" s="21">
        <v>8.52</v>
      </c>
      <c r="C646" s="21">
        <v>10.26</v>
      </c>
      <c r="D646" s="21">
        <v>7.3</v>
      </c>
      <c r="E646" s="21">
        <v>6.54</v>
      </c>
      <c r="F646" s="21"/>
      <c r="G646" s="21">
        <v>6.35</v>
      </c>
      <c r="H646" s="3"/>
    </row>
    <row r="647" spans="1:8" x14ac:dyDescent="0.25">
      <c r="A647" s="20">
        <v>40909</v>
      </c>
      <c r="B647" s="21">
        <v>8.52</v>
      </c>
      <c r="C647" s="21">
        <v>10.26</v>
      </c>
      <c r="D647" s="21">
        <v>7.3</v>
      </c>
      <c r="E647" s="21">
        <v>6.59</v>
      </c>
      <c r="F647" s="21"/>
      <c r="G647" s="21">
        <v>6.35</v>
      </c>
      <c r="H647" s="3"/>
    </row>
    <row r="648" spans="1:8" x14ac:dyDescent="0.25">
      <c r="A648" s="20">
        <v>40940</v>
      </c>
      <c r="B648" s="21">
        <v>8.61</v>
      </c>
      <c r="C648" s="21">
        <v>10.34</v>
      </c>
      <c r="D648" s="21">
        <v>7.39</v>
      </c>
      <c r="E648" s="21">
        <v>6.71</v>
      </c>
      <c r="F648" s="21"/>
      <c r="G648" s="21">
        <v>6.32</v>
      </c>
      <c r="H648" s="3"/>
    </row>
    <row r="649" spans="1:8" x14ac:dyDescent="0.25">
      <c r="A649" s="20">
        <v>40969</v>
      </c>
      <c r="B649" s="21">
        <v>8.61</v>
      </c>
      <c r="C649" s="21">
        <v>10.34</v>
      </c>
      <c r="D649" s="21">
        <v>7.39</v>
      </c>
      <c r="E649" s="21">
        <v>6.71</v>
      </c>
      <c r="F649" s="21"/>
      <c r="G649" s="21">
        <v>6.47</v>
      </c>
      <c r="H649" s="3"/>
    </row>
    <row r="650" spans="1:8" x14ac:dyDescent="0.25">
      <c r="A650" s="20">
        <v>41000</v>
      </c>
      <c r="B650" s="21">
        <v>8.6199999999999992</v>
      </c>
      <c r="C650" s="21">
        <v>10.36</v>
      </c>
      <c r="D650" s="21">
        <v>7.4</v>
      </c>
      <c r="E650" s="21">
        <v>6.72</v>
      </c>
      <c r="F650" s="21"/>
      <c r="G650" s="21">
        <v>6.41</v>
      </c>
      <c r="H650" s="3"/>
    </row>
    <row r="651" spans="1:8" x14ac:dyDescent="0.25">
      <c r="A651" s="20">
        <v>41030</v>
      </c>
      <c r="B651" s="21">
        <v>8.2200000000000006</v>
      </c>
      <c r="C651" s="21">
        <v>9.99</v>
      </c>
      <c r="D651" s="21">
        <v>7.04</v>
      </c>
      <c r="E651" s="21">
        <v>6.36</v>
      </c>
      <c r="F651" s="21"/>
      <c r="G651" s="21">
        <v>6.14</v>
      </c>
      <c r="H651" s="3"/>
    </row>
    <row r="652" spans="1:8" x14ac:dyDescent="0.25">
      <c r="A652" s="20">
        <v>41061</v>
      </c>
      <c r="B652" s="21">
        <v>7.99</v>
      </c>
      <c r="C652" s="21">
        <v>9.77</v>
      </c>
      <c r="D652" s="21">
        <v>6.83</v>
      </c>
      <c r="E652" s="21">
        <v>6.13</v>
      </c>
      <c r="F652" s="21"/>
      <c r="G652" s="21">
        <v>6.08</v>
      </c>
      <c r="H652" s="3"/>
    </row>
    <row r="653" spans="1:8" x14ac:dyDescent="0.25">
      <c r="A653" s="20">
        <v>41091</v>
      </c>
      <c r="B653" s="21">
        <v>7.99</v>
      </c>
      <c r="C653" s="21">
        <v>9.77</v>
      </c>
      <c r="D653" s="21">
        <v>6.83</v>
      </c>
      <c r="E653" s="21">
        <v>6.13</v>
      </c>
      <c r="F653" s="21"/>
      <c r="G653" s="21">
        <v>5.9</v>
      </c>
      <c r="H653" s="3"/>
    </row>
    <row r="654" spans="1:8" x14ac:dyDescent="0.25">
      <c r="A654" s="20">
        <v>41122</v>
      </c>
      <c r="B654" s="21">
        <v>7.99</v>
      </c>
      <c r="C654" s="21">
        <v>9.77</v>
      </c>
      <c r="D654" s="21">
        <v>6.83</v>
      </c>
      <c r="E654" s="21">
        <v>6.1</v>
      </c>
      <c r="F654" s="21"/>
      <c r="G654" s="21">
        <v>5.88</v>
      </c>
      <c r="H654" s="3"/>
    </row>
    <row r="655" spans="1:8" x14ac:dyDescent="0.25">
      <c r="A655" s="20">
        <v>41153</v>
      </c>
      <c r="B655" s="21">
        <v>7.99</v>
      </c>
      <c r="C655" s="21">
        <v>9.77</v>
      </c>
      <c r="D655" s="21">
        <v>6.83</v>
      </c>
      <c r="E655" s="21">
        <v>6.08</v>
      </c>
      <c r="F655" s="21"/>
      <c r="G655" s="21">
        <v>5.71</v>
      </c>
      <c r="H655" s="3"/>
    </row>
    <row r="656" spans="1:8" x14ac:dyDescent="0.25">
      <c r="A656" s="20">
        <v>41183</v>
      </c>
      <c r="B656" s="21">
        <v>7.8</v>
      </c>
      <c r="C656" s="21">
        <v>9.6199999999999992</v>
      </c>
      <c r="D656" s="21">
        <v>6.64</v>
      </c>
      <c r="E656" s="21">
        <v>5.89</v>
      </c>
      <c r="F656" s="21"/>
      <c r="G656" s="21">
        <v>5.54</v>
      </c>
      <c r="H656" s="3"/>
    </row>
    <row r="657" spans="1:8" x14ac:dyDescent="0.25">
      <c r="A657" s="20">
        <v>41214</v>
      </c>
      <c r="B657" s="21">
        <v>7.8</v>
      </c>
      <c r="C657" s="21">
        <v>9.6199999999999992</v>
      </c>
      <c r="D657" s="21">
        <v>6.64</v>
      </c>
      <c r="E657" s="21">
        <v>5.84</v>
      </c>
      <c r="F657" s="21"/>
      <c r="G657" s="21">
        <v>5.54</v>
      </c>
      <c r="H657" s="3"/>
    </row>
    <row r="658" spans="1:8" x14ac:dyDescent="0.25">
      <c r="A658" s="20">
        <v>41244</v>
      </c>
      <c r="B658" s="21">
        <v>7.6</v>
      </c>
      <c r="C658" s="21">
        <v>9.44</v>
      </c>
      <c r="D658" s="21">
        <v>6.44</v>
      </c>
      <c r="E658" s="21">
        <v>5.68</v>
      </c>
      <c r="F658" s="21"/>
      <c r="G658" s="21">
        <v>5.54</v>
      </c>
      <c r="H658" s="3"/>
    </row>
    <row r="659" spans="1:8" x14ac:dyDescent="0.25">
      <c r="A659" s="20">
        <v>41275</v>
      </c>
      <c r="B659" s="21">
        <v>7.6</v>
      </c>
      <c r="C659" s="21">
        <v>9.44</v>
      </c>
      <c r="D659" s="21">
        <v>6.44</v>
      </c>
      <c r="E659" s="21">
        <v>5.68</v>
      </c>
      <c r="F659" s="21"/>
      <c r="G659" s="21">
        <v>5.52</v>
      </c>
      <c r="H659" s="3"/>
    </row>
    <row r="660" spans="1:8" x14ac:dyDescent="0.25">
      <c r="A660" s="20">
        <v>41306</v>
      </c>
      <c r="B660" s="21">
        <v>7.6</v>
      </c>
      <c r="C660" s="21">
        <v>9.44</v>
      </c>
      <c r="D660" s="21">
        <v>6.44</v>
      </c>
      <c r="E660" s="21">
        <v>5.66</v>
      </c>
      <c r="F660" s="21"/>
      <c r="G660" s="21">
        <v>5.44</v>
      </c>
      <c r="H660" s="3"/>
    </row>
    <row r="661" spans="1:8" x14ac:dyDescent="0.25">
      <c r="A661" s="20">
        <v>41334</v>
      </c>
      <c r="B661" s="21">
        <v>7.6</v>
      </c>
      <c r="C661" s="21">
        <v>9.44</v>
      </c>
      <c r="D661" s="21">
        <v>6.44</v>
      </c>
      <c r="E661" s="21">
        <v>5.62</v>
      </c>
      <c r="F661" s="21"/>
      <c r="G661" s="21">
        <v>5.44</v>
      </c>
      <c r="H661" s="3"/>
    </row>
    <row r="662" spans="1:8" x14ac:dyDescent="0.25">
      <c r="A662" s="20">
        <v>41365</v>
      </c>
      <c r="B662" s="21">
        <v>7.6</v>
      </c>
      <c r="C662" s="21">
        <v>9.44</v>
      </c>
      <c r="D662" s="21">
        <v>6.44</v>
      </c>
      <c r="E662" s="21">
        <v>5.62</v>
      </c>
      <c r="F662" s="21"/>
      <c r="G662" s="21">
        <v>5.44</v>
      </c>
      <c r="H662" s="3"/>
    </row>
    <row r="663" spans="1:8" x14ac:dyDescent="0.25">
      <c r="A663" s="20">
        <v>41395</v>
      </c>
      <c r="B663" s="21">
        <v>7.35</v>
      </c>
      <c r="C663" s="21">
        <v>9.1999999999999993</v>
      </c>
      <c r="D663" s="21">
        <v>6.18</v>
      </c>
      <c r="E663" s="21">
        <v>5.36</v>
      </c>
      <c r="F663" s="21"/>
      <c r="G663" s="21">
        <v>5.27</v>
      </c>
      <c r="H663" s="3"/>
    </row>
    <row r="664" spans="1:8" x14ac:dyDescent="0.25">
      <c r="A664" s="20">
        <v>41426</v>
      </c>
      <c r="B664" s="21">
        <v>7.35</v>
      </c>
      <c r="C664" s="21">
        <v>9.1999999999999993</v>
      </c>
      <c r="D664" s="21">
        <v>6.18</v>
      </c>
      <c r="E664" s="21">
        <v>5.36</v>
      </c>
      <c r="F664" s="21"/>
      <c r="G664" s="21">
        <v>5.13</v>
      </c>
      <c r="H664" s="3"/>
    </row>
    <row r="665" spans="1:8" x14ac:dyDescent="0.25">
      <c r="A665" s="20">
        <v>41456</v>
      </c>
      <c r="B665" s="21">
        <v>7.35</v>
      </c>
      <c r="C665" s="21">
        <v>9.1999999999999993</v>
      </c>
      <c r="D665" s="21">
        <v>6.18</v>
      </c>
      <c r="E665" s="21">
        <v>5.35</v>
      </c>
      <c r="F665" s="21"/>
      <c r="G665" s="21">
        <v>5.17</v>
      </c>
      <c r="H665" s="3"/>
    </row>
    <row r="666" spans="1:8" x14ac:dyDescent="0.25">
      <c r="A666" s="20">
        <v>41487</v>
      </c>
      <c r="B666" s="21">
        <v>7.1</v>
      </c>
      <c r="C666" s="21">
        <v>8.9499999999999993</v>
      </c>
      <c r="D666" s="21">
        <v>5.93</v>
      </c>
      <c r="E666" s="21">
        <v>5.0999999999999996</v>
      </c>
      <c r="F666" s="21"/>
      <c r="G666" s="21">
        <v>5.1100000000000003</v>
      </c>
      <c r="H666" s="3"/>
    </row>
    <row r="667" spans="1:8" x14ac:dyDescent="0.25">
      <c r="A667" s="20">
        <v>41518</v>
      </c>
      <c r="B667" s="21">
        <v>7.1</v>
      </c>
      <c r="C667" s="21">
        <v>8.9499999999999993</v>
      </c>
      <c r="D667" s="21">
        <v>5.93</v>
      </c>
      <c r="E667" s="21">
        <v>5.08</v>
      </c>
      <c r="F667" s="21"/>
      <c r="G667" s="21">
        <v>5.12</v>
      </c>
      <c r="H667" s="3"/>
    </row>
    <row r="668" spans="1:8" x14ac:dyDescent="0.25">
      <c r="A668" s="20">
        <v>41548</v>
      </c>
      <c r="B668" s="21">
        <v>7.1</v>
      </c>
      <c r="C668" s="21">
        <v>8.9499999999999993</v>
      </c>
      <c r="D668" s="21">
        <v>5.93</v>
      </c>
      <c r="E668" s="21">
        <v>5.08</v>
      </c>
      <c r="F668" s="21"/>
      <c r="G668" s="21">
        <v>5.24</v>
      </c>
      <c r="H668" s="3"/>
    </row>
    <row r="669" spans="1:8" x14ac:dyDescent="0.25">
      <c r="A669" s="20">
        <v>41579</v>
      </c>
      <c r="B669" s="21">
        <v>7.1</v>
      </c>
      <c r="C669" s="21">
        <v>8.9499999999999993</v>
      </c>
      <c r="D669" s="21">
        <v>5.93</v>
      </c>
      <c r="E669" s="21">
        <v>5.08</v>
      </c>
      <c r="F669" s="21"/>
      <c r="G669" s="21">
        <v>5.28</v>
      </c>
      <c r="H669" s="3"/>
    </row>
    <row r="670" spans="1:8" x14ac:dyDescent="0.25">
      <c r="A670" s="20">
        <v>41609</v>
      </c>
      <c r="B670" s="21">
        <v>7.1</v>
      </c>
      <c r="C670" s="21">
        <v>8.9499999999999993</v>
      </c>
      <c r="D670" s="21">
        <v>5.93</v>
      </c>
      <c r="E670" s="21">
        <v>5.0999999999999996</v>
      </c>
      <c r="F670" s="21"/>
      <c r="G670" s="21">
        <v>5.28</v>
      </c>
      <c r="H670" s="3"/>
    </row>
    <row r="671" spans="1:8" x14ac:dyDescent="0.25">
      <c r="A671" s="20">
        <v>41640</v>
      </c>
      <c r="B671" s="21">
        <v>7.1</v>
      </c>
      <c r="C671" s="21">
        <v>8.9499999999999993</v>
      </c>
      <c r="D671" s="21">
        <v>5.93</v>
      </c>
      <c r="E671" s="21">
        <v>5.08</v>
      </c>
      <c r="F671" s="21"/>
      <c r="G671" s="21">
        <v>5.29</v>
      </c>
      <c r="H671" s="3"/>
    </row>
    <row r="672" spans="1:8" x14ac:dyDescent="0.25">
      <c r="A672" s="20">
        <v>41671</v>
      </c>
      <c r="B672" s="21">
        <v>7.1</v>
      </c>
      <c r="C672" s="21">
        <v>8.9499999999999993</v>
      </c>
      <c r="D672" s="21">
        <v>5.93</v>
      </c>
      <c r="E672" s="21">
        <v>5.08</v>
      </c>
      <c r="F672" s="21"/>
      <c r="G672" s="21">
        <v>5.26</v>
      </c>
      <c r="H672" s="3"/>
    </row>
    <row r="673" spans="1:8" x14ac:dyDescent="0.25">
      <c r="A673" s="20">
        <v>41699</v>
      </c>
      <c r="B673" s="21">
        <v>7.1</v>
      </c>
      <c r="C673" s="21">
        <v>8.9499999999999993</v>
      </c>
      <c r="D673" s="21">
        <v>5.93</v>
      </c>
      <c r="E673" s="21">
        <v>5.08</v>
      </c>
      <c r="F673" s="21"/>
      <c r="G673" s="21">
        <v>5.2</v>
      </c>
      <c r="H673" s="3"/>
    </row>
    <row r="674" spans="1:8" x14ac:dyDescent="0.25">
      <c r="A674" s="20">
        <v>41730</v>
      </c>
      <c r="B674" s="21">
        <v>7.1</v>
      </c>
      <c r="C674" s="21">
        <v>8.9499999999999993</v>
      </c>
      <c r="D674" s="21">
        <v>5.93</v>
      </c>
      <c r="E674" s="21">
        <v>5.08</v>
      </c>
      <c r="F674" s="21"/>
      <c r="G674" s="21">
        <v>5.2</v>
      </c>
      <c r="H674" s="3"/>
    </row>
    <row r="675" spans="1:8" x14ac:dyDescent="0.25">
      <c r="A675" s="20">
        <v>41760</v>
      </c>
      <c r="B675" s="21">
        <v>7.1</v>
      </c>
      <c r="C675" s="21">
        <v>8.9499999999999993</v>
      </c>
      <c r="D675" s="21">
        <v>5.93</v>
      </c>
      <c r="E675" s="21">
        <v>5.08</v>
      </c>
      <c r="F675" s="21"/>
      <c r="G675" s="21">
        <v>5.2</v>
      </c>
      <c r="H675" s="3"/>
    </row>
    <row r="676" spans="1:8" x14ac:dyDescent="0.25">
      <c r="A676" s="20">
        <v>41791</v>
      </c>
      <c r="B676" s="21">
        <v>7.1</v>
      </c>
      <c r="C676" s="21">
        <v>8.9499999999999993</v>
      </c>
      <c r="D676" s="21">
        <v>5.93</v>
      </c>
      <c r="E676" s="21">
        <v>5.08</v>
      </c>
      <c r="F676" s="21"/>
      <c r="G676" s="21">
        <v>5.2</v>
      </c>
      <c r="H676" s="3"/>
    </row>
    <row r="677" spans="1:8" x14ac:dyDescent="0.25">
      <c r="A677" s="20">
        <v>41821</v>
      </c>
      <c r="B677" s="21">
        <v>7.1</v>
      </c>
      <c r="C677" s="21">
        <v>8.9499999999999993</v>
      </c>
      <c r="D677" s="21">
        <v>5.93</v>
      </c>
      <c r="E677" s="21">
        <v>5.08</v>
      </c>
      <c r="F677" s="21"/>
      <c r="G677" s="21">
        <v>5.12</v>
      </c>
      <c r="H677" s="3"/>
    </row>
    <row r="678" spans="1:8" x14ac:dyDescent="0.25">
      <c r="A678" s="20">
        <v>41852</v>
      </c>
      <c r="B678" s="21">
        <v>7.1</v>
      </c>
      <c r="C678" s="21">
        <v>8.9499999999999993</v>
      </c>
      <c r="D678" s="21">
        <v>5.93</v>
      </c>
      <c r="E678" s="21">
        <v>5.08</v>
      </c>
      <c r="F678" s="21"/>
      <c r="G678" s="21">
        <v>5.08</v>
      </c>
      <c r="H678" s="3"/>
    </row>
    <row r="679" spans="1:8" x14ac:dyDescent="0.25">
      <c r="A679" s="20">
        <v>41883</v>
      </c>
      <c r="B679" s="21">
        <v>7.1</v>
      </c>
      <c r="C679" s="21">
        <v>8.9499999999999993</v>
      </c>
      <c r="D679" s="21">
        <v>5.93</v>
      </c>
      <c r="E679" s="21">
        <v>5.08</v>
      </c>
      <c r="F679" s="21"/>
      <c r="G679" s="21">
        <v>5.08</v>
      </c>
      <c r="H679" s="3"/>
    </row>
    <row r="680" spans="1:8" x14ac:dyDescent="0.25">
      <c r="A680" s="20">
        <v>41913</v>
      </c>
      <c r="B680" s="21">
        <v>7.1</v>
      </c>
      <c r="C680" s="21">
        <v>8.9499999999999993</v>
      </c>
      <c r="D680" s="21">
        <v>5.93</v>
      </c>
      <c r="E680" s="21">
        <v>5.08</v>
      </c>
      <c r="F680" s="21"/>
      <c r="G680" s="21">
        <v>5.08</v>
      </c>
      <c r="H680" s="3"/>
    </row>
    <row r="681" spans="1:8" x14ac:dyDescent="0.25">
      <c r="A681" s="20">
        <v>41944</v>
      </c>
      <c r="B681" s="21">
        <v>7.1</v>
      </c>
      <c r="C681" s="21">
        <v>8.9499999999999993</v>
      </c>
      <c r="D681" s="21">
        <v>5.93</v>
      </c>
      <c r="E681" s="21">
        <v>5.08</v>
      </c>
      <c r="F681" s="21"/>
      <c r="G681" s="21">
        <v>5.08</v>
      </c>
      <c r="H681" s="3"/>
    </row>
    <row r="682" spans="1:8" x14ac:dyDescent="0.25">
      <c r="A682" s="20">
        <v>41974</v>
      </c>
      <c r="B682" s="21">
        <v>7.1</v>
      </c>
      <c r="C682" s="21">
        <v>8.9499999999999993</v>
      </c>
      <c r="D682" s="21">
        <v>5.93</v>
      </c>
      <c r="E682" s="21">
        <v>5.08</v>
      </c>
      <c r="F682" s="21"/>
      <c r="G682" s="21">
        <v>5.08</v>
      </c>
      <c r="H682" s="3"/>
    </row>
    <row r="683" spans="1:8" x14ac:dyDescent="0.25">
      <c r="A683" s="20">
        <v>42005</v>
      </c>
      <c r="B683" s="21">
        <v>7.1</v>
      </c>
      <c r="C683" s="21">
        <v>8.9499999999999993</v>
      </c>
      <c r="D683" s="21">
        <v>5.93</v>
      </c>
      <c r="E683" s="21">
        <v>5.08</v>
      </c>
      <c r="F683" s="21"/>
      <c r="G683" s="21">
        <v>5.08</v>
      </c>
      <c r="H683" s="3"/>
    </row>
    <row r="684" spans="1:8" x14ac:dyDescent="0.25">
      <c r="A684" s="20">
        <v>42036</v>
      </c>
      <c r="B684" s="21">
        <v>6.85</v>
      </c>
      <c r="C684" s="21">
        <v>8.76</v>
      </c>
      <c r="D684" s="21">
        <v>5.67</v>
      </c>
      <c r="E684" s="21">
        <v>4.82</v>
      </c>
      <c r="F684" s="21"/>
      <c r="G684" s="21">
        <v>4.8</v>
      </c>
      <c r="H684" s="3"/>
    </row>
    <row r="685" spans="1:8" x14ac:dyDescent="0.25">
      <c r="A685" s="20">
        <v>42064</v>
      </c>
      <c r="B685" s="21">
        <v>6.85</v>
      </c>
      <c r="C685" s="21">
        <v>8.6999999999999993</v>
      </c>
      <c r="D685" s="21">
        <v>5.67</v>
      </c>
      <c r="E685" s="21">
        <v>4.82</v>
      </c>
      <c r="F685" s="21"/>
      <c r="G685" s="21">
        <v>4.8</v>
      </c>
      <c r="H685" s="3"/>
    </row>
    <row r="686" spans="1:8" x14ac:dyDescent="0.25">
      <c r="A686" s="20">
        <v>42095</v>
      </c>
      <c r="B686" s="21">
        <v>6.85</v>
      </c>
      <c r="C686" s="21">
        <v>8.6999999999999993</v>
      </c>
      <c r="D686" s="21">
        <v>5.67</v>
      </c>
      <c r="E686" s="21">
        <v>4.82</v>
      </c>
      <c r="F686" s="21"/>
      <c r="G686" s="21">
        <v>4.8</v>
      </c>
      <c r="H686" s="3"/>
    </row>
    <row r="687" spans="1:8" x14ac:dyDescent="0.25">
      <c r="A687" s="20">
        <v>42125</v>
      </c>
      <c r="B687" s="21">
        <v>6.6</v>
      </c>
      <c r="C687" s="21">
        <v>8.4499999999999993</v>
      </c>
      <c r="D687" s="21">
        <v>5.46</v>
      </c>
      <c r="E687" s="21">
        <v>4.6100000000000003</v>
      </c>
      <c r="F687" s="21"/>
      <c r="G687" s="21">
        <v>4.8</v>
      </c>
      <c r="H687" s="3"/>
    </row>
    <row r="688" spans="1:8" x14ac:dyDescent="0.25">
      <c r="A688" s="20">
        <v>42156</v>
      </c>
      <c r="B688" s="21">
        <v>6.6</v>
      </c>
      <c r="C688" s="21">
        <v>8.4499999999999993</v>
      </c>
      <c r="D688" s="21">
        <v>5.46</v>
      </c>
      <c r="E688" s="21">
        <v>4.67</v>
      </c>
      <c r="F688" s="21"/>
      <c r="G688" s="21">
        <v>4.8</v>
      </c>
      <c r="H688" s="3"/>
    </row>
    <row r="689" spans="1:8" x14ac:dyDescent="0.25">
      <c r="A689" s="20">
        <v>42186</v>
      </c>
      <c r="B689" s="21">
        <v>6.6</v>
      </c>
      <c r="C689" s="21">
        <v>8.4499999999999993</v>
      </c>
      <c r="D689" s="21">
        <v>5.45</v>
      </c>
      <c r="E689" s="21">
        <v>4.67</v>
      </c>
      <c r="F689" s="21"/>
      <c r="G689" s="21">
        <v>4.66</v>
      </c>
      <c r="H689" s="3"/>
    </row>
    <row r="690" spans="1:8" x14ac:dyDescent="0.25">
      <c r="A690" s="20">
        <v>42217</v>
      </c>
      <c r="B690" s="21">
        <v>6.6</v>
      </c>
      <c r="C690" s="21">
        <v>8.4499999999999993</v>
      </c>
      <c r="D690" s="21">
        <v>5.46</v>
      </c>
      <c r="E690" s="21">
        <v>4.66</v>
      </c>
      <c r="F690" s="21">
        <v>5.72</v>
      </c>
      <c r="G690" s="21">
        <v>4.5199999999999996</v>
      </c>
      <c r="H690" s="3"/>
    </row>
    <row r="691" spans="1:8" x14ac:dyDescent="0.25">
      <c r="A691" s="20">
        <v>42248</v>
      </c>
      <c r="B691" s="21">
        <v>6.6</v>
      </c>
      <c r="C691" s="21">
        <v>8.4499999999999993</v>
      </c>
      <c r="D691" s="21">
        <v>5.46</v>
      </c>
      <c r="E691" s="21">
        <v>4.66</v>
      </c>
      <c r="F691" s="21">
        <v>5.72</v>
      </c>
      <c r="G691" s="21">
        <v>4.5199999999999996</v>
      </c>
      <c r="H691" s="3"/>
    </row>
    <row r="692" spans="1:8" x14ac:dyDescent="0.25">
      <c r="A692" s="20">
        <v>42278</v>
      </c>
      <c r="B692" s="21">
        <v>6.6</v>
      </c>
      <c r="C692" s="21">
        <v>8.4499999999999993</v>
      </c>
      <c r="D692" s="21">
        <v>5.46</v>
      </c>
      <c r="E692" s="21">
        <v>4.66</v>
      </c>
      <c r="F692" s="21">
        <v>5.72</v>
      </c>
      <c r="G692" s="21">
        <v>4.5</v>
      </c>
      <c r="H692" s="3"/>
    </row>
    <row r="693" spans="1:8" x14ac:dyDescent="0.25">
      <c r="A693" s="20">
        <v>42309</v>
      </c>
      <c r="B693" s="21">
        <v>6.6</v>
      </c>
      <c r="C693" s="21">
        <v>8.4499999999999993</v>
      </c>
      <c r="D693" s="21">
        <v>5.63</v>
      </c>
      <c r="E693" s="21">
        <v>4.83</v>
      </c>
      <c r="F693" s="21">
        <v>5.89</v>
      </c>
      <c r="G693" s="21">
        <v>4.43</v>
      </c>
      <c r="H693" s="3"/>
    </row>
    <row r="694" spans="1:8" x14ac:dyDescent="0.25">
      <c r="A694" s="20">
        <v>42339</v>
      </c>
      <c r="B694" s="21">
        <v>6.6</v>
      </c>
      <c r="C694" s="21">
        <v>8.4499999999999993</v>
      </c>
      <c r="D694" s="21">
        <v>5.63</v>
      </c>
      <c r="E694" s="21">
        <v>4.83</v>
      </c>
      <c r="F694" s="21">
        <v>5.89</v>
      </c>
      <c r="G694" s="21">
        <v>4.43</v>
      </c>
      <c r="H694" s="3"/>
    </row>
    <row r="695" spans="1:8" x14ac:dyDescent="0.25">
      <c r="A695" s="20">
        <v>42370</v>
      </c>
      <c r="B695" s="21">
        <v>6.6</v>
      </c>
      <c r="C695" s="21">
        <v>8.4499999999999993</v>
      </c>
      <c r="D695" s="21">
        <v>5.63</v>
      </c>
      <c r="E695" s="21">
        <v>4.83</v>
      </c>
      <c r="F695" s="21">
        <v>5.89</v>
      </c>
      <c r="G695" s="21">
        <v>4.43</v>
      </c>
      <c r="H695" s="3"/>
    </row>
    <row r="696" spans="1:8" x14ac:dyDescent="0.25">
      <c r="A696" s="20">
        <v>42401</v>
      </c>
      <c r="B696" s="21">
        <v>6.7</v>
      </c>
      <c r="C696" s="21">
        <v>8.5500000000000007</v>
      </c>
      <c r="D696" s="21">
        <v>5.63</v>
      </c>
      <c r="E696" s="21">
        <v>4.83</v>
      </c>
      <c r="F696" s="21">
        <v>5.89</v>
      </c>
      <c r="G696" s="21">
        <v>4.43</v>
      </c>
      <c r="H696" s="3"/>
    </row>
    <row r="697" spans="1:8" x14ac:dyDescent="0.25">
      <c r="A697" s="20">
        <v>42430</v>
      </c>
      <c r="B697" s="21">
        <v>6.75</v>
      </c>
      <c r="C697" s="21">
        <v>8.6</v>
      </c>
      <c r="D697" s="21">
        <v>5.63</v>
      </c>
      <c r="E697" s="21">
        <v>4.83</v>
      </c>
      <c r="F697" s="21">
        <v>5.89</v>
      </c>
      <c r="G697" s="21">
        <v>4.43</v>
      </c>
      <c r="H697" s="3"/>
    </row>
    <row r="698" spans="1:8" x14ac:dyDescent="0.25">
      <c r="A698" s="20">
        <v>42461</v>
      </c>
      <c r="B698" s="21">
        <v>6.75</v>
      </c>
      <c r="C698" s="21">
        <v>8.6</v>
      </c>
      <c r="D698" s="21">
        <v>5.63</v>
      </c>
      <c r="E698" s="21">
        <v>4.83</v>
      </c>
      <c r="F698" s="21">
        <v>5.7</v>
      </c>
      <c r="G698" s="21">
        <v>4.43</v>
      </c>
      <c r="H698" s="3"/>
    </row>
    <row r="699" spans="1:8" x14ac:dyDescent="0.25">
      <c r="A699" s="20">
        <v>42491</v>
      </c>
      <c r="B699" s="21">
        <v>6.5</v>
      </c>
      <c r="C699" s="21">
        <v>8.35</v>
      </c>
      <c r="D699" s="21">
        <v>5.39</v>
      </c>
      <c r="E699" s="21">
        <v>4.59</v>
      </c>
      <c r="F699" s="21">
        <v>5.45</v>
      </c>
      <c r="G699" s="21">
        <v>4.38</v>
      </c>
      <c r="H699" s="3"/>
    </row>
    <row r="700" spans="1:8" x14ac:dyDescent="0.25">
      <c r="A700" s="20">
        <v>42522</v>
      </c>
      <c r="B700" s="21">
        <v>6.5</v>
      </c>
      <c r="C700" s="21">
        <v>8.35</v>
      </c>
      <c r="D700" s="21">
        <v>5.39</v>
      </c>
      <c r="E700" s="21">
        <v>4.59</v>
      </c>
      <c r="F700" s="21">
        <v>5.45</v>
      </c>
      <c r="G700" s="21">
        <v>4.38</v>
      </c>
      <c r="H700" s="3"/>
    </row>
    <row r="701" spans="1:8" x14ac:dyDescent="0.25">
      <c r="A701" s="20">
        <v>42552</v>
      </c>
      <c r="B701" s="21">
        <v>6.5</v>
      </c>
      <c r="C701" s="21">
        <v>8.35</v>
      </c>
      <c r="D701" s="21">
        <v>5.39</v>
      </c>
      <c r="E701" s="21">
        <v>4.59</v>
      </c>
      <c r="F701" s="21">
        <v>5.45</v>
      </c>
      <c r="G701" s="21">
        <v>4.2699999999999996</v>
      </c>
      <c r="H701" s="3"/>
    </row>
    <row r="702" spans="1:8" x14ac:dyDescent="0.25">
      <c r="A702" s="20">
        <v>42583</v>
      </c>
      <c r="B702" s="21">
        <v>6.39</v>
      </c>
      <c r="C702" s="21">
        <v>8.24</v>
      </c>
      <c r="D702" s="21">
        <v>5.26</v>
      </c>
      <c r="E702" s="21">
        <v>4.46</v>
      </c>
      <c r="F702" s="21">
        <v>5.34</v>
      </c>
      <c r="G702" s="21">
        <v>4.0999999999999996</v>
      </c>
      <c r="H702" s="3"/>
    </row>
    <row r="703" spans="1:8" x14ac:dyDescent="0.25">
      <c r="A703" s="20">
        <v>42614</v>
      </c>
      <c r="B703" s="21">
        <v>6.39</v>
      </c>
      <c r="C703" s="21">
        <v>8.24</v>
      </c>
      <c r="D703" s="21">
        <v>5.26</v>
      </c>
      <c r="E703" s="21">
        <v>4.51</v>
      </c>
      <c r="F703" s="21">
        <v>5.34</v>
      </c>
      <c r="G703" s="21">
        <v>4.0199999999999996</v>
      </c>
      <c r="H703" s="3"/>
    </row>
    <row r="704" spans="1:8" x14ac:dyDescent="0.25">
      <c r="A704" s="20">
        <v>42644</v>
      </c>
      <c r="B704" s="21">
        <v>6.39</v>
      </c>
      <c r="C704" s="21">
        <v>8.24</v>
      </c>
      <c r="D704" s="21">
        <v>5.26</v>
      </c>
      <c r="E704" s="21">
        <v>4.51</v>
      </c>
      <c r="F704" s="21">
        <v>5.34</v>
      </c>
      <c r="G704" s="21">
        <v>4.0199999999999996</v>
      </c>
      <c r="H704" s="3"/>
    </row>
    <row r="705" spans="1:8" x14ac:dyDescent="0.25">
      <c r="A705" s="20">
        <v>42675</v>
      </c>
      <c r="B705" s="21">
        <v>6.39</v>
      </c>
      <c r="C705" s="21">
        <v>8.24</v>
      </c>
      <c r="D705" s="21">
        <v>5.26</v>
      </c>
      <c r="E705" s="21">
        <v>4.51</v>
      </c>
      <c r="F705" s="21">
        <v>5.34</v>
      </c>
      <c r="G705" s="21">
        <v>4.1100000000000003</v>
      </c>
      <c r="H705" s="3"/>
    </row>
    <row r="706" spans="1:8" x14ac:dyDescent="0.25">
      <c r="A706" s="20">
        <v>42705</v>
      </c>
      <c r="B706" s="21">
        <v>6.39</v>
      </c>
      <c r="C706" s="21">
        <v>8.24</v>
      </c>
      <c r="D706" s="21">
        <v>5.26</v>
      </c>
      <c r="E706" s="21">
        <v>4.51</v>
      </c>
      <c r="F706" s="21">
        <v>5.38</v>
      </c>
      <c r="G706" s="21">
        <v>4.1500000000000004</v>
      </c>
      <c r="H706" s="3"/>
    </row>
    <row r="707" spans="1:8" x14ac:dyDescent="0.25">
      <c r="A707" s="20">
        <v>42736</v>
      </c>
      <c r="B707" s="21">
        <v>6.39</v>
      </c>
      <c r="C707" s="21">
        <v>8.24</v>
      </c>
      <c r="D707" s="21">
        <v>5.26</v>
      </c>
      <c r="E707" s="21">
        <v>4.51</v>
      </c>
      <c r="F707" s="21">
        <v>5.38</v>
      </c>
      <c r="G707" s="21">
        <v>4.26</v>
      </c>
      <c r="H707" s="3"/>
    </row>
    <row r="708" spans="1:8" x14ac:dyDescent="0.25">
      <c r="A708" s="20">
        <v>42767</v>
      </c>
      <c r="B708" s="21">
        <v>6.39</v>
      </c>
      <c r="C708" s="21">
        <v>8.24</v>
      </c>
      <c r="D708" s="21">
        <v>5.26</v>
      </c>
      <c r="E708" s="21">
        <v>4.51</v>
      </c>
      <c r="F708" s="21">
        <v>5.38</v>
      </c>
      <c r="G708" s="21">
        <v>4.26</v>
      </c>
      <c r="H708" s="3"/>
    </row>
    <row r="709" spans="1:8" x14ac:dyDescent="0.25">
      <c r="A709" s="20">
        <v>42795</v>
      </c>
      <c r="B709" s="21">
        <v>6.39</v>
      </c>
      <c r="C709" s="21">
        <v>8.26</v>
      </c>
      <c r="D709" s="21">
        <v>5.28</v>
      </c>
      <c r="E709" s="21">
        <v>4.53</v>
      </c>
      <c r="F709" s="21">
        <v>5.46</v>
      </c>
      <c r="G709" s="21">
        <v>4.26</v>
      </c>
      <c r="H709" s="3"/>
    </row>
    <row r="710" spans="1:8" x14ac:dyDescent="0.25">
      <c r="A710" s="20">
        <v>42826</v>
      </c>
      <c r="B710" s="21">
        <v>6.43</v>
      </c>
      <c r="C710" s="21">
        <v>8.2799999999999994</v>
      </c>
      <c r="D710" s="21">
        <v>5.28</v>
      </c>
      <c r="E710" s="21">
        <v>4.53</v>
      </c>
      <c r="F710" s="21">
        <v>5.45</v>
      </c>
      <c r="G710" s="21">
        <v>4.22</v>
      </c>
      <c r="H710" s="3"/>
    </row>
    <row r="711" spans="1:8" x14ac:dyDescent="0.25">
      <c r="A711" s="20">
        <v>42856</v>
      </c>
      <c r="B711" s="21">
        <v>6.43</v>
      </c>
      <c r="C711" s="21">
        <v>8.2799999999999994</v>
      </c>
      <c r="D711" s="21">
        <v>5.29</v>
      </c>
      <c r="E711" s="21">
        <v>4.54</v>
      </c>
      <c r="F711" s="21">
        <v>5.46</v>
      </c>
      <c r="G711" s="21">
        <v>4.22</v>
      </c>
      <c r="H711" s="3"/>
    </row>
    <row r="712" spans="1:8" x14ac:dyDescent="0.25">
      <c r="A712" s="20">
        <v>42887</v>
      </c>
      <c r="B712" s="21">
        <v>6.43</v>
      </c>
      <c r="C712" s="21">
        <v>8.2799999999999994</v>
      </c>
      <c r="D712" s="21">
        <v>5.23</v>
      </c>
      <c r="E712" s="21">
        <v>4.4800000000000004</v>
      </c>
      <c r="F712" s="21">
        <v>5.71</v>
      </c>
      <c r="G712" s="21">
        <v>4.1500000000000004</v>
      </c>
      <c r="H712" s="3"/>
    </row>
    <row r="713" spans="1:8" x14ac:dyDescent="0.25">
      <c r="A713" s="20">
        <v>42917</v>
      </c>
      <c r="B713" s="21">
        <v>6.43</v>
      </c>
      <c r="C713" s="21">
        <v>8.2799999999999994</v>
      </c>
      <c r="D713" s="21">
        <v>5.22</v>
      </c>
      <c r="E713" s="21">
        <v>4.47</v>
      </c>
      <c r="F713" s="21">
        <v>5.78</v>
      </c>
      <c r="G713" s="21">
        <v>4.1500000000000004</v>
      </c>
      <c r="H713" s="3"/>
    </row>
    <row r="714" spans="1:8" x14ac:dyDescent="0.25">
      <c r="A714" s="20">
        <v>42948</v>
      </c>
      <c r="B714" s="21">
        <v>6.43</v>
      </c>
      <c r="C714" s="21">
        <v>8.2799999999999994</v>
      </c>
      <c r="D714" s="21">
        <v>5.22</v>
      </c>
      <c r="E714" s="21">
        <v>4.47</v>
      </c>
      <c r="F714" s="21">
        <v>5.78</v>
      </c>
      <c r="G714" s="21">
        <v>4.1399999999999997</v>
      </c>
      <c r="H714" s="3"/>
    </row>
    <row r="715" spans="1:8" x14ac:dyDescent="0.25">
      <c r="A715" s="20">
        <v>42979</v>
      </c>
      <c r="B715" s="21">
        <v>6.43</v>
      </c>
      <c r="C715" s="21">
        <v>8.2799999999999994</v>
      </c>
      <c r="D715" s="21">
        <v>5.22</v>
      </c>
      <c r="E715" s="21">
        <v>4.47</v>
      </c>
      <c r="F715" s="21">
        <v>5.78</v>
      </c>
      <c r="G715" s="21">
        <v>4.12</v>
      </c>
      <c r="H715" s="3"/>
    </row>
    <row r="716" spans="1:8" x14ac:dyDescent="0.25">
      <c r="A716" s="20">
        <v>43009</v>
      </c>
      <c r="B716" s="21">
        <v>6.43</v>
      </c>
      <c r="C716" s="21">
        <v>8.2799999999999994</v>
      </c>
      <c r="D716" s="21">
        <v>5.22</v>
      </c>
      <c r="E716" s="21">
        <v>4.47</v>
      </c>
      <c r="F716" s="21">
        <v>5.78</v>
      </c>
      <c r="G716" s="21">
        <v>4.12</v>
      </c>
      <c r="H716" s="3"/>
    </row>
    <row r="717" spans="1:8" x14ac:dyDescent="0.25">
      <c r="A717" s="20">
        <v>43040</v>
      </c>
      <c r="B717" s="21">
        <v>6.43</v>
      </c>
      <c r="C717" s="21">
        <v>8.2799999999999994</v>
      </c>
      <c r="D717" s="21">
        <v>5.22</v>
      </c>
      <c r="E717" s="21">
        <v>4.47</v>
      </c>
      <c r="F717" s="21">
        <v>5.78</v>
      </c>
      <c r="G717" s="21">
        <v>4.12</v>
      </c>
      <c r="H717" s="3"/>
    </row>
    <row r="718" spans="1:8" x14ac:dyDescent="0.25">
      <c r="A718" s="20">
        <v>43070</v>
      </c>
      <c r="B718" s="21">
        <v>6.43</v>
      </c>
      <c r="C718" s="21">
        <v>8.2799999999999994</v>
      </c>
      <c r="D718" s="21">
        <v>5.22</v>
      </c>
      <c r="E718" s="21">
        <v>4.51</v>
      </c>
      <c r="F718" s="21">
        <v>5.78</v>
      </c>
      <c r="G718" s="21">
        <v>4.12</v>
      </c>
      <c r="H718" s="3"/>
    </row>
    <row r="719" spans="1:8" x14ac:dyDescent="0.25">
      <c r="A719" s="20">
        <v>43101</v>
      </c>
      <c r="B719" s="21">
        <v>6.43</v>
      </c>
      <c r="C719" s="21">
        <v>8.2799999999999994</v>
      </c>
      <c r="D719" s="21">
        <v>5.22</v>
      </c>
      <c r="E719" s="21">
        <v>4.51</v>
      </c>
      <c r="F719" s="21">
        <v>5.78</v>
      </c>
      <c r="G719" s="21">
        <v>4.1399999999999997</v>
      </c>
      <c r="H719" s="3"/>
    </row>
    <row r="720" spans="1:8" x14ac:dyDescent="0.25">
      <c r="A720" s="20">
        <v>43132</v>
      </c>
      <c r="B720" s="21">
        <v>6.43</v>
      </c>
      <c r="C720" s="21">
        <v>8.2799999999999994</v>
      </c>
      <c r="D720" s="21">
        <v>5.22</v>
      </c>
      <c r="E720" s="21">
        <v>4.51</v>
      </c>
      <c r="F720" s="21">
        <v>5.78</v>
      </c>
      <c r="G720" s="21">
        <v>4.1399999999999997</v>
      </c>
      <c r="H720" s="3"/>
    </row>
    <row r="721" spans="1:8" x14ac:dyDescent="0.25">
      <c r="A721" s="20">
        <v>43160</v>
      </c>
      <c r="B721" s="21">
        <v>6.43</v>
      </c>
      <c r="C721" s="21">
        <v>8.2799999999999994</v>
      </c>
      <c r="D721" s="21">
        <v>5.22</v>
      </c>
      <c r="E721" s="21">
        <v>4.51</v>
      </c>
      <c r="F721" s="21">
        <v>5.78</v>
      </c>
      <c r="G721" s="21">
        <v>4.13</v>
      </c>
      <c r="H721" s="3"/>
    </row>
    <row r="722" spans="1:8" x14ac:dyDescent="0.25">
      <c r="A722" s="20">
        <v>43191</v>
      </c>
      <c r="B722" s="21">
        <v>6.43</v>
      </c>
      <c r="C722" s="21">
        <v>8.2799999999999994</v>
      </c>
      <c r="D722" s="21">
        <v>5.22</v>
      </c>
      <c r="E722" s="21">
        <v>4.51</v>
      </c>
      <c r="F722" s="21">
        <v>5.78</v>
      </c>
      <c r="G722" s="21">
        <v>4.13</v>
      </c>
      <c r="H722" s="3"/>
    </row>
    <row r="723" spans="1:8" x14ac:dyDescent="0.25">
      <c r="A723" s="20">
        <v>43221</v>
      </c>
      <c r="B723" s="21">
        <v>6.43</v>
      </c>
      <c r="C723" s="21">
        <v>8.2799999999999994</v>
      </c>
      <c r="D723" s="21">
        <v>5.22</v>
      </c>
      <c r="E723" s="21">
        <v>4.51</v>
      </c>
      <c r="F723" s="21">
        <v>5.78</v>
      </c>
      <c r="G723" s="21">
        <v>4.13</v>
      </c>
      <c r="H723" s="3"/>
    </row>
    <row r="724" spans="1:8" x14ac:dyDescent="0.25">
      <c r="A724" s="20">
        <v>43252</v>
      </c>
      <c r="B724" s="21">
        <v>6.43</v>
      </c>
      <c r="C724" s="21">
        <v>8.2799999999999994</v>
      </c>
      <c r="D724" s="21">
        <v>5.22</v>
      </c>
      <c r="E724" s="21">
        <v>4.51</v>
      </c>
      <c r="F724" s="21">
        <v>5.78</v>
      </c>
      <c r="G724" s="21">
        <v>4.13</v>
      </c>
      <c r="H724" s="3"/>
    </row>
    <row r="725" spans="1:8" x14ac:dyDescent="0.25">
      <c r="A725" s="20">
        <v>43282</v>
      </c>
      <c r="B725" s="21">
        <v>6.43</v>
      </c>
      <c r="C725" s="21">
        <v>8.2799999999999994</v>
      </c>
      <c r="D725" s="21">
        <v>5.22</v>
      </c>
      <c r="E725" s="21">
        <v>4.51</v>
      </c>
      <c r="F725" s="21">
        <v>5.78</v>
      </c>
      <c r="G725" s="21">
        <v>4.1100000000000003</v>
      </c>
      <c r="H725" s="3"/>
    </row>
    <row r="726" spans="1:8" x14ac:dyDescent="0.25">
      <c r="A726" s="20">
        <v>43313</v>
      </c>
      <c r="B726" s="21">
        <v>6.43</v>
      </c>
      <c r="C726" s="21">
        <v>8.2799999999999994</v>
      </c>
      <c r="D726" s="21">
        <v>5.22</v>
      </c>
      <c r="E726" s="21">
        <v>4.51</v>
      </c>
      <c r="F726" s="21">
        <v>5.78</v>
      </c>
      <c r="G726" s="21">
        <v>4.1100000000000003</v>
      </c>
      <c r="H726" s="3"/>
    </row>
    <row r="727" spans="1:8" x14ac:dyDescent="0.25">
      <c r="A727" s="20">
        <v>43344</v>
      </c>
      <c r="B727" s="21">
        <v>6.47</v>
      </c>
      <c r="C727" s="21">
        <v>8.32</v>
      </c>
      <c r="D727" s="21">
        <v>5.31</v>
      </c>
      <c r="E727" s="21">
        <v>4.62</v>
      </c>
      <c r="F727" s="21">
        <v>5.86</v>
      </c>
      <c r="G727" s="21">
        <v>4.1100000000000003</v>
      </c>
      <c r="H727" s="3"/>
    </row>
    <row r="728" spans="1:8" x14ac:dyDescent="0.25">
      <c r="A728" s="20">
        <v>43374</v>
      </c>
      <c r="B728" s="21">
        <v>6.47</v>
      </c>
      <c r="C728" s="21">
        <v>8.32</v>
      </c>
      <c r="D728" s="21">
        <v>5.34</v>
      </c>
      <c r="E728" s="21">
        <v>4.6500000000000004</v>
      </c>
      <c r="F728" s="21">
        <v>5.89</v>
      </c>
      <c r="G728" s="21">
        <v>4.1100000000000003</v>
      </c>
      <c r="H728" s="3"/>
    </row>
    <row r="729" spans="1:8" x14ac:dyDescent="0.25">
      <c r="A729" s="20">
        <v>43405</v>
      </c>
      <c r="B729" s="21">
        <v>6.47</v>
      </c>
      <c r="C729" s="21">
        <v>8.32</v>
      </c>
      <c r="D729" s="21">
        <v>5.34</v>
      </c>
      <c r="E729" s="21">
        <v>4.6500000000000004</v>
      </c>
      <c r="F729" s="21">
        <v>5.89</v>
      </c>
      <c r="G729" s="21">
        <v>4.07</v>
      </c>
      <c r="H729" s="3"/>
    </row>
    <row r="730" spans="1:8" x14ac:dyDescent="0.25">
      <c r="A730" s="20">
        <v>43435</v>
      </c>
      <c r="B730" s="21">
        <v>6.47</v>
      </c>
      <c r="C730" s="21">
        <v>8.32</v>
      </c>
      <c r="D730" s="21">
        <v>5.34</v>
      </c>
      <c r="E730" s="21">
        <v>4.6500000000000004</v>
      </c>
      <c r="F730" s="21">
        <v>5.89</v>
      </c>
      <c r="G730" s="21">
        <v>4.07</v>
      </c>
      <c r="H730" s="3"/>
    </row>
    <row r="731" spans="1:8" x14ac:dyDescent="0.25">
      <c r="A731" s="20">
        <v>43466</v>
      </c>
      <c r="B731" s="21">
        <v>6.47</v>
      </c>
      <c r="C731" s="21">
        <v>8.32</v>
      </c>
      <c r="D731" s="21">
        <v>5.37</v>
      </c>
      <c r="E731" s="21">
        <v>4.68</v>
      </c>
      <c r="F731" s="21">
        <v>5.93</v>
      </c>
      <c r="G731" s="21">
        <v>4.07</v>
      </c>
      <c r="H731" s="3"/>
    </row>
    <row r="732" spans="1:8" x14ac:dyDescent="0.25">
      <c r="A732" s="20">
        <v>43497</v>
      </c>
      <c r="B732" s="21">
        <v>6.47</v>
      </c>
      <c r="C732" s="21">
        <v>8.32</v>
      </c>
      <c r="D732" s="21">
        <v>5.37</v>
      </c>
      <c r="E732" s="21">
        <v>4.68</v>
      </c>
      <c r="F732" s="21">
        <v>5.93</v>
      </c>
      <c r="G732" s="21">
        <v>4.07</v>
      </c>
      <c r="H732" s="3"/>
    </row>
    <row r="733" spans="1:8" x14ac:dyDescent="0.25">
      <c r="A733" s="20">
        <v>43525</v>
      </c>
      <c r="B733" s="21">
        <v>6.47</v>
      </c>
      <c r="C733" s="21">
        <v>8.32</v>
      </c>
      <c r="D733" s="21">
        <v>5.37</v>
      </c>
      <c r="E733" s="21">
        <v>4.68</v>
      </c>
      <c r="F733" s="21">
        <v>5.93</v>
      </c>
      <c r="G733" s="21">
        <v>4.05</v>
      </c>
      <c r="H733" s="3"/>
    </row>
    <row r="734" spans="1:8" x14ac:dyDescent="0.25">
      <c r="A734" s="20">
        <v>43556</v>
      </c>
      <c r="B734" s="21">
        <v>6.47</v>
      </c>
      <c r="C734" s="21">
        <v>8.32</v>
      </c>
      <c r="D734" s="21">
        <v>5.37</v>
      </c>
      <c r="E734" s="21">
        <v>4.68</v>
      </c>
      <c r="F734" s="21">
        <v>5.93</v>
      </c>
      <c r="G734" s="21">
        <v>3.99</v>
      </c>
      <c r="H734" s="3"/>
    </row>
    <row r="735" spans="1:8" x14ac:dyDescent="0.25">
      <c r="A735" s="20">
        <v>43586</v>
      </c>
      <c r="B735" s="21">
        <v>6.47</v>
      </c>
      <c r="C735" s="21">
        <v>8.32</v>
      </c>
      <c r="D735" s="21">
        <v>5.37</v>
      </c>
      <c r="E735" s="21">
        <v>4.68</v>
      </c>
      <c r="F735" s="21">
        <v>5.93</v>
      </c>
      <c r="G735" s="21">
        <v>3.89</v>
      </c>
      <c r="H735" s="3"/>
    </row>
    <row r="736" spans="1:8" x14ac:dyDescent="0.25">
      <c r="A736" s="20">
        <v>43617</v>
      </c>
      <c r="B736" s="21">
        <v>6.36</v>
      </c>
      <c r="C736" s="21">
        <v>8.2100000000000009</v>
      </c>
      <c r="D736" s="21">
        <v>5.15</v>
      </c>
      <c r="E736" s="21">
        <v>4.46</v>
      </c>
      <c r="F736" s="21">
        <v>5.71</v>
      </c>
      <c r="G736" s="21">
        <v>3.88</v>
      </c>
      <c r="H736" s="3"/>
    </row>
    <row r="737" spans="1:8" x14ac:dyDescent="0.25">
      <c r="A737" s="20">
        <v>43647</v>
      </c>
      <c r="B737" s="21">
        <v>6.2</v>
      </c>
      <c r="C737" s="21">
        <v>7.74</v>
      </c>
      <c r="D737" s="21">
        <v>4.9400000000000004</v>
      </c>
      <c r="E737" s="21">
        <v>4.25</v>
      </c>
      <c r="F737" s="21">
        <v>5.49</v>
      </c>
      <c r="G737" s="21">
        <v>3.41</v>
      </c>
      <c r="H737" s="3"/>
    </row>
    <row r="738" spans="1:8" x14ac:dyDescent="0.25">
      <c r="A738" s="20">
        <v>43678</v>
      </c>
      <c r="B738" s="21">
        <v>6.2</v>
      </c>
      <c r="C738" s="21">
        <v>7.74</v>
      </c>
      <c r="D738" s="21">
        <v>4.9400000000000004</v>
      </c>
      <c r="E738" s="21">
        <v>4.25</v>
      </c>
      <c r="F738" s="21">
        <v>5.49</v>
      </c>
      <c r="G738" s="21">
        <v>3.41</v>
      </c>
      <c r="H738" s="3"/>
    </row>
    <row r="739" spans="1:8" x14ac:dyDescent="0.25">
      <c r="A739" s="20">
        <v>43709</v>
      </c>
      <c r="B739" s="21">
        <v>6.2</v>
      </c>
      <c r="C739" s="21">
        <v>7.74</v>
      </c>
      <c r="D739" s="21">
        <v>4.9400000000000004</v>
      </c>
      <c r="E739" s="21">
        <v>4.25</v>
      </c>
      <c r="F739" s="21">
        <v>5.49</v>
      </c>
      <c r="G739" s="21">
        <v>3.36</v>
      </c>
      <c r="H739" s="3"/>
    </row>
    <row r="740" spans="1:8" x14ac:dyDescent="0.25">
      <c r="A740" s="20">
        <v>43739</v>
      </c>
      <c r="B740" s="21">
        <v>6.09</v>
      </c>
      <c r="C740" s="21">
        <v>7.63</v>
      </c>
      <c r="D740" s="21">
        <v>4.8</v>
      </c>
      <c r="E740" s="21">
        <v>4.1500000000000004</v>
      </c>
      <c r="F740" s="21">
        <v>5.35</v>
      </c>
      <c r="G740" s="21">
        <v>3.1</v>
      </c>
      <c r="H740" s="3"/>
    </row>
    <row r="741" spans="1:8" x14ac:dyDescent="0.25">
      <c r="A741" s="20">
        <v>43770</v>
      </c>
      <c r="B741" s="21">
        <v>6.09</v>
      </c>
      <c r="C741" s="21">
        <v>7.63</v>
      </c>
      <c r="D741" s="21">
        <v>4.8</v>
      </c>
      <c r="E741" s="21">
        <v>4.1500000000000004</v>
      </c>
      <c r="F741" s="21">
        <v>5.35</v>
      </c>
      <c r="G741" s="21">
        <v>3.1</v>
      </c>
      <c r="H741" s="3"/>
    </row>
    <row r="742" spans="1:8" x14ac:dyDescent="0.25">
      <c r="A742" s="20">
        <v>43800</v>
      </c>
      <c r="B742" s="21">
        <v>6.09</v>
      </c>
      <c r="C742" s="21">
        <v>7.63</v>
      </c>
      <c r="D742" s="21">
        <v>4.8</v>
      </c>
      <c r="E742" s="21">
        <v>4.1500000000000004</v>
      </c>
      <c r="F742" s="21">
        <v>5.35</v>
      </c>
      <c r="G742" s="21">
        <v>3.1</v>
      </c>
      <c r="H742" s="3"/>
    </row>
    <row r="743" spans="1:8" x14ac:dyDescent="0.25">
      <c r="A743" s="20">
        <v>43831</v>
      </c>
      <c r="B743" s="21">
        <v>6.09</v>
      </c>
      <c r="C743" s="21">
        <v>7.63</v>
      </c>
      <c r="D743" s="21">
        <v>4.8</v>
      </c>
      <c r="E743" s="21">
        <v>4.1500000000000004</v>
      </c>
      <c r="F743" s="21">
        <v>5.35</v>
      </c>
      <c r="G743" s="21">
        <v>3.1</v>
      </c>
      <c r="H743" s="3"/>
    </row>
    <row r="744" spans="1:8" x14ac:dyDescent="0.25">
      <c r="A744" s="20">
        <v>43862</v>
      </c>
      <c r="B744" s="21">
        <v>6.09</v>
      </c>
      <c r="C744" s="21">
        <v>7.63</v>
      </c>
      <c r="D744" s="21">
        <v>4.8</v>
      </c>
      <c r="E744" s="21">
        <v>4.1500000000000004</v>
      </c>
      <c r="F744" s="21">
        <v>5.35</v>
      </c>
      <c r="G744" s="21">
        <v>3.08</v>
      </c>
      <c r="H744" s="3"/>
    </row>
    <row r="745" spans="1:8" x14ac:dyDescent="0.25">
      <c r="A745" s="20">
        <v>43891</v>
      </c>
      <c r="B745" s="21">
        <v>5.53</v>
      </c>
      <c r="C745" s="21">
        <v>7.32</v>
      </c>
      <c r="D745" s="21">
        <v>4.5199999999999996</v>
      </c>
      <c r="E745" s="21">
        <v>3.91</v>
      </c>
      <c r="F745" s="21">
        <v>5.0599999999999996</v>
      </c>
      <c r="G745" s="21">
        <v>2.54</v>
      </c>
      <c r="H745" s="3"/>
    </row>
    <row r="746" spans="1:8" x14ac:dyDescent="0.25">
      <c r="A746" s="20">
        <v>43922</v>
      </c>
      <c r="B746" s="21">
        <v>5.03</v>
      </c>
      <c r="C746" s="21">
        <v>6.57</v>
      </c>
      <c r="D746" s="21">
        <v>4.5199999999999996</v>
      </c>
      <c r="E746" s="21">
        <v>3.91</v>
      </c>
      <c r="F746" s="21">
        <v>5.0599999999999996</v>
      </c>
      <c r="G746" s="21">
        <v>2.54</v>
      </c>
      <c r="H746" s="3"/>
    </row>
    <row r="747" spans="1:8" x14ac:dyDescent="0.25">
      <c r="A747" s="20">
        <v>43952</v>
      </c>
      <c r="B747" s="21">
        <v>5.03</v>
      </c>
      <c r="C747" s="21">
        <v>6.57</v>
      </c>
      <c r="D747" s="21">
        <v>4.5199999999999996</v>
      </c>
      <c r="E747" s="21">
        <v>3.87</v>
      </c>
      <c r="F747" s="21">
        <v>5.0599999999999996</v>
      </c>
      <c r="G747" s="21">
        <v>2.54</v>
      </c>
      <c r="H747" s="3"/>
    </row>
    <row r="748" spans="1:8" x14ac:dyDescent="0.25">
      <c r="A748" s="20">
        <v>43983</v>
      </c>
      <c r="B748" s="21">
        <v>5.03</v>
      </c>
      <c r="C748" s="21">
        <v>6.57</v>
      </c>
      <c r="D748" s="21">
        <v>4.5199999999999996</v>
      </c>
      <c r="E748" s="21">
        <v>3.65</v>
      </c>
      <c r="F748" s="21">
        <v>5.0599999999999996</v>
      </c>
      <c r="G748" s="21">
        <v>2.39</v>
      </c>
      <c r="H748" s="3"/>
    </row>
    <row r="749" spans="1:8" x14ac:dyDescent="0.25">
      <c r="A749" s="20">
        <v>44013</v>
      </c>
      <c r="B749" s="21">
        <v>5.03</v>
      </c>
      <c r="C749" s="21">
        <v>6.51</v>
      </c>
      <c r="D749" s="21">
        <v>4.5199999999999996</v>
      </c>
      <c r="E749" s="21">
        <v>3.65</v>
      </c>
      <c r="F749" s="21">
        <v>5.0599999999999996</v>
      </c>
      <c r="G749" s="21">
        <v>2.39</v>
      </c>
      <c r="H749" s="3"/>
    </row>
    <row r="750" spans="1:8" x14ac:dyDescent="0.25">
      <c r="A750" s="20">
        <v>44044</v>
      </c>
      <c r="B750" s="21">
        <v>5.03</v>
      </c>
      <c r="C750" s="21">
        <v>6.51</v>
      </c>
      <c r="D750" s="21">
        <v>4.5199999999999996</v>
      </c>
      <c r="E750" s="21">
        <v>3.65</v>
      </c>
      <c r="F750" s="21">
        <v>5.0599999999999996</v>
      </c>
      <c r="G750" s="21">
        <v>2.39</v>
      </c>
      <c r="H750" s="3"/>
    </row>
    <row r="751" spans="1:8" x14ac:dyDescent="0.25">
      <c r="A751" s="20">
        <v>44075</v>
      </c>
      <c r="B751" s="21">
        <v>5.03</v>
      </c>
      <c r="C751" s="21">
        <v>6.51</v>
      </c>
      <c r="D751" s="21">
        <v>4.5199999999999996</v>
      </c>
      <c r="E751" s="21">
        <v>3.65</v>
      </c>
      <c r="F751" s="21">
        <v>5.0599999999999996</v>
      </c>
      <c r="G751" s="21">
        <v>2.39</v>
      </c>
      <c r="H751" s="3"/>
    </row>
    <row r="752" spans="1:8" x14ac:dyDescent="0.25">
      <c r="A752" s="20">
        <v>44105</v>
      </c>
      <c r="B752" s="21">
        <v>5.03</v>
      </c>
      <c r="C752" s="21">
        <v>6.51</v>
      </c>
      <c r="D752" s="21">
        <v>4.5199999999999996</v>
      </c>
      <c r="E752" s="21">
        <v>3.65</v>
      </c>
      <c r="F752" s="21">
        <v>5.0599999999999996</v>
      </c>
      <c r="G752" s="21">
        <v>2.39</v>
      </c>
      <c r="H752" s="3"/>
    </row>
    <row r="753" spans="1:8" x14ac:dyDescent="0.25">
      <c r="A753" s="20">
        <v>44136</v>
      </c>
      <c r="B753" s="21">
        <v>5.03</v>
      </c>
      <c r="C753" s="21">
        <v>6.51</v>
      </c>
      <c r="D753" s="21">
        <v>4.5199999999999996</v>
      </c>
      <c r="E753" s="21">
        <v>3.65</v>
      </c>
      <c r="F753" s="21">
        <v>5.0599999999999996</v>
      </c>
      <c r="G753" s="21">
        <v>2.2000000000000002</v>
      </c>
      <c r="H753" s="3"/>
    </row>
    <row r="754" spans="1:8" x14ac:dyDescent="0.25">
      <c r="A754" s="20">
        <v>44166</v>
      </c>
      <c r="B754" s="21">
        <v>5.03</v>
      </c>
      <c r="C754" s="21">
        <v>6.51</v>
      </c>
      <c r="D754" s="21">
        <v>4.5199999999999996</v>
      </c>
      <c r="E754" s="21">
        <v>3.65</v>
      </c>
      <c r="F754" s="21">
        <v>5.0599999999999996</v>
      </c>
      <c r="G754" s="21">
        <v>2.2000000000000002</v>
      </c>
      <c r="H754" s="3"/>
    </row>
    <row r="755" spans="1:8" x14ac:dyDescent="0.25">
      <c r="A755" s="20">
        <v>44197</v>
      </c>
      <c r="B755" s="21">
        <v>5.03</v>
      </c>
      <c r="C755" s="21">
        <v>6.51</v>
      </c>
      <c r="D755" s="21">
        <v>4.5199999999999996</v>
      </c>
      <c r="E755" s="21">
        <v>3.65</v>
      </c>
      <c r="F755" s="21">
        <v>5.0599999999999996</v>
      </c>
      <c r="G755" s="21">
        <v>2.2000000000000002</v>
      </c>
      <c r="H755" s="3"/>
    </row>
    <row r="756" spans="1:8" x14ac:dyDescent="0.25">
      <c r="A756" s="20">
        <v>44228</v>
      </c>
      <c r="B756" s="21">
        <v>5.03</v>
      </c>
      <c r="C756" s="21">
        <v>6.51</v>
      </c>
      <c r="D756" s="21">
        <v>4.5199999999999996</v>
      </c>
      <c r="E756" s="21">
        <v>3.65</v>
      </c>
      <c r="F756" s="21">
        <v>5.0599999999999996</v>
      </c>
      <c r="G756" s="21">
        <v>2.19</v>
      </c>
      <c r="H756" s="3"/>
    </row>
    <row r="757" spans="1:8" x14ac:dyDescent="0.25">
      <c r="A757" s="20">
        <v>44256</v>
      </c>
      <c r="B757" s="21">
        <v>5.03</v>
      </c>
      <c r="C757" s="21">
        <v>6.51</v>
      </c>
      <c r="D757" s="21">
        <v>4.5199999999999996</v>
      </c>
      <c r="E757" s="21">
        <v>3.65</v>
      </c>
      <c r="F757" s="21">
        <v>5.0599999999999996</v>
      </c>
      <c r="G757" s="21">
        <v>2.14</v>
      </c>
      <c r="H757" s="3"/>
    </row>
    <row r="758" spans="1:8" x14ac:dyDescent="0.25">
      <c r="A758" s="20">
        <v>44287</v>
      </c>
      <c r="B758" s="21">
        <v>5.03</v>
      </c>
      <c r="C758" s="21">
        <v>6.51</v>
      </c>
      <c r="D758" s="21">
        <v>4.5199999999999996</v>
      </c>
      <c r="E758" s="21">
        <v>3.59</v>
      </c>
      <c r="F758" s="21">
        <v>5.0599999999999996</v>
      </c>
      <c r="G758" s="21">
        <v>2.14</v>
      </c>
      <c r="H758" s="3"/>
    </row>
    <row r="759" spans="1:8" x14ac:dyDescent="0.25">
      <c r="A759" s="20">
        <v>44317</v>
      </c>
      <c r="B759" s="21">
        <v>5.03</v>
      </c>
      <c r="C759" s="21">
        <v>6.51</v>
      </c>
      <c r="D759" s="21">
        <v>4.5199999999999996</v>
      </c>
      <c r="E759" s="21">
        <v>3.59</v>
      </c>
      <c r="F759" s="21">
        <v>5.0599999999999996</v>
      </c>
      <c r="G759" s="21">
        <v>2.15</v>
      </c>
      <c r="H759" s="3"/>
    </row>
    <row r="760" spans="1:8" x14ac:dyDescent="0.25">
      <c r="A760" s="20">
        <v>44348</v>
      </c>
      <c r="B760" s="21">
        <v>5.03</v>
      </c>
      <c r="C760" s="21">
        <v>6.51</v>
      </c>
      <c r="D760" s="21">
        <v>4.5199999999999996</v>
      </c>
      <c r="E760" s="21">
        <v>3.59</v>
      </c>
      <c r="F760" s="21">
        <v>5.0599999999999996</v>
      </c>
      <c r="G760" s="21">
        <v>2.19</v>
      </c>
      <c r="H760" s="3"/>
    </row>
    <row r="761" spans="1:8" x14ac:dyDescent="0.25">
      <c r="A761" s="20">
        <v>44378</v>
      </c>
      <c r="B761" s="21">
        <v>5.03</v>
      </c>
      <c r="C761" s="21">
        <v>6.51</v>
      </c>
      <c r="D761" s="21">
        <v>4.5199999999999996</v>
      </c>
      <c r="E761" s="21">
        <v>3.6</v>
      </c>
      <c r="F761" s="21">
        <v>5.0599999999999996</v>
      </c>
      <c r="G761" s="21">
        <v>2.19</v>
      </c>
      <c r="H761" s="3"/>
    </row>
    <row r="762" spans="1:8" x14ac:dyDescent="0.25">
      <c r="A762" s="20">
        <v>44409</v>
      </c>
      <c r="B762" s="21">
        <v>5.03</v>
      </c>
      <c r="C762" s="21">
        <v>6.51</v>
      </c>
      <c r="D762" s="21">
        <v>4.5199999999999996</v>
      </c>
      <c r="E762" s="21">
        <v>3.45</v>
      </c>
      <c r="F762" s="21">
        <v>5.0599999999999996</v>
      </c>
      <c r="G762" s="21">
        <v>2.19</v>
      </c>
      <c r="H762" s="3"/>
    </row>
    <row r="763" spans="1:8" x14ac:dyDescent="0.25">
      <c r="A763" s="20">
        <v>44440</v>
      </c>
      <c r="B763" s="21">
        <v>4.75</v>
      </c>
      <c r="C763" s="21">
        <v>6.51</v>
      </c>
      <c r="D763" s="21">
        <v>4.5199999999999996</v>
      </c>
      <c r="E763" s="21">
        <v>3.45</v>
      </c>
      <c r="F763" s="21">
        <v>5.0599999999999996</v>
      </c>
      <c r="G763" s="21">
        <v>2.25</v>
      </c>
      <c r="H763" s="3"/>
    </row>
    <row r="764" spans="1:8" x14ac:dyDescent="0.25">
      <c r="A764" s="20">
        <v>44470</v>
      </c>
      <c r="B764" s="21">
        <v>4.75</v>
      </c>
      <c r="C764" s="21">
        <v>6.51</v>
      </c>
      <c r="D764" s="21">
        <v>4.5199999999999996</v>
      </c>
      <c r="E764" s="21">
        <v>3.45</v>
      </c>
      <c r="F764" s="21">
        <v>5.0599999999999996</v>
      </c>
      <c r="G764" s="21">
        <v>2.4700000000000002</v>
      </c>
      <c r="H764" s="3"/>
    </row>
    <row r="765" spans="1:8" x14ac:dyDescent="0.25">
      <c r="A765" s="20">
        <v>44501</v>
      </c>
      <c r="B765" s="21">
        <v>4.75</v>
      </c>
      <c r="C765" s="21">
        <v>6.51</v>
      </c>
      <c r="D765" s="21">
        <v>4.5199999999999996</v>
      </c>
      <c r="E765" s="21">
        <v>3.45</v>
      </c>
      <c r="F765" s="21">
        <v>5.0599999999999996</v>
      </c>
      <c r="G765" s="21">
        <v>2.93</v>
      </c>
      <c r="H765" s="3"/>
    </row>
    <row r="766" spans="1:8" x14ac:dyDescent="0.25">
      <c r="A766" s="20">
        <v>44531</v>
      </c>
      <c r="B766" s="21">
        <v>4.75</v>
      </c>
      <c r="C766" s="21">
        <v>6.51</v>
      </c>
      <c r="D766" s="21">
        <v>4.5199999999999996</v>
      </c>
      <c r="E766" s="21">
        <v>3.45</v>
      </c>
      <c r="F766" s="21">
        <v>5.0599999999999996</v>
      </c>
      <c r="G766" s="21">
        <v>3.17</v>
      </c>
      <c r="H766" s="3"/>
    </row>
    <row r="767" spans="1:8" x14ac:dyDescent="0.25">
      <c r="A767" s="20">
        <v>44562</v>
      </c>
      <c r="B767" s="21">
        <v>4.75</v>
      </c>
      <c r="C767" s="21">
        <v>6.51</v>
      </c>
      <c r="D767" s="21">
        <v>4.5199999999999996</v>
      </c>
      <c r="E767" s="21">
        <v>3.45</v>
      </c>
      <c r="F767" s="21">
        <v>5.0599999999999996</v>
      </c>
      <c r="G767" s="21">
        <v>3.23</v>
      </c>
      <c r="H767" s="3"/>
    </row>
    <row r="768" spans="1:8" x14ac:dyDescent="0.25">
      <c r="A768" s="20">
        <v>44593</v>
      </c>
      <c r="B768" s="21">
        <v>4.75</v>
      </c>
      <c r="C768" s="21">
        <v>6.51</v>
      </c>
      <c r="D768" s="21">
        <v>4.5199999999999996</v>
      </c>
      <c r="E768" s="21">
        <v>3.45</v>
      </c>
      <c r="F768" s="21">
        <v>5.0599999999999996</v>
      </c>
      <c r="G768" s="21">
        <v>3.48</v>
      </c>
      <c r="H768" s="3"/>
    </row>
    <row r="769" spans="1:8" x14ac:dyDescent="0.25">
      <c r="A769" s="20">
        <v>44621</v>
      </c>
      <c r="B769" s="21">
        <v>4.75</v>
      </c>
      <c r="C769" s="21">
        <v>6.51</v>
      </c>
      <c r="D769" s="21">
        <v>4.5199999999999996</v>
      </c>
      <c r="E769" s="21">
        <v>3.45</v>
      </c>
      <c r="F769" s="21">
        <v>5.0599999999999996</v>
      </c>
      <c r="G769" s="21">
        <v>3.83</v>
      </c>
      <c r="H769" s="3"/>
    </row>
    <row r="770" spans="1:8" x14ac:dyDescent="0.25">
      <c r="A770" s="20">
        <v>44652</v>
      </c>
      <c r="B770" s="21">
        <v>4.75</v>
      </c>
      <c r="C770" s="21">
        <v>6.51</v>
      </c>
      <c r="D770" s="21">
        <v>4.5199999999999996</v>
      </c>
      <c r="E770" s="21">
        <v>3.45</v>
      </c>
      <c r="F770" s="21">
        <v>5.0599999999999996</v>
      </c>
      <c r="G770" s="21">
        <v>4.34</v>
      </c>
      <c r="H770" s="3"/>
    </row>
    <row r="771" spans="1:8" x14ac:dyDescent="0.25">
      <c r="A771" s="20">
        <v>44682</v>
      </c>
      <c r="B771" s="21">
        <v>5</v>
      </c>
      <c r="C771" s="21">
        <v>6.79</v>
      </c>
      <c r="D771" s="21">
        <v>4.7699999999999996</v>
      </c>
      <c r="E771" s="21">
        <v>3.7</v>
      </c>
      <c r="F771" s="21">
        <v>5.31</v>
      </c>
      <c r="G771" s="21">
        <v>4.72</v>
      </c>
      <c r="H771" s="3"/>
    </row>
    <row r="772" spans="1:8" x14ac:dyDescent="0.25">
      <c r="A772" s="20">
        <v>44713</v>
      </c>
      <c r="B772" s="21">
        <v>5.5</v>
      </c>
      <c r="C772" s="21">
        <v>7.26</v>
      </c>
      <c r="D772" s="21">
        <v>5.27</v>
      </c>
      <c r="E772" s="21">
        <v>4.2</v>
      </c>
      <c r="F772" s="21">
        <v>5.81</v>
      </c>
      <c r="G772" s="21">
        <v>5.66</v>
      </c>
      <c r="H772" s="3"/>
    </row>
    <row r="773" spans="1:8" x14ac:dyDescent="0.25">
      <c r="A773" s="20">
        <v>44743</v>
      </c>
      <c r="B773" s="21">
        <v>6</v>
      </c>
      <c r="C773" s="21">
        <v>7.76</v>
      </c>
      <c r="D773" s="21">
        <v>5.77</v>
      </c>
      <c r="E773" s="21">
        <v>4.7</v>
      </c>
      <c r="F773" s="21">
        <v>6.31</v>
      </c>
      <c r="G773" s="21">
        <v>6.14</v>
      </c>
      <c r="H773" s="3"/>
    </row>
    <row r="774" spans="1:8" x14ac:dyDescent="0.25">
      <c r="A774" s="20">
        <v>44774</v>
      </c>
      <c r="B774" s="21">
        <v>6.5</v>
      </c>
      <c r="C774" s="21">
        <v>8.2899999999999991</v>
      </c>
      <c r="D774" s="21">
        <v>6.27</v>
      </c>
      <c r="E774" s="21">
        <v>5.2</v>
      </c>
      <c r="F774" s="21">
        <v>6.81</v>
      </c>
      <c r="G774" s="21">
        <v>6.06</v>
      </c>
      <c r="H774" s="3"/>
    </row>
    <row r="775" spans="1:8" x14ac:dyDescent="0.25">
      <c r="A775" s="20">
        <v>44805</v>
      </c>
      <c r="B775" s="21">
        <v>7</v>
      </c>
      <c r="C775" s="21">
        <v>8.7899999999999991</v>
      </c>
      <c r="D775" s="21">
        <v>6.77</v>
      </c>
      <c r="E775" s="21">
        <v>5.7</v>
      </c>
      <c r="F775" s="21">
        <v>7.31</v>
      </c>
      <c r="G775" s="21">
        <v>6.05</v>
      </c>
      <c r="H775" s="3"/>
    </row>
    <row r="776" spans="1:8" x14ac:dyDescent="0.25">
      <c r="A776" s="20">
        <v>44835</v>
      </c>
      <c r="B776" s="21">
        <v>7.25</v>
      </c>
      <c r="C776" s="21">
        <v>9.0399999999999991</v>
      </c>
      <c r="D776" s="21">
        <v>7.02</v>
      </c>
      <c r="E776" s="21">
        <v>5.95</v>
      </c>
      <c r="F776" s="21">
        <v>7.56</v>
      </c>
      <c r="G776" s="21">
        <v>6.24</v>
      </c>
      <c r="H776" s="3"/>
    </row>
    <row r="777" spans="1:8" x14ac:dyDescent="0.25">
      <c r="A777" s="20">
        <v>44866</v>
      </c>
      <c r="B777" s="21">
        <v>7.5</v>
      </c>
      <c r="C777" s="21">
        <v>9.2899999999999991</v>
      </c>
      <c r="D777" s="21">
        <v>7.27</v>
      </c>
      <c r="E777" s="21">
        <v>5.72</v>
      </c>
      <c r="F777" s="21">
        <v>7.81</v>
      </c>
      <c r="G777" s="21">
        <v>6.3</v>
      </c>
      <c r="H777" s="3"/>
    </row>
    <row r="778" spans="1:8" x14ac:dyDescent="0.25">
      <c r="A778" s="20">
        <v>44896</v>
      </c>
      <c r="B778" s="21">
        <v>7.75</v>
      </c>
      <c r="C778" s="21">
        <v>9.51</v>
      </c>
      <c r="D778" s="21">
        <v>7.52</v>
      </c>
      <c r="E778" s="21">
        <v>5.97</v>
      </c>
      <c r="F778" s="21">
        <v>8.06</v>
      </c>
      <c r="G778" s="21">
        <v>6.24</v>
      </c>
      <c r="H778" s="3"/>
    </row>
    <row r="779" spans="1:8" x14ac:dyDescent="0.25">
      <c r="A779" s="20">
        <v>44927</v>
      </c>
      <c r="B779" s="21">
        <v>7.75</v>
      </c>
      <c r="C779" s="21">
        <v>9.51</v>
      </c>
      <c r="D779" s="21">
        <v>7.52</v>
      </c>
      <c r="E779" s="21">
        <v>5.97</v>
      </c>
      <c r="F779" s="21">
        <v>8.06</v>
      </c>
      <c r="G779" s="21">
        <v>6.24</v>
      </c>
      <c r="H779" s="3"/>
    </row>
    <row r="780" spans="1:8" x14ac:dyDescent="0.25">
      <c r="A780" s="20">
        <v>44958</v>
      </c>
      <c r="B780" s="21">
        <v>8</v>
      </c>
      <c r="C780" s="21">
        <v>9.76</v>
      </c>
      <c r="D780" s="21">
        <v>7.77</v>
      </c>
      <c r="E780" s="21">
        <v>6.22</v>
      </c>
      <c r="F780" s="21">
        <v>8.31</v>
      </c>
      <c r="G780" s="21">
        <v>6.26</v>
      </c>
      <c r="H780" s="3"/>
    </row>
    <row r="781" spans="1:8" x14ac:dyDescent="0.25">
      <c r="A781" s="20">
        <v>44986</v>
      </c>
      <c r="B781" s="21">
        <v>8.25</v>
      </c>
      <c r="C781" s="21">
        <v>10.01</v>
      </c>
      <c r="D781" s="21">
        <v>8.02</v>
      </c>
      <c r="E781" s="21">
        <v>6.43</v>
      </c>
      <c r="F781" s="21">
        <v>8.56</v>
      </c>
      <c r="G781" s="21">
        <v>6.27</v>
      </c>
      <c r="H781" s="3"/>
    </row>
    <row r="782" spans="1:8" x14ac:dyDescent="0.25">
      <c r="A782" s="20">
        <v>45017</v>
      </c>
      <c r="B782" s="21">
        <v>8.44</v>
      </c>
      <c r="C782" s="21">
        <v>10.01</v>
      </c>
      <c r="D782" s="21">
        <v>8.02</v>
      </c>
      <c r="E782" s="21">
        <v>6.49</v>
      </c>
      <c r="F782" s="21">
        <v>8.56</v>
      </c>
      <c r="G782" s="21">
        <v>5.97</v>
      </c>
      <c r="H782" s="3"/>
    </row>
    <row r="783" spans="1:8" x14ac:dyDescent="0.25">
      <c r="A783" s="20">
        <v>45047</v>
      </c>
      <c r="B783" s="21">
        <v>8.5</v>
      </c>
      <c r="C783" s="21">
        <v>10.26</v>
      </c>
      <c r="D783" s="21">
        <v>8.27</v>
      </c>
      <c r="E783" s="21">
        <v>6.79</v>
      </c>
      <c r="F783" s="21">
        <v>8.7899999999999991</v>
      </c>
      <c r="G783" s="21">
        <v>5.97</v>
      </c>
      <c r="H783" s="3"/>
    </row>
    <row r="784" spans="1:8" x14ac:dyDescent="0.25">
      <c r="A784" s="20">
        <v>45078</v>
      </c>
      <c r="B784" s="21">
        <v>8.75</v>
      </c>
      <c r="C784" s="21">
        <v>10.51</v>
      </c>
      <c r="D784" s="21">
        <v>8.52</v>
      </c>
      <c r="E784" s="21">
        <v>7.06</v>
      </c>
      <c r="F784" s="21">
        <v>9.0399999999999991</v>
      </c>
      <c r="G784" s="21">
        <v>6.38</v>
      </c>
      <c r="H784" s="3"/>
    </row>
    <row r="785" spans="1:8" x14ac:dyDescent="0.25">
      <c r="A785" s="20">
        <v>45108</v>
      </c>
      <c r="B785" s="21">
        <v>8.75</v>
      </c>
      <c r="C785" s="21">
        <v>10.51</v>
      </c>
      <c r="D785" s="21">
        <v>8.52</v>
      </c>
      <c r="E785" s="21">
        <v>7.06</v>
      </c>
      <c r="F785" s="21">
        <v>9.0399999999999991</v>
      </c>
      <c r="G785" s="21">
        <v>6.65</v>
      </c>
      <c r="H785" s="3"/>
    </row>
    <row r="786" spans="1:8" x14ac:dyDescent="0.25">
      <c r="A786" s="20">
        <v>45139</v>
      </c>
      <c r="B786" s="21">
        <v>8.75</v>
      </c>
      <c r="C786" s="21">
        <v>10.51</v>
      </c>
      <c r="D786" s="21">
        <v>8.52</v>
      </c>
      <c r="E786" s="21">
        <v>7.06</v>
      </c>
      <c r="F786" s="21">
        <v>9.0399999999999991</v>
      </c>
      <c r="G786" s="21">
        <v>6.58</v>
      </c>
      <c r="H786" s="3"/>
    </row>
    <row r="787" spans="1:8" x14ac:dyDescent="0.25">
      <c r="A787" s="20">
        <v>45170</v>
      </c>
      <c r="B787" s="21">
        <v>8.75</v>
      </c>
      <c r="C787" s="21">
        <v>10.51</v>
      </c>
      <c r="D787" s="21">
        <v>8.52</v>
      </c>
      <c r="E787" s="21">
        <v>7.06</v>
      </c>
      <c r="F787" s="21">
        <v>9.0399999999999991</v>
      </c>
      <c r="G787" s="21">
        <v>6.56</v>
      </c>
      <c r="H787" s="3"/>
    </row>
    <row r="788" spans="1:8" x14ac:dyDescent="0.25">
      <c r="A788" s="20">
        <v>45200</v>
      </c>
      <c r="B788" s="21">
        <v>8.75</v>
      </c>
      <c r="C788" s="21">
        <v>10.51</v>
      </c>
      <c r="D788" s="21">
        <v>8.52</v>
      </c>
      <c r="E788" s="21">
        <v>7.06</v>
      </c>
      <c r="F788" s="21">
        <v>9.0399999999999991</v>
      </c>
      <c r="G788" s="21">
        <v>6.56</v>
      </c>
      <c r="H788" s="3"/>
    </row>
    <row r="789" spans="1:8" x14ac:dyDescent="0.25">
      <c r="A789" s="20">
        <v>45231</v>
      </c>
      <c r="B789" s="21">
        <v>9</v>
      </c>
      <c r="C789" s="21">
        <v>10.79</v>
      </c>
      <c r="D789" s="21">
        <v>8.77</v>
      </c>
      <c r="E789" s="21">
        <v>7.31</v>
      </c>
      <c r="F789" s="21">
        <v>9.2899999999999991</v>
      </c>
      <c r="G789" s="21">
        <v>6.8</v>
      </c>
      <c r="H789" s="3"/>
    </row>
    <row r="790" spans="1:8" x14ac:dyDescent="0.25">
      <c r="A790" s="20">
        <v>45261</v>
      </c>
      <c r="B790" s="21">
        <v>9</v>
      </c>
      <c r="C790" s="21">
        <v>10.79</v>
      </c>
      <c r="D790" s="21">
        <v>8.77</v>
      </c>
      <c r="E790" s="21">
        <v>7.31</v>
      </c>
      <c r="F790" s="21">
        <v>9.2899999999999991</v>
      </c>
      <c r="G790" s="21">
        <v>6.8</v>
      </c>
      <c r="H790" s="3"/>
    </row>
    <row r="791" spans="1:8" x14ac:dyDescent="0.25">
      <c r="A791" s="20">
        <v>45292</v>
      </c>
      <c r="B791" s="21">
        <v>9</v>
      </c>
      <c r="C791" s="21">
        <v>10.79</v>
      </c>
      <c r="D791" s="21">
        <v>8.77</v>
      </c>
      <c r="E791" s="21">
        <v>7.31</v>
      </c>
      <c r="F791" s="21">
        <v>9.2899999999999991</v>
      </c>
      <c r="G791" s="21">
        <v>6.8</v>
      </c>
      <c r="H791" s="3"/>
    </row>
    <row r="792" spans="1:8" x14ac:dyDescent="0.25">
      <c r="A792" s="20">
        <v>45323</v>
      </c>
      <c r="B792" s="21">
        <v>9</v>
      </c>
      <c r="C792" s="21">
        <v>10.79</v>
      </c>
      <c r="D792" s="21">
        <v>8.77</v>
      </c>
      <c r="E792" s="21">
        <v>7.31</v>
      </c>
      <c r="F792" s="21">
        <v>9.2899999999999991</v>
      </c>
      <c r="G792" s="21">
        <v>6.8</v>
      </c>
      <c r="H792" s="3"/>
    </row>
    <row r="793" spans="1:8" x14ac:dyDescent="0.25">
      <c r="A793" s="20">
        <v>45352</v>
      </c>
      <c r="B793" s="21">
        <v>9</v>
      </c>
      <c r="C793" s="21">
        <v>10.79</v>
      </c>
      <c r="D793" s="21">
        <v>8.77</v>
      </c>
      <c r="E793" s="21">
        <v>7.31</v>
      </c>
      <c r="F793" s="21">
        <v>9.2899999999999991</v>
      </c>
      <c r="G793" s="21">
        <v>6.8</v>
      </c>
      <c r="H793" s="3"/>
    </row>
    <row r="794" spans="1:8" x14ac:dyDescent="0.25">
      <c r="A794" s="20">
        <v>45383</v>
      </c>
      <c r="B794" s="21">
        <v>9</v>
      </c>
      <c r="C794" s="21">
        <v>10.79</v>
      </c>
      <c r="D794" s="21">
        <v>8.77</v>
      </c>
      <c r="E794" s="21">
        <v>7.12</v>
      </c>
      <c r="F794" s="21">
        <v>9.2899999999999991</v>
      </c>
      <c r="G794" s="21">
        <v>6.8</v>
      </c>
      <c r="H794" s="3"/>
    </row>
    <row r="795" spans="1:8" x14ac:dyDescent="0.25">
      <c r="A795" s="20">
        <v>45413</v>
      </c>
      <c r="B795" s="21">
        <v>9</v>
      </c>
      <c r="C795" s="21">
        <v>10.79</v>
      </c>
      <c r="D795" s="21">
        <v>8.77</v>
      </c>
      <c r="E795" s="21">
        <v>7.12</v>
      </c>
      <c r="F795" s="21">
        <v>9.2899999999999991</v>
      </c>
      <c r="G795" s="21">
        <v>6.8</v>
      </c>
      <c r="H795" s="3"/>
    </row>
    <row r="796" spans="1:8" x14ac:dyDescent="0.25">
      <c r="A796" s="20">
        <v>45444</v>
      </c>
      <c r="B796" s="21">
        <v>9</v>
      </c>
      <c r="C796" s="21">
        <v>10.79</v>
      </c>
      <c r="D796" s="21">
        <v>8.77</v>
      </c>
      <c r="E796" s="21">
        <v>7.12</v>
      </c>
      <c r="F796" s="21">
        <v>9.2899999999999991</v>
      </c>
      <c r="G796" s="21">
        <v>6.8</v>
      </c>
      <c r="H796" s="3"/>
    </row>
    <row r="797" spans="1:8" x14ac:dyDescent="0.25">
      <c r="A797" s="20">
        <v>45474</v>
      </c>
      <c r="B797" s="21">
        <v>9</v>
      </c>
      <c r="C797" s="21">
        <v>10.79</v>
      </c>
      <c r="D797" s="21">
        <v>8.77</v>
      </c>
      <c r="E797" s="21">
        <v>7.12</v>
      </c>
      <c r="F797" s="21">
        <v>9.2899999999999991</v>
      </c>
      <c r="G797" s="21">
        <v>6.68</v>
      </c>
      <c r="H797" s="3"/>
    </row>
    <row r="798" spans="1:8" x14ac:dyDescent="0.25">
      <c r="A798" s="20">
        <v>45505</v>
      </c>
      <c r="B798" s="21">
        <v>9</v>
      </c>
      <c r="C798" s="21">
        <v>10.79</v>
      </c>
      <c r="D798" s="21">
        <v>8.77</v>
      </c>
      <c r="E798" s="21">
        <v>7.07</v>
      </c>
      <c r="F798" s="21">
        <v>9.2899999999999991</v>
      </c>
      <c r="G798" s="21">
        <v>6.27</v>
      </c>
      <c r="H798" s="3"/>
    </row>
    <row r="799" spans="1:8" x14ac:dyDescent="0.25">
      <c r="A799" s="20">
        <v>45536</v>
      </c>
      <c r="B799" s="21">
        <v>9</v>
      </c>
      <c r="C799" s="21">
        <v>10.79</v>
      </c>
      <c r="D799" s="21">
        <v>8.77</v>
      </c>
      <c r="E799" s="21">
        <v>7.07</v>
      </c>
      <c r="F799" s="21">
        <v>9.2899999999999991</v>
      </c>
      <c r="G799" s="21">
        <v>6.27</v>
      </c>
      <c r="H799" s="3"/>
    </row>
    <row r="800" spans="1:8" x14ac:dyDescent="0.25">
      <c r="A800" s="20">
        <v>45566</v>
      </c>
      <c r="B800" s="21">
        <v>9</v>
      </c>
      <c r="C800" s="21">
        <v>10.79</v>
      </c>
      <c r="D800" s="21">
        <v>8.77</v>
      </c>
      <c r="E800" s="21">
        <v>7.07</v>
      </c>
      <c r="F800" s="21">
        <v>9.2899999999999991</v>
      </c>
      <c r="G800" s="21">
        <v>6.08</v>
      </c>
      <c r="H800" s="3"/>
    </row>
    <row r="801" spans="1:8" x14ac:dyDescent="0.25">
      <c r="A801" s="20">
        <v>45597</v>
      </c>
      <c r="B801" s="21">
        <v>9</v>
      </c>
      <c r="C801" s="21">
        <v>10.79</v>
      </c>
      <c r="D801" s="21">
        <v>8.77</v>
      </c>
      <c r="E801" s="21">
        <v>7.07</v>
      </c>
      <c r="F801" s="21">
        <v>9.2899999999999991</v>
      </c>
      <c r="G801" s="21">
        <v>6.08</v>
      </c>
      <c r="H801" s="3"/>
    </row>
    <row r="802" spans="1:8" x14ac:dyDescent="0.25">
      <c r="A802" s="20">
        <v>45627</v>
      </c>
      <c r="B802" s="21">
        <v>9</v>
      </c>
      <c r="C802" s="21">
        <v>10.79</v>
      </c>
      <c r="D802" s="21">
        <v>8.77</v>
      </c>
      <c r="E802" s="21">
        <v>7.07</v>
      </c>
      <c r="F802" s="21">
        <v>9.2899999999999991</v>
      </c>
      <c r="G802" s="21">
        <v>6.08</v>
      </c>
      <c r="H802" s="3"/>
    </row>
    <row r="803" spans="1:8" x14ac:dyDescent="0.25">
      <c r="A803" s="20">
        <v>45658</v>
      </c>
      <c r="B803" s="21">
        <v>9</v>
      </c>
      <c r="C803" s="21">
        <v>10.79</v>
      </c>
      <c r="D803" s="21">
        <v>8.77</v>
      </c>
      <c r="E803" s="21">
        <v>7.07</v>
      </c>
      <c r="F803" s="21">
        <v>9.2899999999999991</v>
      </c>
      <c r="G803" s="21">
        <v>6.08</v>
      </c>
      <c r="H803" s="3"/>
    </row>
    <row r="804" spans="1:8" x14ac:dyDescent="0.25">
      <c r="A804" s="20">
        <v>45689</v>
      </c>
      <c r="B804" s="21">
        <v>8.8699999999999992</v>
      </c>
      <c r="C804" s="21">
        <v>10.63</v>
      </c>
      <c r="D804" s="21">
        <v>8.6199999999999992</v>
      </c>
      <c r="E804" s="21">
        <v>6.88</v>
      </c>
      <c r="F804" s="21">
        <v>9.1</v>
      </c>
      <c r="G804" s="21">
        <v>6.03</v>
      </c>
      <c r="H804" s="3"/>
    </row>
    <row r="805" spans="1:8" x14ac:dyDescent="0.25">
      <c r="A805" s="20">
        <v>45717</v>
      </c>
      <c r="B805" s="21">
        <v>8.75</v>
      </c>
      <c r="C805" s="21">
        <v>10.51</v>
      </c>
      <c r="D805" s="21">
        <v>8.52</v>
      </c>
      <c r="E805" s="21">
        <v>6.82</v>
      </c>
      <c r="F805" s="21">
        <v>9.0399999999999991</v>
      </c>
      <c r="G805" s="21">
        <v>6.03</v>
      </c>
      <c r="H805" s="3"/>
    </row>
    <row r="806" spans="1:8" x14ac:dyDescent="0.25">
      <c r="A806" s="20">
        <v>45748</v>
      </c>
      <c r="B806" s="21">
        <v>8.75</v>
      </c>
      <c r="C806" s="21">
        <v>10.51</v>
      </c>
      <c r="D806" s="21">
        <v>8.52</v>
      </c>
      <c r="E806" s="21">
        <v>6.55</v>
      </c>
      <c r="F806" s="21">
        <v>9.0399999999999991</v>
      </c>
      <c r="G806" s="21">
        <v>5.94</v>
      </c>
      <c r="H806" s="3"/>
    </row>
    <row r="807" spans="1:8" x14ac:dyDescent="0.25">
      <c r="A807" s="20">
        <v>45778</v>
      </c>
      <c r="B807" s="21">
        <v>8.6199999999999992</v>
      </c>
      <c r="C807" s="21">
        <v>10.38</v>
      </c>
      <c r="D807" s="21">
        <v>8.3699999999999992</v>
      </c>
      <c r="E807" s="21">
        <v>6.37</v>
      </c>
      <c r="F807" s="21">
        <v>8.85</v>
      </c>
      <c r="G807" s="21">
        <v>5.88</v>
      </c>
      <c r="H807" s="3"/>
    </row>
    <row r="808" spans="1:8" x14ac:dyDescent="0.25">
      <c r="A808" s="20">
        <v>45809</v>
      </c>
      <c r="B808" s="21">
        <v>8.5</v>
      </c>
      <c r="C808" s="21">
        <v>10.26</v>
      </c>
      <c r="D808" s="21">
        <v>8.27</v>
      </c>
      <c r="E808" s="21">
        <v>6.3</v>
      </c>
      <c r="F808" s="21">
        <v>8.7899999999999991</v>
      </c>
      <c r="G808" s="21">
        <v>5.88</v>
      </c>
      <c r="H808" s="3"/>
    </row>
    <row r="809" spans="1:8" x14ac:dyDescent="0.25">
      <c r="A809" s="20">
        <v>45839</v>
      </c>
      <c r="B809" s="21">
        <v>8.5</v>
      </c>
      <c r="C809" s="21">
        <v>10.26</v>
      </c>
      <c r="D809" s="21">
        <v>8.27</v>
      </c>
      <c r="E809" s="21">
        <v>6.3</v>
      </c>
      <c r="F809" s="21">
        <v>8.7899999999999991</v>
      </c>
      <c r="G809" s="21">
        <v>5.81</v>
      </c>
      <c r="H809" s="3"/>
    </row>
    <row r="810" spans="1:8" x14ac:dyDescent="0.25">
      <c r="A810" s="20">
        <v>45870</v>
      </c>
      <c r="B810" s="21">
        <v>8.25</v>
      </c>
      <c r="C810" s="21">
        <v>10.01</v>
      </c>
      <c r="D810" s="21">
        <v>8.02</v>
      </c>
      <c r="E810" s="21">
        <v>6.05</v>
      </c>
      <c r="F810" s="21">
        <v>8.5399999999999991</v>
      </c>
      <c r="G810" s="21">
        <v>5.52</v>
      </c>
      <c r="H810" s="3"/>
    </row>
    <row r="811" spans="1:8" x14ac:dyDescent="0.25">
      <c r="A811" s="20">
        <v>45901</v>
      </c>
      <c r="B811" s="21">
        <v>8.25</v>
      </c>
      <c r="C811" s="21">
        <v>10.01</v>
      </c>
      <c r="D811" s="21">
        <v>8.02</v>
      </c>
      <c r="E811" s="21">
        <v>6.05</v>
      </c>
      <c r="F811" s="21">
        <v>8.5399999999999991</v>
      </c>
      <c r="G811" s="21">
        <v>5.52</v>
      </c>
      <c r="H811" s="3"/>
    </row>
    <row r="812" spans="1:8" x14ac:dyDescent="0.25">
      <c r="A812" s="20">
        <v>45931</v>
      </c>
      <c r="B812" s="21">
        <v>8.25</v>
      </c>
      <c r="C812" s="21">
        <v>10.01</v>
      </c>
      <c r="D812" s="21">
        <v>8.02</v>
      </c>
      <c r="E812" s="21">
        <v>6.05</v>
      </c>
      <c r="F812" s="21">
        <v>8.5399999999999991</v>
      </c>
      <c r="G812" s="21">
        <v>5.52</v>
      </c>
      <c r="H812" s="3"/>
    </row>
    <row r="813" spans="1:8" x14ac:dyDescent="0.25">
      <c r="A813" s="20">
        <v>45962</v>
      </c>
      <c r="B813" s="21">
        <v>8.25</v>
      </c>
      <c r="C813" s="21">
        <v>10.01</v>
      </c>
      <c r="D813" s="21">
        <v>8.02</v>
      </c>
      <c r="E813" s="21">
        <v>6.05</v>
      </c>
      <c r="F813" s="21">
        <v>8.5399999999999991</v>
      </c>
      <c r="G813" s="21">
        <v>5.56</v>
      </c>
      <c r="H813" s="3"/>
    </row>
    <row r="814" spans="1:8" x14ac:dyDescent="0.25">
      <c r="A814" s="20">
        <v>45992</v>
      </c>
      <c r="B814" s="21">
        <v>8.25</v>
      </c>
      <c r="C814" s="21">
        <v>10.01</v>
      </c>
      <c r="D814" s="21">
        <v>8.02</v>
      </c>
      <c r="E814" s="21">
        <v>6.05</v>
      </c>
      <c r="F814" s="21">
        <v>8.5399999999999991</v>
      </c>
      <c r="G814" s="21">
        <v>5.77</v>
      </c>
      <c r="H814" s="3"/>
    </row>
    <row r="815" spans="1:8" x14ac:dyDescent="0.25">
      <c r="A815" s="20">
        <v>46023</v>
      </c>
      <c r="B815" s="21">
        <v>8.25</v>
      </c>
      <c r="C815" s="21">
        <v>10.01</v>
      </c>
      <c r="D815" s="21">
        <v>8.02</v>
      </c>
      <c r="E815" s="21">
        <v>6.05</v>
      </c>
      <c r="F815" s="21">
        <v>8.5399999999999991</v>
      </c>
      <c r="G815" s="21">
        <v>5.99</v>
      </c>
      <c r="H815" s="3"/>
    </row>
    <row r="816" spans="1:8" x14ac:dyDescent="0.25">
      <c r="A816" s="20">
        <v>46054</v>
      </c>
      <c r="B816" s="21">
        <v>8.5</v>
      </c>
      <c r="C816" s="21">
        <v>10.26</v>
      </c>
      <c r="D816" s="21">
        <v>8.27</v>
      </c>
      <c r="E816" s="21">
        <v>6.3</v>
      </c>
      <c r="F816" s="21">
        <v>8.7899999999999991</v>
      </c>
      <c r="G816" s="21">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EEBE-151C-4BA8-8761-857A05FDC18B}">
  <sheetPr filterMode="1">
    <tabColor rgb="FFFF0000"/>
  </sheetPr>
  <dimension ref="B1:BH398"/>
  <sheetViews>
    <sheetView showGridLines="0" zoomScaleNormal="100" workbookViewId="0">
      <pane xSplit="4" ySplit="8" topLeftCell="E19" activePane="bottomRight" state="frozen"/>
      <selection activeCell="D402" sqref="D402"/>
      <selection pane="topRight" activeCell="D402" sqref="D402"/>
      <selection pane="bottomLeft" activeCell="D402" sqref="D402"/>
      <selection pane="bottomRight" activeCell="E249" sqref="E249"/>
    </sheetView>
  </sheetViews>
  <sheetFormatPr defaultColWidth="9.140625" defaultRowHeight="14.25" outlineLevelCol="1" x14ac:dyDescent="0.2"/>
  <cols>
    <col min="1" max="1" width="3.85546875" style="47" customWidth="1"/>
    <col min="2" max="2" width="2.85546875" style="47" customWidth="1"/>
    <col min="3" max="4" width="25" style="47" customWidth="1"/>
    <col min="5" max="44" width="10.28515625" style="47" customWidth="1" outlineLevel="1"/>
    <col min="45" max="55" width="10.28515625" style="47" customWidth="1" outlineLevel="1" collapsed="1"/>
    <col min="56" max="16384" width="9.140625" style="47"/>
  </cols>
  <sheetData>
    <row r="1" spans="2:60" ht="15" x14ac:dyDescent="0.25">
      <c r="B1" t="s">
        <v>705</v>
      </c>
      <c r="BD1" s="48" t="s">
        <v>637</v>
      </c>
      <c r="BE1" s="49" t="s">
        <v>638</v>
      </c>
    </row>
    <row r="2" spans="2:60" ht="15.75" x14ac:dyDescent="0.2">
      <c r="B2" s="50" t="s">
        <v>639</v>
      </c>
    </row>
    <row r="3" spans="2:60" x14ac:dyDescent="0.2">
      <c r="B3" s="51" t="s">
        <v>640</v>
      </c>
    </row>
    <row r="5" spans="2:60" x14ac:dyDescent="0.2">
      <c r="B5" s="52"/>
      <c r="C5" s="52" t="s">
        <v>641</v>
      </c>
      <c r="D5" s="52" t="s">
        <v>642</v>
      </c>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row>
    <row r="6" spans="2:60" x14ac:dyDescent="0.2">
      <c r="B6" s="54"/>
      <c r="C6" s="54"/>
      <c r="D6" s="54"/>
      <c r="E6" s="55" t="s">
        <v>643</v>
      </c>
      <c r="F6" s="55" t="s">
        <v>644</v>
      </c>
      <c r="G6" s="55" t="s">
        <v>645</v>
      </c>
      <c r="H6" s="55" t="s">
        <v>646</v>
      </c>
      <c r="I6" s="55" t="s">
        <v>643</v>
      </c>
      <c r="J6" s="55" t="s">
        <v>644</v>
      </c>
      <c r="K6" s="55" t="s">
        <v>645</v>
      </c>
      <c r="L6" s="55" t="s">
        <v>646</v>
      </c>
      <c r="M6" s="55" t="s">
        <v>643</v>
      </c>
      <c r="N6" s="55" t="s">
        <v>644</v>
      </c>
      <c r="O6" s="55" t="s">
        <v>645</v>
      </c>
      <c r="P6" s="55" t="s">
        <v>646</v>
      </c>
      <c r="Q6" s="55" t="s">
        <v>643</v>
      </c>
      <c r="R6" s="55" t="s">
        <v>644</v>
      </c>
      <c r="S6" s="55" t="s">
        <v>645</v>
      </c>
      <c r="T6" s="55" t="s">
        <v>646</v>
      </c>
      <c r="U6" s="55" t="s">
        <v>643</v>
      </c>
      <c r="V6" s="55" t="s">
        <v>644</v>
      </c>
      <c r="W6" s="55" t="s">
        <v>645</v>
      </c>
      <c r="X6" s="55" t="s">
        <v>646</v>
      </c>
      <c r="Y6" s="55" t="s">
        <v>643</v>
      </c>
      <c r="Z6" s="55" t="s">
        <v>644</v>
      </c>
      <c r="AA6" s="55" t="s">
        <v>645</v>
      </c>
      <c r="AB6" s="55" t="s">
        <v>646</v>
      </c>
      <c r="AC6" s="55" t="s">
        <v>643</v>
      </c>
      <c r="AD6" s="55" t="s">
        <v>644</v>
      </c>
      <c r="AE6" s="55" t="s">
        <v>645</v>
      </c>
      <c r="AF6" s="55" t="s">
        <v>646</v>
      </c>
      <c r="AG6" s="55" t="s">
        <v>643</v>
      </c>
      <c r="AH6" s="55" t="s">
        <v>644</v>
      </c>
      <c r="AI6" s="55" t="s">
        <v>645</v>
      </c>
      <c r="AJ6" s="55" t="s">
        <v>646</v>
      </c>
      <c r="AK6" s="55" t="s">
        <v>643</v>
      </c>
      <c r="AL6" s="55" t="s">
        <v>644</v>
      </c>
      <c r="AM6" s="55" t="s">
        <v>645</v>
      </c>
      <c r="AN6" s="55" t="s">
        <v>646</v>
      </c>
      <c r="AO6" s="55" t="s">
        <v>643</v>
      </c>
      <c r="AP6" s="55" t="s">
        <v>644</v>
      </c>
      <c r="AQ6" s="55" t="s">
        <v>645</v>
      </c>
      <c r="AR6" s="55" t="s">
        <v>646</v>
      </c>
      <c r="AS6" s="55" t="s">
        <v>643</v>
      </c>
      <c r="AT6" s="55" t="s">
        <v>644</v>
      </c>
      <c r="AU6" s="55" t="s">
        <v>645</v>
      </c>
      <c r="AV6" s="55" t="s">
        <v>646</v>
      </c>
      <c r="AW6" s="55" t="s">
        <v>643</v>
      </c>
      <c r="AX6" s="55" t="s">
        <v>644</v>
      </c>
      <c r="AY6" s="55" t="s">
        <v>645</v>
      </c>
      <c r="AZ6" s="55" t="s">
        <v>646</v>
      </c>
      <c r="BA6" s="55" t="s">
        <v>643</v>
      </c>
      <c r="BB6" s="55" t="s">
        <v>644</v>
      </c>
      <c r="BC6" s="55" t="s">
        <v>645</v>
      </c>
      <c r="BD6" s="55" t="s">
        <v>646</v>
      </c>
      <c r="BE6" s="55" t="s">
        <v>643</v>
      </c>
      <c r="BF6" s="55" t="s">
        <v>644</v>
      </c>
      <c r="BG6" s="55" t="s">
        <v>645</v>
      </c>
      <c r="BH6" s="55" t="s">
        <v>646</v>
      </c>
    </row>
    <row r="7" spans="2:60" x14ac:dyDescent="0.2">
      <c r="B7" s="54"/>
      <c r="C7" s="54"/>
      <c r="D7" s="54"/>
      <c r="E7" s="55">
        <v>2012</v>
      </c>
      <c r="F7" s="55">
        <v>2012</v>
      </c>
      <c r="G7" s="55">
        <v>2012</v>
      </c>
      <c r="H7" s="55">
        <v>2012</v>
      </c>
      <c r="I7" s="55">
        <v>2013</v>
      </c>
      <c r="J7" s="55">
        <v>2013</v>
      </c>
      <c r="K7" s="55">
        <v>2013</v>
      </c>
      <c r="L7" s="55">
        <v>2013</v>
      </c>
      <c r="M7" s="55">
        <v>2014</v>
      </c>
      <c r="N7" s="55">
        <v>2014</v>
      </c>
      <c r="O7" s="55">
        <v>2014</v>
      </c>
      <c r="P7" s="55">
        <v>2014</v>
      </c>
      <c r="Q7" s="55">
        <v>2015</v>
      </c>
      <c r="R7" s="55">
        <v>2015</v>
      </c>
      <c r="S7" s="55">
        <v>2015</v>
      </c>
      <c r="T7" s="55">
        <v>2015</v>
      </c>
      <c r="U7" s="55">
        <v>2016</v>
      </c>
      <c r="V7" s="55">
        <v>2016</v>
      </c>
      <c r="W7" s="55">
        <v>2016</v>
      </c>
      <c r="X7" s="55">
        <v>2016</v>
      </c>
      <c r="Y7" s="55">
        <v>2017</v>
      </c>
      <c r="Z7" s="55">
        <v>2017</v>
      </c>
      <c r="AA7" s="55">
        <v>2017</v>
      </c>
      <c r="AB7" s="55">
        <v>2017</v>
      </c>
      <c r="AC7" s="55">
        <v>2018</v>
      </c>
      <c r="AD7" s="55">
        <v>2018</v>
      </c>
      <c r="AE7" s="55">
        <v>2018</v>
      </c>
      <c r="AF7" s="55">
        <v>2018</v>
      </c>
      <c r="AG7" s="55">
        <v>2019</v>
      </c>
      <c r="AH7" s="55">
        <v>2019</v>
      </c>
      <c r="AI7" s="55">
        <v>2019</v>
      </c>
      <c r="AJ7" s="55">
        <v>2019</v>
      </c>
      <c r="AK7" s="55">
        <v>2020</v>
      </c>
      <c r="AL7" s="55">
        <v>2020</v>
      </c>
      <c r="AM7" s="55">
        <v>2020</v>
      </c>
      <c r="AN7" s="55">
        <v>2020</v>
      </c>
      <c r="AO7" s="55">
        <v>2021</v>
      </c>
      <c r="AP7" s="55">
        <v>2021</v>
      </c>
      <c r="AQ7" s="55">
        <v>2021</v>
      </c>
      <c r="AR7" s="55">
        <v>2021</v>
      </c>
      <c r="AS7" s="55">
        <v>2022</v>
      </c>
      <c r="AT7" s="55">
        <v>2022</v>
      </c>
      <c r="AU7" s="55">
        <v>2022</v>
      </c>
      <c r="AV7" s="55">
        <v>2022</v>
      </c>
      <c r="AW7" s="55">
        <v>2023</v>
      </c>
      <c r="AX7" s="55">
        <v>2023</v>
      </c>
      <c r="AY7" s="55">
        <v>2023</v>
      </c>
      <c r="AZ7" s="55">
        <v>2023</v>
      </c>
      <c r="BA7" s="55">
        <v>2024</v>
      </c>
      <c r="BB7" s="55">
        <v>2024</v>
      </c>
      <c r="BC7" s="55">
        <v>2024</v>
      </c>
      <c r="BD7" s="55">
        <v>2024</v>
      </c>
      <c r="BE7" s="55">
        <v>2025</v>
      </c>
      <c r="BF7" s="55">
        <v>2025</v>
      </c>
      <c r="BG7" s="55">
        <v>2025</v>
      </c>
      <c r="BH7" s="55">
        <v>2025</v>
      </c>
    </row>
    <row r="8" spans="2:60" ht="14.25" customHeight="1" x14ac:dyDescent="0.2">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row>
    <row r="9" spans="2:60" hidden="1" x14ac:dyDescent="0.2">
      <c r="B9" s="57"/>
      <c r="C9" s="57" t="s">
        <v>647</v>
      </c>
      <c r="D9" s="57" t="s">
        <v>648</v>
      </c>
      <c r="E9" s="58"/>
      <c r="F9" s="58"/>
      <c r="G9" s="58"/>
      <c r="H9" s="58"/>
      <c r="I9" s="58"/>
      <c r="J9" s="58"/>
      <c r="K9" s="58"/>
      <c r="L9" s="58"/>
      <c r="M9" s="58"/>
      <c r="N9" s="58"/>
      <c r="O9" s="58"/>
      <c r="P9" s="58"/>
      <c r="Q9" s="58"/>
      <c r="R9" s="58"/>
      <c r="S9" s="58">
        <v>180</v>
      </c>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v>150</v>
      </c>
      <c r="AZ9" s="58"/>
      <c r="BA9" s="58">
        <v>180</v>
      </c>
      <c r="BB9" s="58">
        <v>180</v>
      </c>
      <c r="BC9" s="58"/>
      <c r="BD9" s="58"/>
      <c r="BE9" s="58"/>
      <c r="BF9" s="58"/>
      <c r="BG9" s="58"/>
      <c r="BH9" s="58"/>
    </row>
    <row r="10" spans="2:60" hidden="1" x14ac:dyDescent="0.2">
      <c r="B10" s="59"/>
      <c r="C10" s="59" t="s">
        <v>647</v>
      </c>
      <c r="D10" s="59" t="s">
        <v>649</v>
      </c>
      <c r="E10" s="60">
        <v>230</v>
      </c>
      <c r="F10" s="60">
        <v>230</v>
      </c>
      <c r="G10" s="60"/>
      <c r="H10" s="60">
        <v>260</v>
      </c>
      <c r="I10" s="60">
        <v>240</v>
      </c>
      <c r="J10" s="60">
        <v>250</v>
      </c>
      <c r="K10" s="60">
        <v>265</v>
      </c>
      <c r="L10" s="60">
        <v>250</v>
      </c>
      <c r="M10" s="60">
        <v>240</v>
      </c>
      <c r="N10" s="60">
        <v>250</v>
      </c>
      <c r="O10" s="60">
        <v>250</v>
      </c>
      <c r="P10" s="60">
        <v>230</v>
      </c>
      <c r="Q10" s="60">
        <v>240</v>
      </c>
      <c r="R10" s="60">
        <v>230</v>
      </c>
      <c r="S10" s="60">
        <v>240</v>
      </c>
      <c r="T10" s="60">
        <v>250</v>
      </c>
      <c r="U10" s="60">
        <v>200</v>
      </c>
      <c r="V10" s="60">
        <v>250</v>
      </c>
      <c r="W10" s="60">
        <v>260</v>
      </c>
      <c r="X10" s="60">
        <v>250</v>
      </c>
      <c r="Y10" s="60">
        <v>250</v>
      </c>
      <c r="Z10" s="60">
        <v>220</v>
      </c>
      <c r="AA10" s="60">
        <v>240</v>
      </c>
      <c r="AB10" s="60">
        <v>230</v>
      </c>
      <c r="AC10" s="60">
        <v>250</v>
      </c>
      <c r="AD10" s="60">
        <v>215</v>
      </c>
      <c r="AE10" s="60">
        <v>220</v>
      </c>
      <c r="AF10" s="60">
        <v>235</v>
      </c>
      <c r="AG10" s="60">
        <v>250</v>
      </c>
      <c r="AH10" s="60">
        <v>240</v>
      </c>
      <c r="AI10" s="60"/>
      <c r="AJ10" s="60">
        <v>260</v>
      </c>
      <c r="AK10" s="60">
        <v>240</v>
      </c>
      <c r="AL10" s="60">
        <v>250</v>
      </c>
      <c r="AM10" s="60">
        <v>210</v>
      </c>
      <c r="AN10" s="60">
        <v>250</v>
      </c>
      <c r="AO10" s="60">
        <v>260</v>
      </c>
      <c r="AP10" s="60">
        <v>260</v>
      </c>
      <c r="AQ10" s="60">
        <v>220</v>
      </c>
      <c r="AR10" s="60">
        <v>300</v>
      </c>
      <c r="AS10" s="60"/>
      <c r="AT10" s="60">
        <v>260</v>
      </c>
      <c r="AU10" s="60">
        <v>250</v>
      </c>
      <c r="AV10" s="60"/>
      <c r="AW10" s="60">
        <v>300</v>
      </c>
      <c r="AX10" s="60">
        <v>240</v>
      </c>
      <c r="AY10" s="60">
        <v>285</v>
      </c>
      <c r="AZ10" s="60">
        <v>320</v>
      </c>
      <c r="BA10" s="60">
        <v>310</v>
      </c>
      <c r="BB10" s="60">
        <v>350</v>
      </c>
      <c r="BC10" s="60">
        <v>270</v>
      </c>
      <c r="BD10" s="60"/>
      <c r="BE10" s="60">
        <v>300</v>
      </c>
      <c r="BF10" s="60">
        <v>320</v>
      </c>
      <c r="BG10" s="60"/>
      <c r="BH10" s="60">
        <v>360</v>
      </c>
    </row>
    <row r="11" spans="2:60" hidden="1" x14ac:dyDescent="0.2">
      <c r="B11" s="57"/>
      <c r="C11" s="57" t="s">
        <v>647</v>
      </c>
      <c r="D11" s="57" t="s">
        <v>650</v>
      </c>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row>
    <row r="12" spans="2:60" hidden="1" x14ac:dyDescent="0.2">
      <c r="B12" s="59"/>
      <c r="C12" s="59" t="s">
        <v>647</v>
      </c>
      <c r="D12" s="59" t="s">
        <v>651</v>
      </c>
      <c r="E12" s="60"/>
      <c r="F12" s="60">
        <v>250</v>
      </c>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v>300</v>
      </c>
      <c r="AR12" s="60"/>
      <c r="AS12" s="60"/>
      <c r="AT12" s="60"/>
      <c r="AU12" s="60"/>
      <c r="AV12" s="60"/>
      <c r="AW12" s="60"/>
      <c r="AX12" s="60"/>
      <c r="AY12" s="60"/>
      <c r="AZ12" s="60"/>
      <c r="BA12" s="60"/>
      <c r="BB12" s="60"/>
      <c r="BC12" s="60"/>
      <c r="BD12" s="60"/>
      <c r="BE12" s="60"/>
      <c r="BF12" s="60"/>
      <c r="BG12" s="60"/>
      <c r="BH12" s="60"/>
    </row>
    <row r="13" spans="2:60" hidden="1" x14ac:dyDescent="0.2">
      <c r="B13" s="57"/>
      <c r="C13" s="57" t="s">
        <v>647</v>
      </c>
      <c r="D13" s="57" t="s">
        <v>652</v>
      </c>
      <c r="E13" s="58">
        <v>330</v>
      </c>
      <c r="F13" s="58">
        <v>340</v>
      </c>
      <c r="G13" s="58">
        <v>340</v>
      </c>
      <c r="H13" s="58">
        <v>320</v>
      </c>
      <c r="I13" s="58">
        <v>350</v>
      </c>
      <c r="J13" s="58">
        <v>350</v>
      </c>
      <c r="K13" s="58">
        <v>310</v>
      </c>
      <c r="L13" s="58">
        <v>300</v>
      </c>
      <c r="M13" s="58">
        <v>300</v>
      </c>
      <c r="N13" s="58">
        <v>310</v>
      </c>
      <c r="O13" s="58">
        <v>300</v>
      </c>
      <c r="P13" s="58">
        <v>300</v>
      </c>
      <c r="Q13" s="58">
        <v>250</v>
      </c>
      <c r="R13" s="58">
        <v>320</v>
      </c>
      <c r="S13" s="58">
        <v>290</v>
      </c>
      <c r="T13" s="58">
        <v>300</v>
      </c>
      <c r="U13" s="58">
        <v>280</v>
      </c>
      <c r="V13" s="58">
        <v>240</v>
      </c>
      <c r="W13" s="58">
        <v>280</v>
      </c>
      <c r="X13" s="58">
        <v>240</v>
      </c>
      <c r="Y13" s="58">
        <v>250</v>
      </c>
      <c r="Z13" s="58">
        <v>290</v>
      </c>
      <c r="AA13" s="58">
        <v>260</v>
      </c>
      <c r="AB13" s="58">
        <v>250</v>
      </c>
      <c r="AC13" s="58">
        <v>260</v>
      </c>
      <c r="AD13" s="58">
        <v>280</v>
      </c>
      <c r="AE13" s="58">
        <v>280</v>
      </c>
      <c r="AF13" s="58">
        <v>280</v>
      </c>
      <c r="AG13" s="58">
        <v>280</v>
      </c>
      <c r="AH13" s="58">
        <v>270</v>
      </c>
      <c r="AI13" s="58">
        <v>280</v>
      </c>
      <c r="AJ13" s="58">
        <v>280</v>
      </c>
      <c r="AK13" s="58">
        <v>280</v>
      </c>
      <c r="AL13" s="58">
        <v>270</v>
      </c>
      <c r="AM13" s="58">
        <v>280</v>
      </c>
      <c r="AN13" s="58">
        <v>270</v>
      </c>
      <c r="AO13" s="58">
        <v>280</v>
      </c>
      <c r="AP13" s="58">
        <v>300</v>
      </c>
      <c r="AQ13" s="58">
        <v>300</v>
      </c>
      <c r="AR13" s="58">
        <v>300</v>
      </c>
      <c r="AS13" s="58">
        <v>300</v>
      </c>
      <c r="AT13" s="58">
        <v>315</v>
      </c>
      <c r="AU13" s="58">
        <v>320</v>
      </c>
      <c r="AV13" s="58">
        <v>330</v>
      </c>
      <c r="AW13" s="58">
        <v>350</v>
      </c>
      <c r="AX13" s="58">
        <v>360</v>
      </c>
      <c r="AY13" s="58">
        <v>360</v>
      </c>
      <c r="AZ13" s="58">
        <v>370</v>
      </c>
      <c r="BA13" s="58">
        <v>370</v>
      </c>
      <c r="BB13" s="58">
        <v>400</v>
      </c>
      <c r="BC13" s="58">
        <v>380</v>
      </c>
      <c r="BD13" s="58">
        <v>380</v>
      </c>
      <c r="BE13" s="58">
        <v>400</v>
      </c>
      <c r="BF13" s="58">
        <v>420</v>
      </c>
      <c r="BG13" s="58">
        <v>400</v>
      </c>
      <c r="BH13" s="58">
        <v>420</v>
      </c>
    </row>
    <row r="14" spans="2:60" hidden="1" x14ac:dyDescent="0.2">
      <c r="B14" s="59"/>
      <c r="C14" s="59" t="s">
        <v>647</v>
      </c>
      <c r="D14" s="59" t="s">
        <v>653</v>
      </c>
      <c r="E14" s="60">
        <v>420</v>
      </c>
      <c r="F14" s="60">
        <v>450</v>
      </c>
      <c r="G14" s="60">
        <v>475</v>
      </c>
      <c r="H14" s="60">
        <v>430</v>
      </c>
      <c r="I14" s="60">
        <v>450</v>
      </c>
      <c r="J14" s="60">
        <v>450</v>
      </c>
      <c r="K14" s="60">
        <v>460</v>
      </c>
      <c r="L14" s="60">
        <v>430</v>
      </c>
      <c r="M14" s="60">
        <v>420</v>
      </c>
      <c r="N14" s="60">
        <v>400</v>
      </c>
      <c r="O14" s="60">
        <v>400</v>
      </c>
      <c r="P14" s="60">
        <v>400</v>
      </c>
      <c r="Q14" s="60">
        <v>380</v>
      </c>
      <c r="R14" s="60">
        <v>380</v>
      </c>
      <c r="S14" s="60">
        <v>380</v>
      </c>
      <c r="T14" s="60">
        <v>350</v>
      </c>
      <c r="U14" s="60">
        <v>380</v>
      </c>
      <c r="V14" s="60">
        <v>345</v>
      </c>
      <c r="W14" s="60">
        <v>320</v>
      </c>
      <c r="X14" s="60">
        <v>350</v>
      </c>
      <c r="Y14" s="60">
        <v>350</v>
      </c>
      <c r="Z14" s="60">
        <v>345</v>
      </c>
      <c r="AA14" s="60">
        <v>345</v>
      </c>
      <c r="AB14" s="60">
        <v>340</v>
      </c>
      <c r="AC14" s="60">
        <v>350</v>
      </c>
      <c r="AD14" s="60">
        <v>350</v>
      </c>
      <c r="AE14" s="60">
        <v>370</v>
      </c>
      <c r="AF14" s="60">
        <v>370</v>
      </c>
      <c r="AG14" s="60">
        <v>370</v>
      </c>
      <c r="AH14" s="60">
        <v>340</v>
      </c>
      <c r="AI14" s="60">
        <v>360</v>
      </c>
      <c r="AJ14" s="60">
        <v>370</v>
      </c>
      <c r="AK14" s="60">
        <v>380</v>
      </c>
      <c r="AL14" s="60">
        <v>370</v>
      </c>
      <c r="AM14" s="60">
        <v>350</v>
      </c>
      <c r="AN14" s="60">
        <v>380</v>
      </c>
      <c r="AO14" s="60">
        <v>380</v>
      </c>
      <c r="AP14" s="60">
        <v>380</v>
      </c>
      <c r="AQ14" s="60">
        <v>360</v>
      </c>
      <c r="AR14" s="60">
        <v>390</v>
      </c>
      <c r="AS14" s="60">
        <v>360</v>
      </c>
      <c r="AT14" s="60">
        <v>390</v>
      </c>
      <c r="AU14" s="60">
        <v>400</v>
      </c>
      <c r="AV14" s="60">
        <v>400</v>
      </c>
      <c r="AW14" s="60">
        <v>425</v>
      </c>
      <c r="AX14" s="60">
        <v>450</v>
      </c>
      <c r="AY14" s="60">
        <v>420</v>
      </c>
      <c r="AZ14" s="60">
        <v>420</v>
      </c>
      <c r="BA14" s="60">
        <v>460</v>
      </c>
      <c r="BB14" s="60">
        <v>490</v>
      </c>
      <c r="BC14" s="60">
        <v>460</v>
      </c>
      <c r="BD14" s="60">
        <v>450</v>
      </c>
      <c r="BE14" s="60">
        <v>450</v>
      </c>
      <c r="BF14" s="60">
        <v>470</v>
      </c>
      <c r="BG14" s="60">
        <v>485</v>
      </c>
      <c r="BH14" s="60"/>
    </row>
    <row r="15" spans="2:60" hidden="1" x14ac:dyDescent="0.2">
      <c r="B15" s="57"/>
      <c r="C15" s="57" t="s">
        <v>647</v>
      </c>
      <c r="D15" s="57" t="s">
        <v>654</v>
      </c>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row>
    <row r="16" spans="2:60" hidden="1" x14ac:dyDescent="0.2">
      <c r="B16" s="59"/>
      <c r="C16" s="59" t="s">
        <v>647</v>
      </c>
      <c r="D16" s="59" t="s">
        <v>655</v>
      </c>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row>
    <row r="17" spans="2:60" hidden="1" x14ac:dyDescent="0.2">
      <c r="B17" s="57"/>
      <c r="C17" s="57" t="s">
        <v>647</v>
      </c>
      <c r="D17" s="57" t="s">
        <v>656</v>
      </c>
      <c r="E17" s="58">
        <v>330</v>
      </c>
      <c r="F17" s="58">
        <v>340</v>
      </c>
      <c r="G17" s="58">
        <v>350</v>
      </c>
      <c r="H17" s="58">
        <v>330</v>
      </c>
      <c r="I17" s="58">
        <v>370</v>
      </c>
      <c r="J17" s="58">
        <v>360</v>
      </c>
      <c r="K17" s="58">
        <v>350</v>
      </c>
      <c r="L17" s="58">
        <v>315</v>
      </c>
      <c r="M17" s="58">
        <v>320</v>
      </c>
      <c r="N17" s="58">
        <v>320</v>
      </c>
      <c r="O17" s="58">
        <v>315</v>
      </c>
      <c r="P17" s="58">
        <v>300</v>
      </c>
      <c r="Q17" s="58">
        <v>300</v>
      </c>
      <c r="R17" s="58">
        <v>320</v>
      </c>
      <c r="S17" s="58">
        <v>300</v>
      </c>
      <c r="T17" s="58">
        <v>300</v>
      </c>
      <c r="U17" s="58">
        <v>300</v>
      </c>
      <c r="V17" s="58">
        <v>280</v>
      </c>
      <c r="W17" s="58">
        <v>290</v>
      </c>
      <c r="X17" s="58">
        <v>275</v>
      </c>
      <c r="Y17" s="58">
        <v>270</v>
      </c>
      <c r="Z17" s="58">
        <v>260</v>
      </c>
      <c r="AA17" s="58">
        <v>275</v>
      </c>
      <c r="AB17" s="58">
        <v>260</v>
      </c>
      <c r="AC17" s="58">
        <v>280</v>
      </c>
      <c r="AD17" s="58">
        <v>280</v>
      </c>
      <c r="AE17" s="58">
        <v>300</v>
      </c>
      <c r="AF17" s="58">
        <v>300</v>
      </c>
      <c r="AG17" s="58">
        <v>300</v>
      </c>
      <c r="AH17" s="58">
        <v>290</v>
      </c>
      <c r="AI17" s="58">
        <v>300</v>
      </c>
      <c r="AJ17" s="58">
        <v>310</v>
      </c>
      <c r="AK17" s="58">
        <v>290</v>
      </c>
      <c r="AL17" s="58">
        <v>290</v>
      </c>
      <c r="AM17" s="58">
        <v>280</v>
      </c>
      <c r="AN17" s="58">
        <v>300</v>
      </c>
      <c r="AO17" s="58">
        <v>290</v>
      </c>
      <c r="AP17" s="58">
        <v>300</v>
      </c>
      <c r="AQ17" s="58">
        <v>300</v>
      </c>
      <c r="AR17" s="58">
        <v>300</v>
      </c>
      <c r="AS17" s="58">
        <v>320</v>
      </c>
      <c r="AT17" s="58">
        <v>300</v>
      </c>
      <c r="AU17" s="58">
        <v>300</v>
      </c>
      <c r="AV17" s="58">
        <v>330</v>
      </c>
      <c r="AW17" s="58">
        <v>350</v>
      </c>
      <c r="AX17" s="58">
        <v>350</v>
      </c>
      <c r="AY17" s="58">
        <v>330</v>
      </c>
      <c r="AZ17" s="58">
        <v>370</v>
      </c>
      <c r="BA17" s="58">
        <v>360</v>
      </c>
      <c r="BB17" s="58">
        <v>370</v>
      </c>
      <c r="BC17" s="58">
        <v>380</v>
      </c>
      <c r="BD17" s="58">
        <v>380</v>
      </c>
      <c r="BE17" s="58">
        <v>400</v>
      </c>
      <c r="BF17" s="58">
        <v>400</v>
      </c>
      <c r="BG17" s="58">
        <v>400</v>
      </c>
      <c r="BH17" s="58">
        <v>400</v>
      </c>
    </row>
    <row r="18" spans="2:60" hidden="1" x14ac:dyDescent="0.2">
      <c r="B18" s="59"/>
      <c r="C18" s="59" t="s">
        <v>657</v>
      </c>
      <c r="D18" s="59" t="s">
        <v>648</v>
      </c>
      <c r="E18" s="60">
        <v>300</v>
      </c>
      <c r="F18" s="60">
        <v>300</v>
      </c>
      <c r="G18" s="60">
        <v>310</v>
      </c>
      <c r="H18" s="60">
        <v>315</v>
      </c>
      <c r="I18" s="60">
        <v>305</v>
      </c>
      <c r="J18" s="60">
        <v>300</v>
      </c>
      <c r="K18" s="60">
        <v>320</v>
      </c>
      <c r="L18" s="60">
        <v>310</v>
      </c>
      <c r="M18" s="60">
        <v>315</v>
      </c>
      <c r="N18" s="60">
        <v>320</v>
      </c>
      <c r="O18" s="60">
        <v>335</v>
      </c>
      <c r="P18" s="60">
        <v>330</v>
      </c>
      <c r="Q18" s="60">
        <v>335</v>
      </c>
      <c r="R18" s="60">
        <v>325</v>
      </c>
      <c r="S18" s="60">
        <v>325</v>
      </c>
      <c r="T18" s="60">
        <v>336</v>
      </c>
      <c r="U18" s="60">
        <v>340</v>
      </c>
      <c r="V18" s="60">
        <v>330</v>
      </c>
      <c r="W18" s="60">
        <v>325</v>
      </c>
      <c r="X18" s="60">
        <v>360</v>
      </c>
      <c r="Y18" s="60">
        <v>350</v>
      </c>
      <c r="Z18" s="60">
        <v>350</v>
      </c>
      <c r="AA18" s="60">
        <v>350</v>
      </c>
      <c r="AB18" s="60">
        <v>350</v>
      </c>
      <c r="AC18" s="60">
        <v>350</v>
      </c>
      <c r="AD18" s="60">
        <v>350</v>
      </c>
      <c r="AE18" s="60">
        <v>350</v>
      </c>
      <c r="AF18" s="60">
        <v>360</v>
      </c>
      <c r="AG18" s="60">
        <v>350</v>
      </c>
      <c r="AH18" s="60">
        <v>350</v>
      </c>
      <c r="AI18" s="60">
        <v>359</v>
      </c>
      <c r="AJ18" s="60">
        <v>365</v>
      </c>
      <c r="AK18" s="60">
        <v>375</v>
      </c>
      <c r="AL18" s="60">
        <v>350</v>
      </c>
      <c r="AM18" s="60">
        <v>350</v>
      </c>
      <c r="AN18" s="60">
        <v>350</v>
      </c>
      <c r="AO18" s="60">
        <v>360</v>
      </c>
      <c r="AP18" s="60">
        <v>360</v>
      </c>
      <c r="AQ18" s="60">
        <v>365</v>
      </c>
      <c r="AR18" s="60">
        <v>370</v>
      </c>
      <c r="AS18" s="60">
        <v>375</v>
      </c>
      <c r="AT18" s="60">
        <v>380</v>
      </c>
      <c r="AU18" s="60">
        <v>390</v>
      </c>
      <c r="AV18" s="60">
        <v>420</v>
      </c>
      <c r="AW18" s="60">
        <v>449</v>
      </c>
      <c r="AX18" s="60">
        <v>450</v>
      </c>
      <c r="AY18" s="60">
        <v>480</v>
      </c>
      <c r="AZ18" s="60">
        <v>500</v>
      </c>
      <c r="BA18" s="60">
        <v>500</v>
      </c>
      <c r="BB18" s="60">
        <v>510</v>
      </c>
      <c r="BC18" s="60">
        <v>500</v>
      </c>
      <c r="BD18" s="60">
        <v>515</v>
      </c>
      <c r="BE18" s="60">
        <v>519</v>
      </c>
      <c r="BF18" s="60">
        <v>550</v>
      </c>
      <c r="BG18" s="60">
        <v>550</v>
      </c>
      <c r="BH18" s="60">
        <v>550</v>
      </c>
    </row>
    <row r="19" spans="2:60" x14ac:dyDescent="0.2">
      <c r="B19" s="57"/>
      <c r="C19" s="57" t="s">
        <v>657</v>
      </c>
      <c r="D19" s="57" t="s">
        <v>649</v>
      </c>
      <c r="E19" s="58">
        <v>390</v>
      </c>
      <c r="F19" s="58">
        <v>390</v>
      </c>
      <c r="G19" s="58">
        <v>395</v>
      </c>
      <c r="H19" s="58">
        <v>390</v>
      </c>
      <c r="I19" s="58">
        <v>395</v>
      </c>
      <c r="J19" s="58">
        <v>390</v>
      </c>
      <c r="K19" s="58">
        <v>395</v>
      </c>
      <c r="L19" s="58">
        <v>395</v>
      </c>
      <c r="M19" s="58">
        <v>400</v>
      </c>
      <c r="N19" s="58">
        <v>395</v>
      </c>
      <c r="O19" s="58">
        <v>400</v>
      </c>
      <c r="P19" s="58">
        <v>400</v>
      </c>
      <c r="Q19" s="58">
        <v>400</v>
      </c>
      <c r="R19" s="58">
        <v>400</v>
      </c>
      <c r="S19" s="58">
        <v>400</v>
      </c>
      <c r="T19" s="58">
        <v>400</v>
      </c>
      <c r="U19" s="58">
        <v>410</v>
      </c>
      <c r="V19" s="58">
        <v>400</v>
      </c>
      <c r="W19" s="58">
        <v>400</v>
      </c>
      <c r="X19" s="58">
        <v>420</v>
      </c>
      <c r="Y19" s="58">
        <v>420</v>
      </c>
      <c r="Z19" s="58">
        <v>400</v>
      </c>
      <c r="AA19" s="58">
        <v>400</v>
      </c>
      <c r="AB19" s="58">
        <v>400</v>
      </c>
      <c r="AC19" s="58">
        <v>420</v>
      </c>
      <c r="AD19" s="58">
        <v>409</v>
      </c>
      <c r="AE19" s="58">
        <v>420</v>
      </c>
      <c r="AF19" s="58">
        <v>420</v>
      </c>
      <c r="AG19" s="58">
        <v>430</v>
      </c>
      <c r="AH19" s="58">
        <v>420</v>
      </c>
      <c r="AI19" s="58">
        <v>430</v>
      </c>
      <c r="AJ19" s="58">
        <v>420</v>
      </c>
      <c r="AK19" s="58">
        <v>440</v>
      </c>
      <c r="AL19" s="58">
        <v>410</v>
      </c>
      <c r="AM19" s="58">
        <v>420</v>
      </c>
      <c r="AN19" s="58">
        <v>425</v>
      </c>
      <c r="AO19" s="58">
        <v>435</v>
      </c>
      <c r="AP19" s="58">
        <v>430</v>
      </c>
      <c r="AQ19" s="58">
        <v>450</v>
      </c>
      <c r="AR19" s="58">
        <v>450</v>
      </c>
      <c r="AS19" s="58">
        <v>460</v>
      </c>
      <c r="AT19" s="58">
        <v>480</v>
      </c>
      <c r="AU19" s="58">
        <v>500</v>
      </c>
      <c r="AV19" s="58">
        <v>520</v>
      </c>
      <c r="AW19" s="58">
        <v>550</v>
      </c>
      <c r="AX19" s="58">
        <v>580</v>
      </c>
      <c r="AY19" s="58">
        <v>600</v>
      </c>
      <c r="AZ19" s="58">
        <v>600</v>
      </c>
      <c r="BA19" s="58">
        <v>640</v>
      </c>
      <c r="BB19" s="58">
        <v>630</v>
      </c>
      <c r="BC19" s="58">
        <v>630</v>
      </c>
      <c r="BD19" s="58">
        <v>650</v>
      </c>
      <c r="BE19" s="58">
        <v>675</v>
      </c>
      <c r="BF19" s="58">
        <v>670</v>
      </c>
      <c r="BG19" s="58">
        <v>680</v>
      </c>
      <c r="BH19" s="58">
        <v>690</v>
      </c>
    </row>
    <row r="20" spans="2:60" hidden="1" x14ac:dyDescent="0.2">
      <c r="B20" s="59"/>
      <c r="C20" s="59" t="s">
        <v>657</v>
      </c>
      <c r="D20" s="59" t="s">
        <v>650</v>
      </c>
      <c r="E20" s="60">
        <v>475</v>
      </c>
      <c r="F20" s="60">
        <v>480</v>
      </c>
      <c r="G20" s="60">
        <v>490</v>
      </c>
      <c r="H20" s="60">
        <v>495</v>
      </c>
      <c r="I20" s="60">
        <v>500</v>
      </c>
      <c r="J20" s="60">
        <v>490</v>
      </c>
      <c r="K20" s="60">
        <v>495</v>
      </c>
      <c r="L20" s="60">
        <v>490</v>
      </c>
      <c r="M20" s="60">
        <v>500</v>
      </c>
      <c r="N20" s="60">
        <v>485</v>
      </c>
      <c r="O20" s="60">
        <v>500</v>
      </c>
      <c r="P20" s="60">
        <v>500</v>
      </c>
      <c r="Q20" s="60">
        <v>505</v>
      </c>
      <c r="R20" s="60">
        <v>480</v>
      </c>
      <c r="S20" s="60">
        <v>500</v>
      </c>
      <c r="T20" s="60">
        <v>490</v>
      </c>
      <c r="U20" s="60">
        <v>510</v>
      </c>
      <c r="V20" s="60">
        <v>480</v>
      </c>
      <c r="W20" s="60">
        <v>520</v>
      </c>
      <c r="X20" s="60">
        <v>500</v>
      </c>
      <c r="Y20" s="60">
        <v>520</v>
      </c>
      <c r="Z20" s="60">
        <v>485</v>
      </c>
      <c r="AA20" s="60">
        <v>495</v>
      </c>
      <c r="AB20" s="60">
        <v>500</v>
      </c>
      <c r="AC20" s="60">
        <v>520</v>
      </c>
      <c r="AD20" s="60">
        <v>495</v>
      </c>
      <c r="AE20" s="60">
        <v>500</v>
      </c>
      <c r="AF20" s="60">
        <v>500</v>
      </c>
      <c r="AG20" s="60">
        <v>530</v>
      </c>
      <c r="AH20" s="60">
        <v>515</v>
      </c>
      <c r="AI20" s="60">
        <v>510</v>
      </c>
      <c r="AJ20" s="60">
        <v>525</v>
      </c>
      <c r="AK20" s="60">
        <v>550</v>
      </c>
      <c r="AL20" s="60">
        <v>500</v>
      </c>
      <c r="AM20" s="60">
        <v>510</v>
      </c>
      <c r="AN20" s="60">
        <v>530</v>
      </c>
      <c r="AO20" s="60">
        <v>535</v>
      </c>
      <c r="AP20" s="60">
        <v>530</v>
      </c>
      <c r="AQ20" s="60">
        <v>550</v>
      </c>
      <c r="AR20" s="60">
        <v>570</v>
      </c>
      <c r="AS20" s="60">
        <v>580</v>
      </c>
      <c r="AT20" s="60">
        <v>600</v>
      </c>
      <c r="AU20" s="60">
        <v>620</v>
      </c>
      <c r="AV20" s="60">
        <v>650</v>
      </c>
      <c r="AW20" s="60">
        <v>660</v>
      </c>
      <c r="AX20" s="60">
        <v>700</v>
      </c>
      <c r="AY20" s="60">
        <v>750</v>
      </c>
      <c r="AZ20" s="60">
        <v>750</v>
      </c>
      <c r="BA20" s="60">
        <v>750</v>
      </c>
      <c r="BB20" s="60">
        <v>750</v>
      </c>
      <c r="BC20" s="60">
        <v>765</v>
      </c>
      <c r="BD20" s="60">
        <v>775</v>
      </c>
      <c r="BE20" s="60">
        <v>790</v>
      </c>
      <c r="BF20" s="60">
        <v>800</v>
      </c>
      <c r="BG20" s="60">
        <v>800</v>
      </c>
      <c r="BH20" s="60">
        <v>840</v>
      </c>
    </row>
    <row r="21" spans="2:60" hidden="1" x14ac:dyDescent="0.2">
      <c r="B21" s="57"/>
      <c r="C21" s="57" t="s">
        <v>657</v>
      </c>
      <c r="D21" s="57" t="s">
        <v>651</v>
      </c>
      <c r="E21" s="58">
        <v>370</v>
      </c>
      <c r="F21" s="58">
        <v>360</v>
      </c>
      <c r="G21" s="58">
        <v>370</v>
      </c>
      <c r="H21" s="58">
        <v>380</v>
      </c>
      <c r="I21" s="58">
        <v>380</v>
      </c>
      <c r="J21" s="58">
        <v>375</v>
      </c>
      <c r="K21" s="58">
        <v>375</v>
      </c>
      <c r="L21" s="58">
        <v>380</v>
      </c>
      <c r="M21" s="58">
        <v>390</v>
      </c>
      <c r="N21" s="58">
        <v>380</v>
      </c>
      <c r="O21" s="58">
        <v>390</v>
      </c>
      <c r="P21" s="58">
        <v>380</v>
      </c>
      <c r="Q21" s="58">
        <v>380</v>
      </c>
      <c r="R21" s="58">
        <v>390</v>
      </c>
      <c r="S21" s="58">
        <v>380</v>
      </c>
      <c r="T21" s="58">
        <v>385</v>
      </c>
      <c r="U21" s="58">
        <v>390</v>
      </c>
      <c r="V21" s="58">
        <v>380</v>
      </c>
      <c r="W21" s="58">
        <v>390</v>
      </c>
      <c r="X21" s="58">
        <v>380</v>
      </c>
      <c r="Y21" s="58">
        <v>390</v>
      </c>
      <c r="Z21" s="58">
        <v>370</v>
      </c>
      <c r="AA21" s="58">
        <v>390</v>
      </c>
      <c r="AB21" s="58">
        <v>380</v>
      </c>
      <c r="AC21" s="58">
        <v>390</v>
      </c>
      <c r="AD21" s="58">
        <v>385</v>
      </c>
      <c r="AE21" s="58">
        <v>390</v>
      </c>
      <c r="AF21" s="58">
        <v>395</v>
      </c>
      <c r="AG21" s="58">
        <v>400</v>
      </c>
      <c r="AH21" s="58">
        <v>395</v>
      </c>
      <c r="AI21" s="58">
        <v>400</v>
      </c>
      <c r="AJ21" s="58">
        <v>400</v>
      </c>
      <c r="AK21" s="58">
        <v>400</v>
      </c>
      <c r="AL21" s="58">
        <v>399</v>
      </c>
      <c r="AM21" s="58">
        <v>400</v>
      </c>
      <c r="AN21" s="58">
        <v>400</v>
      </c>
      <c r="AO21" s="58">
        <v>410</v>
      </c>
      <c r="AP21" s="58">
        <v>420</v>
      </c>
      <c r="AQ21" s="58">
        <v>425</v>
      </c>
      <c r="AR21" s="58">
        <v>450</v>
      </c>
      <c r="AS21" s="58">
        <v>460</v>
      </c>
      <c r="AT21" s="58">
        <v>475</v>
      </c>
      <c r="AU21" s="58">
        <v>480</v>
      </c>
      <c r="AV21" s="58">
        <v>500</v>
      </c>
      <c r="AW21" s="58">
        <v>510</v>
      </c>
      <c r="AX21" s="58">
        <v>530</v>
      </c>
      <c r="AY21" s="58">
        <v>550</v>
      </c>
      <c r="AZ21" s="58">
        <v>550</v>
      </c>
      <c r="BA21" s="58">
        <v>575</v>
      </c>
      <c r="BB21" s="58">
        <v>575</v>
      </c>
      <c r="BC21" s="58">
        <v>570</v>
      </c>
      <c r="BD21" s="58">
        <v>590</v>
      </c>
      <c r="BE21" s="58">
        <v>595</v>
      </c>
      <c r="BF21" s="58">
        <v>600</v>
      </c>
      <c r="BG21" s="58">
        <v>600</v>
      </c>
      <c r="BH21" s="58">
        <v>630</v>
      </c>
    </row>
    <row r="22" spans="2:60" hidden="1" x14ac:dyDescent="0.2">
      <c r="B22" s="59"/>
      <c r="C22" s="59" t="s">
        <v>657</v>
      </c>
      <c r="D22" s="59" t="s">
        <v>652</v>
      </c>
      <c r="E22" s="60">
        <v>400</v>
      </c>
      <c r="F22" s="60">
        <v>395</v>
      </c>
      <c r="G22" s="60">
        <v>400</v>
      </c>
      <c r="H22" s="60">
        <v>400</v>
      </c>
      <c r="I22" s="60">
        <v>415</v>
      </c>
      <c r="J22" s="60">
        <v>405</v>
      </c>
      <c r="K22" s="60">
        <v>410</v>
      </c>
      <c r="L22" s="60">
        <v>410</v>
      </c>
      <c r="M22" s="60">
        <v>420</v>
      </c>
      <c r="N22" s="60">
        <v>410</v>
      </c>
      <c r="O22" s="60">
        <v>415</v>
      </c>
      <c r="P22" s="60">
        <v>420</v>
      </c>
      <c r="Q22" s="60">
        <v>430</v>
      </c>
      <c r="R22" s="60">
        <v>420</v>
      </c>
      <c r="S22" s="60">
        <v>420</v>
      </c>
      <c r="T22" s="60">
        <v>420</v>
      </c>
      <c r="U22" s="60">
        <v>435</v>
      </c>
      <c r="V22" s="60">
        <v>420</v>
      </c>
      <c r="W22" s="60">
        <v>430</v>
      </c>
      <c r="X22" s="60">
        <v>420</v>
      </c>
      <c r="Y22" s="60">
        <v>440</v>
      </c>
      <c r="Z22" s="60">
        <v>420</v>
      </c>
      <c r="AA22" s="60">
        <v>420</v>
      </c>
      <c r="AB22" s="60">
        <v>420</v>
      </c>
      <c r="AC22" s="60">
        <v>440</v>
      </c>
      <c r="AD22" s="60">
        <v>425</v>
      </c>
      <c r="AE22" s="60">
        <v>430</v>
      </c>
      <c r="AF22" s="60">
        <v>435</v>
      </c>
      <c r="AG22" s="60">
        <v>450</v>
      </c>
      <c r="AH22" s="60">
        <v>430</v>
      </c>
      <c r="AI22" s="60">
        <v>430</v>
      </c>
      <c r="AJ22" s="60">
        <v>445</v>
      </c>
      <c r="AK22" s="60">
        <v>450</v>
      </c>
      <c r="AL22" s="60">
        <v>430</v>
      </c>
      <c r="AM22" s="60">
        <v>450</v>
      </c>
      <c r="AN22" s="60">
        <v>460</v>
      </c>
      <c r="AO22" s="60">
        <v>470</v>
      </c>
      <c r="AP22" s="60">
        <v>480</v>
      </c>
      <c r="AQ22" s="60">
        <v>490</v>
      </c>
      <c r="AR22" s="60">
        <v>500</v>
      </c>
      <c r="AS22" s="60">
        <v>520</v>
      </c>
      <c r="AT22" s="60">
        <v>550</v>
      </c>
      <c r="AU22" s="60">
        <v>550</v>
      </c>
      <c r="AV22" s="60">
        <v>570</v>
      </c>
      <c r="AW22" s="60">
        <v>595</v>
      </c>
      <c r="AX22" s="60">
        <v>600</v>
      </c>
      <c r="AY22" s="60">
        <v>600</v>
      </c>
      <c r="AZ22" s="60">
        <v>630</v>
      </c>
      <c r="BA22" s="60">
        <v>650</v>
      </c>
      <c r="BB22" s="60">
        <v>650</v>
      </c>
      <c r="BC22" s="60">
        <v>650</v>
      </c>
      <c r="BD22" s="60">
        <v>650</v>
      </c>
      <c r="BE22" s="60">
        <v>670</v>
      </c>
      <c r="BF22" s="60">
        <v>675</v>
      </c>
      <c r="BG22" s="60">
        <v>680</v>
      </c>
      <c r="BH22" s="60">
        <v>700</v>
      </c>
    </row>
    <row r="23" spans="2:60" hidden="1" x14ac:dyDescent="0.2">
      <c r="B23" s="57"/>
      <c r="C23" s="57" t="s">
        <v>657</v>
      </c>
      <c r="D23" s="57" t="s">
        <v>653</v>
      </c>
      <c r="E23" s="58">
        <v>490</v>
      </c>
      <c r="F23" s="58">
        <v>480</v>
      </c>
      <c r="G23" s="58">
        <v>480</v>
      </c>
      <c r="H23" s="58">
        <v>485</v>
      </c>
      <c r="I23" s="58">
        <v>500</v>
      </c>
      <c r="J23" s="58">
        <v>490</v>
      </c>
      <c r="K23" s="58">
        <v>495</v>
      </c>
      <c r="L23" s="58">
        <v>495</v>
      </c>
      <c r="M23" s="58">
        <v>520</v>
      </c>
      <c r="N23" s="58">
        <v>500</v>
      </c>
      <c r="O23" s="58">
        <v>500</v>
      </c>
      <c r="P23" s="58">
        <v>515</v>
      </c>
      <c r="Q23" s="58">
        <v>520</v>
      </c>
      <c r="R23" s="58">
        <v>505</v>
      </c>
      <c r="S23" s="58">
        <v>500</v>
      </c>
      <c r="T23" s="58">
        <v>520</v>
      </c>
      <c r="U23" s="58">
        <v>540</v>
      </c>
      <c r="V23" s="58">
        <v>515</v>
      </c>
      <c r="W23" s="58">
        <v>520</v>
      </c>
      <c r="X23" s="58">
        <v>525</v>
      </c>
      <c r="Y23" s="58">
        <v>535</v>
      </c>
      <c r="Z23" s="58">
        <v>515</v>
      </c>
      <c r="AA23" s="58">
        <v>515</v>
      </c>
      <c r="AB23" s="58">
        <v>530</v>
      </c>
      <c r="AC23" s="58">
        <v>545</v>
      </c>
      <c r="AD23" s="58">
        <v>515</v>
      </c>
      <c r="AE23" s="58">
        <v>525</v>
      </c>
      <c r="AF23" s="58">
        <v>550</v>
      </c>
      <c r="AG23" s="58">
        <v>550</v>
      </c>
      <c r="AH23" s="58">
        <v>530</v>
      </c>
      <c r="AI23" s="58">
        <v>530</v>
      </c>
      <c r="AJ23" s="58">
        <v>550</v>
      </c>
      <c r="AK23" s="58">
        <v>550</v>
      </c>
      <c r="AL23" s="58">
        <v>525</v>
      </c>
      <c r="AM23" s="58">
        <v>550</v>
      </c>
      <c r="AN23" s="58">
        <v>560</v>
      </c>
      <c r="AO23" s="58">
        <v>580</v>
      </c>
      <c r="AP23" s="58">
        <v>580</v>
      </c>
      <c r="AQ23" s="58">
        <v>595</v>
      </c>
      <c r="AR23" s="58">
        <v>600</v>
      </c>
      <c r="AS23" s="58">
        <v>650</v>
      </c>
      <c r="AT23" s="58">
        <v>650</v>
      </c>
      <c r="AU23" s="58">
        <v>670</v>
      </c>
      <c r="AV23" s="58">
        <v>695</v>
      </c>
      <c r="AW23" s="58">
        <v>700</v>
      </c>
      <c r="AX23" s="58">
        <v>700</v>
      </c>
      <c r="AY23" s="58">
        <v>730</v>
      </c>
      <c r="AZ23" s="58">
        <v>750</v>
      </c>
      <c r="BA23" s="58">
        <v>760</v>
      </c>
      <c r="BB23" s="58">
        <v>770</v>
      </c>
      <c r="BC23" s="58">
        <v>770</v>
      </c>
      <c r="BD23" s="58">
        <v>780</v>
      </c>
      <c r="BE23" s="58">
        <v>800</v>
      </c>
      <c r="BF23" s="58">
        <v>800</v>
      </c>
      <c r="BG23" s="58">
        <v>800</v>
      </c>
      <c r="BH23" s="58">
        <v>830</v>
      </c>
    </row>
    <row r="24" spans="2:60" x14ac:dyDescent="0.2">
      <c r="B24" s="59"/>
      <c r="C24" s="59" t="s">
        <v>657</v>
      </c>
      <c r="D24" s="59" t="s">
        <v>654</v>
      </c>
      <c r="E24" s="60">
        <v>365</v>
      </c>
      <c r="F24" s="60">
        <v>370</v>
      </c>
      <c r="G24" s="60">
        <v>380</v>
      </c>
      <c r="H24" s="60">
        <v>370</v>
      </c>
      <c r="I24" s="60">
        <v>380</v>
      </c>
      <c r="J24" s="60">
        <v>380</v>
      </c>
      <c r="K24" s="60">
        <v>380</v>
      </c>
      <c r="L24" s="60">
        <v>375</v>
      </c>
      <c r="M24" s="60">
        <v>390</v>
      </c>
      <c r="N24" s="60">
        <v>375</v>
      </c>
      <c r="O24" s="60">
        <v>380</v>
      </c>
      <c r="P24" s="60">
        <v>380</v>
      </c>
      <c r="Q24" s="60">
        <v>390</v>
      </c>
      <c r="R24" s="60">
        <v>380</v>
      </c>
      <c r="S24" s="60">
        <v>380</v>
      </c>
      <c r="T24" s="60">
        <v>375</v>
      </c>
      <c r="U24" s="60">
        <v>395</v>
      </c>
      <c r="V24" s="60">
        <v>380</v>
      </c>
      <c r="W24" s="60">
        <v>395</v>
      </c>
      <c r="X24" s="60">
        <v>380</v>
      </c>
      <c r="Y24" s="60">
        <v>385</v>
      </c>
      <c r="Z24" s="60">
        <v>380</v>
      </c>
      <c r="AA24" s="60">
        <v>375</v>
      </c>
      <c r="AB24" s="60">
        <v>380</v>
      </c>
      <c r="AC24" s="60">
        <v>390</v>
      </c>
      <c r="AD24" s="60">
        <v>380</v>
      </c>
      <c r="AE24" s="60">
        <v>385</v>
      </c>
      <c r="AF24" s="60">
        <v>395</v>
      </c>
      <c r="AG24" s="60">
        <v>395</v>
      </c>
      <c r="AH24" s="60">
        <v>400</v>
      </c>
      <c r="AI24" s="60">
        <v>395</v>
      </c>
      <c r="AJ24" s="60">
        <v>390</v>
      </c>
      <c r="AK24" s="60">
        <v>400</v>
      </c>
      <c r="AL24" s="60">
        <v>385</v>
      </c>
      <c r="AM24" s="60">
        <v>390</v>
      </c>
      <c r="AN24" s="60">
        <v>400</v>
      </c>
      <c r="AO24" s="60">
        <v>410</v>
      </c>
      <c r="AP24" s="60">
        <v>420</v>
      </c>
      <c r="AQ24" s="60">
        <v>420</v>
      </c>
      <c r="AR24" s="60">
        <v>435</v>
      </c>
      <c r="AS24" s="60">
        <v>430</v>
      </c>
      <c r="AT24" s="60">
        <v>460</v>
      </c>
      <c r="AU24" s="60">
        <v>475</v>
      </c>
      <c r="AV24" s="60">
        <v>490</v>
      </c>
      <c r="AW24" s="60">
        <v>500</v>
      </c>
      <c r="AX24" s="60">
        <v>525</v>
      </c>
      <c r="AY24" s="60">
        <v>540</v>
      </c>
      <c r="AZ24" s="60">
        <v>550</v>
      </c>
      <c r="BA24" s="60">
        <v>575</v>
      </c>
      <c r="BB24" s="60">
        <v>580</v>
      </c>
      <c r="BC24" s="60">
        <v>575</v>
      </c>
      <c r="BD24" s="60">
        <v>590</v>
      </c>
      <c r="BE24" s="60">
        <v>600</v>
      </c>
      <c r="BF24" s="60">
        <v>600</v>
      </c>
      <c r="BG24" s="60">
        <v>620</v>
      </c>
      <c r="BH24" s="60">
        <v>620</v>
      </c>
    </row>
    <row r="25" spans="2:60" hidden="1" x14ac:dyDescent="0.2">
      <c r="B25" s="57"/>
      <c r="C25" s="57" t="s">
        <v>657</v>
      </c>
      <c r="D25" s="57" t="s">
        <v>655</v>
      </c>
      <c r="E25" s="58">
        <v>405</v>
      </c>
      <c r="F25" s="58">
        <v>400</v>
      </c>
      <c r="G25" s="58">
        <v>405</v>
      </c>
      <c r="H25" s="58">
        <v>400</v>
      </c>
      <c r="I25" s="58">
        <v>410</v>
      </c>
      <c r="J25" s="58">
        <v>405</v>
      </c>
      <c r="K25" s="58">
        <v>405</v>
      </c>
      <c r="L25" s="58">
        <v>405</v>
      </c>
      <c r="M25" s="58">
        <v>415</v>
      </c>
      <c r="N25" s="58">
        <v>400</v>
      </c>
      <c r="O25" s="58">
        <v>400</v>
      </c>
      <c r="P25" s="58">
        <v>410</v>
      </c>
      <c r="Q25" s="58">
        <v>415</v>
      </c>
      <c r="R25" s="58">
        <v>410</v>
      </c>
      <c r="S25" s="58">
        <v>415</v>
      </c>
      <c r="T25" s="58">
        <v>410</v>
      </c>
      <c r="U25" s="58">
        <v>425</v>
      </c>
      <c r="V25" s="58">
        <v>420</v>
      </c>
      <c r="W25" s="58">
        <v>420</v>
      </c>
      <c r="X25" s="58">
        <v>410</v>
      </c>
      <c r="Y25" s="58">
        <v>420</v>
      </c>
      <c r="Z25" s="58">
        <v>410</v>
      </c>
      <c r="AA25" s="58">
        <v>410</v>
      </c>
      <c r="AB25" s="58">
        <v>410</v>
      </c>
      <c r="AC25" s="58">
        <v>415</v>
      </c>
      <c r="AD25" s="58">
        <v>410</v>
      </c>
      <c r="AE25" s="58">
        <v>420</v>
      </c>
      <c r="AF25" s="58">
        <v>420</v>
      </c>
      <c r="AG25" s="58">
        <v>425</v>
      </c>
      <c r="AH25" s="58">
        <v>420</v>
      </c>
      <c r="AI25" s="58">
        <v>420</v>
      </c>
      <c r="AJ25" s="58">
        <v>420</v>
      </c>
      <c r="AK25" s="58">
        <v>430</v>
      </c>
      <c r="AL25" s="58">
        <v>420</v>
      </c>
      <c r="AM25" s="58">
        <v>425</v>
      </c>
      <c r="AN25" s="58">
        <v>430</v>
      </c>
      <c r="AO25" s="58">
        <v>440</v>
      </c>
      <c r="AP25" s="58">
        <v>435</v>
      </c>
      <c r="AQ25" s="58">
        <v>440</v>
      </c>
      <c r="AR25" s="58">
        <v>450</v>
      </c>
      <c r="AS25" s="58">
        <v>480</v>
      </c>
      <c r="AT25" s="58">
        <v>490</v>
      </c>
      <c r="AU25" s="58">
        <v>510</v>
      </c>
      <c r="AV25" s="58">
        <v>535</v>
      </c>
      <c r="AW25" s="58">
        <v>550</v>
      </c>
      <c r="AX25" s="58">
        <v>580</v>
      </c>
      <c r="AY25" s="58">
        <v>600</v>
      </c>
      <c r="AZ25" s="58">
        <v>610</v>
      </c>
      <c r="BA25" s="58">
        <v>630</v>
      </c>
      <c r="BB25" s="58">
        <v>650</v>
      </c>
      <c r="BC25" s="58">
        <v>650</v>
      </c>
      <c r="BD25" s="58">
        <v>650</v>
      </c>
      <c r="BE25" s="58">
        <v>680</v>
      </c>
      <c r="BF25" s="58">
        <v>680</v>
      </c>
      <c r="BG25" s="58">
        <v>690</v>
      </c>
      <c r="BH25" s="58">
        <v>700</v>
      </c>
    </row>
    <row r="26" spans="2:60" hidden="1" x14ac:dyDescent="0.2">
      <c r="B26" s="59"/>
      <c r="C26" s="59" t="s">
        <v>657</v>
      </c>
      <c r="D26" s="59" t="s">
        <v>656</v>
      </c>
      <c r="E26" s="60">
        <v>380</v>
      </c>
      <c r="F26" s="60">
        <v>390</v>
      </c>
      <c r="G26" s="60">
        <v>385</v>
      </c>
      <c r="H26" s="60">
        <v>395</v>
      </c>
      <c r="I26" s="60">
        <v>395</v>
      </c>
      <c r="J26" s="60">
        <v>399</v>
      </c>
      <c r="K26" s="60">
        <v>395</v>
      </c>
      <c r="L26" s="60">
        <v>400</v>
      </c>
      <c r="M26" s="60">
        <v>395</v>
      </c>
      <c r="N26" s="60">
        <v>400</v>
      </c>
      <c r="O26" s="60">
        <v>395</v>
      </c>
      <c r="P26" s="60">
        <v>400</v>
      </c>
      <c r="Q26" s="60">
        <v>400</v>
      </c>
      <c r="R26" s="60">
        <v>400</v>
      </c>
      <c r="S26" s="60">
        <v>400</v>
      </c>
      <c r="T26" s="60">
        <v>410</v>
      </c>
      <c r="U26" s="60">
        <v>400</v>
      </c>
      <c r="V26" s="60">
        <v>400</v>
      </c>
      <c r="W26" s="60">
        <v>395</v>
      </c>
      <c r="X26" s="60">
        <v>400</v>
      </c>
      <c r="Y26" s="60">
        <v>400</v>
      </c>
      <c r="Z26" s="60">
        <v>400</v>
      </c>
      <c r="AA26" s="60">
        <v>395</v>
      </c>
      <c r="AB26" s="60">
        <v>400</v>
      </c>
      <c r="AC26" s="60">
        <v>400</v>
      </c>
      <c r="AD26" s="60">
        <v>400</v>
      </c>
      <c r="AE26" s="60">
        <v>395</v>
      </c>
      <c r="AF26" s="60">
        <v>400</v>
      </c>
      <c r="AG26" s="60">
        <v>400</v>
      </c>
      <c r="AH26" s="60">
        <v>400</v>
      </c>
      <c r="AI26" s="60">
        <v>400</v>
      </c>
      <c r="AJ26" s="60">
        <v>410</v>
      </c>
      <c r="AK26" s="60">
        <v>410</v>
      </c>
      <c r="AL26" s="60">
        <v>400</v>
      </c>
      <c r="AM26" s="60">
        <v>410</v>
      </c>
      <c r="AN26" s="60">
        <v>420</v>
      </c>
      <c r="AO26" s="60">
        <v>420</v>
      </c>
      <c r="AP26" s="60">
        <v>425</v>
      </c>
      <c r="AQ26" s="60">
        <v>430</v>
      </c>
      <c r="AR26" s="60">
        <v>450</v>
      </c>
      <c r="AS26" s="60">
        <v>430</v>
      </c>
      <c r="AT26" s="60">
        <v>460</v>
      </c>
      <c r="AU26" s="60">
        <v>450</v>
      </c>
      <c r="AV26" s="60">
        <v>500</v>
      </c>
      <c r="AW26" s="60">
        <v>500</v>
      </c>
      <c r="AX26" s="60">
        <v>540</v>
      </c>
      <c r="AY26" s="60">
        <v>550</v>
      </c>
      <c r="AZ26" s="60">
        <v>600</v>
      </c>
      <c r="BA26" s="60">
        <v>570</v>
      </c>
      <c r="BB26" s="60">
        <v>610</v>
      </c>
      <c r="BC26" s="60">
        <v>580</v>
      </c>
      <c r="BD26" s="60">
        <v>610</v>
      </c>
      <c r="BE26" s="60">
        <v>590</v>
      </c>
      <c r="BF26" s="60">
        <v>650</v>
      </c>
      <c r="BG26" s="60">
        <v>620</v>
      </c>
      <c r="BH26" s="60">
        <v>650</v>
      </c>
    </row>
    <row r="27" spans="2:60" hidden="1" x14ac:dyDescent="0.2">
      <c r="B27" s="57"/>
      <c r="C27" s="57" t="s">
        <v>658</v>
      </c>
      <c r="D27" s="57" t="s">
        <v>648</v>
      </c>
      <c r="E27" s="58">
        <v>200</v>
      </c>
      <c r="F27" s="58">
        <v>190</v>
      </c>
      <c r="G27" s="58">
        <v>195</v>
      </c>
      <c r="H27" s="58">
        <v>160</v>
      </c>
      <c r="I27" s="58">
        <v>250</v>
      </c>
      <c r="J27" s="58">
        <v>185</v>
      </c>
      <c r="K27" s="58">
        <v>175</v>
      </c>
      <c r="L27" s="58">
        <v>190</v>
      </c>
      <c r="M27" s="58">
        <v>200</v>
      </c>
      <c r="N27" s="58">
        <v>195</v>
      </c>
      <c r="O27" s="58">
        <v>195</v>
      </c>
      <c r="P27" s="58">
        <v>200</v>
      </c>
      <c r="Q27" s="58">
        <v>220</v>
      </c>
      <c r="R27" s="58">
        <v>180</v>
      </c>
      <c r="S27" s="58">
        <v>220</v>
      </c>
      <c r="T27" s="58">
        <v>200</v>
      </c>
      <c r="U27" s="58">
        <v>210</v>
      </c>
      <c r="V27" s="58">
        <v>190</v>
      </c>
      <c r="W27" s="58">
        <v>185</v>
      </c>
      <c r="X27" s="58">
        <v>190</v>
      </c>
      <c r="Y27" s="58">
        <v>200</v>
      </c>
      <c r="Z27" s="58">
        <v>240</v>
      </c>
      <c r="AA27" s="58">
        <v>185</v>
      </c>
      <c r="AB27" s="58">
        <v>200</v>
      </c>
      <c r="AC27" s="58">
        <v>260</v>
      </c>
      <c r="AD27" s="58">
        <v>210</v>
      </c>
      <c r="AE27" s="58">
        <v>220</v>
      </c>
      <c r="AF27" s="58">
        <v>250</v>
      </c>
      <c r="AG27" s="58">
        <v>210</v>
      </c>
      <c r="AH27" s="58">
        <v>250</v>
      </c>
      <c r="AI27" s="58">
        <v>250</v>
      </c>
      <c r="AJ27" s="58">
        <v>250</v>
      </c>
      <c r="AK27" s="58">
        <v>230</v>
      </c>
      <c r="AL27" s="58">
        <v>281</v>
      </c>
      <c r="AM27" s="58">
        <v>245</v>
      </c>
      <c r="AN27" s="58">
        <v>260</v>
      </c>
      <c r="AO27" s="58">
        <v>285</v>
      </c>
      <c r="AP27" s="58">
        <v>240</v>
      </c>
      <c r="AQ27" s="58">
        <v>260</v>
      </c>
      <c r="AR27" s="58">
        <v>250</v>
      </c>
      <c r="AS27" s="58">
        <v>240</v>
      </c>
      <c r="AT27" s="58">
        <v>250</v>
      </c>
      <c r="AU27" s="58">
        <v>322</v>
      </c>
      <c r="AV27" s="58">
        <v>265</v>
      </c>
      <c r="AW27" s="58">
        <v>327</v>
      </c>
      <c r="AX27" s="58">
        <v>350</v>
      </c>
      <c r="AY27" s="58">
        <v>330</v>
      </c>
      <c r="AZ27" s="58">
        <v>362</v>
      </c>
      <c r="BA27" s="58">
        <v>350</v>
      </c>
      <c r="BB27" s="58">
        <v>375</v>
      </c>
      <c r="BC27" s="58">
        <v>346</v>
      </c>
      <c r="BD27" s="58">
        <v>345</v>
      </c>
      <c r="BE27" s="58">
        <v>320</v>
      </c>
      <c r="BF27" s="58">
        <v>345</v>
      </c>
      <c r="BG27" s="58">
        <v>350</v>
      </c>
      <c r="BH27" s="58">
        <v>371</v>
      </c>
    </row>
    <row r="28" spans="2:60" hidden="1" x14ac:dyDescent="0.2">
      <c r="B28" s="59"/>
      <c r="C28" s="59" t="s">
        <v>658</v>
      </c>
      <c r="D28" s="59" t="s">
        <v>649</v>
      </c>
      <c r="E28" s="60">
        <v>210</v>
      </c>
      <c r="F28" s="60">
        <v>220</v>
      </c>
      <c r="G28" s="60">
        <v>215</v>
      </c>
      <c r="H28" s="60">
        <v>210</v>
      </c>
      <c r="I28" s="60">
        <v>225</v>
      </c>
      <c r="J28" s="60">
        <v>235</v>
      </c>
      <c r="K28" s="60">
        <v>230</v>
      </c>
      <c r="L28" s="60">
        <v>230</v>
      </c>
      <c r="M28" s="60">
        <v>235</v>
      </c>
      <c r="N28" s="60">
        <v>225</v>
      </c>
      <c r="O28" s="60">
        <v>230</v>
      </c>
      <c r="P28" s="60">
        <v>225</v>
      </c>
      <c r="Q28" s="60">
        <v>230</v>
      </c>
      <c r="R28" s="60">
        <v>225</v>
      </c>
      <c r="S28" s="60">
        <v>220</v>
      </c>
      <c r="T28" s="60">
        <v>230</v>
      </c>
      <c r="U28" s="60">
        <v>230</v>
      </c>
      <c r="V28" s="60">
        <v>225</v>
      </c>
      <c r="W28" s="60">
        <v>224</v>
      </c>
      <c r="X28" s="60">
        <v>225</v>
      </c>
      <c r="Y28" s="60">
        <v>225</v>
      </c>
      <c r="Z28" s="60">
        <v>230</v>
      </c>
      <c r="AA28" s="60">
        <v>240</v>
      </c>
      <c r="AB28" s="60">
        <v>230</v>
      </c>
      <c r="AC28" s="60">
        <v>245</v>
      </c>
      <c r="AD28" s="60">
        <v>235</v>
      </c>
      <c r="AE28" s="60">
        <v>240</v>
      </c>
      <c r="AF28" s="60">
        <v>245</v>
      </c>
      <c r="AG28" s="60">
        <v>245</v>
      </c>
      <c r="AH28" s="60">
        <v>240</v>
      </c>
      <c r="AI28" s="60">
        <v>240</v>
      </c>
      <c r="AJ28" s="60">
        <v>240</v>
      </c>
      <c r="AK28" s="60">
        <v>250</v>
      </c>
      <c r="AL28" s="60">
        <v>240</v>
      </c>
      <c r="AM28" s="60">
        <v>260</v>
      </c>
      <c r="AN28" s="60">
        <v>255</v>
      </c>
      <c r="AO28" s="60">
        <v>270</v>
      </c>
      <c r="AP28" s="60">
        <v>270</v>
      </c>
      <c r="AQ28" s="60">
        <v>270</v>
      </c>
      <c r="AR28" s="60">
        <v>280</v>
      </c>
      <c r="AS28" s="60">
        <v>295</v>
      </c>
      <c r="AT28" s="60">
        <v>310</v>
      </c>
      <c r="AU28" s="60">
        <v>310</v>
      </c>
      <c r="AV28" s="60">
        <v>330</v>
      </c>
      <c r="AW28" s="60">
        <v>330</v>
      </c>
      <c r="AX28" s="60">
        <v>350</v>
      </c>
      <c r="AY28" s="60">
        <v>340</v>
      </c>
      <c r="AZ28" s="60">
        <v>375</v>
      </c>
      <c r="BA28" s="60">
        <v>365</v>
      </c>
      <c r="BB28" s="60">
        <v>380</v>
      </c>
      <c r="BC28" s="60">
        <v>370</v>
      </c>
      <c r="BD28" s="60">
        <v>390</v>
      </c>
      <c r="BE28" s="60">
        <v>400</v>
      </c>
      <c r="BF28" s="60">
        <v>410</v>
      </c>
      <c r="BG28" s="60">
        <v>420</v>
      </c>
      <c r="BH28" s="60">
        <v>420</v>
      </c>
    </row>
    <row r="29" spans="2:60" hidden="1" x14ac:dyDescent="0.2">
      <c r="B29" s="57"/>
      <c r="C29" s="57" t="s">
        <v>658</v>
      </c>
      <c r="D29" s="57" t="s">
        <v>650</v>
      </c>
      <c r="E29" s="58">
        <v>290</v>
      </c>
      <c r="F29" s="58">
        <v>280</v>
      </c>
      <c r="G29" s="58">
        <v>290</v>
      </c>
      <c r="H29" s="58">
        <v>280</v>
      </c>
      <c r="I29" s="58">
        <v>280</v>
      </c>
      <c r="J29" s="58">
        <v>300</v>
      </c>
      <c r="K29" s="58">
        <v>300</v>
      </c>
      <c r="L29" s="58">
        <v>285</v>
      </c>
      <c r="M29" s="58">
        <v>290</v>
      </c>
      <c r="N29" s="58">
        <v>280</v>
      </c>
      <c r="O29" s="58">
        <v>285</v>
      </c>
      <c r="P29" s="58">
        <v>290</v>
      </c>
      <c r="Q29" s="58">
        <v>295</v>
      </c>
      <c r="R29" s="58">
        <v>280</v>
      </c>
      <c r="S29" s="58">
        <v>290</v>
      </c>
      <c r="T29" s="58">
        <v>290</v>
      </c>
      <c r="U29" s="58">
        <v>290</v>
      </c>
      <c r="V29" s="58">
        <v>285</v>
      </c>
      <c r="W29" s="58">
        <v>250</v>
      </c>
      <c r="X29" s="58">
        <v>290</v>
      </c>
      <c r="Y29" s="58">
        <v>295</v>
      </c>
      <c r="Z29" s="58">
        <v>280</v>
      </c>
      <c r="AA29" s="58">
        <v>290</v>
      </c>
      <c r="AB29" s="58">
        <v>285</v>
      </c>
      <c r="AC29" s="58">
        <v>290</v>
      </c>
      <c r="AD29" s="58">
        <v>295</v>
      </c>
      <c r="AE29" s="58">
        <v>310</v>
      </c>
      <c r="AF29" s="58">
        <v>295</v>
      </c>
      <c r="AG29" s="58">
        <v>310</v>
      </c>
      <c r="AH29" s="58">
        <v>310</v>
      </c>
      <c r="AI29" s="58">
        <v>295</v>
      </c>
      <c r="AJ29" s="58">
        <v>300</v>
      </c>
      <c r="AK29" s="58">
        <v>330</v>
      </c>
      <c r="AL29" s="58">
        <v>310</v>
      </c>
      <c r="AM29" s="58">
        <v>300</v>
      </c>
      <c r="AN29" s="58">
        <v>320</v>
      </c>
      <c r="AO29" s="58">
        <v>320</v>
      </c>
      <c r="AP29" s="58">
        <v>330</v>
      </c>
      <c r="AQ29" s="58">
        <v>350</v>
      </c>
      <c r="AR29" s="58">
        <v>340</v>
      </c>
      <c r="AS29" s="58">
        <v>360</v>
      </c>
      <c r="AT29" s="58">
        <v>380</v>
      </c>
      <c r="AU29" s="58">
        <v>400</v>
      </c>
      <c r="AV29" s="58">
        <v>400</v>
      </c>
      <c r="AW29" s="58">
        <v>450</v>
      </c>
      <c r="AX29" s="58">
        <v>400</v>
      </c>
      <c r="AY29" s="58">
        <v>400</v>
      </c>
      <c r="AZ29" s="58">
        <v>420</v>
      </c>
      <c r="BA29" s="58">
        <v>460</v>
      </c>
      <c r="BB29" s="58">
        <v>470</v>
      </c>
      <c r="BC29" s="58">
        <v>480</v>
      </c>
      <c r="BD29" s="58">
        <v>520</v>
      </c>
      <c r="BE29" s="58">
        <v>500</v>
      </c>
      <c r="BF29" s="58">
        <v>530</v>
      </c>
      <c r="BG29" s="58">
        <v>500</v>
      </c>
      <c r="BH29" s="58">
        <v>520</v>
      </c>
    </row>
    <row r="30" spans="2:60" hidden="1" x14ac:dyDescent="0.2">
      <c r="B30" s="59"/>
      <c r="C30" s="59" t="s">
        <v>658</v>
      </c>
      <c r="D30" s="59" t="s">
        <v>651</v>
      </c>
      <c r="E30" s="60">
        <v>235</v>
      </c>
      <c r="F30" s="60">
        <v>235</v>
      </c>
      <c r="G30" s="60">
        <v>240</v>
      </c>
      <c r="H30" s="60">
        <v>240</v>
      </c>
      <c r="I30" s="60">
        <v>245</v>
      </c>
      <c r="J30" s="60">
        <v>240</v>
      </c>
      <c r="K30" s="60">
        <v>240</v>
      </c>
      <c r="L30" s="60">
        <v>250</v>
      </c>
      <c r="M30" s="60">
        <v>250</v>
      </c>
      <c r="N30" s="60">
        <v>250</v>
      </c>
      <c r="O30" s="60">
        <v>250</v>
      </c>
      <c r="P30" s="60">
        <v>260</v>
      </c>
      <c r="Q30" s="60">
        <v>245</v>
      </c>
      <c r="R30" s="60">
        <v>250</v>
      </c>
      <c r="S30" s="60">
        <v>250</v>
      </c>
      <c r="T30" s="60">
        <v>250</v>
      </c>
      <c r="U30" s="60">
        <v>245</v>
      </c>
      <c r="V30" s="60">
        <v>250</v>
      </c>
      <c r="W30" s="60">
        <v>240</v>
      </c>
      <c r="X30" s="60">
        <v>250</v>
      </c>
      <c r="Y30" s="60">
        <v>250</v>
      </c>
      <c r="Z30" s="60">
        <v>250</v>
      </c>
      <c r="AA30" s="60">
        <v>250</v>
      </c>
      <c r="AB30" s="60">
        <v>250</v>
      </c>
      <c r="AC30" s="60">
        <v>260</v>
      </c>
      <c r="AD30" s="60">
        <v>260</v>
      </c>
      <c r="AE30" s="60">
        <v>260</v>
      </c>
      <c r="AF30" s="60">
        <v>265</v>
      </c>
      <c r="AG30" s="60">
        <v>250</v>
      </c>
      <c r="AH30" s="60">
        <v>260</v>
      </c>
      <c r="AI30" s="60">
        <v>265</v>
      </c>
      <c r="AJ30" s="60">
        <v>270</v>
      </c>
      <c r="AK30" s="60">
        <v>265</v>
      </c>
      <c r="AL30" s="60">
        <v>270</v>
      </c>
      <c r="AM30" s="60">
        <v>280</v>
      </c>
      <c r="AN30" s="60">
        <v>280</v>
      </c>
      <c r="AO30" s="60">
        <v>290</v>
      </c>
      <c r="AP30" s="60">
        <v>300</v>
      </c>
      <c r="AQ30" s="60">
        <v>310</v>
      </c>
      <c r="AR30" s="60">
        <v>310</v>
      </c>
      <c r="AS30" s="60">
        <v>300</v>
      </c>
      <c r="AT30" s="60">
        <v>350</v>
      </c>
      <c r="AU30" s="60">
        <v>350</v>
      </c>
      <c r="AV30" s="60">
        <v>360</v>
      </c>
      <c r="AW30" s="60">
        <v>350</v>
      </c>
      <c r="AX30" s="60">
        <v>380</v>
      </c>
      <c r="AY30" s="60">
        <v>380</v>
      </c>
      <c r="AZ30" s="60">
        <v>400</v>
      </c>
      <c r="BA30" s="60">
        <v>450</v>
      </c>
      <c r="BB30" s="60">
        <v>430</v>
      </c>
      <c r="BC30" s="60">
        <v>430</v>
      </c>
      <c r="BD30" s="60">
        <v>450</v>
      </c>
      <c r="BE30" s="60">
        <v>435</v>
      </c>
      <c r="BF30" s="60">
        <v>450</v>
      </c>
      <c r="BG30" s="60">
        <v>440</v>
      </c>
      <c r="BH30" s="60">
        <v>450</v>
      </c>
    </row>
    <row r="31" spans="2:60" hidden="1" x14ac:dyDescent="0.2">
      <c r="B31" s="57"/>
      <c r="C31" s="57" t="s">
        <v>658</v>
      </c>
      <c r="D31" s="57" t="s">
        <v>652</v>
      </c>
      <c r="E31" s="58">
        <v>270</v>
      </c>
      <c r="F31" s="58">
        <v>270</v>
      </c>
      <c r="G31" s="58">
        <v>270</v>
      </c>
      <c r="H31" s="58">
        <v>275</v>
      </c>
      <c r="I31" s="58">
        <v>280</v>
      </c>
      <c r="J31" s="58">
        <v>280</v>
      </c>
      <c r="K31" s="58">
        <v>285</v>
      </c>
      <c r="L31" s="58">
        <v>285</v>
      </c>
      <c r="M31" s="58">
        <v>285</v>
      </c>
      <c r="N31" s="58">
        <v>285</v>
      </c>
      <c r="O31" s="58">
        <v>285</v>
      </c>
      <c r="P31" s="58">
        <v>285</v>
      </c>
      <c r="Q31" s="58">
        <v>280</v>
      </c>
      <c r="R31" s="58">
        <v>285</v>
      </c>
      <c r="S31" s="58">
        <v>285</v>
      </c>
      <c r="T31" s="58">
        <v>280</v>
      </c>
      <c r="U31" s="58">
        <v>280</v>
      </c>
      <c r="V31" s="58">
        <v>280</v>
      </c>
      <c r="W31" s="58">
        <v>280</v>
      </c>
      <c r="X31" s="58">
        <v>280</v>
      </c>
      <c r="Y31" s="58">
        <v>285</v>
      </c>
      <c r="Z31" s="58">
        <v>285</v>
      </c>
      <c r="AA31" s="58">
        <v>285</v>
      </c>
      <c r="AB31" s="58">
        <v>290</v>
      </c>
      <c r="AC31" s="58">
        <v>290</v>
      </c>
      <c r="AD31" s="58">
        <v>295</v>
      </c>
      <c r="AE31" s="58">
        <v>295</v>
      </c>
      <c r="AF31" s="58">
        <v>295</v>
      </c>
      <c r="AG31" s="58">
        <v>300</v>
      </c>
      <c r="AH31" s="58">
        <v>300</v>
      </c>
      <c r="AI31" s="58">
        <v>300</v>
      </c>
      <c r="AJ31" s="58">
        <v>300</v>
      </c>
      <c r="AK31" s="58">
        <v>300</v>
      </c>
      <c r="AL31" s="58">
        <v>300</v>
      </c>
      <c r="AM31" s="58">
        <v>310</v>
      </c>
      <c r="AN31" s="58">
        <v>330</v>
      </c>
      <c r="AO31" s="58">
        <v>335</v>
      </c>
      <c r="AP31" s="58">
        <v>345</v>
      </c>
      <c r="AQ31" s="58">
        <v>350</v>
      </c>
      <c r="AR31" s="58">
        <v>370</v>
      </c>
      <c r="AS31" s="58">
        <v>380</v>
      </c>
      <c r="AT31" s="58">
        <v>400</v>
      </c>
      <c r="AU31" s="58">
        <v>410</v>
      </c>
      <c r="AV31" s="58">
        <v>440</v>
      </c>
      <c r="AW31" s="58">
        <v>450</v>
      </c>
      <c r="AX31" s="58">
        <v>470</v>
      </c>
      <c r="AY31" s="58">
        <v>470</v>
      </c>
      <c r="AZ31" s="58">
        <v>480</v>
      </c>
      <c r="BA31" s="58">
        <v>500</v>
      </c>
      <c r="BB31" s="58">
        <v>500</v>
      </c>
      <c r="BC31" s="58">
        <v>510</v>
      </c>
      <c r="BD31" s="58">
        <v>540</v>
      </c>
      <c r="BE31" s="58">
        <v>550</v>
      </c>
      <c r="BF31" s="58">
        <v>550</v>
      </c>
      <c r="BG31" s="58">
        <v>550</v>
      </c>
      <c r="BH31" s="58">
        <v>570</v>
      </c>
    </row>
    <row r="32" spans="2:60" hidden="1" x14ac:dyDescent="0.2">
      <c r="B32" s="59"/>
      <c r="C32" s="59" t="s">
        <v>658</v>
      </c>
      <c r="D32" s="59" t="s">
        <v>653</v>
      </c>
      <c r="E32" s="60">
        <v>320</v>
      </c>
      <c r="F32" s="60">
        <v>325</v>
      </c>
      <c r="G32" s="60">
        <v>330</v>
      </c>
      <c r="H32" s="60">
        <v>330</v>
      </c>
      <c r="I32" s="60">
        <v>340</v>
      </c>
      <c r="J32" s="60">
        <v>340</v>
      </c>
      <c r="K32" s="60">
        <v>350</v>
      </c>
      <c r="L32" s="60">
        <v>350</v>
      </c>
      <c r="M32" s="60">
        <v>340</v>
      </c>
      <c r="N32" s="60">
        <v>340</v>
      </c>
      <c r="O32" s="60">
        <v>340</v>
      </c>
      <c r="P32" s="60">
        <v>350</v>
      </c>
      <c r="Q32" s="60">
        <v>340</v>
      </c>
      <c r="R32" s="60">
        <v>350</v>
      </c>
      <c r="S32" s="60">
        <v>340</v>
      </c>
      <c r="T32" s="60">
        <v>350</v>
      </c>
      <c r="U32" s="60">
        <v>340</v>
      </c>
      <c r="V32" s="60">
        <v>320</v>
      </c>
      <c r="W32" s="60">
        <v>330</v>
      </c>
      <c r="X32" s="60">
        <v>330</v>
      </c>
      <c r="Y32" s="60">
        <v>350</v>
      </c>
      <c r="Z32" s="60">
        <v>340</v>
      </c>
      <c r="AA32" s="60">
        <v>340</v>
      </c>
      <c r="AB32" s="60">
        <v>340</v>
      </c>
      <c r="AC32" s="60">
        <v>350</v>
      </c>
      <c r="AD32" s="60">
        <v>350</v>
      </c>
      <c r="AE32" s="60">
        <v>350</v>
      </c>
      <c r="AF32" s="60">
        <v>350</v>
      </c>
      <c r="AG32" s="60">
        <v>350</v>
      </c>
      <c r="AH32" s="60">
        <v>350</v>
      </c>
      <c r="AI32" s="60">
        <v>360</v>
      </c>
      <c r="AJ32" s="60">
        <v>350</v>
      </c>
      <c r="AK32" s="60">
        <v>360</v>
      </c>
      <c r="AL32" s="60">
        <v>360</v>
      </c>
      <c r="AM32" s="60">
        <v>370</v>
      </c>
      <c r="AN32" s="60">
        <v>380</v>
      </c>
      <c r="AO32" s="60">
        <v>380</v>
      </c>
      <c r="AP32" s="60">
        <v>400</v>
      </c>
      <c r="AQ32" s="60">
        <v>400</v>
      </c>
      <c r="AR32" s="60">
        <v>450</v>
      </c>
      <c r="AS32" s="60">
        <v>475</v>
      </c>
      <c r="AT32" s="60">
        <v>500</v>
      </c>
      <c r="AU32" s="60">
        <v>510</v>
      </c>
      <c r="AV32" s="60">
        <v>520</v>
      </c>
      <c r="AW32" s="60">
        <v>510</v>
      </c>
      <c r="AX32" s="60">
        <v>550</v>
      </c>
      <c r="AY32" s="60">
        <v>550</v>
      </c>
      <c r="AZ32" s="60">
        <v>590</v>
      </c>
      <c r="BA32" s="60">
        <v>575</v>
      </c>
      <c r="BB32" s="60">
        <v>620</v>
      </c>
      <c r="BC32" s="60">
        <v>600</v>
      </c>
      <c r="BD32" s="60">
        <v>640</v>
      </c>
      <c r="BE32" s="60">
        <v>640</v>
      </c>
      <c r="BF32" s="60">
        <v>650</v>
      </c>
      <c r="BG32" s="60">
        <v>650</v>
      </c>
      <c r="BH32" s="60">
        <v>660</v>
      </c>
    </row>
    <row r="33" spans="2:60" hidden="1" x14ac:dyDescent="0.2">
      <c r="B33" s="57"/>
      <c r="C33" s="57" t="s">
        <v>658</v>
      </c>
      <c r="D33" s="57" t="s">
        <v>654</v>
      </c>
      <c r="E33" s="58"/>
      <c r="F33" s="58"/>
      <c r="G33" s="58"/>
      <c r="H33" s="58"/>
      <c r="I33" s="58"/>
      <c r="J33" s="58"/>
      <c r="K33" s="58"/>
      <c r="L33" s="58"/>
      <c r="M33" s="58"/>
      <c r="N33" s="58"/>
      <c r="O33" s="58">
        <v>260</v>
      </c>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row>
    <row r="34" spans="2:60" hidden="1" x14ac:dyDescent="0.2">
      <c r="B34" s="59"/>
      <c r="C34" s="59" t="s">
        <v>658</v>
      </c>
      <c r="D34" s="59" t="s">
        <v>655</v>
      </c>
      <c r="E34" s="60">
        <v>270</v>
      </c>
      <c r="F34" s="60"/>
      <c r="G34" s="60">
        <v>280</v>
      </c>
      <c r="H34" s="60">
        <v>285</v>
      </c>
      <c r="I34" s="60">
        <v>300</v>
      </c>
      <c r="J34" s="60">
        <v>280</v>
      </c>
      <c r="K34" s="60">
        <v>285</v>
      </c>
      <c r="L34" s="60">
        <v>300</v>
      </c>
      <c r="M34" s="60">
        <v>290</v>
      </c>
      <c r="N34" s="60">
        <v>300</v>
      </c>
      <c r="O34" s="60">
        <v>320</v>
      </c>
      <c r="P34" s="60">
        <v>285</v>
      </c>
      <c r="Q34" s="60">
        <v>290</v>
      </c>
      <c r="R34" s="60">
        <v>290</v>
      </c>
      <c r="S34" s="60">
        <v>275</v>
      </c>
      <c r="T34" s="60"/>
      <c r="U34" s="60">
        <v>285</v>
      </c>
      <c r="V34" s="60"/>
      <c r="W34" s="60"/>
      <c r="X34" s="60"/>
      <c r="Y34" s="60">
        <v>300</v>
      </c>
      <c r="Z34" s="60"/>
      <c r="AA34" s="60">
        <v>290</v>
      </c>
      <c r="AB34" s="60"/>
      <c r="AC34" s="60">
        <v>270</v>
      </c>
      <c r="AD34" s="60"/>
      <c r="AE34" s="60"/>
      <c r="AF34" s="60"/>
      <c r="AG34" s="60"/>
      <c r="AH34" s="60"/>
      <c r="AI34" s="60"/>
      <c r="AJ34" s="60"/>
      <c r="AK34" s="60"/>
      <c r="AL34" s="60">
        <v>300</v>
      </c>
      <c r="AM34" s="60"/>
      <c r="AN34" s="60"/>
      <c r="AO34" s="60"/>
      <c r="AP34" s="60"/>
      <c r="AQ34" s="60"/>
      <c r="AR34" s="60"/>
      <c r="AS34" s="60"/>
      <c r="AT34" s="60"/>
      <c r="AU34" s="60"/>
      <c r="AV34" s="60"/>
      <c r="AW34" s="60">
        <v>450</v>
      </c>
      <c r="AX34" s="60"/>
      <c r="AY34" s="60"/>
      <c r="AZ34" s="60"/>
      <c r="BA34" s="60">
        <v>450</v>
      </c>
      <c r="BB34" s="60"/>
      <c r="BC34" s="60"/>
      <c r="BD34" s="60"/>
      <c r="BE34" s="60">
        <v>600</v>
      </c>
      <c r="BF34" s="60"/>
      <c r="BG34" s="60">
        <v>550</v>
      </c>
      <c r="BH34" s="60"/>
    </row>
    <row r="35" spans="2:60" hidden="1" x14ac:dyDescent="0.2">
      <c r="B35" s="57"/>
      <c r="C35" s="57" t="s">
        <v>658</v>
      </c>
      <c r="D35" s="57" t="s">
        <v>656</v>
      </c>
      <c r="E35" s="58">
        <v>265</v>
      </c>
      <c r="F35" s="58">
        <v>265</v>
      </c>
      <c r="G35" s="58">
        <v>270</v>
      </c>
      <c r="H35" s="58">
        <v>270</v>
      </c>
      <c r="I35" s="58">
        <v>280</v>
      </c>
      <c r="J35" s="58">
        <v>280</v>
      </c>
      <c r="K35" s="58">
        <v>280</v>
      </c>
      <c r="L35" s="58">
        <v>280</v>
      </c>
      <c r="M35" s="58">
        <v>285</v>
      </c>
      <c r="N35" s="58">
        <v>285</v>
      </c>
      <c r="O35" s="58">
        <v>280</v>
      </c>
      <c r="P35" s="58">
        <v>280</v>
      </c>
      <c r="Q35" s="58">
        <v>285</v>
      </c>
      <c r="R35" s="58">
        <v>280</v>
      </c>
      <c r="S35" s="58">
        <v>280</v>
      </c>
      <c r="T35" s="58">
        <v>280</v>
      </c>
      <c r="U35" s="58">
        <v>280</v>
      </c>
      <c r="V35" s="58">
        <v>280</v>
      </c>
      <c r="W35" s="58">
        <v>280</v>
      </c>
      <c r="X35" s="58">
        <v>280</v>
      </c>
      <c r="Y35" s="58">
        <v>285</v>
      </c>
      <c r="Z35" s="58">
        <v>285</v>
      </c>
      <c r="AA35" s="58">
        <v>280</v>
      </c>
      <c r="AB35" s="58">
        <v>285</v>
      </c>
      <c r="AC35" s="58">
        <v>290</v>
      </c>
      <c r="AD35" s="58">
        <v>295</v>
      </c>
      <c r="AE35" s="58">
        <v>290</v>
      </c>
      <c r="AF35" s="58">
        <v>290</v>
      </c>
      <c r="AG35" s="58">
        <v>295</v>
      </c>
      <c r="AH35" s="58">
        <v>295</v>
      </c>
      <c r="AI35" s="58">
        <v>295</v>
      </c>
      <c r="AJ35" s="58">
        <v>300</v>
      </c>
      <c r="AK35" s="58">
        <v>300</v>
      </c>
      <c r="AL35" s="58">
        <v>298</v>
      </c>
      <c r="AM35" s="58">
        <v>300</v>
      </c>
      <c r="AN35" s="58">
        <v>320</v>
      </c>
      <c r="AO35" s="58">
        <v>320</v>
      </c>
      <c r="AP35" s="58">
        <v>330</v>
      </c>
      <c r="AQ35" s="58">
        <v>335</v>
      </c>
      <c r="AR35" s="58">
        <v>350</v>
      </c>
      <c r="AS35" s="58">
        <v>370</v>
      </c>
      <c r="AT35" s="58">
        <v>380</v>
      </c>
      <c r="AU35" s="58">
        <v>400</v>
      </c>
      <c r="AV35" s="58">
        <v>410</v>
      </c>
      <c r="AW35" s="58">
        <v>420</v>
      </c>
      <c r="AX35" s="58">
        <v>450</v>
      </c>
      <c r="AY35" s="58">
        <v>450</v>
      </c>
      <c r="AZ35" s="58">
        <v>467</v>
      </c>
      <c r="BA35" s="58">
        <v>480</v>
      </c>
      <c r="BB35" s="58">
        <v>495</v>
      </c>
      <c r="BC35" s="58">
        <v>495</v>
      </c>
      <c r="BD35" s="58">
        <v>500</v>
      </c>
      <c r="BE35" s="58">
        <v>500</v>
      </c>
      <c r="BF35" s="58">
        <v>530</v>
      </c>
      <c r="BG35" s="58">
        <v>550</v>
      </c>
      <c r="BH35" s="58">
        <v>555</v>
      </c>
    </row>
    <row r="36" spans="2:60" hidden="1" x14ac:dyDescent="0.2">
      <c r="B36" s="59"/>
      <c r="C36" s="59" t="s">
        <v>659</v>
      </c>
      <c r="D36" s="59" t="s">
        <v>648</v>
      </c>
      <c r="E36" s="60">
        <v>185</v>
      </c>
      <c r="F36" s="60">
        <v>185</v>
      </c>
      <c r="G36" s="60">
        <v>180</v>
      </c>
      <c r="H36" s="60">
        <v>185</v>
      </c>
      <c r="I36" s="60">
        <v>185</v>
      </c>
      <c r="J36" s="60">
        <v>185</v>
      </c>
      <c r="K36" s="60">
        <v>175</v>
      </c>
      <c r="L36" s="60">
        <v>185</v>
      </c>
      <c r="M36" s="60">
        <v>185</v>
      </c>
      <c r="N36" s="60">
        <v>190</v>
      </c>
      <c r="O36" s="60">
        <v>185</v>
      </c>
      <c r="P36" s="60">
        <v>190</v>
      </c>
      <c r="Q36" s="60"/>
      <c r="R36" s="60">
        <v>190</v>
      </c>
      <c r="S36" s="60">
        <v>190</v>
      </c>
      <c r="T36" s="60"/>
      <c r="U36" s="60">
        <v>185</v>
      </c>
      <c r="V36" s="60"/>
      <c r="W36" s="60"/>
      <c r="X36" s="60">
        <v>200</v>
      </c>
      <c r="Y36" s="60">
        <v>195</v>
      </c>
      <c r="Z36" s="60"/>
      <c r="AA36" s="60">
        <v>205</v>
      </c>
      <c r="AB36" s="60">
        <v>160</v>
      </c>
      <c r="AC36" s="60"/>
      <c r="AD36" s="60">
        <v>170</v>
      </c>
      <c r="AE36" s="60"/>
      <c r="AF36" s="60">
        <v>150</v>
      </c>
      <c r="AG36" s="60">
        <v>180</v>
      </c>
      <c r="AH36" s="60">
        <v>150</v>
      </c>
      <c r="AI36" s="60"/>
      <c r="AJ36" s="60"/>
      <c r="AK36" s="60">
        <v>200</v>
      </c>
      <c r="AL36" s="60">
        <v>210</v>
      </c>
      <c r="AM36" s="60">
        <v>150</v>
      </c>
      <c r="AN36" s="60"/>
      <c r="AO36" s="60">
        <v>210</v>
      </c>
      <c r="AP36" s="60">
        <v>185</v>
      </c>
      <c r="AQ36" s="60">
        <v>190</v>
      </c>
      <c r="AR36" s="60"/>
      <c r="AS36" s="60"/>
      <c r="AT36" s="60"/>
      <c r="AU36" s="60"/>
      <c r="AV36" s="60"/>
      <c r="AW36" s="60"/>
      <c r="AX36" s="60">
        <v>230</v>
      </c>
      <c r="AY36" s="60"/>
      <c r="AZ36" s="60">
        <v>220</v>
      </c>
      <c r="BA36" s="60"/>
      <c r="BB36" s="60">
        <v>250</v>
      </c>
      <c r="BC36" s="60"/>
      <c r="BD36" s="60">
        <v>240</v>
      </c>
      <c r="BE36" s="60">
        <v>238</v>
      </c>
      <c r="BF36" s="60">
        <v>250</v>
      </c>
      <c r="BG36" s="60"/>
      <c r="BH36" s="60">
        <v>260</v>
      </c>
    </row>
    <row r="37" spans="2:60" hidden="1" x14ac:dyDescent="0.2">
      <c r="B37" s="57"/>
      <c r="C37" s="57" t="s">
        <v>659</v>
      </c>
      <c r="D37" s="57" t="s">
        <v>649</v>
      </c>
      <c r="E37" s="58">
        <v>190</v>
      </c>
      <c r="F37" s="58">
        <v>190</v>
      </c>
      <c r="G37" s="58">
        <v>195</v>
      </c>
      <c r="H37" s="58">
        <v>200</v>
      </c>
      <c r="I37" s="58">
        <v>200</v>
      </c>
      <c r="J37" s="58">
        <v>200</v>
      </c>
      <c r="K37" s="58">
        <v>200</v>
      </c>
      <c r="L37" s="58">
        <v>210</v>
      </c>
      <c r="M37" s="58">
        <v>200</v>
      </c>
      <c r="N37" s="58">
        <v>200</v>
      </c>
      <c r="O37" s="58">
        <v>200</v>
      </c>
      <c r="P37" s="58">
        <v>200</v>
      </c>
      <c r="Q37" s="58">
        <v>200</v>
      </c>
      <c r="R37" s="58">
        <v>210</v>
      </c>
      <c r="S37" s="58">
        <v>210</v>
      </c>
      <c r="T37" s="58">
        <v>200</v>
      </c>
      <c r="U37" s="58">
        <v>210</v>
      </c>
      <c r="V37" s="58">
        <v>220</v>
      </c>
      <c r="W37" s="58"/>
      <c r="X37" s="58">
        <v>210</v>
      </c>
      <c r="Y37" s="58">
        <v>220</v>
      </c>
      <c r="Z37" s="58">
        <v>200</v>
      </c>
      <c r="AA37" s="58">
        <v>205</v>
      </c>
      <c r="AB37" s="58">
        <v>200</v>
      </c>
      <c r="AC37" s="58">
        <v>210</v>
      </c>
      <c r="AD37" s="58">
        <v>220</v>
      </c>
      <c r="AE37" s="58">
        <v>220</v>
      </c>
      <c r="AF37" s="58">
        <v>215</v>
      </c>
      <c r="AG37" s="58">
        <v>220</v>
      </c>
      <c r="AH37" s="58">
        <v>200</v>
      </c>
      <c r="AI37" s="58">
        <v>210</v>
      </c>
      <c r="AJ37" s="58">
        <v>210</v>
      </c>
      <c r="AK37" s="58">
        <v>210</v>
      </c>
      <c r="AL37" s="58">
        <v>210</v>
      </c>
      <c r="AM37" s="58">
        <v>205</v>
      </c>
      <c r="AN37" s="58">
        <v>220</v>
      </c>
      <c r="AO37" s="58">
        <v>210</v>
      </c>
      <c r="AP37" s="58">
        <v>215</v>
      </c>
      <c r="AQ37" s="58">
        <v>235</v>
      </c>
      <c r="AR37" s="58">
        <v>235</v>
      </c>
      <c r="AS37" s="58">
        <v>225</v>
      </c>
      <c r="AT37" s="58">
        <v>280</v>
      </c>
      <c r="AU37" s="58">
        <v>245</v>
      </c>
      <c r="AV37" s="58">
        <v>260</v>
      </c>
      <c r="AW37" s="58">
        <v>250</v>
      </c>
      <c r="AX37" s="58">
        <v>250</v>
      </c>
      <c r="AY37" s="58">
        <v>260</v>
      </c>
      <c r="AZ37" s="58">
        <v>290</v>
      </c>
      <c r="BA37" s="58">
        <v>270</v>
      </c>
      <c r="BB37" s="58">
        <v>250</v>
      </c>
      <c r="BC37" s="58">
        <v>300</v>
      </c>
      <c r="BD37" s="58">
        <v>270</v>
      </c>
      <c r="BE37" s="58">
        <v>300</v>
      </c>
      <c r="BF37" s="58">
        <v>310</v>
      </c>
      <c r="BG37" s="58">
        <v>300</v>
      </c>
      <c r="BH37" s="58">
        <v>350</v>
      </c>
    </row>
    <row r="38" spans="2:60" hidden="1" x14ac:dyDescent="0.2">
      <c r="B38" s="59"/>
      <c r="C38" s="59" t="s">
        <v>659</v>
      </c>
      <c r="D38" s="59" t="s">
        <v>650</v>
      </c>
      <c r="E38" s="60"/>
      <c r="F38" s="60">
        <v>240</v>
      </c>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row>
    <row r="39" spans="2:60" hidden="1" x14ac:dyDescent="0.2">
      <c r="B39" s="57"/>
      <c r="C39" s="57" t="s">
        <v>659</v>
      </c>
      <c r="D39" s="57" t="s">
        <v>651</v>
      </c>
      <c r="E39" s="58">
        <v>220</v>
      </c>
      <c r="F39" s="58">
        <v>220</v>
      </c>
      <c r="G39" s="58">
        <v>225</v>
      </c>
      <c r="H39" s="58">
        <v>230</v>
      </c>
      <c r="I39" s="58">
        <v>235</v>
      </c>
      <c r="J39" s="58">
        <v>200</v>
      </c>
      <c r="K39" s="58"/>
      <c r="L39" s="58">
        <v>230</v>
      </c>
      <c r="M39" s="58">
        <v>240</v>
      </c>
      <c r="N39" s="58">
        <v>220</v>
      </c>
      <c r="O39" s="58">
        <v>235</v>
      </c>
      <c r="P39" s="58">
        <v>230</v>
      </c>
      <c r="Q39" s="58">
        <v>230</v>
      </c>
      <c r="R39" s="58">
        <v>240</v>
      </c>
      <c r="S39" s="58">
        <v>225</v>
      </c>
      <c r="T39" s="58">
        <v>220</v>
      </c>
      <c r="U39" s="58">
        <v>220</v>
      </c>
      <c r="V39" s="58">
        <v>200</v>
      </c>
      <c r="W39" s="58"/>
      <c r="X39" s="58"/>
      <c r="Y39" s="58"/>
      <c r="Z39" s="58">
        <v>220</v>
      </c>
      <c r="AA39" s="58">
        <v>235</v>
      </c>
      <c r="AB39" s="58">
        <v>210</v>
      </c>
      <c r="AC39" s="58">
        <v>220</v>
      </c>
      <c r="AD39" s="58"/>
      <c r="AE39" s="58">
        <v>220</v>
      </c>
      <c r="AF39" s="58">
        <v>220</v>
      </c>
      <c r="AG39" s="58">
        <v>220</v>
      </c>
      <c r="AH39" s="58">
        <v>220</v>
      </c>
      <c r="AI39" s="58"/>
      <c r="AJ39" s="58"/>
      <c r="AK39" s="58">
        <v>240</v>
      </c>
      <c r="AL39" s="58">
        <v>220</v>
      </c>
      <c r="AM39" s="58"/>
      <c r="AN39" s="58"/>
      <c r="AO39" s="58">
        <v>225</v>
      </c>
      <c r="AP39" s="58"/>
      <c r="AQ39" s="58">
        <v>245</v>
      </c>
      <c r="AR39" s="58">
        <v>250</v>
      </c>
      <c r="AS39" s="58">
        <v>250</v>
      </c>
      <c r="AT39" s="58"/>
      <c r="AU39" s="58">
        <v>270</v>
      </c>
      <c r="AV39" s="58">
        <v>270</v>
      </c>
      <c r="AW39" s="58">
        <v>280</v>
      </c>
      <c r="AX39" s="58"/>
      <c r="AY39" s="58"/>
      <c r="AZ39" s="58"/>
      <c r="BA39" s="58"/>
      <c r="BB39" s="58"/>
      <c r="BC39" s="58"/>
      <c r="BD39" s="58"/>
      <c r="BE39" s="58"/>
      <c r="BF39" s="58"/>
      <c r="BG39" s="58"/>
      <c r="BH39" s="58"/>
    </row>
    <row r="40" spans="2:60" hidden="1" x14ac:dyDescent="0.2">
      <c r="B40" s="59"/>
      <c r="C40" s="59" t="s">
        <v>659</v>
      </c>
      <c r="D40" s="59" t="s">
        <v>652</v>
      </c>
      <c r="E40" s="60">
        <v>250</v>
      </c>
      <c r="F40" s="60">
        <v>270</v>
      </c>
      <c r="G40" s="60">
        <v>260</v>
      </c>
      <c r="H40" s="60">
        <v>260</v>
      </c>
      <c r="I40" s="60">
        <v>260</v>
      </c>
      <c r="J40" s="60">
        <v>260</v>
      </c>
      <c r="K40" s="60">
        <v>265</v>
      </c>
      <c r="L40" s="60">
        <v>260</v>
      </c>
      <c r="M40" s="60">
        <v>260</v>
      </c>
      <c r="N40" s="60">
        <v>250</v>
      </c>
      <c r="O40" s="60">
        <v>270</v>
      </c>
      <c r="P40" s="60">
        <v>270</v>
      </c>
      <c r="Q40" s="60">
        <v>270</v>
      </c>
      <c r="R40" s="60">
        <v>250</v>
      </c>
      <c r="S40" s="60">
        <v>265</v>
      </c>
      <c r="T40" s="60">
        <v>250</v>
      </c>
      <c r="U40" s="60">
        <v>265</v>
      </c>
      <c r="V40" s="60">
        <v>250</v>
      </c>
      <c r="W40" s="60">
        <v>250</v>
      </c>
      <c r="X40" s="60">
        <v>250</v>
      </c>
      <c r="Y40" s="60">
        <v>260</v>
      </c>
      <c r="Z40" s="60">
        <v>240</v>
      </c>
      <c r="AA40" s="60">
        <v>250</v>
      </c>
      <c r="AB40" s="60">
        <v>250</v>
      </c>
      <c r="AC40" s="60">
        <v>250</v>
      </c>
      <c r="AD40" s="60">
        <v>255</v>
      </c>
      <c r="AE40" s="60">
        <v>260</v>
      </c>
      <c r="AF40" s="60">
        <v>250</v>
      </c>
      <c r="AG40" s="60">
        <v>250</v>
      </c>
      <c r="AH40" s="60">
        <v>270</v>
      </c>
      <c r="AI40" s="60">
        <v>250</v>
      </c>
      <c r="AJ40" s="60">
        <v>270</v>
      </c>
      <c r="AK40" s="60">
        <v>270</v>
      </c>
      <c r="AL40" s="60">
        <v>255</v>
      </c>
      <c r="AM40" s="60">
        <v>280</v>
      </c>
      <c r="AN40" s="60">
        <v>260</v>
      </c>
      <c r="AO40" s="60">
        <v>280</v>
      </c>
      <c r="AP40" s="60">
        <v>275</v>
      </c>
      <c r="AQ40" s="60">
        <v>270</v>
      </c>
      <c r="AR40" s="60">
        <v>290</v>
      </c>
      <c r="AS40" s="60">
        <v>290</v>
      </c>
      <c r="AT40" s="60">
        <v>300</v>
      </c>
      <c r="AU40" s="60">
        <v>310</v>
      </c>
      <c r="AV40" s="60">
        <v>300</v>
      </c>
      <c r="AW40" s="60">
        <v>300</v>
      </c>
      <c r="AX40" s="60">
        <v>310</v>
      </c>
      <c r="AY40" s="60">
        <v>320</v>
      </c>
      <c r="AZ40" s="60">
        <v>330</v>
      </c>
      <c r="BA40" s="60">
        <v>380</v>
      </c>
      <c r="BB40" s="60">
        <v>340</v>
      </c>
      <c r="BC40" s="60">
        <v>350</v>
      </c>
      <c r="BD40" s="60">
        <v>330</v>
      </c>
      <c r="BE40" s="60">
        <v>400</v>
      </c>
      <c r="BF40" s="60">
        <v>400</v>
      </c>
      <c r="BG40" s="60">
        <v>370</v>
      </c>
      <c r="BH40" s="60">
        <v>400</v>
      </c>
    </row>
    <row r="41" spans="2:60" hidden="1" x14ac:dyDescent="0.2">
      <c r="B41" s="57"/>
      <c r="C41" s="57" t="s">
        <v>659</v>
      </c>
      <c r="D41" s="57" t="s">
        <v>653</v>
      </c>
      <c r="E41" s="58">
        <v>330</v>
      </c>
      <c r="F41" s="58">
        <v>300</v>
      </c>
      <c r="G41" s="58">
        <v>350</v>
      </c>
      <c r="H41" s="58">
        <v>250</v>
      </c>
      <c r="I41" s="58">
        <v>330</v>
      </c>
      <c r="J41" s="58">
        <v>320</v>
      </c>
      <c r="K41" s="58">
        <v>260</v>
      </c>
      <c r="L41" s="58">
        <v>330</v>
      </c>
      <c r="M41" s="58">
        <v>300</v>
      </c>
      <c r="N41" s="58">
        <v>290</v>
      </c>
      <c r="O41" s="58">
        <v>320</v>
      </c>
      <c r="P41" s="58">
        <v>325</v>
      </c>
      <c r="Q41" s="58">
        <v>270</v>
      </c>
      <c r="R41" s="58">
        <v>310</v>
      </c>
      <c r="S41" s="58">
        <v>275</v>
      </c>
      <c r="T41" s="58">
        <v>300</v>
      </c>
      <c r="U41" s="58">
        <v>350</v>
      </c>
      <c r="V41" s="58">
        <v>350</v>
      </c>
      <c r="W41" s="58"/>
      <c r="X41" s="58">
        <v>270</v>
      </c>
      <c r="Y41" s="58">
        <v>340</v>
      </c>
      <c r="Z41" s="58">
        <v>350</v>
      </c>
      <c r="AA41" s="58">
        <v>300</v>
      </c>
      <c r="AB41" s="58">
        <v>300</v>
      </c>
      <c r="AC41" s="58">
        <v>300</v>
      </c>
      <c r="AD41" s="58">
        <v>280</v>
      </c>
      <c r="AE41" s="58">
        <v>315</v>
      </c>
      <c r="AF41" s="58">
        <v>310</v>
      </c>
      <c r="AG41" s="58">
        <v>280</v>
      </c>
      <c r="AH41" s="58"/>
      <c r="AI41" s="58">
        <v>320</v>
      </c>
      <c r="AJ41" s="58">
        <v>300</v>
      </c>
      <c r="AK41" s="58">
        <v>300</v>
      </c>
      <c r="AL41" s="58">
        <v>300</v>
      </c>
      <c r="AM41" s="58">
        <v>330</v>
      </c>
      <c r="AN41" s="58"/>
      <c r="AO41" s="58">
        <v>300</v>
      </c>
      <c r="AP41" s="58">
        <v>330</v>
      </c>
      <c r="AQ41" s="58">
        <v>380</v>
      </c>
      <c r="AR41" s="58">
        <v>350</v>
      </c>
      <c r="AS41" s="58"/>
      <c r="AT41" s="58">
        <v>360</v>
      </c>
      <c r="AU41" s="58"/>
      <c r="AV41" s="58">
        <v>360</v>
      </c>
      <c r="AW41" s="58">
        <v>400</v>
      </c>
      <c r="AX41" s="58"/>
      <c r="AY41" s="58">
        <v>350</v>
      </c>
      <c r="AZ41" s="58"/>
      <c r="BA41" s="58"/>
      <c r="BB41" s="58">
        <v>400</v>
      </c>
      <c r="BC41" s="58">
        <v>400</v>
      </c>
      <c r="BD41" s="58"/>
      <c r="BE41" s="58">
        <v>420</v>
      </c>
      <c r="BF41" s="58">
        <v>480</v>
      </c>
      <c r="BG41" s="58"/>
      <c r="BH41" s="58"/>
    </row>
    <row r="42" spans="2:60" hidden="1" x14ac:dyDescent="0.2">
      <c r="B42" s="59"/>
      <c r="C42" s="59" t="s">
        <v>659</v>
      </c>
      <c r="D42" s="59" t="s">
        <v>654</v>
      </c>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row>
    <row r="43" spans="2:60" hidden="1" x14ac:dyDescent="0.2">
      <c r="B43" s="57"/>
      <c r="C43" s="57" t="s">
        <v>659</v>
      </c>
      <c r="D43" s="57" t="s">
        <v>655</v>
      </c>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row>
    <row r="44" spans="2:60" hidden="1" x14ac:dyDescent="0.2">
      <c r="B44" s="59"/>
      <c r="C44" s="59" t="s">
        <v>659</v>
      </c>
      <c r="D44" s="59" t="s">
        <v>656</v>
      </c>
      <c r="E44" s="60">
        <v>230</v>
      </c>
      <c r="F44" s="60">
        <v>230</v>
      </c>
      <c r="G44" s="60">
        <v>240</v>
      </c>
      <c r="H44" s="60">
        <v>235</v>
      </c>
      <c r="I44" s="60">
        <v>230</v>
      </c>
      <c r="J44" s="60">
        <v>250</v>
      </c>
      <c r="K44" s="60">
        <v>235</v>
      </c>
      <c r="L44" s="60">
        <v>240</v>
      </c>
      <c r="M44" s="60">
        <v>240</v>
      </c>
      <c r="N44" s="60">
        <v>230</v>
      </c>
      <c r="O44" s="60">
        <v>250</v>
      </c>
      <c r="P44" s="60">
        <v>250</v>
      </c>
      <c r="Q44" s="60">
        <v>240</v>
      </c>
      <c r="R44" s="60">
        <v>230</v>
      </c>
      <c r="S44" s="60">
        <v>240</v>
      </c>
      <c r="T44" s="60">
        <v>240</v>
      </c>
      <c r="U44" s="60">
        <v>230</v>
      </c>
      <c r="V44" s="60">
        <v>240</v>
      </c>
      <c r="W44" s="60">
        <v>250</v>
      </c>
      <c r="X44" s="60">
        <v>230</v>
      </c>
      <c r="Y44" s="60">
        <v>240</v>
      </c>
      <c r="Z44" s="60">
        <v>220</v>
      </c>
      <c r="AA44" s="60">
        <v>235</v>
      </c>
      <c r="AB44" s="60">
        <v>240</v>
      </c>
      <c r="AC44" s="60">
        <v>230</v>
      </c>
      <c r="AD44" s="60">
        <v>225</v>
      </c>
      <c r="AE44" s="60">
        <v>240</v>
      </c>
      <c r="AF44" s="60">
        <v>230</v>
      </c>
      <c r="AG44" s="60">
        <v>230</v>
      </c>
      <c r="AH44" s="60">
        <v>230</v>
      </c>
      <c r="AI44" s="60">
        <v>220</v>
      </c>
      <c r="AJ44" s="60">
        <v>240</v>
      </c>
      <c r="AK44" s="60">
        <v>230</v>
      </c>
      <c r="AL44" s="60">
        <v>240</v>
      </c>
      <c r="AM44" s="60">
        <v>255</v>
      </c>
      <c r="AN44" s="60">
        <v>245</v>
      </c>
      <c r="AO44" s="60">
        <v>250</v>
      </c>
      <c r="AP44" s="60">
        <v>255</v>
      </c>
      <c r="AQ44" s="60">
        <v>250</v>
      </c>
      <c r="AR44" s="60">
        <v>260</v>
      </c>
      <c r="AS44" s="60">
        <v>260</v>
      </c>
      <c r="AT44" s="60">
        <v>290</v>
      </c>
      <c r="AU44" s="60">
        <v>280</v>
      </c>
      <c r="AV44" s="60">
        <v>300</v>
      </c>
      <c r="AW44" s="60">
        <v>280</v>
      </c>
      <c r="AX44" s="60">
        <v>280</v>
      </c>
      <c r="AY44" s="60">
        <v>300</v>
      </c>
      <c r="AZ44" s="60">
        <v>300</v>
      </c>
      <c r="BA44" s="60">
        <v>310</v>
      </c>
      <c r="BB44" s="60">
        <v>320</v>
      </c>
      <c r="BC44" s="60">
        <v>320</v>
      </c>
      <c r="BD44" s="60">
        <v>300</v>
      </c>
      <c r="BE44" s="60">
        <v>330</v>
      </c>
      <c r="BF44" s="60">
        <v>350</v>
      </c>
      <c r="BG44" s="60">
        <v>340</v>
      </c>
      <c r="BH44" s="60">
        <v>350</v>
      </c>
    </row>
    <row r="45" spans="2:60" hidden="1" x14ac:dyDescent="0.2">
      <c r="B45" s="57"/>
      <c r="C45" s="57" t="s">
        <v>660</v>
      </c>
      <c r="D45" s="57" t="s">
        <v>648</v>
      </c>
      <c r="E45" s="58">
        <v>190</v>
      </c>
      <c r="F45" s="58">
        <v>185</v>
      </c>
      <c r="G45" s="58">
        <v>200</v>
      </c>
      <c r="H45" s="58">
        <v>200</v>
      </c>
      <c r="I45" s="58">
        <v>210</v>
      </c>
      <c r="J45" s="58">
        <v>200</v>
      </c>
      <c r="K45" s="58">
        <v>200</v>
      </c>
      <c r="L45" s="58">
        <v>210</v>
      </c>
      <c r="M45" s="58">
        <v>215</v>
      </c>
      <c r="N45" s="58">
        <v>200</v>
      </c>
      <c r="O45" s="58">
        <v>210</v>
      </c>
      <c r="P45" s="58">
        <v>220</v>
      </c>
      <c r="Q45" s="58">
        <v>220</v>
      </c>
      <c r="R45" s="58">
        <v>220</v>
      </c>
      <c r="S45" s="58">
        <v>220</v>
      </c>
      <c r="T45" s="58">
        <v>210</v>
      </c>
      <c r="U45" s="58">
        <v>235</v>
      </c>
      <c r="V45" s="58">
        <v>220</v>
      </c>
      <c r="W45" s="58">
        <v>230</v>
      </c>
      <c r="X45" s="58">
        <v>230</v>
      </c>
      <c r="Y45" s="58">
        <v>250</v>
      </c>
      <c r="Z45" s="58">
        <v>230</v>
      </c>
      <c r="AA45" s="58">
        <v>230</v>
      </c>
      <c r="AB45" s="58">
        <v>220</v>
      </c>
      <c r="AC45" s="58">
        <v>235</v>
      </c>
      <c r="AD45" s="58">
        <v>225</v>
      </c>
      <c r="AE45" s="58">
        <v>230</v>
      </c>
      <c r="AF45" s="58">
        <v>230</v>
      </c>
      <c r="AG45" s="58">
        <v>240</v>
      </c>
      <c r="AH45" s="58">
        <v>240</v>
      </c>
      <c r="AI45" s="58">
        <v>240</v>
      </c>
      <c r="AJ45" s="58">
        <v>250</v>
      </c>
      <c r="AK45" s="58">
        <v>250</v>
      </c>
      <c r="AL45" s="58">
        <v>260</v>
      </c>
      <c r="AM45" s="58">
        <v>260</v>
      </c>
      <c r="AN45" s="58">
        <v>260</v>
      </c>
      <c r="AO45" s="58">
        <v>270</v>
      </c>
      <c r="AP45" s="58">
        <v>260</v>
      </c>
      <c r="AQ45" s="58">
        <v>285</v>
      </c>
      <c r="AR45" s="58">
        <v>290</v>
      </c>
      <c r="AS45" s="58">
        <v>310</v>
      </c>
      <c r="AT45" s="58">
        <v>300</v>
      </c>
      <c r="AU45" s="58">
        <v>320</v>
      </c>
      <c r="AV45" s="58">
        <v>315</v>
      </c>
      <c r="AW45" s="58">
        <v>335</v>
      </c>
      <c r="AX45" s="58">
        <v>335</v>
      </c>
      <c r="AY45" s="58">
        <v>350</v>
      </c>
      <c r="AZ45" s="58">
        <v>350</v>
      </c>
      <c r="BA45" s="58">
        <v>350</v>
      </c>
      <c r="BB45" s="58">
        <v>360</v>
      </c>
      <c r="BC45" s="58">
        <v>360</v>
      </c>
      <c r="BD45" s="58">
        <v>360</v>
      </c>
      <c r="BE45" s="58">
        <v>365</v>
      </c>
      <c r="BF45" s="58">
        <v>370</v>
      </c>
      <c r="BG45" s="58">
        <v>380</v>
      </c>
      <c r="BH45" s="58">
        <v>400</v>
      </c>
    </row>
    <row r="46" spans="2:60" hidden="1" x14ac:dyDescent="0.2">
      <c r="B46" s="59"/>
      <c r="C46" s="59" t="s">
        <v>660</v>
      </c>
      <c r="D46" s="59" t="s">
        <v>649</v>
      </c>
      <c r="E46" s="60">
        <v>255</v>
      </c>
      <c r="F46" s="60">
        <v>260</v>
      </c>
      <c r="G46" s="60">
        <v>260</v>
      </c>
      <c r="H46" s="60">
        <v>270</v>
      </c>
      <c r="I46" s="60">
        <v>275</v>
      </c>
      <c r="J46" s="60">
        <v>270</v>
      </c>
      <c r="K46" s="60">
        <v>270</v>
      </c>
      <c r="L46" s="60">
        <v>275</v>
      </c>
      <c r="M46" s="60">
        <v>280</v>
      </c>
      <c r="N46" s="60">
        <v>280</v>
      </c>
      <c r="O46" s="60">
        <v>280</v>
      </c>
      <c r="P46" s="60">
        <v>280</v>
      </c>
      <c r="Q46" s="60">
        <v>290</v>
      </c>
      <c r="R46" s="60">
        <v>285</v>
      </c>
      <c r="S46" s="60">
        <v>285</v>
      </c>
      <c r="T46" s="60">
        <v>290</v>
      </c>
      <c r="U46" s="60">
        <v>290</v>
      </c>
      <c r="V46" s="60">
        <v>280</v>
      </c>
      <c r="W46" s="60">
        <v>300</v>
      </c>
      <c r="X46" s="60">
        <v>290</v>
      </c>
      <c r="Y46" s="60">
        <v>300</v>
      </c>
      <c r="Z46" s="60">
        <v>295</v>
      </c>
      <c r="AA46" s="60">
        <v>295</v>
      </c>
      <c r="AB46" s="60">
        <v>300</v>
      </c>
      <c r="AC46" s="60">
        <v>310</v>
      </c>
      <c r="AD46" s="60">
        <v>300</v>
      </c>
      <c r="AE46" s="60">
        <v>310</v>
      </c>
      <c r="AF46" s="60">
        <v>310</v>
      </c>
      <c r="AG46" s="60">
        <v>315</v>
      </c>
      <c r="AH46" s="60">
        <v>310</v>
      </c>
      <c r="AI46" s="60">
        <v>310</v>
      </c>
      <c r="AJ46" s="60">
        <v>315</v>
      </c>
      <c r="AK46" s="60">
        <v>325</v>
      </c>
      <c r="AL46" s="60">
        <v>310</v>
      </c>
      <c r="AM46" s="60">
        <v>320</v>
      </c>
      <c r="AN46" s="60">
        <v>330</v>
      </c>
      <c r="AO46" s="60">
        <v>340</v>
      </c>
      <c r="AP46" s="60">
        <v>350</v>
      </c>
      <c r="AQ46" s="60">
        <v>350</v>
      </c>
      <c r="AR46" s="60">
        <v>360</v>
      </c>
      <c r="AS46" s="60">
        <v>380</v>
      </c>
      <c r="AT46" s="60">
        <v>375</v>
      </c>
      <c r="AU46" s="60">
        <v>380</v>
      </c>
      <c r="AV46" s="60">
        <v>400</v>
      </c>
      <c r="AW46" s="60">
        <v>410</v>
      </c>
      <c r="AX46" s="60">
        <v>425</v>
      </c>
      <c r="AY46" s="60">
        <v>420</v>
      </c>
      <c r="AZ46" s="60">
        <v>450</v>
      </c>
      <c r="BA46" s="60">
        <v>450</v>
      </c>
      <c r="BB46" s="60">
        <v>450</v>
      </c>
      <c r="BC46" s="60">
        <v>465</v>
      </c>
      <c r="BD46" s="60">
        <v>470</v>
      </c>
      <c r="BE46" s="60">
        <v>500</v>
      </c>
      <c r="BF46" s="60">
        <v>490</v>
      </c>
      <c r="BG46" s="60">
        <v>480</v>
      </c>
      <c r="BH46" s="60">
        <v>500</v>
      </c>
    </row>
    <row r="47" spans="2:60" hidden="1" x14ac:dyDescent="0.2">
      <c r="B47" s="57"/>
      <c r="C47" s="57" t="s">
        <v>660</v>
      </c>
      <c r="D47" s="57" t="s">
        <v>650</v>
      </c>
      <c r="E47" s="58">
        <v>340</v>
      </c>
      <c r="F47" s="58">
        <v>345</v>
      </c>
      <c r="G47" s="58">
        <v>340</v>
      </c>
      <c r="H47" s="58">
        <v>345</v>
      </c>
      <c r="I47" s="58">
        <v>340</v>
      </c>
      <c r="J47" s="58">
        <v>340</v>
      </c>
      <c r="K47" s="58">
        <v>340</v>
      </c>
      <c r="L47" s="58">
        <v>355</v>
      </c>
      <c r="M47" s="58">
        <v>350</v>
      </c>
      <c r="N47" s="58">
        <v>355</v>
      </c>
      <c r="O47" s="58">
        <v>350</v>
      </c>
      <c r="P47" s="58">
        <v>350</v>
      </c>
      <c r="Q47" s="58">
        <v>370</v>
      </c>
      <c r="R47" s="58">
        <v>350</v>
      </c>
      <c r="S47" s="58">
        <v>350</v>
      </c>
      <c r="T47" s="58">
        <v>350</v>
      </c>
      <c r="U47" s="58">
        <v>370</v>
      </c>
      <c r="V47" s="58">
        <v>350</v>
      </c>
      <c r="W47" s="58">
        <v>350</v>
      </c>
      <c r="X47" s="58">
        <v>360</v>
      </c>
      <c r="Y47" s="58">
        <v>365</v>
      </c>
      <c r="Z47" s="58">
        <v>370</v>
      </c>
      <c r="AA47" s="58">
        <v>360</v>
      </c>
      <c r="AB47" s="58">
        <v>370</v>
      </c>
      <c r="AC47" s="58">
        <v>380</v>
      </c>
      <c r="AD47" s="58">
        <v>365</v>
      </c>
      <c r="AE47" s="58">
        <v>380</v>
      </c>
      <c r="AF47" s="58">
        <v>370</v>
      </c>
      <c r="AG47" s="58">
        <v>385</v>
      </c>
      <c r="AH47" s="58">
        <v>370</v>
      </c>
      <c r="AI47" s="58">
        <v>390</v>
      </c>
      <c r="AJ47" s="58">
        <v>385</v>
      </c>
      <c r="AK47" s="58">
        <v>400</v>
      </c>
      <c r="AL47" s="58">
        <v>380</v>
      </c>
      <c r="AM47" s="58">
        <v>400</v>
      </c>
      <c r="AN47" s="58">
        <v>400</v>
      </c>
      <c r="AO47" s="58">
        <v>440</v>
      </c>
      <c r="AP47" s="58">
        <v>430</v>
      </c>
      <c r="AQ47" s="58">
        <v>450</v>
      </c>
      <c r="AR47" s="58">
        <v>440</v>
      </c>
      <c r="AS47" s="58">
        <v>450</v>
      </c>
      <c r="AT47" s="58">
        <v>450</v>
      </c>
      <c r="AU47" s="58">
        <v>480</v>
      </c>
      <c r="AV47" s="58">
        <v>495</v>
      </c>
      <c r="AW47" s="58">
        <v>500</v>
      </c>
      <c r="AX47" s="58">
        <v>500</v>
      </c>
      <c r="AY47" s="58">
        <v>540</v>
      </c>
      <c r="AZ47" s="58">
        <v>530</v>
      </c>
      <c r="BA47" s="58">
        <v>550</v>
      </c>
      <c r="BB47" s="58">
        <v>550</v>
      </c>
      <c r="BC47" s="58">
        <v>580</v>
      </c>
      <c r="BD47" s="58">
        <v>590</v>
      </c>
      <c r="BE47" s="58">
        <v>590</v>
      </c>
      <c r="BF47" s="58">
        <v>600</v>
      </c>
      <c r="BG47" s="58">
        <v>610</v>
      </c>
      <c r="BH47" s="58">
        <v>625</v>
      </c>
    </row>
    <row r="48" spans="2:60" hidden="1" x14ac:dyDescent="0.2">
      <c r="B48" s="59"/>
      <c r="C48" s="59" t="s">
        <v>660</v>
      </c>
      <c r="D48" s="59" t="s">
        <v>651</v>
      </c>
      <c r="E48" s="60">
        <v>280</v>
      </c>
      <c r="F48" s="60">
        <v>280</v>
      </c>
      <c r="G48" s="60">
        <v>295</v>
      </c>
      <c r="H48" s="60">
        <v>290</v>
      </c>
      <c r="I48" s="60">
        <v>290</v>
      </c>
      <c r="J48" s="60">
        <v>285</v>
      </c>
      <c r="K48" s="60">
        <v>275</v>
      </c>
      <c r="L48" s="60">
        <v>290</v>
      </c>
      <c r="M48" s="60">
        <v>290</v>
      </c>
      <c r="N48" s="60">
        <v>290</v>
      </c>
      <c r="O48" s="60">
        <v>300</v>
      </c>
      <c r="P48" s="60">
        <v>300</v>
      </c>
      <c r="Q48" s="60">
        <v>300</v>
      </c>
      <c r="R48" s="60">
        <v>300</v>
      </c>
      <c r="S48" s="60">
        <v>300</v>
      </c>
      <c r="T48" s="60">
        <v>320</v>
      </c>
      <c r="U48" s="60">
        <v>310</v>
      </c>
      <c r="V48" s="60">
        <v>310</v>
      </c>
      <c r="W48" s="60">
        <v>295</v>
      </c>
      <c r="X48" s="60">
        <v>300</v>
      </c>
      <c r="Y48" s="60">
        <v>300</v>
      </c>
      <c r="Z48" s="60">
        <v>330</v>
      </c>
      <c r="AA48" s="60">
        <v>320</v>
      </c>
      <c r="AB48" s="60">
        <v>320</v>
      </c>
      <c r="AC48" s="60">
        <v>330</v>
      </c>
      <c r="AD48" s="60">
        <v>330</v>
      </c>
      <c r="AE48" s="60">
        <v>330</v>
      </c>
      <c r="AF48" s="60">
        <v>320</v>
      </c>
      <c r="AG48" s="60">
        <v>330</v>
      </c>
      <c r="AH48" s="60">
        <v>330</v>
      </c>
      <c r="AI48" s="60">
        <v>340</v>
      </c>
      <c r="AJ48" s="60">
        <v>330</v>
      </c>
      <c r="AK48" s="60">
        <v>360</v>
      </c>
      <c r="AL48" s="60">
        <v>340</v>
      </c>
      <c r="AM48" s="60">
        <v>350</v>
      </c>
      <c r="AN48" s="60">
        <v>325</v>
      </c>
      <c r="AO48" s="60">
        <v>360</v>
      </c>
      <c r="AP48" s="60">
        <v>365</v>
      </c>
      <c r="AQ48" s="60">
        <v>380</v>
      </c>
      <c r="AR48" s="60">
        <v>385</v>
      </c>
      <c r="AS48" s="60">
        <v>400</v>
      </c>
      <c r="AT48" s="60">
        <v>400</v>
      </c>
      <c r="AU48" s="60">
        <v>420</v>
      </c>
      <c r="AV48" s="60">
        <v>415</v>
      </c>
      <c r="AW48" s="60">
        <v>450</v>
      </c>
      <c r="AX48" s="60">
        <v>470</v>
      </c>
      <c r="AY48" s="60">
        <v>455</v>
      </c>
      <c r="AZ48" s="60">
        <v>450</v>
      </c>
      <c r="BA48" s="60">
        <v>480</v>
      </c>
      <c r="BB48" s="60">
        <v>490</v>
      </c>
      <c r="BC48" s="60">
        <v>495</v>
      </c>
      <c r="BD48" s="60">
        <v>495</v>
      </c>
      <c r="BE48" s="60">
        <v>480</v>
      </c>
      <c r="BF48" s="60">
        <v>500</v>
      </c>
      <c r="BG48" s="60">
        <v>520</v>
      </c>
      <c r="BH48" s="60">
        <v>530</v>
      </c>
    </row>
    <row r="49" spans="2:60" hidden="1" x14ac:dyDescent="0.2">
      <c r="B49" s="57"/>
      <c r="C49" s="57" t="s">
        <v>660</v>
      </c>
      <c r="D49" s="57" t="s">
        <v>652</v>
      </c>
      <c r="E49" s="58">
        <v>325</v>
      </c>
      <c r="F49" s="58">
        <v>320</v>
      </c>
      <c r="G49" s="58">
        <v>330</v>
      </c>
      <c r="H49" s="58">
        <v>330</v>
      </c>
      <c r="I49" s="58">
        <v>340</v>
      </c>
      <c r="J49" s="58">
        <v>330</v>
      </c>
      <c r="K49" s="58">
        <v>340</v>
      </c>
      <c r="L49" s="58">
        <v>340</v>
      </c>
      <c r="M49" s="58">
        <v>350</v>
      </c>
      <c r="N49" s="58">
        <v>350</v>
      </c>
      <c r="O49" s="58">
        <v>350</v>
      </c>
      <c r="P49" s="58">
        <v>355</v>
      </c>
      <c r="Q49" s="58">
        <v>360</v>
      </c>
      <c r="R49" s="58">
        <v>360</v>
      </c>
      <c r="S49" s="58">
        <v>360</v>
      </c>
      <c r="T49" s="58">
        <v>360</v>
      </c>
      <c r="U49" s="58">
        <v>360</v>
      </c>
      <c r="V49" s="58">
        <v>360</v>
      </c>
      <c r="W49" s="58">
        <v>365</v>
      </c>
      <c r="X49" s="58">
        <v>370</v>
      </c>
      <c r="Y49" s="58">
        <v>370</v>
      </c>
      <c r="Z49" s="58">
        <v>375</v>
      </c>
      <c r="AA49" s="58">
        <v>375</v>
      </c>
      <c r="AB49" s="58">
        <v>375</v>
      </c>
      <c r="AC49" s="58">
        <v>380</v>
      </c>
      <c r="AD49" s="58">
        <v>380</v>
      </c>
      <c r="AE49" s="58">
        <v>380</v>
      </c>
      <c r="AF49" s="58">
        <v>390</v>
      </c>
      <c r="AG49" s="58">
        <v>390</v>
      </c>
      <c r="AH49" s="58">
        <v>390</v>
      </c>
      <c r="AI49" s="58">
        <v>395</v>
      </c>
      <c r="AJ49" s="58">
        <v>400</v>
      </c>
      <c r="AK49" s="58">
        <v>400</v>
      </c>
      <c r="AL49" s="58">
        <v>400</v>
      </c>
      <c r="AM49" s="58">
        <v>410</v>
      </c>
      <c r="AN49" s="58">
        <v>420</v>
      </c>
      <c r="AO49" s="58">
        <v>425</v>
      </c>
      <c r="AP49" s="58">
        <v>440</v>
      </c>
      <c r="AQ49" s="58">
        <v>450</v>
      </c>
      <c r="AR49" s="58">
        <v>450</v>
      </c>
      <c r="AS49" s="58">
        <v>480</v>
      </c>
      <c r="AT49" s="58">
        <v>475</v>
      </c>
      <c r="AU49" s="58">
        <v>490</v>
      </c>
      <c r="AV49" s="58">
        <v>500</v>
      </c>
      <c r="AW49" s="58">
        <v>520</v>
      </c>
      <c r="AX49" s="58">
        <v>530</v>
      </c>
      <c r="AY49" s="58">
        <v>540</v>
      </c>
      <c r="AZ49" s="58">
        <v>550</v>
      </c>
      <c r="BA49" s="58">
        <v>570</v>
      </c>
      <c r="BB49" s="58">
        <v>580</v>
      </c>
      <c r="BC49" s="58">
        <v>570</v>
      </c>
      <c r="BD49" s="58">
        <v>595</v>
      </c>
      <c r="BE49" s="58">
        <v>600</v>
      </c>
      <c r="BF49" s="58">
        <v>620</v>
      </c>
      <c r="BG49" s="58">
        <v>620</v>
      </c>
      <c r="BH49" s="58">
        <v>650</v>
      </c>
    </row>
    <row r="50" spans="2:60" hidden="1" x14ac:dyDescent="0.2">
      <c r="B50" s="59"/>
      <c r="C50" s="59" t="s">
        <v>660</v>
      </c>
      <c r="D50" s="59" t="s">
        <v>653</v>
      </c>
      <c r="E50" s="60">
        <v>390</v>
      </c>
      <c r="F50" s="60">
        <v>380</v>
      </c>
      <c r="G50" s="60">
        <v>390</v>
      </c>
      <c r="H50" s="60">
        <v>390</v>
      </c>
      <c r="I50" s="60">
        <v>400</v>
      </c>
      <c r="J50" s="60">
        <v>400</v>
      </c>
      <c r="K50" s="60">
        <v>400</v>
      </c>
      <c r="L50" s="60">
        <v>415</v>
      </c>
      <c r="M50" s="60">
        <v>410</v>
      </c>
      <c r="N50" s="60">
        <v>410</v>
      </c>
      <c r="O50" s="60">
        <v>420</v>
      </c>
      <c r="P50" s="60">
        <v>430</v>
      </c>
      <c r="Q50" s="60">
        <v>430</v>
      </c>
      <c r="R50" s="60">
        <v>420</v>
      </c>
      <c r="S50" s="60">
        <v>415</v>
      </c>
      <c r="T50" s="60">
        <v>430</v>
      </c>
      <c r="U50" s="60">
        <v>440</v>
      </c>
      <c r="V50" s="60">
        <v>430</v>
      </c>
      <c r="W50" s="60">
        <v>430</v>
      </c>
      <c r="X50" s="60">
        <v>430</v>
      </c>
      <c r="Y50" s="60">
        <v>440</v>
      </c>
      <c r="Z50" s="60">
        <v>430</v>
      </c>
      <c r="AA50" s="60">
        <v>440</v>
      </c>
      <c r="AB50" s="60">
        <v>440</v>
      </c>
      <c r="AC50" s="60">
        <v>450</v>
      </c>
      <c r="AD50" s="60">
        <v>450</v>
      </c>
      <c r="AE50" s="60">
        <v>450</v>
      </c>
      <c r="AF50" s="60">
        <v>450</v>
      </c>
      <c r="AG50" s="60">
        <v>460</v>
      </c>
      <c r="AH50" s="60">
        <v>455</v>
      </c>
      <c r="AI50" s="60">
        <v>460</v>
      </c>
      <c r="AJ50" s="60">
        <v>465</v>
      </c>
      <c r="AK50" s="60">
        <v>470</v>
      </c>
      <c r="AL50" s="60">
        <v>470</v>
      </c>
      <c r="AM50" s="60">
        <v>470</v>
      </c>
      <c r="AN50" s="60">
        <v>490</v>
      </c>
      <c r="AO50" s="60">
        <v>495</v>
      </c>
      <c r="AP50" s="60">
        <v>520</v>
      </c>
      <c r="AQ50" s="60">
        <v>520</v>
      </c>
      <c r="AR50" s="60">
        <v>540</v>
      </c>
      <c r="AS50" s="60">
        <v>550</v>
      </c>
      <c r="AT50" s="60">
        <v>560</v>
      </c>
      <c r="AU50" s="60">
        <v>580</v>
      </c>
      <c r="AV50" s="60">
        <v>595</v>
      </c>
      <c r="AW50" s="60">
        <v>605</v>
      </c>
      <c r="AX50" s="60">
        <v>630</v>
      </c>
      <c r="AY50" s="60">
        <v>640</v>
      </c>
      <c r="AZ50" s="60">
        <v>650</v>
      </c>
      <c r="BA50" s="60">
        <v>680</v>
      </c>
      <c r="BB50" s="60">
        <v>685</v>
      </c>
      <c r="BC50" s="60">
        <v>690</v>
      </c>
      <c r="BD50" s="60">
        <v>680</v>
      </c>
      <c r="BE50" s="60">
        <v>710</v>
      </c>
      <c r="BF50" s="60">
        <v>710</v>
      </c>
      <c r="BG50" s="60">
        <v>700</v>
      </c>
      <c r="BH50" s="60">
        <v>730</v>
      </c>
    </row>
    <row r="51" spans="2:60" hidden="1" x14ac:dyDescent="0.2">
      <c r="B51" s="57"/>
      <c r="C51" s="57" t="s">
        <v>660</v>
      </c>
      <c r="D51" s="57" t="s">
        <v>654</v>
      </c>
      <c r="E51" s="58">
        <v>230</v>
      </c>
      <c r="F51" s="58">
        <v>235</v>
      </c>
      <c r="G51" s="58">
        <v>240</v>
      </c>
      <c r="H51" s="58">
        <v>245</v>
      </c>
      <c r="I51" s="58">
        <v>230</v>
      </c>
      <c r="J51" s="58">
        <v>240</v>
      </c>
      <c r="K51" s="58">
        <v>250</v>
      </c>
      <c r="L51" s="58">
        <v>250</v>
      </c>
      <c r="M51" s="58">
        <v>250</v>
      </c>
      <c r="N51" s="58">
        <v>250</v>
      </c>
      <c r="O51" s="58">
        <v>260</v>
      </c>
      <c r="P51" s="58">
        <v>260</v>
      </c>
      <c r="Q51" s="58">
        <v>270</v>
      </c>
      <c r="R51" s="58">
        <v>260</v>
      </c>
      <c r="S51" s="58">
        <v>270</v>
      </c>
      <c r="T51" s="58">
        <v>260</v>
      </c>
      <c r="U51" s="58">
        <v>260</v>
      </c>
      <c r="V51" s="58">
        <v>270</v>
      </c>
      <c r="W51" s="58">
        <v>260</v>
      </c>
      <c r="X51" s="58">
        <v>260</v>
      </c>
      <c r="Y51" s="58">
        <v>280</v>
      </c>
      <c r="Z51" s="58">
        <v>275</v>
      </c>
      <c r="AA51" s="58">
        <v>270</v>
      </c>
      <c r="AB51" s="58">
        <v>270</v>
      </c>
      <c r="AC51" s="58">
        <v>270</v>
      </c>
      <c r="AD51" s="58">
        <v>280</v>
      </c>
      <c r="AE51" s="58">
        <v>290</v>
      </c>
      <c r="AF51" s="58">
        <v>300</v>
      </c>
      <c r="AG51" s="58">
        <v>290</v>
      </c>
      <c r="AH51" s="58">
        <v>290</v>
      </c>
      <c r="AI51" s="58">
        <v>300</v>
      </c>
      <c r="AJ51" s="58">
        <v>290</v>
      </c>
      <c r="AK51" s="58">
        <v>300</v>
      </c>
      <c r="AL51" s="58">
        <v>300</v>
      </c>
      <c r="AM51" s="58">
        <v>300</v>
      </c>
      <c r="AN51" s="58">
        <v>300</v>
      </c>
      <c r="AO51" s="58">
        <v>320</v>
      </c>
      <c r="AP51" s="58">
        <v>320</v>
      </c>
      <c r="AQ51" s="58">
        <v>320</v>
      </c>
      <c r="AR51" s="58">
        <v>340</v>
      </c>
      <c r="AS51" s="58">
        <v>340</v>
      </c>
      <c r="AT51" s="58">
        <v>360</v>
      </c>
      <c r="AU51" s="58">
        <v>380</v>
      </c>
      <c r="AV51" s="58">
        <v>400</v>
      </c>
      <c r="AW51" s="58">
        <v>400</v>
      </c>
      <c r="AX51" s="58">
        <v>395</v>
      </c>
      <c r="AY51" s="58">
        <v>400</v>
      </c>
      <c r="AZ51" s="58">
        <v>415</v>
      </c>
      <c r="BA51" s="58">
        <v>420</v>
      </c>
      <c r="BB51" s="58">
        <v>450</v>
      </c>
      <c r="BC51" s="58">
        <v>450</v>
      </c>
      <c r="BD51" s="58">
        <v>465</v>
      </c>
      <c r="BE51" s="58">
        <v>480</v>
      </c>
      <c r="BF51" s="58">
        <v>460</v>
      </c>
      <c r="BG51" s="58">
        <v>475</v>
      </c>
      <c r="BH51" s="58">
        <v>510</v>
      </c>
    </row>
    <row r="52" spans="2:60" hidden="1" x14ac:dyDescent="0.2">
      <c r="B52" s="59"/>
      <c r="C52" s="59" t="s">
        <v>660</v>
      </c>
      <c r="D52" s="59" t="s">
        <v>655</v>
      </c>
      <c r="E52" s="60">
        <v>300</v>
      </c>
      <c r="F52" s="60">
        <v>290</v>
      </c>
      <c r="G52" s="60">
        <v>315</v>
      </c>
      <c r="H52" s="60">
        <v>320</v>
      </c>
      <c r="I52" s="60">
        <v>350</v>
      </c>
      <c r="J52" s="60">
        <v>360</v>
      </c>
      <c r="K52" s="60">
        <v>325</v>
      </c>
      <c r="L52" s="60">
        <v>340</v>
      </c>
      <c r="M52" s="60">
        <v>350</v>
      </c>
      <c r="N52" s="60">
        <v>330</v>
      </c>
      <c r="O52" s="60">
        <v>350</v>
      </c>
      <c r="P52" s="60">
        <v>350</v>
      </c>
      <c r="Q52" s="60">
        <v>360</v>
      </c>
      <c r="R52" s="60">
        <v>365</v>
      </c>
      <c r="S52" s="60">
        <v>385</v>
      </c>
      <c r="T52" s="60">
        <v>345</v>
      </c>
      <c r="U52" s="60">
        <v>350</v>
      </c>
      <c r="V52" s="60">
        <v>330</v>
      </c>
      <c r="W52" s="60"/>
      <c r="X52" s="60">
        <v>380</v>
      </c>
      <c r="Y52" s="60">
        <v>380</v>
      </c>
      <c r="Z52" s="60">
        <v>360</v>
      </c>
      <c r="AA52" s="60">
        <v>430</v>
      </c>
      <c r="AB52" s="60">
        <v>350</v>
      </c>
      <c r="AC52" s="60"/>
      <c r="AD52" s="60"/>
      <c r="AE52" s="60">
        <v>380</v>
      </c>
      <c r="AF52" s="60">
        <v>395</v>
      </c>
      <c r="AG52" s="60">
        <v>430</v>
      </c>
      <c r="AH52" s="60">
        <v>370</v>
      </c>
      <c r="AI52" s="60">
        <v>400</v>
      </c>
      <c r="AJ52" s="60">
        <v>390</v>
      </c>
      <c r="AK52" s="60">
        <v>400</v>
      </c>
      <c r="AL52" s="60">
        <v>350</v>
      </c>
      <c r="AM52" s="60">
        <v>400</v>
      </c>
      <c r="AN52" s="60">
        <v>380</v>
      </c>
      <c r="AO52" s="60">
        <v>480</v>
      </c>
      <c r="AP52" s="60">
        <v>450</v>
      </c>
      <c r="AQ52" s="60"/>
      <c r="AR52" s="60">
        <v>495</v>
      </c>
      <c r="AS52" s="60">
        <v>450</v>
      </c>
      <c r="AT52" s="60">
        <v>510</v>
      </c>
      <c r="AU52" s="60">
        <v>440</v>
      </c>
      <c r="AV52" s="60">
        <v>485</v>
      </c>
      <c r="AW52" s="60">
        <v>500</v>
      </c>
      <c r="AX52" s="60">
        <v>550</v>
      </c>
      <c r="AY52" s="60">
        <v>425</v>
      </c>
      <c r="AZ52" s="60">
        <v>550</v>
      </c>
      <c r="BA52" s="60">
        <v>580</v>
      </c>
      <c r="BB52" s="60">
        <v>660</v>
      </c>
      <c r="BC52" s="60">
        <v>585</v>
      </c>
      <c r="BD52" s="60">
        <v>645</v>
      </c>
      <c r="BE52" s="60">
        <v>750</v>
      </c>
      <c r="BF52" s="60"/>
      <c r="BG52" s="60">
        <v>650</v>
      </c>
      <c r="BH52" s="60">
        <v>675</v>
      </c>
    </row>
    <row r="53" spans="2:60" hidden="1" x14ac:dyDescent="0.2">
      <c r="B53" s="57"/>
      <c r="C53" s="57" t="s">
        <v>660</v>
      </c>
      <c r="D53" s="57" t="s">
        <v>656</v>
      </c>
      <c r="E53" s="58">
        <v>290</v>
      </c>
      <c r="F53" s="58">
        <v>290</v>
      </c>
      <c r="G53" s="58">
        <v>300</v>
      </c>
      <c r="H53" s="58">
        <v>300</v>
      </c>
      <c r="I53" s="58">
        <v>300</v>
      </c>
      <c r="J53" s="58">
        <v>300</v>
      </c>
      <c r="K53" s="58">
        <v>300</v>
      </c>
      <c r="L53" s="58">
        <v>310</v>
      </c>
      <c r="M53" s="58">
        <v>310</v>
      </c>
      <c r="N53" s="58">
        <v>310</v>
      </c>
      <c r="O53" s="58">
        <v>310</v>
      </c>
      <c r="P53" s="58">
        <v>320</v>
      </c>
      <c r="Q53" s="58">
        <v>320</v>
      </c>
      <c r="R53" s="58">
        <v>320</v>
      </c>
      <c r="S53" s="58">
        <v>320</v>
      </c>
      <c r="T53" s="58">
        <v>325</v>
      </c>
      <c r="U53" s="58">
        <v>330</v>
      </c>
      <c r="V53" s="58">
        <v>320</v>
      </c>
      <c r="W53" s="58">
        <v>330</v>
      </c>
      <c r="X53" s="58">
        <v>330</v>
      </c>
      <c r="Y53" s="58">
        <v>330</v>
      </c>
      <c r="Z53" s="58">
        <v>330</v>
      </c>
      <c r="AA53" s="58">
        <v>340</v>
      </c>
      <c r="AB53" s="58">
        <v>340</v>
      </c>
      <c r="AC53" s="58">
        <v>350</v>
      </c>
      <c r="AD53" s="58">
        <v>340</v>
      </c>
      <c r="AE53" s="58">
        <v>350</v>
      </c>
      <c r="AF53" s="58">
        <v>350</v>
      </c>
      <c r="AG53" s="58">
        <v>350</v>
      </c>
      <c r="AH53" s="58">
        <v>350</v>
      </c>
      <c r="AI53" s="58">
        <v>350</v>
      </c>
      <c r="AJ53" s="58">
        <v>360</v>
      </c>
      <c r="AK53" s="58">
        <v>365</v>
      </c>
      <c r="AL53" s="58">
        <v>350</v>
      </c>
      <c r="AM53" s="58">
        <v>355</v>
      </c>
      <c r="AN53" s="58">
        <v>360</v>
      </c>
      <c r="AO53" s="58">
        <v>380</v>
      </c>
      <c r="AP53" s="58">
        <v>380</v>
      </c>
      <c r="AQ53" s="58">
        <v>395</v>
      </c>
      <c r="AR53" s="58">
        <v>395</v>
      </c>
      <c r="AS53" s="58">
        <v>420</v>
      </c>
      <c r="AT53" s="58">
        <v>420</v>
      </c>
      <c r="AU53" s="58">
        <v>430</v>
      </c>
      <c r="AV53" s="58">
        <v>440</v>
      </c>
      <c r="AW53" s="58">
        <v>450</v>
      </c>
      <c r="AX53" s="58">
        <v>450</v>
      </c>
      <c r="AY53" s="58">
        <v>460</v>
      </c>
      <c r="AZ53" s="58">
        <v>480</v>
      </c>
      <c r="BA53" s="58">
        <v>500</v>
      </c>
      <c r="BB53" s="58">
        <v>490</v>
      </c>
      <c r="BC53" s="58">
        <v>500</v>
      </c>
      <c r="BD53" s="58">
        <v>530</v>
      </c>
      <c r="BE53" s="58">
        <v>530</v>
      </c>
      <c r="BF53" s="58">
        <v>550</v>
      </c>
      <c r="BG53" s="58">
        <v>550</v>
      </c>
      <c r="BH53" s="58">
        <v>560</v>
      </c>
    </row>
    <row r="54" spans="2:60" hidden="1" x14ac:dyDescent="0.2">
      <c r="B54" s="59"/>
      <c r="C54" s="59" t="s">
        <v>661</v>
      </c>
      <c r="D54" s="59" t="s">
        <v>648</v>
      </c>
      <c r="E54" s="60">
        <v>190</v>
      </c>
      <c r="F54" s="60">
        <v>185</v>
      </c>
      <c r="G54" s="60">
        <v>180</v>
      </c>
      <c r="H54" s="60">
        <v>195</v>
      </c>
      <c r="I54" s="60">
        <v>180</v>
      </c>
      <c r="J54" s="60">
        <v>190</v>
      </c>
      <c r="K54" s="60">
        <v>190</v>
      </c>
      <c r="L54" s="60">
        <v>180</v>
      </c>
      <c r="M54" s="60">
        <v>190</v>
      </c>
      <c r="N54" s="60">
        <v>180</v>
      </c>
      <c r="O54" s="60">
        <v>160</v>
      </c>
      <c r="P54" s="60">
        <v>190</v>
      </c>
      <c r="Q54" s="60">
        <v>180</v>
      </c>
      <c r="R54" s="60">
        <v>115</v>
      </c>
      <c r="S54" s="60">
        <v>170</v>
      </c>
      <c r="T54" s="60">
        <v>190</v>
      </c>
      <c r="U54" s="60">
        <v>175</v>
      </c>
      <c r="V54" s="60">
        <v>165</v>
      </c>
      <c r="W54" s="60"/>
      <c r="X54" s="60">
        <v>180</v>
      </c>
      <c r="Y54" s="60">
        <v>180</v>
      </c>
      <c r="Z54" s="60">
        <v>165</v>
      </c>
      <c r="AA54" s="60">
        <v>195</v>
      </c>
      <c r="AB54" s="60">
        <v>200</v>
      </c>
      <c r="AC54" s="60">
        <v>190</v>
      </c>
      <c r="AD54" s="60">
        <v>220</v>
      </c>
      <c r="AE54" s="60">
        <v>185</v>
      </c>
      <c r="AF54" s="60">
        <v>195</v>
      </c>
      <c r="AG54" s="60">
        <v>190</v>
      </c>
      <c r="AH54" s="60">
        <v>190</v>
      </c>
      <c r="AI54" s="60">
        <v>190</v>
      </c>
      <c r="AJ54" s="60">
        <v>170</v>
      </c>
      <c r="AK54" s="60">
        <v>190</v>
      </c>
      <c r="AL54" s="60">
        <v>185</v>
      </c>
      <c r="AM54" s="60">
        <v>215</v>
      </c>
      <c r="AN54" s="60">
        <v>190</v>
      </c>
      <c r="AO54" s="60">
        <v>210</v>
      </c>
      <c r="AP54" s="60">
        <v>200</v>
      </c>
      <c r="AQ54" s="60">
        <v>200</v>
      </c>
      <c r="AR54" s="60">
        <v>250</v>
      </c>
      <c r="AS54" s="60">
        <v>250</v>
      </c>
      <c r="AT54" s="60">
        <v>190</v>
      </c>
      <c r="AU54" s="60">
        <v>230</v>
      </c>
      <c r="AV54" s="60">
        <v>230</v>
      </c>
      <c r="AW54" s="60">
        <v>270</v>
      </c>
      <c r="AX54" s="60"/>
      <c r="AY54" s="60">
        <v>260</v>
      </c>
      <c r="AZ54" s="60"/>
      <c r="BA54" s="60">
        <v>300</v>
      </c>
      <c r="BB54" s="60">
        <v>225</v>
      </c>
      <c r="BC54" s="60">
        <v>260</v>
      </c>
      <c r="BD54" s="60">
        <v>275</v>
      </c>
      <c r="BE54" s="60">
        <v>220</v>
      </c>
      <c r="BF54" s="60">
        <v>239</v>
      </c>
      <c r="BG54" s="60">
        <v>330</v>
      </c>
      <c r="BH54" s="60">
        <v>300</v>
      </c>
    </row>
    <row r="55" spans="2:60" hidden="1" x14ac:dyDescent="0.2">
      <c r="B55" s="57"/>
      <c r="C55" s="57" t="s">
        <v>661</v>
      </c>
      <c r="D55" s="57" t="s">
        <v>649</v>
      </c>
      <c r="E55" s="58">
        <v>225</v>
      </c>
      <c r="F55" s="58">
        <v>235</v>
      </c>
      <c r="G55" s="58">
        <v>220</v>
      </c>
      <c r="H55" s="58">
        <v>200</v>
      </c>
      <c r="I55" s="58">
        <v>220</v>
      </c>
      <c r="J55" s="58">
        <v>220</v>
      </c>
      <c r="K55" s="58">
        <v>220</v>
      </c>
      <c r="L55" s="58">
        <v>205</v>
      </c>
      <c r="M55" s="58">
        <v>210</v>
      </c>
      <c r="N55" s="58">
        <v>200</v>
      </c>
      <c r="O55" s="58">
        <v>210</v>
      </c>
      <c r="P55" s="58">
        <v>200</v>
      </c>
      <c r="Q55" s="58">
        <v>200</v>
      </c>
      <c r="R55" s="58">
        <v>200</v>
      </c>
      <c r="S55" s="58">
        <v>200</v>
      </c>
      <c r="T55" s="58">
        <v>200</v>
      </c>
      <c r="U55" s="58">
        <v>225</v>
      </c>
      <c r="V55" s="58">
        <v>200</v>
      </c>
      <c r="W55" s="58">
        <v>220</v>
      </c>
      <c r="X55" s="58">
        <v>200</v>
      </c>
      <c r="Y55" s="58">
        <v>210</v>
      </c>
      <c r="Z55" s="58">
        <v>230</v>
      </c>
      <c r="AA55" s="58">
        <v>230</v>
      </c>
      <c r="AB55" s="58">
        <v>220</v>
      </c>
      <c r="AC55" s="58">
        <v>230</v>
      </c>
      <c r="AD55" s="58">
        <v>240</v>
      </c>
      <c r="AE55" s="58">
        <v>220</v>
      </c>
      <c r="AF55" s="58">
        <v>215</v>
      </c>
      <c r="AG55" s="58">
        <v>230</v>
      </c>
      <c r="AH55" s="58">
        <v>220</v>
      </c>
      <c r="AI55" s="58">
        <v>230</v>
      </c>
      <c r="AJ55" s="58">
        <v>240</v>
      </c>
      <c r="AK55" s="58">
        <v>235</v>
      </c>
      <c r="AL55" s="58">
        <v>240</v>
      </c>
      <c r="AM55" s="58">
        <v>225</v>
      </c>
      <c r="AN55" s="58">
        <v>250</v>
      </c>
      <c r="AO55" s="58">
        <v>250</v>
      </c>
      <c r="AP55" s="58">
        <v>250</v>
      </c>
      <c r="AQ55" s="58">
        <v>265</v>
      </c>
      <c r="AR55" s="58">
        <v>260</v>
      </c>
      <c r="AS55" s="58">
        <v>270</v>
      </c>
      <c r="AT55" s="58">
        <v>270</v>
      </c>
      <c r="AU55" s="58">
        <v>280</v>
      </c>
      <c r="AV55" s="58">
        <v>280</v>
      </c>
      <c r="AW55" s="58">
        <v>285</v>
      </c>
      <c r="AX55" s="58">
        <v>290</v>
      </c>
      <c r="AY55" s="58">
        <v>300</v>
      </c>
      <c r="AZ55" s="58">
        <v>300</v>
      </c>
      <c r="BA55" s="58">
        <v>320</v>
      </c>
      <c r="BB55" s="58">
        <v>330</v>
      </c>
      <c r="BC55" s="58">
        <v>320</v>
      </c>
      <c r="BD55" s="58">
        <v>300</v>
      </c>
      <c r="BE55" s="58">
        <v>330</v>
      </c>
      <c r="BF55" s="58">
        <v>350</v>
      </c>
      <c r="BG55" s="58">
        <v>350</v>
      </c>
      <c r="BH55" s="58">
        <v>350</v>
      </c>
    </row>
    <row r="56" spans="2:60" hidden="1" x14ac:dyDescent="0.2">
      <c r="B56" s="59"/>
      <c r="C56" s="59" t="s">
        <v>661</v>
      </c>
      <c r="D56" s="59" t="s">
        <v>650</v>
      </c>
      <c r="E56" s="60">
        <v>265</v>
      </c>
      <c r="F56" s="60">
        <v>280</v>
      </c>
      <c r="G56" s="60">
        <v>260</v>
      </c>
      <c r="H56" s="60">
        <v>250</v>
      </c>
      <c r="I56" s="60">
        <v>225</v>
      </c>
      <c r="J56" s="60">
        <v>235</v>
      </c>
      <c r="K56" s="60">
        <v>250</v>
      </c>
      <c r="L56" s="60">
        <v>265</v>
      </c>
      <c r="M56" s="60">
        <v>230</v>
      </c>
      <c r="N56" s="60">
        <v>230</v>
      </c>
      <c r="O56" s="60">
        <v>250</v>
      </c>
      <c r="P56" s="60">
        <v>280</v>
      </c>
      <c r="Q56" s="60">
        <v>260</v>
      </c>
      <c r="R56" s="60">
        <v>260</v>
      </c>
      <c r="S56" s="60">
        <v>230</v>
      </c>
      <c r="T56" s="60">
        <v>280</v>
      </c>
      <c r="U56" s="60">
        <v>250</v>
      </c>
      <c r="V56" s="60">
        <v>250</v>
      </c>
      <c r="W56" s="60"/>
      <c r="X56" s="60">
        <v>250</v>
      </c>
      <c r="Y56" s="60">
        <v>275</v>
      </c>
      <c r="Z56" s="60">
        <v>250</v>
      </c>
      <c r="AA56" s="60">
        <v>200</v>
      </c>
      <c r="AB56" s="60">
        <v>240</v>
      </c>
      <c r="AC56" s="60">
        <v>225</v>
      </c>
      <c r="AD56" s="60">
        <v>265</v>
      </c>
      <c r="AE56" s="60">
        <v>220</v>
      </c>
      <c r="AF56" s="60">
        <v>230</v>
      </c>
      <c r="AG56" s="60">
        <v>250</v>
      </c>
      <c r="AH56" s="60">
        <v>285</v>
      </c>
      <c r="AI56" s="60">
        <v>250</v>
      </c>
      <c r="AJ56" s="60">
        <v>260</v>
      </c>
      <c r="AK56" s="60">
        <v>260</v>
      </c>
      <c r="AL56" s="60">
        <v>270</v>
      </c>
      <c r="AM56" s="60">
        <v>270</v>
      </c>
      <c r="AN56" s="60"/>
      <c r="AO56" s="60">
        <v>350</v>
      </c>
      <c r="AP56" s="60">
        <v>270</v>
      </c>
      <c r="AQ56" s="60">
        <v>285</v>
      </c>
      <c r="AR56" s="60">
        <v>300</v>
      </c>
      <c r="AS56" s="60"/>
      <c r="AT56" s="60">
        <v>300</v>
      </c>
      <c r="AU56" s="60">
        <v>330</v>
      </c>
      <c r="AV56" s="60">
        <v>310</v>
      </c>
      <c r="AW56" s="60"/>
      <c r="AX56" s="60">
        <v>360</v>
      </c>
      <c r="AY56" s="60">
        <v>320</v>
      </c>
      <c r="AZ56" s="60"/>
      <c r="BA56" s="60"/>
      <c r="BB56" s="60"/>
      <c r="BC56" s="60">
        <v>340</v>
      </c>
      <c r="BD56" s="60"/>
      <c r="BE56" s="60">
        <v>450</v>
      </c>
      <c r="BF56" s="60"/>
      <c r="BG56" s="60">
        <v>400</v>
      </c>
      <c r="BH56" s="60"/>
    </row>
    <row r="57" spans="2:60" hidden="1" x14ac:dyDescent="0.2">
      <c r="B57" s="57"/>
      <c r="C57" s="57" t="s">
        <v>661</v>
      </c>
      <c r="D57" s="57" t="s">
        <v>651</v>
      </c>
      <c r="E57" s="58">
        <v>240</v>
      </c>
      <c r="F57" s="58">
        <v>250</v>
      </c>
      <c r="G57" s="58">
        <v>240</v>
      </c>
      <c r="H57" s="58">
        <v>230</v>
      </c>
      <c r="I57" s="58">
        <v>250</v>
      </c>
      <c r="J57" s="58">
        <v>240</v>
      </c>
      <c r="K57" s="58">
        <v>250</v>
      </c>
      <c r="L57" s="58">
        <v>250</v>
      </c>
      <c r="M57" s="58">
        <v>250</v>
      </c>
      <c r="N57" s="58">
        <v>250</v>
      </c>
      <c r="O57" s="58">
        <v>230</v>
      </c>
      <c r="P57" s="58">
        <v>260</v>
      </c>
      <c r="Q57" s="58">
        <v>250</v>
      </c>
      <c r="R57" s="58">
        <v>250</v>
      </c>
      <c r="S57" s="58">
        <v>250</v>
      </c>
      <c r="T57" s="58">
        <v>250</v>
      </c>
      <c r="U57" s="58">
        <v>250</v>
      </c>
      <c r="V57" s="58">
        <v>250</v>
      </c>
      <c r="W57" s="58">
        <v>260</v>
      </c>
      <c r="X57" s="58">
        <v>260</v>
      </c>
      <c r="Y57" s="58">
        <v>250</v>
      </c>
      <c r="Z57" s="58">
        <v>250</v>
      </c>
      <c r="AA57" s="58">
        <v>250</v>
      </c>
      <c r="AB57" s="58">
        <v>250</v>
      </c>
      <c r="AC57" s="58">
        <v>250</v>
      </c>
      <c r="AD57" s="58">
        <v>250</v>
      </c>
      <c r="AE57" s="58">
        <v>250</v>
      </c>
      <c r="AF57" s="58">
        <v>250</v>
      </c>
      <c r="AG57" s="58">
        <v>260</v>
      </c>
      <c r="AH57" s="58">
        <v>250</v>
      </c>
      <c r="AI57" s="58">
        <v>250</v>
      </c>
      <c r="AJ57" s="58">
        <v>250</v>
      </c>
      <c r="AK57" s="58">
        <v>280</v>
      </c>
      <c r="AL57" s="58">
        <v>270</v>
      </c>
      <c r="AM57" s="58">
        <v>250</v>
      </c>
      <c r="AN57" s="58">
        <v>280</v>
      </c>
      <c r="AO57" s="58">
        <v>280</v>
      </c>
      <c r="AP57" s="58">
        <v>285</v>
      </c>
      <c r="AQ57" s="58">
        <v>310</v>
      </c>
      <c r="AR57" s="58">
        <v>295</v>
      </c>
      <c r="AS57" s="58">
        <v>280</v>
      </c>
      <c r="AT57" s="58">
        <v>260</v>
      </c>
      <c r="AU57" s="58">
        <v>320</v>
      </c>
      <c r="AV57" s="58">
        <v>330</v>
      </c>
      <c r="AW57" s="58">
        <v>330</v>
      </c>
      <c r="AX57" s="58">
        <v>320</v>
      </c>
      <c r="AY57" s="58">
        <v>320</v>
      </c>
      <c r="AZ57" s="58">
        <v>360</v>
      </c>
      <c r="BA57" s="58">
        <v>365</v>
      </c>
      <c r="BB57" s="58">
        <v>330</v>
      </c>
      <c r="BC57" s="58">
        <v>430</v>
      </c>
      <c r="BD57" s="58">
        <v>410</v>
      </c>
      <c r="BE57" s="58">
        <v>420</v>
      </c>
      <c r="BF57" s="58">
        <v>425</v>
      </c>
      <c r="BG57" s="58">
        <v>400</v>
      </c>
      <c r="BH57" s="58">
        <v>400</v>
      </c>
    </row>
    <row r="58" spans="2:60" hidden="1" x14ac:dyDescent="0.2">
      <c r="B58" s="59"/>
      <c r="C58" s="59" t="s">
        <v>661</v>
      </c>
      <c r="D58" s="59" t="s">
        <v>652</v>
      </c>
      <c r="E58" s="60">
        <v>285</v>
      </c>
      <c r="F58" s="60">
        <v>300</v>
      </c>
      <c r="G58" s="60">
        <v>290</v>
      </c>
      <c r="H58" s="60">
        <v>300</v>
      </c>
      <c r="I58" s="60">
        <v>290</v>
      </c>
      <c r="J58" s="60">
        <v>280</v>
      </c>
      <c r="K58" s="60">
        <v>295</v>
      </c>
      <c r="L58" s="60">
        <v>290</v>
      </c>
      <c r="M58" s="60">
        <v>280</v>
      </c>
      <c r="N58" s="60">
        <v>285</v>
      </c>
      <c r="O58" s="60">
        <v>280</v>
      </c>
      <c r="P58" s="60">
        <v>275</v>
      </c>
      <c r="Q58" s="60">
        <v>285</v>
      </c>
      <c r="R58" s="60">
        <v>280</v>
      </c>
      <c r="S58" s="60">
        <v>285</v>
      </c>
      <c r="T58" s="60">
        <v>280</v>
      </c>
      <c r="U58" s="60">
        <v>280</v>
      </c>
      <c r="V58" s="60">
        <v>285</v>
      </c>
      <c r="W58" s="60">
        <v>320</v>
      </c>
      <c r="X58" s="60">
        <v>280</v>
      </c>
      <c r="Y58" s="60">
        <v>295</v>
      </c>
      <c r="Z58" s="60">
        <v>280</v>
      </c>
      <c r="AA58" s="60">
        <v>295</v>
      </c>
      <c r="AB58" s="60">
        <v>290</v>
      </c>
      <c r="AC58" s="60">
        <v>290</v>
      </c>
      <c r="AD58" s="60">
        <v>290</v>
      </c>
      <c r="AE58" s="60">
        <v>300</v>
      </c>
      <c r="AF58" s="60">
        <v>290</v>
      </c>
      <c r="AG58" s="60">
        <v>300</v>
      </c>
      <c r="AH58" s="60">
        <v>320</v>
      </c>
      <c r="AI58" s="60">
        <v>300</v>
      </c>
      <c r="AJ58" s="60">
        <v>300</v>
      </c>
      <c r="AK58" s="60">
        <v>300</v>
      </c>
      <c r="AL58" s="60">
        <v>295</v>
      </c>
      <c r="AM58" s="60">
        <v>300</v>
      </c>
      <c r="AN58" s="60">
        <v>320</v>
      </c>
      <c r="AO58" s="60">
        <v>340</v>
      </c>
      <c r="AP58" s="60">
        <v>340</v>
      </c>
      <c r="AQ58" s="60">
        <v>330</v>
      </c>
      <c r="AR58" s="60">
        <v>350</v>
      </c>
      <c r="AS58" s="60">
        <v>350</v>
      </c>
      <c r="AT58" s="60">
        <v>350</v>
      </c>
      <c r="AU58" s="60">
        <v>350</v>
      </c>
      <c r="AV58" s="60">
        <v>380</v>
      </c>
      <c r="AW58" s="60">
        <v>390</v>
      </c>
      <c r="AX58" s="60">
        <v>380</v>
      </c>
      <c r="AY58" s="60">
        <v>390</v>
      </c>
      <c r="AZ58" s="60">
        <v>430</v>
      </c>
      <c r="BA58" s="60">
        <v>420</v>
      </c>
      <c r="BB58" s="60">
        <v>400</v>
      </c>
      <c r="BC58" s="60">
        <v>440</v>
      </c>
      <c r="BD58" s="60">
        <v>425</v>
      </c>
      <c r="BE58" s="60">
        <v>450</v>
      </c>
      <c r="BF58" s="60">
        <v>450</v>
      </c>
      <c r="BG58" s="60">
        <v>450</v>
      </c>
      <c r="BH58" s="60">
        <v>460</v>
      </c>
    </row>
    <row r="59" spans="2:60" hidden="1" x14ac:dyDescent="0.2">
      <c r="B59" s="57"/>
      <c r="C59" s="57" t="s">
        <v>661</v>
      </c>
      <c r="D59" s="57" t="s">
        <v>653</v>
      </c>
      <c r="E59" s="58">
        <v>320</v>
      </c>
      <c r="F59" s="58">
        <v>380</v>
      </c>
      <c r="G59" s="58">
        <v>360</v>
      </c>
      <c r="H59" s="58">
        <v>350</v>
      </c>
      <c r="I59" s="58">
        <v>350</v>
      </c>
      <c r="J59" s="58">
        <v>330</v>
      </c>
      <c r="K59" s="58">
        <v>340</v>
      </c>
      <c r="L59" s="58">
        <v>350</v>
      </c>
      <c r="M59" s="58">
        <v>350</v>
      </c>
      <c r="N59" s="58">
        <v>300</v>
      </c>
      <c r="O59" s="58">
        <v>310</v>
      </c>
      <c r="P59" s="58">
        <v>300</v>
      </c>
      <c r="Q59" s="58">
        <v>330</v>
      </c>
      <c r="R59" s="58">
        <v>320</v>
      </c>
      <c r="S59" s="58">
        <v>330</v>
      </c>
      <c r="T59" s="58">
        <v>320</v>
      </c>
      <c r="U59" s="58">
        <v>350</v>
      </c>
      <c r="V59" s="58">
        <v>330</v>
      </c>
      <c r="W59" s="58">
        <v>320</v>
      </c>
      <c r="X59" s="58">
        <v>350</v>
      </c>
      <c r="Y59" s="58">
        <v>340</v>
      </c>
      <c r="Z59" s="58">
        <v>350</v>
      </c>
      <c r="AA59" s="58">
        <v>330</v>
      </c>
      <c r="AB59" s="58">
        <v>330</v>
      </c>
      <c r="AC59" s="58">
        <v>325</v>
      </c>
      <c r="AD59" s="58">
        <v>360</v>
      </c>
      <c r="AE59" s="58">
        <v>330</v>
      </c>
      <c r="AF59" s="58">
        <v>300</v>
      </c>
      <c r="AG59" s="58">
        <v>350</v>
      </c>
      <c r="AH59" s="58">
        <v>350</v>
      </c>
      <c r="AI59" s="58">
        <v>350</v>
      </c>
      <c r="AJ59" s="58">
        <v>325</v>
      </c>
      <c r="AK59" s="58">
        <v>350</v>
      </c>
      <c r="AL59" s="58">
        <v>370</v>
      </c>
      <c r="AM59" s="58">
        <v>380</v>
      </c>
      <c r="AN59" s="58">
        <v>385</v>
      </c>
      <c r="AO59" s="58">
        <v>375</v>
      </c>
      <c r="AP59" s="58">
        <v>360</v>
      </c>
      <c r="AQ59" s="58">
        <v>440</v>
      </c>
      <c r="AR59" s="58">
        <v>410</v>
      </c>
      <c r="AS59" s="58">
        <v>420</v>
      </c>
      <c r="AT59" s="58">
        <v>400</v>
      </c>
      <c r="AU59" s="58">
        <v>380</v>
      </c>
      <c r="AV59" s="58">
        <v>450</v>
      </c>
      <c r="AW59" s="58">
        <v>440</v>
      </c>
      <c r="AX59" s="58">
        <v>430</v>
      </c>
      <c r="AY59" s="58">
        <v>450</v>
      </c>
      <c r="AZ59" s="58">
        <v>480</v>
      </c>
      <c r="BA59" s="58">
        <v>500</v>
      </c>
      <c r="BB59" s="58">
        <v>550</v>
      </c>
      <c r="BC59" s="58">
        <v>480</v>
      </c>
      <c r="BD59" s="58">
        <v>480</v>
      </c>
      <c r="BE59" s="58">
        <v>480</v>
      </c>
      <c r="BF59" s="58">
        <v>560</v>
      </c>
      <c r="BG59" s="58">
        <v>480</v>
      </c>
      <c r="BH59" s="58">
        <v>450</v>
      </c>
    </row>
    <row r="60" spans="2:60" hidden="1" x14ac:dyDescent="0.2">
      <c r="B60" s="59"/>
      <c r="C60" s="59" t="s">
        <v>661</v>
      </c>
      <c r="D60" s="59" t="s">
        <v>654</v>
      </c>
      <c r="E60" s="60"/>
      <c r="F60" s="60">
        <v>295</v>
      </c>
      <c r="G60" s="60"/>
      <c r="H60" s="60"/>
      <c r="I60" s="60">
        <v>300</v>
      </c>
      <c r="J60" s="60"/>
      <c r="K60" s="60"/>
      <c r="L60" s="60"/>
      <c r="M60" s="60"/>
      <c r="N60" s="60"/>
      <c r="O60" s="60"/>
      <c r="P60" s="60"/>
      <c r="Q60" s="60"/>
      <c r="R60" s="60"/>
      <c r="S60" s="60"/>
      <c r="T60" s="60"/>
      <c r="U60" s="60"/>
      <c r="V60" s="60"/>
      <c r="W60" s="60"/>
      <c r="X60" s="60"/>
      <c r="Y60" s="60"/>
      <c r="Z60" s="60"/>
      <c r="AA60" s="60"/>
      <c r="AB60" s="60"/>
      <c r="AC60" s="60"/>
      <c r="AD60" s="60"/>
      <c r="AE60" s="60"/>
      <c r="AF60" s="60">
        <v>265</v>
      </c>
      <c r="AG60" s="60"/>
      <c r="AH60" s="60"/>
      <c r="AI60" s="60"/>
      <c r="AJ60" s="60">
        <v>265</v>
      </c>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row>
    <row r="61" spans="2:60" hidden="1" x14ac:dyDescent="0.2">
      <c r="B61" s="57"/>
      <c r="C61" s="57" t="s">
        <v>661</v>
      </c>
      <c r="D61" s="57" t="s">
        <v>655</v>
      </c>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row>
    <row r="62" spans="2:60" hidden="1" x14ac:dyDescent="0.2">
      <c r="B62" s="59"/>
      <c r="C62" s="59" t="s">
        <v>661</v>
      </c>
      <c r="D62" s="59" t="s">
        <v>656</v>
      </c>
      <c r="E62" s="60">
        <v>270</v>
      </c>
      <c r="F62" s="60">
        <v>280</v>
      </c>
      <c r="G62" s="60">
        <v>265</v>
      </c>
      <c r="H62" s="60">
        <v>260</v>
      </c>
      <c r="I62" s="60">
        <v>260</v>
      </c>
      <c r="J62" s="60">
        <v>250</v>
      </c>
      <c r="K62" s="60">
        <v>260</v>
      </c>
      <c r="L62" s="60">
        <v>260</v>
      </c>
      <c r="M62" s="60">
        <v>250</v>
      </c>
      <c r="N62" s="60">
        <v>260</v>
      </c>
      <c r="O62" s="60">
        <v>250</v>
      </c>
      <c r="P62" s="60">
        <v>250</v>
      </c>
      <c r="Q62" s="60">
        <v>260</v>
      </c>
      <c r="R62" s="60">
        <v>250</v>
      </c>
      <c r="S62" s="60">
        <v>250</v>
      </c>
      <c r="T62" s="60">
        <v>250</v>
      </c>
      <c r="U62" s="60">
        <v>255</v>
      </c>
      <c r="V62" s="60">
        <v>250</v>
      </c>
      <c r="W62" s="60">
        <v>260</v>
      </c>
      <c r="X62" s="60">
        <v>250</v>
      </c>
      <c r="Y62" s="60">
        <v>260</v>
      </c>
      <c r="Z62" s="60">
        <v>260</v>
      </c>
      <c r="AA62" s="60">
        <v>265</v>
      </c>
      <c r="AB62" s="60">
        <v>260</v>
      </c>
      <c r="AC62" s="60">
        <v>260</v>
      </c>
      <c r="AD62" s="60">
        <v>270</v>
      </c>
      <c r="AE62" s="60">
        <v>270</v>
      </c>
      <c r="AF62" s="60">
        <v>260</v>
      </c>
      <c r="AG62" s="60">
        <v>270</v>
      </c>
      <c r="AH62" s="60">
        <v>270</v>
      </c>
      <c r="AI62" s="60">
        <v>260</v>
      </c>
      <c r="AJ62" s="60">
        <v>260</v>
      </c>
      <c r="AK62" s="60">
        <v>275</v>
      </c>
      <c r="AL62" s="60">
        <v>275</v>
      </c>
      <c r="AM62" s="60">
        <v>270</v>
      </c>
      <c r="AN62" s="60">
        <v>285</v>
      </c>
      <c r="AO62" s="60">
        <v>300</v>
      </c>
      <c r="AP62" s="60">
        <v>300</v>
      </c>
      <c r="AQ62" s="60">
        <v>300</v>
      </c>
      <c r="AR62" s="60">
        <v>300</v>
      </c>
      <c r="AS62" s="60">
        <v>320</v>
      </c>
      <c r="AT62" s="60">
        <v>300</v>
      </c>
      <c r="AU62" s="60">
        <v>325</v>
      </c>
      <c r="AV62" s="60">
        <v>320</v>
      </c>
      <c r="AW62" s="60">
        <v>325</v>
      </c>
      <c r="AX62" s="60">
        <v>350</v>
      </c>
      <c r="AY62" s="60">
        <v>350</v>
      </c>
      <c r="AZ62" s="60">
        <v>370</v>
      </c>
      <c r="BA62" s="60">
        <v>375</v>
      </c>
      <c r="BB62" s="60">
        <v>350</v>
      </c>
      <c r="BC62" s="60">
        <v>360</v>
      </c>
      <c r="BD62" s="60">
        <v>381</v>
      </c>
      <c r="BE62" s="60">
        <v>370</v>
      </c>
      <c r="BF62" s="60">
        <v>390</v>
      </c>
      <c r="BG62" s="60">
        <v>400</v>
      </c>
      <c r="BH62" s="60">
        <v>400</v>
      </c>
    </row>
    <row r="63" spans="2:60" hidden="1" x14ac:dyDescent="0.2">
      <c r="B63" s="57"/>
      <c r="C63" s="57" t="s">
        <v>662</v>
      </c>
      <c r="D63" s="57" t="s">
        <v>648</v>
      </c>
      <c r="E63" s="58">
        <v>230</v>
      </c>
      <c r="F63" s="58">
        <v>375</v>
      </c>
      <c r="G63" s="58">
        <v>150</v>
      </c>
      <c r="H63" s="58">
        <v>120</v>
      </c>
      <c r="I63" s="58">
        <v>320</v>
      </c>
      <c r="J63" s="58">
        <v>295</v>
      </c>
      <c r="K63" s="58">
        <v>220</v>
      </c>
      <c r="L63" s="58">
        <v>195</v>
      </c>
      <c r="M63" s="58">
        <v>220</v>
      </c>
      <c r="N63" s="58">
        <v>220</v>
      </c>
      <c r="O63" s="58">
        <v>175</v>
      </c>
      <c r="P63" s="58"/>
      <c r="Q63" s="58">
        <v>185</v>
      </c>
      <c r="R63" s="58">
        <v>190</v>
      </c>
      <c r="S63" s="58">
        <v>175</v>
      </c>
      <c r="T63" s="58">
        <v>163</v>
      </c>
      <c r="U63" s="58">
        <v>175</v>
      </c>
      <c r="V63" s="58">
        <v>180</v>
      </c>
      <c r="W63" s="58"/>
      <c r="X63" s="58">
        <v>175</v>
      </c>
      <c r="Y63" s="58">
        <v>200</v>
      </c>
      <c r="Z63" s="58">
        <v>175</v>
      </c>
      <c r="AA63" s="58">
        <v>175</v>
      </c>
      <c r="AB63" s="58">
        <v>175</v>
      </c>
      <c r="AC63" s="58">
        <v>185</v>
      </c>
      <c r="AD63" s="58">
        <v>185</v>
      </c>
      <c r="AE63" s="58">
        <v>200</v>
      </c>
      <c r="AF63" s="58">
        <v>200</v>
      </c>
      <c r="AG63" s="58">
        <v>200</v>
      </c>
      <c r="AH63" s="58">
        <v>220</v>
      </c>
      <c r="AI63" s="58">
        <v>200</v>
      </c>
      <c r="AJ63" s="58">
        <v>200</v>
      </c>
      <c r="AK63" s="58">
        <v>220</v>
      </c>
      <c r="AL63" s="58"/>
      <c r="AM63" s="58">
        <v>230</v>
      </c>
      <c r="AN63" s="58">
        <v>180</v>
      </c>
      <c r="AO63" s="58">
        <v>220</v>
      </c>
      <c r="AP63" s="58">
        <v>200</v>
      </c>
      <c r="AQ63" s="58">
        <v>250</v>
      </c>
      <c r="AR63" s="58">
        <v>245</v>
      </c>
      <c r="AS63" s="58">
        <v>250</v>
      </c>
      <c r="AT63" s="58">
        <v>260</v>
      </c>
      <c r="AU63" s="58">
        <v>260</v>
      </c>
      <c r="AV63" s="58"/>
      <c r="AW63" s="58">
        <v>275</v>
      </c>
      <c r="AX63" s="58">
        <v>290</v>
      </c>
      <c r="AY63" s="58">
        <v>300</v>
      </c>
      <c r="AZ63" s="58">
        <v>275</v>
      </c>
      <c r="BA63" s="58">
        <v>320</v>
      </c>
      <c r="BB63" s="58">
        <v>300</v>
      </c>
      <c r="BC63" s="58">
        <v>250</v>
      </c>
      <c r="BD63" s="58">
        <v>320</v>
      </c>
      <c r="BE63" s="58">
        <v>350</v>
      </c>
      <c r="BF63" s="58">
        <v>350</v>
      </c>
      <c r="BG63" s="58">
        <v>345</v>
      </c>
      <c r="BH63" s="58">
        <v>320</v>
      </c>
    </row>
    <row r="64" spans="2:60" hidden="1" x14ac:dyDescent="0.2">
      <c r="B64" s="59"/>
      <c r="C64" s="59" t="s">
        <v>662</v>
      </c>
      <c r="D64" s="59" t="s">
        <v>649</v>
      </c>
      <c r="E64" s="60">
        <v>380</v>
      </c>
      <c r="F64" s="60">
        <v>400</v>
      </c>
      <c r="G64" s="60">
        <v>450</v>
      </c>
      <c r="H64" s="60">
        <v>370</v>
      </c>
      <c r="I64" s="60">
        <v>360</v>
      </c>
      <c r="J64" s="60">
        <v>300</v>
      </c>
      <c r="K64" s="60">
        <v>290</v>
      </c>
      <c r="L64" s="60">
        <v>250</v>
      </c>
      <c r="M64" s="60">
        <v>250</v>
      </c>
      <c r="N64" s="60">
        <v>220</v>
      </c>
      <c r="O64" s="60">
        <v>220</v>
      </c>
      <c r="P64" s="60">
        <v>195</v>
      </c>
      <c r="Q64" s="60">
        <v>190</v>
      </c>
      <c r="R64" s="60">
        <v>180</v>
      </c>
      <c r="S64" s="60">
        <v>185</v>
      </c>
      <c r="T64" s="60">
        <v>170</v>
      </c>
      <c r="U64" s="60">
        <v>150</v>
      </c>
      <c r="V64" s="60">
        <v>175</v>
      </c>
      <c r="W64" s="60">
        <v>175</v>
      </c>
      <c r="X64" s="60">
        <v>160</v>
      </c>
      <c r="Y64" s="60">
        <v>180</v>
      </c>
      <c r="Z64" s="60">
        <v>165</v>
      </c>
      <c r="AA64" s="60">
        <v>170</v>
      </c>
      <c r="AB64" s="60">
        <v>180</v>
      </c>
      <c r="AC64" s="60">
        <v>190</v>
      </c>
      <c r="AD64" s="60">
        <v>180</v>
      </c>
      <c r="AE64" s="60">
        <v>205</v>
      </c>
      <c r="AF64" s="60">
        <v>200</v>
      </c>
      <c r="AG64" s="60">
        <v>200</v>
      </c>
      <c r="AH64" s="60">
        <v>220</v>
      </c>
      <c r="AI64" s="60">
        <v>240</v>
      </c>
      <c r="AJ64" s="60">
        <v>220</v>
      </c>
      <c r="AK64" s="60">
        <v>230</v>
      </c>
      <c r="AL64" s="60">
        <v>240</v>
      </c>
      <c r="AM64" s="60">
        <v>240</v>
      </c>
      <c r="AN64" s="60">
        <v>240</v>
      </c>
      <c r="AO64" s="60">
        <v>250</v>
      </c>
      <c r="AP64" s="60">
        <v>250</v>
      </c>
      <c r="AQ64" s="60">
        <v>270</v>
      </c>
      <c r="AR64" s="60">
        <v>260</v>
      </c>
      <c r="AS64" s="60">
        <v>260</v>
      </c>
      <c r="AT64" s="60">
        <v>270</v>
      </c>
      <c r="AU64" s="60">
        <v>300</v>
      </c>
      <c r="AV64" s="60">
        <v>300</v>
      </c>
      <c r="AW64" s="60">
        <v>300</v>
      </c>
      <c r="AX64" s="60">
        <v>320</v>
      </c>
      <c r="AY64" s="60">
        <v>300</v>
      </c>
      <c r="AZ64" s="60">
        <v>340</v>
      </c>
      <c r="BA64" s="60">
        <v>350</v>
      </c>
      <c r="BB64" s="60">
        <v>350</v>
      </c>
      <c r="BC64" s="60">
        <v>300</v>
      </c>
      <c r="BD64" s="60">
        <v>350</v>
      </c>
      <c r="BE64" s="60">
        <v>370</v>
      </c>
      <c r="BF64" s="60">
        <v>380</v>
      </c>
      <c r="BG64" s="60">
        <v>380</v>
      </c>
      <c r="BH64" s="60">
        <v>400</v>
      </c>
    </row>
    <row r="65" spans="2:60" hidden="1" x14ac:dyDescent="0.2">
      <c r="B65" s="57"/>
      <c r="C65" s="57" t="s">
        <v>662</v>
      </c>
      <c r="D65" s="57" t="s">
        <v>650</v>
      </c>
      <c r="E65" s="58">
        <v>500</v>
      </c>
      <c r="F65" s="58">
        <v>600</v>
      </c>
      <c r="G65" s="58">
        <v>550</v>
      </c>
      <c r="H65" s="58">
        <v>500</v>
      </c>
      <c r="I65" s="58">
        <v>450</v>
      </c>
      <c r="J65" s="58">
        <v>360</v>
      </c>
      <c r="K65" s="58">
        <v>350</v>
      </c>
      <c r="L65" s="58">
        <v>300</v>
      </c>
      <c r="M65" s="58">
        <v>300</v>
      </c>
      <c r="N65" s="58">
        <v>270</v>
      </c>
      <c r="O65" s="58">
        <v>250</v>
      </c>
      <c r="P65" s="58">
        <v>240</v>
      </c>
      <c r="Q65" s="58">
        <v>250</v>
      </c>
      <c r="R65" s="58">
        <v>240</v>
      </c>
      <c r="S65" s="58">
        <v>250</v>
      </c>
      <c r="T65" s="58">
        <v>220</v>
      </c>
      <c r="U65" s="58">
        <v>215</v>
      </c>
      <c r="V65" s="58">
        <v>220</v>
      </c>
      <c r="W65" s="58">
        <v>220</v>
      </c>
      <c r="X65" s="58">
        <v>210</v>
      </c>
      <c r="Y65" s="58">
        <v>220</v>
      </c>
      <c r="Z65" s="58">
        <v>200</v>
      </c>
      <c r="AA65" s="58">
        <v>230</v>
      </c>
      <c r="AB65" s="58">
        <v>250</v>
      </c>
      <c r="AC65" s="58">
        <v>250</v>
      </c>
      <c r="AD65" s="58">
        <v>250</v>
      </c>
      <c r="AE65" s="58">
        <v>260</v>
      </c>
      <c r="AF65" s="58">
        <v>260</v>
      </c>
      <c r="AG65" s="58">
        <v>260</v>
      </c>
      <c r="AH65" s="58">
        <v>290</v>
      </c>
      <c r="AI65" s="58">
        <v>280</v>
      </c>
      <c r="AJ65" s="58">
        <v>300</v>
      </c>
      <c r="AK65" s="58">
        <v>300</v>
      </c>
      <c r="AL65" s="58">
        <v>305</v>
      </c>
      <c r="AM65" s="58">
        <v>320</v>
      </c>
      <c r="AN65" s="58">
        <v>340</v>
      </c>
      <c r="AO65" s="58">
        <v>330</v>
      </c>
      <c r="AP65" s="58">
        <v>340</v>
      </c>
      <c r="AQ65" s="58">
        <v>330</v>
      </c>
      <c r="AR65" s="58">
        <v>340</v>
      </c>
      <c r="AS65" s="58">
        <v>350</v>
      </c>
      <c r="AT65" s="58">
        <v>340</v>
      </c>
      <c r="AU65" s="58">
        <v>360</v>
      </c>
      <c r="AV65" s="58">
        <v>370</v>
      </c>
      <c r="AW65" s="58">
        <v>380</v>
      </c>
      <c r="AX65" s="58">
        <v>400</v>
      </c>
      <c r="AY65" s="58">
        <v>375</v>
      </c>
      <c r="AZ65" s="58">
        <v>380</v>
      </c>
      <c r="BA65" s="58">
        <v>450</v>
      </c>
      <c r="BB65" s="58">
        <v>440</v>
      </c>
      <c r="BC65" s="58">
        <v>420</v>
      </c>
      <c r="BD65" s="58">
        <v>440</v>
      </c>
      <c r="BE65" s="58">
        <v>450</v>
      </c>
      <c r="BF65" s="58">
        <v>440</v>
      </c>
      <c r="BG65" s="58">
        <v>475</v>
      </c>
      <c r="BH65" s="58">
        <v>480</v>
      </c>
    </row>
    <row r="66" spans="2:60" hidden="1" x14ac:dyDescent="0.2">
      <c r="B66" s="59"/>
      <c r="C66" s="59" t="s">
        <v>662</v>
      </c>
      <c r="D66" s="59" t="s">
        <v>651</v>
      </c>
      <c r="E66" s="60"/>
      <c r="F66" s="60"/>
      <c r="G66" s="60"/>
      <c r="H66" s="60"/>
      <c r="I66" s="60"/>
      <c r="J66" s="60"/>
      <c r="K66" s="60"/>
      <c r="L66" s="60"/>
      <c r="M66" s="60"/>
      <c r="N66" s="60"/>
      <c r="O66" s="60">
        <v>200</v>
      </c>
      <c r="P66" s="60">
        <v>195</v>
      </c>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row>
    <row r="67" spans="2:60" hidden="1" x14ac:dyDescent="0.2">
      <c r="B67" s="57"/>
      <c r="C67" s="57" t="s">
        <v>662</v>
      </c>
      <c r="D67" s="57" t="s">
        <v>652</v>
      </c>
      <c r="E67" s="58">
        <v>560</v>
      </c>
      <c r="F67" s="58">
        <v>700</v>
      </c>
      <c r="G67" s="58">
        <v>570</v>
      </c>
      <c r="H67" s="58">
        <v>450</v>
      </c>
      <c r="I67" s="58">
        <v>420</v>
      </c>
      <c r="J67" s="58">
        <v>390</v>
      </c>
      <c r="K67" s="58">
        <v>330</v>
      </c>
      <c r="L67" s="58">
        <v>300</v>
      </c>
      <c r="M67" s="58">
        <v>300</v>
      </c>
      <c r="N67" s="58">
        <v>270</v>
      </c>
      <c r="O67" s="58">
        <v>250</v>
      </c>
      <c r="P67" s="58">
        <v>230</v>
      </c>
      <c r="Q67" s="58">
        <v>230</v>
      </c>
      <c r="R67" s="58">
        <v>220</v>
      </c>
      <c r="S67" s="58">
        <v>230</v>
      </c>
      <c r="T67" s="58">
        <v>200</v>
      </c>
      <c r="U67" s="58">
        <v>210</v>
      </c>
      <c r="V67" s="58">
        <v>200</v>
      </c>
      <c r="W67" s="58">
        <v>200</v>
      </c>
      <c r="X67" s="58">
        <v>200</v>
      </c>
      <c r="Y67" s="58">
        <v>200</v>
      </c>
      <c r="Z67" s="58">
        <v>210</v>
      </c>
      <c r="AA67" s="58">
        <v>230</v>
      </c>
      <c r="AB67" s="58">
        <v>215</v>
      </c>
      <c r="AC67" s="58">
        <v>200</v>
      </c>
      <c r="AD67" s="58">
        <v>250</v>
      </c>
      <c r="AE67" s="58">
        <v>250</v>
      </c>
      <c r="AF67" s="58">
        <v>250</v>
      </c>
      <c r="AG67" s="58">
        <v>255</v>
      </c>
      <c r="AH67" s="58">
        <v>260</v>
      </c>
      <c r="AI67" s="58">
        <v>265</v>
      </c>
      <c r="AJ67" s="58">
        <v>270</v>
      </c>
      <c r="AK67" s="58">
        <v>270</v>
      </c>
      <c r="AL67" s="58">
        <v>270</v>
      </c>
      <c r="AM67" s="58">
        <v>300</v>
      </c>
      <c r="AN67" s="58">
        <v>295</v>
      </c>
      <c r="AO67" s="58">
        <v>300</v>
      </c>
      <c r="AP67" s="58">
        <v>300</v>
      </c>
      <c r="AQ67" s="58">
        <v>300</v>
      </c>
      <c r="AR67" s="58">
        <v>320</v>
      </c>
      <c r="AS67" s="58">
        <v>320</v>
      </c>
      <c r="AT67" s="58">
        <v>350</v>
      </c>
      <c r="AU67" s="58">
        <v>330</v>
      </c>
      <c r="AV67" s="58">
        <v>350</v>
      </c>
      <c r="AW67" s="58">
        <v>350</v>
      </c>
      <c r="AX67" s="58">
        <v>350</v>
      </c>
      <c r="AY67" s="58">
        <v>365</v>
      </c>
      <c r="AZ67" s="58">
        <v>390</v>
      </c>
      <c r="BA67" s="58">
        <v>400</v>
      </c>
      <c r="BB67" s="58">
        <v>400</v>
      </c>
      <c r="BC67" s="58">
        <v>390</v>
      </c>
      <c r="BD67" s="58">
        <v>425</v>
      </c>
      <c r="BE67" s="58">
        <v>420</v>
      </c>
      <c r="BF67" s="58">
        <v>450</v>
      </c>
      <c r="BG67" s="58">
        <v>430</v>
      </c>
      <c r="BH67" s="58">
        <v>490</v>
      </c>
    </row>
    <row r="68" spans="2:60" hidden="1" x14ac:dyDescent="0.2">
      <c r="B68" s="59"/>
      <c r="C68" s="59" t="s">
        <v>662</v>
      </c>
      <c r="D68" s="59" t="s">
        <v>653</v>
      </c>
      <c r="E68" s="60">
        <v>750</v>
      </c>
      <c r="F68" s="60">
        <v>850</v>
      </c>
      <c r="G68" s="60">
        <v>700</v>
      </c>
      <c r="H68" s="60">
        <v>600</v>
      </c>
      <c r="I68" s="60">
        <v>550</v>
      </c>
      <c r="J68" s="60">
        <v>450</v>
      </c>
      <c r="K68" s="60">
        <v>400</v>
      </c>
      <c r="L68" s="60">
        <v>400</v>
      </c>
      <c r="M68" s="60">
        <v>400</v>
      </c>
      <c r="N68" s="60">
        <v>350</v>
      </c>
      <c r="O68" s="60">
        <v>340</v>
      </c>
      <c r="P68" s="60">
        <v>330</v>
      </c>
      <c r="Q68" s="60">
        <v>300</v>
      </c>
      <c r="R68" s="60">
        <v>300</v>
      </c>
      <c r="S68" s="60">
        <v>300</v>
      </c>
      <c r="T68" s="60">
        <v>300</v>
      </c>
      <c r="U68" s="60">
        <v>300</v>
      </c>
      <c r="V68" s="60">
        <v>300</v>
      </c>
      <c r="W68" s="60">
        <v>270</v>
      </c>
      <c r="X68" s="60">
        <v>300</v>
      </c>
      <c r="Y68" s="60">
        <v>300</v>
      </c>
      <c r="Z68" s="60">
        <v>300</v>
      </c>
      <c r="AA68" s="60">
        <v>300</v>
      </c>
      <c r="AB68" s="60">
        <v>300</v>
      </c>
      <c r="AC68" s="60">
        <v>340</v>
      </c>
      <c r="AD68" s="60">
        <v>350</v>
      </c>
      <c r="AE68" s="60">
        <v>340</v>
      </c>
      <c r="AF68" s="60">
        <v>350</v>
      </c>
      <c r="AG68" s="60">
        <v>360</v>
      </c>
      <c r="AH68" s="60">
        <v>360</v>
      </c>
      <c r="AI68" s="60">
        <v>360</v>
      </c>
      <c r="AJ68" s="60">
        <v>380</v>
      </c>
      <c r="AK68" s="60">
        <v>390</v>
      </c>
      <c r="AL68" s="60">
        <v>380</v>
      </c>
      <c r="AM68" s="60">
        <v>400</v>
      </c>
      <c r="AN68" s="60">
        <v>390</v>
      </c>
      <c r="AO68" s="60">
        <v>400</v>
      </c>
      <c r="AP68" s="60">
        <v>400</v>
      </c>
      <c r="AQ68" s="60">
        <v>410</v>
      </c>
      <c r="AR68" s="60">
        <v>410</v>
      </c>
      <c r="AS68" s="60">
        <v>400</v>
      </c>
      <c r="AT68" s="60">
        <v>420</v>
      </c>
      <c r="AU68" s="60">
        <v>450</v>
      </c>
      <c r="AV68" s="60">
        <v>450</v>
      </c>
      <c r="AW68" s="60">
        <v>480</v>
      </c>
      <c r="AX68" s="60">
        <v>475</v>
      </c>
      <c r="AY68" s="60">
        <v>500</v>
      </c>
      <c r="AZ68" s="60">
        <v>520</v>
      </c>
      <c r="BA68" s="60">
        <v>525</v>
      </c>
      <c r="BB68" s="60">
        <v>550</v>
      </c>
      <c r="BC68" s="60">
        <v>550</v>
      </c>
      <c r="BD68" s="60">
        <v>550</v>
      </c>
      <c r="BE68" s="60">
        <v>575</v>
      </c>
      <c r="BF68" s="60">
        <v>600</v>
      </c>
      <c r="BG68" s="60">
        <v>580</v>
      </c>
      <c r="BH68" s="60">
        <v>625</v>
      </c>
    </row>
    <row r="69" spans="2:60" hidden="1" x14ac:dyDescent="0.2">
      <c r="B69" s="57"/>
      <c r="C69" s="57" t="s">
        <v>662</v>
      </c>
      <c r="D69" s="57" t="s">
        <v>654</v>
      </c>
      <c r="E69" s="58"/>
      <c r="F69" s="58"/>
      <c r="G69" s="58"/>
      <c r="H69" s="58"/>
      <c r="I69" s="58"/>
      <c r="J69" s="58"/>
      <c r="K69" s="58"/>
      <c r="L69" s="58"/>
      <c r="M69" s="58"/>
      <c r="N69" s="58"/>
      <c r="O69" s="58"/>
      <c r="P69" s="58"/>
      <c r="Q69" s="58"/>
      <c r="R69" s="58"/>
      <c r="S69" s="58"/>
      <c r="T69" s="58"/>
      <c r="U69" s="58">
        <v>220</v>
      </c>
      <c r="V69" s="58"/>
      <c r="W69" s="58"/>
      <c r="X69" s="58"/>
      <c r="Y69" s="58"/>
      <c r="Z69" s="58"/>
      <c r="AA69" s="58"/>
      <c r="AB69" s="58"/>
      <c r="AC69" s="58"/>
      <c r="AD69" s="58"/>
      <c r="AE69" s="58"/>
      <c r="AF69" s="58"/>
      <c r="AG69" s="58"/>
      <c r="AH69" s="58"/>
      <c r="AI69" s="58"/>
      <c r="AJ69" s="58">
        <v>280</v>
      </c>
      <c r="AK69" s="58"/>
      <c r="AL69" s="58">
        <v>275</v>
      </c>
      <c r="AM69" s="58"/>
      <c r="AN69" s="58"/>
      <c r="AO69" s="58"/>
      <c r="AP69" s="58"/>
      <c r="AQ69" s="58"/>
      <c r="AR69" s="58"/>
      <c r="AS69" s="58"/>
      <c r="AT69" s="58"/>
      <c r="AU69" s="58"/>
      <c r="AV69" s="58"/>
      <c r="AW69" s="58"/>
      <c r="AX69" s="58"/>
      <c r="AY69" s="58"/>
      <c r="AZ69" s="58"/>
      <c r="BA69" s="58"/>
      <c r="BB69" s="58"/>
      <c r="BC69" s="58"/>
      <c r="BD69" s="58"/>
      <c r="BE69" s="58"/>
      <c r="BF69" s="58"/>
      <c r="BG69" s="58"/>
      <c r="BH69" s="58"/>
    </row>
    <row r="70" spans="2:60" hidden="1" x14ac:dyDescent="0.2">
      <c r="B70" s="59"/>
      <c r="C70" s="59" t="s">
        <v>662</v>
      </c>
      <c r="D70" s="59" t="s">
        <v>655</v>
      </c>
      <c r="E70" s="60"/>
      <c r="F70" s="60">
        <v>650</v>
      </c>
      <c r="G70" s="60">
        <v>750</v>
      </c>
      <c r="H70" s="60">
        <v>575</v>
      </c>
      <c r="I70" s="60">
        <v>480</v>
      </c>
      <c r="J70" s="60">
        <v>420</v>
      </c>
      <c r="K70" s="60">
        <v>350</v>
      </c>
      <c r="L70" s="60">
        <v>350</v>
      </c>
      <c r="M70" s="60"/>
      <c r="N70" s="60">
        <v>350</v>
      </c>
      <c r="O70" s="60">
        <v>280</v>
      </c>
      <c r="P70" s="60">
        <v>280</v>
      </c>
      <c r="Q70" s="60">
        <v>280</v>
      </c>
      <c r="R70" s="60">
        <v>255</v>
      </c>
      <c r="S70" s="60">
        <v>270</v>
      </c>
      <c r="T70" s="60"/>
      <c r="U70" s="60"/>
      <c r="V70" s="60">
        <v>250</v>
      </c>
      <c r="W70" s="60"/>
      <c r="X70" s="60">
        <v>250</v>
      </c>
      <c r="Y70" s="60"/>
      <c r="Z70" s="60"/>
      <c r="AA70" s="60"/>
      <c r="AB70" s="60">
        <v>200</v>
      </c>
      <c r="AC70" s="60">
        <v>290</v>
      </c>
      <c r="AD70" s="60"/>
      <c r="AE70" s="60"/>
      <c r="AF70" s="60"/>
      <c r="AG70" s="60"/>
      <c r="AH70" s="60">
        <v>310</v>
      </c>
      <c r="AI70" s="60">
        <v>320</v>
      </c>
      <c r="AJ70" s="60">
        <v>350</v>
      </c>
      <c r="AK70" s="60">
        <v>320</v>
      </c>
      <c r="AL70" s="60">
        <v>350</v>
      </c>
      <c r="AM70" s="60">
        <v>275</v>
      </c>
      <c r="AN70" s="60">
        <v>330</v>
      </c>
      <c r="AO70" s="60"/>
      <c r="AP70" s="60"/>
      <c r="AQ70" s="60"/>
      <c r="AR70" s="60">
        <v>350</v>
      </c>
      <c r="AS70" s="60">
        <v>365</v>
      </c>
      <c r="AT70" s="60"/>
      <c r="AU70" s="60"/>
      <c r="AV70" s="60">
        <v>400</v>
      </c>
      <c r="AW70" s="60">
        <v>430</v>
      </c>
      <c r="AX70" s="60">
        <v>440</v>
      </c>
      <c r="AY70" s="60">
        <v>450</v>
      </c>
      <c r="AZ70" s="60"/>
      <c r="BA70" s="60">
        <v>470</v>
      </c>
      <c r="BB70" s="60"/>
      <c r="BC70" s="60"/>
      <c r="BD70" s="60"/>
      <c r="BE70" s="60">
        <v>480</v>
      </c>
      <c r="BF70" s="60">
        <v>500</v>
      </c>
      <c r="BG70" s="60">
        <v>490</v>
      </c>
      <c r="BH70" s="60">
        <v>500</v>
      </c>
    </row>
    <row r="71" spans="2:60" hidden="1" x14ac:dyDescent="0.2">
      <c r="B71" s="57"/>
      <c r="C71" s="57" t="s">
        <v>662</v>
      </c>
      <c r="D71" s="57" t="s">
        <v>656</v>
      </c>
      <c r="E71" s="58">
        <v>600</v>
      </c>
      <c r="F71" s="58">
        <v>700</v>
      </c>
      <c r="G71" s="58">
        <v>600</v>
      </c>
      <c r="H71" s="58">
        <v>495</v>
      </c>
      <c r="I71" s="58">
        <v>430</v>
      </c>
      <c r="J71" s="58">
        <v>400</v>
      </c>
      <c r="K71" s="58">
        <v>350</v>
      </c>
      <c r="L71" s="58">
        <v>310</v>
      </c>
      <c r="M71" s="58">
        <v>320</v>
      </c>
      <c r="N71" s="58">
        <v>300</v>
      </c>
      <c r="O71" s="58">
        <v>277</v>
      </c>
      <c r="P71" s="58">
        <v>250</v>
      </c>
      <c r="Q71" s="58">
        <v>250</v>
      </c>
      <c r="R71" s="58">
        <v>250</v>
      </c>
      <c r="S71" s="58">
        <v>250</v>
      </c>
      <c r="T71" s="58">
        <v>240</v>
      </c>
      <c r="U71" s="58">
        <v>220</v>
      </c>
      <c r="V71" s="58">
        <v>230</v>
      </c>
      <c r="W71" s="58">
        <v>220</v>
      </c>
      <c r="X71" s="58">
        <v>220</v>
      </c>
      <c r="Y71" s="58">
        <v>230</v>
      </c>
      <c r="Z71" s="58">
        <v>220</v>
      </c>
      <c r="AA71" s="58">
        <v>230</v>
      </c>
      <c r="AB71" s="58">
        <v>230</v>
      </c>
      <c r="AC71" s="58">
        <v>250</v>
      </c>
      <c r="AD71" s="58">
        <v>250</v>
      </c>
      <c r="AE71" s="58">
        <v>260</v>
      </c>
      <c r="AF71" s="58">
        <v>260</v>
      </c>
      <c r="AG71" s="58">
        <v>275</v>
      </c>
      <c r="AH71" s="58">
        <v>275</v>
      </c>
      <c r="AI71" s="58">
        <v>280</v>
      </c>
      <c r="AJ71" s="58">
        <v>290</v>
      </c>
      <c r="AK71" s="58">
        <v>295</v>
      </c>
      <c r="AL71" s="58">
        <v>300</v>
      </c>
      <c r="AM71" s="58">
        <v>320</v>
      </c>
      <c r="AN71" s="58">
        <v>320</v>
      </c>
      <c r="AO71" s="58">
        <v>320</v>
      </c>
      <c r="AP71" s="58">
        <v>330</v>
      </c>
      <c r="AQ71" s="58">
        <v>325</v>
      </c>
      <c r="AR71" s="58">
        <v>330</v>
      </c>
      <c r="AS71" s="58">
        <v>320</v>
      </c>
      <c r="AT71" s="58">
        <v>350</v>
      </c>
      <c r="AU71" s="58">
        <v>350</v>
      </c>
      <c r="AV71" s="58">
        <v>375</v>
      </c>
      <c r="AW71" s="58">
        <v>370</v>
      </c>
      <c r="AX71" s="58">
        <v>365</v>
      </c>
      <c r="AY71" s="58">
        <v>375</v>
      </c>
      <c r="AZ71" s="58">
        <v>410</v>
      </c>
      <c r="BA71" s="58">
        <v>420</v>
      </c>
      <c r="BB71" s="58">
        <v>415</v>
      </c>
      <c r="BC71" s="58">
        <v>400</v>
      </c>
      <c r="BD71" s="58">
        <v>450</v>
      </c>
      <c r="BE71" s="58">
        <v>430</v>
      </c>
      <c r="BF71" s="58">
        <v>450</v>
      </c>
      <c r="BG71" s="58">
        <v>450</v>
      </c>
      <c r="BH71" s="58">
        <v>500</v>
      </c>
    </row>
    <row r="72" spans="2:60" hidden="1" x14ac:dyDescent="0.2">
      <c r="B72" s="59"/>
      <c r="C72" s="59" t="s">
        <v>663</v>
      </c>
      <c r="D72" s="59" t="s">
        <v>648</v>
      </c>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row>
    <row r="73" spans="2:60" hidden="1" x14ac:dyDescent="0.2">
      <c r="B73" s="57"/>
      <c r="C73" s="57" t="s">
        <v>663</v>
      </c>
      <c r="D73" s="57" t="s">
        <v>649</v>
      </c>
      <c r="E73" s="58">
        <v>190</v>
      </c>
      <c r="F73" s="58">
        <v>200</v>
      </c>
      <c r="G73" s="58">
        <v>165</v>
      </c>
      <c r="H73" s="58">
        <v>200</v>
      </c>
      <c r="I73" s="58">
        <v>200</v>
      </c>
      <c r="J73" s="58">
        <v>220</v>
      </c>
      <c r="K73" s="58">
        <v>220</v>
      </c>
      <c r="L73" s="58">
        <v>175</v>
      </c>
      <c r="M73" s="58">
        <v>205</v>
      </c>
      <c r="N73" s="58">
        <v>195</v>
      </c>
      <c r="O73" s="58"/>
      <c r="P73" s="58">
        <v>200</v>
      </c>
      <c r="Q73" s="58">
        <v>230</v>
      </c>
      <c r="R73" s="58">
        <v>200</v>
      </c>
      <c r="S73" s="58"/>
      <c r="T73" s="58">
        <v>170</v>
      </c>
      <c r="U73" s="58">
        <v>200</v>
      </c>
      <c r="V73" s="58">
        <v>200</v>
      </c>
      <c r="W73" s="58"/>
      <c r="X73" s="58">
        <v>195</v>
      </c>
      <c r="Y73" s="58">
        <v>195</v>
      </c>
      <c r="Z73" s="58"/>
      <c r="AA73" s="58"/>
      <c r="AB73" s="58">
        <v>170</v>
      </c>
      <c r="AC73" s="58">
        <v>200</v>
      </c>
      <c r="AD73" s="58">
        <v>200</v>
      </c>
      <c r="AE73" s="58">
        <v>180</v>
      </c>
      <c r="AF73" s="58">
        <v>220</v>
      </c>
      <c r="AG73" s="58">
        <v>200</v>
      </c>
      <c r="AH73" s="58">
        <v>180</v>
      </c>
      <c r="AI73" s="58"/>
      <c r="AJ73" s="58">
        <v>200</v>
      </c>
      <c r="AK73" s="58">
        <v>210</v>
      </c>
      <c r="AL73" s="58">
        <v>220</v>
      </c>
      <c r="AM73" s="58">
        <v>225</v>
      </c>
      <c r="AN73" s="58">
        <v>220</v>
      </c>
      <c r="AO73" s="58">
        <v>240</v>
      </c>
      <c r="AP73" s="58">
        <v>220</v>
      </c>
      <c r="AQ73" s="58">
        <v>230</v>
      </c>
      <c r="AR73" s="58">
        <v>225</v>
      </c>
      <c r="AS73" s="58"/>
      <c r="AT73" s="58">
        <v>250</v>
      </c>
      <c r="AU73" s="58">
        <v>187</v>
      </c>
      <c r="AV73" s="58">
        <v>200</v>
      </c>
      <c r="AW73" s="58"/>
      <c r="AX73" s="58">
        <v>260</v>
      </c>
      <c r="AY73" s="58"/>
      <c r="AZ73" s="58">
        <v>250</v>
      </c>
      <c r="BA73" s="58"/>
      <c r="BB73" s="58"/>
      <c r="BC73" s="58"/>
      <c r="BD73" s="58"/>
      <c r="BE73" s="58">
        <v>320</v>
      </c>
      <c r="BF73" s="58"/>
      <c r="BG73" s="58">
        <v>260</v>
      </c>
      <c r="BH73" s="58"/>
    </row>
    <row r="74" spans="2:60" hidden="1" x14ac:dyDescent="0.2">
      <c r="B74" s="59"/>
      <c r="C74" s="59" t="s">
        <v>663</v>
      </c>
      <c r="D74" s="59" t="s">
        <v>650</v>
      </c>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row>
    <row r="75" spans="2:60" hidden="1" x14ac:dyDescent="0.2">
      <c r="B75" s="57"/>
      <c r="C75" s="57" t="s">
        <v>663</v>
      </c>
      <c r="D75" s="57" t="s">
        <v>651</v>
      </c>
      <c r="E75" s="58">
        <v>220</v>
      </c>
      <c r="F75" s="58">
        <v>230</v>
      </c>
      <c r="G75" s="58">
        <v>220</v>
      </c>
      <c r="H75" s="58">
        <v>220</v>
      </c>
      <c r="I75" s="58">
        <v>250</v>
      </c>
      <c r="J75" s="58">
        <v>235</v>
      </c>
      <c r="K75" s="58">
        <v>220</v>
      </c>
      <c r="L75" s="58">
        <v>210</v>
      </c>
      <c r="M75" s="58">
        <v>220</v>
      </c>
      <c r="N75" s="58">
        <v>220</v>
      </c>
      <c r="O75" s="58">
        <v>220</v>
      </c>
      <c r="P75" s="58"/>
      <c r="Q75" s="58">
        <v>220</v>
      </c>
      <c r="R75" s="58">
        <v>215</v>
      </c>
      <c r="S75" s="58">
        <v>210</v>
      </c>
      <c r="T75" s="58">
        <v>200</v>
      </c>
      <c r="U75" s="58">
        <v>220</v>
      </c>
      <c r="V75" s="58">
        <v>180</v>
      </c>
      <c r="W75" s="58"/>
      <c r="X75" s="58"/>
      <c r="Y75" s="58">
        <v>220</v>
      </c>
      <c r="Z75" s="58">
        <v>195</v>
      </c>
      <c r="AA75" s="58">
        <v>200</v>
      </c>
      <c r="AB75" s="58"/>
      <c r="AC75" s="58">
        <v>200</v>
      </c>
      <c r="AD75" s="58">
        <v>240</v>
      </c>
      <c r="AE75" s="58">
        <v>200</v>
      </c>
      <c r="AF75" s="58">
        <v>220</v>
      </c>
      <c r="AG75" s="58">
        <v>220</v>
      </c>
      <c r="AH75" s="58">
        <v>230</v>
      </c>
      <c r="AI75" s="58">
        <v>230</v>
      </c>
      <c r="AJ75" s="58">
        <v>220</v>
      </c>
      <c r="AK75" s="58"/>
      <c r="AL75" s="58">
        <v>240</v>
      </c>
      <c r="AM75" s="58">
        <v>220</v>
      </c>
      <c r="AN75" s="58"/>
      <c r="AO75" s="58"/>
      <c r="AP75" s="58">
        <v>240</v>
      </c>
      <c r="AQ75" s="58">
        <v>240</v>
      </c>
      <c r="AR75" s="58"/>
      <c r="AS75" s="58">
        <v>265</v>
      </c>
      <c r="AT75" s="58">
        <v>260</v>
      </c>
      <c r="AU75" s="58">
        <v>280</v>
      </c>
      <c r="AV75" s="58"/>
      <c r="AW75" s="58"/>
      <c r="AX75" s="58"/>
      <c r="AY75" s="58">
        <v>300</v>
      </c>
      <c r="AZ75" s="58"/>
      <c r="BA75" s="58"/>
      <c r="BB75" s="58"/>
      <c r="BC75" s="58"/>
      <c r="BD75" s="58">
        <v>300</v>
      </c>
      <c r="BE75" s="58"/>
      <c r="BF75" s="58"/>
      <c r="BG75" s="58"/>
      <c r="BH75" s="58"/>
    </row>
    <row r="76" spans="2:60" hidden="1" x14ac:dyDescent="0.2">
      <c r="B76" s="59"/>
      <c r="C76" s="59" t="s">
        <v>663</v>
      </c>
      <c r="D76" s="59" t="s">
        <v>652</v>
      </c>
      <c r="E76" s="60">
        <v>260</v>
      </c>
      <c r="F76" s="60">
        <v>270</v>
      </c>
      <c r="G76" s="60">
        <v>280</v>
      </c>
      <c r="H76" s="60">
        <v>280</v>
      </c>
      <c r="I76" s="60">
        <v>275</v>
      </c>
      <c r="J76" s="60">
        <v>265</v>
      </c>
      <c r="K76" s="60">
        <v>285</v>
      </c>
      <c r="L76" s="60">
        <v>270</v>
      </c>
      <c r="M76" s="60">
        <v>270</v>
      </c>
      <c r="N76" s="60">
        <v>255</v>
      </c>
      <c r="O76" s="60">
        <v>250</v>
      </c>
      <c r="P76" s="60">
        <v>250</v>
      </c>
      <c r="Q76" s="60">
        <v>250</v>
      </c>
      <c r="R76" s="60">
        <v>280</v>
      </c>
      <c r="S76" s="60">
        <v>230</v>
      </c>
      <c r="T76" s="60">
        <v>240</v>
      </c>
      <c r="U76" s="60">
        <v>240</v>
      </c>
      <c r="V76" s="60">
        <v>230</v>
      </c>
      <c r="W76" s="60">
        <v>210</v>
      </c>
      <c r="X76" s="60">
        <v>250</v>
      </c>
      <c r="Y76" s="60">
        <v>240</v>
      </c>
      <c r="Z76" s="60">
        <v>240</v>
      </c>
      <c r="AA76" s="60">
        <v>250</v>
      </c>
      <c r="AB76" s="60">
        <v>240</v>
      </c>
      <c r="AC76" s="60">
        <v>270</v>
      </c>
      <c r="AD76" s="60">
        <v>250</v>
      </c>
      <c r="AE76" s="60">
        <v>225</v>
      </c>
      <c r="AF76" s="60">
        <v>260</v>
      </c>
      <c r="AG76" s="60">
        <v>280</v>
      </c>
      <c r="AH76" s="60">
        <v>250</v>
      </c>
      <c r="AI76" s="60">
        <v>250</v>
      </c>
      <c r="AJ76" s="60">
        <v>260</v>
      </c>
      <c r="AK76" s="60">
        <v>290</v>
      </c>
      <c r="AL76" s="60">
        <v>240</v>
      </c>
      <c r="AM76" s="60">
        <v>250</v>
      </c>
      <c r="AN76" s="60">
        <v>280</v>
      </c>
      <c r="AO76" s="60">
        <v>280</v>
      </c>
      <c r="AP76" s="60">
        <v>300</v>
      </c>
      <c r="AQ76" s="60">
        <v>275</v>
      </c>
      <c r="AR76" s="60">
        <v>350</v>
      </c>
      <c r="AS76" s="60">
        <v>320</v>
      </c>
      <c r="AT76" s="60">
        <v>300</v>
      </c>
      <c r="AU76" s="60">
        <v>340</v>
      </c>
      <c r="AV76" s="60">
        <v>320</v>
      </c>
      <c r="AW76" s="60">
        <v>310</v>
      </c>
      <c r="AX76" s="60">
        <v>330</v>
      </c>
      <c r="AY76" s="60">
        <v>370</v>
      </c>
      <c r="AZ76" s="60">
        <v>370</v>
      </c>
      <c r="BA76" s="60">
        <v>380</v>
      </c>
      <c r="BB76" s="60">
        <v>385</v>
      </c>
      <c r="BC76" s="60">
        <v>370</v>
      </c>
      <c r="BD76" s="60">
        <v>390</v>
      </c>
      <c r="BE76" s="60">
        <v>375</v>
      </c>
      <c r="BF76" s="60">
        <v>395</v>
      </c>
      <c r="BG76" s="60">
        <v>420</v>
      </c>
      <c r="BH76" s="60">
        <v>400</v>
      </c>
    </row>
    <row r="77" spans="2:60" hidden="1" x14ac:dyDescent="0.2">
      <c r="B77" s="57"/>
      <c r="C77" s="57" t="s">
        <v>663</v>
      </c>
      <c r="D77" s="57" t="s">
        <v>653</v>
      </c>
      <c r="E77" s="58">
        <v>310</v>
      </c>
      <c r="F77" s="58">
        <v>330</v>
      </c>
      <c r="G77" s="58">
        <v>315</v>
      </c>
      <c r="H77" s="58">
        <v>350</v>
      </c>
      <c r="I77" s="58">
        <v>320</v>
      </c>
      <c r="J77" s="58">
        <v>330</v>
      </c>
      <c r="K77" s="58">
        <v>360</v>
      </c>
      <c r="L77" s="58">
        <v>330</v>
      </c>
      <c r="M77" s="58">
        <v>330</v>
      </c>
      <c r="N77" s="58">
        <v>330</v>
      </c>
      <c r="O77" s="58">
        <v>300</v>
      </c>
      <c r="P77" s="58">
        <v>330</v>
      </c>
      <c r="Q77" s="58">
        <v>310</v>
      </c>
      <c r="R77" s="58">
        <v>290</v>
      </c>
      <c r="S77" s="58">
        <v>320</v>
      </c>
      <c r="T77" s="58">
        <v>290</v>
      </c>
      <c r="U77" s="58">
        <v>300</v>
      </c>
      <c r="V77" s="58">
        <v>330</v>
      </c>
      <c r="W77" s="58"/>
      <c r="X77" s="58">
        <v>280</v>
      </c>
      <c r="Y77" s="58">
        <v>300</v>
      </c>
      <c r="Z77" s="58">
        <v>350</v>
      </c>
      <c r="AA77" s="58">
        <v>340</v>
      </c>
      <c r="AB77" s="58">
        <v>375</v>
      </c>
      <c r="AC77" s="58">
        <v>350</v>
      </c>
      <c r="AD77" s="58">
        <v>350</v>
      </c>
      <c r="AE77" s="58">
        <v>350</v>
      </c>
      <c r="AF77" s="58">
        <v>330</v>
      </c>
      <c r="AG77" s="58">
        <v>300</v>
      </c>
      <c r="AH77" s="58">
        <v>340</v>
      </c>
      <c r="AI77" s="58">
        <v>330</v>
      </c>
      <c r="AJ77" s="58">
        <v>330</v>
      </c>
      <c r="AK77" s="58">
        <v>340</v>
      </c>
      <c r="AL77" s="58">
        <v>290</v>
      </c>
      <c r="AM77" s="58">
        <v>350</v>
      </c>
      <c r="AN77" s="58">
        <v>380</v>
      </c>
      <c r="AO77" s="58">
        <v>380</v>
      </c>
      <c r="AP77" s="58">
        <v>355</v>
      </c>
      <c r="AQ77" s="58">
        <v>390</v>
      </c>
      <c r="AR77" s="58">
        <v>330</v>
      </c>
      <c r="AS77" s="58">
        <v>375</v>
      </c>
      <c r="AT77" s="58">
        <v>400</v>
      </c>
      <c r="AU77" s="58">
        <v>400</v>
      </c>
      <c r="AV77" s="58">
        <v>400</v>
      </c>
      <c r="AW77" s="58">
        <v>400</v>
      </c>
      <c r="AX77" s="58">
        <v>380</v>
      </c>
      <c r="AY77" s="58"/>
      <c r="AZ77" s="58">
        <v>400</v>
      </c>
      <c r="BA77" s="58">
        <v>365</v>
      </c>
      <c r="BB77" s="58">
        <v>450</v>
      </c>
      <c r="BC77" s="58">
        <v>485</v>
      </c>
      <c r="BD77" s="58">
        <v>470</v>
      </c>
      <c r="BE77" s="58"/>
      <c r="BF77" s="58">
        <v>480</v>
      </c>
      <c r="BG77" s="58">
        <v>500</v>
      </c>
      <c r="BH77" s="58">
        <v>460</v>
      </c>
    </row>
    <row r="78" spans="2:60" hidden="1" x14ac:dyDescent="0.2">
      <c r="B78" s="59"/>
      <c r="C78" s="59" t="s">
        <v>663</v>
      </c>
      <c r="D78" s="59" t="s">
        <v>654</v>
      </c>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row>
    <row r="79" spans="2:60" hidden="1" x14ac:dyDescent="0.2">
      <c r="B79" s="57"/>
      <c r="C79" s="57" t="s">
        <v>663</v>
      </c>
      <c r="D79" s="57" t="s">
        <v>655</v>
      </c>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row>
    <row r="80" spans="2:60" hidden="1" x14ac:dyDescent="0.2">
      <c r="B80" s="59"/>
      <c r="C80" s="59" t="s">
        <v>663</v>
      </c>
      <c r="D80" s="59" t="s">
        <v>656</v>
      </c>
      <c r="E80" s="60">
        <v>250</v>
      </c>
      <c r="F80" s="60">
        <v>260</v>
      </c>
      <c r="G80" s="60">
        <v>265</v>
      </c>
      <c r="H80" s="60">
        <v>270</v>
      </c>
      <c r="I80" s="60">
        <v>260</v>
      </c>
      <c r="J80" s="60">
        <v>250</v>
      </c>
      <c r="K80" s="60">
        <v>280</v>
      </c>
      <c r="L80" s="60">
        <v>260</v>
      </c>
      <c r="M80" s="60">
        <v>260</v>
      </c>
      <c r="N80" s="60">
        <v>250</v>
      </c>
      <c r="O80" s="60">
        <v>240</v>
      </c>
      <c r="P80" s="60">
        <v>270</v>
      </c>
      <c r="Q80" s="60">
        <v>250</v>
      </c>
      <c r="R80" s="60">
        <v>250</v>
      </c>
      <c r="S80" s="60">
        <v>235</v>
      </c>
      <c r="T80" s="60">
        <v>240</v>
      </c>
      <c r="U80" s="60">
        <v>230</v>
      </c>
      <c r="V80" s="60">
        <v>230</v>
      </c>
      <c r="W80" s="60">
        <v>220</v>
      </c>
      <c r="X80" s="60">
        <v>230</v>
      </c>
      <c r="Y80" s="60">
        <v>250</v>
      </c>
      <c r="Z80" s="60">
        <v>230</v>
      </c>
      <c r="AA80" s="60">
        <v>250</v>
      </c>
      <c r="AB80" s="60">
        <v>230</v>
      </c>
      <c r="AC80" s="60">
        <v>240</v>
      </c>
      <c r="AD80" s="60">
        <v>250</v>
      </c>
      <c r="AE80" s="60">
        <v>250</v>
      </c>
      <c r="AF80" s="60">
        <v>250</v>
      </c>
      <c r="AG80" s="60">
        <v>250</v>
      </c>
      <c r="AH80" s="60">
        <v>250</v>
      </c>
      <c r="AI80" s="60">
        <v>260</v>
      </c>
      <c r="AJ80" s="60">
        <v>240</v>
      </c>
      <c r="AK80" s="60">
        <v>275</v>
      </c>
      <c r="AL80" s="60">
        <v>240</v>
      </c>
      <c r="AM80" s="60">
        <v>250</v>
      </c>
      <c r="AN80" s="60">
        <v>265</v>
      </c>
      <c r="AO80" s="60">
        <v>260</v>
      </c>
      <c r="AP80" s="60">
        <v>280</v>
      </c>
      <c r="AQ80" s="60">
        <v>255</v>
      </c>
      <c r="AR80" s="60">
        <v>275</v>
      </c>
      <c r="AS80" s="60">
        <v>300</v>
      </c>
      <c r="AT80" s="60">
        <v>300</v>
      </c>
      <c r="AU80" s="60">
        <v>300</v>
      </c>
      <c r="AV80" s="60">
        <v>320</v>
      </c>
      <c r="AW80" s="60">
        <v>320</v>
      </c>
      <c r="AX80" s="60">
        <v>300</v>
      </c>
      <c r="AY80" s="60">
        <v>325</v>
      </c>
      <c r="AZ80" s="60">
        <v>330</v>
      </c>
      <c r="BA80" s="60">
        <v>340</v>
      </c>
      <c r="BB80" s="60">
        <v>370</v>
      </c>
      <c r="BC80" s="60">
        <v>350</v>
      </c>
      <c r="BD80" s="60">
        <v>370</v>
      </c>
      <c r="BE80" s="60">
        <v>375</v>
      </c>
      <c r="BF80" s="60">
        <v>390</v>
      </c>
      <c r="BG80" s="60">
        <v>400</v>
      </c>
      <c r="BH80" s="60">
        <v>400</v>
      </c>
    </row>
    <row r="81" spans="2:60" hidden="1" x14ac:dyDescent="0.2">
      <c r="B81" s="57"/>
      <c r="C81" s="57" t="s">
        <v>664</v>
      </c>
      <c r="D81" s="57" t="s">
        <v>648</v>
      </c>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row>
    <row r="82" spans="2:60" hidden="1" x14ac:dyDescent="0.2">
      <c r="B82" s="59"/>
      <c r="C82" s="59" t="s">
        <v>664</v>
      </c>
      <c r="D82" s="59" t="s">
        <v>649</v>
      </c>
      <c r="E82" s="60"/>
      <c r="F82" s="60">
        <v>275</v>
      </c>
      <c r="G82" s="60"/>
      <c r="H82" s="60"/>
      <c r="I82" s="60"/>
      <c r="J82" s="60"/>
      <c r="K82" s="60"/>
      <c r="L82" s="60"/>
      <c r="M82" s="60"/>
      <c r="N82" s="60"/>
      <c r="O82" s="60"/>
      <c r="P82" s="60"/>
      <c r="Q82" s="60"/>
      <c r="R82" s="60"/>
      <c r="S82" s="60"/>
      <c r="T82" s="60"/>
      <c r="U82" s="60"/>
      <c r="V82" s="60">
        <v>250</v>
      </c>
      <c r="W82" s="60"/>
      <c r="X82" s="60"/>
      <c r="Y82" s="60"/>
      <c r="Z82" s="60"/>
      <c r="AA82" s="60"/>
      <c r="AB82" s="60">
        <v>250</v>
      </c>
      <c r="AC82" s="60"/>
      <c r="AD82" s="60"/>
      <c r="AE82" s="60">
        <v>250</v>
      </c>
      <c r="AF82" s="60"/>
      <c r="AG82" s="60"/>
      <c r="AH82" s="60"/>
      <c r="AI82" s="60">
        <v>185</v>
      </c>
      <c r="AJ82" s="60">
        <v>275</v>
      </c>
      <c r="AK82" s="60"/>
      <c r="AL82" s="60"/>
      <c r="AM82" s="60"/>
      <c r="AN82" s="60"/>
      <c r="AO82" s="60"/>
      <c r="AP82" s="60"/>
      <c r="AQ82" s="60">
        <v>250</v>
      </c>
      <c r="AR82" s="60">
        <v>280</v>
      </c>
      <c r="AS82" s="60"/>
      <c r="AT82" s="60"/>
      <c r="AU82" s="60"/>
      <c r="AV82" s="60"/>
      <c r="AW82" s="60"/>
      <c r="AX82" s="60"/>
      <c r="AY82" s="60"/>
      <c r="AZ82" s="60">
        <v>305</v>
      </c>
      <c r="BA82" s="60"/>
      <c r="BB82" s="60"/>
      <c r="BC82" s="60"/>
      <c r="BD82" s="60"/>
      <c r="BE82" s="60"/>
      <c r="BF82" s="60"/>
      <c r="BG82" s="60"/>
      <c r="BH82" s="60"/>
    </row>
    <row r="83" spans="2:60" hidden="1" x14ac:dyDescent="0.2">
      <c r="B83" s="57"/>
      <c r="C83" s="57" t="s">
        <v>664</v>
      </c>
      <c r="D83" s="57" t="s">
        <v>650</v>
      </c>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row>
    <row r="84" spans="2:60" hidden="1" x14ac:dyDescent="0.2">
      <c r="B84" s="59"/>
      <c r="C84" s="59" t="s">
        <v>664</v>
      </c>
      <c r="D84" s="59" t="s">
        <v>651</v>
      </c>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row>
    <row r="85" spans="2:60" hidden="1" x14ac:dyDescent="0.2">
      <c r="B85" s="57"/>
      <c r="C85" s="57" t="s">
        <v>664</v>
      </c>
      <c r="D85" s="57" t="s">
        <v>652</v>
      </c>
      <c r="E85" s="58">
        <v>400</v>
      </c>
      <c r="F85" s="58"/>
      <c r="G85" s="58">
        <v>420</v>
      </c>
      <c r="H85" s="58">
        <v>400</v>
      </c>
      <c r="I85" s="58">
        <v>450</v>
      </c>
      <c r="J85" s="58">
        <v>450</v>
      </c>
      <c r="K85" s="58">
        <v>420</v>
      </c>
      <c r="L85" s="58">
        <v>400</v>
      </c>
      <c r="M85" s="58">
        <v>375</v>
      </c>
      <c r="N85" s="58">
        <v>375</v>
      </c>
      <c r="O85" s="58">
        <v>360</v>
      </c>
      <c r="P85" s="58">
        <v>360</v>
      </c>
      <c r="Q85" s="58">
        <v>350</v>
      </c>
      <c r="R85" s="58">
        <v>300</v>
      </c>
      <c r="S85" s="58">
        <v>335</v>
      </c>
      <c r="T85" s="58">
        <v>300</v>
      </c>
      <c r="U85" s="58"/>
      <c r="V85" s="58">
        <v>260</v>
      </c>
      <c r="W85" s="58"/>
      <c r="X85" s="58">
        <v>290</v>
      </c>
      <c r="Y85" s="58">
        <v>300</v>
      </c>
      <c r="Z85" s="58">
        <v>250</v>
      </c>
      <c r="AA85" s="58">
        <v>250</v>
      </c>
      <c r="AB85" s="58">
        <v>300</v>
      </c>
      <c r="AC85" s="58">
        <v>300</v>
      </c>
      <c r="AD85" s="58"/>
      <c r="AE85" s="58">
        <v>300</v>
      </c>
      <c r="AF85" s="58">
        <v>300</v>
      </c>
      <c r="AG85" s="58">
        <v>320</v>
      </c>
      <c r="AH85" s="58">
        <v>290</v>
      </c>
      <c r="AI85" s="58">
        <v>270</v>
      </c>
      <c r="AJ85" s="58">
        <v>320</v>
      </c>
      <c r="AK85" s="58">
        <v>300</v>
      </c>
      <c r="AL85" s="58">
        <v>330</v>
      </c>
      <c r="AM85" s="58">
        <v>300</v>
      </c>
      <c r="AN85" s="58">
        <v>300</v>
      </c>
      <c r="AO85" s="58">
        <v>310</v>
      </c>
      <c r="AP85" s="58">
        <v>310</v>
      </c>
      <c r="AQ85" s="58"/>
      <c r="AR85" s="58">
        <v>300</v>
      </c>
      <c r="AS85" s="58">
        <v>300</v>
      </c>
      <c r="AT85" s="58">
        <v>325</v>
      </c>
      <c r="AU85" s="58">
        <v>330</v>
      </c>
      <c r="AV85" s="58">
        <v>325</v>
      </c>
      <c r="AW85" s="58">
        <v>350</v>
      </c>
      <c r="AX85" s="58">
        <v>390</v>
      </c>
      <c r="AY85" s="58">
        <v>375</v>
      </c>
      <c r="AZ85" s="58">
        <v>360</v>
      </c>
      <c r="BA85" s="58">
        <v>360</v>
      </c>
      <c r="BB85" s="58">
        <v>380</v>
      </c>
      <c r="BC85" s="58"/>
      <c r="BD85" s="58">
        <v>400</v>
      </c>
      <c r="BE85" s="58">
        <v>400</v>
      </c>
      <c r="BF85" s="58"/>
      <c r="BG85" s="58"/>
      <c r="BH85" s="58"/>
    </row>
    <row r="86" spans="2:60" hidden="1" x14ac:dyDescent="0.2">
      <c r="B86" s="59"/>
      <c r="C86" s="59" t="s">
        <v>664</v>
      </c>
      <c r="D86" s="59" t="s">
        <v>653</v>
      </c>
      <c r="E86" s="60"/>
      <c r="F86" s="60"/>
      <c r="G86" s="60"/>
      <c r="H86" s="60"/>
      <c r="I86" s="60"/>
      <c r="J86" s="60"/>
      <c r="K86" s="60">
        <v>650</v>
      </c>
      <c r="L86" s="60"/>
      <c r="M86" s="60">
        <v>500</v>
      </c>
      <c r="N86" s="60"/>
      <c r="O86" s="60"/>
      <c r="P86" s="60"/>
      <c r="Q86" s="60">
        <v>450</v>
      </c>
      <c r="R86" s="60">
        <v>450</v>
      </c>
      <c r="S86" s="60">
        <v>350</v>
      </c>
      <c r="T86" s="60">
        <v>400</v>
      </c>
      <c r="U86" s="60"/>
      <c r="V86" s="60">
        <v>400</v>
      </c>
      <c r="W86" s="60"/>
      <c r="X86" s="60"/>
      <c r="Y86" s="60">
        <v>400</v>
      </c>
      <c r="Z86" s="60"/>
      <c r="AA86" s="60"/>
      <c r="AB86" s="60"/>
      <c r="AC86" s="60"/>
      <c r="AD86" s="60"/>
      <c r="AE86" s="60"/>
      <c r="AF86" s="60">
        <v>400</v>
      </c>
      <c r="AG86" s="60"/>
      <c r="AH86" s="60">
        <v>400</v>
      </c>
      <c r="AI86" s="60"/>
      <c r="AJ86" s="60"/>
      <c r="AK86" s="60"/>
      <c r="AL86" s="60">
        <v>400</v>
      </c>
      <c r="AM86" s="60"/>
      <c r="AN86" s="60"/>
      <c r="AO86" s="60"/>
      <c r="AP86" s="60"/>
      <c r="AQ86" s="60"/>
      <c r="AR86" s="60"/>
      <c r="AS86" s="60"/>
      <c r="AT86" s="60"/>
      <c r="AU86" s="60"/>
      <c r="AV86" s="60"/>
      <c r="AW86" s="60"/>
      <c r="AX86" s="60"/>
      <c r="AY86" s="60"/>
      <c r="AZ86" s="60"/>
      <c r="BA86" s="60"/>
      <c r="BB86" s="60"/>
      <c r="BC86" s="60"/>
      <c r="BD86" s="60"/>
      <c r="BE86" s="60"/>
      <c r="BF86" s="60"/>
      <c r="BG86" s="60"/>
      <c r="BH86" s="60"/>
    </row>
    <row r="87" spans="2:60" hidden="1" x14ac:dyDescent="0.2">
      <c r="B87" s="57"/>
      <c r="C87" s="57" t="s">
        <v>664</v>
      </c>
      <c r="D87" s="57" t="s">
        <v>654</v>
      </c>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row>
    <row r="88" spans="2:60" hidden="1" x14ac:dyDescent="0.2">
      <c r="B88" s="59"/>
      <c r="C88" s="59" t="s">
        <v>664</v>
      </c>
      <c r="D88" s="59" t="s">
        <v>655</v>
      </c>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row>
    <row r="89" spans="2:60" hidden="1" x14ac:dyDescent="0.2">
      <c r="B89" s="57"/>
      <c r="C89" s="57" t="s">
        <v>664</v>
      </c>
      <c r="D89" s="57" t="s">
        <v>656</v>
      </c>
      <c r="E89" s="58">
        <v>350</v>
      </c>
      <c r="F89" s="58">
        <v>375</v>
      </c>
      <c r="G89" s="58">
        <v>370</v>
      </c>
      <c r="H89" s="58">
        <v>410</v>
      </c>
      <c r="I89" s="58">
        <v>450</v>
      </c>
      <c r="J89" s="58">
        <v>450</v>
      </c>
      <c r="K89" s="58">
        <v>450</v>
      </c>
      <c r="L89" s="58">
        <v>400</v>
      </c>
      <c r="M89" s="58">
        <v>425</v>
      </c>
      <c r="N89" s="58">
        <v>375</v>
      </c>
      <c r="O89" s="58">
        <v>330</v>
      </c>
      <c r="P89" s="58">
        <v>400</v>
      </c>
      <c r="Q89" s="58">
        <v>350</v>
      </c>
      <c r="R89" s="58">
        <v>350</v>
      </c>
      <c r="S89" s="58">
        <v>300</v>
      </c>
      <c r="T89" s="58">
        <v>300</v>
      </c>
      <c r="U89" s="58">
        <v>300</v>
      </c>
      <c r="V89" s="58">
        <v>290</v>
      </c>
      <c r="W89" s="58">
        <v>280</v>
      </c>
      <c r="X89" s="58">
        <v>260</v>
      </c>
      <c r="Y89" s="58">
        <v>300</v>
      </c>
      <c r="Z89" s="58">
        <v>260</v>
      </c>
      <c r="AA89" s="58">
        <v>260</v>
      </c>
      <c r="AB89" s="58">
        <v>275</v>
      </c>
      <c r="AC89" s="58">
        <v>300</v>
      </c>
      <c r="AD89" s="58">
        <v>250</v>
      </c>
      <c r="AE89" s="58">
        <v>250</v>
      </c>
      <c r="AF89" s="58">
        <v>300</v>
      </c>
      <c r="AG89" s="58">
        <v>300</v>
      </c>
      <c r="AH89" s="58">
        <v>280</v>
      </c>
      <c r="AI89" s="58">
        <v>250</v>
      </c>
      <c r="AJ89" s="58">
        <v>300</v>
      </c>
      <c r="AK89" s="58">
        <v>300</v>
      </c>
      <c r="AL89" s="58">
        <v>330</v>
      </c>
      <c r="AM89" s="58">
        <v>320</v>
      </c>
      <c r="AN89" s="58">
        <v>325</v>
      </c>
      <c r="AO89" s="58">
        <v>300</v>
      </c>
      <c r="AP89" s="58">
        <v>300</v>
      </c>
      <c r="AQ89" s="58">
        <v>250</v>
      </c>
      <c r="AR89" s="58">
        <v>300</v>
      </c>
      <c r="AS89" s="58">
        <v>300</v>
      </c>
      <c r="AT89" s="58">
        <v>290</v>
      </c>
      <c r="AU89" s="58">
        <v>315</v>
      </c>
      <c r="AV89" s="58">
        <v>330</v>
      </c>
      <c r="AW89" s="58">
        <v>330</v>
      </c>
      <c r="AX89" s="58">
        <v>350</v>
      </c>
      <c r="AY89" s="58">
        <v>370</v>
      </c>
      <c r="AZ89" s="58">
        <v>310</v>
      </c>
      <c r="BA89" s="58">
        <v>350</v>
      </c>
      <c r="BB89" s="58">
        <v>350</v>
      </c>
      <c r="BC89" s="58">
        <v>350</v>
      </c>
      <c r="BD89" s="58">
        <v>400</v>
      </c>
      <c r="BE89" s="58">
        <v>350</v>
      </c>
      <c r="BF89" s="58">
        <v>340</v>
      </c>
      <c r="BG89" s="58">
        <v>360</v>
      </c>
      <c r="BH89" s="58">
        <v>330</v>
      </c>
    </row>
    <row r="90" spans="2:60" hidden="1" x14ac:dyDescent="0.2">
      <c r="B90" s="59"/>
      <c r="C90" s="59" t="s">
        <v>665</v>
      </c>
      <c r="D90" s="59" t="s">
        <v>648</v>
      </c>
      <c r="E90" s="60"/>
      <c r="F90" s="60"/>
      <c r="G90" s="60"/>
      <c r="H90" s="60"/>
      <c r="I90" s="60"/>
      <c r="J90" s="60"/>
      <c r="K90" s="60"/>
      <c r="L90" s="60"/>
      <c r="M90" s="60"/>
      <c r="N90" s="60"/>
      <c r="O90" s="60"/>
      <c r="P90" s="60"/>
      <c r="Q90" s="60">
        <v>160</v>
      </c>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row>
    <row r="91" spans="2:60" hidden="1" x14ac:dyDescent="0.2">
      <c r="B91" s="57"/>
      <c r="C91" s="57" t="s">
        <v>665</v>
      </c>
      <c r="D91" s="57" t="s">
        <v>649</v>
      </c>
      <c r="E91" s="58">
        <v>240</v>
      </c>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row>
    <row r="92" spans="2:60" hidden="1" x14ac:dyDescent="0.2">
      <c r="B92" s="59"/>
      <c r="C92" s="59" t="s">
        <v>665</v>
      </c>
      <c r="D92" s="59" t="s">
        <v>650</v>
      </c>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row>
    <row r="93" spans="2:60" hidden="1" x14ac:dyDescent="0.2">
      <c r="B93" s="57"/>
      <c r="C93" s="57" t="s">
        <v>665</v>
      </c>
      <c r="D93" s="57" t="s">
        <v>651</v>
      </c>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row>
    <row r="94" spans="2:60" hidden="1" x14ac:dyDescent="0.2">
      <c r="B94" s="59"/>
      <c r="C94" s="59" t="s">
        <v>665</v>
      </c>
      <c r="D94" s="59" t="s">
        <v>652</v>
      </c>
      <c r="E94" s="60">
        <v>300</v>
      </c>
      <c r="F94" s="60">
        <v>300</v>
      </c>
      <c r="G94" s="60">
        <v>300</v>
      </c>
      <c r="H94" s="60">
        <v>280</v>
      </c>
      <c r="I94" s="60">
        <v>300</v>
      </c>
      <c r="J94" s="60">
        <v>300</v>
      </c>
      <c r="K94" s="60">
        <v>280</v>
      </c>
      <c r="L94" s="60"/>
      <c r="M94" s="60">
        <v>300</v>
      </c>
      <c r="N94" s="60"/>
      <c r="O94" s="60">
        <v>300</v>
      </c>
      <c r="P94" s="60">
        <v>330</v>
      </c>
      <c r="Q94" s="60"/>
      <c r="R94" s="60">
        <v>300</v>
      </c>
      <c r="S94" s="60"/>
      <c r="T94" s="60"/>
      <c r="U94" s="60"/>
      <c r="V94" s="60">
        <v>320</v>
      </c>
      <c r="W94" s="60"/>
      <c r="X94" s="60"/>
      <c r="Y94" s="60"/>
      <c r="Z94" s="60"/>
      <c r="AA94" s="60">
        <v>310</v>
      </c>
      <c r="AB94" s="60"/>
      <c r="AC94" s="60">
        <v>350</v>
      </c>
      <c r="AD94" s="60">
        <v>350</v>
      </c>
      <c r="AE94" s="60"/>
      <c r="AF94" s="60">
        <v>325</v>
      </c>
      <c r="AG94" s="60"/>
      <c r="AH94" s="60"/>
      <c r="AI94" s="60"/>
      <c r="AJ94" s="60"/>
      <c r="AK94" s="60">
        <v>360</v>
      </c>
      <c r="AL94" s="60"/>
      <c r="AM94" s="60"/>
      <c r="AN94" s="60"/>
      <c r="AO94" s="60"/>
      <c r="AP94" s="60"/>
      <c r="AQ94" s="60"/>
      <c r="AR94" s="60"/>
      <c r="AS94" s="60"/>
      <c r="AT94" s="60">
        <v>350</v>
      </c>
      <c r="AU94" s="60"/>
      <c r="AV94" s="60"/>
      <c r="AW94" s="60"/>
      <c r="AX94" s="60"/>
      <c r="AY94" s="60"/>
      <c r="AZ94" s="60"/>
      <c r="BA94" s="60"/>
      <c r="BB94" s="60"/>
      <c r="BC94" s="60"/>
      <c r="BD94" s="60"/>
      <c r="BE94" s="60"/>
      <c r="BF94" s="60"/>
      <c r="BG94" s="60"/>
      <c r="BH94" s="60"/>
    </row>
    <row r="95" spans="2:60" hidden="1" x14ac:dyDescent="0.2">
      <c r="B95" s="57"/>
      <c r="C95" s="57" t="s">
        <v>665</v>
      </c>
      <c r="D95" s="57" t="s">
        <v>653</v>
      </c>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row>
    <row r="96" spans="2:60" hidden="1" x14ac:dyDescent="0.2">
      <c r="B96" s="59"/>
      <c r="C96" s="59" t="s">
        <v>665</v>
      </c>
      <c r="D96" s="59" t="s">
        <v>654</v>
      </c>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row>
    <row r="97" spans="2:60" hidden="1" x14ac:dyDescent="0.2">
      <c r="B97" s="57"/>
      <c r="C97" s="57" t="s">
        <v>665</v>
      </c>
      <c r="D97" s="57" t="s">
        <v>655</v>
      </c>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row>
    <row r="98" spans="2:60" hidden="1" x14ac:dyDescent="0.2">
      <c r="B98" s="59"/>
      <c r="C98" s="59" t="s">
        <v>665</v>
      </c>
      <c r="D98" s="59" t="s">
        <v>656</v>
      </c>
      <c r="E98" s="60">
        <v>250</v>
      </c>
      <c r="F98" s="60">
        <v>250</v>
      </c>
      <c r="G98" s="60">
        <v>280</v>
      </c>
      <c r="H98" s="60">
        <v>260</v>
      </c>
      <c r="I98" s="60">
        <v>280</v>
      </c>
      <c r="J98" s="60">
        <v>250</v>
      </c>
      <c r="K98" s="60">
        <v>250</v>
      </c>
      <c r="L98" s="60">
        <v>280</v>
      </c>
      <c r="M98" s="60">
        <v>280</v>
      </c>
      <c r="N98" s="60">
        <v>280</v>
      </c>
      <c r="O98" s="60">
        <v>300</v>
      </c>
      <c r="P98" s="60">
        <v>300</v>
      </c>
      <c r="Q98" s="60">
        <v>260</v>
      </c>
      <c r="R98" s="60">
        <v>290</v>
      </c>
      <c r="S98" s="60">
        <v>270</v>
      </c>
      <c r="T98" s="60">
        <v>270</v>
      </c>
      <c r="U98" s="60">
        <v>290</v>
      </c>
      <c r="V98" s="60">
        <v>265</v>
      </c>
      <c r="W98" s="60"/>
      <c r="X98" s="60">
        <v>145</v>
      </c>
      <c r="Y98" s="60">
        <v>290</v>
      </c>
      <c r="Z98" s="60">
        <v>275</v>
      </c>
      <c r="AA98" s="60">
        <v>290</v>
      </c>
      <c r="AB98" s="60">
        <v>290</v>
      </c>
      <c r="AC98" s="60">
        <v>300</v>
      </c>
      <c r="AD98" s="60">
        <v>275</v>
      </c>
      <c r="AE98" s="60">
        <v>280</v>
      </c>
      <c r="AF98" s="60">
        <v>310</v>
      </c>
      <c r="AG98" s="60">
        <v>300</v>
      </c>
      <c r="AH98" s="60">
        <v>250</v>
      </c>
      <c r="AI98" s="60">
        <v>250</v>
      </c>
      <c r="AJ98" s="60">
        <v>301</v>
      </c>
      <c r="AK98" s="60">
        <v>310</v>
      </c>
      <c r="AL98" s="60">
        <v>325</v>
      </c>
      <c r="AM98" s="60">
        <v>320</v>
      </c>
      <c r="AN98" s="60">
        <v>350</v>
      </c>
      <c r="AO98" s="60">
        <v>330</v>
      </c>
      <c r="AP98" s="60">
        <v>320</v>
      </c>
      <c r="AQ98" s="60">
        <v>300</v>
      </c>
      <c r="AR98" s="60">
        <v>320</v>
      </c>
      <c r="AS98" s="60">
        <v>340</v>
      </c>
      <c r="AT98" s="60">
        <v>350</v>
      </c>
      <c r="AU98" s="60">
        <v>400</v>
      </c>
      <c r="AV98" s="60">
        <v>380</v>
      </c>
      <c r="AW98" s="60">
        <v>375</v>
      </c>
      <c r="AX98" s="60">
        <v>155</v>
      </c>
      <c r="AY98" s="60">
        <v>155</v>
      </c>
      <c r="AZ98" s="60">
        <v>400</v>
      </c>
      <c r="BA98" s="60">
        <v>155</v>
      </c>
      <c r="BB98" s="60">
        <v>155</v>
      </c>
      <c r="BC98" s="60">
        <v>200</v>
      </c>
      <c r="BD98" s="60"/>
      <c r="BE98" s="60">
        <v>165</v>
      </c>
      <c r="BF98" s="60">
        <v>165</v>
      </c>
      <c r="BG98" s="60">
        <v>165</v>
      </c>
      <c r="BH98" s="60">
        <v>170</v>
      </c>
    </row>
    <row r="99" spans="2:60" hidden="1" x14ac:dyDescent="0.2">
      <c r="B99" s="57"/>
      <c r="C99" s="57" t="s">
        <v>666</v>
      </c>
      <c r="D99" s="57" t="s">
        <v>648</v>
      </c>
      <c r="E99" s="58">
        <v>200</v>
      </c>
      <c r="F99" s="58">
        <v>195</v>
      </c>
      <c r="G99" s="58">
        <v>185</v>
      </c>
      <c r="H99" s="58">
        <v>200</v>
      </c>
      <c r="I99" s="58">
        <v>200</v>
      </c>
      <c r="J99" s="58">
        <v>200</v>
      </c>
      <c r="K99" s="58">
        <v>200</v>
      </c>
      <c r="L99" s="58">
        <v>200</v>
      </c>
      <c r="M99" s="58">
        <v>200</v>
      </c>
      <c r="N99" s="58">
        <v>210</v>
      </c>
      <c r="O99" s="58">
        <v>210</v>
      </c>
      <c r="P99" s="58">
        <v>205</v>
      </c>
      <c r="Q99" s="58">
        <v>210</v>
      </c>
      <c r="R99" s="58">
        <v>220</v>
      </c>
      <c r="S99" s="58">
        <v>210</v>
      </c>
      <c r="T99" s="58">
        <v>240</v>
      </c>
      <c r="U99" s="58">
        <v>190</v>
      </c>
      <c r="V99" s="58">
        <v>230</v>
      </c>
      <c r="W99" s="58"/>
      <c r="X99" s="58">
        <v>200</v>
      </c>
      <c r="Y99" s="58">
        <v>200</v>
      </c>
      <c r="Z99" s="58">
        <v>220</v>
      </c>
      <c r="AA99" s="58">
        <v>240</v>
      </c>
      <c r="AB99" s="58">
        <v>220</v>
      </c>
      <c r="AC99" s="58">
        <v>210</v>
      </c>
      <c r="AD99" s="58">
        <v>220</v>
      </c>
      <c r="AE99" s="58">
        <v>240</v>
      </c>
      <c r="AF99" s="58">
        <v>230</v>
      </c>
      <c r="AG99" s="58">
        <v>220</v>
      </c>
      <c r="AH99" s="58">
        <v>220</v>
      </c>
      <c r="AI99" s="58">
        <v>240</v>
      </c>
      <c r="AJ99" s="58">
        <v>235</v>
      </c>
      <c r="AK99" s="58">
        <v>250</v>
      </c>
      <c r="AL99" s="58">
        <v>220</v>
      </c>
      <c r="AM99" s="58">
        <v>235</v>
      </c>
      <c r="AN99" s="58">
        <v>235</v>
      </c>
      <c r="AO99" s="58">
        <v>235</v>
      </c>
      <c r="AP99" s="58">
        <v>270</v>
      </c>
      <c r="AQ99" s="58">
        <v>350</v>
      </c>
      <c r="AR99" s="58">
        <v>280</v>
      </c>
      <c r="AS99" s="58">
        <v>325</v>
      </c>
      <c r="AT99" s="58">
        <v>320</v>
      </c>
      <c r="AU99" s="58">
        <v>300</v>
      </c>
      <c r="AV99" s="58">
        <v>330</v>
      </c>
      <c r="AW99" s="58">
        <v>350</v>
      </c>
      <c r="AX99" s="58">
        <v>350</v>
      </c>
      <c r="AY99" s="58">
        <v>295</v>
      </c>
      <c r="AZ99" s="58">
        <v>350</v>
      </c>
      <c r="BA99" s="58">
        <v>400</v>
      </c>
      <c r="BB99" s="58">
        <v>400</v>
      </c>
      <c r="BC99" s="58">
        <v>380</v>
      </c>
      <c r="BD99" s="58">
        <v>400</v>
      </c>
      <c r="BE99" s="58">
        <v>400</v>
      </c>
      <c r="BF99" s="58">
        <v>400</v>
      </c>
      <c r="BG99" s="58">
        <v>400</v>
      </c>
      <c r="BH99" s="58">
        <v>400</v>
      </c>
    </row>
    <row r="100" spans="2:60" hidden="1" x14ac:dyDescent="0.2">
      <c r="B100" s="59"/>
      <c r="C100" s="59" t="s">
        <v>666</v>
      </c>
      <c r="D100" s="59" t="s">
        <v>649</v>
      </c>
      <c r="E100" s="60">
        <v>250</v>
      </c>
      <c r="F100" s="60">
        <v>265</v>
      </c>
      <c r="G100" s="60">
        <v>280</v>
      </c>
      <c r="H100" s="60">
        <v>270</v>
      </c>
      <c r="I100" s="60">
        <v>260</v>
      </c>
      <c r="J100" s="60">
        <v>270</v>
      </c>
      <c r="K100" s="60">
        <v>270</v>
      </c>
      <c r="L100" s="60">
        <v>260</v>
      </c>
      <c r="M100" s="60">
        <v>275</v>
      </c>
      <c r="N100" s="60">
        <v>280</v>
      </c>
      <c r="O100" s="60">
        <v>280</v>
      </c>
      <c r="P100" s="60">
        <v>280</v>
      </c>
      <c r="Q100" s="60">
        <v>280</v>
      </c>
      <c r="R100" s="60">
        <v>295</v>
      </c>
      <c r="S100" s="60">
        <v>300</v>
      </c>
      <c r="T100" s="60">
        <v>290</v>
      </c>
      <c r="U100" s="60">
        <v>290</v>
      </c>
      <c r="V100" s="60">
        <v>290</v>
      </c>
      <c r="W100" s="60">
        <v>320</v>
      </c>
      <c r="X100" s="60">
        <v>300</v>
      </c>
      <c r="Y100" s="60">
        <v>300</v>
      </c>
      <c r="Z100" s="60">
        <v>310</v>
      </c>
      <c r="AA100" s="60">
        <v>310</v>
      </c>
      <c r="AB100" s="60">
        <v>300</v>
      </c>
      <c r="AC100" s="60">
        <v>310</v>
      </c>
      <c r="AD100" s="60">
        <v>300</v>
      </c>
      <c r="AE100" s="60">
        <v>300</v>
      </c>
      <c r="AF100" s="60">
        <v>320</v>
      </c>
      <c r="AG100" s="60">
        <v>330</v>
      </c>
      <c r="AH100" s="60">
        <v>330</v>
      </c>
      <c r="AI100" s="60">
        <v>320</v>
      </c>
      <c r="AJ100" s="60">
        <v>325</v>
      </c>
      <c r="AK100" s="60">
        <v>320</v>
      </c>
      <c r="AL100" s="60">
        <v>300</v>
      </c>
      <c r="AM100" s="60">
        <v>310</v>
      </c>
      <c r="AN100" s="60">
        <v>305</v>
      </c>
      <c r="AO100" s="60">
        <v>310</v>
      </c>
      <c r="AP100" s="60">
        <v>330</v>
      </c>
      <c r="AQ100" s="60">
        <v>365</v>
      </c>
      <c r="AR100" s="60">
        <v>350</v>
      </c>
      <c r="AS100" s="60">
        <v>380</v>
      </c>
      <c r="AT100" s="60">
        <v>390</v>
      </c>
      <c r="AU100" s="60">
        <v>420</v>
      </c>
      <c r="AV100" s="60">
        <v>450</v>
      </c>
      <c r="AW100" s="60">
        <v>450</v>
      </c>
      <c r="AX100" s="60">
        <v>500</v>
      </c>
      <c r="AY100" s="60">
        <v>520</v>
      </c>
      <c r="AZ100" s="60">
        <v>550</v>
      </c>
      <c r="BA100" s="60">
        <v>500</v>
      </c>
      <c r="BB100" s="60">
        <v>530</v>
      </c>
      <c r="BC100" s="60">
        <v>500</v>
      </c>
      <c r="BD100" s="60">
        <v>530</v>
      </c>
      <c r="BE100" s="60">
        <v>550</v>
      </c>
      <c r="BF100" s="60">
        <v>550</v>
      </c>
      <c r="BG100" s="60">
        <v>560</v>
      </c>
      <c r="BH100" s="60">
        <v>550</v>
      </c>
    </row>
    <row r="101" spans="2:60" hidden="1" x14ac:dyDescent="0.2">
      <c r="B101" s="57"/>
      <c r="C101" s="57" t="s">
        <v>666</v>
      </c>
      <c r="D101" s="57" t="s">
        <v>650</v>
      </c>
      <c r="E101" s="58">
        <v>300</v>
      </c>
      <c r="F101" s="58">
        <v>320</v>
      </c>
      <c r="G101" s="58"/>
      <c r="H101" s="58"/>
      <c r="I101" s="58">
        <v>320</v>
      </c>
      <c r="J101" s="58">
        <v>320</v>
      </c>
      <c r="K101" s="58">
        <v>360</v>
      </c>
      <c r="L101" s="58">
        <v>340</v>
      </c>
      <c r="M101" s="58">
        <v>360</v>
      </c>
      <c r="N101" s="58">
        <v>350</v>
      </c>
      <c r="O101" s="58"/>
      <c r="P101" s="58">
        <v>350</v>
      </c>
      <c r="Q101" s="58"/>
      <c r="R101" s="58">
        <v>350</v>
      </c>
      <c r="S101" s="58"/>
      <c r="T101" s="58"/>
      <c r="U101" s="58"/>
      <c r="V101" s="58"/>
      <c r="W101" s="58"/>
      <c r="X101" s="58"/>
      <c r="Y101" s="58"/>
      <c r="Z101" s="58">
        <v>390</v>
      </c>
      <c r="AA101" s="58"/>
      <c r="AB101" s="58"/>
      <c r="AC101" s="58"/>
      <c r="AD101" s="58"/>
      <c r="AE101" s="58"/>
      <c r="AF101" s="58"/>
      <c r="AG101" s="58"/>
      <c r="AH101" s="58"/>
      <c r="AI101" s="58"/>
      <c r="AJ101" s="58"/>
      <c r="AK101" s="58"/>
      <c r="AL101" s="58">
        <v>345</v>
      </c>
      <c r="AM101" s="58">
        <v>375</v>
      </c>
      <c r="AN101" s="58"/>
      <c r="AO101" s="58"/>
      <c r="AP101" s="58">
        <v>400</v>
      </c>
      <c r="AQ101" s="58"/>
      <c r="AR101" s="58"/>
      <c r="AS101" s="58"/>
      <c r="AT101" s="58"/>
      <c r="AU101" s="58"/>
      <c r="AV101" s="58"/>
      <c r="AW101" s="58"/>
      <c r="AX101" s="58"/>
      <c r="AY101" s="58"/>
      <c r="AZ101" s="58"/>
      <c r="BA101" s="58"/>
      <c r="BB101" s="58"/>
      <c r="BC101" s="58"/>
      <c r="BD101" s="58">
        <v>600</v>
      </c>
      <c r="BE101" s="58"/>
      <c r="BF101" s="58"/>
      <c r="BG101" s="58"/>
      <c r="BH101" s="58">
        <v>775</v>
      </c>
    </row>
    <row r="102" spans="2:60" hidden="1" x14ac:dyDescent="0.2">
      <c r="B102" s="59"/>
      <c r="C102" s="59" t="s">
        <v>666</v>
      </c>
      <c r="D102" s="59" t="s">
        <v>651</v>
      </c>
      <c r="E102" s="60">
        <v>220</v>
      </c>
      <c r="F102" s="60">
        <v>250</v>
      </c>
      <c r="G102" s="60">
        <v>250</v>
      </c>
      <c r="H102" s="60"/>
      <c r="I102" s="60">
        <v>270</v>
      </c>
      <c r="J102" s="60">
        <v>230</v>
      </c>
      <c r="K102" s="60"/>
      <c r="L102" s="60">
        <v>230</v>
      </c>
      <c r="M102" s="60">
        <v>230</v>
      </c>
      <c r="N102" s="60"/>
      <c r="O102" s="60"/>
      <c r="P102" s="60">
        <v>300</v>
      </c>
      <c r="Q102" s="60"/>
      <c r="R102" s="60">
        <v>280</v>
      </c>
      <c r="S102" s="60"/>
      <c r="T102" s="60"/>
      <c r="U102" s="60"/>
      <c r="V102" s="60"/>
      <c r="W102" s="60"/>
      <c r="X102" s="60"/>
      <c r="Y102" s="60"/>
      <c r="Z102" s="60"/>
      <c r="AA102" s="60"/>
      <c r="AB102" s="60"/>
      <c r="AC102" s="60"/>
      <c r="AD102" s="60"/>
      <c r="AE102" s="60"/>
      <c r="AF102" s="60"/>
      <c r="AG102" s="60"/>
      <c r="AH102" s="60"/>
      <c r="AI102" s="60"/>
      <c r="AJ102" s="60">
        <v>330</v>
      </c>
      <c r="AK102" s="60"/>
      <c r="AL102" s="60">
        <v>320</v>
      </c>
      <c r="AM102" s="60"/>
      <c r="AN102" s="60"/>
      <c r="AO102" s="60"/>
      <c r="AP102" s="60"/>
      <c r="AQ102" s="60"/>
      <c r="AR102" s="60"/>
      <c r="AS102" s="60"/>
      <c r="AT102" s="60"/>
      <c r="AU102" s="60"/>
      <c r="AV102" s="60"/>
      <c r="AW102" s="60"/>
      <c r="AX102" s="60"/>
      <c r="AY102" s="60">
        <v>390</v>
      </c>
      <c r="AZ102" s="60">
        <v>490</v>
      </c>
      <c r="BA102" s="60"/>
      <c r="BB102" s="60"/>
      <c r="BC102" s="60"/>
      <c r="BD102" s="60"/>
      <c r="BE102" s="60"/>
      <c r="BF102" s="60"/>
      <c r="BG102" s="60"/>
      <c r="BH102" s="60"/>
    </row>
    <row r="103" spans="2:60" hidden="1" x14ac:dyDescent="0.2">
      <c r="B103" s="57"/>
      <c r="C103" s="57" t="s">
        <v>666</v>
      </c>
      <c r="D103" s="57" t="s">
        <v>652</v>
      </c>
      <c r="E103" s="58">
        <v>290</v>
      </c>
      <c r="F103" s="58">
        <v>300</v>
      </c>
      <c r="G103" s="58">
        <v>275</v>
      </c>
      <c r="H103" s="58">
        <v>320</v>
      </c>
      <c r="I103" s="58">
        <v>300</v>
      </c>
      <c r="J103" s="58">
        <v>290</v>
      </c>
      <c r="K103" s="58">
        <v>330</v>
      </c>
      <c r="L103" s="58">
        <v>310</v>
      </c>
      <c r="M103" s="58">
        <v>320</v>
      </c>
      <c r="N103" s="58">
        <v>350</v>
      </c>
      <c r="O103" s="58">
        <v>320</v>
      </c>
      <c r="P103" s="58">
        <v>350</v>
      </c>
      <c r="Q103" s="58">
        <v>330</v>
      </c>
      <c r="R103" s="58">
        <v>340</v>
      </c>
      <c r="S103" s="58">
        <v>350</v>
      </c>
      <c r="T103" s="58">
        <v>350</v>
      </c>
      <c r="U103" s="58">
        <v>360</v>
      </c>
      <c r="V103" s="58">
        <v>330</v>
      </c>
      <c r="W103" s="58">
        <v>350</v>
      </c>
      <c r="X103" s="58">
        <v>380</v>
      </c>
      <c r="Y103" s="58">
        <v>390</v>
      </c>
      <c r="Z103" s="58">
        <v>350</v>
      </c>
      <c r="AA103" s="58">
        <v>350</v>
      </c>
      <c r="AB103" s="58">
        <v>370</v>
      </c>
      <c r="AC103" s="58">
        <v>400</v>
      </c>
      <c r="AD103" s="58">
        <v>390</v>
      </c>
      <c r="AE103" s="58">
        <v>400</v>
      </c>
      <c r="AF103" s="58">
        <v>380</v>
      </c>
      <c r="AG103" s="58">
        <v>390</v>
      </c>
      <c r="AH103" s="58">
        <v>360</v>
      </c>
      <c r="AI103" s="58">
        <v>385</v>
      </c>
      <c r="AJ103" s="58">
        <v>380</v>
      </c>
      <c r="AK103" s="58">
        <v>380</v>
      </c>
      <c r="AL103" s="58">
        <v>390</v>
      </c>
      <c r="AM103" s="58">
        <v>395</v>
      </c>
      <c r="AN103" s="58">
        <v>400</v>
      </c>
      <c r="AO103" s="58">
        <v>385</v>
      </c>
      <c r="AP103" s="58">
        <v>430</v>
      </c>
      <c r="AQ103" s="58">
        <v>430</v>
      </c>
      <c r="AR103" s="58">
        <v>400</v>
      </c>
      <c r="AS103" s="58">
        <v>420</v>
      </c>
      <c r="AT103" s="58">
        <v>480</v>
      </c>
      <c r="AU103" s="58">
        <v>500</v>
      </c>
      <c r="AV103" s="58">
        <v>590</v>
      </c>
      <c r="AW103" s="58">
        <v>550</v>
      </c>
      <c r="AX103" s="58">
        <v>525</v>
      </c>
      <c r="AY103" s="58">
        <v>450</v>
      </c>
      <c r="AZ103" s="58">
        <v>590</v>
      </c>
      <c r="BA103" s="58">
        <v>600</v>
      </c>
      <c r="BB103" s="58">
        <v>680</v>
      </c>
      <c r="BC103" s="58">
        <v>700</v>
      </c>
      <c r="BD103" s="58">
        <v>600</v>
      </c>
      <c r="BE103" s="58">
        <v>640</v>
      </c>
      <c r="BF103" s="58">
        <v>600</v>
      </c>
      <c r="BG103" s="58">
        <v>650</v>
      </c>
      <c r="BH103" s="58">
        <v>650</v>
      </c>
    </row>
    <row r="104" spans="2:60" hidden="1" x14ac:dyDescent="0.2">
      <c r="B104" s="59"/>
      <c r="C104" s="59" t="s">
        <v>666</v>
      </c>
      <c r="D104" s="59" t="s">
        <v>653</v>
      </c>
      <c r="E104" s="60">
        <v>370</v>
      </c>
      <c r="F104" s="60">
        <v>370</v>
      </c>
      <c r="G104" s="60">
        <v>370</v>
      </c>
      <c r="H104" s="60">
        <v>385</v>
      </c>
      <c r="I104" s="60">
        <v>350</v>
      </c>
      <c r="J104" s="60">
        <v>360</v>
      </c>
      <c r="K104" s="60">
        <v>380</v>
      </c>
      <c r="L104" s="60">
        <v>370</v>
      </c>
      <c r="M104" s="60">
        <v>450</v>
      </c>
      <c r="N104" s="60">
        <v>425</v>
      </c>
      <c r="O104" s="60">
        <v>400</v>
      </c>
      <c r="P104" s="60">
        <v>420</v>
      </c>
      <c r="Q104" s="60">
        <v>400</v>
      </c>
      <c r="R104" s="60">
        <v>430</v>
      </c>
      <c r="S104" s="60">
        <v>420</v>
      </c>
      <c r="T104" s="60">
        <v>410</v>
      </c>
      <c r="U104" s="60">
        <v>400</v>
      </c>
      <c r="V104" s="60">
        <v>420</v>
      </c>
      <c r="W104" s="60"/>
      <c r="X104" s="60">
        <v>450</v>
      </c>
      <c r="Y104" s="60">
        <v>430</v>
      </c>
      <c r="Z104" s="60">
        <v>450</v>
      </c>
      <c r="AA104" s="60">
        <v>450</v>
      </c>
      <c r="AB104" s="60">
        <v>440</v>
      </c>
      <c r="AC104" s="60">
        <v>400</v>
      </c>
      <c r="AD104" s="60">
        <v>480</v>
      </c>
      <c r="AE104" s="60">
        <v>420</v>
      </c>
      <c r="AF104" s="60">
        <v>490</v>
      </c>
      <c r="AG104" s="60">
        <v>480</v>
      </c>
      <c r="AH104" s="60">
        <v>450</v>
      </c>
      <c r="AI104" s="60">
        <v>490</v>
      </c>
      <c r="AJ104" s="60">
        <v>450</v>
      </c>
      <c r="AK104" s="60">
        <v>420</v>
      </c>
      <c r="AL104" s="60">
        <v>420</v>
      </c>
      <c r="AM104" s="60">
        <v>420</v>
      </c>
      <c r="AN104" s="60">
        <v>530</v>
      </c>
      <c r="AO104" s="60">
        <v>550</v>
      </c>
      <c r="AP104" s="60">
        <v>460</v>
      </c>
      <c r="AQ104" s="60">
        <v>500</v>
      </c>
      <c r="AR104" s="60">
        <v>550</v>
      </c>
      <c r="AS104" s="60">
        <v>465</v>
      </c>
      <c r="AT104" s="60">
        <v>600</v>
      </c>
      <c r="AU104" s="60"/>
      <c r="AV104" s="60">
        <v>675</v>
      </c>
      <c r="AW104" s="60">
        <v>650</v>
      </c>
      <c r="AX104" s="60">
        <v>630</v>
      </c>
      <c r="AY104" s="60">
        <v>700</v>
      </c>
      <c r="AZ104" s="60">
        <v>520</v>
      </c>
      <c r="BA104" s="60">
        <v>700</v>
      </c>
      <c r="BB104" s="60">
        <v>690</v>
      </c>
      <c r="BC104" s="60">
        <v>700</v>
      </c>
      <c r="BD104" s="60">
        <v>710</v>
      </c>
      <c r="BE104" s="60">
        <v>825</v>
      </c>
      <c r="BF104" s="60">
        <v>780</v>
      </c>
      <c r="BG104" s="60">
        <v>750</v>
      </c>
      <c r="BH104" s="60">
        <v>800</v>
      </c>
    </row>
    <row r="105" spans="2:60" hidden="1" x14ac:dyDescent="0.2">
      <c r="B105" s="57"/>
      <c r="C105" s="57" t="s">
        <v>666</v>
      </c>
      <c r="D105" s="57" t="s">
        <v>654</v>
      </c>
      <c r="E105" s="58">
        <v>240</v>
      </c>
      <c r="F105" s="58">
        <v>280</v>
      </c>
      <c r="G105" s="58">
        <v>280</v>
      </c>
      <c r="H105" s="58"/>
      <c r="I105" s="58">
        <v>280</v>
      </c>
      <c r="J105" s="58">
        <v>265</v>
      </c>
      <c r="K105" s="58">
        <v>280</v>
      </c>
      <c r="L105" s="58">
        <v>290</v>
      </c>
      <c r="M105" s="58">
        <v>280</v>
      </c>
      <c r="N105" s="58">
        <v>290</v>
      </c>
      <c r="O105" s="58">
        <v>300</v>
      </c>
      <c r="P105" s="58">
        <v>300</v>
      </c>
      <c r="Q105" s="58">
        <v>300</v>
      </c>
      <c r="R105" s="58">
        <v>320</v>
      </c>
      <c r="S105" s="58">
        <v>310</v>
      </c>
      <c r="T105" s="58">
        <v>320</v>
      </c>
      <c r="U105" s="58">
        <v>300</v>
      </c>
      <c r="V105" s="58">
        <v>330</v>
      </c>
      <c r="W105" s="58"/>
      <c r="X105" s="58">
        <v>335</v>
      </c>
      <c r="Y105" s="58"/>
      <c r="Z105" s="58">
        <v>330</v>
      </c>
      <c r="AA105" s="58">
        <v>360</v>
      </c>
      <c r="AB105" s="58">
        <v>340</v>
      </c>
      <c r="AC105" s="58">
        <v>325</v>
      </c>
      <c r="AD105" s="58">
        <v>340</v>
      </c>
      <c r="AE105" s="58">
        <v>360</v>
      </c>
      <c r="AF105" s="58">
        <v>350</v>
      </c>
      <c r="AG105" s="58">
        <v>350</v>
      </c>
      <c r="AH105" s="58">
        <v>350</v>
      </c>
      <c r="AI105" s="58">
        <v>350</v>
      </c>
      <c r="AJ105" s="58">
        <v>370</v>
      </c>
      <c r="AK105" s="58">
        <v>335</v>
      </c>
      <c r="AL105" s="58">
        <v>330</v>
      </c>
      <c r="AM105" s="58">
        <v>320</v>
      </c>
      <c r="AN105" s="58">
        <v>330</v>
      </c>
      <c r="AO105" s="58">
        <v>350</v>
      </c>
      <c r="AP105" s="58">
        <v>350</v>
      </c>
      <c r="AQ105" s="58">
        <v>420</v>
      </c>
      <c r="AR105" s="58">
        <v>390</v>
      </c>
      <c r="AS105" s="58">
        <v>420</v>
      </c>
      <c r="AT105" s="58"/>
      <c r="AU105" s="58"/>
      <c r="AV105" s="58">
        <v>480</v>
      </c>
      <c r="AW105" s="58"/>
      <c r="AX105" s="58"/>
      <c r="AY105" s="58"/>
      <c r="AZ105" s="58"/>
      <c r="BA105" s="58">
        <v>550</v>
      </c>
      <c r="BB105" s="58">
        <v>600</v>
      </c>
      <c r="BC105" s="58"/>
      <c r="BD105" s="58">
        <v>525</v>
      </c>
      <c r="BE105" s="58">
        <v>600</v>
      </c>
      <c r="BF105" s="58"/>
      <c r="BG105" s="58"/>
      <c r="BH105" s="58">
        <v>600</v>
      </c>
    </row>
    <row r="106" spans="2:60" hidden="1" x14ac:dyDescent="0.2">
      <c r="B106" s="59"/>
      <c r="C106" s="59" t="s">
        <v>666</v>
      </c>
      <c r="D106" s="59" t="s">
        <v>655</v>
      </c>
      <c r="E106" s="60"/>
      <c r="F106" s="60">
        <v>375</v>
      </c>
      <c r="G106" s="60"/>
      <c r="H106" s="60">
        <v>310</v>
      </c>
      <c r="I106" s="60"/>
      <c r="J106" s="60">
        <v>400</v>
      </c>
      <c r="K106" s="60">
        <v>375</v>
      </c>
      <c r="L106" s="60">
        <v>390</v>
      </c>
      <c r="M106" s="60"/>
      <c r="N106" s="60">
        <v>400</v>
      </c>
      <c r="O106" s="60">
        <v>400</v>
      </c>
      <c r="P106" s="60"/>
      <c r="Q106" s="60"/>
      <c r="R106" s="60">
        <v>390</v>
      </c>
      <c r="S106" s="60">
        <v>400</v>
      </c>
      <c r="T106" s="60">
        <v>410</v>
      </c>
      <c r="U106" s="60"/>
      <c r="V106" s="60">
        <v>400</v>
      </c>
      <c r="W106" s="60"/>
      <c r="X106" s="60"/>
      <c r="Y106" s="60"/>
      <c r="Z106" s="60"/>
      <c r="AA106" s="60"/>
      <c r="AB106" s="60">
        <v>400</v>
      </c>
      <c r="AC106" s="60"/>
      <c r="AD106" s="60">
        <v>450</v>
      </c>
      <c r="AE106" s="60">
        <v>450</v>
      </c>
      <c r="AF106" s="60"/>
      <c r="AG106" s="60"/>
      <c r="AH106" s="60">
        <v>430</v>
      </c>
      <c r="AI106" s="60">
        <v>460</v>
      </c>
      <c r="AJ106" s="60"/>
      <c r="AK106" s="60"/>
      <c r="AL106" s="60"/>
      <c r="AM106" s="60">
        <v>460</v>
      </c>
      <c r="AN106" s="60">
        <v>370</v>
      </c>
      <c r="AO106" s="60"/>
      <c r="AP106" s="60"/>
      <c r="AQ106" s="60"/>
      <c r="AR106" s="60"/>
      <c r="AS106" s="60"/>
      <c r="AT106" s="60"/>
      <c r="AU106" s="60"/>
      <c r="AV106" s="60"/>
      <c r="AW106" s="60"/>
      <c r="AX106" s="60"/>
      <c r="AY106" s="60"/>
      <c r="AZ106" s="60"/>
      <c r="BA106" s="60"/>
      <c r="BB106" s="60"/>
      <c r="BC106" s="60"/>
      <c r="BD106" s="60"/>
      <c r="BE106" s="60"/>
      <c r="BF106" s="60"/>
      <c r="BG106" s="60"/>
      <c r="BH106" s="60"/>
    </row>
    <row r="107" spans="2:60" hidden="1" x14ac:dyDescent="0.2">
      <c r="B107" s="57"/>
      <c r="C107" s="57" t="s">
        <v>666</v>
      </c>
      <c r="D107" s="57" t="s">
        <v>656</v>
      </c>
      <c r="E107" s="58">
        <v>260</v>
      </c>
      <c r="F107" s="58">
        <v>280</v>
      </c>
      <c r="G107" s="58">
        <v>280</v>
      </c>
      <c r="H107" s="58">
        <v>280</v>
      </c>
      <c r="I107" s="58">
        <v>270</v>
      </c>
      <c r="J107" s="58">
        <v>280</v>
      </c>
      <c r="K107" s="58">
        <v>285</v>
      </c>
      <c r="L107" s="58">
        <v>280</v>
      </c>
      <c r="M107" s="58">
        <v>280</v>
      </c>
      <c r="N107" s="58">
        <v>300</v>
      </c>
      <c r="O107" s="58">
        <v>300</v>
      </c>
      <c r="P107" s="58">
        <v>300</v>
      </c>
      <c r="Q107" s="58">
        <v>290</v>
      </c>
      <c r="R107" s="58">
        <v>300</v>
      </c>
      <c r="S107" s="58">
        <v>320</v>
      </c>
      <c r="T107" s="58">
        <v>310</v>
      </c>
      <c r="U107" s="58">
        <v>300</v>
      </c>
      <c r="V107" s="58">
        <v>300</v>
      </c>
      <c r="W107" s="58">
        <v>320</v>
      </c>
      <c r="X107" s="58">
        <v>320</v>
      </c>
      <c r="Y107" s="58">
        <v>320</v>
      </c>
      <c r="Z107" s="58">
        <v>330</v>
      </c>
      <c r="AA107" s="58">
        <v>330</v>
      </c>
      <c r="AB107" s="58">
        <v>330</v>
      </c>
      <c r="AC107" s="58">
        <v>325</v>
      </c>
      <c r="AD107" s="58">
        <v>340</v>
      </c>
      <c r="AE107" s="58">
        <v>350</v>
      </c>
      <c r="AF107" s="58">
        <v>350</v>
      </c>
      <c r="AG107" s="58">
        <v>350</v>
      </c>
      <c r="AH107" s="58">
        <v>350</v>
      </c>
      <c r="AI107" s="58">
        <v>350</v>
      </c>
      <c r="AJ107" s="58">
        <v>340</v>
      </c>
      <c r="AK107" s="58">
        <v>350</v>
      </c>
      <c r="AL107" s="58">
        <v>310</v>
      </c>
      <c r="AM107" s="58">
        <v>320</v>
      </c>
      <c r="AN107" s="58">
        <v>330</v>
      </c>
      <c r="AO107" s="58">
        <v>330</v>
      </c>
      <c r="AP107" s="58">
        <v>350</v>
      </c>
      <c r="AQ107" s="58">
        <v>400</v>
      </c>
      <c r="AR107" s="58">
        <v>360</v>
      </c>
      <c r="AS107" s="58">
        <v>400</v>
      </c>
      <c r="AT107" s="58">
        <v>400</v>
      </c>
      <c r="AU107" s="58">
        <v>450</v>
      </c>
      <c r="AV107" s="58">
        <v>460</v>
      </c>
      <c r="AW107" s="58">
        <v>450</v>
      </c>
      <c r="AX107" s="58">
        <v>500</v>
      </c>
      <c r="AY107" s="58">
        <v>500</v>
      </c>
      <c r="AZ107" s="58">
        <v>530</v>
      </c>
      <c r="BA107" s="58">
        <v>500</v>
      </c>
      <c r="BB107" s="58">
        <v>550</v>
      </c>
      <c r="BC107" s="58">
        <v>550</v>
      </c>
      <c r="BD107" s="58">
        <v>520</v>
      </c>
      <c r="BE107" s="58">
        <v>550</v>
      </c>
      <c r="BF107" s="58">
        <v>550</v>
      </c>
      <c r="BG107" s="58">
        <v>600</v>
      </c>
      <c r="BH107" s="58">
        <v>570</v>
      </c>
    </row>
    <row r="108" spans="2:60" hidden="1" x14ac:dyDescent="0.2">
      <c r="B108" s="59"/>
      <c r="C108" s="59" t="s">
        <v>667</v>
      </c>
      <c r="D108" s="59" t="s">
        <v>648</v>
      </c>
      <c r="E108" s="60">
        <v>140</v>
      </c>
      <c r="F108" s="60">
        <v>170</v>
      </c>
      <c r="G108" s="60">
        <v>175</v>
      </c>
      <c r="H108" s="60">
        <v>150</v>
      </c>
      <c r="I108" s="60">
        <v>165</v>
      </c>
      <c r="J108" s="60">
        <v>165</v>
      </c>
      <c r="K108" s="60">
        <v>167</v>
      </c>
      <c r="L108" s="60">
        <v>170</v>
      </c>
      <c r="M108" s="60">
        <v>180</v>
      </c>
      <c r="N108" s="60">
        <v>180</v>
      </c>
      <c r="O108" s="60">
        <v>190</v>
      </c>
      <c r="P108" s="60">
        <v>200</v>
      </c>
      <c r="Q108" s="60">
        <v>210</v>
      </c>
      <c r="R108" s="60">
        <v>180</v>
      </c>
      <c r="S108" s="60">
        <v>200</v>
      </c>
      <c r="T108" s="60">
        <v>200</v>
      </c>
      <c r="U108" s="60">
        <v>180</v>
      </c>
      <c r="V108" s="60">
        <v>200</v>
      </c>
      <c r="W108" s="60">
        <v>190</v>
      </c>
      <c r="X108" s="60">
        <v>190</v>
      </c>
      <c r="Y108" s="60">
        <v>190</v>
      </c>
      <c r="Z108" s="60">
        <v>200</v>
      </c>
      <c r="AA108" s="60">
        <v>200</v>
      </c>
      <c r="AB108" s="60">
        <v>200</v>
      </c>
      <c r="AC108" s="60">
        <v>200</v>
      </c>
      <c r="AD108" s="60">
        <v>208</v>
      </c>
      <c r="AE108" s="60">
        <v>210</v>
      </c>
      <c r="AF108" s="60">
        <v>210</v>
      </c>
      <c r="AG108" s="60">
        <v>210</v>
      </c>
      <c r="AH108" s="60">
        <v>225</v>
      </c>
      <c r="AI108" s="60">
        <v>220</v>
      </c>
      <c r="AJ108" s="60">
        <v>205</v>
      </c>
      <c r="AK108" s="60">
        <v>225</v>
      </c>
      <c r="AL108" s="60">
        <v>225</v>
      </c>
      <c r="AM108" s="60">
        <v>200</v>
      </c>
      <c r="AN108" s="60">
        <v>250</v>
      </c>
      <c r="AO108" s="60">
        <v>260</v>
      </c>
      <c r="AP108" s="60">
        <v>260</v>
      </c>
      <c r="AQ108" s="60">
        <v>260</v>
      </c>
      <c r="AR108" s="60">
        <v>260</v>
      </c>
      <c r="AS108" s="60">
        <v>290</v>
      </c>
      <c r="AT108" s="60">
        <v>280</v>
      </c>
      <c r="AU108" s="60">
        <v>280</v>
      </c>
      <c r="AV108" s="60">
        <v>300</v>
      </c>
      <c r="AW108" s="60">
        <v>290</v>
      </c>
      <c r="AX108" s="60">
        <v>320</v>
      </c>
      <c r="AY108" s="60">
        <v>290</v>
      </c>
      <c r="AZ108" s="60">
        <v>260</v>
      </c>
      <c r="BA108" s="60">
        <v>310</v>
      </c>
      <c r="BB108" s="60">
        <v>310</v>
      </c>
      <c r="BC108" s="60">
        <v>290</v>
      </c>
      <c r="BD108" s="60">
        <v>300</v>
      </c>
      <c r="BE108" s="60">
        <v>310</v>
      </c>
      <c r="BF108" s="60">
        <v>350</v>
      </c>
      <c r="BG108" s="60">
        <v>360</v>
      </c>
      <c r="BH108" s="60">
        <v>350</v>
      </c>
    </row>
    <row r="109" spans="2:60" hidden="1" x14ac:dyDescent="0.2">
      <c r="B109" s="57"/>
      <c r="C109" s="57" t="s">
        <v>667</v>
      </c>
      <c r="D109" s="57" t="s">
        <v>649</v>
      </c>
      <c r="E109" s="58">
        <v>215</v>
      </c>
      <c r="F109" s="58">
        <v>220</v>
      </c>
      <c r="G109" s="58">
        <v>220</v>
      </c>
      <c r="H109" s="58">
        <v>210</v>
      </c>
      <c r="I109" s="58">
        <v>220</v>
      </c>
      <c r="J109" s="58">
        <v>225</v>
      </c>
      <c r="K109" s="58">
        <v>230</v>
      </c>
      <c r="L109" s="58">
        <v>215</v>
      </c>
      <c r="M109" s="58">
        <v>235</v>
      </c>
      <c r="N109" s="58">
        <v>235</v>
      </c>
      <c r="O109" s="58">
        <v>235</v>
      </c>
      <c r="P109" s="58">
        <v>245</v>
      </c>
      <c r="Q109" s="58">
        <v>240</v>
      </c>
      <c r="R109" s="58">
        <v>230</v>
      </c>
      <c r="S109" s="58">
        <v>240</v>
      </c>
      <c r="T109" s="58">
        <v>240</v>
      </c>
      <c r="U109" s="58">
        <v>250</v>
      </c>
      <c r="V109" s="58">
        <v>245</v>
      </c>
      <c r="W109" s="58">
        <v>245</v>
      </c>
      <c r="X109" s="58">
        <v>250</v>
      </c>
      <c r="Y109" s="58">
        <v>255</v>
      </c>
      <c r="Z109" s="58">
        <v>250</v>
      </c>
      <c r="AA109" s="58">
        <v>255</v>
      </c>
      <c r="AB109" s="58">
        <v>250</v>
      </c>
      <c r="AC109" s="58">
        <v>250</v>
      </c>
      <c r="AD109" s="58">
        <v>260</v>
      </c>
      <c r="AE109" s="58">
        <v>255</v>
      </c>
      <c r="AF109" s="58">
        <v>260</v>
      </c>
      <c r="AG109" s="58">
        <v>260</v>
      </c>
      <c r="AH109" s="58">
        <v>270</v>
      </c>
      <c r="AI109" s="58">
        <v>265</v>
      </c>
      <c r="AJ109" s="58">
        <v>270</v>
      </c>
      <c r="AK109" s="58">
        <v>260</v>
      </c>
      <c r="AL109" s="58">
        <v>285</v>
      </c>
      <c r="AM109" s="58">
        <v>270</v>
      </c>
      <c r="AN109" s="58">
        <v>280</v>
      </c>
      <c r="AO109" s="58">
        <v>300</v>
      </c>
      <c r="AP109" s="58">
        <v>310</v>
      </c>
      <c r="AQ109" s="58">
        <v>310</v>
      </c>
      <c r="AR109" s="58">
        <v>310</v>
      </c>
      <c r="AS109" s="58">
        <v>310</v>
      </c>
      <c r="AT109" s="58">
        <v>345</v>
      </c>
      <c r="AU109" s="58">
        <v>330</v>
      </c>
      <c r="AV109" s="58">
        <v>350</v>
      </c>
      <c r="AW109" s="58">
        <v>340</v>
      </c>
      <c r="AX109" s="58">
        <v>380</v>
      </c>
      <c r="AY109" s="58">
        <v>390</v>
      </c>
      <c r="AZ109" s="58">
        <v>370</v>
      </c>
      <c r="BA109" s="58">
        <v>400</v>
      </c>
      <c r="BB109" s="58">
        <v>420</v>
      </c>
      <c r="BC109" s="58">
        <v>400</v>
      </c>
      <c r="BD109" s="58">
        <v>400</v>
      </c>
      <c r="BE109" s="58">
        <v>430</v>
      </c>
      <c r="BF109" s="58">
        <v>420</v>
      </c>
      <c r="BG109" s="58">
        <v>420</v>
      </c>
      <c r="BH109" s="58">
        <v>420</v>
      </c>
    </row>
    <row r="110" spans="2:60" hidden="1" x14ac:dyDescent="0.2">
      <c r="B110" s="59"/>
      <c r="C110" s="59" t="s">
        <v>667</v>
      </c>
      <c r="D110" s="59" t="s">
        <v>650</v>
      </c>
      <c r="E110" s="60">
        <v>265</v>
      </c>
      <c r="F110" s="60">
        <v>270</v>
      </c>
      <c r="G110" s="60">
        <v>280</v>
      </c>
      <c r="H110" s="60">
        <v>260</v>
      </c>
      <c r="I110" s="60">
        <v>270</v>
      </c>
      <c r="J110" s="60">
        <v>280</v>
      </c>
      <c r="K110" s="60">
        <v>290</v>
      </c>
      <c r="L110" s="60">
        <v>280</v>
      </c>
      <c r="M110" s="60">
        <v>285</v>
      </c>
      <c r="N110" s="60">
        <v>295</v>
      </c>
      <c r="O110" s="60">
        <v>310</v>
      </c>
      <c r="P110" s="60">
        <v>280</v>
      </c>
      <c r="Q110" s="60">
        <v>300</v>
      </c>
      <c r="R110" s="60">
        <v>300</v>
      </c>
      <c r="S110" s="60">
        <v>300</v>
      </c>
      <c r="T110" s="60">
        <v>310</v>
      </c>
      <c r="U110" s="60">
        <v>300</v>
      </c>
      <c r="V110" s="60">
        <v>290</v>
      </c>
      <c r="W110" s="60">
        <v>310</v>
      </c>
      <c r="X110" s="60">
        <v>300</v>
      </c>
      <c r="Y110" s="60">
        <v>320</v>
      </c>
      <c r="Z110" s="60">
        <v>320</v>
      </c>
      <c r="AA110" s="60">
        <v>320</v>
      </c>
      <c r="AB110" s="60">
        <v>320</v>
      </c>
      <c r="AC110" s="60">
        <v>330</v>
      </c>
      <c r="AD110" s="60">
        <v>295</v>
      </c>
      <c r="AE110" s="60">
        <v>325</v>
      </c>
      <c r="AF110" s="60">
        <v>330</v>
      </c>
      <c r="AG110" s="60">
        <v>330</v>
      </c>
      <c r="AH110" s="60">
        <v>335</v>
      </c>
      <c r="AI110" s="60">
        <v>330</v>
      </c>
      <c r="AJ110" s="60">
        <v>350</v>
      </c>
      <c r="AK110" s="60">
        <v>340</v>
      </c>
      <c r="AL110" s="60">
        <v>320</v>
      </c>
      <c r="AM110" s="60">
        <v>350</v>
      </c>
      <c r="AN110" s="60">
        <v>360</v>
      </c>
      <c r="AO110" s="60">
        <v>375</v>
      </c>
      <c r="AP110" s="60">
        <v>370</v>
      </c>
      <c r="AQ110" s="60">
        <v>360</v>
      </c>
      <c r="AR110" s="60">
        <v>380</v>
      </c>
      <c r="AS110" s="60">
        <v>420</v>
      </c>
      <c r="AT110" s="60">
        <v>400</v>
      </c>
      <c r="AU110" s="60">
        <v>440</v>
      </c>
      <c r="AV110" s="60">
        <v>430</v>
      </c>
      <c r="AW110" s="60">
        <v>450</v>
      </c>
      <c r="AX110" s="60">
        <v>460</v>
      </c>
      <c r="AY110" s="60">
        <v>480</v>
      </c>
      <c r="AZ110" s="60">
        <v>480</v>
      </c>
      <c r="BA110" s="60">
        <v>520</v>
      </c>
      <c r="BB110" s="60">
        <v>535</v>
      </c>
      <c r="BC110" s="60">
        <v>525</v>
      </c>
      <c r="BD110" s="60">
        <v>500</v>
      </c>
      <c r="BE110" s="60">
        <v>545</v>
      </c>
      <c r="BF110" s="60">
        <v>550</v>
      </c>
      <c r="BG110" s="60">
        <v>550</v>
      </c>
      <c r="BH110" s="60">
        <v>560</v>
      </c>
    </row>
    <row r="111" spans="2:60" hidden="1" x14ac:dyDescent="0.2">
      <c r="B111" s="57"/>
      <c r="C111" s="57" t="s">
        <v>667</v>
      </c>
      <c r="D111" s="57" t="s">
        <v>651</v>
      </c>
      <c r="E111" s="58">
        <v>235</v>
      </c>
      <c r="F111" s="58">
        <v>230</v>
      </c>
      <c r="G111" s="58">
        <v>240</v>
      </c>
      <c r="H111" s="58">
        <v>240</v>
      </c>
      <c r="I111" s="58">
        <v>240</v>
      </c>
      <c r="J111" s="58">
        <v>240</v>
      </c>
      <c r="K111" s="58">
        <v>240</v>
      </c>
      <c r="L111" s="58">
        <v>240</v>
      </c>
      <c r="M111" s="58">
        <v>250</v>
      </c>
      <c r="N111" s="58">
        <v>240</v>
      </c>
      <c r="O111" s="58">
        <v>245</v>
      </c>
      <c r="P111" s="58">
        <v>250</v>
      </c>
      <c r="Q111" s="58">
        <v>245</v>
      </c>
      <c r="R111" s="58">
        <v>250</v>
      </c>
      <c r="S111" s="58">
        <v>250</v>
      </c>
      <c r="T111" s="58">
        <v>255</v>
      </c>
      <c r="U111" s="58">
        <v>250</v>
      </c>
      <c r="V111" s="58">
        <v>245</v>
      </c>
      <c r="W111" s="58">
        <v>250</v>
      </c>
      <c r="X111" s="58">
        <v>250</v>
      </c>
      <c r="Y111" s="58">
        <v>255</v>
      </c>
      <c r="Z111" s="58">
        <v>255</v>
      </c>
      <c r="AA111" s="58">
        <v>250</v>
      </c>
      <c r="AB111" s="58">
        <v>265</v>
      </c>
      <c r="AC111" s="58">
        <v>260</v>
      </c>
      <c r="AD111" s="58">
        <v>255</v>
      </c>
      <c r="AE111" s="58">
        <v>265</v>
      </c>
      <c r="AF111" s="58">
        <v>260</v>
      </c>
      <c r="AG111" s="58">
        <v>275</v>
      </c>
      <c r="AH111" s="58">
        <v>280</v>
      </c>
      <c r="AI111" s="58">
        <v>270</v>
      </c>
      <c r="AJ111" s="58">
        <v>280</v>
      </c>
      <c r="AK111" s="58">
        <v>270</v>
      </c>
      <c r="AL111" s="58">
        <v>280</v>
      </c>
      <c r="AM111" s="58">
        <v>275</v>
      </c>
      <c r="AN111" s="58">
        <v>290</v>
      </c>
      <c r="AO111" s="58">
        <v>300</v>
      </c>
      <c r="AP111" s="58">
        <v>320</v>
      </c>
      <c r="AQ111" s="58">
        <v>320</v>
      </c>
      <c r="AR111" s="58">
        <v>315</v>
      </c>
      <c r="AS111" s="58">
        <v>350</v>
      </c>
      <c r="AT111" s="58">
        <v>350</v>
      </c>
      <c r="AU111" s="58">
        <v>360</v>
      </c>
      <c r="AV111" s="58">
        <v>380</v>
      </c>
      <c r="AW111" s="58">
        <v>400</v>
      </c>
      <c r="AX111" s="58">
        <v>390</v>
      </c>
      <c r="AY111" s="58">
        <v>410</v>
      </c>
      <c r="AZ111" s="58">
        <v>450</v>
      </c>
      <c r="BA111" s="58">
        <v>400</v>
      </c>
      <c r="BB111" s="58">
        <v>430</v>
      </c>
      <c r="BC111" s="58">
        <v>410</v>
      </c>
      <c r="BD111" s="58">
        <v>450</v>
      </c>
      <c r="BE111" s="58">
        <v>470</v>
      </c>
      <c r="BF111" s="58">
        <v>480</v>
      </c>
      <c r="BG111" s="58">
        <v>490</v>
      </c>
      <c r="BH111" s="58">
        <v>500</v>
      </c>
    </row>
    <row r="112" spans="2:60" hidden="1" x14ac:dyDescent="0.2">
      <c r="B112" s="59"/>
      <c r="C112" s="59" t="s">
        <v>667</v>
      </c>
      <c r="D112" s="59" t="s">
        <v>652</v>
      </c>
      <c r="E112" s="60">
        <v>260</v>
      </c>
      <c r="F112" s="60">
        <v>260</v>
      </c>
      <c r="G112" s="60">
        <v>265</v>
      </c>
      <c r="H112" s="60">
        <v>270</v>
      </c>
      <c r="I112" s="60">
        <v>270</v>
      </c>
      <c r="J112" s="60">
        <v>275</v>
      </c>
      <c r="K112" s="60">
        <v>280</v>
      </c>
      <c r="L112" s="60">
        <v>275</v>
      </c>
      <c r="M112" s="60">
        <v>275</v>
      </c>
      <c r="N112" s="60">
        <v>280</v>
      </c>
      <c r="O112" s="60">
        <v>280</v>
      </c>
      <c r="P112" s="60">
        <v>280</v>
      </c>
      <c r="Q112" s="60">
        <v>280</v>
      </c>
      <c r="R112" s="60">
        <v>280</v>
      </c>
      <c r="S112" s="60">
        <v>290</v>
      </c>
      <c r="T112" s="60">
        <v>290</v>
      </c>
      <c r="U112" s="60">
        <v>290</v>
      </c>
      <c r="V112" s="60">
        <v>290</v>
      </c>
      <c r="W112" s="60">
        <v>290</v>
      </c>
      <c r="X112" s="60">
        <v>290</v>
      </c>
      <c r="Y112" s="60">
        <v>290</v>
      </c>
      <c r="Z112" s="60">
        <v>295</v>
      </c>
      <c r="AA112" s="60">
        <v>300</v>
      </c>
      <c r="AB112" s="60">
        <v>300</v>
      </c>
      <c r="AC112" s="60">
        <v>300</v>
      </c>
      <c r="AD112" s="60">
        <v>295</v>
      </c>
      <c r="AE112" s="60">
        <v>300</v>
      </c>
      <c r="AF112" s="60">
        <v>310</v>
      </c>
      <c r="AG112" s="60">
        <v>320</v>
      </c>
      <c r="AH112" s="60">
        <v>310</v>
      </c>
      <c r="AI112" s="60">
        <v>320</v>
      </c>
      <c r="AJ112" s="60">
        <v>320</v>
      </c>
      <c r="AK112" s="60">
        <v>320</v>
      </c>
      <c r="AL112" s="60">
        <v>325</v>
      </c>
      <c r="AM112" s="60">
        <v>330</v>
      </c>
      <c r="AN112" s="60">
        <v>340</v>
      </c>
      <c r="AO112" s="60">
        <v>350</v>
      </c>
      <c r="AP112" s="60">
        <v>365</v>
      </c>
      <c r="AQ112" s="60">
        <v>370</v>
      </c>
      <c r="AR112" s="60">
        <v>390</v>
      </c>
      <c r="AS112" s="60">
        <v>410</v>
      </c>
      <c r="AT112" s="60">
        <v>420</v>
      </c>
      <c r="AU112" s="60">
        <v>440</v>
      </c>
      <c r="AV112" s="60">
        <v>440</v>
      </c>
      <c r="AW112" s="60">
        <v>450</v>
      </c>
      <c r="AX112" s="60">
        <v>450</v>
      </c>
      <c r="AY112" s="60">
        <v>480</v>
      </c>
      <c r="AZ112" s="60">
        <v>480</v>
      </c>
      <c r="BA112" s="60">
        <v>490</v>
      </c>
      <c r="BB112" s="60">
        <v>520</v>
      </c>
      <c r="BC112" s="60">
        <v>500</v>
      </c>
      <c r="BD112" s="60">
        <v>520</v>
      </c>
      <c r="BE112" s="60">
        <v>535</v>
      </c>
      <c r="BF112" s="60">
        <v>550</v>
      </c>
      <c r="BG112" s="60">
        <v>550</v>
      </c>
      <c r="BH112" s="60">
        <v>570</v>
      </c>
    </row>
    <row r="113" spans="2:60" hidden="1" x14ac:dyDescent="0.2">
      <c r="B113" s="57"/>
      <c r="C113" s="57" t="s">
        <v>667</v>
      </c>
      <c r="D113" s="57" t="s">
        <v>653</v>
      </c>
      <c r="E113" s="58">
        <v>315</v>
      </c>
      <c r="F113" s="58">
        <v>315</v>
      </c>
      <c r="G113" s="58">
        <v>320</v>
      </c>
      <c r="H113" s="58">
        <v>320</v>
      </c>
      <c r="I113" s="58">
        <v>325</v>
      </c>
      <c r="J113" s="58">
        <v>330</v>
      </c>
      <c r="K113" s="58">
        <v>330</v>
      </c>
      <c r="L113" s="58">
        <v>330</v>
      </c>
      <c r="M113" s="58">
        <v>340</v>
      </c>
      <c r="N113" s="58">
        <v>340</v>
      </c>
      <c r="O113" s="58">
        <v>340</v>
      </c>
      <c r="P113" s="58">
        <v>340</v>
      </c>
      <c r="Q113" s="58">
        <v>340</v>
      </c>
      <c r="R113" s="58">
        <v>350</v>
      </c>
      <c r="S113" s="58">
        <v>350</v>
      </c>
      <c r="T113" s="58">
        <v>350</v>
      </c>
      <c r="U113" s="58">
        <v>350</v>
      </c>
      <c r="V113" s="58">
        <v>350</v>
      </c>
      <c r="W113" s="58">
        <v>360</v>
      </c>
      <c r="X113" s="58">
        <v>350</v>
      </c>
      <c r="Y113" s="58">
        <v>360</v>
      </c>
      <c r="Z113" s="58">
        <v>350</v>
      </c>
      <c r="AA113" s="58">
        <v>350</v>
      </c>
      <c r="AB113" s="58">
        <v>355</v>
      </c>
      <c r="AC113" s="58">
        <v>360</v>
      </c>
      <c r="AD113" s="58">
        <v>360</v>
      </c>
      <c r="AE113" s="58">
        <v>360</v>
      </c>
      <c r="AF113" s="58">
        <v>370</v>
      </c>
      <c r="AG113" s="58">
        <v>375</v>
      </c>
      <c r="AH113" s="58">
        <v>370</v>
      </c>
      <c r="AI113" s="58">
        <v>375</v>
      </c>
      <c r="AJ113" s="58">
        <v>380</v>
      </c>
      <c r="AK113" s="58">
        <v>385</v>
      </c>
      <c r="AL113" s="58">
        <v>380</v>
      </c>
      <c r="AM113" s="58">
        <v>400</v>
      </c>
      <c r="AN113" s="58">
        <v>420</v>
      </c>
      <c r="AO113" s="58">
        <v>415</v>
      </c>
      <c r="AP113" s="58">
        <v>430</v>
      </c>
      <c r="AQ113" s="58">
        <v>450</v>
      </c>
      <c r="AR113" s="58">
        <v>470</v>
      </c>
      <c r="AS113" s="58">
        <v>500</v>
      </c>
      <c r="AT113" s="58">
        <v>510</v>
      </c>
      <c r="AU113" s="58">
        <v>530</v>
      </c>
      <c r="AV113" s="58">
        <v>530</v>
      </c>
      <c r="AW113" s="58">
        <v>550</v>
      </c>
      <c r="AX113" s="58">
        <v>550</v>
      </c>
      <c r="AY113" s="58">
        <v>560</v>
      </c>
      <c r="AZ113" s="58">
        <v>580</v>
      </c>
      <c r="BA113" s="58">
        <v>600</v>
      </c>
      <c r="BB113" s="58">
        <v>610</v>
      </c>
      <c r="BC113" s="58">
        <v>610</v>
      </c>
      <c r="BD113" s="58">
        <v>630</v>
      </c>
      <c r="BE113" s="58">
        <v>640</v>
      </c>
      <c r="BF113" s="58">
        <v>650</v>
      </c>
      <c r="BG113" s="58">
        <v>650</v>
      </c>
      <c r="BH113" s="58">
        <v>650</v>
      </c>
    </row>
    <row r="114" spans="2:60" hidden="1" x14ac:dyDescent="0.2">
      <c r="B114" s="59"/>
      <c r="C114" s="59" t="s">
        <v>667</v>
      </c>
      <c r="D114" s="59" t="s">
        <v>654</v>
      </c>
      <c r="E114" s="60">
        <v>255</v>
      </c>
      <c r="F114" s="60">
        <v>310</v>
      </c>
      <c r="G114" s="60">
        <v>260</v>
      </c>
      <c r="H114" s="60">
        <v>250</v>
      </c>
      <c r="I114" s="60">
        <v>250</v>
      </c>
      <c r="J114" s="60">
        <v>255</v>
      </c>
      <c r="K114" s="60">
        <v>255</v>
      </c>
      <c r="L114" s="60">
        <v>260</v>
      </c>
      <c r="M114" s="60">
        <v>260</v>
      </c>
      <c r="N114" s="60">
        <v>300</v>
      </c>
      <c r="O114" s="60">
        <v>265</v>
      </c>
      <c r="P114" s="60">
        <v>260</v>
      </c>
      <c r="Q114" s="60">
        <v>260</v>
      </c>
      <c r="R114" s="60">
        <v>285</v>
      </c>
      <c r="S114" s="60">
        <v>270</v>
      </c>
      <c r="T114" s="60">
        <v>275</v>
      </c>
      <c r="U114" s="60">
        <v>280</v>
      </c>
      <c r="V114" s="60">
        <v>280</v>
      </c>
      <c r="W114" s="60"/>
      <c r="X114" s="60">
        <v>280</v>
      </c>
      <c r="Y114" s="60">
        <v>290</v>
      </c>
      <c r="Z114" s="60">
        <v>280</v>
      </c>
      <c r="AA114" s="60">
        <v>285</v>
      </c>
      <c r="AB114" s="60">
        <v>280</v>
      </c>
      <c r="AC114" s="60">
        <v>285</v>
      </c>
      <c r="AD114" s="60">
        <v>280</v>
      </c>
      <c r="AE114" s="60">
        <v>280</v>
      </c>
      <c r="AF114" s="60">
        <v>285</v>
      </c>
      <c r="AG114" s="60">
        <v>300</v>
      </c>
      <c r="AH114" s="60">
        <v>280</v>
      </c>
      <c r="AI114" s="60">
        <v>300</v>
      </c>
      <c r="AJ114" s="60">
        <v>280</v>
      </c>
      <c r="AK114" s="60">
        <v>295</v>
      </c>
      <c r="AL114" s="60">
        <v>310</v>
      </c>
      <c r="AM114" s="60">
        <v>305</v>
      </c>
      <c r="AN114" s="60">
        <v>300</v>
      </c>
      <c r="AO114" s="60">
        <v>340</v>
      </c>
      <c r="AP114" s="60">
        <v>320</v>
      </c>
      <c r="AQ114" s="60">
        <v>350</v>
      </c>
      <c r="AR114" s="60">
        <v>375</v>
      </c>
      <c r="AS114" s="60">
        <v>360</v>
      </c>
      <c r="AT114" s="60">
        <v>350</v>
      </c>
      <c r="AU114" s="60">
        <v>400</v>
      </c>
      <c r="AV114" s="60">
        <v>370</v>
      </c>
      <c r="AW114" s="60">
        <v>385</v>
      </c>
      <c r="AX114" s="60">
        <v>430</v>
      </c>
      <c r="AY114" s="60">
        <v>410</v>
      </c>
      <c r="AZ114" s="60">
        <v>390</v>
      </c>
      <c r="BA114" s="60">
        <v>420</v>
      </c>
      <c r="BB114" s="60">
        <v>450</v>
      </c>
      <c r="BC114" s="60">
        <v>465</v>
      </c>
      <c r="BD114" s="60">
        <v>460</v>
      </c>
      <c r="BE114" s="60">
        <v>480</v>
      </c>
      <c r="BF114" s="60">
        <v>500</v>
      </c>
      <c r="BG114" s="60">
        <v>500</v>
      </c>
      <c r="BH114" s="60">
        <v>490</v>
      </c>
    </row>
    <row r="115" spans="2:60" hidden="1" x14ac:dyDescent="0.2">
      <c r="B115" s="57"/>
      <c r="C115" s="57" t="s">
        <v>667</v>
      </c>
      <c r="D115" s="57" t="s">
        <v>655</v>
      </c>
      <c r="E115" s="58">
        <v>300</v>
      </c>
      <c r="F115" s="58">
        <v>300</v>
      </c>
      <c r="G115" s="58">
        <v>295</v>
      </c>
      <c r="H115" s="58">
        <v>300</v>
      </c>
      <c r="I115" s="58">
        <v>300</v>
      </c>
      <c r="J115" s="58">
        <v>300</v>
      </c>
      <c r="K115" s="58">
        <v>300</v>
      </c>
      <c r="L115" s="58">
        <v>310</v>
      </c>
      <c r="M115" s="58">
        <v>320</v>
      </c>
      <c r="N115" s="58">
        <v>310</v>
      </c>
      <c r="O115" s="58">
        <v>325</v>
      </c>
      <c r="P115" s="58">
        <v>320</v>
      </c>
      <c r="Q115" s="58">
        <v>320</v>
      </c>
      <c r="R115" s="58">
        <v>320</v>
      </c>
      <c r="S115" s="58">
        <v>320</v>
      </c>
      <c r="T115" s="58">
        <v>320</v>
      </c>
      <c r="U115" s="58">
        <v>320</v>
      </c>
      <c r="V115" s="58">
        <v>310</v>
      </c>
      <c r="W115" s="58">
        <v>330</v>
      </c>
      <c r="X115" s="58">
        <v>310</v>
      </c>
      <c r="Y115" s="58">
        <v>330</v>
      </c>
      <c r="Z115" s="58">
        <v>320</v>
      </c>
      <c r="AA115" s="58">
        <v>320</v>
      </c>
      <c r="AB115" s="58">
        <v>325</v>
      </c>
      <c r="AC115" s="58">
        <v>320</v>
      </c>
      <c r="AD115" s="58">
        <v>330</v>
      </c>
      <c r="AE115" s="58">
        <v>340</v>
      </c>
      <c r="AF115" s="58">
        <v>330</v>
      </c>
      <c r="AG115" s="58">
        <v>340</v>
      </c>
      <c r="AH115" s="58">
        <v>340</v>
      </c>
      <c r="AI115" s="58">
        <v>360</v>
      </c>
      <c r="AJ115" s="58">
        <v>340</v>
      </c>
      <c r="AK115" s="58">
        <v>350</v>
      </c>
      <c r="AL115" s="58">
        <v>345</v>
      </c>
      <c r="AM115" s="58">
        <v>350</v>
      </c>
      <c r="AN115" s="58">
        <v>355</v>
      </c>
      <c r="AO115" s="58">
        <v>375</v>
      </c>
      <c r="AP115" s="58">
        <v>380</v>
      </c>
      <c r="AQ115" s="58">
        <v>400</v>
      </c>
      <c r="AR115" s="58">
        <v>400</v>
      </c>
      <c r="AS115" s="58">
        <v>430</v>
      </c>
      <c r="AT115" s="58">
        <v>450</v>
      </c>
      <c r="AU115" s="58">
        <v>450</v>
      </c>
      <c r="AV115" s="58">
        <v>440</v>
      </c>
      <c r="AW115" s="58">
        <v>480</v>
      </c>
      <c r="AX115" s="58">
        <v>450</v>
      </c>
      <c r="AY115" s="58">
        <v>490</v>
      </c>
      <c r="AZ115" s="58">
        <v>470</v>
      </c>
      <c r="BA115" s="58">
        <v>520</v>
      </c>
      <c r="BB115" s="58">
        <v>520</v>
      </c>
      <c r="BC115" s="58">
        <v>520</v>
      </c>
      <c r="BD115" s="58">
        <v>540</v>
      </c>
      <c r="BE115" s="58">
        <v>550</v>
      </c>
      <c r="BF115" s="58">
        <v>550</v>
      </c>
      <c r="BG115" s="58">
        <v>550</v>
      </c>
      <c r="BH115" s="58">
        <v>550</v>
      </c>
    </row>
    <row r="116" spans="2:60" hidden="1" x14ac:dyDescent="0.2">
      <c r="B116" s="59"/>
      <c r="C116" s="59" t="s">
        <v>667</v>
      </c>
      <c r="D116" s="59" t="s">
        <v>656</v>
      </c>
      <c r="E116" s="60">
        <v>265</v>
      </c>
      <c r="F116" s="60">
        <v>265</v>
      </c>
      <c r="G116" s="60">
        <v>270</v>
      </c>
      <c r="H116" s="60">
        <v>270</v>
      </c>
      <c r="I116" s="60">
        <v>270</v>
      </c>
      <c r="J116" s="60">
        <v>280</v>
      </c>
      <c r="K116" s="60">
        <v>280</v>
      </c>
      <c r="L116" s="60">
        <v>280</v>
      </c>
      <c r="M116" s="60">
        <v>290</v>
      </c>
      <c r="N116" s="60">
        <v>285</v>
      </c>
      <c r="O116" s="60">
        <v>290</v>
      </c>
      <c r="P116" s="60">
        <v>295</v>
      </c>
      <c r="Q116" s="60">
        <v>295</v>
      </c>
      <c r="R116" s="60">
        <v>290</v>
      </c>
      <c r="S116" s="60">
        <v>300</v>
      </c>
      <c r="T116" s="60">
        <v>295</v>
      </c>
      <c r="U116" s="60">
        <v>300</v>
      </c>
      <c r="V116" s="60">
        <v>300</v>
      </c>
      <c r="W116" s="60">
        <v>295</v>
      </c>
      <c r="X116" s="60">
        <v>295</v>
      </c>
      <c r="Y116" s="60">
        <v>300</v>
      </c>
      <c r="Z116" s="60">
        <v>300</v>
      </c>
      <c r="AA116" s="60">
        <v>300</v>
      </c>
      <c r="AB116" s="60">
        <v>310</v>
      </c>
      <c r="AC116" s="60">
        <v>300</v>
      </c>
      <c r="AD116" s="60">
        <v>300</v>
      </c>
      <c r="AE116" s="60">
        <v>300</v>
      </c>
      <c r="AF116" s="60">
        <v>320</v>
      </c>
      <c r="AG116" s="60">
        <v>320</v>
      </c>
      <c r="AH116" s="60">
        <v>320</v>
      </c>
      <c r="AI116" s="60">
        <v>320</v>
      </c>
      <c r="AJ116" s="60">
        <v>320</v>
      </c>
      <c r="AK116" s="60">
        <v>330</v>
      </c>
      <c r="AL116" s="60">
        <v>330</v>
      </c>
      <c r="AM116" s="60">
        <v>330</v>
      </c>
      <c r="AN116" s="60">
        <v>350</v>
      </c>
      <c r="AO116" s="60">
        <v>350</v>
      </c>
      <c r="AP116" s="60">
        <v>360</v>
      </c>
      <c r="AQ116" s="60">
        <v>370</v>
      </c>
      <c r="AR116" s="60">
        <v>390</v>
      </c>
      <c r="AS116" s="60">
        <v>400</v>
      </c>
      <c r="AT116" s="60">
        <v>420</v>
      </c>
      <c r="AU116" s="60">
        <v>440</v>
      </c>
      <c r="AV116" s="60">
        <v>440</v>
      </c>
      <c r="AW116" s="60">
        <v>450</v>
      </c>
      <c r="AX116" s="60">
        <v>450</v>
      </c>
      <c r="AY116" s="60">
        <v>475</v>
      </c>
      <c r="AZ116" s="60">
        <v>490</v>
      </c>
      <c r="BA116" s="60">
        <v>490</v>
      </c>
      <c r="BB116" s="60">
        <v>520</v>
      </c>
      <c r="BC116" s="60">
        <v>510</v>
      </c>
      <c r="BD116" s="60">
        <v>530</v>
      </c>
      <c r="BE116" s="60">
        <v>550</v>
      </c>
      <c r="BF116" s="60">
        <v>570</v>
      </c>
      <c r="BG116" s="60">
        <v>565</v>
      </c>
      <c r="BH116" s="60">
        <v>580</v>
      </c>
    </row>
    <row r="117" spans="2:60" hidden="1" x14ac:dyDescent="0.2">
      <c r="B117" s="57"/>
      <c r="C117" s="57" t="s">
        <v>668</v>
      </c>
      <c r="D117" s="57" t="s">
        <v>648</v>
      </c>
      <c r="E117" s="58">
        <v>250</v>
      </c>
      <c r="F117" s="58">
        <v>260</v>
      </c>
      <c r="G117" s="58">
        <v>360</v>
      </c>
      <c r="H117" s="58">
        <v>180</v>
      </c>
      <c r="I117" s="58">
        <v>250</v>
      </c>
      <c r="J117" s="58">
        <v>320</v>
      </c>
      <c r="K117" s="58">
        <v>250</v>
      </c>
      <c r="L117" s="58">
        <v>285</v>
      </c>
      <c r="M117" s="58">
        <v>260</v>
      </c>
      <c r="N117" s="58">
        <v>220</v>
      </c>
      <c r="O117" s="58">
        <v>220</v>
      </c>
      <c r="P117" s="58">
        <v>200</v>
      </c>
      <c r="Q117" s="58">
        <v>200</v>
      </c>
      <c r="R117" s="58">
        <v>185</v>
      </c>
      <c r="S117" s="58">
        <v>180</v>
      </c>
      <c r="T117" s="58">
        <v>175</v>
      </c>
      <c r="U117" s="58">
        <v>170</v>
      </c>
      <c r="V117" s="58">
        <v>125</v>
      </c>
      <c r="W117" s="58">
        <v>150</v>
      </c>
      <c r="X117" s="58">
        <v>120</v>
      </c>
      <c r="Y117" s="58">
        <v>120</v>
      </c>
      <c r="Z117" s="58">
        <v>130</v>
      </c>
      <c r="AA117" s="58">
        <v>110</v>
      </c>
      <c r="AB117" s="58">
        <v>125</v>
      </c>
      <c r="AC117" s="58">
        <v>140</v>
      </c>
      <c r="AD117" s="58">
        <v>130</v>
      </c>
      <c r="AE117" s="58">
        <v>130</v>
      </c>
      <c r="AF117" s="58">
        <v>140</v>
      </c>
      <c r="AG117" s="58">
        <v>150</v>
      </c>
      <c r="AH117" s="58">
        <v>120</v>
      </c>
      <c r="AI117" s="58">
        <v>150</v>
      </c>
      <c r="AJ117" s="58">
        <v>200</v>
      </c>
      <c r="AK117" s="58">
        <v>180</v>
      </c>
      <c r="AL117" s="58">
        <v>170</v>
      </c>
      <c r="AM117" s="58">
        <v>160</v>
      </c>
      <c r="AN117" s="58">
        <v>180</v>
      </c>
      <c r="AO117" s="58">
        <v>182</v>
      </c>
      <c r="AP117" s="58">
        <v>180</v>
      </c>
      <c r="AQ117" s="58">
        <v>200</v>
      </c>
      <c r="AR117" s="58">
        <v>250</v>
      </c>
      <c r="AS117" s="58">
        <v>250</v>
      </c>
      <c r="AT117" s="58">
        <v>210</v>
      </c>
      <c r="AU117" s="58">
        <v>220</v>
      </c>
      <c r="AV117" s="58">
        <v>230</v>
      </c>
      <c r="AW117" s="58">
        <v>230</v>
      </c>
      <c r="AX117" s="58">
        <v>245</v>
      </c>
      <c r="AY117" s="58">
        <v>240</v>
      </c>
      <c r="AZ117" s="58">
        <v>292</v>
      </c>
      <c r="BA117" s="58">
        <v>250</v>
      </c>
      <c r="BB117" s="58">
        <v>280</v>
      </c>
      <c r="BC117" s="58">
        <v>247</v>
      </c>
      <c r="BD117" s="58">
        <v>262</v>
      </c>
      <c r="BE117" s="58">
        <v>300</v>
      </c>
      <c r="BF117" s="58">
        <v>290</v>
      </c>
      <c r="BG117" s="58">
        <v>300</v>
      </c>
      <c r="BH117" s="58">
        <v>290</v>
      </c>
    </row>
    <row r="118" spans="2:60" hidden="1" x14ac:dyDescent="0.2">
      <c r="B118" s="59"/>
      <c r="C118" s="59" t="s">
        <v>668</v>
      </c>
      <c r="D118" s="59" t="s">
        <v>649</v>
      </c>
      <c r="E118" s="60">
        <v>390</v>
      </c>
      <c r="F118" s="60">
        <v>400</v>
      </c>
      <c r="G118" s="60">
        <v>400</v>
      </c>
      <c r="H118" s="60">
        <v>410</v>
      </c>
      <c r="I118" s="60">
        <v>400</v>
      </c>
      <c r="J118" s="60">
        <v>400</v>
      </c>
      <c r="K118" s="60">
        <v>370</v>
      </c>
      <c r="L118" s="60">
        <v>320</v>
      </c>
      <c r="M118" s="60">
        <v>300</v>
      </c>
      <c r="N118" s="60">
        <v>275</v>
      </c>
      <c r="O118" s="60">
        <v>250</v>
      </c>
      <c r="P118" s="60">
        <v>250</v>
      </c>
      <c r="Q118" s="60">
        <v>250</v>
      </c>
      <c r="R118" s="60">
        <v>240</v>
      </c>
      <c r="S118" s="60">
        <v>220</v>
      </c>
      <c r="T118" s="60">
        <v>200</v>
      </c>
      <c r="U118" s="60">
        <v>190</v>
      </c>
      <c r="V118" s="60">
        <v>150</v>
      </c>
      <c r="W118" s="60">
        <v>155</v>
      </c>
      <c r="X118" s="60">
        <v>130</v>
      </c>
      <c r="Y118" s="60">
        <v>140</v>
      </c>
      <c r="Z118" s="60">
        <v>130</v>
      </c>
      <c r="AA118" s="60">
        <v>140</v>
      </c>
      <c r="AB118" s="60">
        <v>140</v>
      </c>
      <c r="AC118" s="60">
        <v>150</v>
      </c>
      <c r="AD118" s="60">
        <v>150</v>
      </c>
      <c r="AE118" s="60">
        <v>155</v>
      </c>
      <c r="AF118" s="60">
        <v>170</v>
      </c>
      <c r="AG118" s="60">
        <v>170</v>
      </c>
      <c r="AH118" s="60">
        <v>180</v>
      </c>
      <c r="AI118" s="60">
        <v>180</v>
      </c>
      <c r="AJ118" s="60">
        <v>180</v>
      </c>
      <c r="AK118" s="60">
        <v>190</v>
      </c>
      <c r="AL118" s="60">
        <v>190</v>
      </c>
      <c r="AM118" s="60">
        <v>207</v>
      </c>
      <c r="AN118" s="60">
        <v>220</v>
      </c>
      <c r="AO118" s="60">
        <v>220</v>
      </c>
      <c r="AP118" s="60">
        <v>230</v>
      </c>
      <c r="AQ118" s="60">
        <v>250</v>
      </c>
      <c r="AR118" s="60">
        <v>250</v>
      </c>
      <c r="AS118" s="60">
        <v>260</v>
      </c>
      <c r="AT118" s="60">
        <v>285</v>
      </c>
      <c r="AU118" s="60">
        <v>280</v>
      </c>
      <c r="AV118" s="60">
        <v>300</v>
      </c>
      <c r="AW118" s="60">
        <v>295</v>
      </c>
      <c r="AX118" s="60">
        <v>300</v>
      </c>
      <c r="AY118" s="60">
        <v>310</v>
      </c>
      <c r="AZ118" s="60">
        <v>300</v>
      </c>
      <c r="BA118" s="60">
        <v>330</v>
      </c>
      <c r="BB118" s="60">
        <v>350</v>
      </c>
      <c r="BC118" s="60">
        <v>350</v>
      </c>
      <c r="BD118" s="60">
        <v>360</v>
      </c>
      <c r="BE118" s="60">
        <v>370</v>
      </c>
      <c r="BF118" s="60">
        <v>380</v>
      </c>
      <c r="BG118" s="60">
        <v>400</v>
      </c>
      <c r="BH118" s="60">
        <v>410</v>
      </c>
    </row>
    <row r="119" spans="2:60" hidden="1" x14ac:dyDescent="0.2">
      <c r="B119" s="57"/>
      <c r="C119" s="57" t="s">
        <v>668</v>
      </c>
      <c r="D119" s="57" t="s">
        <v>650</v>
      </c>
      <c r="E119" s="58">
        <v>500</v>
      </c>
      <c r="F119" s="58">
        <v>550</v>
      </c>
      <c r="G119" s="58">
        <v>480</v>
      </c>
      <c r="H119" s="58">
        <v>550</v>
      </c>
      <c r="I119" s="58">
        <v>480</v>
      </c>
      <c r="J119" s="58">
        <v>460</v>
      </c>
      <c r="K119" s="58">
        <v>430</v>
      </c>
      <c r="L119" s="58">
        <v>420</v>
      </c>
      <c r="M119" s="58">
        <v>399</v>
      </c>
      <c r="N119" s="58">
        <v>340</v>
      </c>
      <c r="O119" s="58">
        <v>300</v>
      </c>
      <c r="P119" s="58">
        <v>320</v>
      </c>
      <c r="Q119" s="58">
        <v>330</v>
      </c>
      <c r="R119" s="58">
        <v>290</v>
      </c>
      <c r="S119" s="58">
        <v>299</v>
      </c>
      <c r="T119" s="58">
        <v>270</v>
      </c>
      <c r="U119" s="58">
        <v>240</v>
      </c>
      <c r="V119" s="58">
        <v>220</v>
      </c>
      <c r="W119" s="58">
        <v>165</v>
      </c>
      <c r="X119" s="58">
        <v>170</v>
      </c>
      <c r="Y119" s="58">
        <v>185</v>
      </c>
      <c r="Z119" s="58">
        <v>190</v>
      </c>
      <c r="AA119" s="58">
        <v>200</v>
      </c>
      <c r="AB119" s="58">
        <v>190</v>
      </c>
      <c r="AC119" s="58">
        <v>200</v>
      </c>
      <c r="AD119" s="58">
        <v>210</v>
      </c>
      <c r="AE119" s="58">
        <v>220</v>
      </c>
      <c r="AF119" s="58">
        <v>220</v>
      </c>
      <c r="AG119" s="58">
        <v>220</v>
      </c>
      <c r="AH119" s="58">
        <v>250</v>
      </c>
      <c r="AI119" s="58">
        <v>240</v>
      </c>
      <c r="AJ119" s="58">
        <v>235</v>
      </c>
      <c r="AK119" s="58">
        <v>255</v>
      </c>
      <c r="AL119" s="58">
        <v>255</v>
      </c>
      <c r="AM119" s="58">
        <v>260</v>
      </c>
      <c r="AN119" s="58">
        <v>280</v>
      </c>
      <c r="AO119" s="58">
        <v>290</v>
      </c>
      <c r="AP119" s="58">
        <v>310</v>
      </c>
      <c r="AQ119" s="58">
        <v>320</v>
      </c>
      <c r="AR119" s="58">
        <v>330</v>
      </c>
      <c r="AS119" s="58">
        <v>340</v>
      </c>
      <c r="AT119" s="58">
        <v>370</v>
      </c>
      <c r="AU119" s="58">
        <v>360</v>
      </c>
      <c r="AV119" s="58">
        <v>370</v>
      </c>
      <c r="AW119" s="58">
        <v>370</v>
      </c>
      <c r="AX119" s="58">
        <v>380</v>
      </c>
      <c r="AY119" s="58">
        <v>395</v>
      </c>
      <c r="AZ119" s="58">
        <v>400</v>
      </c>
      <c r="BA119" s="58">
        <v>400</v>
      </c>
      <c r="BB119" s="58">
        <v>440</v>
      </c>
      <c r="BC119" s="58">
        <v>425</v>
      </c>
      <c r="BD119" s="58">
        <v>450</v>
      </c>
      <c r="BE119" s="58">
        <v>480</v>
      </c>
      <c r="BF119" s="58">
        <v>450</v>
      </c>
      <c r="BG119" s="58">
        <v>460</v>
      </c>
      <c r="BH119" s="58">
        <v>475</v>
      </c>
    </row>
    <row r="120" spans="2:60" hidden="1" x14ac:dyDescent="0.2">
      <c r="B120" s="59"/>
      <c r="C120" s="59" t="s">
        <v>668</v>
      </c>
      <c r="D120" s="59" t="s">
        <v>651</v>
      </c>
      <c r="E120" s="60">
        <v>400</v>
      </c>
      <c r="F120" s="60">
        <v>380</v>
      </c>
      <c r="G120" s="60">
        <v>420</v>
      </c>
      <c r="H120" s="60">
        <v>380</v>
      </c>
      <c r="I120" s="60">
        <v>350</v>
      </c>
      <c r="J120" s="60">
        <v>400</v>
      </c>
      <c r="K120" s="60">
        <v>325</v>
      </c>
      <c r="L120" s="60">
        <v>320</v>
      </c>
      <c r="M120" s="60">
        <v>300</v>
      </c>
      <c r="N120" s="60">
        <v>280</v>
      </c>
      <c r="O120" s="60">
        <v>260</v>
      </c>
      <c r="P120" s="60">
        <v>250</v>
      </c>
      <c r="Q120" s="60">
        <v>260</v>
      </c>
      <c r="R120" s="60">
        <v>270</v>
      </c>
      <c r="S120" s="60">
        <v>250</v>
      </c>
      <c r="T120" s="60">
        <v>235</v>
      </c>
      <c r="U120" s="60">
        <v>200</v>
      </c>
      <c r="V120" s="60">
        <v>200</v>
      </c>
      <c r="W120" s="60">
        <v>170</v>
      </c>
      <c r="X120" s="60">
        <v>150</v>
      </c>
      <c r="Y120" s="60">
        <v>160</v>
      </c>
      <c r="Z120" s="60">
        <v>170</v>
      </c>
      <c r="AA120" s="60">
        <v>150</v>
      </c>
      <c r="AB120" s="60">
        <v>160</v>
      </c>
      <c r="AC120" s="60">
        <v>175</v>
      </c>
      <c r="AD120" s="60">
        <v>180</v>
      </c>
      <c r="AE120" s="60">
        <v>170</v>
      </c>
      <c r="AF120" s="60">
        <v>190</v>
      </c>
      <c r="AG120" s="60">
        <v>190</v>
      </c>
      <c r="AH120" s="60">
        <v>205</v>
      </c>
      <c r="AI120" s="60">
        <v>190</v>
      </c>
      <c r="AJ120" s="60">
        <v>250</v>
      </c>
      <c r="AK120" s="60">
        <v>230</v>
      </c>
      <c r="AL120" s="60">
        <v>200</v>
      </c>
      <c r="AM120" s="60">
        <v>250</v>
      </c>
      <c r="AN120" s="60">
        <v>220</v>
      </c>
      <c r="AO120" s="60">
        <v>250</v>
      </c>
      <c r="AP120" s="60">
        <v>280</v>
      </c>
      <c r="AQ120" s="60">
        <v>280</v>
      </c>
      <c r="AR120" s="60">
        <v>350</v>
      </c>
      <c r="AS120" s="60">
        <v>280</v>
      </c>
      <c r="AT120" s="60">
        <v>310</v>
      </c>
      <c r="AU120" s="60">
        <v>295</v>
      </c>
      <c r="AV120" s="60">
        <v>300</v>
      </c>
      <c r="AW120" s="60">
        <v>315</v>
      </c>
      <c r="AX120" s="60">
        <v>350</v>
      </c>
      <c r="AY120" s="60">
        <v>330</v>
      </c>
      <c r="AZ120" s="60">
        <v>400</v>
      </c>
      <c r="BA120" s="60">
        <v>385</v>
      </c>
      <c r="BB120" s="60">
        <v>380</v>
      </c>
      <c r="BC120" s="60">
        <v>400</v>
      </c>
      <c r="BD120" s="60">
        <v>430</v>
      </c>
      <c r="BE120" s="60">
        <v>410</v>
      </c>
      <c r="BF120" s="60">
        <v>400</v>
      </c>
      <c r="BG120" s="60">
        <v>400</v>
      </c>
      <c r="BH120" s="60">
        <v>420</v>
      </c>
    </row>
    <row r="121" spans="2:60" hidden="1" x14ac:dyDescent="0.2">
      <c r="B121" s="57"/>
      <c r="C121" s="57" t="s">
        <v>668</v>
      </c>
      <c r="D121" s="57" t="s">
        <v>652</v>
      </c>
      <c r="E121" s="58">
        <v>490</v>
      </c>
      <c r="F121" s="58">
        <v>500</v>
      </c>
      <c r="G121" s="58">
        <v>500</v>
      </c>
      <c r="H121" s="58">
        <v>500</v>
      </c>
      <c r="I121" s="58">
        <v>480</v>
      </c>
      <c r="J121" s="58">
        <v>470</v>
      </c>
      <c r="K121" s="58">
        <v>420</v>
      </c>
      <c r="L121" s="58">
        <v>380</v>
      </c>
      <c r="M121" s="58">
        <v>350</v>
      </c>
      <c r="N121" s="58">
        <v>330</v>
      </c>
      <c r="O121" s="58">
        <v>320</v>
      </c>
      <c r="P121" s="58">
        <v>300</v>
      </c>
      <c r="Q121" s="58">
        <v>300</v>
      </c>
      <c r="R121" s="58">
        <v>300</v>
      </c>
      <c r="S121" s="58">
        <v>280</v>
      </c>
      <c r="T121" s="58">
        <v>260</v>
      </c>
      <c r="U121" s="58">
        <v>240</v>
      </c>
      <c r="V121" s="58">
        <v>210</v>
      </c>
      <c r="W121" s="58">
        <v>190</v>
      </c>
      <c r="X121" s="58">
        <v>180</v>
      </c>
      <c r="Y121" s="58">
        <v>180</v>
      </c>
      <c r="Z121" s="58">
        <v>188</v>
      </c>
      <c r="AA121" s="58">
        <v>185</v>
      </c>
      <c r="AB121" s="58">
        <v>190</v>
      </c>
      <c r="AC121" s="58">
        <v>200</v>
      </c>
      <c r="AD121" s="58">
        <v>200</v>
      </c>
      <c r="AE121" s="58">
        <v>220</v>
      </c>
      <c r="AF121" s="58">
        <v>220</v>
      </c>
      <c r="AG121" s="58">
        <v>220</v>
      </c>
      <c r="AH121" s="58">
        <v>230</v>
      </c>
      <c r="AI121" s="58">
        <v>240</v>
      </c>
      <c r="AJ121" s="58">
        <v>240</v>
      </c>
      <c r="AK121" s="58">
        <v>250</v>
      </c>
      <c r="AL121" s="58">
        <v>260</v>
      </c>
      <c r="AM121" s="58">
        <v>260</v>
      </c>
      <c r="AN121" s="58">
        <v>285</v>
      </c>
      <c r="AO121" s="58">
        <v>300</v>
      </c>
      <c r="AP121" s="58">
        <v>300</v>
      </c>
      <c r="AQ121" s="58">
        <v>300</v>
      </c>
      <c r="AR121" s="58">
        <v>330</v>
      </c>
      <c r="AS121" s="58">
        <v>350</v>
      </c>
      <c r="AT121" s="58">
        <v>370</v>
      </c>
      <c r="AU121" s="58">
        <v>380</v>
      </c>
      <c r="AV121" s="58">
        <v>380</v>
      </c>
      <c r="AW121" s="58">
        <v>390</v>
      </c>
      <c r="AX121" s="58">
        <v>400</v>
      </c>
      <c r="AY121" s="58">
        <v>420</v>
      </c>
      <c r="AZ121" s="58">
        <v>430</v>
      </c>
      <c r="BA121" s="58">
        <v>450</v>
      </c>
      <c r="BB121" s="58">
        <v>460</v>
      </c>
      <c r="BC121" s="58">
        <v>470</v>
      </c>
      <c r="BD121" s="58">
        <v>485</v>
      </c>
      <c r="BE121" s="58">
        <v>490</v>
      </c>
      <c r="BF121" s="58">
        <v>500</v>
      </c>
      <c r="BG121" s="58">
        <v>495</v>
      </c>
      <c r="BH121" s="58">
        <v>500</v>
      </c>
    </row>
    <row r="122" spans="2:60" hidden="1" x14ac:dyDescent="0.2">
      <c r="B122" s="59"/>
      <c r="C122" s="59" t="s">
        <v>668</v>
      </c>
      <c r="D122" s="59" t="s">
        <v>653</v>
      </c>
      <c r="E122" s="60">
        <v>650</v>
      </c>
      <c r="F122" s="60">
        <v>650</v>
      </c>
      <c r="G122" s="60">
        <v>625</v>
      </c>
      <c r="H122" s="60">
        <v>630</v>
      </c>
      <c r="I122" s="60">
        <v>620</v>
      </c>
      <c r="J122" s="60">
        <v>580</v>
      </c>
      <c r="K122" s="60">
        <v>525</v>
      </c>
      <c r="L122" s="60">
        <v>470</v>
      </c>
      <c r="M122" s="60">
        <v>430</v>
      </c>
      <c r="N122" s="60">
        <v>400</v>
      </c>
      <c r="O122" s="60">
        <v>390</v>
      </c>
      <c r="P122" s="60">
        <v>380</v>
      </c>
      <c r="Q122" s="60">
        <v>400</v>
      </c>
      <c r="R122" s="60">
        <v>375</v>
      </c>
      <c r="S122" s="60">
        <v>350</v>
      </c>
      <c r="T122" s="60">
        <v>320</v>
      </c>
      <c r="U122" s="60">
        <v>290</v>
      </c>
      <c r="V122" s="60">
        <v>250</v>
      </c>
      <c r="W122" s="60">
        <v>250</v>
      </c>
      <c r="X122" s="60">
        <v>240</v>
      </c>
      <c r="Y122" s="60">
        <v>240</v>
      </c>
      <c r="Z122" s="60">
        <v>240</v>
      </c>
      <c r="AA122" s="60">
        <v>240</v>
      </c>
      <c r="AB122" s="60">
        <v>240</v>
      </c>
      <c r="AC122" s="60">
        <v>260</v>
      </c>
      <c r="AD122" s="60">
        <v>260</v>
      </c>
      <c r="AE122" s="60">
        <v>265</v>
      </c>
      <c r="AF122" s="60">
        <v>270</v>
      </c>
      <c r="AG122" s="60">
        <v>280</v>
      </c>
      <c r="AH122" s="60">
        <v>290</v>
      </c>
      <c r="AI122" s="60">
        <v>290</v>
      </c>
      <c r="AJ122" s="60">
        <v>300</v>
      </c>
      <c r="AK122" s="60">
        <v>315</v>
      </c>
      <c r="AL122" s="60">
        <v>320</v>
      </c>
      <c r="AM122" s="60">
        <v>340</v>
      </c>
      <c r="AN122" s="60">
        <v>350</v>
      </c>
      <c r="AO122" s="60">
        <v>375</v>
      </c>
      <c r="AP122" s="60">
        <v>380</v>
      </c>
      <c r="AQ122" s="60">
        <v>390</v>
      </c>
      <c r="AR122" s="60">
        <v>400</v>
      </c>
      <c r="AS122" s="60">
        <v>420</v>
      </c>
      <c r="AT122" s="60">
        <v>450</v>
      </c>
      <c r="AU122" s="60">
        <v>450</v>
      </c>
      <c r="AV122" s="60">
        <v>460</v>
      </c>
      <c r="AW122" s="60">
        <v>470</v>
      </c>
      <c r="AX122" s="60">
        <v>470</v>
      </c>
      <c r="AY122" s="60">
        <v>480</v>
      </c>
      <c r="AZ122" s="60">
        <v>500</v>
      </c>
      <c r="BA122" s="60">
        <v>520</v>
      </c>
      <c r="BB122" s="60">
        <v>550</v>
      </c>
      <c r="BC122" s="60">
        <v>550</v>
      </c>
      <c r="BD122" s="60">
        <v>560</v>
      </c>
      <c r="BE122" s="60">
        <v>570</v>
      </c>
      <c r="BF122" s="60">
        <v>580</v>
      </c>
      <c r="BG122" s="60">
        <v>580</v>
      </c>
      <c r="BH122" s="60">
        <v>580</v>
      </c>
    </row>
    <row r="123" spans="2:60" hidden="1" x14ac:dyDescent="0.2">
      <c r="B123" s="57"/>
      <c r="C123" s="57" t="s">
        <v>668</v>
      </c>
      <c r="D123" s="57" t="s">
        <v>654</v>
      </c>
      <c r="E123" s="58">
        <v>360</v>
      </c>
      <c r="F123" s="58">
        <v>500</v>
      </c>
      <c r="G123" s="58">
        <v>400</v>
      </c>
      <c r="H123" s="58">
        <v>400</v>
      </c>
      <c r="I123" s="58">
        <v>405</v>
      </c>
      <c r="J123" s="58">
        <v>400</v>
      </c>
      <c r="K123" s="58">
        <v>380</v>
      </c>
      <c r="L123" s="58">
        <v>370</v>
      </c>
      <c r="M123" s="58">
        <v>350</v>
      </c>
      <c r="N123" s="58">
        <v>260</v>
      </c>
      <c r="O123" s="58">
        <v>260</v>
      </c>
      <c r="P123" s="58">
        <v>250</v>
      </c>
      <c r="Q123" s="58">
        <v>265</v>
      </c>
      <c r="R123" s="58">
        <v>250</v>
      </c>
      <c r="S123" s="58">
        <v>250</v>
      </c>
      <c r="T123" s="58">
        <v>195</v>
      </c>
      <c r="U123" s="58">
        <v>170</v>
      </c>
      <c r="V123" s="58">
        <v>175</v>
      </c>
      <c r="W123" s="58"/>
      <c r="X123" s="58">
        <v>120</v>
      </c>
      <c r="Y123" s="58">
        <v>150</v>
      </c>
      <c r="Z123" s="58">
        <v>135</v>
      </c>
      <c r="AA123" s="58">
        <v>150</v>
      </c>
      <c r="AB123" s="58">
        <v>130</v>
      </c>
      <c r="AC123" s="58">
        <v>150</v>
      </c>
      <c r="AD123" s="58">
        <v>150</v>
      </c>
      <c r="AE123" s="58">
        <v>155</v>
      </c>
      <c r="AF123" s="58">
        <v>150</v>
      </c>
      <c r="AG123" s="58">
        <v>155</v>
      </c>
      <c r="AH123" s="58">
        <v>160</v>
      </c>
      <c r="AI123" s="58">
        <v>160</v>
      </c>
      <c r="AJ123" s="58">
        <v>190</v>
      </c>
      <c r="AK123" s="58">
        <v>180</v>
      </c>
      <c r="AL123" s="58">
        <v>170</v>
      </c>
      <c r="AM123" s="58">
        <v>210</v>
      </c>
      <c r="AN123" s="58">
        <v>220</v>
      </c>
      <c r="AO123" s="58">
        <v>220</v>
      </c>
      <c r="AP123" s="58">
        <v>230</v>
      </c>
      <c r="AQ123" s="58">
        <v>230</v>
      </c>
      <c r="AR123" s="58">
        <v>240</v>
      </c>
      <c r="AS123" s="58">
        <v>280</v>
      </c>
      <c r="AT123" s="58">
        <v>280</v>
      </c>
      <c r="AU123" s="58">
        <v>280</v>
      </c>
      <c r="AV123" s="58">
        <v>280</v>
      </c>
      <c r="AW123" s="58">
        <v>290</v>
      </c>
      <c r="AX123" s="58">
        <v>290</v>
      </c>
      <c r="AY123" s="58">
        <v>330</v>
      </c>
      <c r="AZ123" s="58">
        <v>335</v>
      </c>
      <c r="BA123" s="58">
        <v>320</v>
      </c>
      <c r="BB123" s="58">
        <v>360</v>
      </c>
      <c r="BC123" s="58">
        <v>360</v>
      </c>
      <c r="BD123" s="58">
        <v>350</v>
      </c>
      <c r="BE123" s="58">
        <v>350</v>
      </c>
      <c r="BF123" s="58">
        <v>400</v>
      </c>
      <c r="BG123" s="58">
        <v>350</v>
      </c>
      <c r="BH123" s="58">
        <v>350</v>
      </c>
    </row>
    <row r="124" spans="2:60" hidden="1" x14ac:dyDescent="0.2">
      <c r="B124" s="59"/>
      <c r="C124" s="59" t="s">
        <v>668</v>
      </c>
      <c r="D124" s="59" t="s">
        <v>655</v>
      </c>
      <c r="E124" s="60">
        <v>700</v>
      </c>
      <c r="F124" s="60">
        <v>580</v>
      </c>
      <c r="G124" s="60">
        <v>600</v>
      </c>
      <c r="H124" s="60">
        <v>550</v>
      </c>
      <c r="I124" s="60">
        <v>550</v>
      </c>
      <c r="J124" s="60">
        <v>525</v>
      </c>
      <c r="K124" s="60">
        <v>450</v>
      </c>
      <c r="L124" s="60">
        <v>450</v>
      </c>
      <c r="M124" s="60">
        <v>390</v>
      </c>
      <c r="N124" s="60">
        <v>350</v>
      </c>
      <c r="O124" s="60">
        <v>350</v>
      </c>
      <c r="P124" s="60">
        <v>360</v>
      </c>
      <c r="Q124" s="60">
        <v>340</v>
      </c>
      <c r="R124" s="60">
        <v>320</v>
      </c>
      <c r="S124" s="60">
        <v>300</v>
      </c>
      <c r="T124" s="60">
        <v>280</v>
      </c>
      <c r="U124" s="60">
        <v>250</v>
      </c>
      <c r="V124" s="60">
        <v>210</v>
      </c>
      <c r="W124" s="60">
        <v>200</v>
      </c>
      <c r="X124" s="60">
        <v>180</v>
      </c>
      <c r="Y124" s="60">
        <v>180</v>
      </c>
      <c r="Z124" s="60">
        <v>200</v>
      </c>
      <c r="AA124" s="60">
        <v>195</v>
      </c>
      <c r="AB124" s="60">
        <v>190</v>
      </c>
      <c r="AC124" s="60">
        <v>200</v>
      </c>
      <c r="AD124" s="60">
        <v>210</v>
      </c>
      <c r="AE124" s="60">
        <v>210</v>
      </c>
      <c r="AF124" s="60">
        <v>215</v>
      </c>
      <c r="AG124" s="60">
        <v>220</v>
      </c>
      <c r="AH124" s="60">
        <v>230</v>
      </c>
      <c r="AI124" s="60">
        <v>240</v>
      </c>
      <c r="AJ124" s="60">
        <v>240</v>
      </c>
      <c r="AK124" s="60">
        <v>250</v>
      </c>
      <c r="AL124" s="60">
        <v>250</v>
      </c>
      <c r="AM124" s="60">
        <v>265</v>
      </c>
      <c r="AN124" s="60">
        <v>280</v>
      </c>
      <c r="AO124" s="60">
        <v>300</v>
      </c>
      <c r="AP124" s="60">
        <v>330</v>
      </c>
      <c r="AQ124" s="60">
        <v>320</v>
      </c>
      <c r="AR124" s="60">
        <v>320</v>
      </c>
      <c r="AS124" s="60">
        <v>350</v>
      </c>
      <c r="AT124" s="60">
        <v>350</v>
      </c>
      <c r="AU124" s="60">
        <v>360</v>
      </c>
      <c r="AV124" s="60">
        <v>370</v>
      </c>
      <c r="AW124" s="60">
        <v>380</v>
      </c>
      <c r="AX124" s="60">
        <v>390</v>
      </c>
      <c r="AY124" s="60">
        <v>400</v>
      </c>
      <c r="AZ124" s="60">
        <v>420</v>
      </c>
      <c r="BA124" s="60">
        <v>420</v>
      </c>
      <c r="BB124" s="60">
        <v>450</v>
      </c>
      <c r="BC124" s="60">
        <v>450</v>
      </c>
      <c r="BD124" s="60">
        <v>450</v>
      </c>
      <c r="BE124" s="60">
        <v>460</v>
      </c>
      <c r="BF124" s="60">
        <v>460</v>
      </c>
      <c r="BG124" s="60">
        <v>480</v>
      </c>
      <c r="BH124" s="60">
        <v>480</v>
      </c>
    </row>
    <row r="125" spans="2:60" hidden="1" x14ac:dyDescent="0.2">
      <c r="B125" s="57"/>
      <c r="C125" s="57" t="s">
        <v>668</v>
      </c>
      <c r="D125" s="57" t="s">
        <v>656</v>
      </c>
      <c r="E125" s="58">
        <v>520</v>
      </c>
      <c r="F125" s="58">
        <v>550</v>
      </c>
      <c r="G125" s="58">
        <v>530</v>
      </c>
      <c r="H125" s="58">
        <v>550</v>
      </c>
      <c r="I125" s="58">
        <v>530</v>
      </c>
      <c r="J125" s="58">
        <v>500</v>
      </c>
      <c r="K125" s="58">
        <v>450</v>
      </c>
      <c r="L125" s="58">
        <v>420</v>
      </c>
      <c r="M125" s="58">
        <v>380</v>
      </c>
      <c r="N125" s="58">
        <v>350</v>
      </c>
      <c r="O125" s="58">
        <v>345</v>
      </c>
      <c r="P125" s="58">
        <v>340</v>
      </c>
      <c r="Q125" s="58">
        <v>330</v>
      </c>
      <c r="R125" s="58">
        <v>325</v>
      </c>
      <c r="S125" s="58">
        <v>300</v>
      </c>
      <c r="T125" s="58">
        <v>280</v>
      </c>
      <c r="U125" s="58">
        <v>250</v>
      </c>
      <c r="V125" s="58">
        <v>220</v>
      </c>
      <c r="W125" s="58">
        <v>200</v>
      </c>
      <c r="X125" s="58">
        <v>190</v>
      </c>
      <c r="Y125" s="58">
        <v>195</v>
      </c>
      <c r="Z125" s="58">
        <v>200</v>
      </c>
      <c r="AA125" s="58">
        <v>200</v>
      </c>
      <c r="AB125" s="58">
        <v>200</v>
      </c>
      <c r="AC125" s="58">
        <v>210</v>
      </c>
      <c r="AD125" s="58">
        <v>220</v>
      </c>
      <c r="AE125" s="58">
        <v>225</v>
      </c>
      <c r="AF125" s="58">
        <v>230</v>
      </c>
      <c r="AG125" s="58">
        <v>230</v>
      </c>
      <c r="AH125" s="58">
        <v>240</v>
      </c>
      <c r="AI125" s="58">
        <v>250</v>
      </c>
      <c r="AJ125" s="58">
        <v>250</v>
      </c>
      <c r="AK125" s="58">
        <v>260</v>
      </c>
      <c r="AL125" s="58">
        <v>260</v>
      </c>
      <c r="AM125" s="58">
        <v>280</v>
      </c>
      <c r="AN125" s="58">
        <v>295</v>
      </c>
      <c r="AO125" s="58">
        <v>300</v>
      </c>
      <c r="AP125" s="58">
        <v>320</v>
      </c>
      <c r="AQ125" s="58">
        <v>330</v>
      </c>
      <c r="AR125" s="58">
        <v>340</v>
      </c>
      <c r="AS125" s="58">
        <v>350</v>
      </c>
      <c r="AT125" s="58">
        <v>370</v>
      </c>
      <c r="AU125" s="58">
        <v>380</v>
      </c>
      <c r="AV125" s="58">
        <v>390</v>
      </c>
      <c r="AW125" s="58">
        <v>400</v>
      </c>
      <c r="AX125" s="58">
        <v>400</v>
      </c>
      <c r="AY125" s="58">
        <v>415</v>
      </c>
      <c r="AZ125" s="58">
        <v>420</v>
      </c>
      <c r="BA125" s="58">
        <v>440</v>
      </c>
      <c r="BB125" s="58">
        <v>460</v>
      </c>
      <c r="BC125" s="58">
        <v>460</v>
      </c>
      <c r="BD125" s="58">
        <v>480</v>
      </c>
      <c r="BE125" s="58">
        <v>500</v>
      </c>
      <c r="BF125" s="58">
        <v>500</v>
      </c>
      <c r="BG125" s="58">
        <v>500</v>
      </c>
      <c r="BH125" s="58">
        <v>500</v>
      </c>
    </row>
    <row r="126" spans="2:60" hidden="1" x14ac:dyDescent="0.2">
      <c r="B126" s="59"/>
      <c r="C126" s="59" t="s">
        <v>669</v>
      </c>
      <c r="D126" s="59" t="s">
        <v>648</v>
      </c>
      <c r="E126" s="60">
        <v>295</v>
      </c>
      <c r="F126" s="60">
        <v>285</v>
      </c>
      <c r="G126" s="60">
        <v>285</v>
      </c>
      <c r="H126" s="60">
        <v>285</v>
      </c>
      <c r="I126" s="60">
        <v>299</v>
      </c>
      <c r="J126" s="60">
        <v>290</v>
      </c>
      <c r="K126" s="60">
        <v>295</v>
      </c>
      <c r="L126" s="60">
        <v>295</v>
      </c>
      <c r="M126" s="60">
        <v>300</v>
      </c>
      <c r="N126" s="60">
        <v>295</v>
      </c>
      <c r="O126" s="60">
        <v>300</v>
      </c>
      <c r="P126" s="60">
        <v>300</v>
      </c>
      <c r="Q126" s="60">
        <v>300</v>
      </c>
      <c r="R126" s="60">
        <v>310</v>
      </c>
      <c r="S126" s="60">
        <v>310</v>
      </c>
      <c r="T126" s="60">
        <v>320</v>
      </c>
      <c r="U126" s="60">
        <v>330</v>
      </c>
      <c r="V126" s="60">
        <v>320</v>
      </c>
      <c r="W126" s="60">
        <v>315</v>
      </c>
      <c r="X126" s="60">
        <v>325</v>
      </c>
      <c r="Y126" s="60">
        <v>330</v>
      </c>
      <c r="Z126" s="60">
        <v>330</v>
      </c>
      <c r="AA126" s="60">
        <v>350</v>
      </c>
      <c r="AB126" s="60">
        <v>340</v>
      </c>
      <c r="AC126" s="60">
        <v>340</v>
      </c>
      <c r="AD126" s="60">
        <v>350</v>
      </c>
      <c r="AE126" s="60">
        <v>345</v>
      </c>
      <c r="AF126" s="60">
        <v>345</v>
      </c>
      <c r="AG126" s="60">
        <v>350</v>
      </c>
      <c r="AH126" s="60">
        <v>350</v>
      </c>
      <c r="AI126" s="60">
        <v>350</v>
      </c>
      <c r="AJ126" s="60">
        <v>360</v>
      </c>
      <c r="AK126" s="60">
        <v>360</v>
      </c>
      <c r="AL126" s="60">
        <v>340</v>
      </c>
      <c r="AM126" s="60">
        <v>350</v>
      </c>
      <c r="AN126" s="60">
        <v>360</v>
      </c>
      <c r="AO126" s="60">
        <v>380</v>
      </c>
      <c r="AP126" s="60">
        <v>380</v>
      </c>
      <c r="AQ126" s="60">
        <v>400</v>
      </c>
      <c r="AR126" s="60">
        <v>400</v>
      </c>
      <c r="AS126" s="60">
        <v>415</v>
      </c>
      <c r="AT126" s="60">
        <v>430</v>
      </c>
      <c r="AU126" s="60">
        <v>450</v>
      </c>
      <c r="AV126" s="60">
        <v>450</v>
      </c>
      <c r="AW126" s="60">
        <v>480</v>
      </c>
      <c r="AX126" s="60">
        <v>500</v>
      </c>
      <c r="AY126" s="60">
        <v>510</v>
      </c>
      <c r="AZ126" s="60">
        <v>520</v>
      </c>
      <c r="BA126" s="60">
        <v>550</v>
      </c>
      <c r="BB126" s="60">
        <v>550</v>
      </c>
      <c r="BC126" s="60">
        <v>550</v>
      </c>
      <c r="BD126" s="60">
        <v>550</v>
      </c>
      <c r="BE126" s="60">
        <v>580</v>
      </c>
      <c r="BF126" s="60">
        <v>580</v>
      </c>
      <c r="BG126" s="60">
        <v>580</v>
      </c>
      <c r="BH126" s="60">
        <v>600</v>
      </c>
    </row>
    <row r="127" spans="2:60" hidden="1" x14ac:dyDescent="0.2">
      <c r="B127" s="57"/>
      <c r="C127" s="57" t="s">
        <v>669</v>
      </c>
      <c r="D127" s="57" t="s">
        <v>649</v>
      </c>
      <c r="E127" s="58">
        <v>350</v>
      </c>
      <c r="F127" s="58">
        <v>350</v>
      </c>
      <c r="G127" s="58">
        <v>350</v>
      </c>
      <c r="H127" s="58">
        <v>344</v>
      </c>
      <c r="I127" s="58">
        <v>350</v>
      </c>
      <c r="J127" s="58">
        <v>350</v>
      </c>
      <c r="K127" s="58">
        <v>350</v>
      </c>
      <c r="L127" s="58">
        <v>350</v>
      </c>
      <c r="M127" s="58">
        <v>360</v>
      </c>
      <c r="N127" s="58">
        <v>360</v>
      </c>
      <c r="O127" s="58">
        <v>365</v>
      </c>
      <c r="P127" s="58">
        <v>365</v>
      </c>
      <c r="Q127" s="58">
        <v>375</v>
      </c>
      <c r="R127" s="58">
        <v>380</v>
      </c>
      <c r="S127" s="58">
        <v>380</v>
      </c>
      <c r="T127" s="58">
        <v>385</v>
      </c>
      <c r="U127" s="58">
        <v>400</v>
      </c>
      <c r="V127" s="58">
        <v>395</v>
      </c>
      <c r="W127" s="58">
        <v>400</v>
      </c>
      <c r="X127" s="58">
        <v>400</v>
      </c>
      <c r="Y127" s="58">
        <v>420</v>
      </c>
      <c r="Z127" s="58">
        <v>420</v>
      </c>
      <c r="AA127" s="58">
        <v>425</v>
      </c>
      <c r="AB127" s="58">
        <v>425</v>
      </c>
      <c r="AC127" s="58">
        <v>440</v>
      </c>
      <c r="AD127" s="58">
        <v>440</v>
      </c>
      <c r="AE127" s="58">
        <v>430</v>
      </c>
      <c r="AF127" s="58">
        <v>440</v>
      </c>
      <c r="AG127" s="58">
        <v>450</v>
      </c>
      <c r="AH127" s="58">
        <v>440</v>
      </c>
      <c r="AI127" s="58">
        <v>440</v>
      </c>
      <c r="AJ127" s="58">
        <v>450</v>
      </c>
      <c r="AK127" s="58">
        <v>450</v>
      </c>
      <c r="AL127" s="58">
        <v>430</v>
      </c>
      <c r="AM127" s="58">
        <v>450</v>
      </c>
      <c r="AN127" s="58">
        <v>450</v>
      </c>
      <c r="AO127" s="58">
        <v>470</v>
      </c>
      <c r="AP127" s="58">
        <v>500</v>
      </c>
      <c r="AQ127" s="58">
        <v>500</v>
      </c>
      <c r="AR127" s="58">
        <v>520</v>
      </c>
      <c r="AS127" s="58">
        <v>550</v>
      </c>
      <c r="AT127" s="58">
        <v>560</v>
      </c>
      <c r="AU127" s="58">
        <v>590</v>
      </c>
      <c r="AV127" s="58">
        <v>600</v>
      </c>
      <c r="AW127" s="58">
        <v>630</v>
      </c>
      <c r="AX127" s="58">
        <v>650</v>
      </c>
      <c r="AY127" s="58">
        <v>670</v>
      </c>
      <c r="AZ127" s="58">
        <v>680</v>
      </c>
      <c r="BA127" s="58">
        <v>700</v>
      </c>
      <c r="BB127" s="58">
        <v>715</v>
      </c>
      <c r="BC127" s="58">
        <v>700</v>
      </c>
      <c r="BD127" s="58">
        <v>715</v>
      </c>
      <c r="BE127" s="58">
        <v>750</v>
      </c>
      <c r="BF127" s="58">
        <v>750</v>
      </c>
      <c r="BG127" s="58">
        <v>750</v>
      </c>
      <c r="BH127" s="58">
        <v>770</v>
      </c>
    </row>
    <row r="128" spans="2:60" hidden="1" x14ac:dyDescent="0.2">
      <c r="B128" s="59"/>
      <c r="C128" s="59" t="s">
        <v>669</v>
      </c>
      <c r="D128" s="59" t="s">
        <v>650</v>
      </c>
      <c r="E128" s="60">
        <v>390</v>
      </c>
      <c r="F128" s="60">
        <v>380</v>
      </c>
      <c r="G128" s="60">
        <v>390</v>
      </c>
      <c r="H128" s="60">
        <v>390</v>
      </c>
      <c r="I128" s="60">
        <v>400</v>
      </c>
      <c r="J128" s="60">
        <v>390</v>
      </c>
      <c r="K128" s="60">
        <v>400</v>
      </c>
      <c r="L128" s="60">
        <v>400</v>
      </c>
      <c r="M128" s="60">
        <v>430</v>
      </c>
      <c r="N128" s="60">
        <v>400</v>
      </c>
      <c r="O128" s="60">
        <v>400</v>
      </c>
      <c r="P128" s="60">
        <v>405</v>
      </c>
      <c r="Q128" s="60">
        <v>440</v>
      </c>
      <c r="R128" s="60">
        <v>440</v>
      </c>
      <c r="S128" s="60">
        <v>430</v>
      </c>
      <c r="T128" s="60">
        <v>440</v>
      </c>
      <c r="U128" s="60">
        <v>450</v>
      </c>
      <c r="V128" s="60">
        <v>460</v>
      </c>
      <c r="W128" s="60">
        <v>450</v>
      </c>
      <c r="X128" s="60">
        <v>460</v>
      </c>
      <c r="Y128" s="60">
        <v>480</v>
      </c>
      <c r="Z128" s="60">
        <v>470</v>
      </c>
      <c r="AA128" s="60">
        <v>460</v>
      </c>
      <c r="AB128" s="60">
        <v>490</v>
      </c>
      <c r="AC128" s="60">
        <v>490</v>
      </c>
      <c r="AD128" s="60">
        <v>500</v>
      </c>
      <c r="AE128" s="60">
        <v>490</v>
      </c>
      <c r="AF128" s="60">
        <v>490</v>
      </c>
      <c r="AG128" s="60">
        <v>500</v>
      </c>
      <c r="AH128" s="60">
        <v>500</v>
      </c>
      <c r="AI128" s="60">
        <v>495</v>
      </c>
      <c r="AJ128" s="60">
        <v>520</v>
      </c>
      <c r="AK128" s="60">
        <v>530</v>
      </c>
      <c r="AL128" s="60">
        <v>510</v>
      </c>
      <c r="AM128" s="60">
        <v>530</v>
      </c>
      <c r="AN128" s="60">
        <v>560</v>
      </c>
      <c r="AO128" s="60">
        <v>580</v>
      </c>
      <c r="AP128" s="60">
        <v>600</v>
      </c>
      <c r="AQ128" s="60">
        <v>620</v>
      </c>
      <c r="AR128" s="60">
        <v>650</v>
      </c>
      <c r="AS128" s="60">
        <v>650</v>
      </c>
      <c r="AT128" s="60">
        <v>700</v>
      </c>
      <c r="AU128" s="60">
        <v>695</v>
      </c>
      <c r="AV128" s="60">
        <v>750</v>
      </c>
      <c r="AW128" s="60">
        <v>750</v>
      </c>
      <c r="AX128" s="60">
        <v>800</v>
      </c>
      <c r="AY128" s="60">
        <v>780</v>
      </c>
      <c r="AZ128" s="60">
        <v>800</v>
      </c>
      <c r="BA128" s="60">
        <v>850</v>
      </c>
      <c r="BB128" s="60">
        <v>860</v>
      </c>
      <c r="BC128" s="60">
        <v>850</v>
      </c>
      <c r="BD128" s="60">
        <v>850</v>
      </c>
      <c r="BE128" s="60">
        <v>900</v>
      </c>
      <c r="BF128" s="60">
        <v>950</v>
      </c>
      <c r="BG128" s="60">
        <v>925</v>
      </c>
      <c r="BH128" s="60">
        <v>925</v>
      </c>
    </row>
    <row r="129" spans="2:60" hidden="1" x14ac:dyDescent="0.2">
      <c r="B129" s="57"/>
      <c r="C129" s="57" t="s">
        <v>669</v>
      </c>
      <c r="D129" s="57" t="s">
        <v>651</v>
      </c>
      <c r="E129" s="58">
        <v>320</v>
      </c>
      <c r="F129" s="58">
        <v>350</v>
      </c>
      <c r="G129" s="58">
        <v>340</v>
      </c>
      <c r="H129" s="58">
        <v>336</v>
      </c>
      <c r="I129" s="58">
        <v>340</v>
      </c>
      <c r="J129" s="58">
        <v>340</v>
      </c>
      <c r="K129" s="58">
        <v>340</v>
      </c>
      <c r="L129" s="58">
        <v>350</v>
      </c>
      <c r="M129" s="58">
        <v>335</v>
      </c>
      <c r="N129" s="58">
        <v>340</v>
      </c>
      <c r="O129" s="58">
        <v>350</v>
      </c>
      <c r="P129" s="58">
        <v>360</v>
      </c>
      <c r="Q129" s="58">
        <v>340</v>
      </c>
      <c r="R129" s="58">
        <v>350</v>
      </c>
      <c r="S129" s="58">
        <v>360</v>
      </c>
      <c r="T129" s="58">
        <v>369</v>
      </c>
      <c r="U129" s="58">
        <v>360</v>
      </c>
      <c r="V129" s="58">
        <v>365</v>
      </c>
      <c r="W129" s="58">
        <v>360</v>
      </c>
      <c r="X129" s="58">
        <v>380</v>
      </c>
      <c r="Y129" s="58">
        <v>370</v>
      </c>
      <c r="Z129" s="58">
        <v>400</v>
      </c>
      <c r="AA129" s="58">
        <v>390</v>
      </c>
      <c r="AB129" s="58">
        <v>385</v>
      </c>
      <c r="AC129" s="58">
        <v>390</v>
      </c>
      <c r="AD129" s="58">
        <v>380</v>
      </c>
      <c r="AE129" s="58">
        <v>395</v>
      </c>
      <c r="AF129" s="58">
        <v>380</v>
      </c>
      <c r="AG129" s="58">
        <v>390</v>
      </c>
      <c r="AH129" s="58">
        <v>390</v>
      </c>
      <c r="AI129" s="58">
        <v>410</v>
      </c>
      <c r="AJ129" s="58">
        <v>415</v>
      </c>
      <c r="AK129" s="58">
        <v>420</v>
      </c>
      <c r="AL129" s="58">
        <v>420</v>
      </c>
      <c r="AM129" s="58">
        <v>410</v>
      </c>
      <c r="AN129" s="58">
        <v>400</v>
      </c>
      <c r="AO129" s="58">
        <v>450</v>
      </c>
      <c r="AP129" s="58">
        <v>450</v>
      </c>
      <c r="AQ129" s="58">
        <v>450</v>
      </c>
      <c r="AR129" s="58">
        <v>500</v>
      </c>
      <c r="AS129" s="58">
        <v>500</v>
      </c>
      <c r="AT129" s="58">
        <v>510</v>
      </c>
      <c r="AU129" s="58">
        <v>550</v>
      </c>
      <c r="AV129" s="58">
        <v>550</v>
      </c>
      <c r="AW129" s="58">
        <v>580</v>
      </c>
      <c r="AX129" s="58">
        <v>620</v>
      </c>
      <c r="AY129" s="58">
        <v>600</v>
      </c>
      <c r="AZ129" s="58">
        <v>625</v>
      </c>
      <c r="BA129" s="58">
        <v>630</v>
      </c>
      <c r="BB129" s="58">
        <v>650</v>
      </c>
      <c r="BC129" s="58">
        <v>640</v>
      </c>
      <c r="BD129" s="58">
        <v>650</v>
      </c>
      <c r="BE129" s="58">
        <v>695</v>
      </c>
      <c r="BF129" s="58">
        <v>690</v>
      </c>
      <c r="BG129" s="58">
        <v>690</v>
      </c>
      <c r="BH129" s="58">
        <v>700</v>
      </c>
    </row>
    <row r="130" spans="2:60" hidden="1" x14ac:dyDescent="0.2">
      <c r="B130" s="59"/>
      <c r="C130" s="59" t="s">
        <v>669</v>
      </c>
      <c r="D130" s="59" t="s">
        <v>652</v>
      </c>
      <c r="E130" s="60">
        <v>400</v>
      </c>
      <c r="F130" s="60">
        <v>410</v>
      </c>
      <c r="G130" s="60">
        <v>400</v>
      </c>
      <c r="H130" s="60">
        <v>410</v>
      </c>
      <c r="I130" s="60">
        <v>410</v>
      </c>
      <c r="J130" s="60">
        <v>420</v>
      </c>
      <c r="K130" s="60">
        <v>410</v>
      </c>
      <c r="L130" s="60">
        <v>420</v>
      </c>
      <c r="M130" s="60">
        <v>425</v>
      </c>
      <c r="N130" s="60">
        <v>430</v>
      </c>
      <c r="O130" s="60">
        <v>430</v>
      </c>
      <c r="P130" s="60">
        <v>445</v>
      </c>
      <c r="Q130" s="60">
        <v>445</v>
      </c>
      <c r="R130" s="60">
        <v>450</v>
      </c>
      <c r="S130" s="60">
        <v>450</v>
      </c>
      <c r="T130" s="60">
        <v>450</v>
      </c>
      <c r="U130" s="60">
        <v>460</v>
      </c>
      <c r="V130" s="60">
        <v>465</v>
      </c>
      <c r="W130" s="60">
        <v>460</v>
      </c>
      <c r="X130" s="60">
        <v>475</v>
      </c>
      <c r="Y130" s="60">
        <v>475</v>
      </c>
      <c r="Z130" s="60">
        <v>480</v>
      </c>
      <c r="AA130" s="60">
        <v>480</v>
      </c>
      <c r="AB130" s="60">
        <v>490</v>
      </c>
      <c r="AC130" s="60">
        <v>495</v>
      </c>
      <c r="AD130" s="60">
        <v>500</v>
      </c>
      <c r="AE130" s="60">
        <v>500</v>
      </c>
      <c r="AF130" s="60">
        <v>500</v>
      </c>
      <c r="AG130" s="60">
        <v>500</v>
      </c>
      <c r="AH130" s="60">
        <v>495</v>
      </c>
      <c r="AI130" s="60">
        <v>500</v>
      </c>
      <c r="AJ130" s="60">
        <v>520</v>
      </c>
      <c r="AK130" s="60">
        <v>510</v>
      </c>
      <c r="AL130" s="60">
        <v>500</v>
      </c>
      <c r="AM130" s="60">
        <v>500</v>
      </c>
      <c r="AN130" s="60">
        <v>540</v>
      </c>
      <c r="AO130" s="60">
        <v>560</v>
      </c>
      <c r="AP130" s="60">
        <v>580</v>
      </c>
      <c r="AQ130" s="60">
        <v>600</v>
      </c>
      <c r="AR130" s="60">
        <v>630</v>
      </c>
      <c r="AS130" s="60">
        <v>670</v>
      </c>
      <c r="AT130" s="60">
        <v>700</v>
      </c>
      <c r="AU130" s="60">
        <v>695</v>
      </c>
      <c r="AV130" s="60">
        <v>720</v>
      </c>
      <c r="AW130" s="60">
        <v>745</v>
      </c>
      <c r="AX130" s="60">
        <v>750</v>
      </c>
      <c r="AY130" s="60">
        <v>750</v>
      </c>
      <c r="AZ130" s="60">
        <v>750</v>
      </c>
      <c r="BA130" s="60">
        <v>790</v>
      </c>
      <c r="BB130" s="60">
        <v>795</v>
      </c>
      <c r="BC130" s="60">
        <v>785</v>
      </c>
      <c r="BD130" s="60">
        <v>800</v>
      </c>
      <c r="BE130" s="60">
        <v>820</v>
      </c>
      <c r="BF130" s="60">
        <v>830</v>
      </c>
      <c r="BG130" s="60">
        <v>850</v>
      </c>
      <c r="BH130" s="60">
        <v>860</v>
      </c>
    </row>
    <row r="131" spans="2:60" hidden="1" x14ac:dyDescent="0.2">
      <c r="B131" s="57"/>
      <c r="C131" s="57" t="s">
        <v>669</v>
      </c>
      <c r="D131" s="57" t="s">
        <v>653</v>
      </c>
      <c r="E131" s="58">
        <v>450</v>
      </c>
      <c r="F131" s="58">
        <v>455</v>
      </c>
      <c r="G131" s="58">
        <v>450</v>
      </c>
      <c r="H131" s="58">
        <v>460</v>
      </c>
      <c r="I131" s="58">
        <v>460</v>
      </c>
      <c r="J131" s="58">
        <v>460</v>
      </c>
      <c r="K131" s="58">
        <v>470</v>
      </c>
      <c r="L131" s="58">
        <v>470</v>
      </c>
      <c r="M131" s="58">
        <v>470</v>
      </c>
      <c r="N131" s="58">
        <v>470</v>
      </c>
      <c r="O131" s="58">
        <v>470</v>
      </c>
      <c r="P131" s="58">
        <v>480</v>
      </c>
      <c r="Q131" s="58">
        <v>475</v>
      </c>
      <c r="R131" s="58">
        <v>485</v>
      </c>
      <c r="S131" s="58">
        <v>475</v>
      </c>
      <c r="T131" s="58">
        <v>480</v>
      </c>
      <c r="U131" s="58">
        <v>480</v>
      </c>
      <c r="V131" s="58">
        <v>480</v>
      </c>
      <c r="W131" s="58">
        <v>465</v>
      </c>
      <c r="X131" s="58">
        <v>475</v>
      </c>
      <c r="Y131" s="58">
        <v>470</v>
      </c>
      <c r="Z131" s="58">
        <v>475</v>
      </c>
      <c r="AA131" s="58">
        <v>480</v>
      </c>
      <c r="AB131" s="58">
        <v>480</v>
      </c>
      <c r="AC131" s="58">
        <v>490</v>
      </c>
      <c r="AD131" s="58">
        <v>500</v>
      </c>
      <c r="AE131" s="58">
        <v>500</v>
      </c>
      <c r="AF131" s="58">
        <v>500</v>
      </c>
      <c r="AG131" s="58">
        <v>510</v>
      </c>
      <c r="AH131" s="58">
        <v>500</v>
      </c>
      <c r="AI131" s="58">
        <v>500</v>
      </c>
      <c r="AJ131" s="58">
        <v>515</v>
      </c>
      <c r="AK131" s="58">
        <v>510</v>
      </c>
      <c r="AL131" s="58">
        <v>520</v>
      </c>
      <c r="AM131" s="58">
        <v>530</v>
      </c>
      <c r="AN131" s="58">
        <v>550</v>
      </c>
      <c r="AO131" s="58">
        <v>560</v>
      </c>
      <c r="AP131" s="58">
        <v>600</v>
      </c>
      <c r="AQ131" s="58">
        <v>620</v>
      </c>
      <c r="AR131" s="58">
        <v>650</v>
      </c>
      <c r="AS131" s="58">
        <v>690</v>
      </c>
      <c r="AT131" s="58">
        <v>720</v>
      </c>
      <c r="AU131" s="58">
        <v>730</v>
      </c>
      <c r="AV131" s="58">
        <v>750</v>
      </c>
      <c r="AW131" s="58">
        <v>770</v>
      </c>
      <c r="AX131" s="58">
        <v>780</v>
      </c>
      <c r="AY131" s="58">
        <v>780</v>
      </c>
      <c r="AZ131" s="58">
        <v>800</v>
      </c>
      <c r="BA131" s="58">
        <v>850</v>
      </c>
      <c r="BB131" s="58">
        <v>850</v>
      </c>
      <c r="BC131" s="58">
        <v>850</v>
      </c>
      <c r="BD131" s="58">
        <v>855</v>
      </c>
      <c r="BE131" s="58">
        <v>890</v>
      </c>
      <c r="BF131" s="58">
        <v>900</v>
      </c>
      <c r="BG131" s="58">
        <v>900</v>
      </c>
      <c r="BH131" s="58">
        <v>930</v>
      </c>
    </row>
    <row r="132" spans="2:60" hidden="1" x14ac:dyDescent="0.2">
      <c r="B132" s="59"/>
      <c r="C132" s="59" t="s">
        <v>669</v>
      </c>
      <c r="D132" s="59" t="s">
        <v>654</v>
      </c>
      <c r="E132" s="60">
        <v>320</v>
      </c>
      <c r="F132" s="60">
        <v>315</v>
      </c>
      <c r="G132" s="60">
        <v>310</v>
      </c>
      <c r="H132" s="60">
        <v>315</v>
      </c>
      <c r="I132" s="60">
        <v>320</v>
      </c>
      <c r="J132" s="60">
        <v>320</v>
      </c>
      <c r="K132" s="60">
        <v>325</v>
      </c>
      <c r="L132" s="60">
        <v>330</v>
      </c>
      <c r="M132" s="60">
        <v>335</v>
      </c>
      <c r="N132" s="60">
        <v>330</v>
      </c>
      <c r="O132" s="60">
        <v>340</v>
      </c>
      <c r="P132" s="60">
        <v>345</v>
      </c>
      <c r="Q132" s="60">
        <v>345</v>
      </c>
      <c r="R132" s="60">
        <v>350</v>
      </c>
      <c r="S132" s="60">
        <v>350</v>
      </c>
      <c r="T132" s="60">
        <v>360</v>
      </c>
      <c r="U132" s="60">
        <v>365</v>
      </c>
      <c r="V132" s="60">
        <v>360</v>
      </c>
      <c r="W132" s="60">
        <v>350</v>
      </c>
      <c r="X132" s="60">
        <v>365</v>
      </c>
      <c r="Y132" s="60">
        <v>370</v>
      </c>
      <c r="Z132" s="60">
        <v>370</v>
      </c>
      <c r="AA132" s="60">
        <v>380</v>
      </c>
      <c r="AB132" s="60">
        <v>395</v>
      </c>
      <c r="AC132" s="60">
        <v>390</v>
      </c>
      <c r="AD132" s="60">
        <v>405</v>
      </c>
      <c r="AE132" s="60">
        <v>390</v>
      </c>
      <c r="AF132" s="60">
        <v>395</v>
      </c>
      <c r="AG132" s="60">
        <v>400</v>
      </c>
      <c r="AH132" s="60">
        <v>395</v>
      </c>
      <c r="AI132" s="60">
        <v>390</v>
      </c>
      <c r="AJ132" s="60">
        <v>400</v>
      </c>
      <c r="AK132" s="60">
        <v>400</v>
      </c>
      <c r="AL132" s="60">
        <v>395</v>
      </c>
      <c r="AM132" s="60">
        <v>400</v>
      </c>
      <c r="AN132" s="60">
        <v>420</v>
      </c>
      <c r="AO132" s="60">
        <v>420</v>
      </c>
      <c r="AP132" s="60">
        <v>440</v>
      </c>
      <c r="AQ132" s="60">
        <v>450</v>
      </c>
      <c r="AR132" s="60">
        <v>470</v>
      </c>
      <c r="AS132" s="60">
        <v>520</v>
      </c>
      <c r="AT132" s="60">
        <v>530</v>
      </c>
      <c r="AU132" s="60">
        <v>520</v>
      </c>
      <c r="AV132" s="60">
        <v>580</v>
      </c>
      <c r="AW132" s="60">
        <v>580</v>
      </c>
      <c r="AX132" s="60">
        <v>595</v>
      </c>
      <c r="AY132" s="60">
        <v>600</v>
      </c>
      <c r="AZ132" s="60">
        <v>610</v>
      </c>
      <c r="BA132" s="60">
        <v>650</v>
      </c>
      <c r="BB132" s="60">
        <v>650</v>
      </c>
      <c r="BC132" s="60">
        <v>650</v>
      </c>
      <c r="BD132" s="60">
        <v>660</v>
      </c>
      <c r="BE132" s="60">
        <v>680</v>
      </c>
      <c r="BF132" s="60">
        <v>700</v>
      </c>
      <c r="BG132" s="60">
        <v>700</v>
      </c>
      <c r="BH132" s="60">
        <v>700</v>
      </c>
    </row>
    <row r="133" spans="2:60" hidden="1" x14ac:dyDescent="0.2">
      <c r="B133" s="57"/>
      <c r="C133" s="57" t="s">
        <v>669</v>
      </c>
      <c r="D133" s="57" t="s">
        <v>655</v>
      </c>
      <c r="E133" s="58">
        <v>360</v>
      </c>
      <c r="F133" s="58">
        <v>365</v>
      </c>
      <c r="G133" s="58">
        <v>360</v>
      </c>
      <c r="H133" s="58">
        <v>370</v>
      </c>
      <c r="I133" s="58">
        <v>375</v>
      </c>
      <c r="J133" s="58">
        <v>370</v>
      </c>
      <c r="K133" s="58">
        <v>380</v>
      </c>
      <c r="L133" s="58">
        <v>380</v>
      </c>
      <c r="M133" s="58">
        <v>380</v>
      </c>
      <c r="N133" s="58">
        <v>380</v>
      </c>
      <c r="O133" s="58">
        <v>390</v>
      </c>
      <c r="P133" s="58">
        <v>395</v>
      </c>
      <c r="Q133" s="58">
        <v>390</v>
      </c>
      <c r="R133" s="58">
        <v>400</v>
      </c>
      <c r="S133" s="58">
        <v>400</v>
      </c>
      <c r="T133" s="58">
        <v>410</v>
      </c>
      <c r="U133" s="58">
        <v>405</v>
      </c>
      <c r="V133" s="58">
        <v>400</v>
      </c>
      <c r="W133" s="58">
        <v>400</v>
      </c>
      <c r="X133" s="58">
        <v>420</v>
      </c>
      <c r="Y133" s="58">
        <v>420</v>
      </c>
      <c r="Z133" s="58">
        <v>420</v>
      </c>
      <c r="AA133" s="58">
        <v>425</v>
      </c>
      <c r="AB133" s="58">
        <v>430</v>
      </c>
      <c r="AC133" s="58">
        <v>435</v>
      </c>
      <c r="AD133" s="58">
        <v>440</v>
      </c>
      <c r="AE133" s="58">
        <v>450</v>
      </c>
      <c r="AF133" s="58">
        <v>450</v>
      </c>
      <c r="AG133" s="58">
        <v>450</v>
      </c>
      <c r="AH133" s="58">
        <v>450</v>
      </c>
      <c r="AI133" s="58">
        <v>450</v>
      </c>
      <c r="AJ133" s="58">
        <v>450</v>
      </c>
      <c r="AK133" s="58">
        <v>460</v>
      </c>
      <c r="AL133" s="58">
        <v>450</v>
      </c>
      <c r="AM133" s="58">
        <v>465</v>
      </c>
      <c r="AN133" s="58">
        <v>470</v>
      </c>
      <c r="AO133" s="58">
        <v>480</v>
      </c>
      <c r="AP133" s="58">
        <v>510</v>
      </c>
      <c r="AQ133" s="58">
        <v>530</v>
      </c>
      <c r="AR133" s="58">
        <v>550</v>
      </c>
      <c r="AS133" s="58">
        <v>590</v>
      </c>
      <c r="AT133" s="58">
        <v>600</v>
      </c>
      <c r="AU133" s="58">
        <v>600</v>
      </c>
      <c r="AV133" s="58">
        <v>650</v>
      </c>
      <c r="AW133" s="58">
        <v>660</v>
      </c>
      <c r="AX133" s="58">
        <v>695</v>
      </c>
      <c r="AY133" s="58">
        <v>700</v>
      </c>
      <c r="AZ133" s="58">
        <v>700</v>
      </c>
      <c r="BA133" s="58">
        <v>750</v>
      </c>
      <c r="BB133" s="58">
        <v>720</v>
      </c>
      <c r="BC133" s="58">
        <v>750</v>
      </c>
      <c r="BD133" s="58">
        <v>760</v>
      </c>
      <c r="BE133" s="58">
        <v>770</v>
      </c>
      <c r="BF133" s="58">
        <v>775</v>
      </c>
      <c r="BG133" s="58">
        <v>770</v>
      </c>
      <c r="BH133" s="58">
        <v>800</v>
      </c>
    </row>
    <row r="134" spans="2:60" hidden="1" x14ac:dyDescent="0.2">
      <c r="B134" s="59"/>
      <c r="C134" s="59" t="s">
        <v>669</v>
      </c>
      <c r="D134" s="59" t="s">
        <v>656</v>
      </c>
      <c r="E134" s="60">
        <v>360</v>
      </c>
      <c r="F134" s="60">
        <v>370</v>
      </c>
      <c r="G134" s="60">
        <v>365</v>
      </c>
      <c r="H134" s="60">
        <v>370</v>
      </c>
      <c r="I134" s="60">
        <v>370</v>
      </c>
      <c r="J134" s="60">
        <v>375</v>
      </c>
      <c r="K134" s="60">
        <v>375</v>
      </c>
      <c r="L134" s="60">
        <v>380</v>
      </c>
      <c r="M134" s="60">
        <v>375</v>
      </c>
      <c r="N134" s="60">
        <v>385</v>
      </c>
      <c r="O134" s="60">
        <v>385</v>
      </c>
      <c r="P134" s="60">
        <v>400</v>
      </c>
      <c r="Q134" s="60">
        <v>390</v>
      </c>
      <c r="R134" s="60">
        <v>400</v>
      </c>
      <c r="S134" s="60">
        <v>400</v>
      </c>
      <c r="T134" s="60">
        <v>420</v>
      </c>
      <c r="U134" s="60">
        <v>405</v>
      </c>
      <c r="V134" s="60">
        <v>420</v>
      </c>
      <c r="W134" s="60">
        <v>420</v>
      </c>
      <c r="X134" s="60">
        <v>425</v>
      </c>
      <c r="Y134" s="60">
        <v>420</v>
      </c>
      <c r="Z134" s="60">
        <v>430</v>
      </c>
      <c r="AA134" s="60">
        <v>430</v>
      </c>
      <c r="AB134" s="60">
        <v>435</v>
      </c>
      <c r="AC134" s="60">
        <v>435</v>
      </c>
      <c r="AD134" s="60">
        <v>440</v>
      </c>
      <c r="AE134" s="60">
        <v>440</v>
      </c>
      <c r="AF134" s="60">
        <v>450</v>
      </c>
      <c r="AG134" s="60">
        <v>440</v>
      </c>
      <c r="AH134" s="60">
        <v>450</v>
      </c>
      <c r="AI134" s="60">
        <v>450</v>
      </c>
      <c r="AJ134" s="60">
        <v>450</v>
      </c>
      <c r="AK134" s="60">
        <v>450</v>
      </c>
      <c r="AL134" s="60">
        <v>445</v>
      </c>
      <c r="AM134" s="60">
        <v>450</v>
      </c>
      <c r="AN134" s="60">
        <v>460</v>
      </c>
      <c r="AO134" s="60">
        <v>465</v>
      </c>
      <c r="AP134" s="60">
        <v>500</v>
      </c>
      <c r="AQ134" s="60">
        <v>510</v>
      </c>
      <c r="AR134" s="60">
        <v>530</v>
      </c>
      <c r="AS134" s="60">
        <v>550</v>
      </c>
      <c r="AT134" s="60">
        <v>600</v>
      </c>
      <c r="AU134" s="60">
        <v>610</v>
      </c>
      <c r="AV134" s="60">
        <v>630</v>
      </c>
      <c r="AW134" s="60">
        <v>650</v>
      </c>
      <c r="AX134" s="60">
        <v>655</v>
      </c>
      <c r="AY134" s="60">
        <v>675</v>
      </c>
      <c r="AZ134" s="60">
        <v>690</v>
      </c>
      <c r="BA134" s="60">
        <v>700</v>
      </c>
      <c r="BB134" s="60">
        <v>720</v>
      </c>
      <c r="BC134" s="60">
        <v>720</v>
      </c>
      <c r="BD134" s="60">
        <v>730</v>
      </c>
      <c r="BE134" s="60">
        <v>750</v>
      </c>
      <c r="BF134" s="60">
        <v>750</v>
      </c>
      <c r="BG134" s="60">
        <v>760</v>
      </c>
      <c r="BH134" s="60">
        <v>780</v>
      </c>
    </row>
    <row r="135" spans="2:60" hidden="1" x14ac:dyDescent="0.2">
      <c r="B135" s="57"/>
      <c r="C135" s="57" t="s">
        <v>670</v>
      </c>
      <c r="D135" s="57" t="s">
        <v>648</v>
      </c>
      <c r="E135" s="58"/>
      <c r="F135" s="58"/>
      <c r="G135" s="58"/>
      <c r="H135" s="58"/>
      <c r="I135" s="58">
        <v>130</v>
      </c>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row>
    <row r="136" spans="2:60" hidden="1" x14ac:dyDescent="0.2">
      <c r="B136" s="59"/>
      <c r="C136" s="59" t="s">
        <v>670</v>
      </c>
      <c r="D136" s="59" t="s">
        <v>649</v>
      </c>
      <c r="E136" s="60">
        <v>190</v>
      </c>
      <c r="F136" s="60">
        <v>170</v>
      </c>
      <c r="G136" s="60">
        <v>180</v>
      </c>
      <c r="H136" s="60">
        <v>180</v>
      </c>
      <c r="I136" s="60">
        <v>180</v>
      </c>
      <c r="J136" s="60">
        <v>180</v>
      </c>
      <c r="K136" s="60">
        <v>190</v>
      </c>
      <c r="L136" s="60">
        <v>190</v>
      </c>
      <c r="M136" s="60">
        <v>190</v>
      </c>
      <c r="N136" s="60">
        <v>200</v>
      </c>
      <c r="O136" s="60">
        <v>190</v>
      </c>
      <c r="P136" s="60">
        <v>200</v>
      </c>
      <c r="Q136" s="60">
        <v>195</v>
      </c>
      <c r="R136" s="60">
        <v>200</v>
      </c>
      <c r="S136" s="60">
        <v>190</v>
      </c>
      <c r="T136" s="60">
        <v>190</v>
      </c>
      <c r="U136" s="60">
        <v>190</v>
      </c>
      <c r="V136" s="60">
        <v>195</v>
      </c>
      <c r="W136" s="60"/>
      <c r="X136" s="60">
        <v>225</v>
      </c>
      <c r="Y136" s="60">
        <v>200</v>
      </c>
      <c r="Z136" s="60">
        <v>215</v>
      </c>
      <c r="AA136" s="60">
        <v>200</v>
      </c>
      <c r="AB136" s="60">
        <v>200</v>
      </c>
      <c r="AC136" s="60">
        <v>220</v>
      </c>
      <c r="AD136" s="60">
        <v>220</v>
      </c>
      <c r="AE136" s="60">
        <v>230</v>
      </c>
      <c r="AF136" s="60">
        <v>240</v>
      </c>
      <c r="AG136" s="60">
        <v>230</v>
      </c>
      <c r="AH136" s="60">
        <v>200</v>
      </c>
      <c r="AI136" s="60">
        <v>230</v>
      </c>
      <c r="AJ136" s="60">
        <v>220</v>
      </c>
      <c r="AK136" s="60">
        <v>250</v>
      </c>
      <c r="AL136" s="60">
        <v>230</v>
      </c>
      <c r="AM136" s="60">
        <v>240</v>
      </c>
      <c r="AN136" s="60">
        <v>250</v>
      </c>
      <c r="AO136" s="60">
        <v>250</v>
      </c>
      <c r="AP136" s="60">
        <v>230</v>
      </c>
      <c r="AQ136" s="60">
        <v>230</v>
      </c>
      <c r="AR136" s="60">
        <v>240</v>
      </c>
      <c r="AS136" s="60">
        <v>250</v>
      </c>
      <c r="AT136" s="60">
        <v>255</v>
      </c>
      <c r="AU136" s="60">
        <v>300</v>
      </c>
      <c r="AV136" s="60">
        <v>250</v>
      </c>
      <c r="AW136" s="60">
        <v>290</v>
      </c>
      <c r="AX136" s="60">
        <v>280</v>
      </c>
      <c r="AY136" s="60">
        <v>300</v>
      </c>
      <c r="AZ136" s="60">
        <v>290</v>
      </c>
      <c r="BA136" s="60">
        <v>360</v>
      </c>
      <c r="BB136" s="60"/>
      <c r="BC136" s="60">
        <v>350</v>
      </c>
      <c r="BD136" s="60">
        <v>350</v>
      </c>
      <c r="BE136" s="60">
        <v>320</v>
      </c>
      <c r="BF136" s="60">
        <v>300</v>
      </c>
      <c r="BG136" s="60">
        <v>325</v>
      </c>
      <c r="BH136" s="60">
        <v>320</v>
      </c>
    </row>
    <row r="137" spans="2:60" hidden="1" x14ac:dyDescent="0.2">
      <c r="B137" s="57"/>
      <c r="C137" s="57" t="s">
        <v>670</v>
      </c>
      <c r="D137" s="57" t="s">
        <v>650</v>
      </c>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row>
    <row r="138" spans="2:60" hidden="1" x14ac:dyDescent="0.2">
      <c r="B138" s="59"/>
      <c r="C138" s="59" t="s">
        <v>670</v>
      </c>
      <c r="D138" s="59" t="s">
        <v>651</v>
      </c>
      <c r="E138" s="60"/>
      <c r="F138" s="60"/>
      <c r="G138" s="60"/>
      <c r="H138" s="60"/>
      <c r="I138" s="60">
        <v>245</v>
      </c>
      <c r="J138" s="60">
        <v>220</v>
      </c>
      <c r="K138" s="60"/>
      <c r="L138" s="60"/>
      <c r="M138" s="60"/>
      <c r="N138" s="60"/>
      <c r="O138" s="60"/>
      <c r="P138" s="60"/>
      <c r="Q138" s="60">
        <v>270</v>
      </c>
      <c r="R138" s="60"/>
      <c r="S138" s="60"/>
      <c r="T138" s="60"/>
      <c r="U138" s="60">
        <v>200</v>
      </c>
      <c r="V138" s="60"/>
      <c r="W138" s="60"/>
      <c r="X138" s="60">
        <v>235</v>
      </c>
      <c r="Y138" s="60"/>
      <c r="Z138" s="60">
        <v>270</v>
      </c>
      <c r="AA138" s="60">
        <v>245</v>
      </c>
      <c r="AB138" s="60"/>
      <c r="AC138" s="60"/>
      <c r="AD138" s="60">
        <v>255</v>
      </c>
      <c r="AE138" s="60"/>
      <c r="AF138" s="60"/>
      <c r="AG138" s="60"/>
      <c r="AH138" s="60"/>
      <c r="AI138" s="60"/>
      <c r="AJ138" s="60">
        <v>255</v>
      </c>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row>
    <row r="139" spans="2:60" hidden="1" x14ac:dyDescent="0.2">
      <c r="B139" s="57"/>
      <c r="C139" s="57" t="s">
        <v>670</v>
      </c>
      <c r="D139" s="57" t="s">
        <v>652</v>
      </c>
      <c r="E139" s="58">
        <v>265</v>
      </c>
      <c r="F139" s="58">
        <v>275</v>
      </c>
      <c r="G139" s="58">
        <v>270</v>
      </c>
      <c r="H139" s="58">
        <v>265</v>
      </c>
      <c r="I139" s="58">
        <v>270</v>
      </c>
      <c r="J139" s="58">
        <v>270</v>
      </c>
      <c r="K139" s="58">
        <v>280</v>
      </c>
      <c r="L139" s="58">
        <v>260</v>
      </c>
      <c r="M139" s="58">
        <v>285</v>
      </c>
      <c r="N139" s="58">
        <v>290</v>
      </c>
      <c r="O139" s="58">
        <v>280</v>
      </c>
      <c r="P139" s="58">
        <v>260</v>
      </c>
      <c r="Q139" s="58">
        <v>290</v>
      </c>
      <c r="R139" s="58">
        <v>290</v>
      </c>
      <c r="S139" s="58">
        <v>275</v>
      </c>
      <c r="T139" s="58">
        <v>280</v>
      </c>
      <c r="U139" s="58">
        <v>265</v>
      </c>
      <c r="V139" s="58">
        <v>275</v>
      </c>
      <c r="W139" s="58"/>
      <c r="X139" s="58">
        <v>280</v>
      </c>
      <c r="Y139" s="58">
        <v>285</v>
      </c>
      <c r="Z139" s="58">
        <v>295</v>
      </c>
      <c r="AA139" s="58">
        <v>280</v>
      </c>
      <c r="AB139" s="58">
        <v>270</v>
      </c>
      <c r="AC139" s="58">
        <v>300</v>
      </c>
      <c r="AD139" s="58">
        <v>300</v>
      </c>
      <c r="AE139" s="58">
        <v>290</v>
      </c>
      <c r="AF139" s="58">
        <v>300</v>
      </c>
      <c r="AG139" s="58">
        <v>300</v>
      </c>
      <c r="AH139" s="58">
        <v>300</v>
      </c>
      <c r="AI139" s="58">
        <v>290</v>
      </c>
      <c r="AJ139" s="58">
        <v>300</v>
      </c>
      <c r="AK139" s="58">
        <v>300</v>
      </c>
      <c r="AL139" s="58">
        <v>300</v>
      </c>
      <c r="AM139" s="58">
        <v>310</v>
      </c>
      <c r="AN139" s="58">
        <v>300</v>
      </c>
      <c r="AO139" s="58">
        <v>320</v>
      </c>
      <c r="AP139" s="58">
        <v>320</v>
      </c>
      <c r="AQ139" s="58">
        <v>320</v>
      </c>
      <c r="AR139" s="58">
        <v>310</v>
      </c>
      <c r="AS139" s="58">
        <v>320</v>
      </c>
      <c r="AT139" s="58">
        <v>350</v>
      </c>
      <c r="AU139" s="58">
        <v>325</v>
      </c>
      <c r="AV139" s="58">
        <v>345</v>
      </c>
      <c r="AW139" s="58">
        <v>340</v>
      </c>
      <c r="AX139" s="58">
        <v>350</v>
      </c>
      <c r="AY139" s="58">
        <v>350</v>
      </c>
      <c r="AZ139" s="58">
        <v>350</v>
      </c>
      <c r="BA139" s="58">
        <v>400</v>
      </c>
      <c r="BB139" s="58">
        <v>360</v>
      </c>
      <c r="BC139" s="58">
        <v>420</v>
      </c>
      <c r="BD139" s="58">
        <v>400</v>
      </c>
      <c r="BE139" s="58">
        <v>430</v>
      </c>
      <c r="BF139" s="58">
        <v>480</v>
      </c>
      <c r="BG139" s="58">
        <v>450</v>
      </c>
      <c r="BH139" s="58">
        <v>450</v>
      </c>
    </row>
    <row r="140" spans="2:60" hidden="1" x14ac:dyDescent="0.2">
      <c r="B140" s="59"/>
      <c r="C140" s="59" t="s">
        <v>670</v>
      </c>
      <c r="D140" s="59" t="s">
        <v>653</v>
      </c>
      <c r="E140" s="60">
        <v>310</v>
      </c>
      <c r="F140" s="60">
        <v>310</v>
      </c>
      <c r="G140" s="60">
        <v>360</v>
      </c>
      <c r="H140" s="60">
        <v>370</v>
      </c>
      <c r="I140" s="60">
        <v>350</v>
      </c>
      <c r="J140" s="60">
        <v>350</v>
      </c>
      <c r="K140" s="60">
        <v>310</v>
      </c>
      <c r="L140" s="60">
        <v>350</v>
      </c>
      <c r="M140" s="60">
        <v>350</v>
      </c>
      <c r="N140" s="60">
        <v>400</v>
      </c>
      <c r="O140" s="60">
        <v>370</v>
      </c>
      <c r="P140" s="60">
        <v>320</v>
      </c>
      <c r="Q140" s="60">
        <v>380</v>
      </c>
      <c r="R140" s="60">
        <v>360</v>
      </c>
      <c r="S140" s="60">
        <v>320</v>
      </c>
      <c r="T140" s="60">
        <v>390</v>
      </c>
      <c r="U140" s="60">
        <v>340</v>
      </c>
      <c r="V140" s="60">
        <v>390</v>
      </c>
      <c r="W140" s="60"/>
      <c r="X140" s="60">
        <v>420</v>
      </c>
      <c r="Y140" s="60">
        <v>320</v>
      </c>
      <c r="Z140" s="60">
        <v>350</v>
      </c>
      <c r="AA140" s="60">
        <v>380</v>
      </c>
      <c r="AB140" s="60">
        <v>420</v>
      </c>
      <c r="AC140" s="60">
        <v>380</v>
      </c>
      <c r="AD140" s="60">
        <v>440</v>
      </c>
      <c r="AE140" s="60">
        <v>380</v>
      </c>
      <c r="AF140" s="60">
        <v>420</v>
      </c>
      <c r="AG140" s="60">
        <v>380</v>
      </c>
      <c r="AH140" s="60"/>
      <c r="AI140" s="60">
        <v>380</v>
      </c>
      <c r="AJ140" s="60">
        <v>400</v>
      </c>
      <c r="AK140" s="60">
        <v>400</v>
      </c>
      <c r="AL140" s="60">
        <v>360</v>
      </c>
      <c r="AM140" s="60">
        <v>385</v>
      </c>
      <c r="AN140" s="60">
        <v>425</v>
      </c>
      <c r="AO140" s="60">
        <v>390</v>
      </c>
      <c r="AP140" s="60">
        <v>400</v>
      </c>
      <c r="AQ140" s="60">
        <v>400</v>
      </c>
      <c r="AR140" s="60">
        <v>390</v>
      </c>
      <c r="AS140" s="60">
        <v>450</v>
      </c>
      <c r="AT140" s="60">
        <v>400</v>
      </c>
      <c r="AU140" s="60">
        <v>400</v>
      </c>
      <c r="AV140" s="60">
        <v>440</v>
      </c>
      <c r="AW140" s="60">
        <v>410</v>
      </c>
      <c r="AX140" s="60">
        <v>490</v>
      </c>
      <c r="AY140" s="60">
        <v>500</v>
      </c>
      <c r="AZ140" s="60">
        <v>500</v>
      </c>
      <c r="BA140" s="60">
        <v>425</v>
      </c>
      <c r="BB140" s="60">
        <v>525</v>
      </c>
      <c r="BC140" s="60">
        <v>580</v>
      </c>
      <c r="BD140" s="60">
        <v>600</v>
      </c>
      <c r="BE140" s="60">
        <v>630</v>
      </c>
      <c r="BF140" s="60">
        <v>550</v>
      </c>
      <c r="BG140" s="60">
        <v>550</v>
      </c>
      <c r="BH140" s="60">
        <v>550</v>
      </c>
    </row>
    <row r="141" spans="2:60" hidden="1" x14ac:dyDescent="0.2">
      <c r="B141" s="57"/>
      <c r="C141" s="57" t="s">
        <v>670</v>
      </c>
      <c r="D141" s="57" t="s">
        <v>654</v>
      </c>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row>
    <row r="142" spans="2:60" hidden="1" x14ac:dyDescent="0.2">
      <c r="B142" s="59"/>
      <c r="C142" s="59" t="s">
        <v>670</v>
      </c>
      <c r="D142" s="59" t="s">
        <v>655</v>
      </c>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row>
    <row r="143" spans="2:60" hidden="1" x14ac:dyDescent="0.2">
      <c r="B143" s="57"/>
      <c r="C143" s="57" t="s">
        <v>670</v>
      </c>
      <c r="D143" s="57" t="s">
        <v>656</v>
      </c>
      <c r="E143" s="58">
        <v>250</v>
      </c>
      <c r="F143" s="58">
        <v>250</v>
      </c>
      <c r="G143" s="58">
        <v>265</v>
      </c>
      <c r="H143" s="58">
        <v>270</v>
      </c>
      <c r="I143" s="58">
        <v>260</v>
      </c>
      <c r="J143" s="58">
        <v>250</v>
      </c>
      <c r="K143" s="58">
        <v>250</v>
      </c>
      <c r="L143" s="58">
        <v>250</v>
      </c>
      <c r="M143" s="58">
        <v>230</v>
      </c>
      <c r="N143" s="58">
        <v>265</v>
      </c>
      <c r="O143" s="58">
        <v>280</v>
      </c>
      <c r="P143" s="58">
        <v>250</v>
      </c>
      <c r="Q143" s="58">
        <v>275</v>
      </c>
      <c r="R143" s="58">
        <v>270</v>
      </c>
      <c r="S143" s="58">
        <v>260</v>
      </c>
      <c r="T143" s="58">
        <v>280</v>
      </c>
      <c r="U143" s="58">
        <v>250</v>
      </c>
      <c r="V143" s="58">
        <v>260</v>
      </c>
      <c r="W143" s="58">
        <v>250</v>
      </c>
      <c r="X143" s="58">
        <v>265</v>
      </c>
      <c r="Y143" s="58">
        <v>255</v>
      </c>
      <c r="Z143" s="58">
        <v>285</v>
      </c>
      <c r="AA143" s="58">
        <v>250</v>
      </c>
      <c r="AB143" s="58">
        <v>250</v>
      </c>
      <c r="AC143" s="58">
        <v>285</v>
      </c>
      <c r="AD143" s="58">
        <v>280</v>
      </c>
      <c r="AE143" s="58">
        <v>290</v>
      </c>
      <c r="AF143" s="58">
        <v>275</v>
      </c>
      <c r="AG143" s="58">
        <v>300</v>
      </c>
      <c r="AH143" s="58">
        <v>280</v>
      </c>
      <c r="AI143" s="58">
        <v>285</v>
      </c>
      <c r="AJ143" s="58">
        <v>285</v>
      </c>
      <c r="AK143" s="58">
        <v>290</v>
      </c>
      <c r="AL143" s="58">
        <v>270</v>
      </c>
      <c r="AM143" s="58">
        <v>300</v>
      </c>
      <c r="AN143" s="58">
        <v>285</v>
      </c>
      <c r="AO143" s="58">
        <v>300</v>
      </c>
      <c r="AP143" s="58">
        <v>275</v>
      </c>
      <c r="AQ143" s="58">
        <v>290</v>
      </c>
      <c r="AR143" s="58">
        <v>290</v>
      </c>
      <c r="AS143" s="58">
        <v>320</v>
      </c>
      <c r="AT143" s="58">
        <v>320</v>
      </c>
      <c r="AU143" s="58">
        <v>320</v>
      </c>
      <c r="AV143" s="58">
        <v>330</v>
      </c>
      <c r="AW143" s="58">
        <v>340</v>
      </c>
      <c r="AX143" s="58">
        <v>330</v>
      </c>
      <c r="AY143" s="58">
        <v>350</v>
      </c>
      <c r="AZ143" s="58">
        <v>360</v>
      </c>
      <c r="BA143" s="58">
        <v>400</v>
      </c>
      <c r="BB143" s="58">
        <v>400</v>
      </c>
      <c r="BC143" s="58">
        <v>400</v>
      </c>
      <c r="BD143" s="58">
        <v>400</v>
      </c>
      <c r="BE143" s="58">
        <v>400</v>
      </c>
      <c r="BF143" s="58">
        <v>420</v>
      </c>
      <c r="BG143" s="58">
        <v>395</v>
      </c>
      <c r="BH143" s="58">
        <v>465</v>
      </c>
    </row>
    <row r="144" spans="2:60" hidden="1" x14ac:dyDescent="0.2">
      <c r="B144" s="59"/>
      <c r="C144" s="59" t="s">
        <v>671</v>
      </c>
      <c r="D144" s="59" t="s">
        <v>648</v>
      </c>
      <c r="E144" s="60">
        <v>180</v>
      </c>
      <c r="F144" s="60">
        <v>160</v>
      </c>
      <c r="G144" s="60">
        <v>150</v>
      </c>
      <c r="H144" s="60">
        <v>160</v>
      </c>
      <c r="I144" s="60">
        <v>151</v>
      </c>
      <c r="J144" s="60">
        <v>145</v>
      </c>
      <c r="K144" s="60">
        <v>155</v>
      </c>
      <c r="L144" s="60">
        <v>145</v>
      </c>
      <c r="M144" s="60">
        <v>170</v>
      </c>
      <c r="N144" s="60">
        <v>150</v>
      </c>
      <c r="O144" s="60">
        <v>206</v>
      </c>
      <c r="P144" s="60">
        <v>175</v>
      </c>
      <c r="Q144" s="60">
        <v>206</v>
      </c>
      <c r="R144" s="60">
        <v>180</v>
      </c>
      <c r="S144" s="60">
        <v>195</v>
      </c>
      <c r="T144" s="60">
        <v>150</v>
      </c>
      <c r="U144" s="60">
        <v>206</v>
      </c>
      <c r="V144" s="60">
        <v>190</v>
      </c>
      <c r="W144" s="60">
        <v>172</v>
      </c>
      <c r="X144" s="60">
        <v>192</v>
      </c>
      <c r="Y144" s="60">
        <v>190</v>
      </c>
      <c r="Z144" s="60">
        <v>190</v>
      </c>
      <c r="AA144" s="60">
        <v>175</v>
      </c>
      <c r="AB144" s="60">
        <v>200</v>
      </c>
      <c r="AC144" s="60">
        <v>195</v>
      </c>
      <c r="AD144" s="60">
        <v>187</v>
      </c>
      <c r="AE144" s="60">
        <v>174</v>
      </c>
      <c r="AF144" s="60">
        <v>180</v>
      </c>
      <c r="AG144" s="60">
        <v>185</v>
      </c>
      <c r="AH144" s="60">
        <v>190</v>
      </c>
      <c r="AI144" s="60">
        <v>210</v>
      </c>
      <c r="AJ144" s="60">
        <v>220</v>
      </c>
      <c r="AK144" s="60">
        <v>190</v>
      </c>
      <c r="AL144" s="60">
        <v>225</v>
      </c>
      <c r="AM144" s="60">
        <v>220</v>
      </c>
      <c r="AN144" s="60">
        <v>240</v>
      </c>
      <c r="AO144" s="60">
        <v>210</v>
      </c>
      <c r="AP144" s="60">
        <v>240</v>
      </c>
      <c r="AQ144" s="60">
        <v>220</v>
      </c>
      <c r="AR144" s="60">
        <v>240</v>
      </c>
      <c r="AS144" s="60">
        <v>240</v>
      </c>
      <c r="AT144" s="60">
        <v>220</v>
      </c>
      <c r="AU144" s="60">
        <v>225</v>
      </c>
      <c r="AV144" s="60">
        <v>230</v>
      </c>
      <c r="AW144" s="60">
        <v>230</v>
      </c>
      <c r="AX144" s="60">
        <v>250</v>
      </c>
      <c r="AY144" s="60">
        <v>280</v>
      </c>
      <c r="AZ144" s="60">
        <v>290</v>
      </c>
      <c r="BA144" s="60">
        <v>290</v>
      </c>
      <c r="BB144" s="60">
        <v>275</v>
      </c>
      <c r="BC144" s="60">
        <v>310</v>
      </c>
      <c r="BD144" s="60">
        <v>300</v>
      </c>
      <c r="BE144" s="60">
        <v>330</v>
      </c>
      <c r="BF144" s="60">
        <v>330</v>
      </c>
      <c r="BG144" s="60">
        <v>330</v>
      </c>
      <c r="BH144" s="60">
        <v>350</v>
      </c>
    </row>
    <row r="145" spans="2:60" hidden="1" x14ac:dyDescent="0.2">
      <c r="B145" s="57"/>
      <c r="C145" s="57" t="s">
        <v>671</v>
      </c>
      <c r="D145" s="57" t="s">
        <v>649</v>
      </c>
      <c r="E145" s="58">
        <v>190</v>
      </c>
      <c r="F145" s="58">
        <v>190</v>
      </c>
      <c r="G145" s="58">
        <v>195</v>
      </c>
      <c r="H145" s="58">
        <v>200</v>
      </c>
      <c r="I145" s="58">
        <v>200</v>
      </c>
      <c r="J145" s="58">
        <v>200</v>
      </c>
      <c r="K145" s="58">
        <v>200</v>
      </c>
      <c r="L145" s="58">
        <v>200</v>
      </c>
      <c r="M145" s="58">
        <v>210</v>
      </c>
      <c r="N145" s="58">
        <v>204</v>
      </c>
      <c r="O145" s="58">
        <v>200</v>
      </c>
      <c r="P145" s="58">
        <v>220</v>
      </c>
      <c r="Q145" s="58">
        <v>215</v>
      </c>
      <c r="R145" s="58">
        <v>210</v>
      </c>
      <c r="S145" s="58">
        <v>200</v>
      </c>
      <c r="T145" s="58">
        <v>210</v>
      </c>
      <c r="U145" s="58">
        <v>209</v>
      </c>
      <c r="V145" s="58">
        <v>220</v>
      </c>
      <c r="W145" s="58">
        <v>220</v>
      </c>
      <c r="X145" s="58">
        <v>220</v>
      </c>
      <c r="Y145" s="58">
        <v>225</v>
      </c>
      <c r="Z145" s="58">
        <v>225</v>
      </c>
      <c r="AA145" s="58">
        <v>215</v>
      </c>
      <c r="AB145" s="58">
        <v>225</v>
      </c>
      <c r="AC145" s="58">
        <v>220</v>
      </c>
      <c r="AD145" s="58">
        <v>235</v>
      </c>
      <c r="AE145" s="58">
        <v>220</v>
      </c>
      <c r="AF145" s="58">
        <v>235</v>
      </c>
      <c r="AG145" s="58">
        <v>230</v>
      </c>
      <c r="AH145" s="58">
        <v>250</v>
      </c>
      <c r="AI145" s="58">
        <v>240</v>
      </c>
      <c r="AJ145" s="58">
        <v>235</v>
      </c>
      <c r="AK145" s="58">
        <v>250</v>
      </c>
      <c r="AL145" s="58">
        <v>245</v>
      </c>
      <c r="AM145" s="58">
        <v>230</v>
      </c>
      <c r="AN145" s="58">
        <v>255</v>
      </c>
      <c r="AO145" s="58">
        <v>250</v>
      </c>
      <c r="AP145" s="58">
        <v>265</v>
      </c>
      <c r="AQ145" s="58">
        <v>260</v>
      </c>
      <c r="AR145" s="58">
        <v>290</v>
      </c>
      <c r="AS145" s="58">
        <v>280</v>
      </c>
      <c r="AT145" s="58">
        <v>300</v>
      </c>
      <c r="AU145" s="58">
        <v>310</v>
      </c>
      <c r="AV145" s="58">
        <v>310</v>
      </c>
      <c r="AW145" s="58">
        <v>330</v>
      </c>
      <c r="AX145" s="58">
        <v>340</v>
      </c>
      <c r="AY145" s="58">
        <v>345</v>
      </c>
      <c r="AZ145" s="58">
        <v>350</v>
      </c>
      <c r="BA145" s="58">
        <v>360</v>
      </c>
      <c r="BB145" s="58">
        <v>385</v>
      </c>
      <c r="BC145" s="58">
        <v>370</v>
      </c>
      <c r="BD145" s="58">
        <v>385</v>
      </c>
      <c r="BE145" s="58">
        <v>350</v>
      </c>
      <c r="BF145" s="58">
        <v>410</v>
      </c>
      <c r="BG145" s="58">
        <v>400</v>
      </c>
      <c r="BH145" s="58">
        <v>410</v>
      </c>
    </row>
    <row r="146" spans="2:60" hidden="1" x14ac:dyDescent="0.2">
      <c r="B146" s="59"/>
      <c r="C146" s="59" t="s">
        <v>671</v>
      </c>
      <c r="D146" s="59" t="s">
        <v>650</v>
      </c>
      <c r="E146" s="60">
        <v>240</v>
      </c>
      <c r="F146" s="60">
        <v>220</v>
      </c>
      <c r="G146" s="60">
        <v>245</v>
      </c>
      <c r="H146" s="60">
        <v>216</v>
      </c>
      <c r="I146" s="60">
        <v>225</v>
      </c>
      <c r="J146" s="60">
        <v>240</v>
      </c>
      <c r="K146" s="60">
        <v>220</v>
      </c>
      <c r="L146" s="60">
        <v>224</v>
      </c>
      <c r="M146" s="60">
        <v>250</v>
      </c>
      <c r="N146" s="60">
        <v>250</v>
      </c>
      <c r="O146" s="60">
        <v>240</v>
      </c>
      <c r="P146" s="60">
        <v>235</v>
      </c>
      <c r="Q146" s="60">
        <v>224</v>
      </c>
      <c r="R146" s="60">
        <v>250</v>
      </c>
      <c r="S146" s="60">
        <v>250</v>
      </c>
      <c r="T146" s="60">
        <v>250</v>
      </c>
      <c r="U146" s="60">
        <v>280</v>
      </c>
      <c r="V146" s="60">
        <v>280</v>
      </c>
      <c r="W146" s="60"/>
      <c r="X146" s="60">
        <v>290</v>
      </c>
      <c r="Y146" s="60">
        <v>270</v>
      </c>
      <c r="Z146" s="60">
        <v>260</v>
      </c>
      <c r="AA146" s="60">
        <v>285</v>
      </c>
      <c r="AB146" s="60">
        <v>285</v>
      </c>
      <c r="AC146" s="60">
        <v>285</v>
      </c>
      <c r="AD146" s="60">
        <v>290</v>
      </c>
      <c r="AE146" s="60">
        <v>280</v>
      </c>
      <c r="AF146" s="60">
        <v>290</v>
      </c>
      <c r="AG146" s="60">
        <v>300</v>
      </c>
      <c r="AH146" s="60">
        <v>270</v>
      </c>
      <c r="AI146" s="60"/>
      <c r="AJ146" s="60">
        <v>295</v>
      </c>
      <c r="AK146" s="60">
        <v>290</v>
      </c>
      <c r="AL146" s="60">
        <v>300</v>
      </c>
      <c r="AM146" s="60"/>
      <c r="AN146" s="60">
        <v>310</v>
      </c>
      <c r="AO146" s="60">
        <v>320</v>
      </c>
      <c r="AP146" s="60">
        <v>310</v>
      </c>
      <c r="AQ146" s="60">
        <v>320</v>
      </c>
      <c r="AR146" s="60">
        <v>345</v>
      </c>
      <c r="AS146" s="60"/>
      <c r="AT146" s="60">
        <v>350</v>
      </c>
      <c r="AU146" s="60"/>
      <c r="AV146" s="60">
        <v>385</v>
      </c>
      <c r="AW146" s="60">
        <v>350</v>
      </c>
      <c r="AX146" s="60"/>
      <c r="AY146" s="60">
        <v>380</v>
      </c>
      <c r="AZ146" s="60">
        <v>300</v>
      </c>
      <c r="BA146" s="60">
        <v>470</v>
      </c>
      <c r="BB146" s="60">
        <v>460</v>
      </c>
      <c r="BC146" s="60">
        <v>450</v>
      </c>
      <c r="BD146" s="60">
        <v>500</v>
      </c>
      <c r="BE146" s="60">
        <v>450</v>
      </c>
      <c r="BF146" s="60">
        <v>520</v>
      </c>
      <c r="BG146" s="60">
        <v>550</v>
      </c>
      <c r="BH146" s="60">
        <v>510</v>
      </c>
    </row>
    <row r="147" spans="2:60" hidden="1" x14ac:dyDescent="0.2">
      <c r="B147" s="57"/>
      <c r="C147" s="57" t="s">
        <v>671</v>
      </c>
      <c r="D147" s="57" t="s">
        <v>651</v>
      </c>
      <c r="E147" s="58">
        <v>230</v>
      </c>
      <c r="F147" s="58">
        <v>230</v>
      </c>
      <c r="G147" s="58">
        <v>210</v>
      </c>
      <c r="H147" s="58">
        <v>225</v>
      </c>
      <c r="I147" s="58">
        <v>220</v>
      </c>
      <c r="J147" s="58">
        <v>225</v>
      </c>
      <c r="K147" s="58">
        <v>220</v>
      </c>
      <c r="L147" s="58">
        <v>230</v>
      </c>
      <c r="M147" s="58">
        <v>230</v>
      </c>
      <c r="N147" s="58">
        <v>230</v>
      </c>
      <c r="O147" s="58">
        <v>230</v>
      </c>
      <c r="P147" s="58">
        <v>235</v>
      </c>
      <c r="Q147" s="58">
        <v>240</v>
      </c>
      <c r="R147" s="58">
        <v>250</v>
      </c>
      <c r="S147" s="58">
        <v>245</v>
      </c>
      <c r="T147" s="58">
        <v>250</v>
      </c>
      <c r="U147" s="58">
        <v>240</v>
      </c>
      <c r="V147" s="58">
        <v>250</v>
      </c>
      <c r="W147" s="58"/>
      <c r="X147" s="58">
        <v>235</v>
      </c>
      <c r="Y147" s="58">
        <v>250</v>
      </c>
      <c r="Z147" s="58">
        <v>245</v>
      </c>
      <c r="AA147" s="58">
        <v>250</v>
      </c>
      <c r="AB147" s="58">
        <v>250</v>
      </c>
      <c r="AC147" s="58">
        <v>265</v>
      </c>
      <c r="AD147" s="58">
        <v>250</v>
      </c>
      <c r="AE147" s="58">
        <v>260</v>
      </c>
      <c r="AF147" s="58">
        <v>260</v>
      </c>
      <c r="AG147" s="58">
        <v>270</v>
      </c>
      <c r="AH147" s="58">
        <v>270</v>
      </c>
      <c r="AI147" s="58">
        <v>265</v>
      </c>
      <c r="AJ147" s="58">
        <v>270</v>
      </c>
      <c r="AK147" s="58">
        <v>290</v>
      </c>
      <c r="AL147" s="58">
        <v>290</v>
      </c>
      <c r="AM147" s="58">
        <v>290</v>
      </c>
      <c r="AN147" s="58">
        <v>300</v>
      </c>
      <c r="AO147" s="58">
        <v>290</v>
      </c>
      <c r="AP147" s="58">
        <v>330</v>
      </c>
      <c r="AQ147" s="58">
        <v>330</v>
      </c>
      <c r="AR147" s="58">
        <v>340</v>
      </c>
      <c r="AS147" s="58">
        <v>350</v>
      </c>
      <c r="AT147" s="58">
        <v>385</v>
      </c>
      <c r="AU147" s="58">
        <v>360</v>
      </c>
      <c r="AV147" s="58">
        <v>380</v>
      </c>
      <c r="AW147" s="58">
        <v>395</v>
      </c>
      <c r="AX147" s="58">
        <v>400</v>
      </c>
      <c r="AY147" s="58">
        <v>360</v>
      </c>
      <c r="AZ147" s="58">
        <v>410</v>
      </c>
      <c r="BA147" s="58">
        <v>400</v>
      </c>
      <c r="BB147" s="58">
        <v>430</v>
      </c>
      <c r="BC147" s="58">
        <v>400</v>
      </c>
      <c r="BD147" s="58">
        <v>430</v>
      </c>
      <c r="BE147" s="58">
        <v>430</v>
      </c>
      <c r="BF147" s="58">
        <v>450</v>
      </c>
      <c r="BG147" s="58">
        <v>450</v>
      </c>
      <c r="BH147" s="58">
        <v>480</v>
      </c>
    </row>
    <row r="148" spans="2:60" hidden="1" x14ac:dyDescent="0.2">
      <c r="B148" s="59"/>
      <c r="C148" s="59" t="s">
        <v>671</v>
      </c>
      <c r="D148" s="59" t="s">
        <v>652</v>
      </c>
      <c r="E148" s="60">
        <v>250</v>
      </c>
      <c r="F148" s="60">
        <v>250</v>
      </c>
      <c r="G148" s="60">
        <v>250</v>
      </c>
      <c r="H148" s="60">
        <v>255</v>
      </c>
      <c r="I148" s="60">
        <v>260</v>
      </c>
      <c r="J148" s="60">
        <v>250</v>
      </c>
      <c r="K148" s="60">
        <v>260</v>
      </c>
      <c r="L148" s="60">
        <v>260</v>
      </c>
      <c r="M148" s="60">
        <v>260</v>
      </c>
      <c r="N148" s="60">
        <v>260</v>
      </c>
      <c r="O148" s="60">
        <v>265</v>
      </c>
      <c r="P148" s="60">
        <v>265</v>
      </c>
      <c r="Q148" s="60">
        <v>260</v>
      </c>
      <c r="R148" s="60">
        <v>265</v>
      </c>
      <c r="S148" s="60">
        <v>265</v>
      </c>
      <c r="T148" s="60">
        <v>275</v>
      </c>
      <c r="U148" s="60">
        <v>275</v>
      </c>
      <c r="V148" s="60">
        <v>265</v>
      </c>
      <c r="W148" s="60">
        <v>275</v>
      </c>
      <c r="X148" s="60">
        <v>275</v>
      </c>
      <c r="Y148" s="60">
        <v>280</v>
      </c>
      <c r="Z148" s="60">
        <v>280</v>
      </c>
      <c r="AA148" s="60">
        <v>280</v>
      </c>
      <c r="AB148" s="60">
        <v>280</v>
      </c>
      <c r="AC148" s="60">
        <v>285</v>
      </c>
      <c r="AD148" s="60">
        <v>290</v>
      </c>
      <c r="AE148" s="60">
        <v>290</v>
      </c>
      <c r="AF148" s="60">
        <v>300</v>
      </c>
      <c r="AG148" s="60">
        <v>300</v>
      </c>
      <c r="AH148" s="60">
        <v>300</v>
      </c>
      <c r="AI148" s="60">
        <v>300</v>
      </c>
      <c r="AJ148" s="60">
        <v>300</v>
      </c>
      <c r="AK148" s="60">
        <v>320</v>
      </c>
      <c r="AL148" s="60">
        <v>315</v>
      </c>
      <c r="AM148" s="60">
        <v>310</v>
      </c>
      <c r="AN148" s="60">
        <v>325</v>
      </c>
      <c r="AO148" s="60">
        <v>335</v>
      </c>
      <c r="AP148" s="60">
        <v>355</v>
      </c>
      <c r="AQ148" s="60">
        <v>370</v>
      </c>
      <c r="AR148" s="60">
        <v>390</v>
      </c>
      <c r="AS148" s="60">
        <v>400</v>
      </c>
      <c r="AT148" s="60">
        <v>450</v>
      </c>
      <c r="AU148" s="60">
        <v>450</v>
      </c>
      <c r="AV148" s="60">
        <v>450</v>
      </c>
      <c r="AW148" s="60">
        <v>450</v>
      </c>
      <c r="AX148" s="60">
        <v>450</v>
      </c>
      <c r="AY148" s="60">
        <v>450</v>
      </c>
      <c r="AZ148" s="60">
        <v>460</v>
      </c>
      <c r="BA148" s="60">
        <v>470</v>
      </c>
      <c r="BB148" s="60">
        <v>480</v>
      </c>
      <c r="BC148" s="60">
        <v>495</v>
      </c>
      <c r="BD148" s="60">
        <v>505</v>
      </c>
      <c r="BE148" s="60">
        <v>500</v>
      </c>
      <c r="BF148" s="60">
        <v>500</v>
      </c>
      <c r="BG148" s="60">
        <v>530</v>
      </c>
      <c r="BH148" s="60">
        <v>550</v>
      </c>
    </row>
    <row r="149" spans="2:60" hidden="1" x14ac:dyDescent="0.2">
      <c r="B149" s="57"/>
      <c r="C149" s="57" t="s">
        <v>671</v>
      </c>
      <c r="D149" s="57" t="s">
        <v>653</v>
      </c>
      <c r="E149" s="58">
        <v>300</v>
      </c>
      <c r="F149" s="58">
        <v>300</v>
      </c>
      <c r="G149" s="58">
        <v>305</v>
      </c>
      <c r="H149" s="58">
        <v>310</v>
      </c>
      <c r="I149" s="58">
        <v>310</v>
      </c>
      <c r="J149" s="58">
        <v>300</v>
      </c>
      <c r="K149" s="58">
        <v>305</v>
      </c>
      <c r="L149" s="58">
        <v>310</v>
      </c>
      <c r="M149" s="58">
        <v>315</v>
      </c>
      <c r="N149" s="58">
        <v>300</v>
      </c>
      <c r="O149" s="58">
        <v>310</v>
      </c>
      <c r="P149" s="58">
        <v>315</v>
      </c>
      <c r="Q149" s="58">
        <v>320</v>
      </c>
      <c r="R149" s="58">
        <v>320</v>
      </c>
      <c r="S149" s="58">
        <v>320</v>
      </c>
      <c r="T149" s="58">
        <v>320</v>
      </c>
      <c r="U149" s="58">
        <v>320</v>
      </c>
      <c r="V149" s="58">
        <v>320</v>
      </c>
      <c r="W149" s="58">
        <v>325</v>
      </c>
      <c r="X149" s="58">
        <v>335</v>
      </c>
      <c r="Y149" s="58">
        <v>335</v>
      </c>
      <c r="Z149" s="58">
        <v>330</v>
      </c>
      <c r="AA149" s="58">
        <v>340</v>
      </c>
      <c r="AB149" s="58">
        <v>340</v>
      </c>
      <c r="AC149" s="58">
        <v>340</v>
      </c>
      <c r="AD149" s="58">
        <v>340</v>
      </c>
      <c r="AE149" s="58">
        <v>345</v>
      </c>
      <c r="AF149" s="58">
        <v>345</v>
      </c>
      <c r="AG149" s="58">
        <v>350</v>
      </c>
      <c r="AH149" s="58">
        <v>360</v>
      </c>
      <c r="AI149" s="58">
        <v>350</v>
      </c>
      <c r="AJ149" s="58">
        <v>360</v>
      </c>
      <c r="AK149" s="58">
        <v>365</v>
      </c>
      <c r="AL149" s="58">
        <v>360</v>
      </c>
      <c r="AM149" s="58">
        <v>370</v>
      </c>
      <c r="AN149" s="58">
        <v>375</v>
      </c>
      <c r="AO149" s="58">
        <v>390</v>
      </c>
      <c r="AP149" s="58">
        <v>410</v>
      </c>
      <c r="AQ149" s="58">
        <v>440</v>
      </c>
      <c r="AR149" s="58">
        <v>470</v>
      </c>
      <c r="AS149" s="58">
        <v>480</v>
      </c>
      <c r="AT149" s="58">
        <v>500</v>
      </c>
      <c r="AU149" s="58">
        <v>500</v>
      </c>
      <c r="AV149" s="58">
        <v>510</v>
      </c>
      <c r="AW149" s="58">
        <v>550</v>
      </c>
      <c r="AX149" s="58">
        <v>550</v>
      </c>
      <c r="AY149" s="58">
        <v>550</v>
      </c>
      <c r="AZ149" s="58">
        <v>570</v>
      </c>
      <c r="BA149" s="58">
        <v>575</v>
      </c>
      <c r="BB149" s="58">
        <v>580</v>
      </c>
      <c r="BC149" s="58">
        <v>580</v>
      </c>
      <c r="BD149" s="58">
        <v>600</v>
      </c>
      <c r="BE149" s="58">
        <v>600</v>
      </c>
      <c r="BF149" s="58">
        <v>630</v>
      </c>
      <c r="BG149" s="58">
        <v>625</v>
      </c>
      <c r="BH149" s="58">
        <v>625</v>
      </c>
    </row>
    <row r="150" spans="2:60" hidden="1" x14ac:dyDescent="0.2">
      <c r="B150" s="59"/>
      <c r="C150" s="59" t="s">
        <v>671</v>
      </c>
      <c r="D150" s="59" t="s">
        <v>654</v>
      </c>
      <c r="E150" s="60"/>
      <c r="F150" s="60"/>
      <c r="G150" s="60"/>
      <c r="H150" s="60"/>
      <c r="I150" s="60"/>
      <c r="J150" s="60"/>
      <c r="K150" s="60"/>
      <c r="L150" s="60"/>
      <c r="M150" s="60">
        <v>300</v>
      </c>
      <c r="N150" s="60"/>
      <c r="O150" s="60"/>
      <c r="P150" s="60"/>
      <c r="Q150" s="60"/>
      <c r="R150" s="60"/>
      <c r="S150" s="60"/>
      <c r="T150" s="60"/>
      <c r="U150" s="60">
        <v>390</v>
      </c>
      <c r="V150" s="60">
        <v>260</v>
      </c>
      <c r="W150" s="60"/>
      <c r="X150" s="60"/>
      <c r="Y150" s="60">
        <v>235</v>
      </c>
      <c r="Z150" s="60"/>
      <c r="AA150" s="60"/>
      <c r="AB150" s="60"/>
      <c r="AC150" s="60">
        <v>265</v>
      </c>
      <c r="AD150" s="60"/>
      <c r="AE150" s="60"/>
      <c r="AF150" s="60"/>
      <c r="AG150" s="60"/>
      <c r="AH150" s="60"/>
      <c r="AI150" s="60"/>
      <c r="AJ150" s="60">
        <v>275</v>
      </c>
      <c r="AK150" s="60"/>
      <c r="AL150" s="60"/>
      <c r="AM150" s="60"/>
      <c r="AN150" s="60"/>
      <c r="AO150" s="60"/>
      <c r="AP150" s="60"/>
      <c r="AQ150" s="60"/>
      <c r="AR150" s="60"/>
      <c r="AS150" s="60"/>
      <c r="AT150" s="60"/>
      <c r="AU150" s="60"/>
      <c r="AV150" s="60"/>
      <c r="AW150" s="60"/>
      <c r="AX150" s="60"/>
      <c r="AY150" s="60"/>
      <c r="AZ150" s="60">
        <v>385</v>
      </c>
      <c r="BA150" s="60"/>
      <c r="BB150" s="60"/>
      <c r="BC150" s="60"/>
      <c r="BD150" s="60"/>
      <c r="BE150" s="60"/>
      <c r="BF150" s="60"/>
      <c r="BG150" s="60"/>
      <c r="BH150" s="60"/>
    </row>
    <row r="151" spans="2:60" hidden="1" x14ac:dyDescent="0.2">
      <c r="B151" s="57"/>
      <c r="C151" s="57" t="s">
        <v>671</v>
      </c>
      <c r="D151" s="57" t="s">
        <v>655</v>
      </c>
      <c r="E151" s="58"/>
      <c r="F151" s="58"/>
      <c r="G151" s="58"/>
      <c r="H151" s="58"/>
      <c r="I151" s="58">
        <v>275</v>
      </c>
      <c r="J151" s="58"/>
      <c r="K151" s="58">
        <v>280</v>
      </c>
      <c r="L151" s="58"/>
      <c r="M151" s="58"/>
      <c r="N151" s="58"/>
      <c r="O151" s="58">
        <v>265</v>
      </c>
      <c r="P151" s="58">
        <v>290</v>
      </c>
      <c r="Q151" s="58">
        <v>250</v>
      </c>
      <c r="R151" s="58"/>
      <c r="S151" s="58"/>
      <c r="T151" s="58"/>
      <c r="U151" s="58">
        <v>300</v>
      </c>
      <c r="V151" s="58"/>
      <c r="W151" s="58"/>
      <c r="X151" s="58"/>
      <c r="Y151" s="58"/>
      <c r="Z151" s="58"/>
      <c r="AA151" s="58"/>
      <c r="AB151" s="58">
        <v>280</v>
      </c>
      <c r="AC151" s="58"/>
      <c r="AD151" s="58"/>
      <c r="AE151" s="58"/>
      <c r="AF151" s="58">
        <v>295</v>
      </c>
      <c r="AG151" s="58"/>
      <c r="AH151" s="58"/>
      <c r="AI151" s="58"/>
      <c r="AJ151" s="58">
        <v>300</v>
      </c>
      <c r="AK151" s="58"/>
      <c r="AL151" s="58">
        <v>315</v>
      </c>
      <c r="AM151" s="58"/>
      <c r="AN151" s="58"/>
      <c r="AO151" s="58"/>
      <c r="AP151" s="58"/>
      <c r="AQ151" s="58"/>
      <c r="AR151" s="58"/>
      <c r="AS151" s="58"/>
      <c r="AT151" s="58"/>
      <c r="AU151" s="58"/>
      <c r="AV151" s="58"/>
      <c r="AW151" s="58"/>
      <c r="AX151" s="58"/>
      <c r="AY151" s="58"/>
      <c r="AZ151" s="58"/>
      <c r="BA151" s="58"/>
      <c r="BB151" s="58">
        <v>450</v>
      </c>
      <c r="BC151" s="58"/>
      <c r="BD151" s="58"/>
      <c r="BE151" s="58">
        <v>480</v>
      </c>
      <c r="BF151" s="58">
        <v>510</v>
      </c>
      <c r="BG151" s="58"/>
      <c r="BH151" s="58"/>
    </row>
    <row r="152" spans="2:60" hidden="1" x14ac:dyDescent="0.2">
      <c r="B152" s="59"/>
      <c r="C152" s="59" t="s">
        <v>671</v>
      </c>
      <c r="D152" s="59" t="s">
        <v>656</v>
      </c>
      <c r="E152" s="60">
        <v>255</v>
      </c>
      <c r="F152" s="60">
        <v>250</v>
      </c>
      <c r="G152" s="60">
        <v>250</v>
      </c>
      <c r="H152" s="60">
        <v>255</v>
      </c>
      <c r="I152" s="60">
        <v>260</v>
      </c>
      <c r="J152" s="60">
        <v>260</v>
      </c>
      <c r="K152" s="60">
        <v>255</v>
      </c>
      <c r="L152" s="60">
        <v>260</v>
      </c>
      <c r="M152" s="60">
        <v>260</v>
      </c>
      <c r="N152" s="60">
        <v>260</v>
      </c>
      <c r="O152" s="60">
        <v>265</v>
      </c>
      <c r="P152" s="60">
        <v>270</v>
      </c>
      <c r="Q152" s="60">
        <v>265</v>
      </c>
      <c r="R152" s="60">
        <v>270</v>
      </c>
      <c r="S152" s="60">
        <v>270</v>
      </c>
      <c r="T152" s="60">
        <v>270</v>
      </c>
      <c r="U152" s="60">
        <v>280</v>
      </c>
      <c r="V152" s="60">
        <v>270</v>
      </c>
      <c r="W152" s="60">
        <v>280</v>
      </c>
      <c r="X152" s="60">
        <v>285</v>
      </c>
      <c r="Y152" s="60">
        <v>280</v>
      </c>
      <c r="Z152" s="60">
        <v>280</v>
      </c>
      <c r="AA152" s="60">
        <v>285</v>
      </c>
      <c r="AB152" s="60">
        <v>290</v>
      </c>
      <c r="AC152" s="60">
        <v>285</v>
      </c>
      <c r="AD152" s="60">
        <v>290</v>
      </c>
      <c r="AE152" s="60">
        <v>280</v>
      </c>
      <c r="AF152" s="60">
        <v>295</v>
      </c>
      <c r="AG152" s="60">
        <v>295</v>
      </c>
      <c r="AH152" s="60">
        <v>295</v>
      </c>
      <c r="AI152" s="60">
        <v>300</v>
      </c>
      <c r="AJ152" s="60">
        <v>300</v>
      </c>
      <c r="AK152" s="60">
        <v>300</v>
      </c>
      <c r="AL152" s="60">
        <v>300</v>
      </c>
      <c r="AM152" s="60">
        <v>300</v>
      </c>
      <c r="AN152" s="60">
        <v>320</v>
      </c>
      <c r="AO152" s="60">
        <v>320</v>
      </c>
      <c r="AP152" s="60">
        <v>330</v>
      </c>
      <c r="AQ152" s="60">
        <v>360</v>
      </c>
      <c r="AR152" s="60">
        <v>375</v>
      </c>
      <c r="AS152" s="60">
        <v>380</v>
      </c>
      <c r="AT152" s="60">
        <v>400</v>
      </c>
      <c r="AU152" s="60">
        <v>420</v>
      </c>
      <c r="AV152" s="60">
        <v>410</v>
      </c>
      <c r="AW152" s="60">
        <v>450</v>
      </c>
      <c r="AX152" s="60">
        <v>450</v>
      </c>
      <c r="AY152" s="60">
        <v>450</v>
      </c>
      <c r="AZ152" s="60">
        <v>460</v>
      </c>
      <c r="BA152" s="60">
        <v>475</v>
      </c>
      <c r="BB152" s="60">
        <v>500</v>
      </c>
      <c r="BC152" s="60">
        <v>480</v>
      </c>
      <c r="BD152" s="60">
        <v>490</v>
      </c>
      <c r="BE152" s="60">
        <v>490</v>
      </c>
      <c r="BF152" s="60">
        <v>520</v>
      </c>
      <c r="BG152" s="60">
        <v>530</v>
      </c>
      <c r="BH152" s="60">
        <v>550</v>
      </c>
    </row>
    <row r="153" spans="2:60" hidden="1" x14ac:dyDescent="0.2">
      <c r="B153" s="57"/>
      <c r="C153" s="57" t="s">
        <v>672</v>
      </c>
      <c r="D153" s="57" t="s">
        <v>648</v>
      </c>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row>
    <row r="154" spans="2:60" hidden="1" x14ac:dyDescent="0.2">
      <c r="B154" s="59"/>
      <c r="C154" s="59" t="s">
        <v>672</v>
      </c>
      <c r="D154" s="59" t="s">
        <v>649</v>
      </c>
      <c r="E154" s="60">
        <v>180</v>
      </c>
      <c r="F154" s="60">
        <v>175</v>
      </c>
      <c r="G154" s="60">
        <v>180</v>
      </c>
      <c r="H154" s="60">
        <v>220</v>
      </c>
      <c r="I154" s="60">
        <v>200</v>
      </c>
      <c r="J154" s="60">
        <v>155</v>
      </c>
      <c r="K154" s="60">
        <v>180</v>
      </c>
      <c r="L154" s="60">
        <v>180</v>
      </c>
      <c r="M154" s="60">
        <v>200</v>
      </c>
      <c r="N154" s="60">
        <v>200</v>
      </c>
      <c r="O154" s="60">
        <v>200</v>
      </c>
      <c r="P154" s="60">
        <v>180</v>
      </c>
      <c r="Q154" s="60">
        <v>180</v>
      </c>
      <c r="R154" s="60">
        <v>160</v>
      </c>
      <c r="S154" s="60">
        <v>160</v>
      </c>
      <c r="T154" s="60">
        <v>200</v>
      </c>
      <c r="U154" s="60">
        <v>180</v>
      </c>
      <c r="V154" s="60">
        <v>180</v>
      </c>
      <c r="W154" s="60"/>
      <c r="X154" s="60"/>
      <c r="Y154" s="60">
        <v>180</v>
      </c>
      <c r="Z154" s="60">
        <v>168</v>
      </c>
      <c r="AA154" s="60">
        <v>170</v>
      </c>
      <c r="AB154" s="60">
        <v>163</v>
      </c>
      <c r="AC154" s="60">
        <v>180</v>
      </c>
      <c r="AD154" s="60">
        <v>180</v>
      </c>
      <c r="AE154" s="60">
        <v>172</v>
      </c>
      <c r="AF154" s="60">
        <v>195</v>
      </c>
      <c r="AG154" s="60">
        <v>180</v>
      </c>
      <c r="AH154" s="60">
        <v>180</v>
      </c>
      <c r="AI154" s="60">
        <v>170</v>
      </c>
      <c r="AJ154" s="60">
        <v>155</v>
      </c>
      <c r="AK154" s="60">
        <v>170</v>
      </c>
      <c r="AL154" s="60">
        <v>180</v>
      </c>
      <c r="AM154" s="60">
        <v>180</v>
      </c>
      <c r="AN154" s="60">
        <v>180</v>
      </c>
      <c r="AO154" s="60">
        <v>190</v>
      </c>
      <c r="AP154" s="60">
        <v>190</v>
      </c>
      <c r="AQ154" s="60">
        <v>200</v>
      </c>
      <c r="AR154" s="60">
        <v>215</v>
      </c>
      <c r="AS154" s="60">
        <v>210</v>
      </c>
      <c r="AT154" s="60">
        <v>240</v>
      </c>
      <c r="AU154" s="60">
        <v>250</v>
      </c>
      <c r="AV154" s="60">
        <v>255</v>
      </c>
      <c r="AW154" s="60">
        <v>230</v>
      </c>
      <c r="AX154" s="60">
        <v>245</v>
      </c>
      <c r="AY154" s="60">
        <v>250</v>
      </c>
      <c r="AZ154" s="60">
        <v>250</v>
      </c>
      <c r="BA154" s="60">
        <v>260</v>
      </c>
      <c r="BB154" s="60">
        <v>280</v>
      </c>
      <c r="BC154" s="60">
        <v>270</v>
      </c>
      <c r="BD154" s="60">
        <v>295</v>
      </c>
      <c r="BE154" s="60">
        <v>320</v>
      </c>
      <c r="BF154" s="60">
        <v>310</v>
      </c>
      <c r="BG154" s="60">
        <v>300</v>
      </c>
      <c r="BH154" s="60">
        <v>300</v>
      </c>
    </row>
    <row r="155" spans="2:60" hidden="1" x14ac:dyDescent="0.2">
      <c r="B155" s="57"/>
      <c r="C155" s="57" t="s">
        <v>672</v>
      </c>
      <c r="D155" s="57" t="s">
        <v>650</v>
      </c>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row>
    <row r="156" spans="2:60" hidden="1" x14ac:dyDescent="0.2">
      <c r="B156" s="59"/>
      <c r="C156" s="59" t="s">
        <v>672</v>
      </c>
      <c r="D156" s="59" t="s">
        <v>651</v>
      </c>
      <c r="E156" s="60"/>
      <c r="F156" s="60">
        <v>220</v>
      </c>
      <c r="G156" s="60">
        <v>230</v>
      </c>
      <c r="H156" s="60">
        <v>220</v>
      </c>
      <c r="I156" s="60">
        <v>235</v>
      </c>
      <c r="J156" s="60"/>
      <c r="K156" s="60">
        <v>200</v>
      </c>
      <c r="L156" s="60">
        <v>230</v>
      </c>
      <c r="M156" s="60"/>
      <c r="N156" s="60"/>
      <c r="O156" s="60">
        <v>200</v>
      </c>
      <c r="P156" s="60"/>
      <c r="Q156" s="60"/>
      <c r="R156" s="60"/>
      <c r="S156" s="60"/>
      <c r="T156" s="60"/>
      <c r="U156" s="60"/>
      <c r="V156" s="60">
        <v>200</v>
      </c>
      <c r="W156" s="60"/>
      <c r="X156" s="60">
        <v>200</v>
      </c>
      <c r="Y156" s="60"/>
      <c r="Z156" s="60">
        <v>200</v>
      </c>
      <c r="AA156" s="60">
        <v>200</v>
      </c>
      <c r="AB156" s="60"/>
      <c r="AC156" s="60"/>
      <c r="AD156" s="60"/>
      <c r="AE156" s="60"/>
      <c r="AF156" s="60"/>
      <c r="AG156" s="60"/>
      <c r="AH156" s="60">
        <v>200</v>
      </c>
      <c r="AI156" s="60"/>
      <c r="AJ156" s="60"/>
      <c r="AK156" s="60"/>
      <c r="AL156" s="60">
        <v>220</v>
      </c>
      <c r="AM156" s="60"/>
      <c r="AN156" s="60"/>
      <c r="AO156" s="60"/>
      <c r="AP156" s="60"/>
      <c r="AQ156" s="60"/>
      <c r="AR156" s="60"/>
      <c r="AS156" s="60"/>
      <c r="AT156" s="60"/>
      <c r="AU156" s="60"/>
      <c r="AV156" s="60"/>
      <c r="AW156" s="60"/>
      <c r="AX156" s="60">
        <v>300</v>
      </c>
      <c r="AY156" s="60"/>
      <c r="AZ156" s="60"/>
      <c r="BA156" s="60"/>
      <c r="BB156" s="60"/>
      <c r="BC156" s="60"/>
      <c r="BD156" s="60"/>
      <c r="BE156" s="60"/>
      <c r="BF156" s="60"/>
      <c r="BG156" s="60"/>
      <c r="BH156" s="60"/>
    </row>
    <row r="157" spans="2:60" hidden="1" x14ac:dyDescent="0.2">
      <c r="B157" s="57"/>
      <c r="C157" s="57" t="s">
        <v>672</v>
      </c>
      <c r="D157" s="57" t="s">
        <v>652</v>
      </c>
      <c r="E157" s="58">
        <v>260</v>
      </c>
      <c r="F157" s="58">
        <v>260</v>
      </c>
      <c r="G157" s="58">
        <v>250</v>
      </c>
      <c r="H157" s="58">
        <v>280</v>
      </c>
      <c r="I157" s="58">
        <v>265</v>
      </c>
      <c r="J157" s="58">
        <v>260</v>
      </c>
      <c r="K157" s="58">
        <v>260</v>
      </c>
      <c r="L157" s="58">
        <v>250</v>
      </c>
      <c r="M157" s="58">
        <v>250</v>
      </c>
      <c r="N157" s="58">
        <v>250</v>
      </c>
      <c r="O157" s="58">
        <v>250</v>
      </c>
      <c r="P157" s="58">
        <v>240</v>
      </c>
      <c r="Q157" s="58">
        <v>250</v>
      </c>
      <c r="R157" s="58">
        <v>240</v>
      </c>
      <c r="S157" s="58">
        <v>250</v>
      </c>
      <c r="T157" s="58">
        <v>250</v>
      </c>
      <c r="U157" s="58">
        <v>250</v>
      </c>
      <c r="V157" s="58">
        <v>220</v>
      </c>
      <c r="W157" s="58"/>
      <c r="X157" s="58">
        <v>230</v>
      </c>
      <c r="Y157" s="58">
        <v>250</v>
      </c>
      <c r="Z157" s="58">
        <v>250</v>
      </c>
      <c r="AA157" s="58">
        <v>250</v>
      </c>
      <c r="AB157" s="58">
        <v>240</v>
      </c>
      <c r="AC157" s="58">
        <v>250</v>
      </c>
      <c r="AD157" s="58">
        <v>250</v>
      </c>
      <c r="AE157" s="58">
        <v>240</v>
      </c>
      <c r="AF157" s="58">
        <v>250</v>
      </c>
      <c r="AG157" s="58">
        <v>250</v>
      </c>
      <c r="AH157" s="58">
        <v>240</v>
      </c>
      <c r="AI157" s="58">
        <v>265</v>
      </c>
      <c r="AJ157" s="58">
        <v>240</v>
      </c>
      <c r="AK157" s="58">
        <v>250</v>
      </c>
      <c r="AL157" s="58">
        <v>240</v>
      </c>
      <c r="AM157" s="58">
        <v>260</v>
      </c>
      <c r="AN157" s="58">
        <v>270</v>
      </c>
      <c r="AO157" s="58">
        <v>250</v>
      </c>
      <c r="AP157" s="58">
        <v>260</v>
      </c>
      <c r="AQ157" s="58">
        <v>280</v>
      </c>
      <c r="AR157" s="58">
        <v>300</v>
      </c>
      <c r="AS157" s="58">
        <v>280</v>
      </c>
      <c r="AT157" s="58">
        <v>290</v>
      </c>
      <c r="AU157" s="58">
        <v>330</v>
      </c>
      <c r="AV157" s="58">
        <v>370</v>
      </c>
      <c r="AW157" s="58">
        <v>300</v>
      </c>
      <c r="AX157" s="58">
        <v>320</v>
      </c>
      <c r="AY157" s="58">
        <v>330</v>
      </c>
      <c r="AZ157" s="58">
        <v>350</v>
      </c>
      <c r="BA157" s="58">
        <v>390</v>
      </c>
      <c r="BB157" s="58">
        <v>385</v>
      </c>
      <c r="BC157" s="58">
        <v>350</v>
      </c>
      <c r="BD157" s="58">
        <v>400</v>
      </c>
      <c r="BE157" s="58">
        <v>450</v>
      </c>
      <c r="BF157" s="58">
        <v>400</v>
      </c>
      <c r="BG157" s="58">
        <v>420</v>
      </c>
      <c r="BH157" s="58">
        <v>470</v>
      </c>
    </row>
    <row r="158" spans="2:60" hidden="1" x14ac:dyDescent="0.2">
      <c r="B158" s="59"/>
      <c r="C158" s="59" t="s">
        <v>672</v>
      </c>
      <c r="D158" s="59" t="s">
        <v>653</v>
      </c>
      <c r="E158" s="60"/>
      <c r="F158" s="60"/>
      <c r="G158" s="60">
        <v>350</v>
      </c>
      <c r="H158" s="60"/>
      <c r="I158" s="60"/>
      <c r="J158" s="60"/>
      <c r="K158" s="60"/>
      <c r="L158" s="60">
        <v>280</v>
      </c>
      <c r="M158" s="60"/>
      <c r="N158" s="60"/>
      <c r="O158" s="60">
        <v>275</v>
      </c>
      <c r="P158" s="60"/>
      <c r="Q158" s="60">
        <v>280</v>
      </c>
      <c r="R158" s="60"/>
      <c r="S158" s="60">
        <v>260</v>
      </c>
      <c r="T158" s="60"/>
      <c r="U158" s="60">
        <v>255</v>
      </c>
      <c r="V158" s="60"/>
      <c r="W158" s="60"/>
      <c r="X158" s="60"/>
      <c r="Y158" s="60">
        <v>270</v>
      </c>
      <c r="Z158" s="60"/>
      <c r="AA158" s="60"/>
      <c r="AB158" s="60"/>
      <c r="AC158" s="60">
        <v>300</v>
      </c>
      <c r="AD158" s="60"/>
      <c r="AE158" s="60"/>
      <c r="AF158" s="60"/>
      <c r="AG158" s="60">
        <v>290</v>
      </c>
      <c r="AH158" s="60">
        <v>300</v>
      </c>
      <c r="AI158" s="60"/>
      <c r="AJ158" s="60"/>
      <c r="AK158" s="60"/>
      <c r="AL158" s="60">
        <v>295</v>
      </c>
      <c r="AM158" s="60"/>
      <c r="AN158" s="60"/>
      <c r="AO158" s="60"/>
      <c r="AP158" s="60"/>
      <c r="AQ158" s="60"/>
      <c r="AR158" s="60"/>
      <c r="AS158" s="60"/>
      <c r="AT158" s="60">
        <v>300</v>
      </c>
      <c r="AU158" s="60"/>
      <c r="AV158" s="60"/>
      <c r="AW158" s="60"/>
      <c r="AX158" s="60"/>
      <c r="AY158" s="60"/>
      <c r="AZ158" s="60"/>
      <c r="BA158" s="60"/>
      <c r="BB158" s="60"/>
      <c r="BC158" s="60"/>
      <c r="BD158" s="60"/>
      <c r="BE158" s="60"/>
      <c r="BF158" s="60"/>
      <c r="BG158" s="60"/>
      <c r="BH158" s="60"/>
    </row>
    <row r="159" spans="2:60" hidden="1" x14ac:dyDescent="0.2">
      <c r="B159" s="57"/>
      <c r="C159" s="57" t="s">
        <v>672</v>
      </c>
      <c r="D159" s="57" t="s">
        <v>654</v>
      </c>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row>
    <row r="160" spans="2:60" hidden="1" x14ac:dyDescent="0.2">
      <c r="B160" s="59"/>
      <c r="C160" s="59" t="s">
        <v>672</v>
      </c>
      <c r="D160" s="59" t="s">
        <v>655</v>
      </c>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row>
    <row r="161" spans="2:60" hidden="1" x14ac:dyDescent="0.2">
      <c r="B161" s="57"/>
      <c r="C161" s="57" t="s">
        <v>672</v>
      </c>
      <c r="D161" s="57" t="s">
        <v>656</v>
      </c>
      <c r="E161" s="58">
        <v>250</v>
      </c>
      <c r="F161" s="58">
        <v>240</v>
      </c>
      <c r="G161" s="58">
        <v>235</v>
      </c>
      <c r="H161" s="58">
        <v>250</v>
      </c>
      <c r="I161" s="58">
        <v>260</v>
      </c>
      <c r="J161" s="58">
        <v>250</v>
      </c>
      <c r="K161" s="58">
        <v>210</v>
      </c>
      <c r="L161" s="58">
        <v>250</v>
      </c>
      <c r="M161" s="58">
        <v>250</v>
      </c>
      <c r="N161" s="58">
        <v>250</v>
      </c>
      <c r="O161" s="58">
        <v>240</v>
      </c>
      <c r="P161" s="58">
        <v>230</v>
      </c>
      <c r="Q161" s="58">
        <v>240</v>
      </c>
      <c r="R161" s="58">
        <v>240</v>
      </c>
      <c r="S161" s="58">
        <v>240</v>
      </c>
      <c r="T161" s="58">
        <v>230</v>
      </c>
      <c r="U161" s="58">
        <v>230</v>
      </c>
      <c r="V161" s="58">
        <v>200</v>
      </c>
      <c r="W161" s="58">
        <v>220</v>
      </c>
      <c r="X161" s="58">
        <v>230</v>
      </c>
      <c r="Y161" s="58">
        <v>220</v>
      </c>
      <c r="Z161" s="58">
        <v>220</v>
      </c>
      <c r="AA161" s="58">
        <v>220</v>
      </c>
      <c r="AB161" s="58">
        <v>211</v>
      </c>
      <c r="AC161" s="58">
        <v>240</v>
      </c>
      <c r="AD161" s="58">
        <v>230</v>
      </c>
      <c r="AE161" s="58">
        <v>225</v>
      </c>
      <c r="AF161" s="58">
        <v>220</v>
      </c>
      <c r="AG161" s="58">
        <v>230</v>
      </c>
      <c r="AH161" s="58">
        <v>220</v>
      </c>
      <c r="AI161" s="58">
        <v>230</v>
      </c>
      <c r="AJ161" s="58">
        <v>220</v>
      </c>
      <c r="AK161" s="58">
        <v>230</v>
      </c>
      <c r="AL161" s="58">
        <v>230</v>
      </c>
      <c r="AM161" s="58">
        <v>220</v>
      </c>
      <c r="AN161" s="58">
        <v>230</v>
      </c>
      <c r="AO161" s="58">
        <v>240</v>
      </c>
      <c r="AP161" s="58">
        <v>210</v>
      </c>
      <c r="AQ161" s="58">
        <v>240</v>
      </c>
      <c r="AR161" s="58">
        <v>250</v>
      </c>
      <c r="AS161" s="58">
        <v>260</v>
      </c>
      <c r="AT161" s="58">
        <v>260</v>
      </c>
      <c r="AU161" s="58">
        <v>260</v>
      </c>
      <c r="AV161" s="58">
        <v>275</v>
      </c>
      <c r="AW161" s="58">
        <v>275</v>
      </c>
      <c r="AX161" s="58">
        <v>285</v>
      </c>
      <c r="AY161" s="58">
        <v>280</v>
      </c>
      <c r="AZ161" s="58">
        <v>290</v>
      </c>
      <c r="BA161" s="58">
        <v>290</v>
      </c>
      <c r="BB161" s="58">
        <v>315</v>
      </c>
      <c r="BC161" s="58">
        <v>320</v>
      </c>
      <c r="BD161" s="58">
        <v>320</v>
      </c>
      <c r="BE161" s="58">
        <v>400</v>
      </c>
      <c r="BF161" s="58">
        <v>390</v>
      </c>
      <c r="BG161" s="58">
        <v>350</v>
      </c>
      <c r="BH161" s="58">
        <v>380</v>
      </c>
    </row>
    <row r="162" spans="2:60" hidden="1" x14ac:dyDescent="0.2">
      <c r="B162" s="59"/>
      <c r="C162" s="59" t="s">
        <v>673</v>
      </c>
      <c r="D162" s="59" t="s">
        <v>648</v>
      </c>
      <c r="E162" s="60">
        <v>163</v>
      </c>
      <c r="F162" s="60">
        <v>200</v>
      </c>
      <c r="G162" s="60">
        <v>195</v>
      </c>
      <c r="H162" s="60">
        <v>202</v>
      </c>
      <c r="I162" s="60">
        <v>170</v>
      </c>
      <c r="J162" s="60">
        <v>185</v>
      </c>
      <c r="K162" s="60">
        <v>200</v>
      </c>
      <c r="L162" s="60">
        <v>200</v>
      </c>
      <c r="M162" s="60">
        <v>177</v>
      </c>
      <c r="N162" s="60">
        <v>210</v>
      </c>
      <c r="O162" s="60">
        <v>200</v>
      </c>
      <c r="P162" s="60">
        <v>220</v>
      </c>
      <c r="Q162" s="60">
        <v>200</v>
      </c>
      <c r="R162" s="60">
        <v>225</v>
      </c>
      <c r="S162" s="60">
        <v>210</v>
      </c>
      <c r="T162" s="60">
        <v>220</v>
      </c>
      <c r="U162" s="60">
        <v>220</v>
      </c>
      <c r="V162" s="60">
        <v>220</v>
      </c>
      <c r="W162" s="60">
        <v>230</v>
      </c>
      <c r="X162" s="60">
        <v>230</v>
      </c>
      <c r="Y162" s="60">
        <v>220</v>
      </c>
      <c r="Z162" s="60">
        <v>230</v>
      </c>
      <c r="AA162" s="60">
        <v>230</v>
      </c>
      <c r="AB162" s="60">
        <v>240</v>
      </c>
      <c r="AC162" s="60">
        <v>240</v>
      </c>
      <c r="AD162" s="60">
        <v>240</v>
      </c>
      <c r="AE162" s="60">
        <v>240</v>
      </c>
      <c r="AF162" s="60">
        <v>230</v>
      </c>
      <c r="AG162" s="60">
        <v>235</v>
      </c>
      <c r="AH162" s="60">
        <v>230</v>
      </c>
      <c r="AI162" s="60">
        <v>230</v>
      </c>
      <c r="AJ162" s="60">
        <v>235</v>
      </c>
      <c r="AK162" s="60">
        <v>240</v>
      </c>
      <c r="AL162" s="60">
        <v>250</v>
      </c>
      <c r="AM162" s="60">
        <v>235</v>
      </c>
      <c r="AN162" s="60">
        <v>240</v>
      </c>
      <c r="AO162" s="60">
        <v>245</v>
      </c>
      <c r="AP162" s="60">
        <v>250</v>
      </c>
      <c r="AQ162" s="60">
        <v>250</v>
      </c>
      <c r="AR162" s="60">
        <v>260</v>
      </c>
      <c r="AS162" s="60">
        <v>265</v>
      </c>
      <c r="AT162" s="60">
        <v>265</v>
      </c>
      <c r="AU162" s="60">
        <v>285</v>
      </c>
      <c r="AV162" s="60">
        <v>300</v>
      </c>
      <c r="AW162" s="60">
        <v>300</v>
      </c>
      <c r="AX162" s="60">
        <v>300</v>
      </c>
      <c r="AY162" s="60">
        <v>320</v>
      </c>
      <c r="AZ162" s="60">
        <v>320</v>
      </c>
      <c r="BA162" s="60">
        <v>340</v>
      </c>
      <c r="BB162" s="60">
        <v>350</v>
      </c>
      <c r="BC162" s="60">
        <v>340</v>
      </c>
      <c r="BD162" s="60">
        <v>350</v>
      </c>
      <c r="BE162" s="60">
        <v>340</v>
      </c>
      <c r="BF162" s="60">
        <v>350</v>
      </c>
      <c r="BG162" s="60">
        <v>360</v>
      </c>
      <c r="BH162" s="60">
        <v>380</v>
      </c>
    </row>
    <row r="163" spans="2:60" x14ac:dyDescent="0.2">
      <c r="B163" s="57"/>
      <c r="C163" s="57" t="s">
        <v>673</v>
      </c>
      <c r="D163" s="57" t="s">
        <v>649</v>
      </c>
      <c r="E163" s="58">
        <v>240</v>
      </c>
      <c r="F163" s="58">
        <v>240</v>
      </c>
      <c r="G163" s="58">
        <v>250</v>
      </c>
      <c r="H163" s="58">
        <v>240</v>
      </c>
      <c r="I163" s="58">
        <v>250</v>
      </c>
      <c r="J163" s="58">
        <v>240</v>
      </c>
      <c r="K163" s="58">
        <v>250</v>
      </c>
      <c r="L163" s="58">
        <v>250</v>
      </c>
      <c r="M163" s="58">
        <v>250</v>
      </c>
      <c r="N163" s="58">
        <v>250</v>
      </c>
      <c r="O163" s="58">
        <v>250</v>
      </c>
      <c r="P163" s="58">
        <v>260</v>
      </c>
      <c r="Q163" s="58">
        <v>260</v>
      </c>
      <c r="R163" s="58">
        <v>260</v>
      </c>
      <c r="S163" s="58">
        <v>255</v>
      </c>
      <c r="T163" s="58">
        <v>260</v>
      </c>
      <c r="U163" s="58">
        <v>260</v>
      </c>
      <c r="V163" s="58">
        <v>265</v>
      </c>
      <c r="W163" s="58">
        <v>265</v>
      </c>
      <c r="X163" s="58">
        <v>260</v>
      </c>
      <c r="Y163" s="58">
        <v>265</v>
      </c>
      <c r="Z163" s="58">
        <v>260</v>
      </c>
      <c r="AA163" s="58">
        <v>260</v>
      </c>
      <c r="AB163" s="58">
        <v>260</v>
      </c>
      <c r="AC163" s="58">
        <v>265</v>
      </c>
      <c r="AD163" s="58">
        <v>260</v>
      </c>
      <c r="AE163" s="58">
        <v>260</v>
      </c>
      <c r="AF163" s="58">
        <v>260</v>
      </c>
      <c r="AG163" s="58">
        <v>265</v>
      </c>
      <c r="AH163" s="58">
        <v>255</v>
      </c>
      <c r="AI163" s="58">
        <v>260</v>
      </c>
      <c r="AJ163" s="58">
        <v>260</v>
      </c>
      <c r="AK163" s="58">
        <v>265</v>
      </c>
      <c r="AL163" s="58">
        <v>260</v>
      </c>
      <c r="AM163" s="58">
        <v>260</v>
      </c>
      <c r="AN163" s="58">
        <v>270</v>
      </c>
      <c r="AO163" s="58">
        <v>265</v>
      </c>
      <c r="AP163" s="58">
        <v>275</v>
      </c>
      <c r="AQ163" s="58">
        <v>275</v>
      </c>
      <c r="AR163" s="58">
        <v>290</v>
      </c>
      <c r="AS163" s="58">
        <v>290</v>
      </c>
      <c r="AT163" s="58">
        <v>300</v>
      </c>
      <c r="AU163" s="58">
        <v>320</v>
      </c>
      <c r="AV163" s="58">
        <v>320</v>
      </c>
      <c r="AW163" s="58">
        <v>330</v>
      </c>
      <c r="AX163" s="58">
        <v>350</v>
      </c>
      <c r="AY163" s="58">
        <v>350</v>
      </c>
      <c r="AZ163" s="58">
        <v>360</v>
      </c>
      <c r="BA163" s="58">
        <v>390</v>
      </c>
      <c r="BB163" s="58">
        <v>370</v>
      </c>
      <c r="BC163" s="58">
        <v>380</v>
      </c>
      <c r="BD163" s="58">
        <v>380</v>
      </c>
      <c r="BE163" s="58">
        <v>400</v>
      </c>
      <c r="BF163" s="58">
        <v>400</v>
      </c>
      <c r="BG163" s="58">
        <v>400</v>
      </c>
      <c r="BH163" s="58">
        <v>420</v>
      </c>
    </row>
    <row r="164" spans="2:60" hidden="1" x14ac:dyDescent="0.2">
      <c r="B164" s="59"/>
      <c r="C164" s="59" t="s">
        <v>673</v>
      </c>
      <c r="D164" s="59" t="s">
        <v>650</v>
      </c>
      <c r="E164" s="60">
        <v>275</v>
      </c>
      <c r="F164" s="60">
        <v>290</v>
      </c>
      <c r="G164" s="60">
        <v>290</v>
      </c>
      <c r="H164" s="60">
        <v>265</v>
      </c>
      <c r="I164" s="60">
        <v>280</v>
      </c>
      <c r="J164" s="60">
        <v>290</v>
      </c>
      <c r="K164" s="60">
        <v>285</v>
      </c>
      <c r="L164" s="60">
        <v>285</v>
      </c>
      <c r="M164" s="60">
        <v>280</v>
      </c>
      <c r="N164" s="60">
        <v>285</v>
      </c>
      <c r="O164" s="60">
        <v>285</v>
      </c>
      <c r="P164" s="60">
        <v>300</v>
      </c>
      <c r="Q164" s="60">
        <v>300</v>
      </c>
      <c r="R164" s="60">
        <v>300</v>
      </c>
      <c r="S164" s="60">
        <v>300</v>
      </c>
      <c r="T164" s="60">
        <v>295</v>
      </c>
      <c r="U164" s="60">
        <v>300</v>
      </c>
      <c r="V164" s="60">
        <v>300</v>
      </c>
      <c r="W164" s="60">
        <v>300</v>
      </c>
      <c r="X164" s="60">
        <v>300</v>
      </c>
      <c r="Y164" s="60">
        <v>305</v>
      </c>
      <c r="Z164" s="60">
        <v>300</v>
      </c>
      <c r="AA164" s="60">
        <v>305</v>
      </c>
      <c r="AB164" s="60">
        <v>305</v>
      </c>
      <c r="AC164" s="60">
        <v>300</v>
      </c>
      <c r="AD164" s="60">
        <v>300</v>
      </c>
      <c r="AE164" s="60">
        <v>300</v>
      </c>
      <c r="AF164" s="60">
        <v>300</v>
      </c>
      <c r="AG164" s="60">
        <v>300</v>
      </c>
      <c r="AH164" s="60">
        <v>300</v>
      </c>
      <c r="AI164" s="60">
        <v>300</v>
      </c>
      <c r="AJ164" s="60">
        <v>300</v>
      </c>
      <c r="AK164" s="60">
        <v>300</v>
      </c>
      <c r="AL164" s="60">
        <v>300</v>
      </c>
      <c r="AM164" s="60">
        <v>300</v>
      </c>
      <c r="AN164" s="60">
        <v>310</v>
      </c>
      <c r="AO164" s="60">
        <v>310</v>
      </c>
      <c r="AP164" s="60">
        <v>315</v>
      </c>
      <c r="AQ164" s="60">
        <v>320</v>
      </c>
      <c r="AR164" s="60">
        <v>320</v>
      </c>
      <c r="AS164" s="60">
        <v>350</v>
      </c>
      <c r="AT164" s="60">
        <v>350</v>
      </c>
      <c r="AU164" s="60">
        <v>380</v>
      </c>
      <c r="AV164" s="60">
        <v>390</v>
      </c>
      <c r="AW164" s="60">
        <v>400</v>
      </c>
      <c r="AX164" s="60">
        <v>410</v>
      </c>
      <c r="AY164" s="60">
        <v>420</v>
      </c>
      <c r="AZ164" s="60">
        <v>440</v>
      </c>
      <c r="BA164" s="60">
        <v>450</v>
      </c>
      <c r="BB164" s="60">
        <v>450</v>
      </c>
      <c r="BC164" s="60">
        <v>450</v>
      </c>
      <c r="BD164" s="60">
        <v>465</v>
      </c>
      <c r="BE164" s="60">
        <v>490</v>
      </c>
      <c r="BF164" s="60">
        <v>490</v>
      </c>
      <c r="BG164" s="60">
        <v>495</v>
      </c>
      <c r="BH164" s="60">
        <v>500</v>
      </c>
    </row>
    <row r="165" spans="2:60" hidden="1" x14ac:dyDescent="0.2">
      <c r="B165" s="57"/>
      <c r="C165" s="57" t="s">
        <v>673</v>
      </c>
      <c r="D165" s="57" t="s">
        <v>651</v>
      </c>
      <c r="E165" s="58">
        <v>250</v>
      </c>
      <c r="F165" s="58">
        <v>245</v>
      </c>
      <c r="G165" s="58">
        <v>250</v>
      </c>
      <c r="H165" s="58">
        <v>260</v>
      </c>
      <c r="I165" s="58">
        <v>260</v>
      </c>
      <c r="J165" s="58">
        <v>255</v>
      </c>
      <c r="K165" s="58">
        <v>260</v>
      </c>
      <c r="L165" s="58">
        <v>260</v>
      </c>
      <c r="M165" s="58">
        <v>252</v>
      </c>
      <c r="N165" s="58">
        <v>265</v>
      </c>
      <c r="O165" s="58">
        <v>260</v>
      </c>
      <c r="P165" s="58">
        <v>270</v>
      </c>
      <c r="Q165" s="58">
        <v>280</v>
      </c>
      <c r="R165" s="58">
        <v>260</v>
      </c>
      <c r="S165" s="58">
        <v>270</v>
      </c>
      <c r="T165" s="58">
        <v>265</v>
      </c>
      <c r="U165" s="58">
        <v>270</v>
      </c>
      <c r="V165" s="58">
        <v>270</v>
      </c>
      <c r="W165" s="58">
        <v>275</v>
      </c>
      <c r="X165" s="58">
        <v>270</v>
      </c>
      <c r="Y165" s="58">
        <v>270</v>
      </c>
      <c r="Z165" s="58">
        <v>270</v>
      </c>
      <c r="AA165" s="58">
        <v>270</v>
      </c>
      <c r="AB165" s="58">
        <v>270</v>
      </c>
      <c r="AC165" s="58">
        <v>275</v>
      </c>
      <c r="AD165" s="58">
        <v>275</v>
      </c>
      <c r="AE165" s="58">
        <v>275</v>
      </c>
      <c r="AF165" s="58">
        <v>275</v>
      </c>
      <c r="AG165" s="58">
        <v>275</v>
      </c>
      <c r="AH165" s="58">
        <v>280</v>
      </c>
      <c r="AI165" s="58">
        <v>270</v>
      </c>
      <c r="AJ165" s="58">
        <v>275</v>
      </c>
      <c r="AK165" s="58">
        <v>275</v>
      </c>
      <c r="AL165" s="58">
        <v>280</v>
      </c>
      <c r="AM165" s="58">
        <v>280</v>
      </c>
      <c r="AN165" s="58">
        <v>295</v>
      </c>
      <c r="AO165" s="58">
        <v>285</v>
      </c>
      <c r="AP165" s="58">
        <v>290</v>
      </c>
      <c r="AQ165" s="58">
        <v>300</v>
      </c>
      <c r="AR165" s="58">
        <v>305</v>
      </c>
      <c r="AS165" s="58">
        <v>320</v>
      </c>
      <c r="AT165" s="58">
        <v>320</v>
      </c>
      <c r="AU165" s="58">
        <v>350</v>
      </c>
      <c r="AV165" s="58">
        <v>360</v>
      </c>
      <c r="AW165" s="58">
        <v>370</v>
      </c>
      <c r="AX165" s="58">
        <v>380</v>
      </c>
      <c r="AY165" s="58">
        <v>390</v>
      </c>
      <c r="AZ165" s="58">
        <v>400</v>
      </c>
      <c r="BA165" s="58">
        <v>400</v>
      </c>
      <c r="BB165" s="58">
        <v>420</v>
      </c>
      <c r="BC165" s="58">
        <v>430</v>
      </c>
      <c r="BD165" s="58">
        <v>435</v>
      </c>
      <c r="BE165" s="58">
        <v>440</v>
      </c>
      <c r="BF165" s="58">
        <v>430</v>
      </c>
      <c r="BG165" s="58">
        <v>450</v>
      </c>
      <c r="BH165" s="58">
        <v>450</v>
      </c>
    </row>
    <row r="166" spans="2:60" hidden="1" x14ac:dyDescent="0.2">
      <c r="B166" s="59"/>
      <c r="C166" s="59" t="s">
        <v>673</v>
      </c>
      <c r="D166" s="59" t="s">
        <v>652</v>
      </c>
      <c r="E166" s="60">
        <v>285</v>
      </c>
      <c r="F166" s="60">
        <v>280</v>
      </c>
      <c r="G166" s="60">
        <v>290</v>
      </c>
      <c r="H166" s="60">
        <v>290</v>
      </c>
      <c r="I166" s="60">
        <v>290</v>
      </c>
      <c r="J166" s="60">
        <v>295</v>
      </c>
      <c r="K166" s="60">
        <v>295</v>
      </c>
      <c r="L166" s="60">
        <v>300</v>
      </c>
      <c r="M166" s="60">
        <v>300</v>
      </c>
      <c r="N166" s="60">
        <v>300</v>
      </c>
      <c r="O166" s="60">
        <v>300</v>
      </c>
      <c r="P166" s="60">
        <v>300</v>
      </c>
      <c r="Q166" s="60">
        <v>300</v>
      </c>
      <c r="R166" s="60">
        <v>300</v>
      </c>
      <c r="S166" s="60">
        <v>300</v>
      </c>
      <c r="T166" s="60">
        <v>300</v>
      </c>
      <c r="U166" s="60">
        <v>310</v>
      </c>
      <c r="V166" s="60">
        <v>305</v>
      </c>
      <c r="W166" s="60">
        <v>300</v>
      </c>
      <c r="X166" s="60">
        <v>310</v>
      </c>
      <c r="Y166" s="60">
        <v>310</v>
      </c>
      <c r="Z166" s="60">
        <v>310</v>
      </c>
      <c r="AA166" s="60">
        <v>310</v>
      </c>
      <c r="AB166" s="60">
        <v>310</v>
      </c>
      <c r="AC166" s="60">
        <v>310</v>
      </c>
      <c r="AD166" s="60">
        <v>310</v>
      </c>
      <c r="AE166" s="60">
        <v>310</v>
      </c>
      <c r="AF166" s="60">
        <v>310</v>
      </c>
      <c r="AG166" s="60">
        <v>315</v>
      </c>
      <c r="AH166" s="60">
        <v>315</v>
      </c>
      <c r="AI166" s="60">
        <v>315</v>
      </c>
      <c r="AJ166" s="60">
        <v>315</v>
      </c>
      <c r="AK166" s="60">
        <v>320</v>
      </c>
      <c r="AL166" s="60">
        <v>320</v>
      </c>
      <c r="AM166" s="60">
        <v>320</v>
      </c>
      <c r="AN166" s="60">
        <v>330</v>
      </c>
      <c r="AO166" s="60">
        <v>340</v>
      </c>
      <c r="AP166" s="60">
        <v>330</v>
      </c>
      <c r="AQ166" s="60">
        <v>350</v>
      </c>
      <c r="AR166" s="60">
        <v>365</v>
      </c>
      <c r="AS166" s="60">
        <v>380</v>
      </c>
      <c r="AT166" s="60">
        <v>390</v>
      </c>
      <c r="AU166" s="60">
        <v>410</v>
      </c>
      <c r="AV166" s="60">
        <v>420</v>
      </c>
      <c r="AW166" s="60">
        <v>440</v>
      </c>
      <c r="AX166" s="60">
        <v>450</v>
      </c>
      <c r="AY166" s="60">
        <v>450</v>
      </c>
      <c r="AZ166" s="60">
        <v>475</v>
      </c>
      <c r="BA166" s="60">
        <v>490</v>
      </c>
      <c r="BB166" s="60">
        <v>500</v>
      </c>
      <c r="BC166" s="60">
        <v>500</v>
      </c>
      <c r="BD166" s="60">
        <v>510</v>
      </c>
      <c r="BE166" s="60">
        <v>520</v>
      </c>
      <c r="BF166" s="60">
        <v>520</v>
      </c>
      <c r="BG166" s="60">
        <v>550</v>
      </c>
      <c r="BH166" s="60">
        <v>550</v>
      </c>
    </row>
    <row r="167" spans="2:60" hidden="1" x14ac:dyDescent="0.2">
      <c r="B167" s="57"/>
      <c r="C167" s="57" t="s">
        <v>673</v>
      </c>
      <c r="D167" s="57" t="s">
        <v>653</v>
      </c>
      <c r="E167" s="58">
        <v>340</v>
      </c>
      <c r="F167" s="58">
        <v>335</v>
      </c>
      <c r="G167" s="58">
        <v>340</v>
      </c>
      <c r="H167" s="58">
        <v>340</v>
      </c>
      <c r="I167" s="58">
        <v>345</v>
      </c>
      <c r="J167" s="58">
        <v>345</v>
      </c>
      <c r="K167" s="58">
        <v>350</v>
      </c>
      <c r="L167" s="58">
        <v>350</v>
      </c>
      <c r="M167" s="58">
        <v>350</v>
      </c>
      <c r="N167" s="58">
        <v>350</v>
      </c>
      <c r="O167" s="58">
        <v>350</v>
      </c>
      <c r="P167" s="58">
        <v>360</v>
      </c>
      <c r="Q167" s="58">
        <v>355</v>
      </c>
      <c r="R167" s="58">
        <v>360</v>
      </c>
      <c r="S167" s="58">
        <v>360</v>
      </c>
      <c r="T167" s="58">
        <v>360</v>
      </c>
      <c r="U167" s="58">
        <v>360</v>
      </c>
      <c r="V167" s="58">
        <v>360</v>
      </c>
      <c r="W167" s="58">
        <v>360</v>
      </c>
      <c r="X167" s="58">
        <v>360</v>
      </c>
      <c r="Y167" s="58">
        <v>365</v>
      </c>
      <c r="Z167" s="58">
        <v>370</v>
      </c>
      <c r="AA167" s="58">
        <v>365</v>
      </c>
      <c r="AB167" s="58">
        <v>370</v>
      </c>
      <c r="AC167" s="58">
        <v>370</v>
      </c>
      <c r="AD167" s="58">
        <v>370</v>
      </c>
      <c r="AE167" s="58">
        <v>370</v>
      </c>
      <c r="AF167" s="58">
        <v>370</v>
      </c>
      <c r="AG167" s="58">
        <v>380</v>
      </c>
      <c r="AH167" s="58">
        <v>370</v>
      </c>
      <c r="AI167" s="58">
        <v>375</v>
      </c>
      <c r="AJ167" s="58">
        <v>375</v>
      </c>
      <c r="AK167" s="58">
        <v>380</v>
      </c>
      <c r="AL167" s="58">
        <v>370</v>
      </c>
      <c r="AM167" s="58">
        <v>380</v>
      </c>
      <c r="AN167" s="58">
        <v>380</v>
      </c>
      <c r="AO167" s="58">
        <v>390</v>
      </c>
      <c r="AP167" s="58">
        <v>410</v>
      </c>
      <c r="AQ167" s="58">
        <v>415</v>
      </c>
      <c r="AR167" s="58">
        <v>430</v>
      </c>
      <c r="AS167" s="58">
        <v>450</v>
      </c>
      <c r="AT167" s="58">
        <v>470</v>
      </c>
      <c r="AU167" s="58">
        <v>490</v>
      </c>
      <c r="AV167" s="58">
        <v>500</v>
      </c>
      <c r="AW167" s="58">
        <v>520</v>
      </c>
      <c r="AX167" s="58">
        <v>530</v>
      </c>
      <c r="AY167" s="58">
        <v>540</v>
      </c>
      <c r="AZ167" s="58">
        <v>550</v>
      </c>
      <c r="BA167" s="58">
        <v>575</v>
      </c>
      <c r="BB167" s="58">
        <v>580</v>
      </c>
      <c r="BC167" s="58">
        <v>580</v>
      </c>
      <c r="BD167" s="58">
        <v>590</v>
      </c>
      <c r="BE167" s="58">
        <v>600</v>
      </c>
      <c r="BF167" s="58">
        <v>620</v>
      </c>
      <c r="BG167" s="58">
        <v>625</v>
      </c>
      <c r="BH167" s="58">
        <v>640</v>
      </c>
    </row>
    <row r="168" spans="2:60" x14ac:dyDescent="0.2">
      <c r="B168" s="59"/>
      <c r="C168" s="59" t="s">
        <v>673</v>
      </c>
      <c r="D168" s="59" t="s">
        <v>654</v>
      </c>
      <c r="E168" s="60">
        <v>260</v>
      </c>
      <c r="F168" s="60">
        <v>255</v>
      </c>
      <c r="G168" s="60">
        <v>260</v>
      </c>
      <c r="H168" s="60">
        <v>270</v>
      </c>
      <c r="I168" s="60">
        <v>265</v>
      </c>
      <c r="J168" s="60">
        <v>270</v>
      </c>
      <c r="K168" s="60">
        <v>270</v>
      </c>
      <c r="L168" s="60">
        <v>260</v>
      </c>
      <c r="M168" s="60">
        <v>275</v>
      </c>
      <c r="N168" s="60">
        <v>275</v>
      </c>
      <c r="O168" s="60">
        <v>270</v>
      </c>
      <c r="P168" s="60">
        <v>265</v>
      </c>
      <c r="Q168" s="60">
        <v>270</v>
      </c>
      <c r="R168" s="60">
        <v>270</v>
      </c>
      <c r="S168" s="60">
        <v>265</v>
      </c>
      <c r="T168" s="60">
        <v>265</v>
      </c>
      <c r="U168" s="60">
        <v>265</v>
      </c>
      <c r="V168" s="60">
        <v>265</v>
      </c>
      <c r="W168" s="60">
        <v>265</v>
      </c>
      <c r="X168" s="60">
        <v>265</v>
      </c>
      <c r="Y168" s="60">
        <v>275</v>
      </c>
      <c r="Z168" s="60">
        <v>270</v>
      </c>
      <c r="AA168" s="60">
        <v>265</v>
      </c>
      <c r="AB168" s="60">
        <v>275</v>
      </c>
      <c r="AC168" s="60">
        <v>275</v>
      </c>
      <c r="AD168" s="60">
        <v>280</v>
      </c>
      <c r="AE168" s="60">
        <v>275</v>
      </c>
      <c r="AF168" s="60">
        <v>275</v>
      </c>
      <c r="AG168" s="60">
        <v>270</v>
      </c>
      <c r="AH168" s="60">
        <v>275</v>
      </c>
      <c r="AI168" s="60">
        <v>265</v>
      </c>
      <c r="AJ168" s="60">
        <v>270</v>
      </c>
      <c r="AK168" s="60">
        <v>280</v>
      </c>
      <c r="AL168" s="60">
        <v>280</v>
      </c>
      <c r="AM168" s="60">
        <v>280</v>
      </c>
      <c r="AN168" s="60">
        <v>285</v>
      </c>
      <c r="AO168" s="60">
        <v>275</v>
      </c>
      <c r="AP168" s="60">
        <v>280</v>
      </c>
      <c r="AQ168" s="60">
        <v>300</v>
      </c>
      <c r="AR168" s="60">
        <v>300</v>
      </c>
      <c r="AS168" s="60">
        <v>320</v>
      </c>
      <c r="AT168" s="60">
        <v>330</v>
      </c>
      <c r="AU168" s="60">
        <v>335</v>
      </c>
      <c r="AV168" s="60">
        <v>350</v>
      </c>
      <c r="AW168" s="60">
        <v>360</v>
      </c>
      <c r="AX168" s="60">
        <v>360</v>
      </c>
      <c r="AY168" s="60">
        <v>380</v>
      </c>
      <c r="AZ168" s="60">
        <v>380</v>
      </c>
      <c r="BA168" s="60">
        <v>400</v>
      </c>
      <c r="BB168" s="60">
        <v>410</v>
      </c>
      <c r="BC168" s="60">
        <v>420</v>
      </c>
      <c r="BD168" s="60">
        <v>410</v>
      </c>
      <c r="BE168" s="60">
        <v>450</v>
      </c>
      <c r="BF168" s="60">
        <v>470</v>
      </c>
      <c r="BG168" s="60">
        <v>520</v>
      </c>
      <c r="BH168" s="60">
        <v>490</v>
      </c>
    </row>
    <row r="169" spans="2:60" hidden="1" x14ac:dyDescent="0.2">
      <c r="B169" s="57"/>
      <c r="C169" s="57" t="s">
        <v>673</v>
      </c>
      <c r="D169" s="57" t="s">
        <v>655</v>
      </c>
      <c r="E169" s="58">
        <v>295</v>
      </c>
      <c r="F169" s="58">
        <v>300</v>
      </c>
      <c r="G169" s="58">
        <v>300</v>
      </c>
      <c r="H169" s="58">
        <v>305</v>
      </c>
      <c r="I169" s="58">
        <v>305</v>
      </c>
      <c r="J169" s="58">
        <v>305</v>
      </c>
      <c r="K169" s="58">
        <v>305</v>
      </c>
      <c r="L169" s="58">
        <v>310</v>
      </c>
      <c r="M169" s="58">
        <v>310</v>
      </c>
      <c r="N169" s="58">
        <v>310</v>
      </c>
      <c r="O169" s="58">
        <v>310</v>
      </c>
      <c r="P169" s="58">
        <v>310</v>
      </c>
      <c r="Q169" s="58">
        <v>310</v>
      </c>
      <c r="R169" s="58">
        <v>320</v>
      </c>
      <c r="S169" s="58">
        <v>315</v>
      </c>
      <c r="T169" s="58">
        <v>315</v>
      </c>
      <c r="U169" s="58">
        <v>320</v>
      </c>
      <c r="V169" s="58">
        <v>320</v>
      </c>
      <c r="W169" s="58">
        <v>320</v>
      </c>
      <c r="X169" s="58">
        <v>315</v>
      </c>
      <c r="Y169" s="58">
        <v>325</v>
      </c>
      <c r="Z169" s="58">
        <v>320</v>
      </c>
      <c r="AA169" s="58">
        <v>320</v>
      </c>
      <c r="AB169" s="58">
        <v>320</v>
      </c>
      <c r="AC169" s="58">
        <v>320</v>
      </c>
      <c r="AD169" s="58">
        <v>315</v>
      </c>
      <c r="AE169" s="58">
        <v>310</v>
      </c>
      <c r="AF169" s="58">
        <v>320</v>
      </c>
      <c r="AG169" s="58">
        <v>320</v>
      </c>
      <c r="AH169" s="58">
        <v>320</v>
      </c>
      <c r="AI169" s="58">
        <v>325</v>
      </c>
      <c r="AJ169" s="58">
        <v>320</v>
      </c>
      <c r="AK169" s="58">
        <v>330</v>
      </c>
      <c r="AL169" s="58">
        <v>325</v>
      </c>
      <c r="AM169" s="58">
        <v>325</v>
      </c>
      <c r="AN169" s="58">
        <v>330</v>
      </c>
      <c r="AO169" s="58">
        <v>330</v>
      </c>
      <c r="AP169" s="58">
        <v>340</v>
      </c>
      <c r="AQ169" s="58">
        <v>340</v>
      </c>
      <c r="AR169" s="58">
        <v>350</v>
      </c>
      <c r="AS169" s="58">
        <v>360</v>
      </c>
      <c r="AT169" s="58">
        <v>370</v>
      </c>
      <c r="AU169" s="58">
        <v>385</v>
      </c>
      <c r="AV169" s="58">
        <v>400</v>
      </c>
      <c r="AW169" s="58">
        <v>420</v>
      </c>
      <c r="AX169" s="58">
        <v>450</v>
      </c>
      <c r="AY169" s="58">
        <v>450</v>
      </c>
      <c r="AZ169" s="58">
        <v>460</v>
      </c>
      <c r="BA169" s="58">
        <v>485</v>
      </c>
      <c r="BB169" s="58">
        <v>500</v>
      </c>
      <c r="BC169" s="58">
        <v>500</v>
      </c>
      <c r="BD169" s="58">
        <v>510</v>
      </c>
      <c r="BE169" s="58">
        <v>530</v>
      </c>
      <c r="BF169" s="58">
        <v>530</v>
      </c>
      <c r="BG169" s="58">
        <v>550</v>
      </c>
      <c r="BH169" s="58">
        <v>575</v>
      </c>
    </row>
    <row r="170" spans="2:60" hidden="1" x14ac:dyDescent="0.2">
      <c r="B170" s="59"/>
      <c r="C170" s="59" t="s">
        <v>673</v>
      </c>
      <c r="D170" s="59" t="s">
        <v>656</v>
      </c>
      <c r="E170" s="60">
        <v>300</v>
      </c>
      <c r="F170" s="60">
        <v>300</v>
      </c>
      <c r="G170" s="60">
        <v>310</v>
      </c>
      <c r="H170" s="60">
        <v>310</v>
      </c>
      <c r="I170" s="60">
        <v>305</v>
      </c>
      <c r="J170" s="60">
        <v>310</v>
      </c>
      <c r="K170" s="60">
        <v>315</v>
      </c>
      <c r="L170" s="60">
        <v>315</v>
      </c>
      <c r="M170" s="60">
        <v>310</v>
      </c>
      <c r="N170" s="60">
        <v>320</v>
      </c>
      <c r="O170" s="60">
        <v>320</v>
      </c>
      <c r="P170" s="60">
        <v>320</v>
      </c>
      <c r="Q170" s="60">
        <v>315</v>
      </c>
      <c r="R170" s="60">
        <v>320</v>
      </c>
      <c r="S170" s="60">
        <v>320</v>
      </c>
      <c r="T170" s="60">
        <v>320</v>
      </c>
      <c r="U170" s="60">
        <v>320</v>
      </c>
      <c r="V170" s="60">
        <v>320</v>
      </c>
      <c r="W170" s="60">
        <v>330</v>
      </c>
      <c r="X170" s="60">
        <v>330</v>
      </c>
      <c r="Y170" s="60">
        <v>330</v>
      </c>
      <c r="Z170" s="60">
        <v>330</v>
      </c>
      <c r="AA170" s="60">
        <v>325</v>
      </c>
      <c r="AB170" s="60">
        <v>330</v>
      </c>
      <c r="AC170" s="60">
        <v>330</v>
      </c>
      <c r="AD170" s="60">
        <v>330</v>
      </c>
      <c r="AE170" s="60">
        <v>330</v>
      </c>
      <c r="AF170" s="60">
        <v>330</v>
      </c>
      <c r="AG170" s="60">
        <v>330</v>
      </c>
      <c r="AH170" s="60">
        <v>330</v>
      </c>
      <c r="AI170" s="60">
        <v>330</v>
      </c>
      <c r="AJ170" s="60">
        <v>335</v>
      </c>
      <c r="AK170" s="60">
        <v>330</v>
      </c>
      <c r="AL170" s="60">
        <v>330</v>
      </c>
      <c r="AM170" s="60">
        <v>330</v>
      </c>
      <c r="AN170" s="60">
        <v>340</v>
      </c>
      <c r="AO170" s="60">
        <v>340</v>
      </c>
      <c r="AP170" s="60">
        <v>350</v>
      </c>
      <c r="AQ170" s="60">
        <v>360</v>
      </c>
      <c r="AR170" s="60">
        <v>380</v>
      </c>
      <c r="AS170" s="60">
        <v>390</v>
      </c>
      <c r="AT170" s="60">
        <v>400</v>
      </c>
      <c r="AU170" s="60">
        <v>430</v>
      </c>
      <c r="AV170" s="60">
        <v>450</v>
      </c>
      <c r="AW170" s="60">
        <v>450</v>
      </c>
      <c r="AX170" s="60">
        <v>470</v>
      </c>
      <c r="AY170" s="60">
        <v>480</v>
      </c>
      <c r="AZ170" s="60">
        <v>500</v>
      </c>
      <c r="BA170" s="60">
        <v>510</v>
      </c>
      <c r="BB170" s="60">
        <v>530</v>
      </c>
      <c r="BC170" s="60">
        <v>540</v>
      </c>
      <c r="BD170" s="60">
        <v>550</v>
      </c>
      <c r="BE170" s="60">
        <v>550</v>
      </c>
      <c r="BF170" s="60">
        <v>550</v>
      </c>
      <c r="BG170" s="60">
        <v>575</v>
      </c>
      <c r="BH170" s="60">
        <v>585</v>
      </c>
    </row>
    <row r="171" spans="2:60" hidden="1" x14ac:dyDescent="0.2">
      <c r="B171" s="57"/>
      <c r="C171" s="57" t="s">
        <v>674</v>
      </c>
      <c r="D171" s="57" t="s">
        <v>648</v>
      </c>
      <c r="E171" s="58"/>
      <c r="F171" s="58"/>
      <c r="G171" s="58"/>
      <c r="H171" s="58"/>
      <c r="I171" s="58">
        <v>600</v>
      </c>
      <c r="J171" s="58"/>
      <c r="K171" s="58"/>
      <c r="L171" s="58"/>
      <c r="M171" s="58"/>
      <c r="N171" s="58"/>
      <c r="O171" s="58"/>
      <c r="P171" s="58"/>
      <c r="Q171" s="58">
        <v>250</v>
      </c>
      <c r="R171" s="58">
        <v>250</v>
      </c>
      <c r="S171" s="58">
        <v>250</v>
      </c>
      <c r="T171" s="58"/>
      <c r="U171" s="58">
        <v>240</v>
      </c>
      <c r="V171" s="58"/>
      <c r="W171" s="58"/>
      <c r="X171" s="58"/>
      <c r="Y171" s="58">
        <v>200</v>
      </c>
      <c r="Z171" s="58"/>
      <c r="AA171" s="58"/>
      <c r="AB171" s="58">
        <v>270</v>
      </c>
      <c r="AC171" s="58"/>
      <c r="AD171" s="58">
        <v>150</v>
      </c>
      <c r="AE171" s="58">
        <v>170</v>
      </c>
      <c r="AF171" s="58"/>
      <c r="AG171" s="58"/>
      <c r="AH171" s="58"/>
      <c r="AI171" s="58"/>
      <c r="AJ171" s="58"/>
      <c r="AK171" s="58"/>
      <c r="AL171" s="58"/>
      <c r="AM171" s="58"/>
      <c r="AN171" s="58"/>
      <c r="AO171" s="58"/>
      <c r="AP171" s="58">
        <v>350</v>
      </c>
      <c r="AQ171" s="58"/>
      <c r="AR171" s="58"/>
      <c r="AS171" s="58">
        <v>200</v>
      </c>
      <c r="AT171" s="58"/>
      <c r="AU171" s="58"/>
      <c r="AV171" s="58"/>
      <c r="AW171" s="58"/>
      <c r="AX171" s="58"/>
      <c r="AY171" s="58">
        <v>100</v>
      </c>
      <c r="AZ171" s="58"/>
      <c r="BA171" s="58"/>
      <c r="BB171" s="58"/>
      <c r="BC171" s="58"/>
      <c r="BD171" s="58"/>
      <c r="BE171" s="58">
        <v>100</v>
      </c>
      <c r="BF171" s="58"/>
      <c r="BG171" s="58">
        <v>197</v>
      </c>
      <c r="BH171" s="58"/>
    </row>
    <row r="172" spans="2:60" hidden="1" x14ac:dyDescent="0.2">
      <c r="B172" s="59"/>
      <c r="C172" s="59" t="s">
        <v>674</v>
      </c>
      <c r="D172" s="59" t="s">
        <v>649</v>
      </c>
      <c r="E172" s="60">
        <v>200</v>
      </c>
      <c r="F172" s="60">
        <v>225</v>
      </c>
      <c r="G172" s="60">
        <v>400</v>
      </c>
      <c r="H172" s="60">
        <v>300</v>
      </c>
      <c r="I172" s="60">
        <v>400</v>
      </c>
      <c r="J172" s="60">
        <v>60</v>
      </c>
      <c r="K172" s="60">
        <v>60</v>
      </c>
      <c r="L172" s="60">
        <v>60</v>
      </c>
      <c r="M172" s="60">
        <v>60</v>
      </c>
      <c r="N172" s="60">
        <v>200</v>
      </c>
      <c r="O172" s="60">
        <v>220</v>
      </c>
      <c r="P172" s="60">
        <v>200</v>
      </c>
      <c r="Q172" s="60">
        <v>175</v>
      </c>
      <c r="R172" s="60">
        <v>160</v>
      </c>
      <c r="S172" s="60">
        <v>160</v>
      </c>
      <c r="T172" s="60">
        <v>130</v>
      </c>
      <c r="U172" s="60">
        <v>160</v>
      </c>
      <c r="V172" s="60">
        <v>180</v>
      </c>
      <c r="W172" s="60"/>
      <c r="X172" s="60">
        <v>150</v>
      </c>
      <c r="Y172" s="60">
        <v>170</v>
      </c>
      <c r="Z172" s="60">
        <v>150</v>
      </c>
      <c r="AA172" s="60">
        <v>165</v>
      </c>
      <c r="AB172" s="60">
        <v>160</v>
      </c>
      <c r="AC172" s="60">
        <v>170</v>
      </c>
      <c r="AD172" s="60">
        <v>180</v>
      </c>
      <c r="AE172" s="60">
        <v>190</v>
      </c>
      <c r="AF172" s="60">
        <v>170</v>
      </c>
      <c r="AG172" s="60">
        <v>190</v>
      </c>
      <c r="AH172" s="60">
        <v>210</v>
      </c>
      <c r="AI172" s="60">
        <v>250</v>
      </c>
      <c r="AJ172" s="60">
        <v>260</v>
      </c>
      <c r="AK172" s="60">
        <v>225</v>
      </c>
      <c r="AL172" s="60">
        <v>280</v>
      </c>
      <c r="AM172" s="60">
        <v>240</v>
      </c>
      <c r="AN172" s="60">
        <v>225</v>
      </c>
      <c r="AO172" s="60">
        <v>200</v>
      </c>
      <c r="AP172" s="60">
        <v>220</v>
      </c>
      <c r="AQ172" s="60">
        <v>250</v>
      </c>
      <c r="AR172" s="60">
        <v>230</v>
      </c>
      <c r="AS172" s="60">
        <v>150</v>
      </c>
      <c r="AT172" s="60">
        <v>260</v>
      </c>
      <c r="AU172" s="60">
        <v>230</v>
      </c>
      <c r="AV172" s="60">
        <v>295</v>
      </c>
      <c r="AW172" s="60">
        <v>100</v>
      </c>
      <c r="AX172" s="60">
        <v>100</v>
      </c>
      <c r="AY172" s="60">
        <v>107</v>
      </c>
      <c r="AZ172" s="60">
        <v>320</v>
      </c>
      <c r="BA172" s="60">
        <v>200</v>
      </c>
      <c r="BB172" s="60">
        <v>320</v>
      </c>
      <c r="BC172" s="60">
        <v>155</v>
      </c>
      <c r="BD172" s="60">
        <v>370</v>
      </c>
      <c r="BE172" s="60">
        <v>350</v>
      </c>
      <c r="BF172" s="60">
        <v>310</v>
      </c>
      <c r="BG172" s="60">
        <v>330</v>
      </c>
      <c r="BH172" s="60">
        <v>100</v>
      </c>
    </row>
    <row r="173" spans="2:60" hidden="1" x14ac:dyDescent="0.2">
      <c r="B173" s="57"/>
      <c r="C173" s="57" t="s">
        <v>674</v>
      </c>
      <c r="D173" s="57" t="s">
        <v>650</v>
      </c>
      <c r="E173" s="58">
        <v>1000</v>
      </c>
      <c r="F173" s="58">
        <v>550</v>
      </c>
      <c r="G173" s="58">
        <v>300</v>
      </c>
      <c r="H173" s="58"/>
      <c r="I173" s="58">
        <v>500</v>
      </c>
      <c r="J173" s="58">
        <v>300</v>
      </c>
      <c r="K173" s="58">
        <v>325</v>
      </c>
      <c r="L173" s="58">
        <v>400</v>
      </c>
      <c r="M173" s="58">
        <v>300</v>
      </c>
      <c r="N173" s="58">
        <v>60</v>
      </c>
      <c r="O173" s="58">
        <v>230</v>
      </c>
      <c r="P173" s="58">
        <v>225</v>
      </c>
      <c r="Q173" s="58">
        <v>200</v>
      </c>
      <c r="R173" s="58">
        <v>270</v>
      </c>
      <c r="S173" s="58">
        <v>180</v>
      </c>
      <c r="T173" s="58">
        <v>60</v>
      </c>
      <c r="U173" s="58">
        <v>60</v>
      </c>
      <c r="V173" s="58">
        <v>250</v>
      </c>
      <c r="W173" s="58"/>
      <c r="X173" s="58">
        <v>160</v>
      </c>
      <c r="Y173" s="58">
        <v>170</v>
      </c>
      <c r="Z173" s="58">
        <v>100</v>
      </c>
      <c r="AA173" s="58">
        <v>160</v>
      </c>
      <c r="AB173" s="58">
        <v>60</v>
      </c>
      <c r="AC173" s="58">
        <v>180</v>
      </c>
      <c r="AD173" s="58">
        <v>60</v>
      </c>
      <c r="AE173" s="58">
        <v>180</v>
      </c>
      <c r="AF173" s="58">
        <v>190</v>
      </c>
      <c r="AG173" s="58">
        <v>180</v>
      </c>
      <c r="AH173" s="58">
        <v>160</v>
      </c>
      <c r="AI173" s="58">
        <v>200</v>
      </c>
      <c r="AJ173" s="58">
        <v>390</v>
      </c>
      <c r="AK173" s="58">
        <v>270</v>
      </c>
      <c r="AL173" s="58">
        <v>290</v>
      </c>
      <c r="AM173" s="58">
        <v>250</v>
      </c>
      <c r="AN173" s="58">
        <v>250</v>
      </c>
      <c r="AO173" s="58">
        <v>320</v>
      </c>
      <c r="AP173" s="58">
        <v>100</v>
      </c>
      <c r="AQ173" s="58">
        <v>200</v>
      </c>
      <c r="AR173" s="58">
        <v>250</v>
      </c>
      <c r="AS173" s="58">
        <v>100</v>
      </c>
      <c r="AT173" s="58">
        <v>100</v>
      </c>
      <c r="AU173" s="58">
        <v>290</v>
      </c>
      <c r="AV173" s="58">
        <v>350</v>
      </c>
      <c r="AW173" s="58">
        <v>270</v>
      </c>
      <c r="AX173" s="58">
        <v>280</v>
      </c>
      <c r="AY173" s="58">
        <v>320</v>
      </c>
      <c r="AZ173" s="58">
        <v>375</v>
      </c>
      <c r="BA173" s="58">
        <v>100</v>
      </c>
      <c r="BB173" s="58">
        <v>221</v>
      </c>
      <c r="BC173" s="58">
        <v>100</v>
      </c>
      <c r="BD173" s="58">
        <v>325</v>
      </c>
      <c r="BE173" s="58">
        <v>350</v>
      </c>
      <c r="BF173" s="58">
        <v>100</v>
      </c>
      <c r="BG173" s="58">
        <v>430</v>
      </c>
      <c r="BH173" s="58">
        <v>370</v>
      </c>
    </row>
    <row r="174" spans="2:60" hidden="1" x14ac:dyDescent="0.2">
      <c r="B174" s="59"/>
      <c r="C174" s="59" t="s">
        <v>674</v>
      </c>
      <c r="D174" s="59" t="s">
        <v>651</v>
      </c>
      <c r="E174" s="60"/>
      <c r="F174" s="60"/>
      <c r="G174" s="60"/>
      <c r="H174" s="60"/>
      <c r="I174" s="60"/>
      <c r="J174" s="60"/>
      <c r="K174" s="60"/>
      <c r="L174" s="60"/>
      <c r="M174" s="60">
        <v>350</v>
      </c>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v>285</v>
      </c>
      <c r="AS174" s="60"/>
      <c r="AT174" s="60"/>
      <c r="AU174" s="60"/>
      <c r="AV174" s="60"/>
      <c r="AW174" s="60"/>
      <c r="AX174" s="60"/>
      <c r="AY174" s="60"/>
      <c r="AZ174" s="60"/>
      <c r="BA174" s="60"/>
      <c r="BB174" s="60"/>
      <c r="BC174" s="60"/>
      <c r="BD174" s="60"/>
      <c r="BE174" s="60"/>
      <c r="BF174" s="60"/>
      <c r="BG174" s="60"/>
      <c r="BH174" s="60"/>
    </row>
    <row r="175" spans="2:60" hidden="1" x14ac:dyDescent="0.2">
      <c r="B175" s="57"/>
      <c r="C175" s="57" t="s">
        <v>674</v>
      </c>
      <c r="D175" s="57" t="s">
        <v>652</v>
      </c>
      <c r="E175" s="58">
        <v>1500</v>
      </c>
      <c r="F175" s="58">
        <v>800</v>
      </c>
      <c r="G175" s="58">
        <v>600</v>
      </c>
      <c r="H175" s="58">
        <v>450</v>
      </c>
      <c r="I175" s="58">
        <v>400</v>
      </c>
      <c r="J175" s="58">
        <v>350</v>
      </c>
      <c r="K175" s="58">
        <v>320</v>
      </c>
      <c r="L175" s="58">
        <v>300</v>
      </c>
      <c r="M175" s="58">
        <v>300</v>
      </c>
      <c r="N175" s="58">
        <v>250</v>
      </c>
      <c r="O175" s="58">
        <v>250</v>
      </c>
      <c r="P175" s="58">
        <v>250</v>
      </c>
      <c r="Q175" s="58">
        <v>220</v>
      </c>
      <c r="R175" s="58">
        <v>225</v>
      </c>
      <c r="S175" s="58">
        <v>210</v>
      </c>
      <c r="T175" s="58">
        <v>220</v>
      </c>
      <c r="U175" s="58">
        <v>200</v>
      </c>
      <c r="V175" s="58">
        <v>200</v>
      </c>
      <c r="W175" s="58">
        <v>195</v>
      </c>
      <c r="X175" s="58">
        <v>200</v>
      </c>
      <c r="Y175" s="58">
        <v>200</v>
      </c>
      <c r="Z175" s="58">
        <v>200</v>
      </c>
      <c r="AA175" s="58">
        <v>200</v>
      </c>
      <c r="AB175" s="58">
        <v>210</v>
      </c>
      <c r="AC175" s="58">
        <v>250</v>
      </c>
      <c r="AD175" s="58">
        <v>240</v>
      </c>
      <c r="AE175" s="58">
        <v>250</v>
      </c>
      <c r="AF175" s="58">
        <v>250</v>
      </c>
      <c r="AG175" s="58">
        <v>280</v>
      </c>
      <c r="AH175" s="58">
        <v>300</v>
      </c>
      <c r="AI175" s="58">
        <v>280</v>
      </c>
      <c r="AJ175" s="58">
        <v>300</v>
      </c>
      <c r="AK175" s="58">
        <v>320</v>
      </c>
      <c r="AL175" s="58">
        <v>300</v>
      </c>
      <c r="AM175" s="58">
        <v>330</v>
      </c>
      <c r="AN175" s="58">
        <v>320</v>
      </c>
      <c r="AO175" s="58">
        <v>350</v>
      </c>
      <c r="AP175" s="58">
        <v>330</v>
      </c>
      <c r="AQ175" s="58">
        <v>330</v>
      </c>
      <c r="AR175" s="58">
        <v>350</v>
      </c>
      <c r="AS175" s="58">
        <v>310</v>
      </c>
      <c r="AT175" s="58">
        <v>350</v>
      </c>
      <c r="AU175" s="58">
        <v>350</v>
      </c>
      <c r="AV175" s="58">
        <v>360</v>
      </c>
      <c r="AW175" s="58">
        <v>380</v>
      </c>
      <c r="AX175" s="58">
        <v>400</v>
      </c>
      <c r="AY175" s="58">
        <v>430</v>
      </c>
      <c r="AZ175" s="58">
        <v>470</v>
      </c>
      <c r="BA175" s="58">
        <v>440</v>
      </c>
      <c r="BB175" s="58">
        <v>475</v>
      </c>
      <c r="BC175" s="58">
        <v>450</v>
      </c>
      <c r="BD175" s="58">
        <v>420</v>
      </c>
      <c r="BE175" s="58">
        <v>500</v>
      </c>
      <c r="BF175" s="58">
        <v>450</v>
      </c>
      <c r="BG175" s="58">
        <v>500</v>
      </c>
      <c r="BH175" s="58">
        <v>450</v>
      </c>
    </row>
    <row r="176" spans="2:60" hidden="1" x14ac:dyDescent="0.2">
      <c r="B176" s="59"/>
      <c r="C176" s="59" t="s">
        <v>674</v>
      </c>
      <c r="D176" s="59" t="s">
        <v>653</v>
      </c>
      <c r="E176" s="60">
        <v>2000</v>
      </c>
      <c r="F176" s="60">
        <v>1400</v>
      </c>
      <c r="G176" s="60">
        <v>800</v>
      </c>
      <c r="H176" s="60">
        <v>500</v>
      </c>
      <c r="I176" s="60">
        <v>450</v>
      </c>
      <c r="J176" s="60">
        <v>450</v>
      </c>
      <c r="K176" s="60">
        <v>390</v>
      </c>
      <c r="L176" s="60">
        <v>400</v>
      </c>
      <c r="M176" s="60">
        <v>385</v>
      </c>
      <c r="N176" s="60">
        <v>280</v>
      </c>
      <c r="O176" s="60">
        <v>320</v>
      </c>
      <c r="P176" s="60">
        <v>300</v>
      </c>
      <c r="Q176" s="60">
        <v>300</v>
      </c>
      <c r="R176" s="60">
        <v>300</v>
      </c>
      <c r="S176" s="60">
        <v>280</v>
      </c>
      <c r="T176" s="60">
        <v>250</v>
      </c>
      <c r="U176" s="60">
        <v>300</v>
      </c>
      <c r="V176" s="60">
        <v>250</v>
      </c>
      <c r="W176" s="60">
        <v>250</v>
      </c>
      <c r="X176" s="60">
        <v>290</v>
      </c>
      <c r="Y176" s="60">
        <v>300</v>
      </c>
      <c r="Z176" s="60">
        <v>250</v>
      </c>
      <c r="AA176" s="60">
        <v>280</v>
      </c>
      <c r="AB176" s="60">
        <v>270</v>
      </c>
      <c r="AC176" s="60">
        <v>300</v>
      </c>
      <c r="AD176" s="60">
        <v>290</v>
      </c>
      <c r="AE176" s="60">
        <v>290</v>
      </c>
      <c r="AF176" s="60">
        <v>300</v>
      </c>
      <c r="AG176" s="60">
        <v>350</v>
      </c>
      <c r="AH176" s="60">
        <v>340</v>
      </c>
      <c r="AI176" s="60">
        <v>350</v>
      </c>
      <c r="AJ176" s="60">
        <v>330</v>
      </c>
      <c r="AK176" s="60">
        <v>400</v>
      </c>
      <c r="AL176" s="60">
        <v>350</v>
      </c>
      <c r="AM176" s="60">
        <v>400</v>
      </c>
      <c r="AN176" s="60">
        <v>400</v>
      </c>
      <c r="AO176" s="60">
        <v>420</v>
      </c>
      <c r="AP176" s="60">
        <v>390</v>
      </c>
      <c r="AQ176" s="60">
        <v>380</v>
      </c>
      <c r="AR176" s="60">
        <v>425</v>
      </c>
      <c r="AS176" s="60">
        <v>440</v>
      </c>
      <c r="AT176" s="60">
        <v>400</v>
      </c>
      <c r="AU176" s="60">
        <v>490</v>
      </c>
      <c r="AV176" s="60">
        <v>400</v>
      </c>
      <c r="AW176" s="60">
        <v>450</v>
      </c>
      <c r="AX176" s="60">
        <v>460</v>
      </c>
      <c r="AY176" s="60">
        <v>530</v>
      </c>
      <c r="AZ176" s="60">
        <v>620</v>
      </c>
      <c r="BA176" s="60">
        <v>455</v>
      </c>
      <c r="BB176" s="60">
        <v>480</v>
      </c>
      <c r="BC176" s="60">
        <v>500</v>
      </c>
      <c r="BD176" s="60">
        <v>550</v>
      </c>
      <c r="BE176" s="60">
        <v>635</v>
      </c>
      <c r="BF176" s="60">
        <v>570</v>
      </c>
      <c r="BG176" s="60">
        <v>550</v>
      </c>
      <c r="BH176" s="60">
        <v>550</v>
      </c>
    </row>
    <row r="177" spans="2:60" hidden="1" x14ac:dyDescent="0.2">
      <c r="B177" s="57"/>
      <c r="C177" s="57" t="s">
        <v>674</v>
      </c>
      <c r="D177" s="57" t="s">
        <v>654</v>
      </c>
      <c r="E177" s="58"/>
      <c r="F177" s="58"/>
      <c r="G177" s="58"/>
      <c r="H177" s="58"/>
      <c r="I177" s="58"/>
      <c r="J177" s="58">
        <v>360</v>
      </c>
      <c r="K177" s="58">
        <v>60</v>
      </c>
      <c r="L177" s="58"/>
      <c r="M177" s="58"/>
      <c r="N177" s="58"/>
      <c r="O177" s="58"/>
      <c r="P177" s="58"/>
      <c r="Q177" s="58">
        <v>240</v>
      </c>
      <c r="R177" s="58"/>
      <c r="S177" s="58"/>
      <c r="T177" s="58"/>
      <c r="U177" s="58"/>
      <c r="V177" s="58"/>
      <c r="W177" s="58"/>
      <c r="X177" s="58"/>
      <c r="Y177" s="58"/>
      <c r="Z177" s="58"/>
      <c r="AA177" s="58"/>
      <c r="AB177" s="58"/>
      <c r="AC177" s="58">
        <v>295</v>
      </c>
      <c r="AD177" s="58"/>
      <c r="AE177" s="58"/>
      <c r="AF177" s="58"/>
      <c r="AG177" s="58"/>
      <c r="AH177" s="58"/>
      <c r="AI177" s="58"/>
      <c r="AJ177" s="58"/>
      <c r="AK177" s="58"/>
      <c r="AL177" s="58">
        <v>250</v>
      </c>
      <c r="AM177" s="58"/>
      <c r="AN177" s="58"/>
      <c r="AO177" s="58"/>
      <c r="AP177" s="58"/>
      <c r="AQ177" s="58"/>
      <c r="AR177" s="58"/>
      <c r="AS177" s="58"/>
      <c r="AT177" s="58">
        <v>350</v>
      </c>
      <c r="AU177" s="58"/>
      <c r="AV177" s="58"/>
      <c r="AW177" s="58">
        <v>300</v>
      </c>
      <c r="AX177" s="58"/>
      <c r="AY177" s="58"/>
      <c r="AZ177" s="58"/>
      <c r="BA177" s="58"/>
      <c r="BB177" s="58"/>
      <c r="BC177" s="58"/>
      <c r="BD177" s="58"/>
      <c r="BE177" s="58"/>
      <c r="BF177" s="58"/>
      <c r="BG177" s="58"/>
      <c r="BH177" s="58"/>
    </row>
    <row r="178" spans="2:60" hidden="1" x14ac:dyDescent="0.2">
      <c r="B178" s="59"/>
      <c r="C178" s="59" t="s">
        <v>674</v>
      </c>
      <c r="D178" s="59" t="s">
        <v>655</v>
      </c>
      <c r="E178" s="60"/>
      <c r="F178" s="60"/>
      <c r="G178" s="60"/>
      <c r="H178" s="60">
        <v>545</v>
      </c>
      <c r="I178" s="60">
        <v>545</v>
      </c>
      <c r="J178" s="60">
        <v>545</v>
      </c>
      <c r="K178" s="60">
        <v>360</v>
      </c>
      <c r="L178" s="60">
        <v>400</v>
      </c>
      <c r="M178" s="60">
        <v>300</v>
      </c>
      <c r="N178" s="60">
        <v>450</v>
      </c>
      <c r="O178" s="60">
        <v>400</v>
      </c>
      <c r="P178" s="60">
        <v>375</v>
      </c>
      <c r="Q178" s="60">
        <v>300</v>
      </c>
      <c r="R178" s="60">
        <v>300</v>
      </c>
      <c r="S178" s="60">
        <v>350</v>
      </c>
      <c r="T178" s="60">
        <v>300</v>
      </c>
      <c r="U178" s="60">
        <v>250</v>
      </c>
      <c r="V178" s="60">
        <v>250</v>
      </c>
      <c r="W178" s="60"/>
      <c r="X178" s="60">
        <v>240</v>
      </c>
      <c r="Y178" s="60">
        <v>270</v>
      </c>
      <c r="Z178" s="60">
        <v>250</v>
      </c>
      <c r="AA178" s="60">
        <v>280</v>
      </c>
      <c r="AB178" s="60">
        <v>250</v>
      </c>
      <c r="AC178" s="60">
        <v>280</v>
      </c>
      <c r="AD178" s="60">
        <v>320</v>
      </c>
      <c r="AE178" s="60">
        <v>350</v>
      </c>
      <c r="AF178" s="60">
        <v>320</v>
      </c>
      <c r="AG178" s="60">
        <v>385</v>
      </c>
      <c r="AH178" s="60">
        <v>370</v>
      </c>
      <c r="AI178" s="60">
        <v>340</v>
      </c>
      <c r="AJ178" s="60">
        <v>360</v>
      </c>
      <c r="AK178" s="60">
        <v>300</v>
      </c>
      <c r="AL178" s="60">
        <v>425</v>
      </c>
      <c r="AM178" s="60">
        <v>450</v>
      </c>
      <c r="AN178" s="60">
        <v>480</v>
      </c>
      <c r="AO178" s="60">
        <v>470</v>
      </c>
      <c r="AP178" s="60">
        <v>450</v>
      </c>
      <c r="AQ178" s="60">
        <v>300</v>
      </c>
      <c r="AR178" s="60">
        <v>500</v>
      </c>
      <c r="AS178" s="60">
        <v>450</v>
      </c>
      <c r="AT178" s="60">
        <v>480</v>
      </c>
      <c r="AU178" s="60">
        <v>400</v>
      </c>
      <c r="AV178" s="60">
        <v>490</v>
      </c>
      <c r="AW178" s="60">
        <v>520</v>
      </c>
      <c r="AX178" s="60">
        <v>530</v>
      </c>
      <c r="AY178" s="60">
        <v>520</v>
      </c>
      <c r="AZ178" s="60">
        <v>360</v>
      </c>
      <c r="BA178" s="60">
        <v>380</v>
      </c>
      <c r="BB178" s="60">
        <v>620</v>
      </c>
      <c r="BC178" s="60">
        <v>550</v>
      </c>
      <c r="BD178" s="60">
        <v>400</v>
      </c>
      <c r="BE178" s="60">
        <v>680</v>
      </c>
      <c r="BF178" s="60">
        <v>650</v>
      </c>
      <c r="BG178" s="60"/>
      <c r="BH178" s="60">
        <v>600</v>
      </c>
    </row>
    <row r="179" spans="2:60" hidden="1" x14ac:dyDescent="0.2">
      <c r="B179" s="57"/>
      <c r="C179" s="57" t="s">
        <v>674</v>
      </c>
      <c r="D179" s="57" t="s">
        <v>656</v>
      </c>
      <c r="E179" s="58">
        <v>1550</v>
      </c>
      <c r="F179" s="58">
        <v>850</v>
      </c>
      <c r="G179" s="58">
        <v>600</v>
      </c>
      <c r="H179" s="58">
        <v>500</v>
      </c>
      <c r="I179" s="58">
        <v>450</v>
      </c>
      <c r="J179" s="58">
        <v>375</v>
      </c>
      <c r="K179" s="58">
        <v>300</v>
      </c>
      <c r="L179" s="58">
        <v>315</v>
      </c>
      <c r="M179" s="58">
        <v>300</v>
      </c>
      <c r="N179" s="58">
        <v>250</v>
      </c>
      <c r="O179" s="58">
        <v>270</v>
      </c>
      <c r="P179" s="58">
        <v>270</v>
      </c>
      <c r="Q179" s="58">
        <v>250</v>
      </c>
      <c r="R179" s="58">
        <v>250</v>
      </c>
      <c r="S179" s="58">
        <v>230</v>
      </c>
      <c r="T179" s="58">
        <v>220</v>
      </c>
      <c r="U179" s="58">
        <v>220</v>
      </c>
      <c r="V179" s="58">
        <v>220</v>
      </c>
      <c r="W179" s="58">
        <v>235</v>
      </c>
      <c r="X179" s="58">
        <v>220</v>
      </c>
      <c r="Y179" s="58">
        <v>220</v>
      </c>
      <c r="Z179" s="58">
        <v>220</v>
      </c>
      <c r="AA179" s="58">
        <v>230</v>
      </c>
      <c r="AB179" s="58">
        <v>225</v>
      </c>
      <c r="AC179" s="58">
        <v>250</v>
      </c>
      <c r="AD179" s="58">
        <v>240</v>
      </c>
      <c r="AE179" s="58">
        <v>250</v>
      </c>
      <c r="AF179" s="58">
        <v>250</v>
      </c>
      <c r="AG179" s="58">
        <v>280</v>
      </c>
      <c r="AH179" s="58">
        <v>290</v>
      </c>
      <c r="AI179" s="58">
        <v>290</v>
      </c>
      <c r="AJ179" s="58">
        <v>300</v>
      </c>
      <c r="AK179" s="58">
        <v>330</v>
      </c>
      <c r="AL179" s="58">
        <v>300</v>
      </c>
      <c r="AM179" s="58">
        <v>350</v>
      </c>
      <c r="AN179" s="58">
        <v>310</v>
      </c>
      <c r="AO179" s="58">
        <v>350</v>
      </c>
      <c r="AP179" s="58">
        <v>330</v>
      </c>
      <c r="AQ179" s="58">
        <v>320</v>
      </c>
      <c r="AR179" s="58">
        <v>350</v>
      </c>
      <c r="AS179" s="58">
        <v>325</v>
      </c>
      <c r="AT179" s="58">
        <v>360</v>
      </c>
      <c r="AU179" s="58">
        <v>350</v>
      </c>
      <c r="AV179" s="58">
        <v>380</v>
      </c>
      <c r="AW179" s="58">
        <v>380</v>
      </c>
      <c r="AX179" s="58">
        <v>395</v>
      </c>
      <c r="AY179" s="58">
        <v>430</v>
      </c>
      <c r="AZ179" s="58">
        <v>480</v>
      </c>
      <c r="BA179" s="58">
        <v>400</v>
      </c>
      <c r="BB179" s="58">
        <v>450</v>
      </c>
      <c r="BC179" s="58">
        <v>420</v>
      </c>
      <c r="BD179" s="58">
        <v>430</v>
      </c>
      <c r="BE179" s="58">
        <v>550</v>
      </c>
      <c r="BF179" s="58">
        <v>450</v>
      </c>
      <c r="BG179" s="58">
        <v>470</v>
      </c>
      <c r="BH179" s="58">
        <v>450</v>
      </c>
    </row>
    <row r="180" spans="2:60" hidden="1" x14ac:dyDescent="0.2">
      <c r="B180" s="59"/>
      <c r="C180" s="59" t="s">
        <v>675</v>
      </c>
      <c r="D180" s="59" t="s">
        <v>648</v>
      </c>
      <c r="E180" s="60">
        <v>195</v>
      </c>
      <c r="F180" s="60">
        <v>190</v>
      </c>
      <c r="G180" s="60">
        <v>170</v>
      </c>
      <c r="H180" s="60">
        <v>200</v>
      </c>
      <c r="I180" s="60">
        <v>220</v>
      </c>
      <c r="J180" s="60">
        <v>210</v>
      </c>
      <c r="K180" s="60">
        <v>170</v>
      </c>
      <c r="L180" s="60">
        <v>220</v>
      </c>
      <c r="M180" s="60">
        <v>182</v>
      </c>
      <c r="N180" s="60">
        <v>200</v>
      </c>
      <c r="O180" s="60">
        <v>210</v>
      </c>
      <c r="P180" s="60">
        <v>166</v>
      </c>
      <c r="Q180" s="60">
        <v>200</v>
      </c>
      <c r="R180" s="60">
        <v>210</v>
      </c>
      <c r="S180" s="60">
        <v>185</v>
      </c>
      <c r="T180" s="60">
        <v>220</v>
      </c>
      <c r="U180" s="60">
        <v>190</v>
      </c>
      <c r="V180" s="60">
        <v>210</v>
      </c>
      <c r="W180" s="60">
        <v>170</v>
      </c>
      <c r="X180" s="60">
        <v>190</v>
      </c>
      <c r="Y180" s="60">
        <v>200</v>
      </c>
      <c r="Z180" s="60">
        <v>210</v>
      </c>
      <c r="AA180" s="60">
        <v>181</v>
      </c>
      <c r="AB180" s="60">
        <v>210</v>
      </c>
      <c r="AC180" s="60">
        <v>220</v>
      </c>
      <c r="AD180" s="60">
        <v>210</v>
      </c>
      <c r="AE180" s="60">
        <v>210</v>
      </c>
      <c r="AF180" s="60">
        <v>200</v>
      </c>
      <c r="AG180" s="60">
        <v>230</v>
      </c>
      <c r="AH180" s="60">
        <v>210</v>
      </c>
      <c r="AI180" s="60">
        <v>200</v>
      </c>
      <c r="AJ180" s="60">
        <v>230</v>
      </c>
      <c r="AK180" s="60">
        <v>240</v>
      </c>
      <c r="AL180" s="60">
        <v>270</v>
      </c>
      <c r="AM180" s="60">
        <v>250</v>
      </c>
      <c r="AN180" s="60">
        <v>260</v>
      </c>
      <c r="AO180" s="60">
        <v>240</v>
      </c>
      <c r="AP180" s="60">
        <v>260</v>
      </c>
      <c r="AQ180" s="60">
        <v>239</v>
      </c>
      <c r="AR180" s="60">
        <v>240</v>
      </c>
      <c r="AS180" s="60">
        <v>225</v>
      </c>
      <c r="AT180" s="60">
        <v>240</v>
      </c>
      <c r="AU180" s="60">
        <v>300</v>
      </c>
      <c r="AV180" s="60">
        <v>290</v>
      </c>
      <c r="AW180" s="60">
        <v>300</v>
      </c>
      <c r="AX180" s="60">
        <v>262</v>
      </c>
      <c r="AY180" s="60">
        <v>250</v>
      </c>
      <c r="AZ180" s="60">
        <v>225</v>
      </c>
      <c r="BA180" s="60">
        <v>250</v>
      </c>
      <c r="BB180" s="60">
        <v>270</v>
      </c>
      <c r="BC180" s="60">
        <v>250</v>
      </c>
      <c r="BD180" s="60">
        <v>300</v>
      </c>
      <c r="BE180" s="60">
        <v>280</v>
      </c>
      <c r="BF180" s="60">
        <v>280</v>
      </c>
      <c r="BG180" s="60">
        <v>280</v>
      </c>
      <c r="BH180" s="60">
        <v>350</v>
      </c>
    </row>
    <row r="181" spans="2:60" hidden="1" x14ac:dyDescent="0.2">
      <c r="B181" s="57"/>
      <c r="C181" s="57" t="s">
        <v>675</v>
      </c>
      <c r="D181" s="57" t="s">
        <v>649</v>
      </c>
      <c r="E181" s="58">
        <v>290</v>
      </c>
      <c r="F181" s="58">
        <v>300</v>
      </c>
      <c r="G181" s="58">
        <v>300</v>
      </c>
      <c r="H181" s="58">
        <v>300</v>
      </c>
      <c r="I181" s="58">
        <v>300</v>
      </c>
      <c r="J181" s="58">
        <v>300</v>
      </c>
      <c r="K181" s="58">
        <v>300</v>
      </c>
      <c r="L181" s="58">
        <v>300</v>
      </c>
      <c r="M181" s="58">
        <v>300</v>
      </c>
      <c r="N181" s="58">
        <v>290</v>
      </c>
      <c r="O181" s="58">
        <v>280</v>
      </c>
      <c r="P181" s="58">
        <v>270</v>
      </c>
      <c r="Q181" s="58">
        <v>280</v>
      </c>
      <c r="R181" s="58">
        <v>280</v>
      </c>
      <c r="S181" s="58">
        <v>300</v>
      </c>
      <c r="T181" s="58">
        <v>280</v>
      </c>
      <c r="U181" s="58">
        <v>300</v>
      </c>
      <c r="V181" s="58">
        <v>260</v>
      </c>
      <c r="W181" s="58">
        <v>290</v>
      </c>
      <c r="X181" s="58">
        <v>250</v>
      </c>
      <c r="Y181" s="58">
        <v>265</v>
      </c>
      <c r="Z181" s="58">
        <v>260</v>
      </c>
      <c r="AA181" s="58">
        <v>270</v>
      </c>
      <c r="AB181" s="58">
        <v>270</v>
      </c>
      <c r="AC181" s="58">
        <v>270</v>
      </c>
      <c r="AD181" s="58">
        <v>250</v>
      </c>
      <c r="AE181" s="58">
        <v>270</v>
      </c>
      <c r="AF181" s="58">
        <v>260</v>
      </c>
      <c r="AG181" s="58">
        <v>280</v>
      </c>
      <c r="AH181" s="58">
        <v>260</v>
      </c>
      <c r="AI181" s="58">
        <v>290</v>
      </c>
      <c r="AJ181" s="58">
        <v>300</v>
      </c>
      <c r="AK181" s="58">
        <v>300</v>
      </c>
      <c r="AL181" s="58">
        <v>310</v>
      </c>
      <c r="AM181" s="58">
        <v>320</v>
      </c>
      <c r="AN181" s="58">
        <v>310</v>
      </c>
      <c r="AO181" s="58">
        <v>320</v>
      </c>
      <c r="AP181" s="58">
        <v>350</v>
      </c>
      <c r="AQ181" s="58">
        <v>340</v>
      </c>
      <c r="AR181" s="58">
        <v>380</v>
      </c>
      <c r="AS181" s="58">
        <v>380</v>
      </c>
      <c r="AT181" s="58">
        <v>380</v>
      </c>
      <c r="AU181" s="58">
        <v>380</v>
      </c>
      <c r="AV181" s="58">
        <v>370</v>
      </c>
      <c r="AW181" s="58">
        <v>380</v>
      </c>
      <c r="AX181" s="58">
        <v>370</v>
      </c>
      <c r="AY181" s="58">
        <v>450</v>
      </c>
      <c r="AZ181" s="58">
        <v>430</v>
      </c>
      <c r="BA181" s="58">
        <v>450</v>
      </c>
      <c r="BB181" s="58">
        <v>450</v>
      </c>
      <c r="BC181" s="58">
        <v>500</v>
      </c>
      <c r="BD181" s="58">
        <v>480</v>
      </c>
      <c r="BE181" s="58">
        <v>480</v>
      </c>
      <c r="BF181" s="58">
        <v>475</v>
      </c>
      <c r="BG181" s="58">
        <v>500</v>
      </c>
      <c r="BH181" s="58">
        <v>500</v>
      </c>
    </row>
    <row r="182" spans="2:60" hidden="1" x14ac:dyDescent="0.2">
      <c r="B182" s="59"/>
      <c r="C182" s="59" t="s">
        <v>675</v>
      </c>
      <c r="D182" s="59" t="s">
        <v>650</v>
      </c>
      <c r="E182" s="60">
        <v>350</v>
      </c>
      <c r="F182" s="60">
        <v>340</v>
      </c>
      <c r="G182" s="60">
        <v>350</v>
      </c>
      <c r="H182" s="60">
        <v>320</v>
      </c>
      <c r="I182" s="60">
        <v>350</v>
      </c>
      <c r="J182" s="60">
        <v>370</v>
      </c>
      <c r="K182" s="60">
        <v>340</v>
      </c>
      <c r="L182" s="60">
        <v>330</v>
      </c>
      <c r="M182" s="60">
        <v>360</v>
      </c>
      <c r="N182" s="60">
        <v>300</v>
      </c>
      <c r="O182" s="60">
        <v>350</v>
      </c>
      <c r="P182" s="60">
        <v>290</v>
      </c>
      <c r="Q182" s="60">
        <v>320</v>
      </c>
      <c r="R182" s="60">
        <v>350</v>
      </c>
      <c r="S182" s="60">
        <v>350</v>
      </c>
      <c r="T182" s="60">
        <v>310</v>
      </c>
      <c r="U182" s="60">
        <v>320</v>
      </c>
      <c r="V182" s="60">
        <v>300</v>
      </c>
      <c r="W182" s="60"/>
      <c r="X182" s="60">
        <v>300</v>
      </c>
      <c r="Y182" s="60">
        <v>300</v>
      </c>
      <c r="Z182" s="60">
        <v>300</v>
      </c>
      <c r="AA182" s="60">
        <v>280</v>
      </c>
      <c r="AB182" s="60">
        <v>290</v>
      </c>
      <c r="AC182" s="60">
        <v>320</v>
      </c>
      <c r="AD182" s="60">
        <v>340</v>
      </c>
      <c r="AE182" s="60">
        <v>345</v>
      </c>
      <c r="AF182" s="60">
        <v>330</v>
      </c>
      <c r="AG182" s="60">
        <v>350</v>
      </c>
      <c r="AH182" s="60">
        <v>330</v>
      </c>
      <c r="AI182" s="60"/>
      <c r="AJ182" s="60">
        <v>340</v>
      </c>
      <c r="AK182" s="60">
        <v>350</v>
      </c>
      <c r="AL182" s="60">
        <v>380</v>
      </c>
      <c r="AM182" s="60">
        <v>330</v>
      </c>
      <c r="AN182" s="60">
        <v>380</v>
      </c>
      <c r="AO182" s="60">
        <v>350</v>
      </c>
      <c r="AP182" s="60">
        <v>380</v>
      </c>
      <c r="AQ182" s="60">
        <v>400</v>
      </c>
      <c r="AR182" s="60">
        <v>380</v>
      </c>
      <c r="AS182" s="60">
        <v>470</v>
      </c>
      <c r="AT182" s="60">
        <v>450</v>
      </c>
      <c r="AU182" s="60">
        <v>460</v>
      </c>
      <c r="AV182" s="60"/>
      <c r="AW182" s="60">
        <v>480</v>
      </c>
      <c r="AX182" s="60">
        <v>480</v>
      </c>
      <c r="AY182" s="60">
        <v>550</v>
      </c>
      <c r="AZ182" s="60">
        <v>550</v>
      </c>
      <c r="BA182" s="60">
        <v>550</v>
      </c>
      <c r="BB182" s="60">
        <v>510</v>
      </c>
      <c r="BC182" s="60">
        <v>550</v>
      </c>
      <c r="BD182" s="60">
        <v>560</v>
      </c>
      <c r="BE182" s="60">
        <v>530</v>
      </c>
      <c r="BF182" s="60">
        <v>590</v>
      </c>
      <c r="BG182" s="60">
        <v>535</v>
      </c>
      <c r="BH182" s="60">
        <v>580</v>
      </c>
    </row>
    <row r="183" spans="2:60" hidden="1" x14ac:dyDescent="0.2">
      <c r="B183" s="57"/>
      <c r="C183" s="57" t="s">
        <v>675</v>
      </c>
      <c r="D183" s="57" t="s">
        <v>651</v>
      </c>
      <c r="E183" s="58">
        <v>280</v>
      </c>
      <c r="F183" s="58">
        <v>300</v>
      </c>
      <c r="G183" s="58">
        <v>300</v>
      </c>
      <c r="H183" s="58">
        <v>300</v>
      </c>
      <c r="I183" s="58">
        <v>320</v>
      </c>
      <c r="J183" s="58">
        <v>300</v>
      </c>
      <c r="K183" s="58">
        <v>310</v>
      </c>
      <c r="L183" s="58">
        <v>300</v>
      </c>
      <c r="M183" s="58">
        <v>290</v>
      </c>
      <c r="N183" s="58">
        <v>290</v>
      </c>
      <c r="O183" s="58">
        <v>290</v>
      </c>
      <c r="P183" s="58">
        <v>290</v>
      </c>
      <c r="Q183" s="58">
        <v>260</v>
      </c>
      <c r="R183" s="58">
        <v>300</v>
      </c>
      <c r="S183" s="58">
        <v>280</v>
      </c>
      <c r="T183" s="58">
        <v>280</v>
      </c>
      <c r="U183" s="58">
        <v>280</v>
      </c>
      <c r="V183" s="58">
        <v>260</v>
      </c>
      <c r="W183" s="58">
        <v>270</v>
      </c>
      <c r="X183" s="58">
        <v>270</v>
      </c>
      <c r="Y183" s="58">
        <v>270</v>
      </c>
      <c r="Z183" s="58">
        <v>255</v>
      </c>
      <c r="AA183" s="58">
        <v>265</v>
      </c>
      <c r="AB183" s="58">
        <v>280</v>
      </c>
      <c r="AC183" s="58">
        <v>265</v>
      </c>
      <c r="AD183" s="58">
        <v>270</v>
      </c>
      <c r="AE183" s="58">
        <v>285</v>
      </c>
      <c r="AF183" s="58">
        <v>290</v>
      </c>
      <c r="AG183" s="58">
        <v>270</v>
      </c>
      <c r="AH183" s="58">
        <v>285</v>
      </c>
      <c r="AI183" s="58">
        <v>300</v>
      </c>
      <c r="AJ183" s="58">
        <v>290</v>
      </c>
      <c r="AK183" s="58">
        <v>310</v>
      </c>
      <c r="AL183" s="58">
        <v>340</v>
      </c>
      <c r="AM183" s="58">
        <v>325</v>
      </c>
      <c r="AN183" s="58">
        <v>330</v>
      </c>
      <c r="AO183" s="58">
        <v>350</v>
      </c>
      <c r="AP183" s="58">
        <v>360</v>
      </c>
      <c r="AQ183" s="58">
        <v>350</v>
      </c>
      <c r="AR183" s="58">
        <v>400</v>
      </c>
      <c r="AS183" s="58">
        <v>390</v>
      </c>
      <c r="AT183" s="58"/>
      <c r="AU183" s="58">
        <v>400</v>
      </c>
      <c r="AV183" s="58">
        <v>450</v>
      </c>
      <c r="AW183" s="58">
        <v>475</v>
      </c>
      <c r="AX183" s="58">
        <v>450</v>
      </c>
      <c r="AY183" s="58">
        <v>450</v>
      </c>
      <c r="AZ183" s="58">
        <v>420</v>
      </c>
      <c r="BA183" s="58">
        <v>500</v>
      </c>
      <c r="BB183" s="58">
        <v>500</v>
      </c>
      <c r="BC183" s="58">
        <v>485</v>
      </c>
      <c r="BD183" s="58">
        <v>500</v>
      </c>
      <c r="BE183" s="58">
        <v>550</v>
      </c>
      <c r="BF183" s="58">
        <v>550</v>
      </c>
      <c r="BG183" s="58">
        <v>550</v>
      </c>
      <c r="BH183" s="58">
        <v>550</v>
      </c>
    </row>
    <row r="184" spans="2:60" hidden="1" x14ac:dyDescent="0.2">
      <c r="B184" s="59"/>
      <c r="C184" s="59" t="s">
        <v>675</v>
      </c>
      <c r="D184" s="59" t="s">
        <v>652</v>
      </c>
      <c r="E184" s="60">
        <v>350</v>
      </c>
      <c r="F184" s="60">
        <v>350</v>
      </c>
      <c r="G184" s="60">
        <v>360</v>
      </c>
      <c r="H184" s="60">
        <v>360</v>
      </c>
      <c r="I184" s="60">
        <v>360</v>
      </c>
      <c r="J184" s="60">
        <v>355</v>
      </c>
      <c r="K184" s="60">
        <v>350</v>
      </c>
      <c r="L184" s="60">
        <v>360</v>
      </c>
      <c r="M184" s="60">
        <v>350</v>
      </c>
      <c r="N184" s="60">
        <v>340</v>
      </c>
      <c r="O184" s="60">
        <v>320</v>
      </c>
      <c r="P184" s="60">
        <v>310</v>
      </c>
      <c r="Q184" s="60">
        <v>320</v>
      </c>
      <c r="R184" s="60">
        <v>340</v>
      </c>
      <c r="S184" s="60">
        <v>320</v>
      </c>
      <c r="T184" s="60">
        <v>320</v>
      </c>
      <c r="U184" s="60">
        <v>320</v>
      </c>
      <c r="V184" s="60">
        <v>320</v>
      </c>
      <c r="W184" s="60">
        <v>320</v>
      </c>
      <c r="X184" s="60">
        <v>300</v>
      </c>
      <c r="Y184" s="60">
        <v>300</v>
      </c>
      <c r="Z184" s="60">
        <v>295</v>
      </c>
      <c r="AA184" s="60">
        <v>300</v>
      </c>
      <c r="AB184" s="60">
        <v>310</v>
      </c>
      <c r="AC184" s="60">
        <v>320</v>
      </c>
      <c r="AD184" s="60">
        <v>320</v>
      </c>
      <c r="AE184" s="60">
        <v>320</v>
      </c>
      <c r="AF184" s="60">
        <v>325</v>
      </c>
      <c r="AG184" s="60">
        <v>330</v>
      </c>
      <c r="AH184" s="60">
        <v>340</v>
      </c>
      <c r="AI184" s="60">
        <v>350</v>
      </c>
      <c r="AJ184" s="60">
        <v>350</v>
      </c>
      <c r="AK184" s="60">
        <v>375</v>
      </c>
      <c r="AL184" s="60">
        <v>350</v>
      </c>
      <c r="AM184" s="60">
        <v>360</v>
      </c>
      <c r="AN184" s="60">
        <v>380</v>
      </c>
      <c r="AO184" s="60">
        <v>390</v>
      </c>
      <c r="AP184" s="60">
        <v>430</v>
      </c>
      <c r="AQ184" s="60">
        <v>400</v>
      </c>
      <c r="AR184" s="60">
        <v>450</v>
      </c>
      <c r="AS184" s="60">
        <v>450</v>
      </c>
      <c r="AT184" s="60">
        <v>460</v>
      </c>
      <c r="AU184" s="60">
        <v>500</v>
      </c>
      <c r="AV184" s="60">
        <v>480</v>
      </c>
      <c r="AW184" s="60">
        <v>500</v>
      </c>
      <c r="AX184" s="60">
        <v>530</v>
      </c>
      <c r="AY184" s="60">
        <v>540</v>
      </c>
      <c r="AZ184" s="60">
        <v>550</v>
      </c>
      <c r="BA184" s="60">
        <v>550</v>
      </c>
      <c r="BB184" s="60">
        <v>580</v>
      </c>
      <c r="BC184" s="60">
        <v>595</v>
      </c>
      <c r="BD184" s="60">
        <v>550</v>
      </c>
      <c r="BE184" s="60">
        <v>580</v>
      </c>
      <c r="BF184" s="60">
        <v>600</v>
      </c>
      <c r="BG184" s="60">
        <v>610</v>
      </c>
      <c r="BH184" s="60">
        <v>620</v>
      </c>
    </row>
    <row r="185" spans="2:60" hidden="1" x14ac:dyDescent="0.2">
      <c r="B185" s="57"/>
      <c r="C185" s="57" t="s">
        <v>675</v>
      </c>
      <c r="D185" s="57" t="s">
        <v>653</v>
      </c>
      <c r="E185" s="58">
        <v>420</v>
      </c>
      <c r="F185" s="58">
        <v>450</v>
      </c>
      <c r="G185" s="58">
        <v>450</v>
      </c>
      <c r="H185" s="58">
        <v>420</v>
      </c>
      <c r="I185" s="58">
        <v>420</v>
      </c>
      <c r="J185" s="58">
        <v>440</v>
      </c>
      <c r="K185" s="58">
        <v>425</v>
      </c>
      <c r="L185" s="58">
        <v>420</v>
      </c>
      <c r="M185" s="58">
        <v>410</v>
      </c>
      <c r="N185" s="58">
        <v>400</v>
      </c>
      <c r="O185" s="58">
        <v>400</v>
      </c>
      <c r="P185" s="58">
        <v>360</v>
      </c>
      <c r="Q185" s="58">
        <v>380</v>
      </c>
      <c r="R185" s="58">
        <v>395</v>
      </c>
      <c r="S185" s="58">
        <v>390</v>
      </c>
      <c r="T185" s="58">
        <v>360</v>
      </c>
      <c r="U185" s="58">
        <v>360</v>
      </c>
      <c r="V185" s="58">
        <v>380</v>
      </c>
      <c r="W185" s="58">
        <v>390</v>
      </c>
      <c r="X185" s="58">
        <v>350</v>
      </c>
      <c r="Y185" s="58">
        <v>360</v>
      </c>
      <c r="Z185" s="58">
        <v>350</v>
      </c>
      <c r="AA185" s="58">
        <v>350</v>
      </c>
      <c r="AB185" s="58">
        <v>350</v>
      </c>
      <c r="AC185" s="58">
        <v>380</v>
      </c>
      <c r="AD185" s="58">
        <v>340</v>
      </c>
      <c r="AE185" s="58">
        <v>360</v>
      </c>
      <c r="AF185" s="58">
        <v>380</v>
      </c>
      <c r="AG185" s="58">
        <v>400</v>
      </c>
      <c r="AH185" s="58">
        <v>405</v>
      </c>
      <c r="AI185" s="58">
        <v>400</v>
      </c>
      <c r="AJ185" s="58">
        <v>420</v>
      </c>
      <c r="AK185" s="58">
        <v>430</v>
      </c>
      <c r="AL185" s="58">
        <v>400</v>
      </c>
      <c r="AM185" s="58">
        <v>450</v>
      </c>
      <c r="AN185" s="58">
        <v>470</v>
      </c>
      <c r="AO185" s="58">
        <v>450</v>
      </c>
      <c r="AP185" s="58">
        <v>480</v>
      </c>
      <c r="AQ185" s="58">
        <v>500</v>
      </c>
      <c r="AR185" s="58">
        <v>500</v>
      </c>
      <c r="AS185" s="58">
        <v>520</v>
      </c>
      <c r="AT185" s="58">
        <v>550</v>
      </c>
      <c r="AU185" s="58">
        <v>580</v>
      </c>
      <c r="AV185" s="58">
        <v>600</v>
      </c>
      <c r="AW185" s="58">
        <v>570</v>
      </c>
      <c r="AX185" s="58">
        <v>600</v>
      </c>
      <c r="AY185" s="58">
        <v>610</v>
      </c>
      <c r="AZ185" s="58">
        <v>610</v>
      </c>
      <c r="BA185" s="58">
        <v>620</v>
      </c>
      <c r="BB185" s="58">
        <v>650</v>
      </c>
      <c r="BC185" s="58">
        <v>650</v>
      </c>
      <c r="BD185" s="58">
        <v>670</v>
      </c>
      <c r="BE185" s="58">
        <v>670</v>
      </c>
      <c r="BF185" s="58">
        <v>700</v>
      </c>
      <c r="BG185" s="58">
        <v>680</v>
      </c>
      <c r="BH185" s="58">
        <v>680</v>
      </c>
    </row>
    <row r="186" spans="2:60" hidden="1" x14ac:dyDescent="0.2">
      <c r="B186" s="59"/>
      <c r="C186" s="59" t="s">
        <v>675</v>
      </c>
      <c r="D186" s="59" t="s">
        <v>654</v>
      </c>
      <c r="E186" s="60"/>
      <c r="F186" s="60"/>
      <c r="G186" s="60"/>
      <c r="H186" s="60"/>
      <c r="I186" s="60"/>
      <c r="J186" s="60"/>
      <c r="K186" s="60"/>
      <c r="L186" s="60"/>
      <c r="M186" s="60"/>
      <c r="N186" s="60"/>
      <c r="O186" s="60"/>
      <c r="P186" s="60"/>
      <c r="Q186" s="60"/>
      <c r="R186" s="60"/>
      <c r="S186" s="60"/>
      <c r="T186" s="60"/>
      <c r="U186" s="60">
        <v>280</v>
      </c>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row>
    <row r="187" spans="2:60" hidden="1" x14ac:dyDescent="0.2">
      <c r="B187" s="57"/>
      <c r="C187" s="57" t="s">
        <v>675</v>
      </c>
      <c r="D187" s="57" t="s">
        <v>655</v>
      </c>
      <c r="E187" s="58"/>
      <c r="F187" s="58"/>
      <c r="G187" s="58"/>
      <c r="H187" s="58"/>
      <c r="I187" s="58"/>
      <c r="J187" s="58"/>
      <c r="K187" s="58"/>
      <c r="L187" s="58"/>
      <c r="M187" s="58"/>
      <c r="N187" s="58"/>
      <c r="O187" s="58"/>
      <c r="P187" s="58"/>
      <c r="Q187" s="58"/>
      <c r="R187" s="58"/>
      <c r="S187" s="58"/>
      <c r="T187" s="58"/>
      <c r="U187" s="58">
        <v>300</v>
      </c>
      <c r="V187" s="58"/>
      <c r="W187" s="58"/>
      <c r="X187" s="58"/>
      <c r="Y187" s="58">
        <v>340</v>
      </c>
      <c r="Z187" s="58"/>
      <c r="AA187" s="58"/>
      <c r="AB187" s="58">
        <v>340</v>
      </c>
      <c r="AC187" s="58"/>
      <c r="AD187" s="58"/>
      <c r="AE187" s="58"/>
      <c r="AF187" s="58"/>
      <c r="AG187" s="58">
        <v>350</v>
      </c>
      <c r="AH187" s="58"/>
      <c r="AI187" s="58"/>
      <c r="AJ187" s="58"/>
      <c r="AK187" s="58"/>
      <c r="AL187" s="58">
        <v>350</v>
      </c>
      <c r="AM187" s="58"/>
      <c r="AN187" s="58">
        <v>380</v>
      </c>
      <c r="AO187" s="58"/>
      <c r="AP187" s="58"/>
      <c r="AQ187" s="58"/>
      <c r="AR187" s="58"/>
      <c r="AS187" s="58"/>
      <c r="AT187" s="58"/>
      <c r="AU187" s="58"/>
      <c r="AV187" s="58"/>
      <c r="AW187" s="58"/>
      <c r="AX187" s="58"/>
      <c r="AY187" s="58"/>
      <c r="AZ187" s="58"/>
      <c r="BA187" s="58"/>
      <c r="BB187" s="58"/>
      <c r="BC187" s="58"/>
      <c r="BD187" s="58"/>
      <c r="BE187" s="58"/>
      <c r="BF187" s="58"/>
      <c r="BG187" s="58"/>
      <c r="BH187" s="58"/>
    </row>
    <row r="188" spans="2:60" hidden="1" x14ac:dyDescent="0.2">
      <c r="B188" s="59"/>
      <c r="C188" s="59" t="s">
        <v>675</v>
      </c>
      <c r="D188" s="59" t="s">
        <v>656</v>
      </c>
      <c r="E188" s="60">
        <v>350</v>
      </c>
      <c r="F188" s="60">
        <v>370</v>
      </c>
      <c r="G188" s="60">
        <v>380</v>
      </c>
      <c r="H188" s="60">
        <v>360</v>
      </c>
      <c r="I188" s="60">
        <v>370</v>
      </c>
      <c r="J188" s="60">
        <v>370</v>
      </c>
      <c r="K188" s="60">
        <v>360</v>
      </c>
      <c r="L188" s="60">
        <v>360</v>
      </c>
      <c r="M188" s="60">
        <v>360</v>
      </c>
      <c r="N188" s="60">
        <v>345</v>
      </c>
      <c r="O188" s="60">
        <v>340</v>
      </c>
      <c r="P188" s="60">
        <v>320</v>
      </c>
      <c r="Q188" s="60">
        <v>320</v>
      </c>
      <c r="R188" s="60">
        <v>330</v>
      </c>
      <c r="S188" s="60">
        <v>320</v>
      </c>
      <c r="T188" s="60">
        <v>310</v>
      </c>
      <c r="U188" s="60">
        <v>320</v>
      </c>
      <c r="V188" s="60">
        <v>320</v>
      </c>
      <c r="W188" s="60">
        <v>320</v>
      </c>
      <c r="X188" s="60">
        <v>300</v>
      </c>
      <c r="Y188" s="60">
        <v>300</v>
      </c>
      <c r="Z188" s="60">
        <v>300</v>
      </c>
      <c r="AA188" s="60">
        <v>310</v>
      </c>
      <c r="AB188" s="60">
        <v>310</v>
      </c>
      <c r="AC188" s="60">
        <v>320</v>
      </c>
      <c r="AD188" s="60">
        <v>300</v>
      </c>
      <c r="AE188" s="60">
        <v>320</v>
      </c>
      <c r="AF188" s="60">
        <v>330</v>
      </c>
      <c r="AG188" s="60">
        <v>330</v>
      </c>
      <c r="AH188" s="60">
        <v>340</v>
      </c>
      <c r="AI188" s="60">
        <v>341</v>
      </c>
      <c r="AJ188" s="60">
        <v>350</v>
      </c>
      <c r="AK188" s="60">
        <v>350</v>
      </c>
      <c r="AL188" s="60">
        <v>350</v>
      </c>
      <c r="AM188" s="60">
        <v>360</v>
      </c>
      <c r="AN188" s="60">
        <v>380</v>
      </c>
      <c r="AO188" s="60">
        <v>380</v>
      </c>
      <c r="AP188" s="60">
        <v>410</v>
      </c>
      <c r="AQ188" s="60">
        <v>415</v>
      </c>
      <c r="AR188" s="60">
        <v>450</v>
      </c>
      <c r="AS188" s="60">
        <v>450</v>
      </c>
      <c r="AT188" s="60">
        <v>450</v>
      </c>
      <c r="AU188" s="60">
        <v>480</v>
      </c>
      <c r="AV188" s="60">
        <v>500</v>
      </c>
      <c r="AW188" s="60">
        <v>500</v>
      </c>
      <c r="AX188" s="60">
        <v>500</v>
      </c>
      <c r="AY188" s="60">
        <v>550</v>
      </c>
      <c r="AZ188" s="60">
        <v>550</v>
      </c>
      <c r="BA188" s="60">
        <v>550</v>
      </c>
      <c r="BB188" s="60">
        <v>550</v>
      </c>
      <c r="BC188" s="60">
        <v>580</v>
      </c>
      <c r="BD188" s="60">
        <v>550</v>
      </c>
      <c r="BE188" s="60">
        <v>560</v>
      </c>
      <c r="BF188" s="60">
        <v>590</v>
      </c>
      <c r="BG188" s="60">
        <v>600</v>
      </c>
      <c r="BH188" s="60">
        <v>600</v>
      </c>
    </row>
    <row r="189" spans="2:60" hidden="1" x14ac:dyDescent="0.2">
      <c r="B189" s="57"/>
      <c r="C189" s="57" t="s">
        <v>676</v>
      </c>
      <c r="D189" s="57" t="s">
        <v>648</v>
      </c>
      <c r="E189" s="58"/>
      <c r="F189" s="58"/>
      <c r="G189" s="58"/>
      <c r="H189" s="58"/>
      <c r="I189" s="58"/>
      <c r="J189" s="58"/>
      <c r="K189" s="58"/>
      <c r="L189" s="58"/>
      <c r="M189" s="58"/>
      <c r="N189" s="58"/>
      <c r="O189" s="58"/>
      <c r="P189" s="58"/>
      <c r="Q189" s="58"/>
      <c r="R189" s="58"/>
      <c r="S189" s="58"/>
      <c r="T189" s="58"/>
      <c r="U189" s="58"/>
      <c r="V189" s="58"/>
      <c r="W189" s="58"/>
      <c r="X189" s="58"/>
      <c r="Y189" s="58"/>
      <c r="Z189" s="58">
        <v>198</v>
      </c>
      <c r="AA189" s="58"/>
      <c r="AB189" s="58"/>
      <c r="AC189" s="58"/>
      <c r="AD189" s="58"/>
      <c r="AE189" s="58"/>
      <c r="AF189" s="58"/>
      <c r="AG189" s="58"/>
      <c r="AH189" s="58"/>
      <c r="AI189" s="58"/>
      <c r="AJ189" s="58"/>
      <c r="AK189" s="58"/>
      <c r="AL189" s="58"/>
      <c r="AM189" s="58"/>
      <c r="AN189" s="58"/>
      <c r="AO189" s="58"/>
      <c r="AP189" s="58"/>
      <c r="AQ189" s="58"/>
      <c r="AR189" s="58"/>
      <c r="AS189" s="58">
        <v>200</v>
      </c>
      <c r="AT189" s="58"/>
      <c r="AU189" s="58"/>
      <c r="AV189" s="58"/>
      <c r="AW189" s="58"/>
      <c r="AX189" s="58"/>
      <c r="AY189" s="58"/>
      <c r="AZ189" s="58"/>
      <c r="BA189" s="58"/>
      <c r="BB189" s="58"/>
      <c r="BC189" s="58"/>
      <c r="BD189" s="58"/>
      <c r="BE189" s="58"/>
      <c r="BF189" s="58"/>
      <c r="BG189" s="58"/>
      <c r="BH189" s="58"/>
    </row>
    <row r="190" spans="2:60" hidden="1" x14ac:dyDescent="0.2">
      <c r="B190" s="59"/>
      <c r="C190" s="59" t="s">
        <v>676</v>
      </c>
      <c r="D190" s="59" t="s">
        <v>649</v>
      </c>
      <c r="E190" s="60">
        <v>225</v>
      </c>
      <c r="F190" s="60">
        <v>225</v>
      </c>
      <c r="G190" s="60">
        <v>220</v>
      </c>
      <c r="H190" s="60">
        <v>200</v>
      </c>
      <c r="I190" s="60">
        <v>230</v>
      </c>
      <c r="J190" s="60">
        <v>215</v>
      </c>
      <c r="K190" s="60">
        <v>225</v>
      </c>
      <c r="L190" s="60">
        <v>220</v>
      </c>
      <c r="M190" s="60">
        <v>235</v>
      </c>
      <c r="N190" s="60">
        <v>210</v>
      </c>
      <c r="O190" s="60">
        <v>200</v>
      </c>
      <c r="P190" s="60">
        <v>240</v>
      </c>
      <c r="Q190" s="60">
        <v>230</v>
      </c>
      <c r="R190" s="60">
        <v>225</v>
      </c>
      <c r="S190" s="60">
        <v>225</v>
      </c>
      <c r="T190" s="60">
        <v>210</v>
      </c>
      <c r="U190" s="60">
        <v>230</v>
      </c>
      <c r="V190" s="60">
        <v>245</v>
      </c>
      <c r="W190" s="60"/>
      <c r="X190" s="60"/>
      <c r="Y190" s="60">
        <v>235</v>
      </c>
      <c r="Z190" s="60">
        <v>240</v>
      </c>
      <c r="AA190" s="60">
        <v>260</v>
      </c>
      <c r="AB190" s="60">
        <v>250</v>
      </c>
      <c r="AC190" s="60">
        <v>255</v>
      </c>
      <c r="AD190" s="60">
        <v>245</v>
      </c>
      <c r="AE190" s="60">
        <v>250</v>
      </c>
      <c r="AF190" s="60">
        <v>240</v>
      </c>
      <c r="AG190" s="60">
        <v>250</v>
      </c>
      <c r="AH190" s="60">
        <v>250</v>
      </c>
      <c r="AI190" s="60">
        <v>280</v>
      </c>
      <c r="AJ190" s="60">
        <v>255</v>
      </c>
      <c r="AK190" s="60">
        <v>265</v>
      </c>
      <c r="AL190" s="60">
        <v>250</v>
      </c>
      <c r="AM190" s="60">
        <v>250</v>
      </c>
      <c r="AN190" s="60">
        <v>260</v>
      </c>
      <c r="AO190" s="60">
        <v>260</v>
      </c>
      <c r="AP190" s="60"/>
      <c r="AQ190" s="60">
        <v>270</v>
      </c>
      <c r="AR190" s="60">
        <v>275</v>
      </c>
      <c r="AS190" s="60">
        <v>232</v>
      </c>
      <c r="AT190" s="60">
        <v>280</v>
      </c>
      <c r="AU190" s="60">
        <v>270</v>
      </c>
      <c r="AV190" s="60">
        <v>300</v>
      </c>
      <c r="AW190" s="60">
        <v>300</v>
      </c>
      <c r="AX190" s="60">
        <v>335</v>
      </c>
      <c r="AY190" s="60">
        <v>320</v>
      </c>
      <c r="AZ190" s="60">
        <v>325</v>
      </c>
      <c r="BA190" s="60">
        <v>330</v>
      </c>
      <c r="BB190" s="60">
        <v>325</v>
      </c>
      <c r="BC190" s="60">
        <v>320</v>
      </c>
      <c r="BD190" s="60"/>
      <c r="BE190" s="60">
        <v>360</v>
      </c>
      <c r="BF190" s="60">
        <v>380</v>
      </c>
      <c r="BG190" s="60">
        <v>350</v>
      </c>
      <c r="BH190" s="60">
        <v>400</v>
      </c>
    </row>
    <row r="191" spans="2:60" hidden="1" x14ac:dyDescent="0.2">
      <c r="B191" s="57"/>
      <c r="C191" s="57" t="s">
        <v>676</v>
      </c>
      <c r="D191" s="57" t="s">
        <v>650</v>
      </c>
      <c r="E191" s="58">
        <v>240</v>
      </c>
      <c r="F191" s="58">
        <v>265</v>
      </c>
      <c r="G191" s="58">
        <v>270</v>
      </c>
      <c r="H191" s="58">
        <v>240</v>
      </c>
      <c r="I191" s="58">
        <v>260</v>
      </c>
      <c r="J191" s="58">
        <v>245</v>
      </c>
      <c r="K191" s="58">
        <v>248</v>
      </c>
      <c r="L191" s="58">
        <v>236</v>
      </c>
      <c r="M191" s="58">
        <v>275</v>
      </c>
      <c r="N191" s="58">
        <v>275</v>
      </c>
      <c r="O191" s="58">
        <v>250</v>
      </c>
      <c r="P191" s="58"/>
      <c r="Q191" s="58">
        <v>265</v>
      </c>
      <c r="R191" s="58">
        <v>270</v>
      </c>
      <c r="S191" s="58"/>
      <c r="T191" s="58">
        <v>250</v>
      </c>
      <c r="U191" s="58">
        <v>280</v>
      </c>
      <c r="V191" s="58">
        <v>250</v>
      </c>
      <c r="W191" s="58"/>
      <c r="X191" s="58"/>
      <c r="Y191" s="58">
        <v>262</v>
      </c>
      <c r="Z191" s="58">
        <v>255</v>
      </c>
      <c r="AA191" s="58">
        <v>250</v>
      </c>
      <c r="AB191" s="58"/>
      <c r="AC191" s="58"/>
      <c r="AD191" s="58">
        <v>280</v>
      </c>
      <c r="AE191" s="58">
        <v>275</v>
      </c>
      <c r="AF191" s="58">
        <v>300</v>
      </c>
      <c r="AG191" s="58">
        <v>285</v>
      </c>
      <c r="AH191" s="58">
        <v>300</v>
      </c>
      <c r="AI191" s="58">
        <v>290</v>
      </c>
      <c r="AJ191" s="58"/>
      <c r="AK191" s="58">
        <v>280</v>
      </c>
      <c r="AL191" s="58">
        <v>325</v>
      </c>
      <c r="AM191" s="58">
        <v>285</v>
      </c>
      <c r="AN191" s="58"/>
      <c r="AO191" s="58">
        <v>300</v>
      </c>
      <c r="AP191" s="58">
        <v>300</v>
      </c>
      <c r="AQ191" s="58">
        <v>320</v>
      </c>
      <c r="AR191" s="58">
        <v>305</v>
      </c>
      <c r="AS191" s="58"/>
      <c r="AT191" s="58"/>
      <c r="AU191" s="58">
        <v>350</v>
      </c>
      <c r="AV191" s="58"/>
      <c r="AW191" s="58"/>
      <c r="AX191" s="58"/>
      <c r="AY191" s="58">
        <v>385</v>
      </c>
      <c r="AZ191" s="58"/>
      <c r="BA191" s="58">
        <v>360</v>
      </c>
      <c r="BB191" s="58"/>
      <c r="BC191" s="58"/>
      <c r="BD191" s="58"/>
      <c r="BE191" s="58"/>
      <c r="BF191" s="58">
        <v>550</v>
      </c>
      <c r="BG191" s="58"/>
      <c r="BH191" s="58">
        <v>400</v>
      </c>
    </row>
    <row r="192" spans="2:60" hidden="1" x14ac:dyDescent="0.2">
      <c r="B192" s="59"/>
      <c r="C192" s="59" t="s">
        <v>676</v>
      </c>
      <c r="D192" s="59" t="s">
        <v>651</v>
      </c>
      <c r="E192" s="60">
        <v>240</v>
      </c>
      <c r="F192" s="60">
        <v>240</v>
      </c>
      <c r="G192" s="60">
        <v>220</v>
      </c>
      <c r="H192" s="60">
        <v>245</v>
      </c>
      <c r="I192" s="60">
        <v>235</v>
      </c>
      <c r="J192" s="60">
        <v>240</v>
      </c>
      <c r="K192" s="60">
        <v>240</v>
      </c>
      <c r="L192" s="60">
        <v>250</v>
      </c>
      <c r="M192" s="60">
        <v>250</v>
      </c>
      <c r="N192" s="60">
        <v>245</v>
      </c>
      <c r="O192" s="60">
        <v>250</v>
      </c>
      <c r="P192" s="60">
        <v>230</v>
      </c>
      <c r="Q192" s="60">
        <v>250</v>
      </c>
      <c r="R192" s="60">
        <v>260</v>
      </c>
      <c r="S192" s="60">
        <v>260</v>
      </c>
      <c r="T192" s="60">
        <v>260</v>
      </c>
      <c r="U192" s="60">
        <v>230</v>
      </c>
      <c r="V192" s="60">
        <v>250</v>
      </c>
      <c r="W192" s="60"/>
      <c r="X192" s="60">
        <v>260</v>
      </c>
      <c r="Y192" s="60">
        <v>260</v>
      </c>
      <c r="Z192" s="60">
        <v>265</v>
      </c>
      <c r="AA192" s="60">
        <v>260</v>
      </c>
      <c r="AB192" s="60">
        <v>250</v>
      </c>
      <c r="AC192" s="60">
        <v>250</v>
      </c>
      <c r="AD192" s="60">
        <v>250</v>
      </c>
      <c r="AE192" s="60">
        <v>270</v>
      </c>
      <c r="AF192" s="60">
        <v>270</v>
      </c>
      <c r="AG192" s="60">
        <v>250</v>
      </c>
      <c r="AH192" s="60">
        <v>290</v>
      </c>
      <c r="AI192" s="60">
        <v>280</v>
      </c>
      <c r="AJ192" s="60">
        <v>285</v>
      </c>
      <c r="AK192" s="60">
        <v>285</v>
      </c>
      <c r="AL192" s="60">
        <v>265</v>
      </c>
      <c r="AM192" s="60">
        <v>280</v>
      </c>
      <c r="AN192" s="60"/>
      <c r="AO192" s="60"/>
      <c r="AP192" s="60">
        <v>285</v>
      </c>
      <c r="AQ192" s="60"/>
      <c r="AR192" s="60"/>
      <c r="AS192" s="60">
        <v>300</v>
      </c>
      <c r="AT192" s="60"/>
      <c r="AU192" s="60">
        <v>345</v>
      </c>
      <c r="AV192" s="60"/>
      <c r="AW192" s="60"/>
      <c r="AX192" s="60"/>
      <c r="AY192" s="60"/>
      <c r="AZ192" s="60"/>
      <c r="BA192" s="60"/>
      <c r="BB192" s="60"/>
      <c r="BC192" s="60"/>
      <c r="BD192" s="60"/>
      <c r="BE192" s="60"/>
      <c r="BF192" s="60"/>
      <c r="BG192" s="60">
        <v>450</v>
      </c>
      <c r="BH192" s="60">
        <v>495</v>
      </c>
    </row>
    <row r="193" spans="2:60" hidden="1" x14ac:dyDescent="0.2">
      <c r="B193" s="57"/>
      <c r="C193" s="57" t="s">
        <v>676</v>
      </c>
      <c r="D193" s="57" t="s">
        <v>652</v>
      </c>
      <c r="E193" s="58">
        <v>270</v>
      </c>
      <c r="F193" s="58">
        <v>270</v>
      </c>
      <c r="G193" s="58">
        <v>270</v>
      </c>
      <c r="H193" s="58">
        <v>280</v>
      </c>
      <c r="I193" s="58">
        <v>270</v>
      </c>
      <c r="J193" s="58">
        <v>275</v>
      </c>
      <c r="K193" s="58">
        <v>280</v>
      </c>
      <c r="L193" s="58">
        <v>270</v>
      </c>
      <c r="M193" s="58">
        <v>275</v>
      </c>
      <c r="N193" s="58">
        <v>280</v>
      </c>
      <c r="O193" s="58">
        <v>270</v>
      </c>
      <c r="P193" s="58">
        <v>290</v>
      </c>
      <c r="Q193" s="58">
        <v>285</v>
      </c>
      <c r="R193" s="58">
        <v>285</v>
      </c>
      <c r="S193" s="58">
        <v>285</v>
      </c>
      <c r="T193" s="58">
        <v>300</v>
      </c>
      <c r="U193" s="58">
        <v>290</v>
      </c>
      <c r="V193" s="58">
        <v>285</v>
      </c>
      <c r="W193" s="58">
        <v>280</v>
      </c>
      <c r="X193" s="58">
        <v>290</v>
      </c>
      <c r="Y193" s="58">
        <v>290</v>
      </c>
      <c r="Z193" s="58">
        <v>290</v>
      </c>
      <c r="AA193" s="58">
        <v>300</v>
      </c>
      <c r="AB193" s="58">
        <v>300</v>
      </c>
      <c r="AC193" s="58">
        <v>300</v>
      </c>
      <c r="AD193" s="58">
        <v>300</v>
      </c>
      <c r="AE193" s="58">
        <v>310</v>
      </c>
      <c r="AF193" s="58">
        <v>300</v>
      </c>
      <c r="AG193" s="58">
        <v>300</v>
      </c>
      <c r="AH193" s="58">
        <v>300</v>
      </c>
      <c r="AI193" s="58">
        <v>300</v>
      </c>
      <c r="AJ193" s="58">
        <v>305</v>
      </c>
      <c r="AK193" s="58">
        <v>300</v>
      </c>
      <c r="AL193" s="58">
        <v>310</v>
      </c>
      <c r="AM193" s="58">
        <v>320</v>
      </c>
      <c r="AN193" s="58">
        <v>320</v>
      </c>
      <c r="AO193" s="58">
        <v>320</v>
      </c>
      <c r="AP193" s="58">
        <v>330</v>
      </c>
      <c r="AQ193" s="58">
        <v>330</v>
      </c>
      <c r="AR193" s="58">
        <v>340</v>
      </c>
      <c r="AS193" s="58">
        <v>350</v>
      </c>
      <c r="AT193" s="58">
        <v>370</v>
      </c>
      <c r="AU193" s="58">
        <v>400</v>
      </c>
      <c r="AV193" s="58">
        <v>425</v>
      </c>
      <c r="AW193" s="58">
        <v>450</v>
      </c>
      <c r="AX193" s="58">
        <v>450</v>
      </c>
      <c r="AY193" s="58">
        <v>450</v>
      </c>
      <c r="AZ193" s="58">
        <v>450</v>
      </c>
      <c r="BA193" s="58">
        <v>475</v>
      </c>
      <c r="BB193" s="58">
        <v>500</v>
      </c>
      <c r="BC193" s="58">
        <v>490</v>
      </c>
      <c r="BD193" s="58">
        <v>500</v>
      </c>
      <c r="BE193" s="58">
        <v>500</v>
      </c>
      <c r="BF193" s="58">
        <v>520</v>
      </c>
      <c r="BG193" s="58">
        <v>530</v>
      </c>
      <c r="BH193" s="58">
        <v>550</v>
      </c>
    </row>
    <row r="194" spans="2:60" hidden="1" x14ac:dyDescent="0.2">
      <c r="B194" s="59"/>
      <c r="C194" s="59" t="s">
        <v>676</v>
      </c>
      <c r="D194" s="59" t="s">
        <v>653</v>
      </c>
      <c r="E194" s="60">
        <v>300</v>
      </c>
      <c r="F194" s="60">
        <v>300</v>
      </c>
      <c r="G194" s="60">
        <v>300</v>
      </c>
      <c r="H194" s="60">
        <v>300</v>
      </c>
      <c r="I194" s="60">
        <v>300</v>
      </c>
      <c r="J194" s="60">
        <v>320</v>
      </c>
      <c r="K194" s="60">
        <v>300</v>
      </c>
      <c r="L194" s="60">
        <v>300</v>
      </c>
      <c r="M194" s="60">
        <v>300</v>
      </c>
      <c r="N194" s="60">
        <v>320</v>
      </c>
      <c r="O194" s="60">
        <v>320</v>
      </c>
      <c r="P194" s="60">
        <v>320</v>
      </c>
      <c r="Q194" s="60">
        <v>320</v>
      </c>
      <c r="R194" s="60">
        <v>310</v>
      </c>
      <c r="S194" s="60">
        <v>310</v>
      </c>
      <c r="T194" s="60">
        <v>320</v>
      </c>
      <c r="U194" s="60">
        <v>330</v>
      </c>
      <c r="V194" s="60">
        <v>320</v>
      </c>
      <c r="W194" s="60">
        <v>310</v>
      </c>
      <c r="X194" s="60">
        <v>340</v>
      </c>
      <c r="Y194" s="60">
        <v>330</v>
      </c>
      <c r="Z194" s="60">
        <v>325</v>
      </c>
      <c r="AA194" s="60">
        <v>320</v>
      </c>
      <c r="AB194" s="60">
        <v>330</v>
      </c>
      <c r="AC194" s="60">
        <v>350</v>
      </c>
      <c r="AD194" s="60">
        <v>340</v>
      </c>
      <c r="AE194" s="60">
        <v>325</v>
      </c>
      <c r="AF194" s="60">
        <v>350</v>
      </c>
      <c r="AG194" s="60">
        <v>350</v>
      </c>
      <c r="AH194" s="60">
        <v>350</v>
      </c>
      <c r="AI194" s="60">
        <v>345</v>
      </c>
      <c r="AJ194" s="60">
        <v>350</v>
      </c>
      <c r="AK194" s="60">
        <v>350</v>
      </c>
      <c r="AL194" s="60">
        <v>335</v>
      </c>
      <c r="AM194" s="60">
        <v>340</v>
      </c>
      <c r="AN194" s="60">
        <v>350</v>
      </c>
      <c r="AO194" s="60">
        <v>375</v>
      </c>
      <c r="AP194" s="60">
        <v>370</v>
      </c>
      <c r="AQ194" s="60">
        <v>365</v>
      </c>
      <c r="AR194" s="60">
        <v>400</v>
      </c>
      <c r="AS194" s="60">
        <v>440</v>
      </c>
      <c r="AT194" s="60">
        <v>450</v>
      </c>
      <c r="AU194" s="60">
        <v>450</v>
      </c>
      <c r="AV194" s="60">
        <v>490</v>
      </c>
      <c r="AW194" s="60">
        <v>480</v>
      </c>
      <c r="AX194" s="60">
        <v>520</v>
      </c>
      <c r="AY194" s="60">
        <v>550</v>
      </c>
      <c r="AZ194" s="60">
        <v>580</v>
      </c>
      <c r="BA194" s="60">
        <v>550</v>
      </c>
      <c r="BB194" s="60">
        <v>590</v>
      </c>
      <c r="BC194" s="60">
        <v>575</v>
      </c>
      <c r="BD194" s="60">
        <v>560</v>
      </c>
      <c r="BE194" s="60">
        <v>595</v>
      </c>
      <c r="BF194" s="60">
        <v>600</v>
      </c>
      <c r="BG194" s="60">
        <v>640</v>
      </c>
      <c r="BH194" s="60">
        <v>620</v>
      </c>
    </row>
    <row r="195" spans="2:60" hidden="1" x14ac:dyDescent="0.2">
      <c r="B195" s="57"/>
      <c r="C195" s="57" t="s">
        <v>676</v>
      </c>
      <c r="D195" s="57" t="s">
        <v>654</v>
      </c>
      <c r="E195" s="58"/>
      <c r="F195" s="58"/>
      <c r="G195" s="58"/>
      <c r="H195" s="58"/>
      <c r="I195" s="58"/>
      <c r="J195" s="58"/>
      <c r="K195" s="58"/>
      <c r="L195" s="58"/>
      <c r="M195" s="58"/>
      <c r="N195" s="58"/>
      <c r="O195" s="58"/>
      <c r="P195" s="58"/>
      <c r="Q195" s="58"/>
      <c r="R195" s="58"/>
      <c r="S195" s="58"/>
      <c r="T195" s="58"/>
      <c r="U195" s="58"/>
      <c r="V195" s="58"/>
      <c r="W195" s="58"/>
      <c r="X195" s="58"/>
      <c r="Y195" s="58">
        <v>250</v>
      </c>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row>
    <row r="196" spans="2:60" hidden="1" x14ac:dyDescent="0.2">
      <c r="B196" s="59"/>
      <c r="C196" s="59" t="s">
        <v>676</v>
      </c>
      <c r="D196" s="59" t="s">
        <v>655</v>
      </c>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v>650</v>
      </c>
      <c r="BH196" s="60"/>
    </row>
    <row r="197" spans="2:60" hidden="1" x14ac:dyDescent="0.2">
      <c r="B197" s="57"/>
      <c r="C197" s="57" t="s">
        <v>676</v>
      </c>
      <c r="D197" s="57" t="s">
        <v>656</v>
      </c>
      <c r="E197" s="58">
        <v>270</v>
      </c>
      <c r="F197" s="58">
        <v>280</v>
      </c>
      <c r="G197" s="58">
        <v>280</v>
      </c>
      <c r="H197" s="58">
        <v>285</v>
      </c>
      <c r="I197" s="58">
        <v>280</v>
      </c>
      <c r="J197" s="58">
        <v>285</v>
      </c>
      <c r="K197" s="58">
        <v>280</v>
      </c>
      <c r="L197" s="58">
        <v>280</v>
      </c>
      <c r="M197" s="58">
        <v>270</v>
      </c>
      <c r="N197" s="58">
        <v>290</v>
      </c>
      <c r="O197" s="58">
        <v>285</v>
      </c>
      <c r="P197" s="58">
        <v>295</v>
      </c>
      <c r="Q197" s="58">
        <v>270</v>
      </c>
      <c r="R197" s="58">
        <v>290</v>
      </c>
      <c r="S197" s="58">
        <v>290</v>
      </c>
      <c r="T197" s="58">
        <v>300</v>
      </c>
      <c r="U197" s="58">
        <v>285</v>
      </c>
      <c r="V197" s="58">
        <v>290</v>
      </c>
      <c r="W197" s="58">
        <v>285</v>
      </c>
      <c r="X197" s="58">
        <v>300</v>
      </c>
      <c r="Y197" s="58">
        <v>285</v>
      </c>
      <c r="Z197" s="58">
        <v>295</v>
      </c>
      <c r="AA197" s="58">
        <v>300</v>
      </c>
      <c r="AB197" s="58">
        <v>300</v>
      </c>
      <c r="AC197" s="58">
        <v>285</v>
      </c>
      <c r="AD197" s="58">
        <v>300</v>
      </c>
      <c r="AE197" s="58">
        <v>300</v>
      </c>
      <c r="AF197" s="58">
        <v>305</v>
      </c>
      <c r="AG197" s="58">
        <v>290</v>
      </c>
      <c r="AH197" s="58">
        <v>310</v>
      </c>
      <c r="AI197" s="58">
        <v>310</v>
      </c>
      <c r="AJ197" s="58">
        <v>310</v>
      </c>
      <c r="AK197" s="58">
        <v>300</v>
      </c>
      <c r="AL197" s="58">
        <v>310</v>
      </c>
      <c r="AM197" s="58">
        <v>320</v>
      </c>
      <c r="AN197" s="58">
        <v>325</v>
      </c>
      <c r="AO197" s="58">
        <v>320</v>
      </c>
      <c r="AP197" s="58">
        <v>330</v>
      </c>
      <c r="AQ197" s="58">
        <v>340</v>
      </c>
      <c r="AR197" s="58">
        <v>350</v>
      </c>
      <c r="AS197" s="58">
        <v>325</v>
      </c>
      <c r="AT197" s="58">
        <v>400</v>
      </c>
      <c r="AU197" s="58">
        <v>395</v>
      </c>
      <c r="AV197" s="58">
        <v>410</v>
      </c>
      <c r="AW197" s="58">
        <v>430</v>
      </c>
      <c r="AX197" s="58">
        <v>420</v>
      </c>
      <c r="AY197" s="58">
        <v>450</v>
      </c>
      <c r="AZ197" s="58">
        <v>450</v>
      </c>
      <c r="BA197" s="58">
        <v>440</v>
      </c>
      <c r="BB197" s="58">
        <v>530</v>
      </c>
      <c r="BC197" s="58">
        <v>480</v>
      </c>
      <c r="BD197" s="58">
        <v>520</v>
      </c>
      <c r="BE197" s="58">
        <v>470</v>
      </c>
      <c r="BF197" s="58">
        <v>550</v>
      </c>
      <c r="BG197" s="58">
        <v>550</v>
      </c>
      <c r="BH197" s="58">
        <v>550</v>
      </c>
    </row>
    <row r="198" spans="2:60" hidden="1" x14ac:dyDescent="0.2">
      <c r="B198" s="59"/>
      <c r="C198" s="59" t="s">
        <v>677</v>
      </c>
      <c r="D198" s="59" t="s">
        <v>648</v>
      </c>
      <c r="E198" s="60">
        <v>225</v>
      </c>
      <c r="F198" s="60">
        <v>220</v>
      </c>
      <c r="G198" s="60">
        <v>225</v>
      </c>
      <c r="H198" s="60">
        <v>220</v>
      </c>
      <c r="I198" s="60">
        <v>230</v>
      </c>
      <c r="J198" s="60">
        <v>230</v>
      </c>
      <c r="K198" s="60">
        <v>230</v>
      </c>
      <c r="L198" s="60">
        <v>220</v>
      </c>
      <c r="M198" s="60">
        <v>250</v>
      </c>
      <c r="N198" s="60">
        <v>270</v>
      </c>
      <c r="O198" s="60">
        <v>250</v>
      </c>
      <c r="P198" s="60">
        <v>262</v>
      </c>
      <c r="Q198" s="60">
        <v>260</v>
      </c>
      <c r="R198" s="60">
        <v>220</v>
      </c>
      <c r="S198" s="60">
        <v>240</v>
      </c>
      <c r="T198" s="60">
        <v>250</v>
      </c>
      <c r="U198" s="60">
        <v>250</v>
      </c>
      <c r="V198" s="60">
        <v>250</v>
      </c>
      <c r="W198" s="60">
        <v>230</v>
      </c>
      <c r="X198" s="60">
        <v>240</v>
      </c>
      <c r="Y198" s="60">
        <v>265</v>
      </c>
      <c r="Z198" s="60">
        <v>250</v>
      </c>
      <c r="AA198" s="60">
        <v>280</v>
      </c>
      <c r="AB198" s="60">
        <v>260</v>
      </c>
      <c r="AC198" s="60">
        <v>250</v>
      </c>
      <c r="AD198" s="60">
        <v>250</v>
      </c>
      <c r="AE198" s="60">
        <v>250</v>
      </c>
      <c r="AF198" s="60">
        <v>255</v>
      </c>
      <c r="AG198" s="60">
        <v>250</v>
      </c>
      <c r="AH198" s="60">
        <v>240</v>
      </c>
      <c r="AI198" s="60">
        <v>250</v>
      </c>
      <c r="AJ198" s="60">
        <v>250</v>
      </c>
      <c r="AK198" s="60">
        <v>270</v>
      </c>
      <c r="AL198" s="60">
        <v>240</v>
      </c>
      <c r="AM198" s="60">
        <v>240</v>
      </c>
      <c r="AN198" s="60">
        <v>250</v>
      </c>
      <c r="AO198" s="60">
        <v>270</v>
      </c>
      <c r="AP198" s="60">
        <v>270</v>
      </c>
      <c r="AQ198" s="60">
        <v>280</v>
      </c>
      <c r="AR198" s="60">
        <v>265</v>
      </c>
      <c r="AS198" s="60">
        <v>300</v>
      </c>
      <c r="AT198" s="60">
        <v>295</v>
      </c>
      <c r="AU198" s="60">
        <v>300</v>
      </c>
      <c r="AV198" s="60">
        <v>300</v>
      </c>
      <c r="AW198" s="60">
        <v>300</v>
      </c>
      <c r="AX198" s="60">
        <v>300</v>
      </c>
      <c r="AY198" s="60">
        <v>300</v>
      </c>
      <c r="AZ198" s="60">
        <v>330</v>
      </c>
      <c r="BA198" s="60">
        <v>330</v>
      </c>
      <c r="BB198" s="60">
        <v>320</v>
      </c>
      <c r="BC198" s="60">
        <v>360</v>
      </c>
      <c r="BD198" s="60">
        <v>315</v>
      </c>
      <c r="BE198" s="60">
        <v>310</v>
      </c>
      <c r="BF198" s="60">
        <v>313</v>
      </c>
      <c r="BG198" s="60">
        <v>330</v>
      </c>
      <c r="BH198" s="60">
        <v>350</v>
      </c>
    </row>
    <row r="199" spans="2:60" x14ac:dyDescent="0.2">
      <c r="B199" s="57"/>
      <c r="C199" s="57" t="s">
        <v>677</v>
      </c>
      <c r="D199" s="57" t="s">
        <v>649</v>
      </c>
      <c r="E199" s="58">
        <v>255</v>
      </c>
      <c r="F199" s="58">
        <v>250</v>
      </c>
      <c r="G199" s="58">
        <v>260</v>
      </c>
      <c r="H199" s="58">
        <v>250</v>
      </c>
      <c r="I199" s="58">
        <v>250</v>
      </c>
      <c r="J199" s="58">
        <v>260</v>
      </c>
      <c r="K199" s="58">
        <v>260</v>
      </c>
      <c r="L199" s="58">
        <v>260</v>
      </c>
      <c r="M199" s="58">
        <v>265</v>
      </c>
      <c r="N199" s="58">
        <v>260</v>
      </c>
      <c r="O199" s="58">
        <v>260</v>
      </c>
      <c r="P199" s="58">
        <v>260</v>
      </c>
      <c r="Q199" s="58">
        <v>270</v>
      </c>
      <c r="R199" s="58">
        <v>265</v>
      </c>
      <c r="S199" s="58">
        <v>270</v>
      </c>
      <c r="T199" s="58">
        <v>265</v>
      </c>
      <c r="U199" s="58">
        <v>270</v>
      </c>
      <c r="V199" s="58">
        <v>270</v>
      </c>
      <c r="W199" s="58">
        <v>270</v>
      </c>
      <c r="X199" s="58">
        <v>280</v>
      </c>
      <c r="Y199" s="58">
        <v>280</v>
      </c>
      <c r="Z199" s="58">
        <v>280</v>
      </c>
      <c r="AA199" s="58">
        <v>285</v>
      </c>
      <c r="AB199" s="58">
        <v>290</v>
      </c>
      <c r="AC199" s="58">
        <v>285</v>
      </c>
      <c r="AD199" s="58">
        <v>290</v>
      </c>
      <c r="AE199" s="58">
        <v>290</v>
      </c>
      <c r="AF199" s="58">
        <v>290</v>
      </c>
      <c r="AG199" s="58">
        <v>290</v>
      </c>
      <c r="AH199" s="58">
        <v>290</v>
      </c>
      <c r="AI199" s="58">
        <v>285</v>
      </c>
      <c r="AJ199" s="58">
        <v>285</v>
      </c>
      <c r="AK199" s="58">
        <v>290</v>
      </c>
      <c r="AL199" s="58">
        <v>290</v>
      </c>
      <c r="AM199" s="58">
        <v>290</v>
      </c>
      <c r="AN199" s="58">
        <v>290</v>
      </c>
      <c r="AO199" s="58">
        <v>300</v>
      </c>
      <c r="AP199" s="58">
        <v>300</v>
      </c>
      <c r="AQ199" s="58">
        <v>300</v>
      </c>
      <c r="AR199" s="58">
        <v>315</v>
      </c>
      <c r="AS199" s="58">
        <v>320</v>
      </c>
      <c r="AT199" s="58">
        <v>330</v>
      </c>
      <c r="AU199" s="58">
        <v>340</v>
      </c>
      <c r="AV199" s="58">
        <v>350</v>
      </c>
      <c r="AW199" s="58">
        <v>360</v>
      </c>
      <c r="AX199" s="58">
        <v>385</v>
      </c>
      <c r="AY199" s="58">
        <v>395</v>
      </c>
      <c r="AZ199" s="58">
        <v>400</v>
      </c>
      <c r="BA199" s="58">
        <v>420</v>
      </c>
      <c r="BB199" s="58">
        <v>420</v>
      </c>
      <c r="BC199" s="58">
        <v>420</v>
      </c>
      <c r="BD199" s="58">
        <v>425</v>
      </c>
      <c r="BE199" s="58">
        <v>440</v>
      </c>
      <c r="BF199" s="58">
        <v>440</v>
      </c>
      <c r="BG199" s="58">
        <v>450</v>
      </c>
      <c r="BH199" s="58">
        <v>450</v>
      </c>
    </row>
    <row r="200" spans="2:60" hidden="1" x14ac:dyDescent="0.2">
      <c r="B200" s="59"/>
      <c r="C200" s="59" t="s">
        <v>677</v>
      </c>
      <c r="D200" s="59" t="s">
        <v>650</v>
      </c>
      <c r="E200" s="60">
        <v>310</v>
      </c>
      <c r="F200" s="60">
        <v>305</v>
      </c>
      <c r="G200" s="60">
        <v>315</v>
      </c>
      <c r="H200" s="60">
        <v>300</v>
      </c>
      <c r="I200" s="60">
        <v>310</v>
      </c>
      <c r="J200" s="60">
        <v>300</v>
      </c>
      <c r="K200" s="60">
        <v>330</v>
      </c>
      <c r="L200" s="60">
        <v>310</v>
      </c>
      <c r="M200" s="60">
        <v>330</v>
      </c>
      <c r="N200" s="60">
        <v>320</v>
      </c>
      <c r="O200" s="60">
        <v>310</v>
      </c>
      <c r="P200" s="60">
        <v>310</v>
      </c>
      <c r="Q200" s="60">
        <v>335</v>
      </c>
      <c r="R200" s="60">
        <v>300</v>
      </c>
      <c r="S200" s="60">
        <v>320</v>
      </c>
      <c r="T200" s="60">
        <v>320</v>
      </c>
      <c r="U200" s="60">
        <v>325</v>
      </c>
      <c r="V200" s="60">
        <v>340</v>
      </c>
      <c r="W200" s="60">
        <v>295</v>
      </c>
      <c r="X200" s="60">
        <v>330</v>
      </c>
      <c r="Y200" s="60">
        <v>340</v>
      </c>
      <c r="Z200" s="60">
        <v>330</v>
      </c>
      <c r="AA200" s="60">
        <v>340</v>
      </c>
      <c r="AB200" s="60">
        <v>340</v>
      </c>
      <c r="AC200" s="60">
        <v>340</v>
      </c>
      <c r="AD200" s="60">
        <v>340</v>
      </c>
      <c r="AE200" s="60">
        <v>340</v>
      </c>
      <c r="AF200" s="60">
        <v>340</v>
      </c>
      <c r="AG200" s="60">
        <v>330</v>
      </c>
      <c r="AH200" s="60">
        <v>340</v>
      </c>
      <c r="AI200" s="60">
        <v>340</v>
      </c>
      <c r="AJ200" s="60">
        <v>340</v>
      </c>
      <c r="AK200" s="60">
        <v>330</v>
      </c>
      <c r="AL200" s="60">
        <v>330</v>
      </c>
      <c r="AM200" s="60">
        <v>335</v>
      </c>
      <c r="AN200" s="60">
        <v>345</v>
      </c>
      <c r="AO200" s="60">
        <v>345</v>
      </c>
      <c r="AP200" s="60">
        <v>350</v>
      </c>
      <c r="AQ200" s="60">
        <v>360</v>
      </c>
      <c r="AR200" s="60">
        <v>365</v>
      </c>
      <c r="AS200" s="60">
        <v>375</v>
      </c>
      <c r="AT200" s="60">
        <v>390</v>
      </c>
      <c r="AU200" s="60">
        <v>400</v>
      </c>
      <c r="AV200" s="60">
        <v>410</v>
      </c>
      <c r="AW200" s="60">
        <v>430</v>
      </c>
      <c r="AX200" s="60">
        <v>460</v>
      </c>
      <c r="AY200" s="60">
        <v>480</v>
      </c>
      <c r="AZ200" s="60">
        <v>480</v>
      </c>
      <c r="BA200" s="60">
        <v>500</v>
      </c>
      <c r="BB200" s="60">
        <v>500</v>
      </c>
      <c r="BC200" s="60">
        <v>500</v>
      </c>
      <c r="BD200" s="60">
        <v>510</v>
      </c>
      <c r="BE200" s="60">
        <v>530</v>
      </c>
      <c r="BF200" s="60">
        <v>530</v>
      </c>
      <c r="BG200" s="60">
        <v>545</v>
      </c>
      <c r="BH200" s="60">
        <v>540</v>
      </c>
    </row>
    <row r="201" spans="2:60" hidden="1" x14ac:dyDescent="0.2">
      <c r="B201" s="57"/>
      <c r="C201" s="57" t="s">
        <v>677</v>
      </c>
      <c r="D201" s="57" t="s">
        <v>651</v>
      </c>
      <c r="E201" s="58">
        <v>290</v>
      </c>
      <c r="F201" s="58">
        <v>260</v>
      </c>
      <c r="G201" s="58">
        <v>280</v>
      </c>
      <c r="H201" s="58">
        <v>280</v>
      </c>
      <c r="I201" s="58">
        <v>275</v>
      </c>
      <c r="J201" s="58">
        <v>280</v>
      </c>
      <c r="K201" s="58">
        <v>255</v>
      </c>
      <c r="L201" s="58">
        <v>285</v>
      </c>
      <c r="M201" s="58">
        <v>295</v>
      </c>
      <c r="N201" s="58">
        <v>280</v>
      </c>
      <c r="O201" s="58">
        <v>285</v>
      </c>
      <c r="P201" s="58">
        <v>290</v>
      </c>
      <c r="Q201" s="58">
        <v>280</v>
      </c>
      <c r="R201" s="58">
        <v>295</v>
      </c>
      <c r="S201" s="58">
        <v>295</v>
      </c>
      <c r="T201" s="58">
        <v>300</v>
      </c>
      <c r="U201" s="58">
        <v>295</v>
      </c>
      <c r="V201" s="58">
        <v>290</v>
      </c>
      <c r="W201" s="58">
        <v>290</v>
      </c>
      <c r="X201" s="58">
        <v>300</v>
      </c>
      <c r="Y201" s="58">
        <v>300</v>
      </c>
      <c r="Z201" s="58">
        <v>300</v>
      </c>
      <c r="AA201" s="58">
        <v>300</v>
      </c>
      <c r="AB201" s="58">
        <v>300</v>
      </c>
      <c r="AC201" s="58">
        <v>300</v>
      </c>
      <c r="AD201" s="58">
        <v>295</v>
      </c>
      <c r="AE201" s="58">
        <v>295</v>
      </c>
      <c r="AF201" s="58">
        <v>295</v>
      </c>
      <c r="AG201" s="58">
        <v>300</v>
      </c>
      <c r="AH201" s="58">
        <v>300</v>
      </c>
      <c r="AI201" s="58">
        <v>295</v>
      </c>
      <c r="AJ201" s="58">
        <v>290</v>
      </c>
      <c r="AK201" s="58">
        <v>300</v>
      </c>
      <c r="AL201" s="58">
        <v>300</v>
      </c>
      <c r="AM201" s="58">
        <v>300</v>
      </c>
      <c r="AN201" s="58">
        <v>300</v>
      </c>
      <c r="AO201" s="58">
        <v>310</v>
      </c>
      <c r="AP201" s="58">
        <v>310</v>
      </c>
      <c r="AQ201" s="58">
        <v>320</v>
      </c>
      <c r="AR201" s="58">
        <v>320</v>
      </c>
      <c r="AS201" s="58">
        <v>330</v>
      </c>
      <c r="AT201" s="58">
        <v>350</v>
      </c>
      <c r="AU201" s="58">
        <v>370</v>
      </c>
      <c r="AV201" s="58">
        <v>360</v>
      </c>
      <c r="AW201" s="58">
        <v>380</v>
      </c>
      <c r="AX201" s="58">
        <v>390</v>
      </c>
      <c r="AY201" s="58">
        <v>400</v>
      </c>
      <c r="AZ201" s="58">
        <v>410</v>
      </c>
      <c r="BA201" s="58">
        <v>425</v>
      </c>
      <c r="BB201" s="58">
        <v>430</v>
      </c>
      <c r="BC201" s="58">
        <v>430</v>
      </c>
      <c r="BD201" s="58">
        <v>450</v>
      </c>
      <c r="BE201" s="58">
        <v>450</v>
      </c>
      <c r="BF201" s="58">
        <v>450</v>
      </c>
      <c r="BG201" s="58">
        <v>460</v>
      </c>
      <c r="BH201" s="58">
        <v>460</v>
      </c>
    </row>
    <row r="202" spans="2:60" hidden="1" x14ac:dyDescent="0.2">
      <c r="B202" s="59"/>
      <c r="C202" s="59" t="s">
        <v>677</v>
      </c>
      <c r="D202" s="59" t="s">
        <v>652</v>
      </c>
      <c r="E202" s="60">
        <v>330</v>
      </c>
      <c r="F202" s="60">
        <v>330</v>
      </c>
      <c r="G202" s="60">
        <v>335</v>
      </c>
      <c r="H202" s="60">
        <v>330</v>
      </c>
      <c r="I202" s="60">
        <v>330</v>
      </c>
      <c r="J202" s="60">
        <v>330</v>
      </c>
      <c r="K202" s="60">
        <v>335</v>
      </c>
      <c r="L202" s="60">
        <v>340</v>
      </c>
      <c r="M202" s="60">
        <v>330</v>
      </c>
      <c r="N202" s="60">
        <v>340</v>
      </c>
      <c r="O202" s="60">
        <v>340</v>
      </c>
      <c r="P202" s="60">
        <v>340</v>
      </c>
      <c r="Q202" s="60">
        <v>345</v>
      </c>
      <c r="R202" s="60">
        <v>345</v>
      </c>
      <c r="S202" s="60">
        <v>350</v>
      </c>
      <c r="T202" s="60">
        <v>345</v>
      </c>
      <c r="U202" s="60">
        <v>345</v>
      </c>
      <c r="V202" s="60">
        <v>350</v>
      </c>
      <c r="W202" s="60">
        <v>350</v>
      </c>
      <c r="X202" s="60">
        <v>350</v>
      </c>
      <c r="Y202" s="60">
        <v>350</v>
      </c>
      <c r="Z202" s="60">
        <v>350</v>
      </c>
      <c r="AA202" s="60">
        <v>350</v>
      </c>
      <c r="AB202" s="60">
        <v>350</v>
      </c>
      <c r="AC202" s="60">
        <v>345</v>
      </c>
      <c r="AD202" s="60">
        <v>350</v>
      </c>
      <c r="AE202" s="60">
        <v>345</v>
      </c>
      <c r="AF202" s="60">
        <v>345</v>
      </c>
      <c r="AG202" s="60">
        <v>350</v>
      </c>
      <c r="AH202" s="60">
        <v>350</v>
      </c>
      <c r="AI202" s="60">
        <v>345</v>
      </c>
      <c r="AJ202" s="60">
        <v>350</v>
      </c>
      <c r="AK202" s="60">
        <v>350</v>
      </c>
      <c r="AL202" s="60">
        <v>350</v>
      </c>
      <c r="AM202" s="60">
        <v>350</v>
      </c>
      <c r="AN202" s="60">
        <v>350</v>
      </c>
      <c r="AO202" s="60">
        <v>360</v>
      </c>
      <c r="AP202" s="60">
        <v>370</v>
      </c>
      <c r="AQ202" s="60">
        <v>380</v>
      </c>
      <c r="AR202" s="60">
        <v>390</v>
      </c>
      <c r="AS202" s="60">
        <v>400</v>
      </c>
      <c r="AT202" s="60">
        <v>430</v>
      </c>
      <c r="AU202" s="60">
        <v>450</v>
      </c>
      <c r="AV202" s="60">
        <v>460</v>
      </c>
      <c r="AW202" s="60">
        <v>470</v>
      </c>
      <c r="AX202" s="60">
        <v>480</v>
      </c>
      <c r="AY202" s="60">
        <v>500</v>
      </c>
      <c r="AZ202" s="60">
        <v>500</v>
      </c>
      <c r="BA202" s="60">
        <v>520</v>
      </c>
      <c r="BB202" s="60">
        <v>530</v>
      </c>
      <c r="BC202" s="60">
        <v>530</v>
      </c>
      <c r="BD202" s="60">
        <v>550</v>
      </c>
      <c r="BE202" s="60">
        <v>550</v>
      </c>
      <c r="BF202" s="60">
        <v>560</v>
      </c>
      <c r="BG202" s="60">
        <v>575</v>
      </c>
      <c r="BH202" s="60">
        <v>590</v>
      </c>
    </row>
    <row r="203" spans="2:60" hidden="1" x14ac:dyDescent="0.2">
      <c r="B203" s="57"/>
      <c r="C203" s="57" t="s">
        <v>677</v>
      </c>
      <c r="D203" s="57" t="s">
        <v>653</v>
      </c>
      <c r="E203" s="58">
        <v>385</v>
      </c>
      <c r="F203" s="58">
        <v>390</v>
      </c>
      <c r="G203" s="58">
        <v>390</v>
      </c>
      <c r="H203" s="58">
        <v>390</v>
      </c>
      <c r="I203" s="58">
        <v>390</v>
      </c>
      <c r="J203" s="58">
        <v>390</v>
      </c>
      <c r="K203" s="58">
        <v>390</v>
      </c>
      <c r="L203" s="58">
        <v>400</v>
      </c>
      <c r="M203" s="58">
        <v>400</v>
      </c>
      <c r="N203" s="58">
        <v>400</v>
      </c>
      <c r="O203" s="58">
        <v>400</v>
      </c>
      <c r="P203" s="58">
        <v>400</v>
      </c>
      <c r="Q203" s="58">
        <v>400</v>
      </c>
      <c r="R203" s="58">
        <v>400</v>
      </c>
      <c r="S203" s="58">
        <v>400</v>
      </c>
      <c r="T203" s="58">
        <v>400</v>
      </c>
      <c r="U203" s="58">
        <v>405</v>
      </c>
      <c r="V203" s="58">
        <v>400</v>
      </c>
      <c r="W203" s="58">
        <v>400</v>
      </c>
      <c r="X203" s="58">
        <v>400</v>
      </c>
      <c r="Y203" s="58">
        <v>400</v>
      </c>
      <c r="Z203" s="58">
        <v>400</v>
      </c>
      <c r="AA203" s="58">
        <v>400</v>
      </c>
      <c r="AB203" s="58">
        <v>400</v>
      </c>
      <c r="AC203" s="58">
        <v>400</v>
      </c>
      <c r="AD203" s="58">
        <v>400</v>
      </c>
      <c r="AE203" s="58">
        <v>400</v>
      </c>
      <c r="AF203" s="58">
        <v>400</v>
      </c>
      <c r="AG203" s="58">
        <v>400</v>
      </c>
      <c r="AH203" s="58">
        <v>400</v>
      </c>
      <c r="AI203" s="58">
        <v>400</v>
      </c>
      <c r="AJ203" s="58">
        <v>400</v>
      </c>
      <c r="AK203" s="58">
        <v>400</v>
      </c>
      <c r="AL203" s="58">
        <v>400</v>
      </c>
      <c r="AM203" s="58">
        <v>400</v>
      </c>
      <c r="AN203" s="58">
        <v>410</v>
      </c>
      <c r="AO203" s="58">
        <v>420</v>
      </c>
      <c r="AP203" s="58">
        <v>430</v>
      </c>
      <c r="AQ203" s="58">
        <v>440</v>
      </c>
      <c r="AR203" s="58">
        <v>450</v>
      </c>
      <c r="AS203" s="58">
        <v>470</v>
      </c>
      <c r="AT203" s="58">
        <v>500</v>
      </c>
      <c r="AU203" s="58">
        <v>520</v>
      </c>
      <c r="AV203" s="58">
        <v>535</v>
      </c>
      <c r="AW203" s="58">
        <v>550</v>
      </c>
      <c r="AX203" s="58">
        <v>555</v>
      </c>
      <c r="AY203" s="58">
        <v>580</v>
      </c>
      <c r="AZ203" s="58">
        <v>580</v>
      </c>
      <c r="BA203" s="58">
        <v>600</v>
      </c>
      <c r="BB203" s="58">
        <v>600</v>
      </c>
      <c r="BC203" s="58">
        <v>610</v>
      </c>
      <c r="BD203" s="58">
        <v>620</v>
      </c>
      <c r="BE203" s="58">
        <v>630</v>
      </c>
      <c r="BF203" s="58">
        <v>650</v>
      </c>
      <c r="BG203" s="58">
        <v>650</v>
      </c>
      <c r="BH203" s="58">
        <v>660</v>
      </c>
    </row>
    <row r="204" spans="2:60" x14ac:dyDescent="0.2">
      <c r="B204" s="59"/>
      <c r="C204" s="59" t="s">
        <v>677</v>
      </c>
      <c r="D204" s="59" t="s">
        <v>654</v>
      </c>
      <c r="E204" s="60">
        <v>270</v>
      </c>
      <c r="F204" s="60">
        <v>265</v>
      </c>
      <c r="G204" s="60">
        <v>275</v>
      </c>
      <c r="H204" s="60">
        <v>270</v>
      </c>
      <c r="I204" s="60">
        <v>280</v>
      </c>
      <c r="J204" s="60">
        <v>280</v>
      </c>
      <c r="K204" s="60">
        <v>275</v>
      </c>
      <c r="L204" s="60">
        <v>280</v>
      </c>
      <c r="M204" s="60">
        <v>280</v>
      </c>
      <c r="N204" s="60">
        <v>275</v>
      </c>
      <c r="O204" s="60">
        <v>280</v>
      </c>
      <c r="P204" s="60">
        <v>280</v>
      </c>
      <c r="Q204" s="60">
        <v>290</v>
      </c>
      <c r="R204" s="60">
        <v>280</v>
      </c>
      <c r="S204" s="60">
        <v>280</v>
      </c>
      <c r="T204" s="60">
        <v>280</v>
      </c>
      <c r="U204" s="60">
        <v>285</v>
      </c>
      <c r="V204" s="60">
        <v>280</v>
      </c>
      <c r="W204" s="60">
        <v>285</v>
      </c>
      <c r="X204" s="60">
        <v>285</v>
      </c>
      <c r="Y204" s="60">
        <v>280</v>
      </c>
      <c r="Z204" s="60">
        <v>285</v>
      </c>
      <c r="AA204" s="60">
        <v>280</v>
      </c>
      <c r="AB204" s="60">
        <v>275</v>
      </c>
      <c r="AC204" s="60">
        <v>285</v>
      </c>
      <c r="AD204" s="60">
        <v>275</v>
      </c>
      <c r="AE204" s="60">
        <v>280</v>
      </c>
      <c r="AF204" s="60">
        <v>280</v>
      </c>
      <c r="AG204" s="60">
        <v>275</v>
      </c>
      <c r="AH204" s="60">
        <v>290</v>
      </c>
      <c r="AI204" s="60">
        <v>280</v>
      </c>
      <c r="AJ204" s="60">
        <v>290</v>
      </c>
      <c r="AK204" s="60">
        <v>285</v>
      </c>
      <c r="AL204" s="60">
        <v>280</v>
      </c>
      <c r="AM204" s="60">
        <v>285</v>
      </c>
      <c r="AN204" s="60">
        <v>285</v>
      </c>
      <c r="AO204" s="60">
        <v>290</v>
      </c>
      <c r="AP204" s="60">
        <v>300</v>
      </c>
      <c r="AQ204" s="60">
        <v>305</v>
      </c>
      <c r="AR204" s="60">
        <v>300</v>
      </c>
      <c r="AS204" s="60">
        <v>315</v>
      </c>
      <c r="AT204" s="60">
        <v>330</v>
      </c>
      <c r="AU204" s="60">
        <v>330</v>
      </c>
      <c r="AV204" s="60">
        <v>340</v>
      </c>
      <c r="AW204" s="60">
        <v>350</v>
      </c>
      <c r="AX204" s="60">
        <v>370</v>
      </c>
      <c r="AY204" s="60">
        <v>380</v>
      </c>
      <c r="AZ204" s="60">
        <v>400</v>
      </c>
      <c r="BA204" s="60">
        <v>410</v>
      </c>
      <c r="BB204" s="60">
        <v>420</v>
      </c>
      <c r="BC204" s="60">
        <v>420</v>
      </c>
      <c r="BD204" s="60">
        <v>430</v>
      </c>
      <c r="BE204" s="60">
        <v>440</v>
      </c>
      <c r="BF204" s="60">
        <v>450</v>
      </c>
      <c r="BG204" s="60">
        <v>460</v>
      </c>
      <c r="BH204" s="60">
        <v>460</v>
      </c>
    </row>
    <row r="205" spans="2:60" hidden="1" x14ac:dyDescent="0.2">
      <c r="B205" s="57"/>
      <c r="C205" s="57" t="s">
        <v>677</v>
      </c>
      <c r="D205" s="57" t="s">
        <v>655</v>
      </c>
      <c r="E205" s="58">
        <v>330</v>
      </c>
      <c r="F205" s="58">
        <v>325</v>
      </c>
      <c r="G205" s="58">
        <v>325</v>
      </c>
      <c r="H205" s="58">
        <v>325</v>
      </c>
      <c r="I205" s="58">
        <v>330</v>
      </c>
      <c r="J205" s="58">
        <v>325</v>
      </c>
      <c r="K205" s="58">
        <v>330</v>
      </c>
      <c r="L205" s="58">
        <v>330</v>
      </c>
      <c r="M205" s="58">
        <v>335</v>
      </c>
      <c r="N205" s="58">
        <v>335</v>
      </c>
      <c r="O205" s="58">
        <v>335</v>
      </c>
      <c r="P205" s="58">
        <v>335</v>
      </c>
      <c r="Q205" s="58">
        <v>330</v>
      </c>
      <c r="R205" s="58">
        <v>340</v>
      </c>
      <c r="S205" s="58">
        <v>335</v>
      </c>
      <c r="T205" s="58">
        <v>340</v>
      </c>
      <c r="U205" s="58">
        <v>340</v>
      </c>
      <c r="V205" s="58">
        <v>335</v>
      </c>
      <c r="W205" s="58">
        <v>340</v>
      </c>
      <c r="X205" s="58">
        <v>336</v>
      </c>
      <c r="Y205" s="58">
        <v>340</v>
      </c>
      <c r="Z205" s="58">
        <v>340</v>
      </c>
      <c r="AA205" s="58">
        <v>330</v>
      </c>
      <c r="AB205" s="58">
        <v>330</v>
      </c>
      <c r="AC205" s="58">
        <v>335</v>
      </c>
      <c r="AD205" s="58">
        <v>335</v>
      </c>
      <c r="AE205" s="58">
        <v>335</v>
      </c>
      <c r="AF205" s="58">
        <v>335</v>
      </c>
      <c r="AG205" s="58">
        <v>335</v>
      </c>
      <c r="AH205" s="58">
        <v>330</v>
      </c>
      <c r="AI205" s="58">
        <v>330</v>
      </c>
      <c r="AJ205" s="58">
        <v>330</v>
      </c>
      <c r="AK205" s="58">
        <v>335</v>
      </c>
      <c r="AL205" s="58">
        <v>330</v>
      </c>
      <c r="AM205" s="58">
        <v>340</v>
      </c>
      <c r="AN205" s="58">
        <v>340</v>
      </c>
      <c r="AO205" s="58">
        <v>345</v>
      </c>
      <c r="AP205" s="58">
        <v>350</v>
      </c>
      <c r="AQ205" s="58">
        <v>350</v>
      </c>
      <c r="AR205" s="58">
        <v>360</v>
      </c>
      <c r="AS205" s="58">
        <v>365</v>
      </c>
      <c r="AT205" s="58">
        <v>380</v>
      </c>
      <c r="AU205" s="58">
        <v>400</v>
      </c>
      <c r="AV205" s="58">
        <v>400</v>
      </c>
      <c r="AW205" s="58">
        <v>430</v>
      </c>
      <c r="AX205" s="58">
        <v>450</v>
      </c>
      <c r="AY205" s="58">
        <v>480</v>
      </c>
      <c r="AZ205" s="58">
        <v>490</v>
      </c>
      <c r="BA205" s="58">
        <v>500</v>
      </c>
      <c r="BB205" s="58">
        <v>520</v>
      </c>
      <c r="BC205" s="58">
        <v>520</v>
      </c>
      <c r="BD205" s="58">
        <v>520</v>
      </c>
      <c r="BE205" s="58">
        <v>520</v>
      </c>
      <c r="BF205" s="58">
        <v>550</v>
      </c>
      <c r="BG205" s="58">
        <v>550</v>
      </c>
      <c r="BH205" s="58">
        <v>560</v>
      </c>
    </row>
    <row r="206" spans="2:60" hidden="1" x14ac:dyDescent="0.2">
      <c r="B206" s="59"/>
      <c r="C206" s="59" t="s">
        <v>677</v>
      </c>
      <c r="D206" s="59" t="s">
        <v>656</v>
      </c>
      <c r="E206" s="60">
        <v>330</v>
      </c>
      <c r="F206" s="60">
        <v>330</v>
      </c>
      <c r="G206" s="60">
        <v>340</v>
      </c>
      <c r="H206" s="60">
        <v>335</v>
      </c>
      <c r="I206" s="60">
        <v>335</v>
      </c>
      <c r="J206" s="60">
        <v>340</v>
      </c>
      <c r="K206" s="60">
        <v>340</v>
      </c>
      <c r="L206" s="60">
        <v>340</v>
      </c>
      <c r="M206" s="60">
        <v>340</v>
      </c>
      <c r="N206" s="60">
        <v>340</v>
      </c>
      <c r="O206" s="60">
        <v>345</v>
      </c>
      <c r="P206" s="60">
        <v>341</v>
      </c>
      <c r="Q206" s="60">
        <v>345</v>
      </c>
      <c r="R206" s="60">
        <v>350</v>
      </c>
      <c r="S206" s="60">
        <v>350</v>
      </c>
      <c r="T206" s="60">
        <v>350</v>
      </c>
      <c r="U206" s="60">
        <v>350</v>
      </c>
      <c r="V206" s="60">
        <v>350</v>
      </c>
      <c r="W206" s="60">
        <v>350</v>
      </c>
      <c r="X206" s="60">
        <v>350</v>
      </c>
      <c r="Y206" s="60">
        <v>350</v>
      </c>
      <c r="Z206" s="60">
        <v>350</v>
      </c>
      <c r="AA206" s="60">
        <v>350</v>
      </c>
      <c r="AB206" s="60">
        <v>350</v>
      </c>
      <c r="AC206" s="60">
        <v>350</v>
      </c>
      <c r="AD206" s="60">
        <v>350</v>
      </c>
      <c r="AE206" s="60">
        <v>350</v>
      </c>
      <c r="AF206" s="60">
        <v>350</v>
      </c>
      <c r="AG206" s="60">
        <v>350</v>
      </c>
      <c r="AH206" s="60">
        <v>350</v>
      </c>
      <c r="AI206" s="60">
        <v>345</v>
      </c>
      <c r="AJ206" s="60">
        <v>350</v>
      </c>
      <c r="AK206" s="60">
        <v>350</v>
      </c>
      <c r="AL206" s="60">
        <v>350</v>
      </c>
      <c r="AM206" s="60">
        <v>350</v>
      </c>
      <c r="AN206" s="60">
        <v>350</v>
      </c>
      <c r="AO206" s="60">
        <v>350</v>
      </c>
      <c r="AP206" s="60">
        <v>360</v>
      </c>
      <c r="AQ206" s="60">
        <v>375</v>
      </c>
      <c r="AR206" s="60">
        <v>390</v>
      </c>
      <c r="AS206" s="60">
        <v>400</v>
      </c>
      <c r="AT206" s="60">
        <v>425</v>
      </c>
      <c r="AU206" s="60">
        <v>450</v>
      </c>
      <c r="AV206" s="60">
        <v>460</v>
      </c>
      <c r="AW206" s="60">
        <v>470</v>
      </c>
      <c r="AX206" s="60">
        <v>490</v>
      </c>
      <c r="AY206" s="60">
        <v>500</v>
      </c>
      <c r="AZ206" s="60">
        <v>530</v>
      </c>
      <c r="BA206" s="60">
        <v>540</v>
      </c>
      <c r="BB206" s="60">
        <v>550</v>
      </c>
      <c r="BC206" s="60">
        <v>550</v>
      </c>
      <c r="BD206" s="60">
        <v>550</v>
      </c>
      <c r="BE206" s="60">
        <v>560</v>
      </c>
      <c r="BF206" s="60">
        <v>570</v>
      </c>
      <c r="BG206" s="60">
        <v>590</v>
      </c>
      <c r="BH206" s="60">
        <v>600</v>
      </c>
    </row>
    <row r="207" spans="2:60" hidden="1" x14ac:dyDescent="0.2">
      <c r="B207" s="57"/>
      <c r="C207" s="57" t="s">
        <v>678</v>
      </c>
      <c r="D207" s="57" t="s">
        <v>648</v>
      </c>
      <c r="E207" s="58"/>
      <c r="F207" s="58"/>
      <c r="G207" s="58"/>
      <c r="H207" s="58"/>
      <c r="I207" s="58"/>
      <c r="J207" s="58"/>
      <c r="K207" s="58"/>
      <c r="L207" s="58"/>
      <c r="M207" s="58"/>
      <c r="N207" s="58"/>
      <c r="O207" s="58">
        <v>124</v>
      </c>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row>
    <row r="208" spans="2:60" hidden="1" x14ac:dyDescent="0.2">
      <c r="B208" s="59"/>
      <c r="C208" s="59" t="s">
        <v>678</v>
      </c>
      <c r="D208" s="59" t="s">
        <v>649</v>
      </c>
      <c r="E208" s="60">
        <v>185</v>
      </c>
      <c r="F208" s="60"/>
      <c r="G208" s="60">
        <v>185</v>
      </c>
      <c r="H208" s="60"/>
      <c r="I208" s="60">
        <v>190</v>
      </c>
      <c r="J208" s="60"/>
      <c r="K208" s="60">
        <v>185</v>
      </c>
      <c r="L208" s="60"/>
      <c r="M208" s="60">
        <v>185</v>
      </c>
      <c r="N208" s="60">
        <v>158</v>
      </c>
      <c r="O208" s="60"/>
      <c r="P208" s="60"/>
      <c r="Q208" s="60"/>
      <c r="R208" s="60"/>
      <c r="S208" s="60"/>
      <c r="T208" s="60"/>
      <c r="U208" s="60"/>
      <c r="V208" s="60"/>
      <c r="W208" s="60"/>
      <c r="X208" s="60"/>
      <c r="Y208" s="60">
        <v>120</v>
      </c>
      <c r="Z208" s="60"/>
      <c r="AA208" s="60"/>
      <c r="AB208" s="60"/>
      <c r="AC208" s="60">
        <v>150</v>
      </c>
      <c r="AD208" s="60"/>
      <c r="AE208" s="60"/>
      <c r="AF208" s="60"/>
      <c r="AG208" s="60">
        <v>175</v>
      </c>
      <c r="AH208" s="60"/>
      <c r="AI208" s="60"/>
      <c r="AJ208" s="60">
        <v>180</v>
      </c>
      <c r="AK208" s="60">
        <v>130</v>
      </c>
      <c r="AL208" s="60"/>
      <c r="AM208" s="60">
        <v>170</v>
      </c>
      <c r="AN208" s="60"/>
      <c r="AO208" s="60"/>
      <c r="AP208" s="60"/>
      <c r="AQ208" s="60"/>
      <c r="AR208" s="60"/>
      <c r="AS208" s="60">
        <v>200</v>
      </c>
      <c r="AT208" s="60"/>
      <c r="AU208" s="60"/>
      <c r="AV208" s="60"/>
      <c r="AW208" s="60"/>
      <c r="AX208" s="60"/>
      <c r="AY208" s="60"/>
      <c r="AZ208" s="60"/>
      <c r="BA208" s="60">
        <v>220</v>
      </c>
      <c r="BB208" s="60"/>
      <c r="BC208" s="60"/>
      <c r="BD208" s="60"/>
      <c r="BE208" s="60"/>
      <c r="BF208" s="60"/>
      <c r="BG208" s="60"/>
      <c r="BH208" s="60"/>
    </row>
    <row r="209" spans="2:60" hidden="1" x14ac:dyDescent="0.2">
      <c r="B209" s="57"/>
      <c r="C209" s="57" t="s">
        <v>678</v>
      </c>
      <c r="D209" s="57" t="s">
        <v>650</v>
      </c>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row>
    <row r="210" spans="2:60" hidden="1" x14ac:dyDescent="0.2">
      <c r="B210" s="59"/>
      <c r="C210" s="59" t="s">
        <v>678</v>
      </c>
      <c r="D210" s="59" t="s">
        <v>651</v>
      </c>
      <c r="E210" s="60"/>
      <c r="F210" s="60"/>
      <c r="G210" s="60"/>
      <c r="H210" s="60"/>
      <c r="I210" s="60"/>
      <c r="J210" s="60"/>
      <c r="K210" s="60"/>
      <c r="L210" s="60"/>
      <c r="M210" s="60"/>
      <c r="N210" s="60"/>
      <c r="O210" s="60"/>
      <c r="P210" s="60">
        <v>230</v>
      </c>
      <c r="Q210" s="60"/>
      <c r="R210" s="60"/>
      <c r="S210" s="60"/>
      <c r="T210" s="60"/>
      <c r="U210" s="60"/>
      <c r="V210" s="60">
        <v>200</v>
      </c>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v>245</v>
      </c>
      <c r="AS210" s="60"/>
      <c r="AT210" s="60"/>
      <c r="AU210" s="60"/>
      <c r="AV210" s="60"/>
      <c r="AW210" s="60"/>
      <c r="AX210" s="60"/>
      <c r="AY210" s="60"/>
      <c r="AZ210" s="60"/>
      <c r="BA210" s="60"/>
      <c r="BB210" s="60"/>
      <c r="BC210" s="60"/>
      <c r="BD210" s="60"/>
      <c r="BE210" s="60"/>
      <c r="BF210" s="60"/>
      <c r="BG210" s="60"/>
      <c r="BH210" s="60"/>
    </row>
    <row r="211" spans="2:60" hidden="1" x14ac:dyDescent="0.2">
      <c r="B211" s="57"/>
      <c r="C211" s="57" t="s">
        <v>678</v>
      </c>
      <c r="D211" s="57" t="s">
        <v>652</v>
      </c>
      <c r="E211" s="58">
        <v>295</v>
      </c>
      <c r="F211" s="58">
        <v>310</v>
      </c>
      <c r="G211" s="58">
        <v>300</v>
      </c>
      <c r="H211" s="58">
        <v>260</v>
      </c>
      <c r="I211" s="58">
        <v>280</v>
      </c>
      <c r="J211" s="58">
        <v>305</v>
      </c>
      <c r="K211" s="58">
        <v>275</v>
      </c>
      <c r="L211" s="58">
        <v>275</v>
      </c>
      <c r="M211" s="58">
        <v>275</v>
      </c>
      <c r="N211" s="58">
        <v>270</v>
      </c>
      <c r="O211" s="58">
        <v>280</v>
      </c>
      <c r="P211" s="58">
        <v>270</v>
      </c>
      <c r="Q211" s="58">
        <v>260</v>
      </c>
      <c r="R211" s="58">
        <v>240</v>
      </c>
      <c r="S211" s="58">
        <v>250</v>
      </c>
      <c r="T211" s="58">
        <v>220</v>
      </c>
      <c r="U211" s="58">
        <v>225</v>
      </c>
      <c r="V211" s="58">
        <v>220</v>
      </c>
      <c r="W211" s="58"/>
      <c r="X211" s="58">
        <v>220</v>
      </c>
      <c r="Y211" s="58">
        <v>240</v>
      </c>
      <c r="Z211" s="58">
        <v>250</v>
      </c>
      <c r="AA211" s="58">
        <v>240</v>
      </c>
      <c r="AB211" s="58">
        <v>240</v>
      </c>
      <c r="AC211" s="58">
        <v>250</v>
      </c>
      <c r="AD211" s="58">
        <v>260</v>
      </c>
      <c r="AE211" s="58">
        <v>260</v>
      </c>
      <c r="AF211" s="58"/>
      <c r="AG211" s="58">
        <v>260</v>
      </c>
      <c r="AH211" s="58">
        <v>250</v>
      </c>
      <c r="AI211" s="58">
        <v>240</v>
      </c>
      <c r="AJ211" s="58">
        <v>270</v>
      </c>
      <c r="AK211" s="58">
        <v>260</v>
      </c>
      <c r="AL211" s="58">
        <v>260</v>
      </c>
      <c r="AM211" s="58">
        <v>250</v>
      </c>
      <c r="AN211" s="58">
        <v>250</v>
      </c>
      <c r="AO211" s="58">
        <v>260</v>
      </c>
      <c r="AP211" s="58">
        <v>260</v>
      </c>
      <c r="AQ211" s="58">
        <v>280</v>
      </c>
      <c r="AR211" s="58">
        <v>300</v>
      </c>
      <c r="AS211" s="58">
        <v>320</v>
      </c>
      <c r="AT211" s="58">
        <v>290</v>
      </c>
      <c r="AU211" s="58">
        <v>280</v>
      </c>
      <c r="AV211" s="58">
        <v>310</v>
      </c>
      <c r="AW211" s="58"/>
      <c r="AX211" s="58">
        <v>305</v>
      </c>
      <c r="AY211" s="58">
        <v>280</v>
      </c>
      <c r="AZ211" s="58">
        <v>310</v>
      </c>
      <c r="BA211" s="58">
        <v>310</v>
      </c>
      <c r="BB211" s="58">
        <v>300</v>
      </c>
      <c r="BC211" s="58"/>
      <c r="BD211" s="58">
        <v>320</v>
      </c>
      <c r="BE211" s="58">
        <v>310</v>
      </c>
      <c r="BF211" s="58"/>
      <c r="BG211" s="58"/>
      <c r="BH211" s="58"/>
    </row>
    <row r="212" spans="2:60" hidden="1" x14ac:dyDescent="0.2">
      <c r="B212" s="59"/>
      <c r="C212" s="59" t="s">
        <v>678</v>
      </c>
      <c r="D212" s="59" t="s">
        <v>653</v>
      </c>
      <c r="E212" s="60">
        <v>330</v>
      </c>
      <c r="F212" s="60">
        <v>320</v>
      </c>
      <c r="G212" s="60"/>
      <c r="H212" s="60"/>
      <c r="I212" s="60">
        <v>345</v>
      </c>
      <c r="J212" s="60"/>
      <c r="K212" s="60"/>
      <c r="L212" s="60"/>
      <c r="M212" s="60">
        <v>350</v>
      </c>
      <c r="N212" s="60">
        <v>340</v>
      </c>
      <c r="O212" s="60">
        <v>300</v>
      </c>
      <c r="P212" s="60"/>
      <c r="Q212" s="60">
        <v>320</v>
      </c>
      <c r="R212" s="60">
        <v>350</v>
      </c>
      <c r="S212" s="60"/>
      <c r="T212" s="60">
        <v>275</v>
      </c>
      <c r="U212" s="60"/>
      <c r="V212" s="60"/>
      <c r="W212" s="60"/>
      <c r="X212" s="60"/>
      <c r="Y212" s="60">
        <v>280</v>
      </c>
      <c r="Z212" s="60"/>
      <c r="AA212" s="60"/>
      <c r="AB212" s="60"/>
      <c r="AC212" s="60"/>
      <c r="AD212" s="60">
        <v>300</v>
      </c>
      <c r="AE212" s="60"/>
      <c r="AF212" s="60"/>
      <c r="AG212" s="60">
        <v>300</v>
      </c>
      <c r="AH212" s="60"/>
      <c r="AI212" s="60"/>
      <c r="AJ212" s="60"/>
      <c r="AK212" s="60">
        <v>340</v>
      </c>
      <c r="AL212" s="60"/>
      <c r="AM212" s="60"/>
      <c r="AN212" s="60">
        <v>300</v>
      </c>
      <c r="AO212" s="60">
        <v>370</v>
      </c>
      <c r="AP212" s="60"/>
      <c r="AQ212" s="60"/>
      <c r="AR212" s="60"/>
      <c r="AS212" s="60"/>
      <c r="AT212" s="60"/>
      <c r="AU212" s="60"/>
      <c r="AV212" s="60"/>
      <c r="AW212" s="60"/>
      <c r="AX212" s="60"/>
      <c r="AY212" s="60"/>
      <c r="AZ212" s="60"/>
      <c r="BA212" s="60"/>
      <c r="BB212" s="60"/>
      <c r="BC212" s="60"/>
      <c r="BD212" s="60"/>
      <c r="BE212" s="60"/>
      <c r="BF212" s="60"/>
      <c r="BG212" s="60"/>
      <c r="BH212" s="60"/>
    </row>
    <row r="213" spans="2:60" hidden="1" x14ac:dyDescent="0.2">
      <c r="B213" s="57"/>
      <c r="C213" s="57" t="s">
        <v>678</v>
      </c>
      <c r="D213" s="57" t="s">
        <v>654</v>
      </c>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row>
    <row r="214" spans="2:60" hidden="1" x14ac:dyDescent="0.2">
      <c r="B214" s="59"/>
      <c r="C214" s="59" t="s">
        <v>678</v>
      </c>
      <c r="D214" s="59" t="s">
        <v>655</v>
      </c>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row>
    <row r="215" spans="2:60" hidden="1" x14ac:dyDescent="0.2">
      <c r="B215" s="57"/>
      <c r="C215" s="57" t="s">
        <v>678</v>
      </c>
      <c r="D215" s="57" t="s">
        <v>656</v>
      </c>
      <c r="E215" s="58">
        <v>202</v>
      </c>
      <c r="F215" s="58">
        <v>270</v>
      </c>
      <c r="G215" s="58">
        <v>230</v>
      </c>
      <c r="H215" s="58">
        <v>250</v>
      </c>
      <c r="I215" s="58">
        <v>230</v>
      </c>
      <c r="J215" s="58">
        <v>295</v>
      </c>
      <c r="K215" s="58">
        <v>250</v>
      </c>
      <c r="L215" s="58">
        <v>275</v>
      </c>
      <c r="M215" s="58">
        <v>240</v>
      </c>
      <c r="N215" s="58">
        <v>240</v>
      </c>
      <c r="O215" s="58">
        <v>250</v>
      </c>
      <c r="P215" s="58">
        <v>250</v>
      </c>
      <c r="Q215" s="58">
        <v>260</v>
      </c>
      <c r="R215" s="58">
        <v>225</v>
      </c>
      <c r="S215" s="58">
        <v>220</v>
      </c>
      <c r="T215" s="58">
        <v>230</v>
      </c>
      <c r="U215" s="58">
        <v>210</v>
      </c>
      <c r="V215" s="58">
        <v>200</v>
      </c>
      <c r="W215" s="58">
        <v>160</v>
      </c>
      <c r="X215" s="58">
        <v>200</v>
      </c>
      <c r="Y215" s="58">
        <v>220</v>
      </c>
      <c r="Z215" s="58">
        <v>195</v>
      </c>
      <c r="AA215" s="58">
        <v>200</v>
      </c>
      <c r="AB215" s="58">
        <v>240</v>
      </c>
      <c r="AC215" s="58">
        <v>230</v>
      </c>
      <c r="AD215" s="58">
        <v>240</v>
      </c>
      <c r="AE215" s="58">
        <v>220</v>
      </c>
      <c r="AF215" s="58">
        <v>240</v>
      </c>
      <c r="AG215" s="58">
        <v>250</v>
      </c>
      <c r="AH215" s="58">
        <v>220</v>
      </c>
      <c r="AI215" s="58">
        <v>200</v>
      </c>
      <c r="AJ215" s="58">
        <v>260</v>
      </c>
      <c r="AK215" s="58">
        <v>250</v>
      </c>
      <c r="AL215" s="58">
        <v>220</v>
      </c>
      <c r="AM215" s="58">
        <v>230</v>
      </c>
      <c r="AN215" s="58">
        <v>215</v>
      </c>
      <c r="AO215" s="58">
        <v>250</v>
      </c>
      <c r="AP215" s="58">
        <v>240</v>
      </c>
      <c r="AQ215" s="58">
        <v>270</v>
      </c>
      <c r="AR215" s="58">
        <v>280</v>
      </c>
      <c r="AS215" s="58">
        <v>280</v>
      </c>
      <c r="AT215" s="58">
        <v>250</v>
      </c>
      <c r="AU215" s="58">
        <v>280</v>
      </c>
      <c r="AV215" s="58">
        <v>270</v>
      </c>
      <c r="AW215" s="58">
        <v>300</v>
      </c>
      <c r="AX215" s="58">
        <v>270</v>
      </c>
      <c r="AY215" s="58">
        <v>260</v>
      </c>
      <c r="AZ215" s="58">
        <v>280</v>
      </c>
      <c r="BA215" s="58">
        <v>250</v>
      </c>
      <c r="BB215" s="58">
        <v>300</v>
      </c>
      <c r="BC215" s="58">
        <v>320</v>
      </c>
      <c r="BD215" s="58">
        <v>250</v>
      </c>
      <c r="BE215" s="58">
        <v>300</v>
      </c>
      <c r="BF215" s="58">
        <v>320</v>
      </c>
      <c r="BG215" s="58">
        <v>320</v>
      </c>
      <c r="BH215" s="58">
        <v>300</v>
      </c>
    </row>
    <row r="216" spans="2:60" hidden="1" x14ac:dyDescent="0.2">
      <c r="B216" s="59"/>
      <c r="C216" s="59" t="s">
        <v>679</v>
      </c>
      <c r="D216" s="59" t="s">
        <v>648</v>
      </c>
      <c r="E216" s="60">
        <v>280</v>
      </c>
      <c r="F216" s="60">
        <v>240</v>
      </c>
      <c r="G216" s="60">
        <v>260</v>
      </c>
      <c r="H216" s="60">
        <v>280</v>
      </c>
      <c r="I216" s="60">
        <v>290</v>
      </c>
      <c r="J216" s="60">
        <v>260</v>
      </c>
      <c r="K216" s="60">
        <v>250</v>
      </c>
      <c r="L216" s="60">
        <v>250</v>
      </c>
      <c r="M216" s="60">
        <v>225</v>
      </c>
      <c r="N216" s="60">
        <v>220</v>
      </c>
      <c r="O216" s="60">
        <v>215</v>
      </c>
      <c r="P216" s="60">
        <v>215</v>
      </c>
      <c r="Q216" s="60">
        <v>190</v>
      </c>
      <c r="R216" s="60">
        <v>199</v>
      </c>
      <c r="S216" s="60">
        <v>190</v>
      </c>
      <c r="T216" s="60">
        <v>157</v>
      </c>
      <c r="U216" s="60">
        <v>200</v>
      </c>
      <c r="V216" s="60">
        <v>165</v>
      </c>
      <c r="W216" s="60">
        <v>170</v>
      </c>
      <c r="X216" s="60">
        <v>170</v>
      </c>
      <c r="Y216" s="60">
        <v>185</v>
      </c>
      <c r="Z216" s="60">
        <v>170</v>
      </c>
      <c r="AA216" s="60">
        <v>170</v>
      </c>
      <c r="AB216" s="60">
        <v>180</v>
      </c>
      <c r="AC216" s="60">
        <v>200</v>
      </c>
      <c r="AD216" s="60">
        <v>200</v>
      </c>
      <c r="AE216" s="60">
        <v>200</v>
      </c>
      <c r="AF216" s="60">
        <v>215</v>
      </c>
      <c r="AG216" s="60">
        <v>230</v>
      </c>
      <c r="AH216" s="60">
        <v>220</v>
      </c>
      <c r="AI216" s="60">
        <v>230</v>
      </c>
      <c r="AJ216" s="60">
        <v>230</v>
      </c>
      <c r="AK216" s="60">
        <v>250</v>
      </c>
      <c r="AL216" s="60">
        <v>250</v>
      </c>
      <c r="AM216" s="60">
        <v>270</v>
      </c>
      <c r="AN216" s="60">
        <v>280</v>
      </c>
      <c r="AO216" s="60">
        <v>290</v>
      </c>
      <c r="AP216" s="60">
        <v>270</v>
      </c>
      <c r="AQ216" s="60">
        <v>280</v>
      </c>
      <c r="AR216" s="60">
        <v>280</v>
      </c>
      <c r="AS216" s="60">
        <v>285</v>
      </c>
      <c r="AT216" s="60">
        <v>280</v>
      </c>
      <c r="AU216" s="60">
        <v>320</v>
      </c>
      <c r="AV216" s="60">
        <v>300</v>
      </c>
      <c r="AW216" s="60">
        <v>310</v>
      </c>
      <c r="AX216" s="60">
        <v>320</v>
      </c>
      <c r="AY216" s="60">
        <v>320</v>
      </c>
      <c r="AZ216" s="60">
        <v>350</v>
      </c>
      <c r="BA216" s="60">
        <v>350</v>
      </c>
      <c r="BB216" s="60">
        <v>350</v>
      </c>
      <c r="BC216" s="60">
        <v>350</v>
      </c>
      <c r="BD216" s="60">
        <v>350</v>
      </c>
      <c r="BE216" s="60">
        <v>380</v>
      </c>
      <c r="BF216" s="60">
        <v>395</v>
      </c>
      <c r="BG216" s="60">
        <v>375</v>
      </c>
      <c r="BH216" s="60">
        <v>380</v>
      </c>
    </row>
    <row r="217" spans="2:60" hidden="1" x14ac:dyDescent="0.2">
      <c r="B217" s="57"/>
      <c r="C217" s="57" t="s">
        <v>679</v>
      </c>
      <c r="D217" s="57" t="s">
        <v>649</v>
      </c>
      <c r="E217" s="58">
        <v>350</v>
      </c>
      <c r="F217" s="58">
        <v>360</v>
      </c>
      <c r="G217" s="58">
        <v>360</v>
      </c>
      <c r="H217" s="58">
        <v>360</v>
      </c>
      <c r="I217" s="58">
        <v>350</v>
      </c>
      <c r="J217" s="58">
        <v>340</v>
      </c>
      <c r="K217" s="58">
        <v>310</v>
      </c>
      <c r="L217" s="58">
        <v>300</v>
      </c>
      <c r="M217" s="58">
        <v>290</v>
      </c>
      <c r="N217" s="58">
        <v>270</v>
      </c>
      <c r="O217" s="58">
        <v>250</v>
      </c>
      <c r="P217" s="58">
        <v>239</v>
      </c>
      <c r="Q217" s="58">
        <v>230</v>
      </c>
      <c r="R217" s="58">
        <v>225</v>
      </c>
      <c r="S217" s="58">
        <v>220</v>
      </c>
      <c r="T217" s="58">
        <v>200</v>
      </c>
      <c r="U217" s="58">
        <v>200</v>
      </c>
      <c r="V217" s="58">
        <v>200</v>
      </c>
      <c r="W217" s="58">
        <v>185</v>
      </c>
      <c r="X217" s="58">
        <v>190</v>
      </c>
      <c r="Y217" s="58">
        <v>200</v>
      </c>
      <c r="Z217" s="58">
        <v>200</v>
      </c>
      <c r="AA217" s="58">
        <v>210</v>
      </c>
      <c r="AB217" s="58">
        <v>210</v>
      </c>
      <c r="AC217" s="58">
        <v>230</v>
      </c>
      <c r="AD217" s="58">
        <v>230</v>
      </c>
      <c r="AE217" s="58">
        <v>245</v>
      </c>
      <c r="AF217" s="58">
        <v>250</v>
      </c>
      <c r="AG217" s="58">
        <v>270</v>
      </c>
      <c r="AH217" s="58">
        <v>260</v>
      </c>
      <c r="AI217" s="58">
        <v>270</v>
      </c>
      <c r="AJ217" s="58">
        <v>270</v>
      </c>
      <c r="AK217" s="58">
        <v>280</v>
      </c>
      <c r="AL217" s="58">
        <v>280</v>
      </c>
      <c r="AM217" s="58">
        <v>300</v>
      </c>
      <c r="AN217" s="58">
        <v>290</v>
      </c>
      <c r="AO217" s="58">
        <v>310</v>
      </c>
      <c r="AP217" s="58">
        <v>300</v>
      </c>
      <c r="AQ217" s="58">
        <v>320</v>
      </c>
      <c r="AR217" s="58">
        <v>320</v>
      </c>
      <c r="AS217" s="58">
        <v>340</v>
      </c>
      <c r="AT217" s="58">
        <v>335</v>
      </c>
      <c r="AU217" s="58">
        <v>350</v>
      </c>
      <c r="AV217" s="58">
        <v>350</v>
      </c>
      <c r="AW217" s="58">
        <v>370</v>
      </c>
      <c r="AX217" s="58">
        <v>370</v>
      </c>
      <c r="AY217" s="58">
        <v>390</v>
      </c>
      <c r="AZ217" s="58">
        <v>420</v>
      </c>
      <c r="BA217" s="58">
        <v>420</v>
      </c>
      <c r="BB217" s="58">
        <v>450</v>
      </c>
      <c r="BC217" s="58">
        <v>420</v>
      </c>
      <c r="BD217" s="58">
        <v>440</v>
      </c>
      <c r="BE217" s="58">
        <v>450</v>
      </c>
      <c r="BF217" s="58">
        <v>450</v>
      </c>
      <c r="BG217" s="58">
        <v>470</v>
      </c>
      <c r="BH217" s="58">
        <v>480</v>
      </c>
    </row>
    <row r="218" spans="2:60" hidden="1" x14ac:dyDescent="0.2">
      <c r="B218" s="59"/>
      <c r="C218" s="59" t="s">
        <v>679</v>
      </c>
      <c r="D218" s="59" t="s">
        <v>650</v>
      </c>
      <c r="E218" s="60">
        <v>470</v>
      </c>
      <c r="F218" s="60">
        <v>490</v>
      </c>
      <c r="G218" s="60">
        <v>500</v>
      </c>
      <c r="H218" s="60">
        <v>480</v>
      </c>
      <c r="I218" s="60">
        <v>450</v>
      </c>
      <c r="J218" s="60">
        <v>440</v>
      </c>
      <c r="K218" s="60">
        <v>400</v>
      </c>
      <c r="L218" s="60">
        <v>380</v>
      </c>
      <c r="M218" s="60">
        <v>380</v>
      </c>
      <c r="N218" s="60">
        <v>360</v>
      </c>
      <c r="O218" s="60">
        <v>340</v>
      </c>
      <c r="P218" s="60">
        <v>300</v>
      </c>
      <c r="Q218" s="60">
        <v>300</v>
      </c>
      <c r="R218" s="60">
        <v>290</v>
      </c>
      <c r="S218" s="60">
        <v>275</v>
      </c>
      <c r="T218" s="60">
        <v>270</v>
      </c>
      <c r="U218" s="60">
        <v>280</v>
      </c>
      <c r="V218" s="60">
        <v>280</v>
      </c>
      <c r="W218" s="60">
        <v>275</v>
      </c>
      <c r="X218" s="60">
        <v>260</v>
      </c>
      <c r="Y218" s="60">
        <v>270</v>
      </c>
      <c r="Z218" s="60">
        <v>280</v>
      </c>
      <c r="AA218" s="60">
        <v>280</v>
      </c>
      <c r="AB218" s="60">
        <v>295</v>
      </c>
      <c r="AC218" s="60">
        <v>320</v>
      </c>
      <c r="AD218" s="60">
        <v>330</v>
      </c>
      <c r="AE218" s="60">
        <v>330</v>
      </c>
      <c r="AF218" s="60">
        <v>325</v>
      </c>
      <c r="AG218" s="60">
        <v>330</v>
      </c>
      <c r="AH218" s="60">
        <v>350</v>
      </c>
      <c r="AI218" s="60">
        <v>350</v>
      </c>
      <c r="AJ218" s="60">
        <v>350</v>
      </c>
      <c r="AK218" s="60">
        <v>365</v>
      </c>
      <c r="AL218" s="60">
        <v>350</v>
      </c>
      <c r="AM218" s="60">
        <v>380</v>
      </c>
      <c r="AN218" s="60">
        <v>380</v>
      </c>
      <c r="AO218" s="60">
        <v>385</v>
      </c>
      <c r="AP218" s="60">
        <v>400</v>
      </c>
      <c r="AQ218" s="60">
        <v>400</v>
      </c>
      <c r="AR218" s="60">
        <v>400</v>
      </c>
      <c r="AS218" s="60">
        <v>410</v>
      </c>
      <c r="AT218" s="60">
        <v>420</v>
      </c>
      <c r="AU218" s="60">
        <v>450</v>
      </c>
      <c r="AV218" s="60">
        <v>450</v>
      </c>
      <c r="AW218" s="60">
        <v>460</v>
      </c>
      <c r="AX218" s="60">
        <v>470</v>
      </c>
      <c r="AY218" s="60">
        <v>470</v>
      </c>
      <c r="AZ218" s="60">
        <v>520</v>
      </c>
      <c r="BA218" s="60">
        <v>500</v>
      </c>
      <c r="BB218" s="60">
        <v>520</v>
      </c>
      <c r="BC218" s="60">
        <v>550</v>
      </c>
      <c r="BD218" s="60">
        <v>550</v>
      </c>
      <c r="BE218" s="60">
        <v>560</v>
      </c>
      <c r="BF218" s="60">
        <v>580</v>
      </c>
      <c r="BG218" s="60">
        <v>550</v>
      </c>
      <c r="BH218" s="60">
        <v>600</v>
      </c>
    </row>
    <row r="219" spans="2:60" hidden="1" x14ac:dyDescent="0.2">
      <c r="B219" s="57"/>
      <c r="C219" s="57" t="s">
        <v>679</v>
      </c>
      <c r="D219" s="57" t="s">
        <v>651</v>
      </c>
      <c r="E219" s="58">
        <v>360</v>
      </c>
      <c r="F219" s="58">
        <v>400</v>
      </c>
      <c r="G219" s="58">
        <v>395</v>
      </c>
      <c r="H219" s="58">
        <v>380</v>
      </c>
      <c r="I219" s="58">
        <v>380</v>
      </c>
      <c r="J219" s="58">
        <v>350</v>
      </c>
      <c r="K219" s="58">
        <v>320</v>
      </c>
      <c r="L219" s="58">
        <v>350</v>
      </c>
      <c r="M219" s="58">
        <v>310</v>
      </c>
      <c r="N219" s="58">
        <v>290</v>
      </c>
      <c r="O219" s="58">
        <v>290</v>
      </c>
      <c r="P219" s="58">
        <v>270</v>
      </c>
      <c r="Q219" s="58">
        <v>270</v>
      </c>
      <c r="R219" s="58">
        <v>260</v>
      </c>
      <c r="S219" s="58">
        <v>250</v>
      </c>
      <c r="T219" s="58">
        <v>240</v>
      </c>
      <c r="U219" s="58">
        <v>220</v>
      </c>
      <c r="V219" s="58">
        <v>230</v>
      </c>
      <c r="W219" s="58">
        <v>220</v>
      </c>
      <c r="X219" s="58">
        <v>220</v>
      </c>
      <c r="Y219" s="58">
        <v>230</v>
      </c>
      <c r="Z219" s="58">
        <v>220</v>
      </c>
      <c r="AA219" s="58">
        <v>230</v>
      </c>
      <c r="AB219" s="58">
        <v>240</v>
      </c>
      <c r="AC219" s="58">
        <v>270</v>
      </c>
      <c r="AD219" s="58">
        <v>250</v>
      </c>
      <c r="AE219" s="58">
        <v>280</v>
      </c>
      <c r="AF219" s="58">
        <v>280</v>
      </c>
      <c r="AG219" s="58">
        <v>280</v>
      </c>
      <c r="AH219" s="58">
        <v>300</v>
      </c>
      <c r="AI219" s="58">
        <v>300</v>
      </c>
      <c r="AJ219" s="58">
        <v>295</v>
      </c>
      <c r="AK219" s="58">
        <v>300</v>
      </c>
      <c r="AL219" s="58">
        <v>290</v>
      </c>
      <c r="AM219" s="58">
        <v>300</v>
      </c>
      <c r="AN219" s="58">
        <v>340</v>
      </c>
      <c r="AO219" s="58">
        <v>325</v>
      </c>
      <c r="AP219" s="58">
        <v>365</v>
      </c>
      <c r="AQ219" s="58">
        <v>340</v>
      </c>
      <c r="AR219" s="58">
        <v>350</v>
      </c>
      <c r="AS219" s="58">
        <v>370</v>
      </c>
      <c r="AT219" s="58">
        <v>380</v>
      </c>
      <c r="AU219" s="58">
        <v>370</v>
      </c>
      <c r="AV219" s="58">
        <v>375</v>
      </c>
      <c r="AW219" s="58">
        <v>390</v>
      </c>
      <c r="AX219" s="58">
        <v>400</v>
      </c>
      <c r="AY219" s="58">
        <v>400</v>
      </c>
      <c r="AZ219" s="58">
        <v>430</v>
      </c>
      <c r="BA219" s="58">
        <v>440</v>
      </c>
      <c r="BB219" s="58">
        <v>450</v>
      </c>
      <c r="BC219" s="58">
        <v>480</v>
      </c>
      <c r="BD219" s="58">
        <v>450</v>
      </c>
      <c r="BE219" s="58">
        <v>450</v>
      </c>
      <c r="BF219" s="58">
        <v>480</v>
      </c>
      <c r="BG219" s="58">
        <v>550</v>
      </c>
      <c r="BH219" s="58">
        <v>520</v>
      </c>
    </row>
    <row r="220" spans="2:60" hidden="1" x14ac:dyDescent="0.2">
      <c r="B220" s="59"/>
      <c r="C220" s="59" t="s">
        <v>679</v>
      </c>
      <c r="D220" s="59" t="s">
        <v>652</v>
      </c>
      <c r="E220" s="60">
        <v>460</v>
      </c>
      <c r="F220" s="60">
        <v>470</v>
      </c>
      <c r="G220" s="60">
        <v>470</v>
      </c>
      <c r="H220" s="60">
        <v>450</v>
      </c>
      <c r="I220" s="60">
        <v>450</v>
      </c>
      <c r="J220" s="60">
        <v>430</v>
      </c>
      <c r="K220" s="60">
        <v>390</v>
      </c>
      <c r="L220" s="60">
        <v>390</v>
      </c>
      <c r="M220" s="60">
        <v>370</v>
      </c>
      <c r="N220" s="60">
        <v>350</v>
      </c>
      <c r="O220" s="60">
        <v>340</v>
      </c>
      <c r="P220" s="60">
        <v>320</v>
      </c>
      <c r="Q220" s="60">
        <v>320</v>
      </c>
      <c r="R220" s="60">
        <v>300</v>
      </c>
      <c r="S220" s="60">
        <v>290</v>
      </c>
      <c r="T220" s="60">
        <v>290</v>
      </c>
      <c r="U220" s="60">
        <v>285</v>
      </c>
      <c r="V220" s="60">
        <v>280</v>
      </c>
      <c r="W220" s="60">
        <v>280</v>
      </c>
      <c r="X220" s="60">
        <v>275</v>
      </c>
      <c r="Y220" s="60">
        <v>280</v>
      </c>
      <c r="Z220" s="60">
        <v>280</v>
      </c>
      <c r="AA220" s="60">
        <v>300</v>
      </c>
      <c r="AB220" s="60">
        <v>300</v>
      </c>
      <c r="AC220" s="60">
        <v>320</v>
      </c>
      <c r="AD220" s="60">
        <v>330</v>
      </c>
      <c r="AE220" s="60">
        <v>335</v>
      </c>
      <c r="AF220" s="60">
        <v>340</v>
      </c>
      <c r="AG220" s="60">
        <v>350</v>
      </c>
      <c r="AH220" s="60">
        <v>350</v>
      </c>
      <c r="AI220" s="60">
        <v>360</v>
      </c>
      <c r="AJ220" s="60">
        <v>370</v>
      </c>
      <c r="AK220" s="60">
        <v>360</v>
      </c>
      <c r="AL220" s="60">
        <v>360</v>
      </c>
      <c r="AM220" s="60">
        <v>375</v>
      </c>
      <c r="AN220" s="60">
        <v>395</v>
      </c>
      <c r="AO220" s="60">
        <v>400</v>
      </c>
      <c r="AP220" s="60">
        <v>400</v>
      </c>
      <c r="AQ220" s="60">
        <v>410</v>
      </c>
      <c r="AR220" s="60">
        <v>420</v>
      </c>
      <c r="AS220" s="60">
        <v>430</v>
      </c>
      <c r="AT220" s="60">
        <v>450</v>
      </c>
      <c r="AU220" s="60">
        <v>450</v>
      </c>
      <c r="AV220" s="60">
        <v>460</v>
      </c>
      <c r="AW220" s="60">
        <v>480</v>
      </c>
      <c r="AX220" s="60">
        <v>490</v>
      </c>
      <c r="AY220" s="60">
        <v>500</v>
      </c>
      <c r="AZ220" s="60">
        <v>520</v>
      </c>
      <c r="BA220" s="60">
        <v>550</v>
      </c>
      <c r="BB220" s="60">
        <v>550</v>
      </c>
      <c r="BC220" s="60">
        <v>550</v>
      </c>
      <c r="BD220" s="60">
        <v>600</v>
      </c>
      <c r="BE220" s="60">
        <v>600</v>
      </c>
      <c r="BF220" s="60">
        <v>620</v>
      </c>
      <c r="BG220" s="60">
        <v>650</v>
      </c>
      <c r="BH220" s="60">
        <v>650</v>
      </c>
    </row>
    <row r="221" spans="2:60" hidden="1" x14ac:dyDescent="0.2">
      <c r="B221" s="57"/>
      <c r="C221" s="57" t="s">
        <v>679</v>
      </c>
      <c r="D221" s="57" t="s">
        <v>653</v>
      </c>
      <c r="E221" s="58">
        <v>550</v>
      </c>
      <c r="F221" s="58">
        <v>580</v>
      </c>
      <c r="G221" s="58">
        <v>580</v>
      </c>
      <c r="H221" s="58">
        <v>550</v>
      </c>
      <c r="I221" s="58">
        <v>530</v>
      </c>
      <c r="J221" s="58">
        <v>490</v>
      </c>
      <c r="K221" s="58">
        <v>450</v>
      </c>
      <c r="L221" s="58">
        <v>440</v>
      </c>
      <c r="M221" s="58">
        <v>425</v>
      </c>
      <c r="N221" s="58">
        <v>400</v>
      </c>
      <c r="O221" s="58">
        <v>380</v>
      </c>
      <c r="P221" s="58">
        <v>375</v>
      </c>
      <c r="Q221" s="58">
        <v>360</v>
      </c>
      <c r="R221" s="58">
        <v>350</v>
      </c>
      <c r="S221" s="58">
        <v>340</v>
      </c>
      <c r="T221" s="58">
        <v>340</v>
      </c>
      <c r="U221" s="58">
        <v>340</v>
      </c>
      <c r="V221" s="58">
        <v>330</v>
      </c>
      <c r="W221" s="58">
        <v>320</v>
      </c>
      <c r="X221" s="58">
        <v>330</v>
      </c>
      <c r="Y221" s="58">
        <v>330</v>
      </c>
      <c r="Z221" s="58">
        <v>330</v>
      </c>
      <c r="AA221" s="58">
        <v>350</v>
      </c>
      <c r="AB221" s="58">
        <v>370</v>
      </c>
      <c r="AC221" s="58">
        <v>390</v>
      </c>
      <c r="AD221" s="58">
        <v>380</v>
      </c>
      <c r="AE221" s="58">
        <v>380</v>
      </c>
      <c r="AF221" s="58">
        <v>400</v>
      </c>
      <c r="AG221" s="58">
        <v>400</v>
      </c>
      <c r="AH221" s="58">
        <v>400</v>
      </c>
      <c r="AI221" s="58">
        <v>410</v>
      </c>
      <c r="AJ221" s="58">
        <v>420</v>
      </c>
      <c r="AK221" s="58">
        <v>430</v>
      </c>
      <c r="AL221" s="58">
        <v>420</v>
      </c>
      <c r="AM221" s="58">
        <v>450</v>
      </c>
      <c r="AN221" s="58">
        <v>450</v>
      </c>
      <c r="AO221" s="58">
        <v>450</v>
      </c>
      <c r="AP221" s="58">
        <v>460</v>
      </c>
      <c r="AQ221" s="58">
        <v>470</v>
      </c>
      <c r="AR221" s="58">
        <v>480</v>
      </c>
      <c r="AS221" s="58">
        <v>480</v>
      </c>
      <c r="AT221" s="58">
        <v>500</v>
      </c>
      <c r="AU221" s="58">
        <v>530</v>
      </c>
      <c r="AV221" s="58">
        <v>520</v>
      </c>
      <c r="AW221" s="58">
        <v>550</v>
      </c>
      <c r="AX221" s="58">
        <v>550</v>
      </c>
      <c r="AY221" s="58">
        <v>580</v>
      </c>
      <c r="AZ221" s="58">
        <v>600</v>
      </c>
      <c r="BA221" s="58">
        <v>600</v>
      </c>
      <c r="BB221" s="58">
        <v>650</v>
      </c>
      <c r="BC221" s="58">
        <v>660</v>
      </c>
      <c r="BD221" s="58">
        <v>665</v>
      </c>
      <c r="BE221" s="58">
        <v>690</v>
      </c>
      <c r="BF221" s="58">
        <v>700</v>
      </c>
      <c r="BG221" s="58">
        <v>710</v>
      </c>
      <c r="BH221" s="58">
        <v>720</v>
      </c>
    </row>
    <row r="222" spans="2:60" hidden="1" x14ac:dyDescent="0.2">
      <c r="B222" s="59"/>
      <c r="C222" s="59" t="s">
        <v>679</v>
      </c>
      <c r="D222" s="59" t="s">
        <v>654</v>
      </c>
      <c r="E222" s="60">
        <v>450</v>
      </c>
      <c r="F222" s="60">
        <v>380</v>
      </c>
      <c r="G222" s="60">
        <v>350</v>
      </c>
      <c r="H222" s="60">
        <v>420</v>
      </c>
      <c r="I222" s="60">
        <v>400</v>
      </c>
      <c r="J222" s="60">
        <v>370</v>
      </c>
      <c r="K222" s="60">
        <v>365</v>
      </c>
      <c r="L222" s="60">
        <v>425</v>
      </c>
      <c r="M222" s="60">
        <v>325</v>
      </c>
      <c r="N222" s="60">
        <v>325</v>
      </c>
      <c r="O222" s="60">
        <v>315</v>
      </c>
      <c r="P222" s="60">
        <v>295</v>
      </c>
      <c r="Q222" s="60">
        <v>300</v>
      </c>
      <c r="R222" s="60">
        <v>280</v>
      </c>
      <c r="S222" s="60">
        <v>250</v>
      </c>
      <c r="T222" s="60">
        <v>250</v>
      </c>
      <c r="U222" s="60">
        <v>270</v>
      </c>
      <c r="V222" s="60">
        <v>225</v>
      </c>
      <c r="W222" s="60"/>
      <c r="X222" s="60">
        <v>250</v>
      </c>
      <c r="Y222" s="60">
        <v>220</v>
      </c>
      <c r="Z222" s="60">
        <v>235</v>
      </c>
      <c r="AA222" s="60">
        <v>280</v>
      </c>
      <c r="AB222" s="60">
        <v>280</v>
      </c>
      <c r="AC222" s="60">
        <v>295</v>
      </c>
      <c r="AD222" s="60">
        <v>310</v>
      </c>
      <c r="AE222" s="60">
        <v>290</v>
      </c>
      <c r="AF222" s="60">
        <v>285</v>
      </c>
      <c r="AG222" s="60">
        <v>340</v>
      </c>
      <c r="AH222" s="60">
        <v>330</v>
      </c>
      <c r="AI222" s="60"/>
      <c r="AJ222" s="60">
        <v>320</v>
      </c>
      <c r="AK222" s="60">
        <v>340</v>
      </c>
      <c r="AL222" s="60">
        <v>330</v>
      </c>
      <c r="AM222" s="60"/>
      <c r="AN222" s="60">
        <v>350</v>
      </c>
      <c r="AO222" s="60">
        <v>350</v>
      </c>
      <c r="AP222" s="60">
        <v>345</v>
      </c>
      <c r="AQ222" s="60">
        <v>325</v>
      </c>
      <c r="AR222" s="60">
        <v>340</v>
      </c>
      <c r="AS222" s="60">
        <v>360</v>
      </c>
      <c r="AT222" s="60">
        <v>400</v>
      </c>
      <c r="AU222" s="60">
        <v>380</v>
      </c>
      <c r="AV222" s="60">
        <v>390</v>
      </c>
      <c r="AW222" s="60">
        <v>415</v>
      </c>
      <c r="AX222" s="60">
        <v>400</v>
      </c>
      <c r="AY222" s="60">
        <v>450</v>
      </c>
      <c r="AZ222" s="60">
        <v>400</v>
      </c>
      <c r="BA222" s="60">
        <v>440</v>
      </c>
      <c r="BB222" s="60"/>
      <c r="BC222" s="60">
        <v>500</v>
      </c>
      <c r="BD222" s="60">
        <v>550</v>
      </c>
      <c r="BE222" s="60">
        <v>520</v>
      </c>
      <c r="BF222" s="60"/>
      <c r="BG222" s="60">
        <v>530</v>
      </c>
      <c r="BH222" s="60">
        <v>590</v>
      </c>
    </row>
    <row r="223" spans="2:60" hidden="1" x14ac:dyDescent="0.2">
      <c r="B223" s="57"/>
      <c r="C223" s="57" t="s">
        <v>679</v>
      </c>
      <c r="D223" s="57" t="s">
        <v>655</v>
      </c>
      <c r="E223" s="58">
        <v>480</v>
      </c>
      <c r="F223" s="58">
        <v>550</v>
      </c>
      <c r="G223" s="58">
        <v>480</v>
      </c>
      <c r="H223" s="58">
        <v>490</v>
      </c>
      <c r="I223" s="58">
        <v>480</v>
      </c>
      <c r="J223" s="58">
        <v>404</v>
      </c>
      <c r="K223" s="58">
        <v>420</v>
      </c>
      <c r="L223" s="58">
        <v>380</v>
      </c>
      <c r="M223" s="58">
        <v>380</v>
      </c>
      <c r="N223" s="58">
        <v>370</v>
      </c>
      <c r="O223" s="58">
        <v>350</v>
      </c>
      <c r="P223" s="58">
        <v>350</v>
      </c>
      <c r="Q223" s="58">
        <v>320</v>
      </c>
      <c r="R223" s="58">
        <v>300</v>
      </c>
      <c r="S223" s="58">
        <v>290</v>
      </c>
      <c r="T223" s="58">
        <v>290</v>
      </c>
      <c r="U223" s="58">
        <v>300</v>
      </c>
      <c r="V223" s="58">
        <v>290</v>
      </c>
      <c r="W223" s="58">
        <v>260</v>
      </c>
      <c r="X223" s="58">
        <v>270</v>
      </c>
      <c r="Y223" s="58">
        <v>270</v>
      </c>
      <c r="Z223" s="58">
        <v>280</v>
      </c>
      <c r="AA223" s="58">
        <v>280</v>
      </c>
      <c r="AB223" s="58">
        <v>300</v>
      </c>
      <c r="AC223" s="58">
        <v>320</v>
      </c>
      <c r="AD223" s="58">
        <v>320</v>
      </c>
      <c r="AE223" s="58">
        <v>330</v>
      </c>
      <c r="AF223" s="58">
        <v>330</v>
      </c>
      <c r="AG223" s="58">
        <v>320</v>
      </c>
      <c r="AH223" s="58">
        <v>350</v>
      </c>
      <c r="AI223" s="58">
        <v>350</v>
      </c>
      <c r="AJ223" s="58">
        <v>370</v>
      </c>
      <c r="AK223" s="58">
        <v>360</v>
      </c>
      <c r="AL223" s="58">
        <v>360</v>
      </c>
      <c r="AM223" s="58">
        <v>375</v>
      </c>
      <c r="AN223" s="58">
        <v>375</v>
      </c>
      <c r="AO223" s="58">
        <v>395</v>
      </c>
      <c r="AP223" s="58">
        <v>390</v>
      </c>
      <c r="AQ223" s="58">
        <v>400</v>
      </c>
      <c r="AR223" s="58">
        <v>420</v>
      </c>
      <c r="AS223" s="58">
        <v>400</v>
      </c>
      <c r="AT223" s="58">
        <v>410</v>
      </c>
      <c r="AU223" s="58">
        <v>425</v>
      </c>
      <c r="AV223" s="58">
        <v>440</v>
      </c>
      <c r="AW223" s="58">
        <v>450</v>
      </c>
      <c r="AX223" s="58">
        <v>480</v>
      </c>
      <c r="AY223" s="58">
        <v>500</v>
      </c>
      <c r="AZ223" s="58">
        <v>550</v>
      </c>
      <c r="BA223" s="58">
        <v>520</v>
      </c>
      <c r="BB223" s="58">
        <v>510</v>
      </c>
      <c r="BC223" s="58">
        <v>550</v>
      </c>
      <c r="BD223" s="58">
        <v>540</v>
      </c>
      <c r="BE223" s="58">
        <v>580</v>
      </c>
      <c r="BF223" s="58">
        <v>595</v>
      </c>
      <c r="BG223" s="58">
        <v>620</v>
      </c>
      <c r="BH223" s="58">
        <v>570</v>
      </c>
    </row>
    <row r="224" spans="2:60" hidden="1" x14ac:dyDescent="0.2">
      <c r="B224" s="59"/>
      <c r="C224" s="59" t="s">
        <v>679</v>
      </c>
      <c r="D224" s="59" t="s">
        <v>656</v>
      </c>
      <c r="E224" s="60">
        <v>450</v>
      </c>
      <c r="F224" s="60">
        <v>470</v>
      </c>
      <c r="G224" s="60">
        <v>480</v>
      </c>
      <c r="H224" s="60">
        <v>470</v>
      </c>
      <c r="I224" s="60">
        <v>450</v>
      </c>
      <c r="J224" s="60">
        <v>440</v>
      </c>
      <c r="K224" s="60">
        <v>400</v>
      </c>
      <c r="L224" s="60">
        <v>385</v>
      </c>
      <c r="M224" s="60">
        <v>370</v>
      </c>
      <c r="N224" s="60">
        <v>350</v>
      </c>
      <c r="O224" s="60">
        <v>340</v>
      </c>
      <c r="P224" s="60">
        <v>320</v>
      </c>
      <c r="Q224" s="60">
        <v>300</v>
      </c>
      <c r="R224" s="60">
        <v>300</v>
      </c>
      <c r="S224" s="60">
        <v>285</v>
      </c>
      <c r="T224" s="60">
        <v>280</v>
      </c>
      <c r="U224" s="60">
        <v>280</v>
      </c>
      <c r="V224" s="60">
        <v>280</v>
      </c>
      <c r="W224" s="60">
        <v>280</v>
      </c>
      <c r="X224" s="60">
        <v>270</v>
      </c>
      <c r="Y224" s="60">
        <v>280</v>
      </c>
      <c r="Z224" s="60">
        <v>280</v>
      </c>
      <c r="AA224" s="60">
        <v>290</v>
      </c>
      <c r="AB224" s="60">
        <v>300</v>
      </c>
      <c r="AC224" s="60">
        <v>320</v>
      </c>
      <c r="AD224" s="60">
        <v>320</v>
      </c>
      <c r="AE224" s="60">
        <v>330</v>
      </c>
      <c r="AF224" s="60">
        <v>330</v>
      </c>
      <c r="AG224" s="60">
        <v>350</v>
      </c>
      <c r="AH224" s="60">
        <v>350</v>
      </c>
      <c r="AI224" s="60">
        <v>350</v>
      </c>
      <c r="AJ224" s="60">
        <v>360</v>
      </c>
      <c r="AK224" s="60">
        <v>360</v>
      </c>
      <c r="AL224" s="60">
        <v>350</v>
      </c>
      <c r="AM224" s="60">
        <v>370</v>
      </c>
      <c r="AN224" s="60">
        <v>380</v>
      </c>
      <c r="AO224" s="60">
        <v>395</v>
      </c>
      <c r="AP224" s="60">
        <v>390</v>
      </c>
      <c r="AQ224" s="60">
        <v>400</v>
      </c>
      <c r="AR224" s="60">
        <v>400</v>
      </c>
      <c r="AS224" s="60">
        <v>410</v>
      </c>
      <c r="AT224" s="60">
        <v>420</v>
      </c>
      <c r="AU224" s="60">
        <v>450</v>
      </c>
      <c r="AV224" s="60">
        <v>450</v>
      </c>
      <c r="AW224" s="60">
        <v>450</v>
      </c>
      <c r="AX224" s="60">
        <v>450</v>
      </c>
      <c r="AY224" s="60">
        <v>475</v>
      </c>
      <c r="AZ224" s="60">
        <v>500</v>
      </c>
      <c r="BA224" s="60">
        <v>500</v>
      </c>
      <c r="BB224" s="60">
        <v>520</v>
      </c>
      <c r="BC224" s="60">
        <v>540</v>
      </c>
      <c r="BD224" s="60">
        <v>560</v>
      </c>
      <c r="BE224" s="60">
        <v>580</v>
      </c>
      <c r="BF224" s="60">
        <v>600</v>
      </c>
      <c r="BG224" s="60">
        <v>600</v>
      </c>
      <c r="BH224" s="60">
        <v>620</v>
      </c>
    </row>
    <row r="225" spans="2:60" hidden="1" x14ac:dyDescent="0.2">
      <c r="B225" s="57"/>
      <c r="C225" s="57" t="s">
        <v>680</v>
      </c>
      <c r="D225" s="57" t="s">
        <v>648</v>
      </c>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row>
    <row r="226" spans="2:60" hidden="1" x14ac:dyDescent="0.2">
      <c r="B226" s="59"/>
      <c r="C226" s="59" t="s">
        <v>680</v>
      </c>
      <c r="D226" s="59" t="s">
        <v>649</v>
      </c>
      <c r="E226" s="60">
        <v>250</v>
      </c>
      <c r="F226" s="60">
        <v>350</v>
      </c>
      <c r="G226" s="60">
        <v>300</v>
      </c>
      <c r="H226" s="60">
        <v>280</v>
      </c>
      <c r="I226" s="60">
        <v>250</v>
      </c>
      <c r="J226" s="60">
        <v>295</v>
      </c>
      <c r="K226" s="60">
        <v>280</v>
      </c>
      <c r="L226" s="60">
        <v>320</v>
      </c>
      <c r="M226" s="60">
        <v>260</v>
      </c>
      <c r="N226" s="60">
        <v>350</v>
      </c>
      <c r="O226" s="60">
        <v>320</v>
      </c>
      <c r="P226" s="60">
        <v>280</v>
      </c>
      <c r="Q226" s="60">
        <v>250</v>
      </c>
      <c r="R226" s="60">
        <v>238</v>
      </c>
      <c r="S226" s="60">
        <v>200</v>
      </c>
      <c r="T226" s="60">
        <v>185</v>
      </c>
      <c r="U226" s="60">
        <v>180</v>
      </c>
      <c r="V226" s="60">
        <v>170</v>
      </c>
      <c r="W226" s="60"/>
      <c r="X226" s="60">
        <v>185</v>
      </c>
      <c r="Y226" s="60">
        <v>180</v>
      </c>
      <c r="Z226" s="60">
        <v>150</v>
      </c>
      <c r="AA226" s="60">
        <v>150</v>
      </c>
      <c r="AB226" s="60">
        <v>150</v>
      </c>
      <c r="AC226" s="60">
        <v>170</v>
      </c>
      <c r="AD226" s="60">
        <v>150</v>
      </c>
      <c r="AE226" s="60">
        <v>180</v>
      </c>
      <c r="AF226" s="60">
        <v>190</v>
      </c>
      <c r="AG226" s="60">
        <v>180</v>
      </c>
      <c r="AH226" s="60">
        <v>160</v>
      </c>
      <c r="AI226" s="60">
        <v>160</v>
      </c>
      <c r="AJ226" s="60">
        <v>173</v>
      </c>
      <c r="AK226" s="60">
        <v>185</v>
      </c>
      <c r="AL226" s="60">
        <v>180</v>
      </c>
      <c r="AM226" s="60">
        <v>170</v>
      </c>
      <c r="AN226" s="60">
        <v>170</v>
      </c>
      <c r="AO226" s="60">
        <v>200</v>
      </c>
      <c r="AP226" s="60">
        <v>220</v>
      </c>
      <c r="AQ226" s="60">
        <v>210</v>
      </c>
      <c r="AR226" s="60">
        <v>220</v>
      </c>
      <c r="AS226" s="60">
        <v>220</v>
      </c>
      <c r="AT226" s="60">
        <v>210</v>
      </c>
      <c r="AU226" s="60">
        <v>220</v>
      </c>
      <c r="AV226" s="60">
        <v>220</v>
      </c>
      <c r="AW226" s="60">
        <v>230</v>
      </c>
      <c r="AX226" s="60">
        <v>245</v>
      </c>
      <c r="AY226" s="60">
        <v>225</v>
      </c>
      <c r="AZ226" s="60">
        <v>265</v>
      </c>
      <c r="BA226" s="60">
        <v>260</v>
      </c>
      <c r="BB226" s="60">
        <v>270</v>
      </c>
      <c r="BC226" s="60">
        <v>260</v>
      </c>
      <c r="BD226" s="60">
        <v>300</v>
      </c>
      <c r="BE226" s="60">
        <v>300</v>
      </c>
      <c r="BF226" s="60">
        <v>280</v>
      </c>
      <c r="BG226" s="60">
        <v>266</v>
      </c>
      <c r="BH226" s="60">
        <v>300</v>
      </c>
    </row>
    <row r="227" spans="2:60" hidden="1" x14ac:dyDescent="0.2">
      <c r="B227" s="57"/>
      <c r="C227" s="57" t="s">
        <v>680</v>
      </c>
      <c r="D227" s="57" t="s">
        <v>650</v>
      </c>
      <c r="E227" s="58"/>
      <c r="F227" s="58"/>
      <c r="G227" s="58"/>
      <c r="H227" s="58"/>
      <c r="I227" s="58"/>
      <c r="J227" s="58"/>
      <c r="K227" s="58"/>
      <c r="L227" s="58"/>
      <c r="M227" s="58"/>
      <c r="N227" s="58">
        <v>360</v>
      </c>
      <c r="O227" s="58"/>
      <c r="P227" s="58"/>
      <c r="Q227" s="58">
        <v>400</v>
      </c>
      <c r="R227" s="58">
        <v>275</v>
      </c>
      <c r="S227" s="58"/>
      <c r="T227" s="58"/>
      <c r="U227" s="58">
        <v>250</v>
      </c>
      <c r="V227" s="58"/>
      <c r="W227" s="58"/>
      <c r="X227" s="58"/>
      <c r="Y227" s="58"/>
      <c r="Z227" s="58"/>
      <c r="AA227" s="58"/>
      <c r="AB227" s="58"/>
      <c r="AC227" s="58"/>
      <c r="AD227" s="58"/>
      <c r="AE227" s="58"/>
      <c r="AF227" s="58"/>
      <c r="AG227" s="58">
        <v>275</v>
      </c>
      <c r="AH227" s="58"/>
      <c r="AI227" s="58"/>
      <c r="AJ227" s="58"/>
      <c r="AK227" s="58"/>
      <c r="AL227" s="58"/>
      <c r="AM227" s="58">
        <v>300</v>
      </c>
      <c r="AN227" s="58"/>
      <c r="AO227" s="58"/>
      <c r="AP227" s="58">
        <v>270</v>
      </c>
      <c r="AQ227" s="58"/>
      <c r="AR227" s="58"/>
      <c r="AS227" s="58"/>
      <c r="AT227" s="58"/>
      <c r="AU227" s="58"/>
      <c r="AV227" s="58"/>
      <c r="AW227" s="58"/>
      <c r="AX227" s="58"/>
      <c r="AY227" s="58"/>
      <c r="AZ227" s="58"/>
      <c r="BA227" s="58"/>
      <c r="BB227" s="58"/>
      <c r="BC227" s="58"/>
      <c r="BD227" s="58"/>
      <c r="BE227" s="58"/>
      <c r="BF227" s="58"/>
      <c r="BG227" s="58"/>
      <c r="BH227" s="58"/>
    </row>
    <row r="228" spans="2:60" hidden="1" x14ac:dyDescent="0.2">
      <c r="B228" s="59"/>
      <c r="C228" s="59" t="s">
        <v>680</v>
      </c>
      <c r="D228" s="59" t="s">
        <v>651</v>
      </c>
      <c r="E228" s="60"/>
      <c r="F228" s="60">
        <v>350</v>
      </c>
      <c r="G228" s="60">
        <v>350</v>
      </c>
      <c r="H228" s="60">
        <v>320</v>
      </c>
      <c r="I228" s="60">
        <v>330</v>
      </c>
      <c r="J228" s="60"/>
      <c r="K228" s="60">
        <v>350</v>
      </c>
      <c r="L228" s="60">
        <v>300</v>
      </c>
      <c r="M228" s="60">
        <v>350</v>
      </c>
      <c r="N228" s="60"/>
      <c r="O228" s="60">
        <v>280</v>
      </c>
      <c r="P228" s="60"/>
      <c r="Q228" s="60">
        <v>300</v>
      </c>
      <c r="R228" s="60">
        <v>225</v>
      </c>
      <c r="S228" s="60">
        <v>220</v>
      </c>
      <c r="T228" s="60"/>
      <c r="U228" s="60">
        <v>200</v>
      </c>
      <c r="V228" s="60">
        <v>220</v>
      </c>
      <c r="W228" s="60"/>
      <c r="X228" s="60"/>
      <c r="Y228" s="60">
        <v>155</v>
      </c>
      <c r="Z228" s="60">
        <v>180</v>
      </c>
      <c r="AA228" s="60">
        <v>160</v>
      </c>
      <c r="AB228" s="60">
        <v>140</v>
      </c>
      <c r="AC228" s="60"/>
      <c r="AD228" s="60"/>
      <c r="AE228" s="60">
        <v>150</v>
      </c>
      <c r="AF228" s="60"/>
      <c r="AG228" s="60">
        <v>170</v>
      </c>
      <c r="AH228" s="60">
        <v>152</v>
      </c>
      <c r="AI228" s="60"/>
      <c r="AJ228" s="60">
        <v>190</v>
      </c>
      <c r="AK228" s="60"/>
      <c r="AL228" s="60"/>
      <c r="AM228" s="60"/>
      <c r="AN228" s="60"/>
      <c r="AO228" s="60"/>
      <c r="AP228" s="60"/>
      <c r="AQ228" s="60"/>
      <c r="AR228" s="60"/>
      <c r="AS228" s="60"/>
      <c r="AT228" s="60"/>
      <c r="AU228" s="60"/>
      <c r="AV228" s="60"/>
      <c r="AW228" s="60"/>
      <c r="AX228" s="60"/>
      <c r="AY228" s="60"/>
      <c r="AZ228" s="60"/>
      <c r="BA228" s="60"/>
      <c r="BB228" s="60"/>
      <c r="BC228" s="60">
        <v>285</v>
      </c>
      <c r="BD228" s="60"/>
      <c r="BE228" s="60"/>
      <c r="BF228" s="60"/>
      <c r="BG228" s="60"/>
      <c r="BH228" s="60"/>
    </row>
    <row r="229" spans="2:60" hidden="1" x14ac:dyDescent="0.2">
      <c r="B229" s="57"/>
      <c r="C229" s="57" t="s">
        <v>680</v>
      </c>
      <c r="D229" s="57" t="s">
        <v>652</v>
      </c>
      <c r="E229" s="58">
        <v>450</v>
      </c>
      <c r="F229" s="58">
        <v>500</v>
      </c>
      <c r="G229" s="58">
        <v>500</v>
      </c>
      <c r="H229" s="58">
        <v>420</v>
      </c>
      <c r="I229" s="58">
        <v>420</v>
      </c>
      <c r="J229" s="58">
        <v>430</v>
      </c>
      <c r="K229" s="58">
        <v>400</v>
      </c>
      <c r="L229" s="58">
        <v>380</v>
      </c>
      <c r="M229" s="58">
        <v>400</v>
      </c>
      <c r="N229" s="58">
        <v>420</v>
      </c>
      <c r="O229" s="58">
        <v>400</v>
      </c>
      <c r="P229" s="58">
        <v>400</v>
      </c>
      <c r="Q229" s="58">
        <v>350</v>
      </c>
      <c r="R229" s="58">
        <v>300</v>
      </c>
      <c r="S229" s="58">
        <v>270</v>
      </c>
      <c r="T229" s="58">
        <v>250</v>
      </c>
      <c r="U229" s="58">
        <v>240</v>
      </c>
      <c r="V229" s="58">
        <v>230</v>
      </c>
      <c r="W229" s="58">
        <v>220</v>
      </c>
      <c r="X229" s="58">
        <v>205</v>
      </c>
      <c r="Y229" s="58">
        <v>200</v>
      </c>
      <c r="Z229" s="58">
        <v>200</v>
      </c>
      <c r="AA229" s="58">
        <v>220</v>
      </c>
      <c r="AB229" s="58">
        <v>200</v>
      </c>
      <c r="AC229" s="58">
        <v>200</v>
      </c>
      <c r="AD229" s="58">
        <v>230</v>
      </c>
      <c r="AE229" s="58">
        <v>200</v>
      </c>
      <c r="AF229" s="58">
        <v>250</v>
      </c>
      <c r="AG229" s="58">
        <v>230</v>
      </c>
      <c r="AH229" s="58">
        <v>240</v>
      </c>
      <c r="AI229" s="58">
        <v>250</v>
      </c>
      <c r="AJ229" s="58">
        <v>250</v>
      </c>
      <c r="AK229" s="58">
        <v>250</v>
      </c>
      <c r="AL229" s="58">
        <v>250</v>
      </c>
      <c r="AM229" s="58">
        <v>250</v>
      </c>
      <c r="AN229" s="58">
        <v>260</v>
      </c>
      <c r="AO229" s="58">
        <v>270</v>
      </c>
      <c r="AP229" s="58">
        <v>275</v>
      </c>
      <c r="AQ229" s="58">
        <v>290</v>
      </c>
      <c r="AR229" s="58">
        <v>280</v>
      </c>
      <c r="AS229" s="58">
        <v>300</v>
      </c>
      <c r="AT229" s="58">
        <v>290</v>
      </c>
      <c r="AU229" s="58">
        <v>300</v>
      </c>
      <c r="AV229" s="58">
        <v>310</v>
      </c>
      <c r="AW229" s="58">
        <v>320</v>
      </c>
      <c r="AX229" s="58">
        <v>340</v>
      </c>
      <c r="AY229" s="58">
        <v>330</v>
      </c>
      <c r="AZ229" s="58">
        <v>345</v>
      </c>
      <c r="BA229" s="58">
        <v>370</v>
      </c>
      <c r="BB229" s="58">
        <v>350</v>
      </c>
      <c r="BC229" s="58">
        <v>370</v>
      </c>
      <c r="BD229" s="58">
        <v>365</v>
      </c>
      <c r="BE229" s="58">
        <v>390</v>
      </c>
      <c r="BF229" s="58">
        <v>400</v>
      </c>
      <c r="BG229" s="58">
        <v>360</v>
      </c>
      <c r="BH229" s="58">
        <v>440</v>
      </c>
    </row>
    <row r="230" spans="2:60" hidden="1" x14ac:dyDescent="0.2">
      <c r="B230" s="59"/>
      <c r="C230" s="59" t="s">
        <v>680</v>
      </c>
      <c r="D230" s="59" t="s">
        <v>653</v>
      </c>
      <c r="E230" s="60">
        <v>510</v>
      </c>
      <c r="F230" s="60">
        <v>800</v>
      </c>
      <c r="G230" s="60">
        <v>675</v>
      </c>
      <c r="H230" s="60">
        <v>580</v>
      </c>
      <c r="I230" s="60">
        <v>570</v>
      </c>
      <c r="J230" s="60">
        <v>600</v>
      </c>
      <c r="K230" s="60">
        <v>570</v>
      </c>
      <c r="L230" s="60">
        <v>550</v>
      </c>
      <c r="M230" s="60">
        <v>590</v>
      </c>
      <c r="N230" s="60">
        <v>550</v>
      </c>
      <c r="O230" s="60">
        <v>550</v>
      </c>
      <c r="P230" s="60">
        <v>500</v>
      </c>
      <c r="Q230" s="60">
        <v>430</v>
      </c>
      <c r="R230" s="60">
        <v>360</v>
      </c>
      <c r="S230" s="60">
        <v>325</v>
      </c>
      <c r="T230" s="60">
        <v>300</v>
      </c>
      <c r="U230" s="60">
        <v>300</v>
      </c>
      <c r="V230" s="60">
        <v>300</v>
      </c>
      <c r="W230" s="60">
        <v>300</v>
      </c>
      <c r="X230" s="60">
        <v>300</v>
      </c>
      <c r="Y230" s="60">
        <v>320</v>
      </c>
      <c r="Z230" s="60">
        <v>300</v>
      </c>
      <c r="AA230" s="60">
        <v>300</v>
      </c>
      <c r="AB230" s="60">
        <v>300</v>
      </c>
      <c r="AC230" s="60">
        <v>300</v>
      </c>
      <c r="AD230" s="60">
        <v>300</v>
      </c>
      <c r="AE230" s="60">
        <v>315</v>
      </c>
      <c r="AF230" s="60">
        <v>320</v>
      </c>
      <c r="AG230" s="60">
        <v>310</v>
      </c>
      <c r="AH230" s="60">
        <v>330</v>
      </c>
      <c r="AI230" s="60">
        <v>330</v>
      </c>
      <c r="AJ230" s="60">
        <v>330</v>
      </c>
      <c r="AK230" s="60">
        <v>345</v>
      </c>
      <c r="AL230" s="60">
        <v>325</v>
      </c>
      <c r="AM230" s="60">
        <v>350</v>
      </c>
      <c r="AN230" s="60">
        <v>350</v>
      </c>
      <c r="AO230" s="60">
        <v>340</v>
      </c>
      <c r="AP230" s="60">
        <v>350</v>
      </c>
      <c r="AQ230" s="60">
        <v>330</v>
      </c>
      <c r="AR230" s="60">
        <v>365</v>
      </c>
      <c r="AS230" s="60">
        <v>370</v>
      </c>
      <c r="AT230" s="60">
        <v>375</v>
      </c>
      <c r="AU230" s="60">
        <v>395</v>
      </c>
      <c r="AV230" s="60">
        <v>390</v>
      </c>
      <c r="AW230" s="60">
        <v>390</v>
      </c>
      <c r="AX230" s="60">
        <v>400</v>
      </c>
      <c r="AY230" s="60">
        <v>420</v>
      </c>
      <c r="AZ230" s="60">
        <v>450</v>
      </c>
      <c r="BA230" s="60">
        <v>450</v>
      </c>
      <c r="BB230" s="60">
        <v>450</v>
      </c>
      <c r="BC230" s="60">
        <v>480</v>
      </c>
      <c r="BD230" s="60">
        <v>475</v>
      </c>
      <c r="BE230" s="60">
        <v>500</v>
      </c>
      <c r="BF230" s="60">
        <v>500</v>
      </c>
      <c r="BG230" s="60">
        <v>520</v>
      </c>
      <c r="BH230" s="60">
        <v>530</v>
      </c>
    </row>
    <row r="231" spans="2:60" hidden="1" x14ac:dyDescent="0.2">
      <c r="B231" s="57"/>
      <c r="C231" s="57" t="s">
        <v>680</v>
      </c>
      <c r="D231" s="57" t="s">
        <v>654</v>
      </c>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row>
    <row r="232" spans="2:60" hidden="1" x14ac:dyDescent="0.2">
      <c r="B232" s="59"/>
      <c r="C232" s="59" t="s">
        <v>680</v>
      </c>
      <c r="D232" s="59" t="s">
        <v>655</v>
      </c>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row>
    <row r="233" spans="2:60" hidden="1" x14ac:dyDescent="0.2">
      <c r="B233" s="57"/>
      <c r="C233" s="57" t="s">
        <v>680</v>
      </c>
      <c r="D233" s="57" t="s">
        <v>656</v>
      </c>
      <c r="E233" s="58">
        <v>430</v>
      </c>
      <c r="F233" s="58">
        <v>500</v>
      </c>
      <c r="G233" s="58">
        <v>500</v>
      </c>
      <c r="H233" s="58">
        <v>450</v>
      </c>
      <c r="I233" s="58">
        <v>450</v>
      </c>
      <c r="J233" s="58">
        <v>450</v>
      </c>
      <c r="K233" s="58">
        <v>430</v>
      </c>
      <c r="L233" s="58">
        <v>380</v>
      </c>
      <c r="M233" s="58">
        <v>380</v>
      </c>
      <c r="N233" s="58">
        <v>400</v>
      </c>
      <c r="O233" s="58">
        <v>420</v>
      </c>
      <c r="P233" s="58">
        <v>400</v>
      </c>
      <c r="Q233" s="58">
        <v>350</v>
      </c>
      <c r="R233" s="58">
        <v>325</v>
      </c>
      <c r="S233" s="58">
        <v>300</v>
      </c>
      <c r="T233" s="58">
        <v>275</v>
      </c>
      <c r="U233" s="58">
        <v>250</v>
      </c>
      <c r="V233" s="58">
        <v>250</v>
      </c>
      <c r="W233" s="58">
        <v>250</v>
      </c>
      <c r="X233" s="58">
        <v>250</v>
      </c>
      <c r="Y233" s="58">
        <v>235</v>
      </c>
      <c r="Z233" s="58">
        <v>230</v>
      </c>
      <c r="AA233" s="58">
        <v>240</v>
      </c>
      <c r="AB233" s="58">
        <v>215</v>
      </c>
      <c r="AC233" s="58">
        <v>230</v>
      </c>
      <c r="AD233" s="58">
        <v>250</v>
      </c>
      <c r="AE233" s="58">
        <v>220</v>
      </c>
      <c r="AF233" s="58">
        <v>260</v>
      </c>
      <c r="AG233" s="58">
        <v>250</v>
      </c>
      <c r="AH233" s="58">
        <v>230</v>
      </c>
      <c r="AI233" s="58">
        <v>250</v>
      </c>
      <c r="AJ233" s="58">
        <v>250</v>
      </c>
      <c r="AK233" s="58">
        <v>260</v>
      </c>
      <c r="AL233" s="58">
        <v>260</v>
      </c>
      <c r="AM233" s="58">
        <v>260</v>
      </c>
      <c r="AN233" s="58">
        <v>275</v>
      </c>
      <c r="AO233" s="58">
        <v>290</v>
      </c>
      <c r="AP233" s="58">
        <v>280</v>
      </c>
      <c r="AQ233" s="58">
        <v>280</v>
      </c>
      <c r="AR233" s="58">
        <v>290</v>
      </c>
      <c r="AS233" s="58">
        <v>270</v>
      </c>
      <c r="AT233" s="58">
        <v>280</v>
      </c>
      <c r="AU233" s="58">
        <v>300</v>
      </c>
      <c r="AV233" s="58">
        <v>300</v>
      </c>
      <c r="AW233" s="58">
        <v>320</v>
      </c>
      <c r="AX233" s="58">
        <v>350</v>
      </c>
      <c r="AY233" s="58">
        <v>340</v>
      </c>
      <c r="AZ233" s="58">
        <v>340</v>
      </c>
      <c r="BA233" s="58">
        <v>360</v>
      </c>
      <c r="BB233" s="58">
        <v>350</v>
      </c>
      <c r="BC233" s="58">
        <v>360</v>
      </c>
      <c r="BD233" s="58">
        <v>380</v>
      </c>
      <c r="BE233" s="58">
        <v>377</v>
      </c>
      <c r="BF233" s="58">
        <v>380</v>
      </c>
      <c r="BG233" s="58">
        <v>385</v>
      </c>
      <c r="BH233" s="58">
        <v>440</v>
      </c>
    </row>
    <row r="234" spans="2:60" hidden="1" x14ac:dyDescent="0.2">
      <c r="B234" s="59"/>
      <c r="C234" s="59" t="s">
        <v>681</v>
      </c>
      <c r="D234" s="59" t="s">
        <v>648</v>
      </c>
      <c r="E234" s="60">
        <v>135</v>
      </c>
      <c r="F234" s="60">
        <v>185</v>
      </c>
      <c r="G234" s="60">
        <v>135</v>
      </c>
      <c r="H234" s="60">
        <v>165</v>
      </c>
      <c r="I234" s="60">
        <v>185</v>
      </c>
      <c r="J234" s="60">
        <v>140</v>
      </c>
      <c r="K234" s="60">
        <v>140</v>
      </c>
      <c r="L234" s="60">
        <v>185</v>
      </c>
      <c r="M234" s="60">
        <v>150</v>
      </c>
      <c r="N234" s="60"/>
      <c r="O234" s="60">
        <v>155</v>
      </c>
      <c r="P234" s="60">
        <v>185</v>
      </c>
      <c r="Q234" s="60">
        <v>155</v>
      </c>
      <c r="R234" s="60">
        <v>200</v>
      </c>
      <c r="S234" s="60"/>
      <c r="T234" s="60">
        <v>205</v>
      </c>
      <c r="U234" s="60"/>
      <c r="V234" s="60">
        <v>156</v>
      </c>
      <c r="W234" s="60"/>
      <c r="X234" s="60">
        <v>200</v>
      </c>
      <c r="Y234" s="60">
        <v>200</v>
      </c>
      <c r="Z234" s="60">
        <v>180</v>
      </c>
      <c r="AA234" s="60"/>
      <c r="AB234" s="60">
        <v>166</v>
      </c>
      <c r="AC234" s="60">
        <v>200</v>
      </c>
      <c r="AD234" s="60">
        <v>200</v>
      </c>
      <c r="AE234" s="60">
        <v>210</v>
      </c>
      <c r="AF234" s="60"/>
      <c r="AG234" s="60">
        <v>190</v>
      </c>
      <c r="AH234" s="60">
        <v>160</v>
      </c>
      <c r="AI234" s="60">
        <v>200</v>
      </c>
      <c r="AJ234" s="60">
        <v>170</v>
      </c>
      <c r="AK234" s="60">
        <v>200</v>
      </c>
      <c r="AL234" s="60">
        <v>175</v>
      </c>
      <c r="AM234" s="60">
        <v>187</v>
      </c>
      <c r="AN234" s="60">
        <v>190</v>
      </c>
      <c r="AO234" s="60">
        <v>220</v>
      </c>
      <c r="AP234" s="60">
        <v>190</v>
      </c>
      <c r="AQ234" s="60"/>
      <c r="AR234" s="60">
        <v>225</v>
      </c>
      <c r="AS234" s="60"/>
      <c r="AT234" s="60">
        <v>179</v>
      </c>
      <c r="AU234" s="60">
        <v>235</v>
      </c>
      <c r="AV234" s="60">
        <v>200</v>
      </c>
      <c r="AW234" s="60"/>
      <c r="AX234" s="60"/>
      <c r="AY234" s="60">
        <v>220</v>
      </c>
      <c r="AZ234" s="60"/>
      <c r="BA234" s="60"/>
      <c r="BB234" s="60">
        <v>224</v>
      </c>
      <c r="BC234" s="60">
        <v>260</v>
      </c>
      <c r="BD234" s="60">
        <v>237</v>
      </c>
      <c r="BE234" s="60">
        <v>270</v>
      </c>
      <c r="BF234" s="60"/>
      <c r="BG234" s="60"/>
      <c r="BH234" s="60">
        <v>300</v>
      </c>
    </row>
    <row r="235" spans="2:60" hidden="1" x14ac:dyDescent="0.2">
      <c r="B235" s="57"/>
      <c r="C235" s="57" t="s">
        <v>681</v>
      </c>
      <c r="D235" s="57" t="s">
        <v>649</v>
      </c>
      <c r="E235" s="58">
        <v>200</v>
      </c>
      <c r="F235" s="58">
        <v>230</v>
      </c>
      <c r="G235" s="58">
        <v>210</v>
      </c>
      <c r="H235" s="58">
        <v>205</v>
      </c>
      <c r="I235" s="58">
        <v>230</v>
      </c>
      <c r="J235" s="58">
        <v>220</v>
      </c>
      <c r="K235" s="58">
        <v>240</v>
      </c>
      <c r="L235" s="58">
        <v>200</v>
      </c>
      <c r="M235" s="58">
        <v>216</v>
      </c>
      <c r="N235" s="58">
        <v>250</v>
      </c>
      <c r="O235" s="58">
        <v>250</v>
      </c>
      <c r="P235" s="58">
        <v>230</v>
      </c>
      <c r="Q235" s="58">
        <v>250</v>
      </c>
      <c r="R235" s="58">
        <v>250</v>
      </c>
      <c r="S235" s="58">
        <v>230</v>
      </c>
      <c r="T235" s="58">
        <v>250</v>
      </c>
      <c r="U235" s="58">
        <v>250</v>
      </c>
      <c r="V235" s="58">
        <v>260</v>
      </c>
      <c r="W235" s="58">
        <v>210</v>
      </c>
      <c r="X235" s="58">
        <v>221</v>
      </c>
      <c r="Y235" s="58">
        <v>245</v>
      </c>
      <c r="Z235" s="58">
        <v>250</v>
      </c>
      <c r="AA235" s="58">
        <v>250</v>
      </c>
      <c r="AB235" s="58">
        <v>240</v>
      </c>
      <c r="AC235" s="58">
        <v>255</v>
      </c>
      <c r="AD235" s="58">
        <v>255</v>
      </c>
      <c r="AE235" s="58">
        <v>250</v>
      </c>
      <c r="AF235" s="58">
        <v>255</v>
      </c>
      <c r="AG235" s="58">
        <v>260</v>
      </c>
      <c r="AH235" s="58">
        <v>250</v>
      </c>
      <c r="AI235" s="58">
        <v>240</v>
      </c>
      <c r="AJ235" s="58">
        <v>250</v>
      </c>
      <c r="AK235" s="58">
        <v>250</v>
      </c>
      <c r="AL235" s="58">
        <v>270</v>
      </c>
      <c r="AM235" s="58">
        <v>275</v>
      </c>
      <c r="AN235" s="58">
        <v>280</v>
      </c>
      <c r="AO235" s="58">
        <v>290</v>
      </c>
      <c r="AP235" s="58">
        <v>280</v>
      </c>
      <c r="AQ235" s="58">
        <v>270</v>
      </c>
      <c r="AR235" s="58">
        <v>260</v>
      </c>
      <c r="AS235" s="58">
        <v>285</v>
      </c>
      <c r="AT235" s="58">
        <v>295</v>
      </c>
      <c r="AU235" s="58">
        <v>320</v>
      </c>
      <c r="AV235" s="58">
        <v>320</v>
      </c>
      <c r="AW235" s="58">
        <v>310</v>
      </c>
      <c r="AX235" s="58">
        <v>330</v>
      </c>
      <c r="AY235" s="58">
        <v>340</v>
      </c>
      <c r="AZ235" s="58">
        <v>340</v>
      </c>
      <c r="BA235" s="58">
        <v>315</v>
      </c>
      <c r="BB235" s="58">
        <v>350</v>
      </c>
      <c r="BC235" s="58">
        <v>320</v>
      </c>
      <c r="BD235" s="58">
        <v>375</v>
      </c>
      <c r="BE235" s="58">
        <v>330</v>
      </c>
      <c r="BF235" s="58">
        <v>360</v>
      </c>
      <c r="BG235" s="58">
        <v>380</v>
      </c>
      <c r="BH235" s="58">
        <v>400</v>
      </c>
    </row>
    <row r="236" spans="2:60" hidden="1" x14ac:dyDescent="0.2">
      <c r="B236" s="59"/>
      <c r="C236" s="59" t="s">
        <v>681</v>
      </c>
      <c r="D236" s="59" t="s">
        <v>650</v>
      </c>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v>300</v>
      </c>
      <c r="AK236" s="60"/>
      <c r="AL236" s="60"/>
      <c r="AM236" s="60"/>
      <c r="AN236" s="60"/>
      <c r="AO236" s="60">
        <v>310</v>
      </c>
      <c r="AP236" s="60"/>
      <c r="AQ236" s="60"/>
      <c r="AR236" s="60"/>
      <c r="AS236" s="60"/>
      <c r="AT236" s="60">
        <v>360</v>
      </c>
      <c r="AU236" s="60"/>
      <c r="AV236" s="60"/>
      <c r="AW236" s="60"/>
      <c r="AX236" s="60"/>
      <c r="AY236" s="60">
        <v>410</v>
      </c>
      <c r="AZ236" s="60"/>
      <c r="BA236" s="60"/>
      <c r="BB236" s="60"/>
      <c r="BC236" s="60"/>
      <c r="BD236" s="60"/>
      <c r="BE236" s="60"/>
      <c r="BF236" s="60"/>
      <c r="BG236" s="60"/>
      <c r="BH236" s="60"/>
    </row>
    <row r="237" spans="2:60" hidden="1" x14ac:dyDescent="0.2">
      <c r="B237" s="57"/>
      <c r="C237" s="57" t="s">
        <v>681</v>
      </c>
      <c r="D237" s="57" t="s">
        <v>651</v>
      </c>
      <c r="E237" s="58">
        <v>270</v>
      </c>
      <c r="F237" s="58">
        <v>250</v>
      </c>
      <c r="G237" s="58">
        <v>255</v>
      </c>
      <c r="H237" s="58">
        <v>270</v>
      </c>
      <c r="I237" s="58">
        <v>280</v>
      </c>
      <c r="J237" s="58">
        <v>255</v>
      </c>
      <c r="K237" s="58">
        <v>230</v>
      </c>
      <c r="L237" s="58">
        <v>265</v>
      </c>
      <c r="M237" s="58">
        <v>265</v>
      </c>
      <c r="N237" s="58">
        <v>275</v>
      </c>
      <c r="O237" s="58"/>
      <c r="P237" s="58">
        <v>275</v>
      </c>
      <c r="Q237" s="58">
        <v>320</v>
      </c>
      <c r="R237" s="58">
        <v>275</v>
      </c>
      <c r="S237" s="58">
        <v>290</v>
      </c>
      <c r="T237" s="58">
        <v>270</v>
      </c>
      <c r="U237" s="58">
        <v>275</v>
      </c>
      <c r="V237" s="58">
        <v>250</v>
      </c>
      <c r="W237" s="58"/>
      <c r="X237" s="58">
        <v>265</v>
      </c>
      <c r="Y237" s="58">
        <v>280</v>
      </c>
      <c r="Z237" s="58">
        <v>280</v>
      </c>
      <c r="AA237" s="58">
        <v>300</v>
      </c>
      <c r="AB237" s="58">
        <v>270</v>
      </c>
      <c r="AC237" s="58">
        <v>300</v>
      </c>
      <c r="AD237" s="58">
        <v>320</v>
      </c>
      <c r="AE237" s="58">
        <v>265</v>
      </c>
      <c r="AF237" s="58">
        <v>310</v>
      </c>
      <c r="AG237" s="58">
        <v>300</v>
      </c>
      <c r="AH237" s="58">
        <v>285</v>
      </c>
      <c r="AI237" s="58">
        <v>300</v>
      </c>
      <c r="AJ237" s="58">
        <v>295</v>
      </c>
      <c r="AK237" s="58">
        <v>275</v>
      </c>
      <c r="AL237" s="58">
        <v>250</v>
      </c>
      <c r="AM237" s="58">
        <v>300</v>
      </c>
      <c r="AN237" s="58">
        <v>280</v>
      </c>
      <c r="AO237" s="58"/>
      <c r="AP237" s="58"/>
      <c r="AQ237" s="58"/>
      <c r="AR237" s="58">
        <v>300</v>
      </c>
      <c r="AS237" s="58">
        <v>275</v>
      </c>
      <c r="AT237" s="58">
        <v>320</v>
      </c>
      <c r="AU237" s="58">
        <v>285</v>
      </c>
      <c r="AV237" s="58">
        <v>330</v>
      </c>
      <c r="AW237" s="58"/>
      <c r="AX237" s="58"/>
      <c r="AY237" s="58"/>
      <c r="AZ237" s="58">
        <v>350</v>
      </c>
      <c r="BA237" s="58"/>
      <c r="BB237" s="58">
        <v>390</v>
      </c>
      <c r="BC237" s="58"/>
      <c r="BD237" s="58"/>
      <c r="BE237" s="58"/>
      <c r="BF237" s="58">
        <v>380</v>
      </c>
      <c r="BG237" s="58">
        <v>400</v>
      </c>
      <c r="BH237" s="58">
        <v>420</v>
      </c>
    </row>
    <row r="238" spans="2:60" hidden="1" x14ac:dyDescent="0.2">
      <c r="B238" s="59"/>
      <c r="C238" s="59" t="s">
        <v>681</v>
      </c>
      <c r="D238" s="59" t="s">
        <v>652</v>
      </c>
      <c r="E238" s="60">
        <v>290</v>
      </c>
      <c r="F238" s="60">
        <v>300</v>
      </c>
      <c r="G238" s="60">
        <v>300</v>
      </c>
      <c r="H238" s="60">
        <v>300</v>
      </c>
      <c r="I238" s="60">
        <v>300</v>
      </c>
      <c r="J238" s="60">
        <v>290</v>
      </c>
      <c r="K238" s="60">
        <v>300</v>
      </c>
      <c r="L238" s="60">
        <v>300</v>
      </c>
      <c r="M238" s="60">
        <v>300</v>
      </c>
      <c r="N238" s="60">
        <v>305</v>
      </c>
      <c r="O238" s="60">
        <v>310</v>
      </c>
      <c r="P238" s="60">
        <v>320</v>
      </c>
      <c r="Q238" s="60">
        <v>300</v>
      </c>
      <c r="R238" s="60">
        <v>310</v>
      </c>
      <c r="S238" s="60">
        <v>320</v>
      </c>
      <c r="T238" s="60">
        <v>300</v>
      </c>
      <c r="U238" s="60">
        <v>305</v>
      </c>
      <c r="V238" s="60">
        <v>320</v>
      </c>
      <c r="W238" s="60">
        <v>320</v>
      </c>
      <c r="X238" s="60">
        <v>310</v>
      </c>
      <c r="Y238" s="60">
        <v>310</v>
      </c>
      <c r="Z238" s="60">
        <v>320</v>
      </c>
      <c r="AA238" s="60">
        <v>330</v>
      </c>
      <c r="AB238" s="60">
        <v>335</v>
      </c>
      <c r="AC238" s="60">
        <v>320</v>
      </c>
      <c r="AD238" s="60">
        <v>330</v>
      </c>
      <c r="AE238" s="60">
        <v>320</v>
      </c>
      <c r="AF238" s="60">
        <v>320</v>
      </c>
      <c r="AG238" s="60">
        <v>330</v>
      </c>
      <c r="AH238" s="60">
        <v>340</v>
      </c>
      <c r="AI238" s="60">
        <v>320</v>
      </c>
      <c r="AJ238" s="60">
        <v>320</v>
      </c>
      <c r="AK238" s="60">
        <v>335</v>
      </c>
      <c r="AL238" s="60">
        <v>350</v>
      </c>
      <c r="AM238" s="60">
        <v>340</v>
      </c>
      <c r="AN238" s="60">
        <v>360</v>
      </c>
      <c r="AO238" s="60">
        <v>350</v>
      </c>
      <c r="AP238" s="60">
        <v>350</v>
      </c>
      <c r="AQ238" s="60">
        <v>390</v>
      </c>
      <c r="AR238" s="60">
        <v>380</v>
      </c>
      <c r="AS238" s="60">
        <v>385</v>
      </c>
      <c r="AT238" s="60">
        <v>380</v>
      </c>
      <c r="AU238" s="60">
        <v>390</v>
      </c>
      <c r="AV238" s="60">
        <v>370</v>
      </c>
      <c r="AW238" s="60">
        <v>450</v>
      </c>
      <c r="AX238" s="60">
        <v>390</v>
      </c>
      <c r="AY238" s="60">
        <v>420</v>
      </c>
      <c r="AZ238" s="60">
        <v>420</v>
      </c>
      <c r="BA238" s="60">
        <v>450</v>
      </c>
      <c r="BB238" s="60">
        <v>450</v>
      </c>
      <c r="BC238" s="60">
        <v>450</v>
      </c>
      <c r="BD238" s="60">
        <v>450</v>
      </c>
      <c r="BE238" s="60">
        <v>450</v>
      </c>
      <c r="BF238" s="60">
        <v>430</v>
      </c>
      <c r="BG238" s="60">
        <v>450</v>
      </c>
      <c r="BH238" s="60">
        <v>480</v>
      </c>
    </row>
    <row r="239" spans="2:60" hidden="1" x14ac:dyDescent="0.2">
      <c r="B239" s="57"/>
      <c r="C239" s="57" t="s">
        <v>681</v>
      </c>
      <c r="D239" s="57" t="s">
        <v>653</v>
      </c>
      <c r="E239" s="58">
        <v>350</v>
      </c>
      <c r="F239" s="58">
        <v>320</v>
      </c>
      <c r="G239" s="58">
        <v>370</v>
      </c>
      <c r="H239" s="58">
        <v>350</v>
      </c>
      <c r="I239" s="58">
        <v>400</v>
      </c>
      <c r="J239" s="58">
        <v>345</v>
      </c>
      <c r="K239" s="58">
        <v>360</v>
      </c>
      <c r="L239" s="58">
        <v>380</v>
      </c>
      <c r="M239" s="58">
        <v>380</v>
      </c>
      <c r="N239" s="58">
        <v>350</v>
      </c>
      <c r="O239" s="58">
        <v>360</v>
      </c>
      <c r="P239" s="58">
        <v>350</v>
      </c>
      <c r="Q239" s="58">
        <v>400</v>
      </c>
      <c r="R239" s="58">
        <v>400</v>
      </c>
      <c r="S239" s="58">
        <v>400</v>
      </c>
      <c r="T239" s="58">
        <v>400</v>
      </c>
      <c r="U239" s="58">
        <v>375</v>
      </c>
      <c r="V239" s="58">
        <v>395</v>
      </c>
      <c r="W239" s="58">
        <v>350</v>
      </c>
      <c r="X239" s="58">
        <v>400</v>
      </c>
      <c r="Y239" s="58">
        <v>380</v>
      </c>
      <c r="Z239" s="58">
        <v>385</v>
      </c>
      <c r="AA239" s="58">
        <v>390</v>
      </c>
      <c r="AB239" s="58">
        <v>400</v>
      </c>
      <c r="AC239" s="58">
        <v>385</v>
      </c>
      <c r="AD239" s="58">
        <v>420</v>
      </c>
      <c r="AE239" s="58">
        <v>400</v>
      </c>
      <c r="AF239" s="58">
        <v>385</v>
      </c>
      <c r="AG239" s="58">
        <v>400</v>
      </c>
      <c r="AH239" s="58">
        <v>400</v>
      </c>
      <c r="AI239" s="58">
        <v>400</v>
      </c>
      <c r="AJ239" s="58">
        <v>395</v>
      </c>
      <c r="AK239" s="58">
        <v>400</v>
      </c>
      <c r="AL239" s="58">
        <v>350</v>
      </c>
      <c r="AM239" s="58">
        <v>400</v>
      </c>
      <c r="AN239" s="58">
        <v>400</v>
      </c>
      <c r="AO239" s="58">
        <v>430</v>
      </c>
      <c r="AP239" s="58">
        <v>380</v>
      </c>
      <c r="AQ239" s="58">
        <v>410</v>
      </c>
      <c r="AR239" s="58">
        <v>450</v>
      </c>
      <c r="AS239" s="58">
        <v>440</v>
      </c>
      <c r="AT239" s="58">
        <v>450</v>
      </c>
      <c r="AU239" s="58">
        <v>470</v>
      </c>
      <c r="AV239" s="58">
        <v>480</v>
      </c>
      <c r="AW239" s="58">
        <v>450</v>
      </c>
      <c r="AX239" s="58">
        <v>450</v>
      </c>
      <c r="AY239" s="58">
        <v>500</v>
      </c>
      <c r="AZ239" s="58">
        <v>500</v>
      </c>
      <c r="BA239" s="58">
        <v>550</v>
      </c>
      <c r="BB239" s="58">
        <v>550</v>
      </c>
      <c r="BC239" s="58">
        <v>550</v>
      </c>
      <c r="BD239" s="58">
        <v>530</v>
      </c>
      <c r="BE239" s="58">
        <v>580</v>
      </c>
      <c r="BF239" s="58">
        <v>600</v>
      </c>
      <c r="BG239" s="58">
        <v>580</v>
      </c>
      <c r="BH239" s="58">
        <v>620</v>
      </c>
    </row>
    <row r="240" spans="2:60" hidden="1" x14ac:dyDescent="0.2">
      <c r="B240" s="59"/>
      <c r="C240" s="59" t="s">
        <v>681</v>
      </c>
      <c r="D240" s="59" t="s">
        <v>654</v>
      </c>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row>
    <row r="241" spans="2:60" hidden="1" x14ac:dyDescent="0.2">
      <c r="B241" s="57"/>
      <c r="C241" s="57" t="s">
        <v>681</v>
      </c>
      <c r="D241" s="57" t="s">
        <v>655</v>
      </c>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row>
    <row r="242" spans="2:60" hidden="1" x14ac:dyDescent="0.2">
      <c r="B242" s="59"/>
      <c r="C242" s="59" t="s">
        <v>681</v>
      </c>
      <c r="D242" s="59" t="s">
        <v>656</v>
      </c>
      <c r="E242" s="60">
        <v>265</v>
      </c>
      <c r="F242" s="60">
        <v>265</v>
      </c>
      <c r="G242" s="60">
        <v>270</v>
      </c>
      <c r="H242" s="60">
        <v>270</v>
      </c>
      <c r="I242" s="60">
        <v>280</v>
      </c>
      <c r="J242" s="60">
        <v>280</v>
      </c>
      <c r="K242" s="60">
        <v>285</v>
      </c>
      <c r="L242" s="60">
        <v>280</v>
      </c>
      <c r="M242" s="60">
        <v>280</v>
      </c>
      <c r="N242" s="60">
        <v>300</v>
      </c>
      <c r="O242" s="60">
        <v>300</v>
      </c>
      <c r="P242" s="60">
        <v>300</v>
      </c>
      <c r="Q242" s="60">
        <v>300</v>
      </c>
      <c r="R242" s="60">
        <v>290</v>
      </c>
      <c r="S242" s="60">
        <v>300</v>
      </c>
      <c r="T242" s="60">
        <v>285</v>
      </c>
      <c r="U242" s="60">
        <v>300</v>
      </c>
      <c r="V242" s="60">
        <v>300</v>
      </c>
      <c r="W242" s="60">
        <v>290</v>
      </c>
      <c r="X242" s="60">
        <v>300</v>
      </c>
      <c r="Y242" s="60">
        <v>285</v>
      </c>
      <c r="Z242" s="60">
        <v>300</v>
      </c>
      <c r="AA242" s="60">
        <v>320</v>
      </c>
      <c r="AB242" s="60">
        <v>320</v>
      </c>
      <c r="AC242" s="60">
        <v>310</v>
      </c>
      <c r="AD242" s="60">
        <v>310</v>
      </c>
      <c r="AE242" s="60">
        <v>320</v>
      </c>
      <c r="AF242" s="60">
        <v>305</v>
      </c>
      <c r="AG242" s="60">
        <v>300</v>
      </c>
      <c r="AH242" s="60">
        <v>300</v>
      </c>
      <c r="AI242" s="60">
        <v>300</v>
      </c>
      <c r="AJ242" s="60">
        <v>300</v>
      </c>
      <c r="AK242" s="60">
        <v>300</v>
      </c>
      <c r="AL242" s="60">
        <v>300</v>
      </c>
      <c r="AM242" s="60">
        <v>300</v>
      </c>
      <c r="AN242" s="60">
        <v>320</v>
      </c>
      <c r="AO242" s="60">
        <v>330</v>
      </c>
      <c r="AP242" s="60">
        <v>320</v>
      </c>
      <c r="AQ242" s="60">
        <v>330</v>
      </c>
      <c r="AR242" s="60">
        <v>320</v>
      </c>
      <c r="AS242" s="60">
        <v>350</v>
      </c>
      <c r="AT242" s="60">
        <v>340</v>
      </c>
      <c r="AU242" s="60">
        <v>330</v>
      </c>
      <c r="AV242" s="60">
        <v>350</v>
      </c>
      <c r="AW242" s="60">
        <v>350</v>
      </c>
      <c r="AX242" s="60">
        <v>370</v>
      </c>
      <c r="AY242" s="60">
        <v>375</v>
      </c>
      <c r="AZ242" s="60">
        <v>390</v>
      </c>
      <c r="BA242" s="60">
        <v>390</v>
      </c>
      <c r="BB242" s="60">
        <v>400</v>
      </c>
      <c r="BC242" s="60">
        <v>400</v>
      </c>
      <c r="BD242" s="60">
        <v>400</v>
      </c>
      <c r="BE242" s="60">
        <v>410</v>
      </c>
      <c r="BF242" s="60">
        <v>400</v>
      </c>
      <c r="BG242" s="60">
        <v>430</v>
      </c>
      <c r="BH242" s="60">
        <v>450</v>
      </c>
    </row>
    <row r="243" spans="2:60" hidden="1" x14ac:dyDescent="0.2">
      <c r="B243" s="57"/>
      <c r="C243" s="57" t="s">
        <v>682</v>
      </c>
      <c r="D243" s="57" t="s">
        <v>648</v>
      </c>
      <c r="E243" s="58">
        <v>205</v>
      </c>
      <c r="F243" s="58">
        <v>206</v>
      </c>
      <c r="G243" s="58">
        <v>200</v>
      </c>
      <c r="H243" s="58">
        <v>190</v>
      </c>
      <c r="I243" s="58">
        <v>205</v>
      </c>
      <c r="J243" s="58">
        <v>205</v>
      </c>
      <c r="K243" s="58">
        <v>220</v>
      </c>
      <c r="L243" s="58">
        <v>220</v>
      </c>
      <c r="M243" s="58">
        <v>210</v>
      </c>
      <c r="N243" s="58">
        <v>220</v>
      </c>
      <c r="O243" s="58">
        <v>220</v>
      </c>
      <c r="P243" s="58">
        <v>220</v>
      </c>
      <c r="Q243" s="58">
        <v>235</v>
      </c>
      <c r="R243" s="58">
        <v>225</v>
      </c>
      <c r="S243" s="58">
        <v>215</v>
      </c>
      <c r="T243" s="58">
        <v>220</v>
      </c>
      <c r="U243" s="58">
        <v>225</v>
      </c>
      <c r="V243" s="58">
        <v>225</v>
      </c>
      <c r="W243" s="58">
        <v>220</v>
      </c>
      <c r="X243" s="58">
        <v>220</v>
      </c>
      <c r="Y243" s="58">
        <v>240</v>
      </c>
      <c r="Z243" s="58">
        <v>230</v>
      </c>
      <c r="AA243" s="58">
        <v>230</v>
      </c>
      <c r="AB243" s="58">
        <v>240</v>
      </c>
      <c r="AC243" s="58">
        <v>230</v>
      </c>
      <c r="AD243" s="58">
        <v>250</v>
      </c>
      <c r="AE243" s="58">
        <v>240</v>
      </c>
      <c r="AF243" s="58">
        <v>250</v>
      </c>
      <c r="AG243" s="58">
        <v>250</v>
      </c>
      <c r="AH243" s="58">
        <v>250</v>
      </c>
      <c r="AI243" s="58">
        <v>250</v>
      </c>
      <c r="AJ243" s="58">
        <v>250</v>
      </c>
      <c r="AK243" s="58">
        <v>255</v>
      </c>
      <c r="AL243" s="58">
        <v>255</v>
      </c>
      <c r="AM243" s="58">
        <v>255</v>
      </c>
      <c r="AN243" s="58">
        <v>255</v>
      </c>
      <c r="AO243" s="58">
        <v>270</v>
      </c>
      <c r="AP243" s="58">
        <v>265</v>
      </c>
      <c r="AQ243" s="58">
        <v>260</v>
      </c>
      <c r="AR243" s="58">
        <v>275</v>
      </c>
      <c r="AS243" s="58">
        <v>280</v>
      </c>
      <c r="AT243" s="58">
        <v>295</v>
      </c>
      <c r="AU243" s="58">
        <v>295</v>
      </c>
      <c r="AV243" s="58">
        <v>310</v>
      </c>
      <c r="AW243" s="58">
        <v>310</v>
      </c>
      <c r="AX243" s="58">
        <v>320</v>
      </c>
      <c r="AY243" s="58">
        <v>325</v>
      </c>
      <c r="AZ243" s="58">
        <v>330</v>
      </c>
      <c r="BA243" s="58">
        <v>340</v>
      </c>
      <c r="BB243" s="58">
        <v>340</v>
      </c>
      <c r="BC243" s="58">
        <v>350</v>
      </c>
      <c r="BD243" s="58">
        <v>350</v>
      </c>
      <c r="BE243" s="58">
        <v>360</v>
      </c>
      <c r="BF243" s="58">
        <v>350</v>
      </c>
      <c r="BG243" s="58">
        <v>355</v>
      </c>
      <c r="BH243" s="58">
        <v>374</v>
      </c>
    </row>
    <row r="244" spans="2:60" x14ac:dyDescent="0.2">
      <c r="B244" s="59"/>
      <c r="C244" s="59" t="s">
        <v>682</v>
      </c>
      <c r="D244" s="59" t="s">
        <v>649</v>
      </c>
      <c r="E244" s="60">
        <v>270</v>
      </c>
      <c r="F244" s="60">
        <v>270</v>
      </c>
      <c r="G244" s="60">
        <v>270</v>
      </c>
      <c r="H244" s="60">
        <v>270</v>
      </c>
      <c r="I244" s="60">
        <v>270</v>
      </c>
      <c r="J244" s="60">
        <v>270</v>
      </c>
      <c r="K244" s="60">
        <v>270</v>
      </c>
      <c r="L244" s="60">
        <v>275</v>
      </c>
      <c r="M244" s="60">
        <v>280</v>
      </c>
      <c r="N244" s="60">
        <v>275</v>
      </c>
      <c r="O244" s="60">
        <v>275</v>
      </c>
      <c r="P244" s="60">
        <v>275</v>
      </c>
      <c r="Q244" s="60">
        <v>280</v>
      </c>
      <c r="R244" s="60">
        <v>280</v>
      </c>
      <c r="S244" s="60">
        <v>280</v>
      </c>
      <c r="T244" s="60">
        <v>280</v>
      </c>
      <c r="U244" s="60">
        <v>285</v>
      </c>
      <c r="V244" s="60">
        <v>290</v>
      </c>
      <c r="W244" s="60">
        <v>290</v>
      </c>
      <c r="X244" s="60">
        <v>285</v>
      </c>
      <c r="Y244" s="60">
        <v>290</v>
      </c>
      <c r="Z244" s="60">
        <v>285</v>
      </c>
      <c r="AA244" s="60">
        <v>290</v>
      </c>
      <c r="AB244" s="60">
        <v>290</v>
      </c>
      <c r="AC244" s="60">
        <v>285</v>
      </c>
      <c r="AD244" s="60">
        <v>290</v>
      </c>
      <c r="AE244" s="60">
        <v>290</v>
      </c>
      <c r="AF244" s="60">
        <v>295</v>
      </c>
      <c r="AG244" s="60">
        <v>295</v>
      </c>
      <c r="AH244" s="60">
        <v>290</v>
      </c>
      <c r="AI244" s="60">
        <v>290</v>
      </c>
      <c r="AJ244" s="60">
        <v>290</v>
      </c>
      <c r="AK244" s="60">
        <v>300</v>
      </c>
      <c r="AL244" s="60">
        <v>295</v>
      </c>
      <c r="AM244" s="60">
        <v>300</v>
      </c>
      <c r="AN244" s="60">
        <v>295</v>
      </c>
      <c r="AO244" s="60">
        <v>300</v>
      </c>
      <c r="AP244" s="60">
        <v>310</v>
      </c>
      <c r="AQ244" s="60">
        <v>315</v>
      </c>
      <c r="AR244" s="60">
        <v>320</v>
      </c>
      <c r="AS244" s="60">
        <v>330</v>
      </c>
      <c r="AT244" s="60">
        <v>345</v>
      </c>
      <c r="AU244" s="60">
        <v>350</v>
      </c>
      <c r="AV244" s="60">
        <v>360</v>
      </c>
      <c r="AW244" s="60">
        <v>375</v>
      </c>
      <c r="AX244" s="60">
        <v>385</v>
      </c>
      <c r="AY244" s="60">
        <v>400</v>
      </c>
      <c r="AZ244" s="60">
        <v>400</v>
      </c>
      <c r="BA244" s="60">
        <v>420</v>
      </c>
      <c r="BB244" s="60">
        <v>430</v>
      </c>
      <c r="BC244" s="60">
        <v>430</v>
      </c>
      <c r="BD244" s="60">
        <v>440</v>
      </c>
      <c r="BE244" s="60">
        <v>445</v>
      </c>
      <c r="BF244" s="60">
        <v>450</v>
      </c>
      <c r="BG244" s="60">
        <v>450</v>
      </c>
      <c r="BH244" s="60">
        <v>470</v>
      </c>
    </row>
    <row r="245" spans="2:60" hidden="1" x14ac:dyDescent="0.2">
      <c r="B245" s="57"/>
      <c r="C245" s="57" t="s">
        <v>682</v>
      </c>
      <c r="D245" s="57" t="s">
        <v>650</v>
      </c>
      <c r="E245" s="58">
        <v>305</v>
      </c>
      <c r="F245" s="58">
        <v>300</v>
      </c>
      <c r="G245" s="58">
        <v>320</v>
      </c>
      <c r="H245" s="58">
        <v>300</v>
      </c>
      <c r="I245" s="58">
        <v>310</v>
      </c>
      <c r="J245" s="58">
        <v>320</v>
      </c>
      <c r="K245" s="58">
        <v>310</v>
      </c>
      <c r="L245" s="58">
        <v>310</v>
      </c>
      <c r="M245" s="58">
        <v>320</v>
      </c>
      <c r="N245" s="58">
        <v>320</v>
      </c>
      <c r="O245" s="58">
        <v>320</v>
      </c>
      <c r="P245" s="58">
        <v>330</v>
      </c>
      <c r="Q245" s="58">
        <v>330</v>
      </c>
      <c r="R245" s="58">
        <v>320</v>
      </c>
      <c r="S245" s="58">
        <v>325</v>
      </c>
      <c r="T245" s="58">
        <v>330</v>
      </c>
      <c r="U245" s="58">
        <v>325</v>
      </c>
      <c r="V245" s="58">
        <v>330</v>
      </c>
      <c r="W245" s="58">
        <v>335</v>
      </c>
      <c r="X245" s="58">
        <v>320</v>
      </c>
      <c r="Y245" s="58">
        <v>330</v>
      </c>
      <c r="Z245" s="58">
        <v>320</v>
      </c>
      <c r="AA245" s="58">
        <v>330</v>
      </c>
      <c r="AB245" s="58">
        <v>330</v>
      </c>
      <c r="AC245" s="58">
        <v>325</v>
      </c>
      <c r="AD245" s="58">
        <v>335</v>
      </c>
      <c r="AE245" s="58">
        <v>330</v>
      </c>
      <c r="AF245" s="58">
        <v>330</v>
      </c>
      <c r="AG245" s="58">
        <v>340</v>
      </c>
      <c r="AH245" s="58">
        <v>335</v>
      </c>
      <c r="AI245" s="58">
        <v>330</v>
      </c>
      <c r="AJ245" s="58">
        <v>330</v>
      </c>
      <c r="AK245" s="58">
        <v>350</v>
      </c>
      <c r="AL245" s="58">
        <v>340</v>
      </c>
      <c r="AM245" s="58">
        <v>340</v>
      </c>
      <c r="AN245" s="58">
        <v>350</v>
      </c>
      <c r="AO245" s="58">
        <v>355</v>
      </c>
      <c r="AP245" s="58">
        <v>350</v>
      </c>
      <c r="AQ245" s="58">
        <v>360</v>
      </c>
      <c r="AR245" s="58">
        <v>370</v>
      </c>
      <c r="AS245" s="58">
        <v>375</v>
      </c>
      <c r="AT245" s="58">
        <v>390</v>
      </c>
      <c r="AU245" s="58">
        <v>410</v>
      </c>
      <c r="AV245" s="58">
        <v>420</v>
      </c>
      <c r="AW245" s="58">
        <v>450</v>
      </c>
      <c r="AX245" s="58">
        <v>450</v>
      </c>
      <c r="AY245" s="58">
        <v>460</v>
      </c>
      <c r="AZ245" s="58">
        <v>480</v>
      </c>
      <c r="BA245" s="58">
        <v>500</v>
      </c>
      <c r="BB245" s="58">
        <v>500</v>
      </c>
      <c r="BC245" s="58">
        <v>500</v>
      </c>
      <c r="BD245" s="58">
        <v>520</v>
      </c>
      <c r="BE245" s="58">
        <v>530</v>
      </c>
      <c r="BF245" s="58">
        <v>550</v>
      </c>
      <c r="BG245" s="58">
        <v>550</v>
      </c>
      <c r="BH245" s="58">
        <v>550</v>
      </c>
    </row>
    <row r="246" spans="2:60" hidden="1" x14ac:dyDescent="0.2">
      <c r="B246" s="59"/>
      <c r="C246" s="59" t="s">
        <v>682</v>
      </c>
      <c r="D246" s="59" t="s">
        <v>651</v>
      </c>
      <c r="E246" s="60">
        <v>270</v>
      </c>
      <c r="F246" s="60">
        <v>280</v>
      </c>
      <c r="G246" s="60">
        <v>280</v>
      </c>
      <c r="H246" s="60">
        <v>280</v>
      </c>
      <c r="I246" s="60">
        <v>275</v>
      </c>
      <c r="J246" s="60">
        <v>280</v>
      </c>
      <c r="K246" s="60">
        <v>280</v>
      </c>
      <c r="L246" s="60">
        <v>280</v>
      </c>
      <c r="M246" s="60">
        <v>290</v>
      </c>
      <c r="N246" s="60">
        <v>295</v>
      </c>
      <c r="O246" s="60">
        <v>295</v>
      </c>
      <c r="P246" s="60">
        <v>290</v>
      </c>
      <c r="Q246" s="60">
        <v>295</v>
      </c>
      <c r="R246" s="60">
        <v>290</v>
      </c>
      <c r="S246" s="60">
        <v>300</v>
      </c>
      <c r="T246" s="60">
        <v>295</v>
      </c>
      <c r="U246" s="60">
        <v>300</v>
      </c>
      <c r="V246" s="60">
        <v>290</v>
      </c>
      <c r="W246" s="60">
        <v>300</v>
      </c>
      <c r="X246" s="60">
        <v>300</v>
      </c>
      <c r="Y246" s="60">
        <v>300</v>
      </c>
      <c r="Z246" s="60">
        <v>300</v>
      </c>
      <c r="AA246" s="60">
        <v>300</v>
      </c>
      <c r="AB246" s="60">
        <v>300</v>
      </c>
      <c r="AC246" s="60">
        <v>300</v>
      </c>
      <c r="AD246" s="60">
        <v>315</v>
      </c>
      <c r="AE246" s="60">
        <v>305</v>
      </c>
      <c r="AF246" s="60">
        <v>300</v>
      </c>
      <c r="AG246" s="60">
        <v>310</v>
      </c>
      <c r="AH246" s="60">
        <v>320</v>
      </c>
      <c r="AI246" s="60">
        <v>300</v>
      </c>
      <c r="AJ246" s="60">
        <v>300</v>
      </c>
      <c r="AK246" s="60">
        <v>300</v>
      </c>
      <c r="AL246" s="60">
        <v>300</v>
      </c>
      <c r="AM246" s="60">
        <v>305</v>
      </c>
      <c r="AN246" s="60">
        <v>310</v>
      </c>
      <c r="AO246" s="60">
        <v>310</v>
      </c>
      <c r="AP246" s="60">
        <v>320</v>
      </c>
      <c r="AQ246" s="60">
        <v>330</v>
      </c>
      <c r="AR246" s="60">
        <v>340</v>
      </c>
      <c r="AS246" s="60">
        <v>350</v>
      </c>
      <c r="AT246" s="60">
        <v>370</v>
      </c>
      <c r="AU246" s="60">
        <v>380</v>
      </c>
      <c r="AV246" s="60">
        <v>380</v>
      </c>
      <c r="AW246" s="60">
        <v>420</v>
      </c>
      <c r="AX246" s="60">
        <v>400</v>
      </c>
      <c r="AY246" s="60">
        <v>415</v>
      </c>
      <c r="AZ246" s="60">
        <v>425</v>
      </c>
      <c r="BA246" s="60">
        <v>450</v>
      </c>
      <c r="BB246" s="60">
        <v>450</v>
      </c>
      <c r="BC246" s="60">
        <v>450</v>
      </c>
      <c r="BD246" s="60">
        <v>450</v>
      </c>
      <c r="BE246" s="60">
        <v>450</v>
      </c>
      <c r="BF246" s="60">
        <v>480</v>
      </c>
      <c r="BG246" s="60">
        <v>470</v>
      </c>
      <c r="BH246" s="60">
        <v>480</v>
      </c>
    </row>
    <row r="247" spans="2:60" hidden="1" x14ac:dyDescent="0.2">
      <c r="B247" s="57"/>
      <c r="C247" s="57" t="s">
        <v>682</v>
      </c>
      <c r="D247" s="57" t="s">
        <v>652</v>
      </c>
      <c r="E247" s="58">
        <v>329</v>
      </c>
      <c r="F247" s="58">
        <v>320</v>
      </c>
      <c r="G247" s="58">
        <v>320</v>
      </c>
      <c r="H247" s="58">
        <v>330</v>
      </c>
      <c r="I247" s="58">
        <v>330</v>
      </c>
      <c r="J247" s="58">
        <v>330</v>
      </c>
      <c r="K247" s="58">
        <v>330</v>
      </c>
      <c r="L247" s="58">
        <v>330</v>
      </c>
      <c r="M247" s="58">
        <v>340</v>
      </c>
      <c r="N247" s="58">
        <v>340</v>
      </c>
      <c r="O247" s="58">
        <v>340</v>
      </c>
      <c r="P247" s="58">
        <v>340</v>
      </c>
      <c r="Q247" s="58">
        <v>350</v>
      </c>
      <c r="R247" s="58">
        <v>350</v>
      </c>
      <c r="S247" s="58">
        <v>350</v>
      </c>
      <c r="T247" s="58">
        <v>350</v>
      </c>
      <c r="U247" s="58">
        <v>355</v>
      </c>
      <c r="V247" s="58">
        <v>350</v>
      </c>
      <c r="W247" s="58">
        <v>360</v>
      </c>
      <c r="X247" s="58">
        <v>350</v>
      </c>
      <c r="Y247" s="58">
        <v>360</v>
      </c>
      <c r="Z247" s="58">
        <v>355</v>
      </c>
      <c r="AA247" s="58">
        <v>360</v>
      </c>
      <c r="AB247" s="58">
        <v>360</v>
      </c>
      <c r="AC247" s="58">
        <v>360</v>
      </c>
      <c r="AD247" s="58">
        <v>360</v>
      </c>
      <c r="AE247" s="58">
        <v>360</v>
      </c>
      <c r="AF247" s="58">
        <v>365</v>
      </c>
      <c r="AG247" s="58">
        <v>365</v>
      </c>
      <c r="AH247" s="58">
        <v>370</v>
      </c>
      <c r="AI247" s="58">
        <v>370</v>
      </c>
      <c r="AJ247" s="58">
        <v>370</v>
      </c>
      <c r="AK247" s="58">
        <v>370</v>
      </c>
      <c r="AL247" s="58">
        <v>370</v>
      </c>
      <c r="AM247" s="58">
        <v>380</v>
      </c>
      <c r="AN247" s="58">
        <v>385</v>
      </c>
      <c r="AO247" s="58">
        <v>395</v>
      </c>
      <c r="AP247" s="58">
        <v>400</v>
      </c>
      <c r="AQ247" s="58">
        <v>420</v>
      </c>
      <c r="AR247" s="58">
        <v>430</v>
      </c>
      <c r="AS247" s="58">
        <v>440</v>
      </c>
      <c r="AT247" s="58">
        <v>460</v>
      </c>
      <c r="AU247" s="58">
        <v>480</v>
      </c>
      <c r="AV247" s="58">
        <v>490</v>
      </c>
      <c r="AW247" s="58">
        <v>500</v>
      </c>
      <c r="AX247" s="58">
        <v>510</v>
      </c>
      <c r="AY247" s="58">
        <v>520</v>
      </c>
      <c r="AZ247" s="58">
        <v>530</v>
      </c>
      <c r="BA247" s="58">
        <v>550</v>
      </c>
      <c r="BB247" s="58">
        <v>550</v>
      </c>
      <c r="BC247" s="58">
        <v>550</v>
      </c>
      <c r="BD247" s="58">
        <v>560</v>
      </c>
      <c r="BE247" s="58">
        <v>575</v>
      </c>
      <c r="BF247" s="58">
        <v>590</v>
      </c>
      <c r="BG247" s="58">
        <v>600</v>
      </c>
      <c r="BH247" s="58">
        <v>600</v>
      </c>
    </row>
    <row r="248" spans="2:60" hidden="1" x14ac:dyDescent="0.2">
      <c r="B248" s="59"/>
      <c r="C248" s="59" t="s">
        <v>682</v>
      </c>
      <c r="D248" s="59" t="s">
        <v>653</v>
      </c>
      <c r="E248" s="60">
        <v>370</v>
      </c>
      <c r="F248" s="60">
        <v>375</v>
      </c>
      <c r="G248" s="60">
        <v>375</v>
      </c>
      <c r="H248" s="60">
        <v>375</v>
      </c>
      <c r="I248" s="60">
        <v>380</v>
      </c>
      <c r="J248" s="60">
        <v>380</v>
      </c>
      <c r="K248" s="60">
        <v>385</v>
      </c>
      <c r="L248" s="60">
        <v>390</v>
      </c>
      <c r="M248" s="60">
        <v>390</v>
      </c>
      <c r="N248" s="60">
        <v>395</v>
      </c>
      <c r="O248" s="60">
        <v>400</v>
      </c>
      <c r="P248" s="60">
        <v>400</v>
      </c>
      <c r="Q248" s="60">
        <v>400</v>
      </c>
      <c r="R248" s="60">
        <v>400</v>
      </c>
      <c r="S248" s="60">
        <v>400</v>
      </c>
      <c r="T248" s="60">
        <v>410</v>
      </c>
      <c r="U248" s="60">
        <v>410</v>
      </c>
      <c r="V248" s="60">
        <v>405</v>
      </c>
      <c r="W248" s="60">
        <v>400</v>
      </c>
      <c r="X248" s="60">
        <v>400</v>
      </c>
      <c r="Y248" s="60">
        <v>410</v>
      </c>
      <c r="Z248" s="60">
        <v>410</v>
      </c>
      <c r="AA248" s="60">
        <v>410</v>
      </c>
      <c r="AB248" s="60">
        <v>410</v>
      </c>
      <c r="AC248" s="60">
        <v>410</v>
      </c>
      <c r="AD248" s="60">
        <v>410</v>
      </c>
      <c r="AE248" s="60">
        <v>415</v>
      </c>
      <c r="AF248" s="60">
        <v>420</v>
      </c>
      <c r="AG248" s="60">
        <v>420</v>
      </c>
      <c r="AH248" s="60">
        <v>420</v>
      </c>
      <c r="AI248" s="60">
        <v>425</v>
      </c>
      <c r="AJ248" s="60">
        <v>425</v>
      </c>
      <c r="AK248" s="60">
        <v>420</v>
      </c>
      <c r="AL248" s="60">
        <v>425</v>
      </c>
      <c r="AM248" s="60">
        <v>430</v>
      </c>
      <c r="AN248" s="60">
        <v>440</v>
      </c>
      <c r="AO248" s="60">
        <v>450</v>
      </c>
      <c r="AP248" s="60">
        <v>460</v>
      </c>
      <c r="AQ248" s="60">
        <v>470</v>
      </c>
      <c r="AR248" s="60">
        <v>490</v>
      </c>
      <c r="AS248" s="60">
        <v>500</v>
      </c>
      <c r="AT248" s="60">
        <v>530</v>
      </c>
      <c r="AU248" s="60">
        <v>550</v>
      </c>
      <c r="AV248" s="60">
        <v>560</v>
      </c>
      <c r="AW248" s="60">
        <v>580</v>
      </c>
      <c r="AX248" s="60">
        <v>600</v>
      </c>
      <c r="AY248" s="60">
        <v>600</v>
      </c>
      <c r="AZ248" s="60">
        <v>610</v>
      </c>
      <c r="BA248" s="60">
        <v>630</v>
      </c>
      <c r="BB248" s="60">
        <v>650</v>
      </c>
      <c r="BC248" s="60">
        <v>640</v>
      </c>
      <c r="BD248" s="60">
        <v>650</v>
      </c>
      <c r="BE248" s="60">
        <v>650</v>
      </c>
      <c r="BF248" s="60">
        <v>670</v>
      </c>
      <c r="BG248" s="60">
        <v>670</v>
      </c>
      <c r="BH248" s="60">
        <v>680</v>
      </c>
    </row>
    <row r="249" spans="2:60" x14ac:dyDescent="0.2">
      <c r="B249" s="57"/>
      <c r="C249" s="57" t="s">
        <v>682</v>
      </c>
      <c r="D249" s="57" t="s">
        <v>654</v>
      </c>
      <c r="E249" s="58">
        <v>270</v>
      </c>
      <c r="F249" s="58">
        <v>280</v>
      </c>
      <c r="G249" s="58">
        <v>280</v>
      </c>
      <c r="H249" s="58">
        <v>280</v>
      </c>
      <c r="I249" s="58">
        <v>290</v>
      </c>
      <c r="J249" s="58">
        <v>285</v>
      </c>
      <c r="K249" s="58">
        <v>290</v>
      </c>
      <c r="L249" s="58">
        <v>290</v>
      </c>
      <c r="M249" s="58">
        <v>300</v>
      </c>
      <c r="N249" s="58">
        <v>290</v>
      </c>
      <c r="O249" s="58">
        <v>290</v>
      </c>
      <c r="P249" s="58">
        <v>285</v>
      </c>
      <c r="Q249" s="58">
        <v>290</v>
      </c>
      <c r="R249" s="58">
        <v>300</v>
      </c>
      <c r="S249" s="58">
        <v>295</v>
      </c>
      <c r="T249" s="58">
        <v>300</v>
      </c>
      <c r="U249" s="58">
        <v>290</v>
      </c>
      <c r="V249" s="58">
        <v>300</v>
      </c>
      <c r="W249" s="58">
        <v>300</v>
      </c>
      <c r="X249" s="58">
        <v>305</v>
      </c>
      <c r="Y249" s="58">
        <v>295</v>
      </c>
      <c r="Z249" s="58">
        <v>300</v>
      </c>
      <c r="AA249" s="58">
        <v>300</v>
      </c>
      <c r="AB249" s="58">
        <v>300</v>
      </c>
      <c r="AC249" s="58">
        <v>290</v>
      </c>
      <c r="AD249" s="58">
        <v>300</v>
      </c>
      <c r="AE249" s="58">
        <v>310</v>
      </c>
      <c r="AF249" s="58">
        <v>300</v>
      </c>
      <c r="AG249" s="58">
        <v>310</v>
      </c>
      <c r="AH249" s="58">
        <v>300</v>
      </c>
      <c r="AI249" s="58">
        <v>315</v>
      </c>
      <c r="AJ249" s="58">
        <v>300</v>
      </c>
      <c r="AK249" s="58">
        <v>300</v>
      </c>
      <c r="AL249" s="58">
        <v>305</v>
      </c>
      <c r="AM249" s="58">
        <v>310</v>
      </c>
      <c r="AN249" s="58">
        <v>310</v>
      </c>
      <c r="AO249" s="58">
        <v>325</v>
      </c>
      <c r="AP249" s="58">
        <v>320</v>
      </c>
      <c r="AQ249" s="58">
        <v>325</v>
      </c>
      <c r="AR249" s="58">
        <v>340</v>
      </c>
      <c r="AS249" s="58">
        <v>345</v>
      </c>
      <c r="AT249" s="58">
        <v>350</v>
      </c>
      <c r="AU249" s="58">
        <v>380</v>
      </c>
      <c r="AV249" s="58">
        <v>375</v>
      </c>
      <c r="AW249" s="58">
        <v>400</v>
      </c>
      <c r="AX249" s="58">
        <v>400</v>
      </c>
      <c r="AY249" s="58">
        <v>410</v>
      </c>
      <c r="AZ249" s="58">
        <v>420</v>
      </c>
      <c r="BA249" s="58">
        <v>420</v>
      </c>
      <c r="BB249" s="58">
        <v>450</v>
      </c>
      <c r="BC249" s="58">
        <v>440</v>
      </c>
      <c r="BD249" s="58">
        <v>450</v>
      </c>
      <c r="BE249" s="58">
        <v>450</v>
      </c>
      <c r="BF249" s="58">
        <v>480</v>
      </c>
      <c r="BG249" s="58">
        <v>470</v>
      </c>
      <c r="BH249" s="58">
        <v>500</v>
      </c>
    </row>
    <row r="250" spans="2:60" hidden="1" x14ac:dyDescent="0.2">
      <c r="B250" s="59"/>
      <c r="C250" s="59" t="s">
        <v>682</v>
      </c>
      <c r="D250" s="59" t="s">
        <v>655</v>
      </c>
      <c r="E250" s="60">
        <v>325</v>
      </c>
      <c r="F250" s="60">
        <v>320</v>
      </c>
      <c r="G250" s="60">
        <v>320</v>
      </c>
      <c r="H250" s="60">
        <v>325</v>
      </c>
      <c r="I250" s="60">
        <v>330</v>
      </c>
      <c r="J250" s="60">
        <v>330</v>
      </c>
      <c r="K250" s="60">
        <v>335</v>
      </c>
      <c r="L250" s="60">
        <v>335</v>
      </c>
      <c r="M250" s="60">
        <v>330</v>
      </c>
      <c r="N250" s="60">
        <v>330</v>
      </c>
      <c r="O250" s="60">
        <v>335</v>
      </c>
      <c r="P250" s="60">
        <v>340</v>
      </c>
      <c r="Q250" s="60">
        <v>340</v>
      </c>
      <c r="R250" s="60">
        <v>340</v>
      </c>
      <c r="S250" s="60">
        <v>340</v>
      </c>
      <c r="T250" s="60">
        <v>340</v>
      </c>
      <c r="U250" s="60">
        <v>345</v>
      </c>
      <c r="V250" s="60">
        <v>345</v>
      </c>
      <c r="W250" s="60">
        <v>350</v>
      </c>
      <c r="X250" s="60">
        <v>340</v>
      </c>
      <c r="Y250" s="60">
        <v>340</v>
      </c>
      <c r="Z250" s="60">
        <v>340</v>
      </c>
      <c r="AA250" s="60">
        <v>340</v>
      </c>
      <c r="AB250" s="60">
        <v>345</v>
      </c>
      <c r="AC250" s="60">
        <v>345</v>
      </c>
      <c r="AD250" s="60">
        <v>345</v>
      </c>
      <c r="AE250" s="60">
        <v>345</v>
      </c>
      <c r="AF250" s="60">
        <v>345</v>
      </c>
      <c r="AG250" s="60">
        <v>345</v>
      </c>
      <c r="AH250" s="60">
        <v>350</v>
      </c>
      <c r="AI250" s="60">
        <v>350</v>
      </c>
      <c r="AJ250" s="60">
        <v>350</v>
      </c>
      <c r="AK250" s="60">
        <v>350</v>
      </c>
      <c r="AL250" s="60">
        <v>350</v>
      </c>
      <c r="AM250" s="60">
        <v>355</v>
      </c>
      <c r="AN250" s="60">
        <v>360</v>
      </c>
      <c r="AO250" s="60">
        <v>360</v>
      </c>
      <c r="AP250" s="60">
        <v>370</v>
      </c>
      <c r="AQ250" s="60">
        <v>370</v>
      </c>
      <c r="AR250" s="60">
        <v>380</v>
      </c>
      <c r="AS250" s="60">
        <v>395</v>
      </c>
      <c r="AT250" s="60">
        <v>410</v>
      </c>
      <c r="AU250" s="60">
        <v>430</v>
      </c>
      <c r="AV250" s="60">
        <v>450</v>
      </c>
      <c r="AW250" s="60">
        <v>460</v>
      </c>
      <c r="AX250" s="60">
        <v>480</v>
      </c>
      <c r="AY250" s="60">
        <v>500</v>
      </c>
      <c r="AZ250" s="60">
        <v>500</v>
      </c>
      <c r="BA250" s="60">
        <v>525</v>
      </c>
      <c r="BB250" s="60">
        <v>540</v>
      </c>
      <c r="BC250" s="60">
        <v>535</v>
      </c>
      <c r="BD250" s="60">
        <v>540</v>
      </c>
      <c r="BE250" s="60">
        <v>560</v>
      </c>
      <c r="BF250" s="60">
        <v>570</v>
      </c>
      <c r="BG250" s="60">
        <v>580</v>
      </c>
      <c r="BH250" s="60">
        <v>590</v>
      </c>
    </row>
    <row r="251" spans="2:60" hidden="1" x14ac:dyDescent="0.2">
      <c r="B251" s="57"/>
      <c r="C251" s="57" t="s">
        <v>682</v>
      </c>
      <c r="D251" s="57" t="s">
        <v>656</v>
      </c>
      <c r="E251" s="58">
        <v>330</v>
      </c>
      <c r="F251" s="58">
        <v>325</v>
      </c>
      <c r="G251" s="58">
        <v>330</v>
      </c>
      <c r="H251" s="58">
        <v>330</v>
      </c>
      <c r="I251" s="58">
        <v>330</v>
      </c>
      <c r="J251" s="58">
        <v>335</v>
      </c>
      <c r="K251" s="58">
        <v>336</v>
      </c>
      <c r="L251" s="58">
        <v>340</v>
      </c>
      <c r="M251" s="58">
        <v>340</v>
      </c>
      <c r="N251" s="58">
        <v>340</v>
      </c>
      <c r="O251" s="58">
        <v>345</v>
      </c>
      <c r="P251" s="58">
        <v>350</v>
      </c>
      <c r="Q251" s="58">
        <v>350</v>
      </c>
      <c r="R251" s="58">
        <v>350</v>
      </c>
      <c r="S251" s="58">
        <v>350</v>
      </c>
      <c r="T251" s="58">
        <v>350</v>
      </c>
      <c r="U251" s="58">
        <v>350</v>
      </c>
      <c r="V251" s="58">
        <v>350</v>
      </c>
      <c r="W251" s="58">
        <v>355</v>
      </c>
      <c r="X251" s="58">
        <v>350</v>
      </c>
      <c r="Y251" s="58">
        <v>350</v>
      </c>
      <c r="Z251" s="58">
        <v>350</v>
      </c>
      <c r="AA251" s="58">
        <v>360</v>
      </c>
      <c r="AB251" s="58">
        <v>360</v>
      </c>
      <c r="AC251" s="58">
        <v>355</v>
      </c>
      <c r="AD251" s="58">
        <v>360</v>
      </c>
      <c r="AE251" s="58">
        <v>360</v>
      </c>
      <c r="AF251" s="58">
        <v>360</v>
      </c>
      <c r="AG251" s="58">
        <v>365</v>
      </c>
      <c r="AH251" s="58">
        <v>360</v>
      </c>
      <c r="AI251" s="58">
        <v>365</v>
      </c>
      <c r="AJ251" s="58">
        <v>365</v>
      </c>
      <c r="AK251" s="58">
        <v>365</v>
      </c>
      <c r="AL251" s="58">
        <v>365</v>
      </c>
      <c r="AM251" s="58">
        <v>365</v>
      </c>
      <c r="AN251" s="58">
        <v>375</v>
      </c>
      <c r="AO251" s="58">
        <v>380</v>
      </c>
      <c r="AP251" s="58">
        <v>390</v>
      </c>
      <c r="AQ251" s="58">
        <v>400</v>
      </c>
      <c r="AR251" s="58">
        <v>420</v>
      </c>
      <c r="AS251" s="58">
        <v>430</v>
      </c>
      <c r="AT251" s="58">
        <v>450</v>
      </c>
      <c r="AU251" s="58">
        <v>480</v>
      </c>
      <c r="AV251" s="58">
        <v>500</v>
      </c>
      <c r="AW251" s="58">
        <v>500</v>
      </c>
      <c r="AX251" s="58">
        <v>510</v>
      </c>
      <c r="AY251" s="58">
        <v>525</v>
      </c>
      <c r="AZ251" s="58">
        <v>550</v>
      </c>
      <c r="BA251" s="58">
        <v>550</v>
      </c>
      <c r="BB251" s="58">
        <v>570</v>
      </c>
      <c r="BC251" s="58">
        <v>570</v>
      </c>
      <c r="BD251" s="58">
        <v>580</v>
      </c>
      <c r="BE251" s="58">
        <v>585</v>
      </c>
      <c r="BF251" s="58">
        <v>600</v>
      </c>
      <c r="BG251" s="58">
        <v>600</v>
      </c>
      <c r="BH251" s="58">
        <v>610</v>
      </c>
    </row>
    <row r="252" spans="2:60" hidden="1" x14ac:dyDescent="0.2">
      <c r="B252" s="59"/>
      <c r="C252" s="59" t="s">
        <v>683</v>
      </c>
      <c r="D252" s="59" t="s">
        <v>648</v>
      </c>
      <c r="E252" s="60">
        <v>250</v>
      </c>
      <c r="F252" s="60">
        <v>270</v>
      </c>
      <c r="G252" s="60">
        <v>270</v>
      </c>
      <c r="H252" s="60">
        <v>280</v>
      </c>
      <c r="I252" s="60">
        <v>290</v>
      </c>
      <c r="J252" s="60">
        <v>280</v>
      </c>
      <c r="K252" s="60">
        <v>270</v>
      </c>
      <c r="L252" s="60">
        <v>260</v>
      </c>
      <c r="M252" s="60">
        <v>275</v>
      </c>
      <c r="N252" s="60">
        <v>250</v>
      </c>
      <c r="O252" s="60">
        <v>240</v>
      </c>
      <c r="P252" s="60">
        <v>220</v>
      </c>
      <c r="Q252" s="60">
        <v>200</v>
      </c>
      <c r="R252" s="60">
        <v>200</v>
      </c>
      <c r="S252" s="60">
        <v>200</v>
      </c>
      <c r="T252" s="60">
        <v>180</v>
      </c>
      <c r="U252" s="60">
        <v>180</v>
      </c>
      <c r="V252" s="60">
        <v>170</v>
      </c>
      <c r="W252" s="60">
        <v>155</v>
      </c>
      <c r="X252" s="60">
        <v>150</v>
      </c>
      <c r="Y252" s="60">
        <v>170</v>
      </c>
      <c r="Z252" s="60">
        <v>160</v>
      </c>
      <c r="AA252" s="60">
        <v>160</v>
      </c>
      <c r="AB252" s="60">
        <v>150</v>
      </c>
      <c r="AC252" s="60">
        <v>180</v>
      </c>
      <c r="AD252" s="60">
        <v>160</v>
      </c>
      <c r="AE252" s="60">
        <v>155</v>
      </c>
      <c r="AF252" s="60">
        <v>180</v>
      </c>
      <c r="AG252" s="60">
        <v>170</v>
      </c>
      <c r="AH252" s="60">
        <v>190</v>
      </c>
      <c r="AI252" s="60">
        <v>180</v>
      </c>
      <c r="AJ252" s="60">
        <v>190</v>
      </c>
      <c r="AK252" s="60">
        <v>180</v>
      </c>
      <c r="AL252" s="60">
        <v>180</v>
      </c>
      <c r="AM252" s="60">
        <v>200</v>
      </c>
      <c r="AN252" s="60">
        <v>200</v>
      </c>
      <c r="AO252" s="60">
        <v>210</v>
      </c>
      <c r="AP252" s="60">
        <v>230</v>
      </c>
      <c r="AQ252" s="60">
        <v>210</v>
      </c>
      <c r="AR252" s="60">
        <v>210</v>
      </c>
      <c r="AS252" s="60">
        <v>230</v>
      </c>
      <c r="AT252" s="60">
        <v>240</v>
      </c>
      <c r="AU252" s="60">
        <v>220</v>
      </c>
      <c r="AV252" s="60">
        <v>220</v>
      </c>
      <c r="AW252" s="60">
        <v>230</v>
      </c>
      <c r="AX252" s="60">
        <v>230</v>
      </c>
      <c r="AY252" s="60">
        <v>240</v>
      </c>
      <c r="AZ252" s="60">
        <v>220</v>
      </c>
      <c r="BA252" s="60">
        <v>220</v>
      </c>
      <c r="BB252" s="60">
        <v>230</v>
      </c>
      <c r="BC252" s="60">
        <v>230</v>
      </c>
      <c r="BD252" s="60">
        <v>260</v>
      </c>
      <c r="BE252" s="60">
        <v>230</v>
      </c>
      <c r="BF252" s="60">
        <v>230</v>
      </c>
      <c r="BG252" s="60">
        <v>250</v>
      </c>
      <c r="BH252" s="60">
        <v>250</v>
      </c>
    </row>
    <row r="253" spans="2:60" hidden="1" x14ac:dyDescent="0.2">
      <c r="B253" s="57"/>
      <c r="C253" s="57" t="s">
        <v>683</v>
      </c>
      <c r="D253" s="57" t="s">
        <v>649</v>
      </c>
      <c r="E253" s="58">
        <v>350</v>
      </c>
      <c r="F253" s="58">
        <v>370</v>
      </c>
      <c r="G253" s="58">
        <v>400</v>
      </c>
      <c r="H253" s="58">
        <v>400</v>
      </c>
      <c r="I253" s="58">
        <v>400</v>
      </c>
      <c r="J253" s="58">
        <v>400</v>
      </c>
      <c r="K253" s="58">
        <v>380</v>
      </c>
      <c r="L253" s="58">
        <v>350</v>
      </c>
      <c r="M253" s="58">
        <v>340</v>
      </c>
      <c r="N253" s="58">
        <v>300</v>
      </c>
      <c r="O253" s="58">
        <v>320</v>
      </c>
      <c r="P253" s="58">
        <v>290</v>
      </c>
      <c r="Q253" s="58">
        <v>290</v>
      </c>
      <c r="R253" s="58">
        <v>260</v>
      </c>
      <c r="S253" s="58">
        <v>250</v>
      </c>
      <c r="T253" s="58">
        <v>250</v>
      </c>
      <c r="U253" s="58">
        <v>240</v>
      </c>
      <c r="V253" s="58">
        <v>225</v>
      </c>
      <c r="W253" s="58">
        <v>220</v>
      </c>
      <c r="X253" s="58">
        <v>210</v>
      </c>
      <c r="Y253" s="58">
        <v>220</v>
      </c>
      <c r="Z253" s="58">
        <v>200</v>
      </c>
      <c r="AA253" s="58">
        <v>210</v>
      </c>
      <c r="AB253" s="58">
        <v>210</v>
      </c>
      <c r="AC253" s="58">
        <v>200</v>
      </c>
      <c r="AD253" s="58">
        <v>220</v>
      </c>
      <c r="AE253" s="58">
        <v>220</v>
      </c>
      <c r="AF253" s="58">
        <v>220</v>
      </c>
      <c r="AG253" s="58">
        <v>220</v>
      </c>
      <c r="AH253" s="58">
        <v>220</v>
      </c>
      <c r="AI253" s="58">
        <v>230</v>
      </c>
      <c r="AJ253" s="58">
        <v>220</v>
      </c>
      <c r="AK253" s="58">
        <v>230</v>
      </c>
      <c r="AL253" s="58">
        <v>250</v>
      </c>
      <c r="AM253" s="58">
        <v>240</v>
      </c>
      <c r="AN253" s="58">
        <v>250</v>
      </c>
      <c r="AO253" s="58">
        <v>260</v>
      </c>
      <c r="AP253" s="58">
        <v>260</v>
      </c>
      <c r="AQ253" s="58">
        <v>270</v>
      </c>
      <c r="AR253" s="58">
        <v>285</v>
      </c>
      <c r="AS253" s="58">
        <v>280</v>
      </c>
      <c r="AT253" s="58">
        <v>275</v>
      </c>
      <c r="AU253" s="58">
        <v>300</v>
      </c>
      <c r="AV253" s="58">
        <v>300</v>
      </c>
      <c r="AW253" s="58">
        <v>290</v>
      </c>
      <c r="AX253" s="58">
        <v>280</v>
      </c>
      <c r="AY253" s="58">
        <v>300</v>
      </c>
      <c r="AZ253" s="58">
        <v>300</v>
      </c>
      <c r="BA253" s="58">
        <v>280</v>
      </c>
      <c r="BB253" s="58">
        <v>310</v>
      </c>
      <c r="BC253" s="58">
        <v>300</v>
      </c>
      <c r="BD253" s="58">
        <v>310</v>
      </c>
      <c r="BE253" s="58">
        <v>310</v>
      </c>
      <c r="BF253" s="58">
        <v>310</v>
      </c>
      <c r="BG253" s="58">
        <v>310</v>
      </c>
      <c r="BH253" s="58">
        <v>310</v>
      </c>
    </row>
    <row r="254" spans="2:60" hidden="1" x14ac:dyDescent="0.2">
      <c r="B254" s="59"/>
      <c r="C254" s="59" t="s">
        <v>683</v>
      </c>
      <c r="D254" s="59" t="s">
        <v>650</v>
      </c>
      <c r="E254" s="60">
        <v>450</v>
      </c>
      <c r="F254" s="60">
        <v>450</v>
      </c>
      <c r="G254" s="60"/>
      <c r="H254" s="60">
        <v>500</v>
      </c>
      <c r="I254" s="60">
        <v>570</v>
      </c>
      <c r="J254" s="60">
        <v>450</v>
      </c>
      <c r="K254" s="60">
        <v>500</v>
      </c>
      <c r="L254" s="60">
        <v>500</v>
      </c>
      <c r="M254" s="60">
        <v>400</v>
      </c>
      <c r="N254" s="60">
        <v>380</v>
      </c>
      <c r="O254" s="60">
        <v>380</v>
      </c>
      <c r="P254" s="60">
        <v>350</v>
      </c>
      <c r="Q254" s="60">
        <v>360</v>
      </c>
      <c r="R254" s="60">
        <v>320</v>
      </c>
      <c r="S254" s="60">
        <v>350</v>
      </c>
      <c r="T254" s="60">
        <v>350</v>
      </c>
      <c r="U254" s="60">
        <v>340</v>
      </c>
      <c r="V254" s="60"/>
      <c r="W254" s="60"/>
      <c r="X254" s="60">
        <v>250</v>
      </c>
      <c r="Y254" s="60"/>
      <c r="Z254" s="60">
        <v>250</v>
      </c>
      <c r="AA254" s="60">
        <v>300</v>
      </c>
      <c r="AB254" s="60">
        <v>300</v>
      </c>
      <c r="AC254" s="60">
        <v>295</v>
      </c>
      <c r="AD254" s="60"/>
      <c r="AE254" s="60">
        <v>295</v>
      </c>
      <c r="AF254" s="60">
        <v>300</v>
      </c>
      <c r="AG254" s="60">
        <v>320</v>
      </c>
      <c r="AH254" s="60"/>
      <c r="AI254" s="60">
        <v>320</v>
      </c>
      <c r="AJ254" s="60">
        <v>325</v>
      </c>
      <c r="AK254" s="60">
        <v>350</v>
      </c>
      <c r="AL254" s="60">
        <v>330</v>
      </c>
      <c r="AM254" s="60">
        <v>410</v>
      </c>
      <c r="AN254" s="60"/>
      <c r="AO254" s="60"/>
      <c r="AP254" s="60">
        <v>360</v>
      </c>
      <c r="AQ254" s="60"/>
      <c r="AR254" s="60"/>
      <c r="AS254" s="60">
        <v>380</v>
      </c>
      <c r="AT254" s="60"/>
      <c r="AU254" s="60"/>
      <c r="AV254" s="60"/>
      <c r="AW254" s="60"/>
      <c r="AX254" s="60"/>
      <c r="AY254" s="60">
        <v>400</v>
      </c>
      <c r="AZ254" s="60">
        <v>380</v>
      </c>
      <c r="BA254" s="60"/>
      <c r="BB254" s="60">
        <v>410</v>
      </c>
      <c r="BC254" s="60"/>
      <c r="BD254" s="60"/>
      <c r="BE254" s="60">
        <v>400</v>
      </c>
      <c r="BF254" s="60"/>
      <c r="BG254" s="60"/>
      <c r="BH254" s="60"/>
    </row>
    <row r="255" spans="2:60" hidden="1" x14ac:dyDescent="0.2">
      <c r="B255" s="57"/>
      <c r="C255" s="57" t="s">
        <v>683</v>
      </c>
      <c r="D255" s="57" t="s">
        <v>651</v>
      </c>
      <c r="E255" s="58">
        <v>450</v>
      </c>
      <c r="F255" s="58">
        <v>460</v>
      </c>
      <c r="G255" s="58"/>
      <c r="H255" s="58">
        <v>450</v>
      </c>
      <c r="I255" s="58"/>
      <c r="J255" s="58">
        <v>450</v>
      </c>
      <c r="K255" s="58"/>
      <c r="L255" s="58">
        <v>380</v>
      </c>
      <c r="M255" s="58">
        <v>430</v>
      </c>
      <c r="N255" s="58">
        <v>400</v>
      </c>
      <c r="O255" s="58">
        <v>390</v>
      </c>
      <c r="P255" s="58"/>
      <c r="Q255" s="58">
        <v>320</v>
      </c>
      <c r="R255" s="58">
        <v>340</v>
      </c>
      <c r="S255" s="58">
        <v>300</v>
      </c>
      <c r="T255" s="58"/>
      <c r="U255" s="58">
        <v>250</v>
      </c>
      <c r="V255" s="58">
        <v>300</v>
      </c>
      <c r="W255" s="58"/>
      <c r="X255" s="58"/>
      <c r="Y255" s="58">
        <v>260</v>
      </c>
      <c r="Z255" s="58">
        <v>260</v>
      </c>
      <c r="AA255" s="58">
        <v>260</v>
      </c>
      <c r="AB255" s="58">
        <v>260</v>
      </c>
      <c r="AC255" s="58">
        <v>265</v>
      </c>
      <c r="AD255" s="58">
        <v>250</v>
      </c>
      <c r="AE255" s="58">
        <v>290</v>
      </c>
      <c r="AF255" s="58"/>
      <c r="AG255" s="58"/>
      <c r="AH255" s="58">
        <v>295</v>
      </c>
      <c r="AI255" s="58">
        <v>280</v>
      </c>
      <c r="AJ255" s="58">
        <v>300</v>
      </c>
      <c r="AK255" s="58">
        <v>300</v>
      </c>
      <c r="AL255" s="58">
        <v>280</v>
      </c>
      <c r="AM255" s="58"/>
      <c r="AN255" s="58"/>
      <c r="AO255" s="58">
        <v>320</v>
      </c>
      <c r="AP255" s="58">
        <v>320</v>
      </c>
      <c r="AQ255" s="58"/>
      <c r="AR255" s="58">
        <v>330</v>
      </c>
      <c r="AS255" s="58"/>
      <c r="AT255" s="58">
        <v>400</v>
      </c>
      <c r="AU255" s="58">
        <v>380</v>
      </c>
      <c r="AV255" s="58">
        <v>350</v>
      </c>
      <c r="AW255" s="58"/>
      <c r="AX255" s="58">
        <v>350</v>
      </c>
      <c r="AY255" s="58">
        <v>400</v>
      </c>
      <c r="AZ255" s="58">
        <v>380</v>
      </c>
      <c r="BA255" s="58">
        <v>400</v>
      </c>
      <c r="BB255" s="58">
        <v>350</v>
      </c>
      <c r="BC255" s="58"/>
      <c r="BD255" s="58">
        <v>380</v>
      </c>
      <c r="BE255" s="58"/>
      <c r="BF255" s="58">
        <v>420</v>
      </c>
      <c r="BG255" s="58"/>
      <c r="BH255" s="58">
        <v>420</v>
      </c>
    </row>
    <row r="256" spans="2:60" hidden="1" x14ac:dyDescent="0.2">
      <c r="B256" s="59"/>
      <c r="C256" s="59" t="s">
        <v>683</v>
      </c>
      <c r="D256" s="59" t="s">
        <v>652</v>
      </c>
      <c r="E256" s="60">
        <v>500</v>
      </c>
      <c r="F256" s="60">
        <v>550</v>
      </c>
      <c r="G256" s="60">
        <v>550</v>
      </c>
      <c r="H256" s="60">
        <v>580</v>
      </c>
      <c r="I256" s="60">
        <v>570</v>
      </c>
      <c r="J256" s="60">
        <v>570</v>
      </c>
      <c r="K256" s="60">
        <v>540</v>
      </c>
      <c r="L256" s="60">
        <v>500</v>
      </c>
      <c r="M256" s="60">
        <v>500</v>
      </c>
      <c r="N256" s="60">
        <v>480</v>
      </c>
      <c r="O256" s="60">
        <v>480</v>
      </c>
      <c r="P256" s="60">
        <v>440</v>
      </c>
      <c r="Q256" s="60">
        <v>420</v>
      </c>
      <c r="R256" s="60">
        <v>400</v>
      </c>
      <c r="S256" s="60">
        <v>400</v>
      </c>
      <c r="T256" s="60">
        <v>390</v>
      </c>
      <c r="U256" s="60">
        <v>380</v>
      </c>
      <c r="V256" s="60">
        <v>350</v>
      </c>
      <c r="W256" s="60">
        <v>325</v>
      </c>
      <c r="X256" s="60">
        <v>350</v>
      </c>
      <c r="Y256" s="60">
        <v>350</v>
      </c>
      <c r="Z256" s="60">
        <v>350</v>
      </c>
      <c r="AA256" s="60">
        <v>350</v>
      </c>
      <c r="AB256" s="60">
        <v>350</v>
      </c>
      <c r="AC256" s="60">
        <v>350</v>
      </c>
      <c r="AD256" s="60">
        <v>360</v>
      </c>
      <c r="AE256" s="60">
        <v>360</v>
      </c>
      <c r="AF256" s="60">
        <v>360</v>
      </c>
      <c r="AG256" s="60">
        <v>360</v>
      </c>
      <c r="AH256" s="60">
        <v>380</v>
      </c>
      <c r="AI256" s="60">
        <v>370</v>
      </c>
      <c r="AJ256" s="60">
        <v>390</v>
      </c>
      <c r="AK256" s="60">
        <v>390</v>
      </c>
      <c r="AL256" s="60">
        <v>400</v>
      </c>
      <c r="AM256" s="60">
        <v>420</v>
      </c>
      <c r="AN256" s="60">
        <v>425</v>
      </c>
      <c r="AO256" s="60">
        <v>425</v>
      </c>
      <c r="AP256" s="60">
        <v>420</v>
      </c>
      <c r="AQ256" s="60">
        <v>450</v>
      </c>
      <c r="AR256" s="60">
        <v>450</v>
      </c>
      <c r="AS256" s="60">
        <v>450</v>
      </c>
      <c r="AT256" s="60">
        <v>450</v>
      </c>
      <c r="AU256" s="60">
        <v>460</v>
      </c>
      <c r="AV256" s="60">
        <v>440</v>
      </c>
      <c r="AW256" s="60">
        <v>450</v>
      </c>
      <c r="AX256" s="60">
        <v>450</v>
      </c>
      <c r="AY256" s="60">
        <v>440</v>
      </c>
      <c r="AZ256" s="60">
        <v>450</v>
      </c>
      <c r="BA256" s="60">
        <v>460</v>
      </c>
      <c r="BB256" s="60">
        <v>470</v>
      </c>
      <c r="BC256" s="60">
        <v>460</v>
      </c>
      <c r="BD256" s="60">
        <v>470</v>
      </c>
      <c r="BE256" s="60">
        <v>470</v>
      </c>
      <c r="BF256" s="60">
        <v>480</v>
      </c>
      <c r="BG256" s="60">
        <v>480</v>
      </c>
      <c r="BH256" s="60">
        <v>490</v>
      </c>
    </row>
    <row r="257" spans="2:60" hidden="1" x14ac:dyDescent="0.2">
      <c r="B257" s="57"/>
      <c r="C257" s="57" t="s">
        <v>683</v>
      </c>
      <c r="D257" s="57" t="s">
        <v>653</v>
      </c>
      <c r="E257" s="58">
        <v>600</v>
      </c>
      <c r="F257" s="58">
        <v>600</v>
      </c>
      <c r="G257" s="58">
        <v>650</v>
      </c>
      <c r="H257" s="58">
        <v>690</v>
      </c>
      <c r="I257" s="58">
        <v>620</v>
      </c>
      <c r="J257" s="58">
        <v>600</v>
      </c>
      <c r="K257" s="58">
        <v>630</v>
      </c>
      <c r="L257" s="58">
        <v>630</v>
      </c>
      <c r="M257" s="58">
        <v>580</v>
      </c>
      <c r="N257" s="58">
        <v>550</v>
      </c>
      <c r="O257" s="58">
        <v>550</v>
      </c>
      <c r="P257" s="58">
        <v>540</v>
      </c>
      <c r="Q257" s="58">
        <v>580</v>
      </c>
      <c r="R257" s="58">
        <v>550</v>
      </c>
      <c r="S257" s="58">
        <v>480</v>
      </c>
      <c r="T257" s="58">
        <v>480</v>
      </c>
      <c r="U257" s="58">
        <v>500</v>
      </c>
      <c r="V257" s="58">
        <v>400</v>
      </c>
      <c r="W257" s="58"/>
      <c r="X257" s="58">
        <v>395</v>
      </c>
      <c r="Y257" s="58">
        <v>420</v>
      </c>
      <c r="Z257" s="58">
        <v>420</v>
      </c>
      <c r="AA257" s="58">
        <v>430</v>
      </c>
      <c r="AB257" s="58">
        <v>405</v>
      </c>
      <c r="AC257" s="58">
        <v>460</v>
      </c>
      <c r="AD257" s="58">
        <v>420</v>
      </c>
      <c r="AE257" s="58">
        <v>450</v>
      </c>
      <c r="AF257" s="58">
        <v>450</v>
      </c>
      <c r="AG257" s="58">
        <v>470</v>
      </c>
      <c r="AH257" s="58">
        <v>450</v>
      </c>
      <c r="AI257" s="58">
        <v>440</v>
      </c>
      <c r="AJ257" s="58">
        <v>460</v>
      </c>
      <c r="AK257" s="58">
        <v>450</v>
      </c>
      <c r="AL257" s="58">
        <v>475</v>
      </c>
      <c r="AM257" s="58">
        <v>500</v>
      </c>
      <c r="AN257" s="58">
        <v>480</v>
      </c>
      <c r="AO257" s="58">
        <v>500</v>
      </c>
      <c r="AP257" s="58">
        <v>510</v>
      </c>
      <c r="AQ257" s="58">
        <v>485</v>
      </c>
      <c r="AR257" s="58">
        <v>500</v>
      </c>
      <c r="AS257" s="58">
        <v>520</v>
      </c>
      <c r="AT257" s="58">
        <v>480</v>
      </c>
      <c r="AU257" s="58">
        <v>480</v>
      </c>
      <c r="AV257" s="58">
        <v>520</v>
      </c>
      <c r="AW257" s="58">
        <v>550</v>
      </c>
      <c r="AX257" s="58">
        <v>550</v>
      </c>
      <c r="AY257" s="58">
        <v>550</v>
      </c>
      <c r="AZ257" s="58">
        <v>600</v>
      </c>
      <c r="BA257" s="58">
        <v>500</v>
      </c>
      <c r="BB257" s="58">
        <v>500</v>
      </c>
      <c r="BC257" s="58">
        <v>520</v>
      </c>
      <c r="BD257" s="58">
        <v>550</v>
      </c>
      <c r="BE257" s="58">
        <v>580</v>
      </c>
      <c r="BF257" s="58">
        <v>550</v>
      </c>
      <c r="BG257" s="58">
        <v>520</v>
      </c>
      <c r="BH257" s="58">
        <v>550</v>
      </c>
    </row>
    <row r="258" spans="2:60" hidden="1" x14ac:dyDescent="0.2">
      <c r="B258" s="59"/>
      <c r="C258" s="59" t="s">
        <v>683</v>
      </c>
      <c r="D258" s="59" t="s">
        <v>654</v>
      </c>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row>
    <row r="259" spans="2:60" hidden="1" x14ac:dyDescent="0.2">
      <c r="B259" s="57"/>
      <c r="C259" s="57" t="s">
        <v>683</v>
      </c>
      <c r="D259" s="57" t="s">
        <v>655</v>
      </c>
      <c r="E259" s="58"/>
      <c r="F259" s="58"/>
      <c r="G259" s="58"/>
      <c r="H259" s="58"/>
      <c r="I259" s="58"/>
      <c r="J259" s="58"/>
      <c r="K259" s="58"/>
      <c r="L259" s="58"/>
      <c r="M259" s="58"/>
      <c r="N259" s="58">
        <v>500</v>
      </c>
      <c r="O259" s="58"/>
      <c r="P259" s="58">
        <v>520</v>
      </c>
      <c r="Q259" s="58"/>
      <c r="R259" s="58"/>
      <c r="S259" s="58"/>
      <c r="T259" s="58">
        <v>400</v>
      </c>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row>
    <row r="260" spans="2:60" hidden="1" x14ac:dyDescent="0.2">
      <c r="B260" s="59"/>
      <c r="C260" s="59" t="s">
        <v>683</v>
      </c>
      <c r="D260" s="59" t="s">
        <v>656</v>
      </c>
      <c r="E260" s="60">
        <v>450</v>
      </c>
      <c r="F260" s="60">
        <v>450</v>
      </c>
      <c r="G260" s="60">
        <v>460</v>
      </c>
      <c r="H260" s="60">
        <v>460</v>
      </c>
      <c r="I260" s="60">
        <v>490</v>
      </c>
      <c r="J260" s="60">
        <v>480</v>
      </c>
      <c r="K260" s="60">
        <v>430</v>
      </c>
      <c r="L260" s="60">
        <v>420</v>
      </c>
      <c r="M260" s="60">
        <v>420</v>
      </c>
      <c r="N260" s="60">
        <v>400</v>
      </c>
      <c r="O260" s="60">
        <v>390</v>
      </c>
      <c r="P260" s="60">
        <v>370</v>
      </c>
      <c r="Q260" s="60">
        <v>350</v>
      </c>
      <c r="R260" s="60">
        <v>330</v>
      </c>
      <c r="S260" s="60">
        <v>320</v>
      </c>
      <c r="T260" s="60">
        <v>340</v>
      </c>
      <c r="U260" s="60">
        <v>320</v>
      </c>
      <c r="V260" s="60">
        <v>300</v>
      </c>
      <c r="W260" s="60">
        <v>280</v>
      </c>
      <c r="X260" s="60">
        <v>270</v>
      </c>
      <c r="Y260" s="60">
        <v>300</v>
      </c>
      <c r="Z260" s="60">
        <v>280</v>
      </c>
      <c r="AA260" s="60">
        <v>300</v>
      </c>
      <c r="AB260" s="60">
        <v>280</v>
      </c>
      <c r="AC260" s="60">
        <v>290</v>
      </c>
      <c r="AD260" s="60">
        <v>300</v>
      </c>
      <c r="AE260" s="60">
        <v>300</v>
      </c>
      <c r="AF260" s="60">
        <v>300</v>
      </c>
      <c r="AG260" s="60">
        <v>330</v>
      </c>
      <c r="AH260" s="60">
        <v>310</v>
      </c>
      <c r="AI260" s="60">
        <v>320</v>
      </c>
      <c r="AJ260" s="60">
        <v>340</v>
      </c>
      <c r="AK260" s="60">
        <v>350</v>
      </c>
      <c r="AL260" s="60">
        <v>330</v>
      </c>
      <c r="AM260" s="60">
        <v>350</v>
      </c>
      <c r="AN260" s="60">
        <v>350</v>
      </c>
      <c r="AO260" s="60">
        <v>350</v>
      </c>
      <c r="AP260" s="60">
        <v>380</v>
      </c>
      <c r="AQ260" s="60">
        <v>350</v>
      </c>
      <c r="AR260" s="60">
        <v>350</v>
      </c>
      <c r="AS260" s="60">
        <v>360</v>
      </c>
      <c r="AT260" s="60">
        <v>360</v>
      </c>
      <c r="AU260" s="60">
        <v>390</v>
      </c>
      <c r="AV260" s="60">
        <v>380</v>
      </c>
      <c r="AW260" s="60">
        <v>400</v>
      </c>
      <c r="AX260" s="60">
        <v>360</v>
      </c>
      <c r="AY260" s="60">
        <v>395</v>
      </c>
      <c r="AZ260" s="60">
        <v>390</v>
      </c>
      <c r="BA260" s="60">
        <v>400</v>
      </c>
      <c r="BB260" s="60">
        <v>380</v>
      </c>
      <c r="BC260" s="60">
        <v>390</v>
      </c>
      <c r="BD260" s="60">
        <v>400</v>
      </c>
      <c r="BE260" s="60">
        <v>420</v>
      </c>
      <c r="BF260" s="60">
        <v>420</v>
      </c>
      <c r="BG260" s="60">
        <v>390</v>
      </c>
      <c r="BH260" s="60">
        <v>430</v>
      </c>
    </row>
    <row r="261" spans="2:60" hidden="1" x14ac:dyDescent="0.2">
      <c r="B261" s="57"/>
      <c r="C261" s="57" t="s">
        <v>684</v>
      </c>
      <c r="D261" s="57" t="s">
        <v>648</v>
      </c>
      <c r="E261" s="58">
        <v>250</v>
      </c>
      <c r="F261" s="58">
        <v>250</v>
      </c>
      <c r="G261" s="58">
        <v>240</v>
      </c>
      <c r="H261" s="58">
        <v>265</v>
      </c>
      <c r="I261" s="58">
        <v>265</v>
      </c>
      <c r="J261" s="58">
        <v>230</v>
      </c>
      <c r="K261" s="58">
        <v>230</v>
      </c>
      <c r="L261" s="58">
        <v>250</v>
      </c>
      <c r="M261" s="58">
        <v>280</v>
      </c>
      <c r="N261" s="58">
        <v>230</v>
      </c>
      <c r="O261" s="58">
        <v>275</v>
      </c>
      <c r="P261" s="58">
        <v>250</v>
      </c>
      <c r="Q261" s="58">
        <v>285</v>
      </c>
      <c r="R261" s="58">
        <v>280</v>
      </c>
      <c r="S261" s="58">
        <v>275</v>
      </c>
      <c r="T261" s="58">
        <v>290</v>
      </c>
      <c r="U261" s="58">
        <v>290</v>
      </c>
      <c r="V261" s="58">
        <v>300</v>
      </c>
      <c r="W261" s="58">
        <v>300</v>
      </c>
      <c r="X261" s="58">
        <v>300</v>
      </c>
      <c r="Y261" s="58">
        <v>290</v>
      </c>
      <c r="Z261" s="58">
        <v>310</v>
      </c>
      <c r="AA261" s="58">
        <v>300</v>
      </c>
      <c r="AB261" s="58">
        <v>300</v>
      </c>
      <c r="AC261" s="58">
        <v>285</v>
      </c>
      <c r="AD261" s="58">
        <v>300</v>
      </c>
      <c r="AE261" s="58">
        <v>300</v>
      </c>
      <c r="AF261" s="58">
        <v>300</v>
      </c>
      <c r="AG261" s="58">
        <v>300</v>
      </c>
      <c r="AH261" s="58">
        <v>295</v>
      </c>
      <c r="AI261" s="58">
        <v>295</v>
      </c>
      <c r="AJ261" s="58">
        <v>300</v>
      </c>
      <c r="AK261" s="58">
        <v>330</v>
      </c>
      <c r="AL261" s="58">
        <v>300</v>
      </c>
      <c r="AM261" s="58">
        <v>320</v>
      </c>
      <c r="AN261" s="58">
        <v>320</v>
      </c>
      <c r="AO261" s="58">
        <v>330</v>
      </c>
      <c r="AP261" s="58">
        <v>320</v>
      </c>
      <c r="AQ261" s="58">
        <v>395</v>
      </c>
      <c r="AR261" s="58">
        <v>370</v>
      </c>
      <c r="AS261" s="58">
        <v>400</v>
      </c>
      <c r="AT261" s="58">
        <v>390</v>
      </c>
      <c r="AU261" s="58">
        <v>370</v>
      </c>
      <c r="AV261" s="58">
        <v>390</v>
      </c>
      <c r="AW261" s="58">
        <v>450</v>
      </c>
      <c r="AX261" s="58">
        <v>400</v>
      </c>
      <c r="AY261" s="58">
        <v>450</v>
      </c>
      <c r="AZ261" s="58">
        <v>420</v>
      </c>
      <c r="BA261" s="58">
        <v>450</v>
      </c>
      <c r="BB261" s="58">
        <v>480</v>
      </c>
      <c r="BC261" s="58">
        <v>490</v>
      </c>
      <c r="BD261" s="58">
        <v>450</v>
      </c>
      <c r="BE261" s="58">
        <v>520</v>
      </c>
      <c r="BF261" s="58">
        <v>500</v>
      </c>
      <c r="BG261" s="58">
        <v>470</v>
      </c>
      <c r="BH261" s="58">
        <v>500</v>
      </c>
    </row>
    <row r="262" spans="2:60" hidden="1" x14ac:dyDescent="0.2">
      <c r="B262" s="59"/>
      <c r="C262" s="59" t="s">
        <v>684</v>
      </c>
      <c r="D262" s="59" t="s">
        <v>649</v>
      </c>
      <c r="E262" s="60">
        <v>325</v>
      </c>
      <c r="F262" s="60">
        <v>315</v>
      </c>
      <c r="G262" s="60">
        <v>310</v>
      </c>
      <c r="H262" s="60">
        <v>315</v>
      </c>
      <c r="I262" s="60">
        <v>340</v>
      </c>
      <c r="J262" s="60">
        <v>320</v>
      </c>
      <c r="K262" s="60">
        <v>330</v>
      </c>
      <c r="L262" s="60">
        <v>340</v>
      </c>
      <c r="M262" s="60">
        <v>340</v>
      </c>
      <c r="N262" s="60">
        <v>350</v>
      </c>
      <c r="O262" s="60">
        <v>350</v>
      </c>
      <c r="P262" s="60">
        <v>350</v>
      </c>
      <c r="Q262" s="60">
        <v>360</v>
      </c>
      <c r="R262" s="60">
        <v>360</v>
      </c>
      <c r="S262" s="60">
        <v>360</v>
      </c>
      <c r="T262" s="60">
        <v>360</v>
      </c>
      <c r="U262" s="60">
        <v>390</v>
      </c>
      <c r="V262" s="60">
        <v>390</v>
      </c>
      <c r="W262" s="60">
        <v>380</v>
      </c>
      <c r="X262" s="60">
        <v>380</v>
      </c>
      <c r="Y262" s="60">
        <v>385</v>
      </c>
      <c r="Z262" s="60">
        <v>380</v>
      </c>
      <c r="AA262" s="60">
        <v>390</v>
      </c>
      <c r="AB262" s="60">
        <v>380</v>
      </c>
      <c r="AC262" s="60">
        <v>400</v>
      </c>
      <c r="AD262" s="60">
        <v>395</v>
      </c>
      <c r="AE262" s="60">
        <v>400</v>
      </c>
      <c r="AF262" s="60">
        <v>400</v>
      </c>
      <c r="AG262" s="60">
        <v>420</v>
      </c>
      <c r="AH262" s="60">
        <v>415</v>
      </c>
      <c r="AI262" s="60">
        <v>420</v>
      </c>
      <c r="AJ262" s="60">
        <v>415</v>
      </c>
      <c r="AK262" s="60">
        <v>435</v>
      </c>
      <c r="AL262" s="60">
        <v>410</v>
      </c>
      <c r="AM262" s="60">
        <v>440</v>
      </c>
      <c r="AN262" s="60">
        <v>470</v>
      </c>
      <c r="AO262" s="60">
        <v>500</v>
      </c>
      <c r="AP262" s="60">
        <v>500</v>
      </c>
      <c r="AQ262" s="60">
        <v>550</v>
      </c>
      <c r="AR262" s="60">
        <v>550</v>
      </c>
      <c r="AS262" s="60">
        <v>530</v>
      </c>
      <c r="AT262" s="60">
        <v>580</v>
      </c>
      <c r="AU262" s="60">
        <v>595</v>
      </c>
      <c r="AV262" s="60">
        <v>595</v>
      </c>
      <c r="AW262" s="60">
        <v>635</v>
      </c>
      <c r="AX262" s="60">
        <v>595</v>
      </c>
      <c r="AY262" s="60">
        <v>635</v>
      </c>
      <c r="AZ262" s="60">
        <v>640</v>
      </c>
      <c r="BA262" s="60">
        <v>650</v>
      </c>
      <c r="BB262" s="60">
        <v>700</v>
      </c>
      <c r="BC262" s="60">
        <v>660</v>
      </c>
      <c r="BD262" s="60">
        <v>690</v>
      </c>
      <c r="BE262" s="60">
        <v>730</v>
      </c>
      <c r="BF262" s="60">
        <v>730</v>
      </c>
      <c r="BG262" s="60">
        <v>750</v>
      </c>
      <c r="BH262" s="60">
        <v>750</v>
      </c>
    </row>
    <row r="263" spans="2:60" hidden="1" x14ac:dyDescent="0.2">
      <c r="B263" s="57"/>
      <c r="C263" s="57" t="s">
        <v>684</v>
      </c>
      <c r="D263" s="57" t="s">
        <v>650</v>
      </c>
      <c r="E263" s="58">
        <v>370</v>
      </c>
      <c r="F263" s="58">
        <v>400</v>
      </c>
      <c r="G263" s="58">
        <v>375</v>
      </c>
      <c r="H263" s="58">
        <v>425</v>
      </c>
      <c r="I263" s="58">
        <v>400</v>
      </c>
      <c r="J263" s="58">
        <v>395</v>
      </c>
      <c r="K263" s="58">
        <v>420</v>
      </c>
      <c r="L263" s="58">
        <v>450</v>
      </c>
      <c r="M263" s="58">
        <v>400</v>
      </c>
      <c r="N263" s="58">
        <v>450</v>
      </c>
      <c r="O263" s="58">
        <v>450</v>
      </c>
      <c r="P263" s="58">
        <v>450</v>
      </c>
      <c r="Q263" s="58">
        <v>460</v>
      </c>
      <c r="R263" s="58">
        <v>480</v>
      </c>
      <c r="S263" s="58">
        <v>450</v>
      </c>
      <c r="T263" s="58">
        <v>500</v>
      </c>
      <c r="U263" s="58">
        <v>450</v>
      </c>
      <c r="V263" s="58">
        <v>470</v>
      </c>
      <c r="W263" s="58">
        <v>450</v>
      </c>
      <c r="X263" s="58">
        <v>550</v>
      </c>
      <c r="Y263" s="58">
        <v>445</v>
      </c>
      <c r="Z263" s="58">
        <v>450</v>
      </c>
      <c r="AA263" s="58">
        <v>510</v>
      </c>
      <c r="AB263" s="58">
        <v>500</v>
      </c>
      <c r="AC263" s="58">
        <v>550</v>
      </c>
      <c r="AD263" s="58">
        <v>530</v>
      </c>
      <c r="AE263" s="58">
        <v>600</v>
      </c>
      <c r="AF263" s="58">
        <v>595</v>
      </c>
      <c r="AG263" s="58">
        <v>515</v>
      </c>
      <c r="AH263" s="58">
        <v>550</v>
      </c>
      <c r="AI263" s="58">
        <v>580</v>
      </c>
      <c r="AJ263" s="58">
        <v>460</v>
      </c>
      <c r="AK263" s="58">
        <v>650</v>
      </c>
      <c r="AL263" s="58">
        <v>560</v>
      </c>
      <c r="AM263" s="58">
        <v>650</v>
      </c>
      <c r="AN263" s="58">
        <v>650</v>
      </c>
      <c r="AO263" s="58">
        <v>700</v>
      </c>
      <c r="AP263" s="58">
        <v>700</v>
      </c>
      <c r="AQ263" s="58">
        <v>650</v>
      </c>
      <c r="AR263" s="58">
        <v>700</v>
      </c>
      <c r="AS263" s="58">
        <v>750</v>
      </c>
      <c r="AT263" s="58">
        <v>750</v>
      </c>
      <c r="AU263" s="58">
        <v>700</v>
      </c>
      <c r="AV263" s="58">
        <v>750</v>
      </c>
      <c r="AW263" s="58">
        <v>800</v>
      </c>
      <c r="AX263" s="58">
        <v>800</v>
      </c>
      <c r="AY263" s="58">
        <v>800</v>
      </c>
      <c r="AZ263" s="58">
        <v>800</v>
      </c>
      <c r="BA263" s="58">
        <v>950</v>
      </c>
      <c r="BB263" s="58">
        <v>850</v>
      </c>
      <c r="BC263" s="58">
        <v>875</v>
      </c>
      <c r="BD263" s="58">
        <v>850</v>
      </c>
      <c r="BE263" s="58">
        <v>995</v>
      </c>
      <c r="BF263" s="58">
        <v>950</v>
      </c>
      <c r="BG263" s="58">
        <v>900</v>
      </c>
      <c r="BH263" s="58">
        <v>900</v>
      </c>
    </row>
    <row r="264" spans="2:60" hidden="1" x14ac:dyDescent="0.2">
      <c r="B264" s="59"/>
      <c r="C264" s="59" t="s">
        <v>684</v>
      </c>
      <c r="D264" s="59" t="s">
        <v>651</v>
      </c>
      <c r="E264" s="60">
        <v>330</v>
      </c>
      <c r="F264" s="60">
        <v>300</v>
      </c>
      <c r="G264" s="60">
        <v>300</v>
      </c>
      <c r="H264" s="60">
        <v>305</v>
      </c>
      <c r="I264" s="60">
        <v>330</v>
      </c>
      <c r="J264" s="60">
        <v>310</v>
      </c>
      <c r="K264" s="60">
        <v>340</v>
      </c>
      <c r="L264" s="60">
        <v>340</v>
      </c>
      <c r="M264" s="60">
        <v>346</v>
      </c>
      <c r="N264" s="60">
        <v>380</v>
      </c>
      <c r="O264" s="60">
        <v>350</v>
      </c>
      <c r="P264" s="60">
        <v>370</v>
      </c>
      <c r="Q264" s="60">
        <v>360</v>
      </c>
      <c r="R264" s="60">
        <v>350</v>
      </c>
      <c r="S264" s="60">
        <v>390</v>
      </c>
      <c r="T264" s="60">
        <v>360</v>
      </c>
      <c r="U264" s="60">
        <v>330</v>
      </c>
      <c r="V264" s="60">
        <v>380</v>
      </c>
      <c r="W264" s="60">
        <v>400</v>
      </c>
      <c r="X264" s="60">
        <v>420</v>
      </c>
      <c r="Y264" s="60">
        <v>400</v>
      </c>
      <c r="Z264" s="60">
        <v>390</v>
      </c>
      <c r="AA264" s="60">
        <v>380</v>
      </c>
      <c r="AB264" s="60">
        <v>390</v>
      </c>
      <c r="AC264" s="60">
        <v>370</v>
      </c>
      <c r="AD264" s="60">
        <v>400</v>
      </c>
      <c r="AE264" s="60">
        <v>385</v>
      </c>
      <c r="AF264" s="60">
        <v>390</v>
      </c>
      <c r="AG264" s="60">
        <v>410</v>
      </c>
      <c r="AH264" s="60">
        <v>400</v>
      </c>
      <c r="AI264" s="60">
        <v>375</v>
      </c>
      <c r="AJ264" s="60">
        <v>420</v>
      </c>
      <c r="AK264" s="60">
        <v>370</v>
      </c>
      <c r="AL264" s="60">
        <v>395</v>
      </c>
      <c r="AM264" s="60">
        <v>420</v>
      </c>
      <c r="AN264" s="60">
        <v>430</v>
      </c>
      <c r="AO264" s="60">
        <v>410</v>
      </c>
      <c r="AP264" s="60">
        <v>450</v>
      </c>
      <c r="AQ264" s="60">
        <v>490</v>
      </c>
      <c r="AR264" s="60">
        <v>520</v>
      </c>
      <c r="AS264" s="60">
        <v>500</v>
      </c>
      <c r="AT264" s="60">
        <v>550</v>
      </c>
      <c r="AU264" s="60">
        <v>560</v>
      </c>
      <c r="AV264" s="60">
        <v>500</v>
      </c>
      <c r="AW264" s="60">
        <v>600</v>
      </c>
      <c r="AX264" s="60">
        <v>550</v>
      </c>
      <c r="AY264" s="60">
        <v>580</v>
      </c>
      <c r="AZ264" s="60">
        <v>590</v>
      </c>
      <c r="BA264" s="60">
        <v>600</v>
      </c>
      <c r="BB264" s="60">
        <v>590</v>
      </c>
      <c r="BC264" s="60">
        <v>650</v>
      </c>
      <c r="BD264" s="60">
        <v>565</v>
      </c>
      <c r="BE264" s="60">
        <v>600</v>
      </c>
      <c r="BF264" s="60">
        <v>690</v>
      </c>
      <c r="BG264" s="60">
        <v>675</v>
      </c>
      <c r="BH264" s="60">
        <v>700</v>
      </c>
    </row>
    <row r="265" spans="2:60" hidden="1" x14ac:dyDescent="0.2">
      <c r="B265" s="57"/>
      <c r="C265" s="57" t="s">
        <v>684</v>
      </c>
      <c r="D265" s="57" t="s">
        <v>652</v>
      </c>
      <c r="E265" s="58">
        <v>380</v>
      </c>
      <c r="F265" s="58">
        <v>380</v>
      </c>
      <c r="G265" s="58">
        <v>390</v>
      </c>
      <c r="H265" s="58">
        <v>380</v>
      </c>
      <c r="I265" s="58">
        <v>390</v>
      </c>
      <c r="J265" s="58">
        <v>390</v>
      </c>
      <c r="K265" s="58">
        <v>395</v>
      </c>
      <c r="L265" s="58">
        <v>410</v>
      </c>
      <c r="M265" s="58">
        <v>400</v>
      </c>
      <c r="N265" s="58">
        <v>400</v>
      </c>
      <c r="O265" s="58">
        <v>420</v>
      </c>
      <c r="P265" s="58">
        <v>440</v>
      </c>
      <c r="Q265" s="58">
        <v>430</v>
      </c>
      <c r="R265" s="58">
        <v>440</v>
      </c>
      <c r="S265" s="58">
        <v>440</v>
      </c>
      <c r="T265" s="58">
        <v>450</v>
      </c>
      <c r="U265" s="58">
        <v>450</v>
      </c>
      <c r="V265" s="58">
        <v>450</v>
      </c>
      <c r="W265" s="58">
        <v>450</v>
      </c>
      <c r="X265" s="58">
        <v>450</v>
      </c>
      <c r="Y265" s="58">
        <v>470</v>
      </c>
      <c r="Z265" s="58">
        <v>470</v>
      </c>
      <c r="AA265" s="58">
        <v>470</v>
      </c>
      <c r="AB265" s="58">
        <v>460</v>
      </c>
      <c r="AC265" s="58">
        <v>470</v>
      </c>
      <c r="AD265" s="58">
        <v>480</v>
      </c>
      <c r="AE265" s="58">
        <v>490</v>
      </c>
      <c r="AF265" s="58">
        <v>495</v>
      </c>
      <c r="AG265" s="58">
        <v>485</v>
      </c>
      <c r="AH265" s="58">
        <v>490</v>
      </c>
      <c r="AI265" s="58">
        <v>480</v>
      </c>
      <c r="AJ265" s="58">
        <v>500</v>
      </c>
      <c r="AK265" s="58">
        <v>505</v>
      </c>
      <c r="AL265" s="58">
        <v>490</v>
      </c>
      <c r="AM265" s="58">
        <v>515</v>
      </c>
      <c r="AN265" s="58">
        <v>575</v>
      </c>
      <c r="AO265" s="58">
        <v>580</v>
      </c>
      <c r="AP265" s="58">
        <v>650</v>
      </c>
      <c r="AQ265" s="58">
        <v>680</v>
      </c>
      <c r="AR265" s="58">
        <v>670</v>
      </c>
      <c r="AS265" s="58">
        <v>695</v>
      </c>
      <c r="AT265" s="58">
        <v>700</v>
      </c>
      <c r="AU265" s="58">
        <v>685</v>
      </c>
      <c r="AV265" s="58">
        <v>700</v>
      </c>
      <c r="AW265" s="58">
        <v>700</v>
      </c>
      <c r="AX265" s="58">
        <v>700</v>
      </c>
      <c r="AY265" s="58">
        <v>700</v>
      </c>
      <c r="AZ265" s="58">
        <v>750</v>
      </c>
      <c r="BA265" s="58">
        <v>750</v>
      </c>
      <c r="BB265" s="58">
        <v>800</v>
      </c>
      <c r="BC265" s="58">
        <v>770</v>
      </c>
      <c r="BD265" s="58">
        <v>800</v>
      </c>
      <c r="BE265" s="58">
        <v>850</v>
      </c>
      <c r="BF265" s="58">
        <v>850</v>
      </c>
      <c r="BG265" s="58">
        <v>875</v>
      </c>
      <c r="BH265" s="58">
        <v>875</v>
      </c>
    </row>
    <row r="266" spans="2:60" hidden="1" x14ac:dyDescent="0.2">
      <c r="B266" s="59"/>
      <c r="C266" s="59" t="s">
        <v>684</v>
      </c>
      <c r="D266" s="59" t="s">
        <v>653</v>
      </c>
      <c r="E266" s="60">
        <v>470</v>
      </c>
      <c r="F266" s="60">
        <v>480</v>
      </c>
      <c r="G266" s="60">
        <v>450</v>
      </c>
      <c r="H266" s="60">
        <v>485</v>
      </c>
      <c r="I266" s="60">
        <v>465</v>
      </c>
      <c r="J266" s="60">
        <v>500</v>
      </c>
      <c r="K266" s="60">
        <v>495</v>
      </c>
      <c r="L266" s="60">
        <v>500</v>
      </c>
      <c r="M266" s="60">
        <v>510</v>
      </c>
      <c r="N266" s="60">
        <v>520</v>
      </c>
      <c r="O266" s="60">
        <v>500</v>
      </c>
      <c r="P266" s="60">
        <v>510</v>
      </c>
      <c r="Q266" s="60">
        <v>530</v>
      </c>
      <c r="R266" s="60">
        <v>510</v>
      </c>
      <c r="S266" s="60">
        <v>550</v>
      </c>
      <c r="T266" s="60">
        <v>560</v>
      </c>
      <c r="U266" s="60">
        <v>580</v>
      </c>
      <c r="V266" s="60">
        <v>525</v>
      </c>
      <c r="W266" s="60">
        <v>615</v>
      </c>
      <c r="X266" s="60">
        <v>520</v>
      </c>
      <c r="Y266" s="60">
        <v>560</v>
      </c>
      <c r="Z266" s="60">
        <v>560</v>
      </c>
      <c r="AA266" s="60">
        <v>550</v>
      </c>
      <c r="AB266" s="60">
        <v>570</v>
      </c>
      <c r="AC266" s="60">
        <v>600</v>
      </c>
      <c r="AD266" s="60">
        <v>600</v>
      </c>
      <c r="AE266" s="60">
        <v>560</v>
      </c>
      <c r="AF266" s="60">
        <v>550</v>
      </c>
      <c r="AG266" s="60">
        <v>600</v>
      </c>
      <c r="AH266" s="60">
        <v>630</v>
      </c>
      <c r="AI266" s="60">
        <v>570</v>
      </c>
      <c r="AJ266" s="60">
        <v>600</v>
      </c>
      <c r="AK266" s="60">
        <v>600</v>
      </c>
      <c r="AL266" s="60">
        <v>610</v>
      </c>
      <c r="AM266" s="60">
        <v>650</v>
      </c>
      <c r="AN266" s="60">
        <v>690</v>
      </c>
      <c r="AO266" s="60">
        <v>800</v>
      </c>
      <c r="AP266" s="60">
        <v>700</v>
      </c>
      <c r="AQ266" s="60">
        <v>800</v>
      </c>
      <c r="AR266" s="60">
        <v>800</v>
      </c>
      <c r="AS266" s="60">
        <v>875</v>
      </c>
      <c r="AT266" s="60">
        <v>890</v>
      </c>
      <c r="AU266" s="60">
        <v>830</v>
      </c>
      <c r="AV266" s="60">
        <v>850</v>
      </c>
      <c r="AW266" s="60">
        <v>950</v>
      </c>
      <c r="AX266" s="60">
        <v>900</v>
      </c>
      <c r="AY266" s="60">
        <v>920</v>
      </c>
      <c r="AZ266" s="60">
        <v>950</v>
      </c>
      <c r="BA266" s="60">
        <v>1000</v>
      </c>
      <c r="BB266" s="60">
        <v>1000</v>
      </c>
      <c r="BC266" s="60">
        <v>1000</v>
      </c>
      <c r="BD266" s="60">
        <v>1050</v>
      </c>
      <c r="BE266" s="60">
        <v>1100</v>
      </c>
      <c r="BF266" s="60">
        <v>1100</v>
      </c>
      <c r="BG266" s="60">
        <v>1000</v>
      </c>
      <c r="BH266" s="60">
        <v>1075</v>
      </c>
    </row>
    <row r="267" spans="2:60" hidden="1" x14ac:dyDescent="0.2">
      <c r="B267" s="57"/>
      <c r="C267" s="57" t="s">
        <v>684</v>
      </c>
      <c r="D267" s="57" t="s">
        <v>654</v>
      </c>
      <c r="E267" s="58">
        <v>340</v>
      </c>
      <c r="F267" s="58">
        <v>310</v>
      </c>
      <c r="G267" s="58">
        <v>320</v>
      </c>
      <c r="H267" s="58">
        <v>330</v>
      </c>
      <c r="I267" s="58">
        <v>325</v>
      </c>
      <c r="J267" s="58">
        <v>330</v>
      </c>
      <c r="K267" s="58">
        <v>350</v>
      </c>
      <c r="L267" s="58">
        <v>350</v>
      </c>
      <c r="M267" s="58">
        <v>355</v>
      </c>
      <c r="N267" s="58">
        <v>350</v>
      </c>
      <c r="O267" s="58">
        <v>350</v>
      </c>
      <c r="P267" s="58">
        <v>360</v>
      </c>
      <c r="Q267" s="58">
        <v>350</v>
      </c>
      <c r="R267" s="58">
        <v>390</v>
      </c>
      <c r="S267" s="58">
        <v>390</v>
      </c>
      <c r="T267" s="58">
        <v>395</v>
      </c>
      <c r="U267" s="58">
        <v>395</v>
      </c>
      <c r="V267" s="58">
        <v>400</v>
      </c>
      <c r="W267" s="58">
        <v>395</v>
      </c>
      <c r="X267" s="58">
        <v>410</v>
      </c>
      <c r="Y267" s="58">
        <v>420</v>
      </c>
      <c r="Z267" s="58">
        <v>430</v>
      </c>
      <c r="AA267" s="58">
        <v>425</v>
      </c>
      <c r="AB267" s="58">
        <v>430</v>
      </c>
      <c r="AC267" s="58">
        <v>430</v>
      </c>
      <c r="AD267" s="58">
        <v>450</v>
      </c>
      <c r="AE267" s="58">
        <v>450</v>
      </c>
      <c r="AF267" s="58">
        <v>450</v>
      </c>
      <c r="AG267" s="58">
        <v>450</v>
      </c>
      <c r="AH267" s="58">
        <v>480</v>
      </c>
      <c r="AI267" s="58">
        <v>470</v>
      </c>
      <c r="AJ267" s="58">
        <v>460</v>
      </c>
      <c r="AK267" s="58">
        <v>480</v>
      </c>
      <c r="AL267" s="58">
        <v>445</v>
      </c>
      <c r="AM267" s="58">
        <v>495</v>
      </c>
      <c r="AN267" s="58">
        <v>500</v>
      </c>
      <c r="AO267" s="58">
        <v>500</v>
      </c>
      <c r="AP267" s="58">
        <v>510</v>
      </c>
      <c r="AQ267" s="58">
        <v>590</v>
      </c>
      <c r="AR267" s="58">
        <v>560</v>
      </c>
      <c r="AS267" s="58">
        <v>620</v>
      </c>
      <c r="AT267" s="58">
        <v>600</v>
      </c>
      <c r="AU267" s="58">
        <v>580</v>
      </c>
      <c r="AV267" s="58">
        <v>650</v>
      </c>
      <c r="AW267" s="58">
        <v>670</v>
      </c>
      <c r="AX267" s="58">
        <v>650</v>
      </c>
      <c r="AY267" s="58">
        <v>650</v>
      </c>
      <c r="AZ267" s="58">
        <v>680</v>
      </c>
      <c r="BA267" s="58">
        <v>700</v>
      </c>
      <c r="BB267" s="58">
        <v>695</v>
      </c>
      <c r="BC267" s="58">
        <v>700</v>
      </c>
      <c r="BD267" s="58">
        <v>700</v>
      </c>
      <c r="BE267" s="58">
        <v>750</v>
      </c>
      <c r="BF267" s="58">
        <v>710</v>
      </c>
      <c r="BG267" s="58">
        <v>750</v>
      </c>
      <c r="BH267" s="58">
        <v>750</v>
      </c>
    </row>
    <row r="268" spans="2:60" hidden="1" x14ac:dyDescent="0.2">
      <c r="B268" s="59"/>
      <c r="C268" s="59" t="s">
        <v>684</v>
      </c>
      <c r="D268" s="59" t="s">
        <v>655</v>
      </c>
      <c r="E268" s="60">
        <v>410</v>
      </c>
      <c r="F268" s="60">
        <v>430</v>
      </c>
      <c r="G268" s="60">
        <v>450</v>
      </c>
      <c r="H268" s="60">
        <v>425</v>
      </c>
      <c r="I268" s="60">
        <v>450</v>
      </c>
      <c r="J268" s="60">
        <v>450</v>
      </c>
      <c r="K268" s="60">
        <v>410</v>
      </c>
      <c r="L268" s="60">
        <v>410</v>
      </c>
      <c r="M268" s="60">
        <v>450</v>
      </c>
      <c r="N268" s="60">
        <v>460</v>
      </c>
      <c r="O268" s="60">
        <v>490</v>
      </c>
      <c r="P268" s="60">
        <v>500</v>
      </c>
      <c r="Q268" s="60">
        <v>460</v>
      </c>
      <c r="R268" s="60">
        <v>480</v>
      </c>
      <c r="S268" s="60">
        <v>470</v>
      </c>
      <c r="T268" s="60">
        <v>480</v>
      </c>
      <c r="U268" s="60">
        <v>525</v>
      </c>
      <c r="V268" s="60">
        <v>480</v>
      </c>
      <c r="W268" s="60">
        <v>510</v>
      </c>
      <c r="X268" s="60">
        <v>595</v>
      </c>
      <c r="Y268" s="60">
        <v>520</v>
      </c>
      <c r="Z268" s="60">
        <v>550</v>
      </c>
      <c r="AA268" s="60">
        <v>550</v>
      </c>
      <c r="AB268" s="60">
        <v>580</v>
      </c>
      <c r="AC268" s="60">
        <v>475</v>
      </c>
      <c r="AD268" s="60">
        <v>540</v>
      </c>
      <c r="AE268" s="60">
        <v>500</v>
      </c>
      <c r="AF268" s="60">
        <v>630</v>
      </c>
      <c r="AG268" s="60">
        <v>540</v>
      </c>
      <c r="AH268" s="60">
        <v>540</v>
      </c>
      <c r="AI268" s="60">
        <v>530</v>
      </c>
      <c r="AJ268" s="60">
        <v>580</v>
      </c>
      <c r="AK268" s="60">
        <v>600</v>
      </c>
      <c r="AL268" s="60">
        <v>550</v>
      </c>
      <c r="AM268" s="60">
        <v>600</v>
      </c>
      <c r="AN268" s="60">
        <v>750</v>
      </c>
      <c r="AO268" s="60">
        <v>750</v>
      </c>
      <c r="AP268" s="60">
        <v>700</v>
      </c>
      <c r="AQ268" s="60">
        <v>700</v>
      </c>
      <c r="AR268" s="60">
        <v>850</v>
      </c>
      <c r="AS268" s="60">
        <v>750</v>
      </c>
      <c r="AT268" s="60">
        <v>850</v>
      </c>
      <c r="AU268" s="60">
        <v>775</v>
      </c>
      <c r="AV268" s="60">
        <v>840</v>
      </c>
      <c r="AW268" s="60">
        <v>745</v>
      </c>
      <c r="AX268" s="60">
        <v>800</v>
      </c>
      <c r="AY268" s="60">
        <v>800</v>
      </c>
      <c r="AZ268" s="60">
        <v>995</v>
      </c>
      <c r="BA268" s="60">
        <v>1000</v>
      </c>
      <c r="BB268" s="60">
        <v>950</v>
      </c>
      <c r="BC268" s="60">
        <v>900</v>
      </c>
      <c r="BD268" s="60">
        <v>995</v>
      </c>
      <c r="BE268" s="60">
        <v>1000</v>
      </c>
      <c r="BF268" s="60">
        <v>900</v>
      </c>
      <c r="BG268" s="60">
        <v>1010</v>
      </c>
      <c r="BH268" s="60">
        <v>1150</v>
      </c>
    </row>
    <row r="269" spans="2:60" hidden="1" x14ac:dyDescent="0.2">
      <c r="B269" s="57"/>
      <c r="C269" s="57" t="s">
        <v>684</v>
      </c>
      <c r="D269" s="57" t="s">
        <v>656</v>
      </c>
      <c r="E269" s="58">
        <v>370</v>
      </c>
      <c r="F269" s="58">
        <v>360</v>
      </c>
      <c r="G269" s="58">
        <v>380</v>
      </c>
      <c r="H269" s="58">
        <v>375</v>
      </c>
      <c r="I269" s="58">
        <v>375</v>
      </c>
      <c r="J269" s="58">
        <v>380</v>
      </c>
      <c r="K269" s="58">
        <v>380</v>
      </c>
      <c r="L269" s="58">
        <v>400</v>
      </c>
      <c r="M269" s="58">
        <v>400</v>
      </c>
      <c r="N269" s="58">
        <v>410</v>
      </c>
      <c r="O269" s="58">
        <v>410</v>
      </c>
      <c r="P269" s="58">
        <v>430</v>
      </c>
      <c r="Q269" s="58">
        <v>425</v>
      </c>
      <c r="R269" s="58">
        <v>420</v>
      </c>
      <c r="S269" s="58">
        <v>430</v>
      </c>
      <c r="T269" s="58">
        <v>440</v>
      </c>
      <c r="U269" s="58">
        <v>445</v>
      </c>
      <c r="V269" s="58">
        <v>450</v>
      </c>
      <c r="W269" s="58">
        <v>430</v>
      </c>
      <c r="X269" s="58">
        <v>455</v>
      </c>
      <c r="Y269" s="58">
        <v>450</v>
      </c>
      <c r="Z269" s="58">
        <v>460</v>
      </c>
      <c r="AA269" s="58">
        <v>460</v>
      </c>
      <c r="AB269" s="58">
        <v>460</v>
      </c>
      <c r="AC269" s="58">
        <v>460</v>
      </c>
      <c r="AD269" s="58">
        <v>470</v>
      </c>
      <c r="AE269" s="58">
        <v>470</v>
      </c>
      <c r="AF269" s="58">
        <v>490</v>
      </c>
      <c r="AG269" s="58">
        <v>475</v>
      </c>
      <c r="AH269" s="58">
        <v>490</v>
      </c>
      <c r="AI269" s="58">
        <v>480</v>
      </c>
      <c r="AJ269" s="58">
        <v>490</v>
      </c>
      <c r="AK269" s="58">
        <v>490</v>
      </c>
      <c r="AL269" s="58">
        <v>475</v>
      </c>
      <c r="AM269" s="58">
        <v>500</v>
      </c>
      <c r="AN269" s="58">
        <v>550</v>
      </c>
      <c r="AO269" s="58">
        <v>580</v>
      </c>
      <c r="AP269" s="58">
        <v>600</v>
      </c>
      <c r="AQ269" s="58">
        <v>620</v>
      </c>
      <c r="AR269" s="58">
        <v>650</v>
      </c>
      <c r="AS269" s="58">
        <v>660</v>
      </c>
      <c r="AT269" s="58">
        <v>675</v>
      </c>
      <c r="AU269" s="58">
        <v>700</v>
      </c>
      <c r="AV269" s="58">
        <v>700</v>
      </c>
      <c r="AW269" s="58">
        <v>700</v>
      </c>
      <c r="AX269" s="58">
        <v>700</v>
      </c>
      <c r="AY269" s="58">
        <v>700</v>
      </c>
      <c r="AZ269" s="58">
        <v>750</v>
      </c>
      <c r="BA269" s="58">
        <v>750</v>
      </c>
      <c r="BB269" s="58">
        <v>750</v>
      </c>
      <c r="BC269" s="58">
        <v>760</v>
      </c>
      <c r="BD269" s="58">
        <v>800</v>
      </c>
      <c r="BE269" s="58">
        <v>800</v>
      </c>
      <c r="BF269" s="58">
        <v>800</v>
      </c>
      <c r="BG269" s="58">
        <v>800</v>
      </c>
      <c r="BH269" s="58">
        <v>850</v>
      </c>
    </row>
    <row r="270" spans="2:60" hidden="1" x14ac:dyDescent="0.2">
      <c r="B270" s="59"/>
      <c r="C270" s="59" t="s">
        <v>685</v>
      </c>
      <c r="D270" s="59" t="s">
        <v>648</v>
      </c>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row>
    <row r="271" spans="2:60" hidden="1" x14ac:dyDescent="0.2">
      <c r="B271" s="57"/>
      <c r="C271" s="57" t="s">
        <v>685</v>
      </c>
      <c r="D271" s="57" t="s">
        <v>649</v>
      </c>
      <c r="E271" s="58">
        <v>180</v>
      </c>
      <c r="F271" s="58"/>
      <c r="G271" s="58"/>
      <c r="H271" s="58"/>
      <c r="I271" s="58"/>
      <c r="J271" s="58"/>
      <c r="K271" s="58"/>
      <c r="L271" s="58">
        <v>200</v>
      </c>
      <c r="M271" s="58">
        <v>200</v>
      </c>
      <c r="N271" s="58"/>
      <c r="O271" s="58">
        <v>180</v>
      </c>
      <c r="P271" s="58"/>
      <c r="Q271" s="58">
        <v>165</v>
      </c>
      <c r="R271" s="58"/>
      <c r="S271" s="58">
        <v>180</v>
      </c>
      <c r="T271" s="58"/>
      <c r="U271" s="58">
        <v>200</v>
      </c>
      <c r="V271" s="58"/>
      <c r="W271" s="58"/>
      <c r="X271" s="58"/>
      <c r="Y271" s="58"/>
      <c r="Z271" s="58">
        <v>200</v>
      </c>
      <c r="AA271" s="58">
        <v>200</v>
      </c>
      <c r="AB271" s="58"/>
      <c r="AC271" s="58"/>
      <c r="AD271" s="58">
        <v>200</v>
      </c>
      <c r="AE271" s="58">
        <v>200</v>
      </c>
      <c r="AF271" s="58"/>
      <c r="AG271" s="58"/>
      <c r="AH271" s="58">
        <v>200</v>
      </c>
      <c r="AI271" s="58"/>
      <c r="AJ271" s="58"/>
      <c r="AK271" s="58">
        <v>200</v>
      </c>
      <c r="AL271" s="58"/>
      <c r="AM271" s="58">
        <v>220</v>
      </c>
      <c r="AN271" s="58"/>
      <c r="AO271" s="58">
        <v>250</v>
      </c>
      <c r="AP271" s="58">
        <v>260</v>
      </c>
      <c r="AQ271" s="58"/>
      <c r="AR271" s="58"/>
      <c r="AS271" s="58"/>
      <c r="AT271" s="58"/>
      <c r="AU271" s="58"/>
      <c r="AV271" s="58"/>
      <c r="AW271" s="58"/>
      <c r="AX271" s="58"/>
      <c r="AY271" s="58"/>
      <c r="AZ271" s="58"/>
      <c r="BA271" s="58"/>
      <c r="BB271" s="58"/>
      <c r="BC271" s="58"/>
      <c r="BD271" s="58"/>
      <c r="BE271" s="58"/>
      <c r="BF271" s="58"/>
      <c r="BG271" s="58"/>
      <c r="BH271" s="58"/>
    </row>
    <row r="272" spans="2:60" hidden="1" x14ac:dyDescent="0.2">
      <c r="B272" s="59"/>
      <c r="C272" s="59" t="s">
        <v>685</v>
      </c>
      <c r="D272" s="59" t="s">
        <v>650</v>
      </c>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row>
    <row r="273" spans="2:60" hidden="1" x14ac:dyDescent="0.2">
      <c r="B273" s="57"/>
      <c r="C273" s="57" t="s">
        <v>685</v>
      </c>
      <c r="D273" s="57" t="s">
        <v>651</v>
      </c>
      <c r="E273" s="58">
        <v>175</v>
      </c>
      <c r="F273" s="58">
        <v>185</v>
      </c>
      <c r="G273" s="58">
        <v>195</v>
      </c>
      <c r="H273" s="58">
        <v>185</v>
      </c>
      <c r="I273" s="58">
        <v>200</v>
      </c>
      <c r="J273" s="58">
        <v>180</v>
      </c>
      <c r="K273" s="58">
        <v>160</v>
      </c>
      <c r="L273" s="58">
        <v>180</v>
      </c>
      <c r="M273" s="58">
        <v>200</v>
      </c>
      <c r="N273" s="58"/>
      <c r="O273" s="58">
        <v>200</v>
      </c>
      <c r="P273" s="58">
        <v>165</v>
      </c>
      <c r="Q273" s="58"/>
      <c r="R273" s="58"/>
      <c r="S273" s="58">
        <v>190</v>
      </c>
      <c r="T273" s="58">
        <v>200</v>
      </c>
      <c r="U273" s="58">
        <v>170</v>
      </c>
      <c r="V273" s="58"/>
      <c r="W273" s="58"/>
      <c r="X273" s="58"/>
      <c r="Y273" s="58">
        <v>220</v>
      </c>
      <c r="Z273" s="58"/>
      <c r="AA273" s="58"/>
      <c r="AB273" s="58"/>
      <c r="AC273" s="58"/>
      <c r="AD273" s="58">
        <v>225</v>
      </c>
      <c r="AE273" s="58">
        <v>210</v>
      </c>
      <c r="AF273" s="58"/>
      <c r="AG273" s="58">
        <v>200</v>
      </c>
      <c r="AH273" s="58"/>
      <c r="AI273" s="58"/>
      <c r="AJ273" s="58">
        <v>200</v>
      </c>
      <c r="AK273" s="58"/>
      <c r="AL273" s="58">
        <v>230</v>
      </c>
      <c r="AM273" s="58"/>
      <c r="AN273" s="58"/>
      <c r="AO273" s="58"/>
      <c r="AP273" s="58"/>
      <c r="AQ273" s="58">
        <v>250</v>
      </c>
      <c r="AR273" s="58"/>
      <c r="AS273" s="58"/>
      <c r="AT273" s="58"/>
      <c r="AU273" s="58"/>
      <c r="AV273" s="58"/>
      <c r="AW273" s="58"/>
      <c r="AX273" s="58"/>
      <c r="AY273" s="58"/>
      <c r="AZ273" s="58"/>
      <c r="BA273" s="58"/>
      <c r="BB273" s="58"/>
      <c r="BC273" s="58"/>
      <c r="BD273" s="58"/>
      <c r="BE273" s="58"/>
      <c r="BF273" s="58"/>
      <c r="BG273" s="58"/>
      <c r="BH273" s="58"/>
    </row>
    <row r="274" spans="2:60" hidden="1" x14ac:dyDescent="0.2">
      <c r="B274" s="59"/>
      <c r="C274" s="59" t="s">
        <v>685</v>
      </c>
      <c r="D274" s="59" t="s">
        <v>652</v>
      </c>
      <c r="E274" s="60">
        <v>195</v>
      </c>
      <c r="F274" s="60">
        <v>185</v>
      </c>
      <c r="G274" s="60">
        <v>200</v>
      </c>
      <c r="H274" s="60">
        <v>220</v>
      </c>
      <c r="I274" s="60">
        <v>200</v>
      </c>
      <c r="J274" s="60">
        <v>220</v>
      </c>
      <c r="K274" s="60">
        <v>220</v>
      </c>
      <c r="L274" s="60">
        <v>230</v>
      </c>
      <c r="M274" s="60">
        <v>235</v>
      </c>
      <c r="N274" s="60">
        <v>235</v>
      </c>
      <c r="O274" s="60">
        <v>240</v>
      </c>
      <c r="P274" s="60">
        <v>220</v>
      </c>
      <c r="Q274" s="60">
        <v>220</v>
      </c>
      <c r="R274" s="60">
        <v>240</v>
      </c>
      <c r="S274" s="60">
        <v>220</v>
      </c>
      <c r="T274" s="60">
        <v>225</v>
      </c>
      <c r="U274" s="60">
        <v>230</v>
      </c>
      <c r="V274" s="60">
        <v>250</v>
      </c>
      <c r="W274" s="60">
        <v>230</v>
      </c>
      <c r="X274" s="60">
        <v>225</v>
      </c>
      <c r="Y274" s="60">
        <v>240</v>
      </c>
      <c r="Z274" s="60">
        <v>250</v>
      </c>
      <c r="AA274" s="60">
        <v>250</v>
      </c>
      <c r="AB274" s="60">
        <v>250</v>
      </c>
      <c r="AC274" s="60">
        <v>235</v>
      </c>
      <c r="AD274" s="60">
        <v>250</v>
      </c>
      <c r="AE274" s="60">
        <v>250</v>
      </c>
      <c r="AF274" s="60">
        <v>230</v>
      </c>
      <c r="AG274" s="60">
        <v>250</v>
      </c>
      <c r="AH274" s="60">
        <v>240</v>
      </c>
      <c r="AI274" s="60">
        <v>250</v>
      </c>
      <c r="AJ274" s="60">
        <v>240</v>
      </c>
      <c r="AK274" s="60">
        <v>250</v>
      </c>
      <c r="AL274" s="60">
        <v>250</v>
      </c>
      <c r="AM274" s="60">
        <v>250</v>
      </c>
      <c r="AN274" s="60">
        <v>250</v>
      </c>
      <c r="AO274" s="60">
        <v>250</v>
      </c>
      <c r="AP274" s="60">
        <v>260</v>
      </c>
      <c r="AQ274" s="60">
        <v>260</v>
      </c>
      <c r="AR274" s="60">
        <v>270</v>
      </c>
      <c r="AS274" s="60">
        <v>265</v>
      </c>
      <c r="AT274" s="60">
        <v>290</v>
      </c>
      <c r="AU274" s="60">
        <v>290</v>
      </c>
      <c r="AV274" s="60">
        <v>290</v>
      </c>
      <c r="AW274" s="60">
        <v>300</v>
      </c>
      <c r="AX274" s="60">
        <v>300</v>
      </c>
      <c r="AY274" s="60">
        <v>300</v>
      </c>
      <c r="AZ274" s="60">
        <v>300</v>
      </c>
      <c r="BA274" s="60">
        <v>320</v>
      </c>
      <c r="BB274" s="60">
        <v>325</v>
      </c>
      <c r="BC274" s="60">
        <v>350</v>
      </c>
      <c r="BD274" s="60">
        <v>350</v>
      </c>
      <c r="BE274" s="60">
        <v>350</v>
      </c>
      <c r="BF274" s="60">
        <v>330</v>
      </c>
      <c r="BG274" s="60">
        <v>325</v>
      </c>
      <c r="BH274" s="60">
        <v>350</v>
      </c>
    </row>
    <row r="275" spans="2:60" hidden="1" x14ac:dyDescent="0.2">
      <c r="B275" s="57"/>
      <c r="C275" s="57" t="s">
        <v>685</v>
      </c>
      <c r="D275" s="57" t="s">
        <v>653</v>
      </c>
      <c r="E275" s="58">
        <v>200</v>
      </c>
      <c r="F275" s="58"/>
      <c r="G275" s="58"/>
      <c r="H275" s="58"/>
      <c r="I275" s="58">
        <v>230</v>
      </c>
      <c r="J275" s="58">
        <v>215</v>
      </c>
      <c r="K275" s="58">
        <v>230</v>
      </c>
      <c r="L275" s="58">
        <v>240</v>
      </c>
      <c r="M275" s="58">
        <v>190</v>
      </c>
      <c r="N275" s="58"/>
      <c r="O275" s="58">
        <v>250</v>
      </c>
      <c r="P275" s="58">
        <v>250</v>
      </c>
      <c r="Q275" s="58">
        <v>250</v>
      </c>
      <c r="R275" s="58">
        <v>215</v>
      </c>
      <c r="S275" s="58">
        <v>260</v>
      </c>
      <c r="T275" s="58">
        <v>225</v>
      </c>
      <c r="U275" s="58">
        <v>230</v>
      </c>
      <c r="V275" s="58">
        <v>250</v>
      </c>
      <c r="W275" s="58"/>
      <c r="X275" s="58">
        <v>250</v>
      </c>
      <c r="Y275" s="58">
        <v>260</v>
      </c>
      <c r="Z275" s="58">
        <v>260</v>
      </c>
      <c r="AA275" s="58">
        <v>250</v>
      </c>
      <c r="AB275" s="58">
        <v>250</v>
      </c>
      <c r="AC275" s="58">
        <v>250</v>
      </c>
      <c r="AD275" s="58">
        <v>250</v>
      </c>
      <c r="AE275" s="58">
        <v>260</v>
      </c>
      <c r="AF275" s="58">
        <v>250</v>
      </c>
      <c r="AG275" s="58">
        <v>275</v>
      </c>
      <c r="AH275" s="58"/>
      <c r="AI275" s="58">
        <v>275</v>
      </c>
      <c r="AJ275" s="58">
        <v>280</v>
      </c>
      <c r="AK275" s="58">
        <v>250</v>
      </c>
      <c r="AL275" s="58">
        <v>260</v>
      </c>
      <c r="AM275" s="58">
        <v>270</v>
      </c>
      <c r="AN275" s="58"/>
      <c r="AO275" s="58">
        <v>270</v>
      </c>
      <c r="AP275" s="58">
        <v>280</v>
      </c>
      <c r="AQ275" s="58"/>
      <c r="AR275" s="58"/>
      <c r="AS275" s="58"/>
      <c r="AT275" s="58"/>
      <c r="AU275" s="58"/>
      <c r="AV275" s="58"/>
      <c r="AW275" s="58"/>
      <c r="AX275" s="58"/>
      <c r="AY275" s="58"/>
      <c r="AZ275" s="58"/>
      <c r="BA275" s="58"/>
      <c r="BB275" s="58"/>
      <c r="BC275" s="58"/>
      <c r="BD275" s="58">
        <v>370</v>
      </c>
      <c r="BE275" s="58"/>
      <c r="BF275" s="58"/>
      <c r="BG275" s="58">
        <v>450</v>
      </c>
      <c r="BH275" s="58"/>
    </row>
    <row r="276" spans="2:60" hidden="1" x14ac:dyDescent="0.2">
      <c r="B276" s="59"/>
      <c r="C276" s="59" t="s">
        <v>685</v>
      </c>
      <c r="D276" s="59" t="s">
        <v>654</v>
      </c>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row>
    <row r="277" spans="2:60" hidden="1" x14ac:dyDescent="0.2">
      <c r="B277" s="57"/>
      <c r="C277" s="57" t="s">
        <v>685</v>
      </c>
      <c r="D277" s="57" t="s">
        <v>655</v>
      </c>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row>
    <row r="278" spans="2:60" hidden="1" x14ac:dyDescent="0.2">
      <c r="B278" s="59"/>
      <c r="C278" s="59" t="s">
        <v>685</v>
      </c>
      <c r="D278" s="59" t="s">
        <v>656</v>
      </c>
      <c r="E278" s="60">
        <v>190</v>
      </c>
      <c r="F278" s="60">
        <v>190</v>
      </c>
      <c r="G278" s="60">
        <v>200</v>
      </c>
      <c r="H278" s="60">
        <v>200</v>
      </c>
      <c r="I278" s="60">
        <v>200</v>
      </c>
      <c r="J278" s="60">
        <v>210</v>
      </c>
      <c r="K278" s="60">
        <v>200</v>
      </c>
      <c r="L278" s="60">
        <v>220</v>
      </c>
      <c r="M278" s="60">
        <v>220</v>
      </c>
      <c r="N278" s="60">
        <v>200</v>
      </c>
      <c r="O278" s="60">
        <v>240</v>
      </c>
      <c r="P278" s="60">
        <v>210</v>
      </c>
      <c r="Q278" s="60">
        <v>220</v>
      </c>
      <c r="R278" s="60">
        <v>220</v>
      </c>
      <c r="S278" s="60">
        <v>215</v>
      </c>
      <c r="T278" s="60">
        <v>220</v>
      </c>
      <c r="U278" s="60">
        <v>220</v>
      </c>
      <c r="V278" s="60">
        <v>240</v>
      </c>
      <c r="W278" s="60">
        <v>230</v>
      </c>
      <c r="X278" s="60">
        <v>230</v>
      </c>
      <c r="Y278" s="60">
        <v>240</v>
      </c>
      <c r="Z278" s="60">
        <v>240</v>
      </c>
      <c r="AA278" s="60">
        <v>230</v>
      </c>
      <c r="AB278" s="60">
        <v>235</v>
      </c>
      <c r="AC278" s="60">
        <v>235</v>
      </c>
      <c r="AD278" s="60">
        <v>230</v>
      </c>
      <c r="AE278" s="60">
        <v>240</v>
      </c>
      <c r="AF278" s="60">
        <v>230</v>
      </c>
      <c r="AG278" s="60">
        <v>250</v>
      </c>
      <c r="AH278" s="60">
        <v>250</v>
      </c>
      <c r="AI278" s="60">
        <v>240</v>
      </c>
      <c r="AJ278" s="60">
        <v>240</v>
      </c>
      <c r="AK278" s="60">
        <v>240</v>
      </c>
      <c r="AL278" s="60">
        <v>250</v>
      </c>
      <c r="AM278" s="60">
        <v>245</v>
      </c>
      <c r="AN278" s="60">
        <v>250</v>
      </c>
      <c r="AO278" s="60">
        <v>250</v>
      </c>
      <c r="AP278" s="60">
        <v>260</v>
      </c>
      <c r="AQ278" s="60">
        <v>260</v>
      </c>
      <c r="AR278" s="60">
        <v>270</v>
      </c>
      <c r="AS278" s="60">
        <v>270</v>
      </c>
      <c r="AT278" s="60">
        <v>280</v>
      </c>
      <c r="AU278" s="60">
        <v>280</v>
      </c>
      <c r="AV278" s="60">
        <v>280</v>
      </c>
      <c r="AW278" s="60">
        <v>285</v>
      </c>
      <c r="AX278" s="60">
        <v>280</v>
      </c>
      <c r="AY278" s="60">
        <v>290</v>
      </c>
      <c r="AZ278" s="60">
        <v>300</v>
      </c>
      <c r="BA278" s="60">
        <v>320</v>
      </c>
      <c r="BB278" s="60">
        <v>320</v>
      </c>
      <c r="BC278" s="60">
        <v>320</v>
      </c>
      <c r="BD278" s="60">
        <v>330</v>
      </c>
      <c r="BE278" s="60">
        <v>350</v>
      </c>
      <c r="BF278" s="60">
        <v>315</v>
      </c>
      <c r="BG278" s="60">
        <v>360</v>
      </c>
      <c r="BH278" s="60">
        <v>330</v>
      </c>
    </row>
    <row r="279" spans="2:60" hidden="1" x14ac:dyDescent="0.2">
      <c r="B279" s="57"/>
      <c r="C279" s="57" t="s">
        <v>686</v>
      </c>
      <c r="D279" s="57" t="s">
        <v>648</v>
      </c>
      <c r="E279" s="58">
        <v>172</v>
      </c>
      <c r="F279" s="58">
        <v>173</v>
      </c>
      <c r="G279" s="58">
        <v>149</v>
      </c>
      <c r="H279" s="58">
        <v>185</v>
      </c>
      <c r="I279" s="58">
        <v>188</v>
      </c>
      <c r="J279" s="58">
        <v>220</v>
      </c>
      <c r="K279" s="58">
        <v>200</v>
      </c>
      <c r="L279" s="58">
        <v>226</v>
      </c>
      <c r="M279" s="58">
        <v>220</v>
      </c>
      <c r="N279" s="58">
        <v>190</v>
      </c>
      <c r="O279" s="58">
        <v>220</v>
      </c>
      <c r="P279" s="58">
        <v>210</v>
      </c>
      <c r="Q279" s="58">
        <v>225</v>
      </c>
      <c r="R279" s="58">
        <v>195</v>
      </c>
      <c r="S279" s="58">
        <v>225</v>
      </c>
      <c r="T279" s="58">
        <v>230</v>
      </c>
      <c r="U279" s="58">
        <v>230</v>
      </c>
      <c r="V279" s="58">
        <v>220</v>
      </c>
      <c r="W279" s="58">
        <v>229</v>
      </c>
      <c r="X279" s="58">
        <v>230</v>
      </c>
      <c r="Y279" s="58">
        <v>245</v>
      </c>
      <c r="Z279" s="58">
        <v>230</v>
      </c>
      <c r="AA279" s="58">
        <v>220</v>
      </c>
      <c r="AB279" s="58">
        <v>245</v>
      </c>
      <c r="AC279" s="58">
        <v>240</v>
      </c>
      <c r="AD279" s="58">
        <v>195</v>
      </c>
      <c r="AE279" s="58">
        <v>230</v>
      </c>
      <c r="AF279" s="58">
        <v>195</v>
      </c>
      <c r="AG279" s="58">
        <v>230</v>
      </c>
      <c r="AH279" s="58">
        <v>220</v>
      </c>
      <c r="AI279" s="58">
        <v>198</v>
      </c>
      <c r="AJ279" s="58">
        <v>230</v>
      </c>
      <c r="AK279" s="58">
        <v>250</v>
      </c>
      <c r="AL279" s="58">
        <v>240</v>
      </c>
      <c r="AM279" s="58">
        <v>253</v>
      </c>
      <c r="AN279" s="58">
        <v>240</v>
      </c>
      <c r="AO279" s="58">
        <v>255</v>
      </c>
      <c r="AP279" s="58">
        <v>240</v>
      </c>
      <c r="AQ279" s="58">
        <v>250</v>
      </c>
      <c r="AR279" s="58">
        <v>260</v>
      </c>
      <c r="AS279" s="58">
        <v>260</v>
      </c>
      <c r="AT279" s="58">
        <v>240</v>
      </c>
      <c r="AU279" s="58">
        <v>240</v>
      </c>
      <c r="AV279" s="58">
        <v>290</v>
      </c>
      <c r="AW279" s="58">
        <v>290</v>
      </c>
      <c r="AX279" s="58">
        <v>300</v>
      </c>
      <c r="AY279" s="58">
        <v>300</v>
      </c>
      <c r="AZ279" s="58">
        <v>270</v>
      </c>
      <c r="BA279" s="58">
        <v>340</v>
      </c>
      <c r="BB279" s="58">
        <v>345</v>
      </c>
      <c r="BC279" s="58">
        <v>300</v>
      </c>
      <c r="BD279" s="58">
        <v>320</v>
      </c>
      <c r="BE279" s="58">
        <v>345</v>
      </c>
      <c r="BF279" s="58">
        <v>330</v>
      </c>
      <c r="BG279" s="58">
        <v>350</v>
      </c>
      <c r="BH279" s="58">
        <v>400</v>
      </c>
    </row>
    <row r="280" spans="2:60" x14ac:dyDescent="0.2">
      <c r="B280" s="59"/>
      <c r="C280" s="59" t="s">
        <v>686</v>
      </c>
      <c r="D280" s="59" t="s">
        <v>649</v>
      </c>
      <c r="E280" s="60">
        <v>320</v>
      </c>
      <c r="F280" s="60">
        <v>320</v>
      </c>
      <c r="G280" s="60">
        <v>320</v>
      </c>
      <c r="H280" s="60">
        <v>295</v>
      </c>
      <c r="I280" s="60">
        <v>320</v>
      </c>
      <c r="J280" s="60">
        <v>300</v>
      </c>
      <c r="K280" s="60">
        <v>330</v>
      </c>
      <c r="L280" s="60">
        <v>330</v>
      </c>
      <c r="M280" s="60">
        <v>328</v>
      </c>
      <c r="N280" s="60">
        <v>325</v>
      </c>
      <c r="O280" s="60">
        <v>330</v>
      </c>
      <c r="P280" s="60">
        <v>340</v>
      </c>
      <c r="Q280" s="60">
        <v>325</v>
      </c>
      <c r="R280" s="60">
        <v>330</v>
      </c>
      <c r="S280" s="60">
        <v>335</v>
      </c>
      <c r="T280" s="60">
        <v>340</v>
      </c>
      <c r="U280" s="60">
        <v>350</v>
      </c>
      <c r="V280" s="60">
        <v>340</v>
      </c>
      <c r="W280" s="60">
        <v>340</v>
      </c>
      <c r="X280" s="60">
        <v>350</v>
      </c>
      <c r="Y280" s="60">
        <v>345</v>
      </c>
      <c r="Z280" s="60">
        <v>350</v>
      </c>
      <c r="AA280" s="60">
        <v>350</v>
      </c>
      <c r="AB280" s="60">
        <v>350</v>
      </c>
      <c r="AC280" s="60">
        <v>350</v>
      </c>
      <c r="AD280" s="60">
        <v>350</v>
      </c>
      <c r="AE280" s="60">
        <v>350</v>
      </c>
      <c r="AF280" s="60">
        <v>355</v>
      </c>
      <c r="AG280" s="60">
        <v>370</v>
      </c>
      <c r="AH280" s="60">
        <v>365</v>
      </c>
      <c r="AI280" s="60">
        <v>350</v>
      </c>
      <c r="AJ280" s="60">
        <v>351</v>
      </c>
      <c r="AK280" s="60">
        <v>360</v>
      </c>
      <c r="AL280" s="60">
        <v>355</v>
      </c>
      <c r="AM280" s="60">
        <v>355</v>
      </c>
      <c r="AN280" s="60">
        <v>360</v>
      </c>
      <c r="AO280" s="60">
        <v>360</v>
      </c>
      <c r="AP280" s="60">
        <v>360</v>
      </c>
      <c r="AQ280" s="60">
        <v>380</v>
      </c>
      <c r="AR280" s="60">
        <v>400</v>
      </c>
      <c r="AS280" s="60">
        <v>410</v>
      </c>
      <c r="AT280" s="60">
        <v>380</v>
      </c>
      <c r="AU280" s="60">
        <v>420</v>
      </c>
      <c r="AV280" s="60">
        <v>420</v>
      </c>
      <c r="AW280" s="60">
        <v>450</v>
      </c>
      <c r="AX280" s="60">
        <v>460</v>
      </c>
      <c r="AY280" s="60">
        <v>440</v>
      </c>
      <c r="AZ280" s="60">
        <v>480</v>
      </c>
      <c r="BA280" s="60">
        <v>480</v>
      </c>
      <c r="BB280" s="60">
        <v>480</v>
      </c>
      <c r="BC280" s="60">
        <v>510</v>
      </c>
      <c r="BD280" s="60">
        <v>520</v>
      </c>
      <c r="BE280" s="60">
        <v>510</v>
      </c>
      <c r="BF280" s="60">
        <v>550</v>
      </c>
      <c r="BG280" s="60">
        <v>550</v>
      </c>
      <c r="BH280" s="60">
        <v>550</v>
      </c>
    </row>
    <row r="281" spans="2:60" hidden="1" x14ac:dyDescent="0.2">
      <c r="B281" s="57"/>
      <c r="C281" s="57" t="s">
        <v>686</v>
      </c>
      <c r="D281" s="57" t="s">
        <v>650</v>
      </c>
      <c r="E281" s="58">
        <v>405</v>
      </c>
      <c r="F281" s="58">
        <v>370</v>
      </c>
      <c r="G281" s="58">
        <v>400</v>
      </c>
      <c r="H281" s="58">
        <v>380</v>
      </c>
      <c r="I281" s="58">
        <v>370</v>
      </c>
      <c r="J281" s="58">
        <v>385</v>
      </c>
      <c r="K281" s="58">
        <v>400</v>
      </c>
      <c r="L281" s="58">
        <v>365</v>
      </c>
      <c r="M281" s="58">
        <v>400</v>
      </c>
      <c r="N281" s="58">
        <v>380</v>
      </c>
      <c r="O281" s="58">
        <v>380</v>
      </c>
      <c r="P281" s="58">
        <v>395</v>
      </c>
      <c r="Q281" s="58">
        <v>450</v>
      </c>
      <c r="R281" s="58">
        <v>415</v>
      </c>
      <c r="S281" s="58">
        <v>400</v>
      </c>
      <c r="T281" s="58">
        <v>400</v>
      </c>
      <c r="U281" s="58">
        <v>370</v>
      </c>
      <c r="V281" s="58">
        <v>400</v>
      </c>
      <c r="W281" s="58">
        <v>370</v>
      </c>
      <c r="X281" s="58">
        <v>375</v>
      </c>
      <c r="Y281" s="58">
        <v>395</v>
      </c>
      <c r="Z281" s="58">
        <v>390</v>
      </c>
      <c r="AA281" s="58">
        <v>405</v>
      </c>
      <c r="AB281" s="58">
        <v>395</v>
      </c>
      <c r="AC281" s="58">
        <v>390</v>
      </c>
      <c r="AD281" s="58">
        <v>400</v>
      </c>
      <c r="AE281" s="58">
        <v>422</v>
      </c>
      <c r="AF281" s="58">
        <v>385</v>
      </c>
      <c r="AG281" s="58">
        <v>420</v>
      </c>
      <c r="AH281" s="58">
        <v>415</v>
      </c>
      <c r="AI281" s="58">
        <v>420</v>
      </c>
      <c r="AJ281" s="58">
        <v>420</v>
      </c>
      <c r="AK281" s="58">
        <v>410</v>
      </c>
      <c r="AL281" s="58">
        <v>415</v>
      </c>
      <c r="AM281" s="58">
        <v>435</v>
      </c>
      <c r="AN281" s="58">
        <v>430</v>
      </c>
      <c r="AO281" s="58">
        <v>410</v>
      </c>
      <c r="AP281" s="58">
        <v>420</v>
      </c>
      <c r="AQ281" s="58">
        <v>440</v>
      </c>
      <c r="AR281" s="58">
        <v>480</v>
      </c>
      <c r="AS281" s="58">
        <v>460</v>
      </c>
      <c r="AT281" s="58">
        <v>475</v>
      </c>
      <c r="AU281" s="58">
        <v>510</v>
      </c>
      <c r="AV281" s="58">
        <v>480</v>
      </c>
      <c r="AW281" s="58">
        <v>550</v>
      </c>
      <c r="AX281" s="58">
        <v>540</v>
      </c>
      <c r="AY281" s="58">
        <v>550</v>
      </c>
      <c r="AZ281" s="58">
        <v>575</v>
      </c>
      <c r="BA281" s="58">
        <v>575</v>
      </c>
      <c r="BB281" s="58">
        <v>650</v>
      </c>
      <c r="BC281" s="58">
        <v>600</v>
      </c>
      <c r="BD281" s="58">
        <v>595</v>
      </c>
      <c r="BE281" s="58">
        <v>610</v>
      </c>
      <c r="BF281" s="58">
        <v>635</v>
      </c>
      <c r="BG281" s="58">
        <v>650</v>
      </c>
      <c r="BH281" s="58">
        <v>650</v>
      </c>
    </row>
    <row r="282" spans="2:60" hidden="1" x14ac:dyDescent="0.2">
      <c r="B282" s="59"/>
      <c r="C282" s="59" t="s">
        <v>686</v>
      </c>
      <c r="D282" s="59" t="s">
        <v>651</v>
      </c>
      <c r="E282" s="60">
        <v>240</v>
      </c>
      <c r="F282" s="60">
        <v>240</v>
      </c>
      <c r="G282" s="60">
        <v>230</v>
      </c>
      <c r="H282" s="60">
        <v>225</v>
      </c>
      <c r="I282" s="60">
        <v>235</v>
      </c>
      <c r="J282" s="60">
        <v>240</v>
      </c>
      <c r="K282" s="60">
        <v>245</v>
      </c>
      <c r="L282" s="60">
        <v>250</v>
      </c>
      <c r="M282" s="60">
        <v>250</v>
      </c>
      <c r="N282" s="60">
        <v>275</v>
      </c>
      <c r="O282" s="60">
        <v>240</v>
      </c>
      <c r="P282" s="60">
        <v>235</v>
      </c>
      <c r="Q282" s="60">
        <v>240</v>
      </c>
      <c r="R282" s="60">
        <v>245</v>
      </c>
      <c r="S282" s="60">
        <v>250</v>
      </c>
      <c r="T282" s="60">
        <v>240</v>
      </c>
      <c r="U282" s="60">
        <v>250</v>
      </c>
      <c r="V282" s="60">
        <v>250</v>
      </c>
      <c r="W282" s="60">
        <v>280</v>
      </c>
      <c r="X282" s="60">
        <v>255</v>
      </c>
      <c r="Y282" s="60">
        <v>275</v>
      </c>
      <c r="Z282" s="60">
        <v>265</v>
      </c>
      <c r="AA282" s="60">
        <v>250</v>
      </c>
      <c r="AB282" s="60">
        <v>245</v>
      </c>
      <c r="AC282" s="60">
        <v>285</v>
      </c>
      <c r="AD282" s="60">
        <v>265</v>
      </c>
      <c r="AE282" s="60">
        <v>280</v>
      </c>
      <c r="AF282" s="60">
        <v>260</v>
      </c>
      <c r="AG282" s="60">
        <v>320</v>
      </c>
      <c r="AH282" s="60">
        <v>255</v>
      </c>
      <c r="AI282" s="60">
        <v>270</v>
      </c>
      <c r="AJ282" s="60">
        <v>260</v>
      </c>
      <c r="AK282" s="60">
        <v>280</v>
      </c>
      <c r="AL282" s="60">
        <v>260</v>
      </c>
      <c r="AM282" s="60">
        <v>275</v>
      </c>
      <c r="AN282" s="60">
        <v>270</v>
      </c>
      <c r="AO282" s="60">
        <v>295</v>
      </c>
      <c r="AP282" s="60">
        <v>300</v>
      </c>
      <c r="AQ282" s="60">
        <v>350</v>
      </c>
      <c r="AR282" s="60">
        <v>300</v>
      </c>
      <c r="AS282" s="60">
        <v>350</v>
      </c>
      <c r="AT282" s="60">
        <v>360</v>
      </c>
      <c r="AU282" s="60">
        <v>380</v>
      </c>
      <c r="AV282" s="60">
        <v>400</v>
      </c>
      <c r="AW282" s="60">
        <v>400</v>
      </c>
      <c r="AX282" s="60">
        <v>385</v>
      </c>
      <c r="AY282" s="60">
        <v>375</v>
      </c>
      <c r="AZ282" s="60">
        <v>400</v>
      </c>
      <c r="BA282" s="60">
        <v>400</v>
      </c>
      <c r="BB282" s="60">
        <v>400</v>
      </c>
      <c r="BC282" s="60">
        <v>475</v>
      </c>
      <c r="BD282" s="60">
        <v>450</v>
      </c>
      <c r="BE282" s="60">
        <v>475</v>
      </c>
      <c r="BF282" s="60">
        <v>470</v>
      </c>
      <c r="BG282" s="60">
        <v>440</v>
      </c>
      <c r="BH282" s="60">
        <v>450</v>
      </c>
    </row>
    <row r="283" spans="2:60" hidden="1" x14ac:dyDescent="0.2">
      <c r="B283" s="57"/>
      <c r="C283" s="57" t="s">
        <v>686</v>
      </c>
      <c r="D283" s="57" t="s">
        <v>652</v>
      </c>
      <c r="E283" s="58">
        <v>365</v>
      </c>
      <c r="F283" s="58">
        <v>365</v>
      </c>
      <c r="G283" s="58">
        <v>370</v>
      </c>
      <c r="H283" s="58">
        <v>375</v>
      </c>
      <c r="I283" s="58">
        <v>375</v>
      </c>
      <c r="J283" s="58">
        <v>370</v>
      </c>
      <c r="K283" s="58">
        <v>380</v>
      </c>
      <c r="L283" s="58">
        <v>380</v>
      </c>
      <c r="M283" s="58">
        <v>380</v>
      </c>
      <c r="N283" s="58">
        <v>380</v>
      </c>
      <c r="O283" s="58">
        <v>380</v>
      </c>
      <c r="P283" s="58">
        <v>385</v>
      </c>
      <c r="Q283" s="58">
        <v>390</v>
      </c>
      <c r="R283" s="58">
        <v>395</v>
      </c>
      <c r="S283" s="58">
        <v>390</v>
      </c>
      <c r="T283" s="58">
        <v>390</v>
      </c>
      <c r="U283" s="58">
        <v>390</v>
      </c>
      <c r="V283" s="58">
        <v>395</v>
      </c>
      <c r="W283" s="58">
        <v>395</v>
      </c>
      <c r="X283" s="58">
        <v>400</v>
      </c>
      <c r="Y283" s="58">
        <v>395</v>
      </c>
      <c r="Z283" s="58">
        <v>400</v>
      </c>
      <c r="AA283" s="58">
        <v>400</v>
      </c>
      <c r="AB283" s="58">
        <v>400</v>
      </c>
      <c r="AC283" s="58">
        <v>400</v>
      </c>
      <c r="AD283" s="58">
        <v>400</v>
      </c>
      <c r="AE283" s="58">
        <v>400</v>
      </c>
      <c r="AF283" s="58">
        <v>400</v>
      </c>
      <c r="AG283" s="58">
        <v>405</v>
      </c>
      <c r="AH283" s="58">
        <v>400</v>
      </c>
      <c r="AI283" s="58">
        <v>400</v>
      </c>
      <c r="AJ283" s="58">
        <v>400</v>
      </c>
      <c r="AK283" s="58">
        <v>420</v>
      </c>
      <c r="AL283" s="58">
        <v>400</v>
      </c>
      <c r="AM283" s="58">
        <v>410</v>
      </c>
      <c r="AN283" s="58">
        <v>425</v>
      </c>
      <c r="AO283" s="58">
        <v>430</v>
      </c>
      <c r="AP283" s="58">
        <v>450</v>
      </c>
      <c r="AQ283" s="58">
        <v>470</v>
      </c>
      <c r="AR283" s="58">
        <v>470</v>
      </c>
      <c r="AS283" s="58">
        <v>500</v>
      </c>
      <c r="AT283" s="58">
        <v>500</v>
      </c>
      <c r="AU283" s="58">
        <v>510</v>
      </c>
      <c r="AV283" s="58">
        <v>540</v>
      </c>
      <c r="AW283" s="58">
        <v>530</v>
      </c>
      <c r="AX283" s="58">
        <v>550</v>
      </c>
      <c r="AY283" s="58">
        <v>560</v>
      </c>
      <c r="AZ283" s="58">
        <v>570</v>
      </c>
      <c r="BA283" s="58">
        <v>595</v>
      </c>
      <c r="BB283" s="58">
        <v>600</v>
      </c>
      <c r="BC283" s="58">
        <v>610</v>
      </c>
      <c r="BD283" s="58">
        <v>620</v>
      </c>
      <c r="BE283" s="58">
        <v>620</v>
      </c>
      <c r="BF283" s="58">
        <v>620</v>
      </c>
      <c r="BG283" s="58">
        <v>650</v>
      </c>
      <c r="BH283" s="58">
        <v>650</v>
      </c>
    </row>
    <row r="284" spans="2:60" hidden="1" x14ac:dyDescent="0.2">
      <c r="B284" s="59"/>
      <c r="C284" s="59" t="s">
        <v>686</v>
      </c>
      <c r="D284" s="59" t="s">
        <v>653</v>
      </c>
      <c r="E284" s="60">
        <v>460</v>
      </c>
      <c r="F284" s="60">
        <v>460</v>
      </c>
      <c r="G284" s="60">
        <v>460</v>
      </c>
      <c r="H284" s="60">
        <v>465</v>
      </c>
      <c r="I284" s="60">
        <v>460</v>
      </c>
      <c r="J284" s="60">
        <v>465</v>
      </c>
      <c r="K284" s="60">
        <v>470</v>
      </c>
      <c r="L284" s="60">
        <v>480</v>
      </c>
      <c r="M284" s="60">
        <v>480</v>
      </c>
      <c r="N284" s="60">
        <v>490</v>
      </c>
      <c r="O284" s="60">
        <v>480</v>
      </c>
      <c r="P284" s="60">
        <v>490</v>
      </c>
      <c r="Q284" s="60">
        <v>490</v>
      </c>
      <c r="R284" s="60">
        <v>490</v>
      </c>
      <c r="S284" s="60">
        <v>480</v>
      </c>
      <c r="T284" s="60">
        <v>490</v>
      </c>
      <c r="U284" s="60">
        <v>485</v>
      </c>
      <c r="V284" s="60">
        <v>480</v>
      </c>
      <c r="W284" s="60">
        <v>480</v>
      </c>
      <c r="X284" s="60">
        <v>490</v>
      </c>
      <c r="Y284" s="60">
        <v>490</v>
      </c>
      <c r="Z284" s="60">
        <v>490</v>
      </c>
      <c r="AA284" s="60">
        <v>480</v>
      </c>
      <c r="AB284" s="60">
        <v>485</v>
      </c>
      <c r="AC284" s="60">
        <v>490</v>
      </c>
      <c r="AD284" s="60">
        <v>490</v>
      </c>
      <c r="AE284" s="60">
        <v>485</v>
      </c>
      <c r="AF284" s="60">
        <v>490</v>
      </c>
      <c r="AG284" s="60">
        <v>495</v>
      </c>
      <c r="AH284" s="60">
        <v>495</v>
      </c>
      <c r="AI284" s="60">
        <v>490</v>
      </c>
      <c r="AJ284" s="60">
        <v>498</v>
      </c>
      <c r="AK284" s="60">
        <v>495</v>
      </c>
      <c r="AL284" s="60">
        <v>500</v>
      </c>
      <c r="AM284" s="60">
        <v>500</v>
      </c>
      <c r="AN284" s="60">
        <v>510</v>
      </c>
      <c r="AO284" s="60">
        <v>520</v>
      </c>
      <c r="AP284" s="60">
        <v>550</v>
      </c>
      <c r="AQ284" s="60">
        <v>550</v>
      </c>
      <c r="AR284" s="60">
        <v>570</v>
      </c>
      <c r="AS284" s="60">
        <v>595</v>
      </c>
      <c r="AT284" s="60">
        <v>620</v>
      </c>
      <c r="AU284" s="60">
        <v>620</v>
      </c>
      <c r="AV284" s="60">
        <v>650</v>
      </c>
      <c r="AW284" s="60">
        <v>650</v>
      </c>
      <c r="AX284" s="60">
        <v>650</v>
      </c>
      <c r="AY284" s="60">
        <v>670</v>
      </c>
      <c r="AZ284" s="60">
        <v>675</v>
      </c>
      <c r="BA284" s="60">
        <v>720</v>
      </c>
      <c r="BB284" s="60">
        <v>720</v>
      </c>
      <c r="BC284" s="60">
        <v>720</v>
      </c>
      <c r="BD284" s="60">
        <v>730</v>
      </c>
      <c r="BE284" s="60">
        <v>750</v>
      </c>
      <c r="BF284" s="60">
        <v>765</v>
      </c>
      <c r="BG284" s="60">
        <v>780</v>
      </c>
      <c r="BH284" s="60">
        <v>780</v>
      </c>
    </row>
    <row r="285" spans="2:60" x14ac:dyDescent="0.2">
      <c r="B285" s="57"/>
      <c r="C285" s="57" t="s">
        <v>686</v>
      </c>
      <c r="D285" s="57" t="s">
        <v>654</v>
      </c>
      <c r="E285" s="58">
        <v>340</v>
      </c>
      <c r="F285" s="58">
        <v>320</v>
      </c>
      <c r="G285" s="58">
        <v>330</v>
      </c>
      <c r="H285" s="58">
        <v>335</v>
      </c>
      <c r="I285" s="58">
        <v>330</v>
      </c>
      <c r="J285" s="58">
        <v>330</v>
      </c>
      <c r="K285" s="58">
        <v>335</v>
      </c>
      <c r="L285" s="58">
        <v>340</v>
      </c>
      <c r="M285" s="58">
        <v>350</v>
      </c>
      <c r="N285" s="58">
        <v>345</v>
      </c>
      <c r="O285" s="58">
        <v>340</v>
      </c>
      <c r="P285" s="58">
        <v>340</v>
      </c>
      <c r="Q285" s="58">
        <v>340</v>
      </c>
      <c r="R285" s="58">
        <v>340</v>
      </c>
      <c r="S285" s="58">
        <v>348</v>
      </c>
      <c r="T285" s="58">
        <v>340</v>
      </c>
      <c r="U285" s="58">
        <v>350</v>
      </c>
      <c r="V285" s="58">
        <v>340</v>
      </c>
      <c r="W285" s="58">
        <v>350</v>
      </c>
      <c r="X285" s="58">
        <v>350</v>
      </c>
      <c r="Y285" s="58">
        <v>345</v>
      </c>
      <c r="Z285" s="58">
        <v>345</v>
      </c>
      <c r="AA285" s="58">
        <v>340</v>
      </c>
      <c r="AB285" s="58">
        <v>335</v>
      </c>
      <c r="AC285" s="58">
        <v>355</v>
      </c>
      <c r="AD285" s="58">
        <v>350</v>
      </c>
      <c r="AE285" s="58">
        <v>345</v>
      </c>
      <c r="AF285" s="58">
        <v>345</v>
      </c>
      <c r="AG285" s="58">
        <v>345</v>
      </c>
      <c r="AH285" s="58">
        <v>350</v>
      </c>
      <c r="AI285" s="58">
        <v>350</v>
      </c>
      <c r="AJ285" s="58">
        <v>350</v>
      </c>
      <c r="AK285" s="58">
        <v>355</v>
      </c>
      <c r="AL285" s="58">
        <v>350</v>
      </c>
      <c r="AM285" s="58">
        <v>350</v>
      </c>
      <c r="AN285" s="58">
        <v>355</v>
      </c>
      <c r="AO285" s="58">
        <v>360</v>
      </c>
      <c r="AP285" s="58">
        <v>370</v>
      </c>
      <c r="AQ285" s="58">
        <v>370</v>
      </c>
      <c r="AR285" s="58">
        <v>380</v>
      </c>
      <c r="AS285" s="58">
        <v>390</v>
      </c>
      <c r="AT285" s="58">
        <v>395</v>
      </c>
      <c r="AU285" s="58">
        <v>400</v>
      </c>
      <c r="AV285" s="58">
        <v>420</v>
      </c>
      <c r="AW285" s="58">
        <v>420</v>
      </c>
      <c r="AX285" s="58">
        <v>450</v>
      </c>
      <c r="AY285" s="58">
        <v>450</v>
      </c>
      <c r="AZ285" s="58">
        <v>470</v>
      </c>
      <c r="BA285" s="58">
        <v>490</v>
      </c>
      <c r="BB285" s="58">
        <v>500</v>
      </c>
      <c r="BC285" s="58">
        <v>490</v>
      </c>
      <c r="BD285" s="58">
        <v>530</v>
      </c>
      <c r="BE285" s="58">
        <v>500</v>
      </c>
      <c r="BF285" s="58">
        <v>520</v>
      </c>
      <c r="BG285" s="58">
        <v>520</v>
      </c>
      <c r="BH285" s="58">
        <v>560</v>
      </c>
    </row>
    <row r="286" spans="2:60" hidden="1" x14ac:dyDescent="0.2">
      <c r="B286" s="59"/>
      <c r="C286" s="59" t="s">
        <v>686</v>
      </c>
      <c r="D286" s="59" t="s">
        <v>655</v>
      </c>
      <c r="E286" s="60">
        <v>365</v>
      </c>
      <c r="F286" s="60">
        <v>370</v>
      </c>
      <c r="G286" s="60">
        <v>380</v>
      </c>
      <c r="H286" s="60">
        <v>375</v>
      </c>
      <c r="I286" s="60">
        <v>380</v>
      </c>
      <c r="J286" s="60">
        <v>380</v>
      </c>
      <c r="K286" s="60">
        <v>385</v>
      </c>
      <c r="L286" s="60">
        <v>385</v>
      </c>
      <c r="M286" s="60">
        <v>390</v>
      </c>
      <c r="N286" s="60">
        <v>385</v>
      </c>
      <c r="O286" s="60">
        <v>395</v>
      </c>
      <c r="P286" s="60">
        <v>390</v>
      </c>
      <c r="Q286" s="60">
        <v>395</v>
      </c>
      <c r="R286" s="60">
        <v>390</v>
      </c>
      <c r="S286" s="60">
        <v>395</v>
      </c>
      <c r="T286" s="60">
        <v>400</v>
      </c>
      <c r="U286" s="60">
        <v>395</v>
      </c>
      <c r="V286" s="60">
        <v>400</v>
      </c>
      <c r="W286" s="60">
        <v>400</v>
      </c>
      <c r="X286" s="60">
        <v>400</v>
      </c>
      <c r="Y286" s="60">
        <v>400</v>
      </c>
      <c r="Z286" s="60">
        <v>400</v>
      </c>
      <c r="AA286" s="60">
        <v>400</v>
      </c>
      <c r="AB286" s="60">
        <v>400</v>
      </c>
      <c r="AC286" s="60">
        <v>405</v>
      </c>
      <c r="AD286" s="60">
        <v>405</v>
      </c>
      <c r="AE286" s="60">
        <v>405</v>
      </c>
      <c r="AF286" s="60">
        <v>410</v>
      </c>
      <c r="AG286" s="60">
        <v>410</v>
      </c>
      <c r="AH286" s="60">
        <v>410</v>
      </c>
      <c r="AI286" s="60">
        <v>400</v>
      </c>
      <c r="AJ286" s="60">
        <v>405</v>
      </c>
      <c r="AK286" s="60">
        <v>410</v>
      </c>
      <c r="AL286" s="60">
        <v>400</v>
      </c>
      <c r="AM286" s="60">
        <v>415</v>
      </c>
      <c r="AN286" s="60">
        <v>410</v>
      </c>
      <c r="AO286" s="60">
        <v>420</v>
      </c>
      <c r="AP286" s="60">
        <v>420</v>
      </c>
      <c r="AQ286" s="60">
        <v>435</v>
      </c>
      <c r="AR286" s="60">
        <v>440</v>
      </c>
      <c r="AS286" s="60">
        <v>460</v>
      </c>
      <c r="AT286" s="60">
        <v>465</v>
      </c>
      <c r="AU286" s="60">
        <v>495</v>
      </c>
      <c r="AV286" s="60">
        <v>500</v>
      </c>
      <c r="AW286" s="60">
        <v>515</v>
      </c>
      <c r="AX286" s="60">
        <v>530</v>
      </c>
      <c r="AY286" s="60">
        <v>550</v>
      </c>
      <c r="AZ286" s="60">
        <v>550</v>
      </c>
      <c r="BA286" s="60">
        <v>580</v>
      </c>
      <c r="BB286" s="60">
        <v>600</v>
      </c>
      <c r="BC286" s="60">
        <v>590</v>
      </c>
      <c r="BD286" s="60">
        <v>600</v>
      </c>
      <c r="BE286" s="60">
        <v>600</v>
      </c>
      <c r="BF286" s="60">
        <v>620</v>
      </c>
      <c r="BG286" s="60">
        <v>640</v>
      </c>
      <c r="BH286" s="60">
        <v>650</v>
      </c>
    </row>
    <row r="287" spans="2:60" hidden="1" x14ac:dyDescent="0.2">
      <c r="B287" s="57"/>
      <c r="C287" s="57" t="s">
        <v>686</v>
      </c>
      <c r="D287" s="57" t="s">
        <v>656</v>
      </c>
      <c r="E287" s="58">
        <v>390</v>
      </c>
      <c r="F287" s="58">
        <v>385</v>
      </c>
      <c r="G287" s="58">
        <v>395</v>
      </c>
      <c r="H287" s="58">
        <v>400</v>
      </c>
      <c r="I287" s="58">
        <v>390</v>
      </c>
      <c r="J287" s="58">
        <v>395</v>
      </c>
      <c r="K287" s="58">
        <v>400</v>
      </c>
      <c r="L287" s="58">
        <v>400</v>
      </c>
      <c r="M287" s="58">
        <v>400</v>
      </c>
      <c r="N287" s="58">
        <v>400</v>
      </c>
      <c r="O287" s="58">
        <v>400</v>
      </c>
      <c r="P287" s="58">
        <v>400</v>
      </c>
      <c r="Q287" s="58">
        <v>410</v>
      </c>
      <c r="R287" s="58">
        <v>420</v>
      </c>
      <c r="S287" s="58">
        <v>415</v>
      </c>
      <c r="T287" s="58">
        <v>420</v>
      </c>
      <c r="U287" s="58">
        <v>420</v>
      </c>
      <c r="V287" s="58">
        <v>420</v>
      </c>
      <c r="W287" s="58">
        <v>410</v>
      </c>
      <c r="X287" s="58">
        <v>420</v>
      </c>
      <c r="Y287" s="58">
        <v>410</v>
      </c>
      <c r="Z287" s="58">
        <v>430</v>
      </c>
      <c r="AA287" s="58">
        <v>430</v>
      </c>
      <c r="AB287" s="58">
        <v>435</v>
      </c>
      <c r="AC287" s="58">
        <v>430</v>
      </c>
      <c r="AD287" s="58">
        <v>420</v>
      </c>
      <c r="AE287" s="58">
        <v>420</v>
      </c>
      <c r="AF287" s="58">
        <v>425</v>
      </c>
      <c r="AG287" s="58">
        <v>430</v>
      </c>
      <c r="AH287" s="58">
        <v>430</v>
      </c>
      <c r="AI287" s="58">
        <v>420</v>
      </c>
      <c r="AJ287" s="58">
        <v>430</v>
      </c>
      <c r="AK287" s="58">
        <v>430</v>
      </c>
      <c r="AL287" s="58">
        <v>420</v>
      </c>
      <c r="AM287" s="58">
        <v>430</v>
      </c>
      <c r="AN287" s="58">
        <v>435</v>
      </c>
      <c r="AO287" s="58">
        <v>450</v>
      </c>
      <c r="AP287" s="58">
        <v>450</v>
      </c>
      <c r="AQ287" s="58">
        <v>480</v>
      </c>
      <c r="AR287" s="58">
        <v>500</v>
      </c>
      <c r="AS287" s="58">
        <v>520</v>
      </c>
      <c r="AT287" s="58">
        <v>550</v>
      </c>
      <c r="AU287" s="58">
        <v>550</v>
      </c>
      <c r="AV287" s="58">
        <v>570</v>
      </c>
      <c r="AW287" s="58">
        <v>570</v>
      </c>
      <c r="AX287" s="58">
        <v>590</v>
      </c>
      <c r="AY287" s="58">
        <v>600</v>
      </c>
      <c r="AZ287" s="58">
        <v>600</v>
      </c>
      <c r="BA287" s="58">
        <v>640</v>
      </c>
      <c r="BB287" s="58">
        <v>650</v>
      </c>
      <c r="BC287" s="58">
        <v>650</v>
      </c>
      <c r="BD287" s="58">
        <v>650</v>
      </c>
      <c r="BE287" s="58">
        <v>650</v>
      </c>
      <c r="BF287" s="58">
        <v>680</v>
      </c>
      <c r="BG287" s="58">
        <v>690</v>
      </c>
      <c r="BH287" s="58">
        <v>695</v>
      </c>
    </row>
    <row r="288" spans="2:60" hidden="1" x14ac:dyDescent="0.2">
      <c r="B288" s="59"/>
      <c r="C288" s="59" t="s">
        <v>687</v>
      </c>
      <c r="D288" s="59" t="s">
        <v>648</v>
      </c>
      <c r="E288" s="60">
        <v>170</v>
      </c>
      <c r="F288" s="60">
        <v>150</v>
      </c>
      <c r="G288" s="60">
        <v>170</v>
      </c>
      <c r="H288" s="60">
        <v>149</v>
      </c>
      <c r="I288" s="60">
        <v>180</v>
      </c>
      <c r="J288" s="60">
        <v>145</v>
      </c>
      <c r="K288" s="60">
        <v>152</v>
      </c>
      <c r="L288" s="60">
        <v>150</v>
      </c>
      <c r="M288" s="60">
        <v>152</v>
      </c>
      <c r="N288" s="60">
        <v>155</v>
      </c>
      <c r="O288" s="60">
        <v>175</v>
      </c>
      <c r="P288" s="60">
        <v>155</v>
      </c>
      <c r="Q288" s="60">
        <v>165</v>
      </c>
      <c r="R288" s="60">
        <v>190</v>
      </c>
      <c r="S288" s="60">
        <v>164</v>
      </c>
      <c r="T288" s="60">
        <v>160</v>
      </c>
      <c r="U288" s="60">
        <v>160</v>
      </c>
      <c r="V288" s="60">
        <v>170</v>
      </c>
      <c r="W288" s="60">
        <v>143</v>
      </c>
      <c r="X288" s="60">
        <v>160</v>
      </c>
      <c r="Y288" s="60">
        <v>160</v>
      </c>
      <c r="Z288" s="60">
        <v>170</v>
      </c>
      <c r="AA288" s="60">
        <v>160</v>
      </c>
      <c r="AB288" s="60">
        <v>160</v>
      </c>
      <c r="AC288" s="60">
        <v>170</v>
      </c>
      <c r="AD288" s="60">
        <v>150</v>
      </c>
      <c r="AE288" s="60">
        <v>170</v>
      </c>
      <c r="AF288" s="60">
        <v>170</v>
      </c>
      <c r="AG288" s="60">
        <v>165</v>
      </c>
      <c r="AH288" s="60">
        <v>160</v>
      </c>
      <c r="AI288" s="60">
        <v>165</v>
      </c>
      <c r="AJ288" s="60">
        <v>170</v>
      </c>
      <c r="AK288" s="60">
        <v>180</v>
      </c>
      <c r="AL288" s="60">
        <v>170</v>
      </c>
      <c r="AM288" s="60">
        <v>220</v>
      </c>
      <c r="AN288" s="60">
        <v>215</v>
      </c>
      <c r="AO288" s="60">
        <v>220</v>
      </c>
      <c r="AP288" s="60">
        <v>220</v>
      </c>
      <c r="AQ288" s="60">
        <v>210</v>
      </c>
      <c r="AR288" s="60">
        <v>220</v>
      </c>
      <c r="AS288" s="60">
        <v>230</v>
      </c>
      <c r="AT288" s="60">
        <v>220</v>
      </c>
      <c r="AU288" s="60">
        <v>230</v>
      </c>
      <c r="AV288" s="60">
        <v>205</v>
      </c>
      <c r="AW288" s="60">
        <v>235</v>
      </c>
      <c r="AX288" s="60">
        <v>250</v>
      </c>
      <c r="AY288" s="60">
        <v>245</v>
      </c>
      <c r="AZ288" s="60">
        <v>219</v>
      </c>
      <c r="BA288" s="60">
        <v>230</v>
      </c>
      <c r="BB288" s="60">
        <v>240</v>
      </c>
      <c r="BC288" s="60">
        <v>250</v>
      </c>
      <c r="BD288" s="60">
        <v>280</v>
      </c>
      <c r="BE288" s="60">
        <v>300</v>
      </c>
      <c r="BF288" s="60">
        <v>300</v>
      </c>
      <c r="BG288" s="60">
        <v>330</v>
      </c>
      <c r="BH288" s="60">
        <v>290</v>
      </c>
    </row>
    <row r="289" spans="2:60" hidden="1" x14ac:dyDescent="0.2">
      <c r="B289" s="57"/>
      <c r="C289" s="57" t="s">
        <v>687</v>
      </c>
      <c r="D289" s="57" t="s">
        <v>649</v>
      </c>
      <c r="E289" s="58">
        <v>240</v>
      </c>
      <c r="F289" s="58">
        <v>245</v>
      </c>
      <c r="G289" s="58">
        <v>245</v>
      </c>
      <c r="H289" s="58">
        <v>250</v>
      </c>
      <c r="I289" s="58">
        <v>250</v>
      </c>
      <c r="J289" s="58">
        <v>250</v>
      </c>
      <c r="K289" s="58">
        <v>250</v>
      </c>
      <c r="L289" s="58">
        <v>240</v>
      </c>
      <c r="M289" s="58">
        <v>240</v>
      </c>
      <c r="N289" s="58">
        <v>240</v>
      </c>
      <c r="O289" s="58">
        <v>230</v>
      </c>
      <c r="P289" s="58">
        <v>220</v>
      </c>
      <c r="Q289" s="58">
        <v>230</v>
      </c>
      <c r="R289" s="58">
        <v>230</v>
      </c>
      <c r="S289" s="58">
        <v>220</v>
      </c>
      <c r="T289" s="58">
        <v>220</v>
      </c>
      <c r="U289" s="58">
        <v>220</v>
      </c>
      <c r="V289" s="58">
        <v>205</v>
      </c>
      <c r="W289" s="58">
        <v>200</v>
      </c>
      <c r="X289" s="58">
        <v>200</v>
      </c>
      <c r="Y289" s="58">
        <v>210</v>
      </c>
      <c r="Z289" s="58">
        <v>200</v>
      </c>
      <c r="AA289" s="58">
        <v>200</v>
      </c>
      <c r="AB289" s="58">
        <v>200</v>
      </c>
      <c r="AC289" s="58">
        <v>210</v>
      </c>
      <c r="AD289" s="58">
        <v>210</v>
      </c>
      <c r="AE289" s="58">
        <v>210</v>
      </c>
      <c r="AF289" s="58">
        <v>210</v>
      </c>
      <c r="AG289" s="58">
        <v>220</v>
      </c>
      <c r="AH289" s="58">
        <v>220</v>
      </c>
      <c r="AI289" s="58">
        <v>220</v>
      </c>
      <c r="AJ289" s="58">
        <v>220</v>
      </c>
      <c r="AK289" s="58">
        <v>230</v>
      </c>
      <c r="AL289" s="58">
        <v>230</v>
      </c>
      <c r="AM289" s="58">
        <v>240</v>
      </c>
      <c r="AN289" s="58">
        <v>250</v>
      </c>
      <c r="AO289" s="58">
        <v>260</v>
      </c>
      <c r="AP289" s="58">
        <v>270</v>
      </c>
      <c r="AQ289" s="58">
        <v>275</v>
      </c>
      <c r="AR289" s="58">
        <v>280</v>
      </c>
      <c r="AS289" s="58">
        <v>285</v>
      </c>
      <c r="AT289" s="58">
        <v>290</v>
      </c>
      <c r="AU289" s="58">
        <v>300</v>
      </c>
      <c r="AV289" s="58">
        <v>300</v>
      </c>
      <c r="AW289" s="58">
        <v>320</v>
      </c>
      <c r="AX289" s="58">
        <v>320</v>
      </c>
      <c r="AY289" s="58">
        <v>330</v>
      </c>
      <c r="AZ289" s="58">
        <v>330</v>
      </c>
      <c r="BA289" s="58">
        <v>340</v>
      </c>
      <c r="BB289" s="58">
        <v>350</v>
      </c>
      <c r="BC289" s="58">
        <v>350</v>
      </c>
      <c r="BD289" s="58">
        <v>350</v>
      </c>
      <c r="BE289" s="58">
        <v>365</v>
      </c>
      <c r="BF289" s="58">
        <v>380</v>
      </c>
      <c r="BG289" s="58">
        <v>390</v>
      </c>
      <c r="BH289" s="58">
        <v>380</v>
      </c>
    </row>
    <row r="290" spans="2:60" hidden="1" x14ac:dyDescent="0.2">
      <c r="B290" s="59"/>
      <c r="C290" s="59" t="s">
        <v>687</v>
      </c>
      <c r="D290" s="59" t="s">
        <v>650</v>
      </c>
      <c r="E290" s="60">
        <v>320</v>
      </c>
      <c r="F290" s="60">
        <v>325</v>
      </c>
      <c r="G290" s="60">
        <v>350</v>
      </c>
      <c r="H290" s="60">
        <v>340</v>
      </c>
      <c r="I290" s="60">
        <v>310</v>
      </c>
      <c r="J290" s="60">
        <v>330</v>
      </c>
      <c r="K290" s="60">
        <v>330</v>
      </c>
      <c r="L290" s="60">
        <v>310</v>
      </c>
      <c r="M290" s="60">
        <v>300</v>
      </c>
      <c r="N290" s="60">
        <v>295</v>
      </c>
      <c r="O290" s="60">
        <v>290</v>
      </c>
      <c r="P290" s="60">
        <v>295</v>
      </c>
      <c r="Q290" s="60">
        <v>300</v>
      </c>
      <c r="R290" s="60">
        <v>275</v>
      </c>
      <c r="S290" s="60">
        <v>290</v>
      </c>
      <c r="T290" s="60">
        <v>265</v>
      </c>
      <c r="U290" s="60">
        <v>280</v>
      </c>
      <c r="V290" s="60">
        <v>270</v>
      </c>
      <c r="W290" s="60">
        <v>265</v>
      </c>
      <c r="X290" s="60">
        <v>270</v>
      </c>
      <c r="Y290" s="60">
        <v>260</v>
      </c>
      <c r="Z290" s="60">
        <v>250</v>
      </c>
      <c r="AA290" s="60">
        <v>265</v>
      </c>
      <c r="AB290" s="60">
        <v>260</v>
      </c>
      <c r="AC290" s="60">
        <v>260</v>
      </c>
      <c r="AD290" s="60">
        <v>260</v>
      </c>
      <c r="AE290" s="60">
        <v>280</v>
      </c>
      <c r="AF290" s="60">
        <v>270</v>
      </c>
      <c r="AG290" s="60">
        <v>280</v>
      </c>
      <c r="AH290" s="60">
        <v>300</v>
      </c>
      <c r="AI290" s="60">
        <v>285</v>
      </c>
      <c r="AJ290" s="60">
        <v>295</v>
      </c>
      <c r="AK290" s="60">
        <v>285</v>
      </c>
      <c r="AL290" s="60">
        <v>295</v>
      </c>
      <c r="AM290" s="60">
        <v>300</v>
      </c>
      <c r="AN290" s="60">
        <v>310</v>
      </c>
      <c r="AO290" s="60">
        <v>350</v>
      </c>
      <c r="AP290" s="60">
        <v>320</v>
      </c>
      <c r="AQ290" s="60">
        <v>350</v>
      </c>
      <c r="AR290" s="60">
        <v>350</v>
      </c>
      <c r="AS290" s="60">
        <v>330</v>
      </c>
      <c r="AT290" s="60">
        <v>370</v>
      </c>
      <c r="AU290" s="60">
        <v>370</v>
      </c>
      <c r="AV290" s="60">
        <v>370</v>
      </c>
      <c r="AW290" s="60">
        <v>390</v>
      </c>
      <c r="AX290" s="60">
        <v>450</v>
      </c>
      <c r="AY290" s="60">
        <v>420</v>
      </c>
      <c r="AZ290" s="60">
        <v>390</v>
      </c>
      <c r="BA290" s="60">
        <v>400</v>
      </c>
      <c r="BB290" s="60">
        <v>420</v>
      </c>
      <c r="BC290" s="60">
        <v>400</v>
      </c>
      <c r="BD290" s="60">
        <v>420</v>
      </c>
      <c r="BE290" s="60">
        <v>450</v>
      </c>
      <c r="BF290" s="60">
        <v>500</v>
      </c>
      <c r="BG290" s="60">
        <v>480</v>
      </c>
      <c r="BH290" s="60">
        <v>460</v>
      </c>
    </row>
    <row r="291" spans="2:60" hidden="1" x14ac:dyDescent="0.2">
      <c r="B291" s="57"/>
      <c r="C291" s="57" t="s">
        <v>687</v>
      </c>
      <c r="D291" s="57" t="s">
        <v>651</v>
      </c>
      <c r="E291" s="58">
        <v>270</v>
      </c>
      <c r="F291" s="58">
        <v>270</v>
      </c>
      <c r="G291" s="58">
        <v>280</v>
      </c>
      <c r="H291" s="58">
        <v>285</v>
      </c>
      <c r="I291" s="58">
        <v>280</v>
      </c>
      <c r="J291" s="58">
        <v>280</v>
      </c>
      <c r="K291" s="58">
        <v>280</v>
      </c>
      <c r="L291" s="58">
        <v>270</v>
      </c>
      <c r="M291" s="58">
        <v>265</v>
      </c>
      <c r="N291" s="58">
        <v>260</v>
      </c>
      <c r="O291" s="58">
        <v>260</v>
      </c>
      <c r="P291" s="58">
        <v>250</v>
      </c>
      <c r="Q291" s="58">
        <v>250</v>
      </c>
      <c r="R291" s="58">
        <v>240</v>
      </c>
      <c r="S291" s="58">
        <v>250</v>
      </c>
      <c r="T291" s="58">
        <v>250</v>
      </c>
      <c r="U291" s="58">
        <v>235</v>
      </c>
      <c r="V291" s="58">
        <v>240</v>
      </c>
      <c r="W291" s="58">
        <v>230</v>
      </c>
      <c r="X291" s="58">
        <v>240</v>
      </c>
      <c r="Y291" s="58">
        <v>230</v>
      </c>
      <c r="Z291" s="58">
        <v>215</v>
      </c>
      <c r="AA291" s="58">
        <v>230</v>
      </c>
      <c r="AB291" s="58">
        <v>220</v>
      </c>
      <c r="AC291" s="58">
        <v>230</v>
      </c>
      <c r="AD291" s="58">
        <v>220</v>
      </c>
      <c r="AE291" s="58">
        <v>230</v>
      </c>
      <c r="AF291" s="58">
        <v>230</v>
      </c>
      <c r="AG291" s="58">
        <v>230</v>
      </c>
      <c r="AH291" s="58">
        <v>230</v>
      </c>
      <c r="AI291" s="58">
        <v>240</v>
      </c>
      <c r="AJ291" s="58">
        <v>240</v>
      </c>
      <c r="AK291" s="58">
        <v>260</v>
      </c>
      <c r="AL291" s="58">
        <v>250</v>
      </c>
      <c r="AM291" s="58">
        <v>270</v>
      </c>
      <c r="AN291" s="58">
        <v>280</v>
      </c>
      <c r="AO291" s="58">
        <v>300</v>
      </c>
      <c r="AP291" s="58">
        <v>300</v>
      </c>
      <c r="AQ291" s="58">
        <v>300</v>
      </c>
      <c r="AR291" s="58">
        <v>320</v>
      </c>
      <c r="AS291" s="58">
        <v>330</v>
      </c>
      <c r="AT291" s="58">
        <v>310</v>
      </c>
      <c r="AU291" s="58">
        <v>330</v>
      </c>
      <c r="AV291" s="58">
        <v>330</v>
      </c>
      <c r="AW291" s="58">
        <v>360</v>
      </c>
      <c r="AX291" s="58">
        <v>365</v>
      </c>
      <c r="AY291" s="58">
        <v>380</v>
      </c>
      <c r="AZ291" s="58">
        <v>390</v>
      </c>
      <c r="BA291" s="58">
        <v>375</v>
      </c>
      <c r="BB291" s="58">
        <v>380</v>
      </c>
      <c r="BC291" s="58">
        <v>430</v>
      </c>
      <c r="BD291" s="58">
        <v>420</v>
      </c>
      <c r="BE291" s="58">
        <v>420</v>
      </c>
      <c r="BF291" s="58">
        <v>420</v>
      </c>
      <c r="BG291" s="58">
        <v>440</v>
      </c>
      <c r="BH291" s="58">
        <v>440</v>
      </c>
    </row>
    <row r="292" spans="2:60" hidden="1" x14ac:dyDescent="0.2">
      <c r="B292" s="59"/>
      <c r="C292" s="59" t="s">
        <v>687</v>
      </c>
      <c r="D292" s="59" t="s">
        <v>652</v>
      </c>
      <c r="E292" s="60">
        <v>330</v>
      </c>
      <c r="F292" s="60">
        <v>340</v>
      </c>
      <c r="G292" s="60">
        <v>340</v>
      </c>
      <c r="H292" s="60">
        <v>340</v>
      </c>
      <c r="I292" s="60">
        <v>350</v>
      </c>
      <c r="J292" s="60">
        <v>340</v>
      </c>
      <c r="K292" s="60">
        <v>330</v>
      </c>
      <c r="L292" s="60">
        <v>320</v>
      </c>
      <c r="M292" s="60">
        <v>310</v>
      </c>
      <c r="N292" s="60">
        <v>300</v>
      </c>
      <c r="O292" s="60">
        <v>300</v>
      </c>
      <c r="P292" s="60">
        <v>295</v>
      </c>
      <c r="Q292" s="60">
        <v>290</v>
      </c>
      <c r="R292" s="60">
        <v>285</v>
      </c>
      <c r="S292" s="60">
        <v>290</v>
      </c>
      <c r="T292" s="60">
        <v>290</v>
      </c>
      <c r="U292" s="60">
        <v>290</v>
      </c>
      <c r="V292" s="60">
        <v>280</v>
      </c>
      <c r="W292" s="60">
        <v>270</v>
      </c>
      <c r="X292" s="60">
        <v>270</v>
      </c>
      <c r="Y292" s="60">
        <v>270</v>
      </c>
      <c r="Z292" s="60">
        <v>270</v>
      </c>
      <c r="AA292" s="60">
        <v>260</v>
      </c>
      <c r="AB292" s="60">
        <v>270</v>
      </c>
      <c r="AC292" s="60">
        <v>270</v>
      </c>
      <c r="AD292" s="60">
        <v>270</v>
      </c>
      <c r="AE292" s="60">
        <v>265</v>
      </c>
      <c r="AF292" s="60">
        <v>280</v>
      </c>
      <c r="AG292" s="60">
        <v>285</v>
      </c>
      <c r="AH292" s="60">
        <v>280</v>
      </c>
      <c r="AI292" s="60">
        <v>290</v>
      </c>
      <c r="AJ292" s="60">
        <v>290</v>
      </c>
      <c r="AK292" s="60">
        <v>300</v>
      </c>
      <c r="AL292" s="60">
        <v>300</v>
      </c>
      <c r="AM292" s="60">
        <v>320</v>
      </c>
      <c r="AN292" s="60">
        <v>330</v>
      </c>
      <c r="AO292" s="60">
        <v>350</v>
      </c>
      <c r="AP292" s="60">
        <v>350</v>
      </c>
      <c r="AQ292" s="60">
        <v>360</v>
      </c>
      <c r="AR292" s="60">
        <v>370</v>
      </c>
      <c r="AS292" s="60">
        <v>380</v>
      </c>
      <c r="AT292" s="60">
        <v>390</v>
      </c>
      <c r="AU292" s="60">
        <v>400</v>
      </c>
      <c r="AV292" s="60">
        <v>420</v>
      </c>
      <c r="AW292" s="60">
        <v>420</v>
      </c>
      <c r="AX292" s="60">
        <v>420</v>
      </c>
      <c r="AY292" s="60">
        <v>440</v>
      </c>
      <c r="AZ292" s="60">
        <v>450</v>
      </c>
      <c r="BA292" s="60">
        <v>450</v>
      </c>
      <c r="BB292" s="60">
        <v>470</v>
      </c>
      <c r="BC292" s="60">
        <v>485</v>
      </c>
      <c r="BD292" s="60">
        <v>480</v>
      </c>
      <c r="BE292" s="60">
        <v>500</v>
      </c>
      <c r="BF292" s="60">
        <v>500</v>
      </c>
      <c r="BG292" s="60">
        <v>520</v>
      </c>
      <c r="BH292" s="60">
        <v>520</v>
      </c>
    </row>
    <row r="293" spans="2:60" hidden="1" x14ac:dyDescent="0.2">
      <c r="B293" s="57"/>
      <c r="C293" s="57" t="s">
        <v>687</v>
      </c>
      <c r="D293" s="57" t="s">
        <v>653</v>
      </c>
      <c r="E293" s="58">
        <v>390</v>
      </c>
      <c r="F293" s="58">
        <v>400</v>
      </c>
      <c r="G293" s="58">
        <v>400</v>
      </c>
      <c r="H293" s="58">
        <v>400</v>
      </c>
      <c r="I293" s="58">
        <v>400</v>
      </c>
      <c r="J293" s="58">
        <v>390</v>
      </c>
      <c r="K293" s="58">
        <v>370</v>
      </c>
      <c r="L293" s="58">
        <v>350</v>
      </c>
      <c r="M293" s="58">
        <v>350</v>
      </c>
      <c r="N293" s="58">
        <v>350</v>
      </c>
      <c r="O293" s="58">
        <v>350</v>
      </c>
      <c r="P293" s="58">
        <v>330</v>
      </c>
      <c r="Q293" s="58">
        <v>345</v>
      </c>
      <c r="R293" s="58">
        <v>340</v>
      </c>
      <c r="S293" s="58">
        <v>340</v>
      </c>
      <c r="T293" s="58">
        <v>325</v>
      </c>
      <c r="U293" s="58">
        <v>330</v>
      </c>
      <c r="V293" s="58">
        <v>320</v>
      </c>
      <c r="W293" s="58">
        <v>320</v>
      </c>
      <c r="X293" s="58">
        <v>310</v>
      </c>
      <c r="Y293" s="58">
        <v>310</v>
      </c>
      <c r="Z293" s="58">
        <v>310</v>
      </c>
      <c r="AA293" s="58">
        <v>300</v>
      </c>
      <c r="AB293" s="58">
        <v>300</v>
      </c>
      <c r="AC293" s="58">
        <v>310</v>
      </c>
      <c r="AD293" s="58">
        <v>320</v>
      </c>
      <c r="AE293" s="58">
        <v>310</v>
      </c>
      <c r="AF293" s="58">
        <v>330</v>
      </c>
      <c r="AG293" s="58">
        <v>330</v>
      </c>
      <c r="AH293" s="58">
        <v>330</v>
      </c>
      <c r="AI293" s="58">
        <v>340</v>
      </c>
      <c r="AJ293" s="58">
        <v>340</v>
      </c>
      <c r="AK293" s="58">
        <v>350</v>
      </c>
      <c r="AL293" s="58">
        <v>350</v>
      </c>
      <c r="AM293" s="58">
        <v>380</v>
      </c>
      <c r="AN293" s="58">
        <v>400</v>
      </c>
      <c r="AO293" s="58">
        <v>420</v>
      </c>
      <c r="AP293" s="58">
        <v>420</v>
      </c>
      <c r="AQ293" s="58">
        <v>430</v>
      </c>
      <c r="AR293" s="58">
        <v>440</v>
      </c>
      <c r="AS293" s="58">
        <v>450</v>
      </c>
      <c r="AT293" s="58">
        <v>450</v>
      </c>
      <c r="AU293" s="58">
        <v>470</v>
      </c>
      <c r="AV293" s="58">
        <v>470</v>
      </c>
      <c r="AW293" s="58">
        <v>480</v>
      </c>
      <c r="AX293" s="58">
        <v>500</v>
      </c>
      <c r="AY293" s="58">
        <v>480</v>
      </c>
      <c r="AZ293" s="58">
        <v>500</v>
      </c>
      <c r="BA293" s="58">
        <v>520</v>
      </c>
      <c r="BB293" s="58">
        <v>520</v>
      </c>
      <c r="BC293" s="58">
        <v>550</v>
      </c>
      <c r="BD293" s="58">
        <v>550</v>
      </c>
      <c r="BE293" s="58">
        <v>570</v>
      </c>
      <c r="BF293" s="58">
        <v>570</v>
      </c>
      <c r="BG293" s="58">
        <v>580</v>
      </c>
      <c r="BH293" s="58">
        <v>600</v>
      </c>
    </row>
    <row r="294" spans="2:60" hidden="1" x14ac:dyDescent="0.2">
      <c r="B294" s="59"/>
      <c r="C294" s="59" t="s">
        <v>687</v>
      </c>
      <c r="D294" s="59" t="s">
        <v>654</v>
      </c>
      <c r="E294" s="60"/>
      <c r="F294" s="60"/>
      <c r="G294" s="60"/>
      <c r="H294" s="60"/>
      <c r="I294" s="60"/>
      <c r="J294" s="60">
        <v>262</v>
      </c>
      <c r="K294" s="60">
        <v>262</v>
      </c>
      <c r="L294" s="60"/>
      <c r="M294" s="60"/>
      <c r="N294" s="60"/>
      <c r="O294" s="60"/>
      <c r="P294" s="60"/>
      <c r="Q294" s="60"/>
      <c r="R294" s="60"/>
      <c r="S294" s="60"/>
      <c r="T294" s="60"/>
      <c r="U294" s="60"/>
      <c r="V294" s="60"/>
      <c r="W294" s="60"/>
      <c r="X294" s="60"/>
      <c r="Y294" s="60"/>
      <c r="Z294" s="60"/>
      <c r="AA294" s="60"/>
      <c r="AB294" s="60"/>
      <c r="AC294" s="60"/>
      <c r="AD294" s="60"/>
      <c r="AE294" s="60">
        <v>250</v>
      </c>
      <c r="AF294" s="60"/>
      <c r="AG294" s="60">
        <v>270</v>
      </c>
      <c r="AH294" s="60"/>
      <c r="AI294" s="60"/>
      <c r="AJ294" s="60">
        <v>280</v>
      </c>
      <c r="AK294" s="60">
        <v>275</v>
      </c>
      <c r="AL294" s="60">
        <v>280</v>
      </c>
      <c r="AM294" s="60"/>
      <c r="AN294" s="60">
        <v>300</v>
      </c>
      <c r="AO294" s="60"/>
      <c r="AP294" s="60">
        <v>280</v>
      </c>
      <c r="AQ294" s="60"/>
      <c r="AR294" s="60"/>
      <c r="AS294" s="60">
        <v>330</v>
      </c>
      <c r="AT294" s="60"/>
      <c r="AU294" s="60">
        <v>330</v>
      </c>
      <c r="AV294" s="60">
        <v>360</v>
      </c>
      <c r="AW294" s="60"/>
      <c r="AX294" s="60"/>
      <c r="AY294" s="60">
        <v>380</v>
      </c>
      <c r="AZ294" s="60">
        <v>400</v>
      </c>
      <c r="BA294" s="60"/>
      <c r="BB294" s="60">
        <v>380</v>
      </c>
      <c r="BC294" s="60">
        <v>370</v>
      </c>
      <c r="BD294" s="60"/>
      <c r="BE294" s="60"/>
      <c r="BF294" s="60"/>
      <c r="BG294" s="60"/>
      <c r="BH294" s="60">
        <v>440</v>
      </c>
    </row>
    <row r="295" spans="2:60" hidden="1" x14ac:dyDescent="0.2">
      <c r="B295" s="57"/>
      <c r="C295" s="57" t="s">
        <v>687</v>
      </c>
      <c r="D295" s="57" t="s">
        <v>655</v>
      </c>
      <c r="E295" s="58"/>
      <c r="F295" s="58"/>
      <c r="G295" s="58"/>
      <c r="H295" s="58"/>
      <c r="I295" s="58"/>
      <c r="J295" s="58"/>
      <c r="K295" s="58">
        <v>400</v>
      </c>
      <c r="L295" s="58">
        <v>430</v>
      </c>
      <c r="M295" s="58">
        <v>440</v>
      </c>
      <c r="N295" s="58">
        <v>380</v>
      </c>
      <c r="O295" s="58">
        <v>355</v>
      </c>
      <c r="P295" s="58">
        <v>345</v>
      </c>
      <c r="Q295" s="58">
        <v>350</v>
      </c>
      <c r="R295" s="58"/>
      <c r="S295" s="58"/>
      <c r="T295" s="58">
        <v>350</v>
      </c>
      <c r="U295" s="58">
        <v>340</v>
      </c>
      <c r="V295" s="58"/>
      <c r="W295" s="58"/>
      <c r="X295" s="58">
        <v>280</v>
      </c>
      <c r="Y295" s="58">
        <v>320</v>
      </c>
      <c r="Z295" s="58">
        <v>300</v>
      </c>
      <c r="AA295" s="58">
        <v>370</v>
      </c>
      <c r="AB295" s="58">
        <v>285</v>
      </c>
      <c r="AC295" s="58">
        <v>330</v>
      </c>
      <c r="AD295" s="58">
        <v>375</v>
      </c>
      <c r="AE295" s="58">
        <v>350</v>
      </c>
      <c r="AF295" s="58">
        <v>380</v>
      </c>
      <c r="AG295" s="58">
        <v>320</v>
      </c>
      <c r="AH295" s="58">
        <v>380</v>
      </c>
      <c r="AI295" s="58">
        <v>370</v>
      </c>
      <c r="AJ295" s="58">
        <v>400</v>
      </c>
      <c r="AK295" s="58">
        <v>360</v>
      </c>
      <c r="AL295" s="58">
        <v>425</v>
      </c>
      <c r="AM295" s="58">
        <v>400</v>
      </c>
      <c r="AN295" s="58">
        <v>450</v>
      </c>
      <c r="AO295" s="58">
        <v>475</v>
      </c>
      <c r="AP295" s="58">
        <v>360</v>
      </c>
      <c r="AQ295" s="58">
        <v>450</v>
      </c>
      <c r="AR295" s="58">
        <v>460</v>
      </c>
      <c r="AS295" s="58">
        <v>450</v>
      </c>
      <c r="AT295" s="58">
        <v>400</v>
      </c>
      <c r="AU295" s="58">
        <v>410</v>
      </c>
      <c r="AV295" s="58"/>
      <c r="AW295" s="58">
        <v>430</v>
      </c>
      <c r="AX295" s="58"/>
      <c r="AY295" s="58">
        <v>400</v>
      </c>
      <c r="AZ295" s="58"/>
      <c r="BA295" s="58">
        <v>450</v>
      </c>
      <c r="BB295" s="58">
        <v>460</v>
      </c>
      <c r="BC295" s="58"/>
      <c r="BD295" s="58"/>
      <c r="BE295" s="58"/>
      <c r="BF295" s="58">
        <v>450</v>
      </c>
      <c r="BG295" s="58"/>
      <c r="BH295" s="58"/>
    </row>
    <row r="296" spans="2:60" hidden="1" x14ac:dyDescent="0.2">
      <c r="B296" s="59"/>
      <c r="C296" s="59" t="s">
        <v>687</v>
      </c>
      <c r="D296" s="59" t="s">
        <v>656</v>
      </c>
      <c r="E296" s="60">
        <v>310</v>
      </c>
      <c r="F296" s="60">
        <v>320</v>
      </c>
      <c r="G296" s="60">
        <v>330</v>
      </c>
      <c r="H296" s="60">
        <v>320</v>
      </c>
      <c r="I296" s="60">
        <v>330</v>
      </c>
      <c r="J296" s="60">
        <v>320</v>
      </c>
      <c r="K296" s="60">
        <v>325</v>
      </c>
      <c r="L296" s="60">
        <v>310</v>
      </c>
      <c r="M296" s="60">
        <v>310</v>
      </c>
      <c r="N296" s="60">
        <v>300</v>
      </c>
      <c r="O296" s="60">
        <v>300</v>
      </c>
      <c r="P296" s="60">
        <v>290</v>
      </c>
      <c r="Q296" s="60">
        <v>295</v>
      </c>
      <c r="R296" s="60">
        <v>280</v>
      </c>
      <c r="S296" s="60">
        <v>280</v>
      </c>
      <c r="T296" s="60">
        <v>280</v>
      </c>
      <c r="U296" s="60">
        <v>280</v>
      </c>
      <c r="V296" s="60">
        <v>270</v>
      </c>
      <c r="W296" s="60">
        <v>270</v>
      </c>
      <c r="X296" s="60">
        <v>260</v>
      </c>
      <c r="Y296" s="60">
        <v>270</v>
      </c>
      <c r="Z296" s="60">
        <v>260</v>
      </c>
      <c r="AA296" s="60">
        <v>255</v>
      </c>
      <c r="AB296" s="60">
        <v>260</v>
      </c>
      <c r="AC296" s="60">
        <v>270</v>
      </c>
      <c r="AD296" s="60">
        <v>266</v>
      </c>
      <c r="AE296" s="60">
        <v>260</v>
      </c>
      <c r="AF296" s="60">
        <v>270</v>
      </c>
      <c r="AG296" s="60">
        <v>280</v>
      </c>
      <c r="AH296" s="60">
        <v>280</v>
      </c>
      <c r="AI296" s="60">
        <v>280</v>
      </c>
      <c r="AJ296" s="60">
        <v>285</v>
      </c>
      <c r="AK296" s="60">
        <v>300</v>
      </c>
      <c r="AL296" s="60">
        <v>290</v>
      </c>
      <c r="AM296" s="60">
        <v>300</v>
      </c>
      <c r="AN296" s="60">
        <v>310</v>
      </c>
      <c r="AO296" s="60">
        <v>350</v>
      </c>
      <c r="AP296" s="60">
        <v>350</v>
      </c>
      <c r="AQ296" s="60">
        <v>360</v>
      </c>
      <c r="AR296" s="60">
        <v>370</v>
      </c>
      <c r="AS296" s="60">
        <v>370</v>
      </c>
      <c r="AT296" s="60">
        <v>380</v>
      </c>
      <c r="AU296" s="60">
        <v>390</v>
      </c>
      <c r="AV296" s="60">
        <v>400</v>
      </c>
      <c r="AW296" s="60">
        <v>410</v>
      </c>
      <c r="AX296" s="60">
        <v>420</v>
      </c>
      <c r="AY296" s="60">
        <v>430</v>
      </c>
      <c r="AZ296" s="60">
        <v>440</v>
      </c>
      <c r="BA296" s="60">
        <v>450</v>
      </c>
      <c r="BB296" s="60">
        <v>460</v>
      </c>
      <c r="BC296" s="60">
        <v>470</v>
      </c>
      <c r="BD296" s="60">
        <v>470</v>
      </c>
      <c r="BE296" s="60">
        <v>480</v>
      </c>
      <c r="BF296" s="60">
        <v>495</v>
      </c>
      <c r="BG296" s="60">
        <v>500</v>
      </c>
      <c r="BH296" s="60">
        <v>500</v>
      </c>
    </row>
    <row r="297" spans="2:60" hidden="1" x14ac:dyDescent="0.2">
      <c r="B297" s="57"/>
      <c r="C297" s="57" t="s">
        <v>688</v>
      </c>
      <c r="D297" s="57" t="s">
        <v>648</v>
      </c>
      <c r="E297" s="58"/>
      <c r="F297" s="58">
        <v>175</v>
      </c>
      <c r="G297" s="58">
        <v>170</v>
      </c>
      <c r="H297" s="58"/>
      <c r="I297" s="58">
        <v>240</v>
      </c>
      <c r="J297" s="58">
        <v>180</v>
      </c>
      <c r="K297" s="58">
        <v>160</v>
      </c>
      <c r="L297" s="58">
        <v>175</v>
      </c>
      <c r="M297" s="58">
        <v>170</v>
      </c>
      <c r="N297" s="58"/>
      <c r="O297" s="58">
        <v>175</v>
      </c>
      <c r="P297" s="58">
        <v>180</v>
      </c>
      <c r="Q297" s="58"/>
      <c r="R297" s="58">
        <v>180</v>
      </c>
      <c r="S297" s="58">
        <v>180</v>
      </c>
      <c r="T297" s="58"/>
      <c r="U297" s="58">
        <v>200</v>
      </c>
      <c r="V297" s="58"/>
      <c r="W297" s="58"/>
      <c r="X297" s="58">
        <v>200</v>
      </c>
      <c r="Y297" s="58">
        <v>245</v>
      </c>
      <c r="Z297" s="58"/>
      <c r="AA297" s="58"/>
      <c r="AB297" s="58"/>
      <c r="AC297" s="58">
        <v>210</v>
      </c>
      <c r="AD297" s="58">
        <v>220</v>
      </c>
      <c r="AE297" s="58">
        <v>255</v>
      </c>
      <c r="AF297" s="58"/>
      <c r="AG297" s="58">
        <v>220</v>
      </c>
      <c r="AH297" s="58"/>
      <c r="AI297" s="58">
        <v>250</v>
      </c>
      <c r="AJ297" s="58">
        <v>250</v>
      </c>
      <c r="AK297" s="58">
        <v>240</v>
      </c>
      <c r="AL297" s="58">
        <v>230</v>
      </c>
      <c r="AM297" s="58">
        <v>210</v>
      </c>
      <c r="AN297" s="58">
        <v>225</v>
      </c>
      <c r="AO297" s="58">
        <v>260</v>
      </c>
      <c r="AP297" s="58">
        <v>250</v>
      </c>
      <c r="AQ297" s="58"/>
      <c r="AR297" s="58"/>
      <c r="AS297" s="58">
        <v>250</v>
      </c>
      <c r="AT297" s="58">
        <v>270</v>
      </c>
      <c r="AU297" s="58"/>
      <c r="AV297" s="58"/>
      <c r="AW297" s="58"/>
      <c r="AX297" s="58"/>
      <c r="AY297" s="58"/>
      <c r="AZ297" s="58">
        <v>275</v>
      </c>
      <c r="BA297" s="58"/>
      <c r="BB297" s="58">
        <v>270</v>
      </c>
      <c r="BC297" s="58"/>
      <c r="BD297" s="58">
        <v>340</v>
      </c>
      <c r="BE297" s="58">
        <v>295</v>
      </c>
      <c r="BF297" s="58">
        <v>380</v>
      </c>
      <c r="BG297" s="58"/>
      <c r="BH297" s="58">
        <v>390</v>
      </c>
    </row>
    <row r="298" spans="2:60" hidden="1" x14ac:dyDescent="0.2">
      <c r="B298" s="59"/>
      <c r="C298" s="59" t="s">
        <v>688</v>
      </c>
      <c r="D298" s="59" t="s">
        <v>649</v>
      </c>
      <c r="E298" s="60">
        <v>200</v>
      </c>
      <c r="F298" s="60">
        <v>190</v>
      </c>
      <c r="G298" s="60">
        <v>210</v>
      </c>
      <c r="H298" s="60">
        <v>200</v>
      </c>
      <c r="I298" s="60">
        <v>220</v>
      </c>
      <c r="J298" s="60">
        <v>220</v>
      </c>
      <c r="K298" s="60">
        <v>200</v>
      </c>
      <c r="L298" s="60">
        <v>220</v>
      </c>
      <c r="M298" s="60">
        <v>220</v>
      </c>
      <c r="N298" s="60">
        <v>210</v>
      </c>
      <c r="O298" s="60">
        <v>225</v>
      </c>
      <c r="P298" s="60">
        <v>225</v>
      </c>
      <c r="Q298" s="60">
        <v>220</v>
      </c>
      <c r="R298" s="60">
        <v>225</v>
      </c>
      <c r="S298" s="60">
        <v>240</v>
      </c>
      <c r="T298" s="60">
        <v>220</v>
      </c>
      <c r="U298" s="60">
        <v>250</v>
      </c>
      <c r="V298" s="60">
        <v>235</v>
      </c>
      <c r="W298" s="60"/>
      <c r="X298" s="60">
        <v>250</v>
      </c>
      <c r="Y298" s="60">
        <v>250</v>
      </c>
      <c r="Z298" s="60">
        <v>260</v>
      </c>
      <c r="AA298" s="60">
        <v>260</v>
      </c>
      <c r="AB298" s="60">
        <v>250</v>
      </c>
      <c r="AC298" s="60">
        <v>270</v>
      </c>
      <c r="AD298" s="60">
        <v>265</v>
      </c>
      <c r="AE298" s="60">
        <v>230</v>
      </c>
      <c r="AF298" s="60">
        <v>280</v>
      </c>
      <c r="AG298" s="60">
        <v>275</v>
      </c>
      <c r="AH298" s="60">
        <v>280</v>
      </c>
      <c r="AI298" s="60">
        <v>270</v>
      </c>
      <c r="AJ298" s="60">
        <v>260</v>
      </c>
      <c r="AK298" s="60">
        <v>280</v>
      </c>
      <c r="AL298" s="60">
        <v>260</v>
      </c>
      <c r="AM298" s="60">
        <v>250</v>
      </c>
      <c r="AN298" s="60">
        <v>270</v>
      </c>
      <c r="AO298" s="60">
        <v>250</v>
      </c>
      <c r="AP298" s="60">
        <v>280</v>
      </c>
      <c r="AQ298" s="60">
        <v>280</v>
      </c>
      <c r="AR298" s="60">
        <v>300</v>
      </c>
      <c r="AS298" s="60">
        <v>290</v>
      </c>
      <c r="AT298" s="60">
        <v>290</v>
      </c>
      <c r="AU298" s="60">
        <v>310</v>
      </c>
      <c r="AV298" s="60">
        <v>325</v>
      </c>
      <c r="AW298" s="60">
        <v>330</v>
      </c>
      <c r="AX298" s="60">
        <v>315</v>
      </c>
      <c r="AY298" s="60">
        <v>340</v>
      </c>
      <c r="AZ298" s="60"/>
      <c r="BA298" s="60">
        <v>365</v>
      </c>
      <c r="BB298" s="60">
        <v>360</v>
      </c>
      <c r="BC298" s="60">
        <v>360</v>
      </c>
      <c r="BD298" s="60">
        <v>390</v>
      </c>
      <c r="BE298" s="60">
        <v>400</v>
      </c>
      <c r="BF298" s="60">
        <v>430</v>
      </c>
      <c r="BG298" s="60">
        <v>400</v>
      </c>
      <c r="BH298" s="60">
        <v>420</v>
      </c>
    </row>
    <row r="299" spans="2:60" hidden="1" x14ac:dyDescent="0.2">
      <c r="B299" s="57"/>
      <c r="C299" s="57" t="s">
        <v>688</v>
      </c>
      <c r="D299" s="57" t="s">
        <v>650</v>
      </c>
      <c r="E299" s="58"/>
      <c r="F299" s="58"/>
      <c r="G299" s="58"/>
      <c r="H299" s="58"/>
      <c r="I299" s="58"/>
      <c r="J299" s="58"/>
      <c r="K299" s="58"/>
      <c r="L299" s="58"/>
      <c r="M299" s="58"/>
      <c r="N299" s="58"/>
      <c r="O299" s="58"/>
      <c r="P299" s="58"/>
      <c r="Q299" s="58"/>
      <c r="R299" s="58"/>
      <c r="S299" s="58">
        <v>280</v>
      </c>
      <c r="T299" s="58">
        <v>295</v>
      </c>
      <c r="U299" s="58"/>
      <c r="V299" s="58">
        <v>300</v>
      </c>
      <c r="W299" s="58"/>
      <c r="X299" s="58"/>
      <c r="Y299" s="58"/>
      <c r="Z299" s="58">
        <v>305</v>
      </c>
      <c r="AA299" s="58">
        <v>310</v>
      </c>
      <c r="AB299" s="58"/>
      <c r="AC299" s="58">
        <v>300</v>
      </c>
      <c r="AD299" s="58"/>
      <c r="AE299" s="58">
        <v>310</v>
      </c>
      <c r="AF299" s="58">
        <v>320</v>
      </c>
      <c r="AG299" s="58"/>
      <c r="AH299" s="58">
        <v>300</v>
      </c>
      <c r="AI299" s="58">
        <v>310</v>
      </c>
      <c r="AJ299" s="58">
        <v>310</v>
      </c>
      <c r="AK299" s="58"/>
      <c r="AL299" s="58">
        <v>310</v>
      </c>
      <c r="AM299" s="58"/>
      <c r="AN299" s="58">
        <v>310</v>
      </c>
      <c r="AO299" s="58"/>
      <c r="AP299" s="58"/>
      <c r="AQ299" s="58"/>
      <c r="AR299" s="58">
        <v>335</v>
      </c>
      <c r="AS299" s="58"/>
      <c r="AT299" s="58">
        <v>330</v>
      </c>
      <c r="AU299" s="58"/>
      <c r="AV299" s="58"/>
      <c r="AW299" s="58"/>
      <c r="AX299" s="58">
        <v>390</v>
      </c>
      <c r="AY299" s="58"/>
      <c r="AZ299" s="58">
        <v>400</v>
      </c>
      <c r="BA299" s="58"/>
      <c r="BB299" s="58">
        <v>430</v>
      </c>
      <c r="BC299" s="58"/>
      <c r="BD299" s="58"/>
      <c r="BE299" s="58">
        <v>480</v>
      </c>
      <c r="BF299" s="58">
        <v>480</v>
      </c>
      <c r="BG299" s="58">
        <v>500</v>
      </c>
      <c r="BH299" s="58">
        <v>520</v>
      </c>
    </row>
    <row r="300" spans="2:60" hidden="1" x14ac:dyDescent="0.2">
      <c r="B300" s="59"/>
      <c r="C300" s="59" t="s">
        <v>688</v>
      </c>
      <c r="D300" s="59" t="s">
        <v>651</v>
      </c>
      <c r="E300" s="60">
        <v>245</v>
      </c>
      <c r="F300" s="60">
        <v>250</v>
      </c>
      <c r="G300" s="60">
        <v>260</v>
      </c>
      <c r="H300" s="60">
        <v>280</v>
      </c>
      <c r="I300" s="60">
        <v>270</v>
      </c>
      <c r="J300" s="60">
        <v>300</v>
      </c>
      <c r="K300" s="60">
        <v>250</v>
      </c>
      <c r="L300" s="60">
        <v>275</v>
      </c>
      <c r="M300" s="60">
        <v>270</v>
      </c>
      <c r="N300" s="60">
        <v>285</v>
      </c>
      <c r="O300" s="60">
        <v>280</v>
      </c>
      <c r="P300" s="60">
        <v>265</v>
      </c>
      <c r="Q300" s="60">
        <v>330</v>
      </c>
      <c r="R300" s="60">
        <v>275</v>
      </c>
      <c r="S300" s="60">
        <v>290</v>
      </c>
      <c r="T300" s="60">
        <v>275</v>
      </c>
      <c r="U300" s="60">
        <v>300</v>
      </c>
      <c r="V300" s="60">
        <v>310</v>
      </c>
      <c r="W300" s="60"/>
      <c r="X300" s="60">
        <v>290</v>
      </c>
      <c r="Y300" s="60">
        <v>280</v>
      </c>
      <c r="Z300" s="60">
        <v>275</v>
      </c>
      <c r="AA300" s="60">
        <v>275</v>
      </c>
      <c r="AB300" s="60">
        <v>290</v>
      </c>
      <c r="AC300" s="60">
        <v>280</v>
      </c>
      <c r="AD300" s="60">
        <v>290</v>
      </c>
      <c r="AE300" s="60">
        <v>350</v>
      </c>
      <c r="AF300" s="60">
        <v>300</v>
      </c>
      <c r="AG300" s="60">
        <v>300</v>
      </c>
      <c r="AH300" s="60">
        <v>290</v>
      </c>
      <c r="AI300" s="60">
        <v>350</v>
      </c>
      <c r="AJ300" s="60">
        <v>290</v>
      </c>
      <c r="AK300" s="60">
        <v>290</v>
      </c>
      <c r="AL300" s="60">
        <v>275</v>
      </c>
      <c r="AM300" s="60">
        <v>300</v>
      </c>
      <c r="AN300" s="60">
        <v>275</v>
      </c>
      <c r="AO300" s="60">
        <v>300</v>
      </c>
      <c r="AP300" s="60">
        <v>300</v>
      </c>
      <c r="AQ300" s="60">
        <v>310</v>
      </c>
      <c r="AR300" s="60">
        <v>310</v>
      </c>
      <c r="AS300" s="60">
        <v>350</v>
      </c>
      <c r="AT300" s="60">
        <v>330</v>
      </c>
      <c r="AU300" s="60">
        <v>350</v>
      </c>
      <c r="AV300" s="60">
        <v>440</v>
      </c>
      <c r="AW300" s="60">
        <v>420</v>
      </c>
      <c r="AX300" s="60">
        <v>440</v>
      </c>
      <c r="AY300" s="60">
        <v>420</v>
      </c>
      <c r="AZ300" s="60">
        <v>450</v>
      </c>
      <c r="BA300" s="60">
        <v>500</v>
      </c>
      <c r="BB300" s="60">
        <v>450</v>
      </c>
      <c r="BC300" s="60">
        <v>460</v>
      </c>
      <c r="BD300" s="60">
        <v>470</v>
      </c>
      <c r="BE300" s="60">
        <v>500</v>
      </c>
      <c r="BF300" s="60">
        <v>475</v>
      </c>
      <c r="BG300" s="60">
        <v>450</v>
      </c>
      <c r="BH300" s="60">
        <v>500</v>
      </c>
    </row>
    <row r="301" spans="2:60" hidden="1" x14ac:dyDescent="0.2">
      <c r="B301" s="57"/>
      <c r="C301" s="57" t="s">
        <v>688</v>
      </c>
      <c r="D301" s="57" t="s">
        <v>652</v>
      </c>
      <c r="E301" s="58">
        <v>300</v>
      </c>
      <c r="F301" s="58">
        <v>295</v>
      </c>
      <c r="G301" s="58">
        <v>295</v>
      </c>
      <c r="H301" s="58">
        <v>320</v>
      </c>
      <c r="I301" s="58">
        <v>330</v>
      </c>
      <c r="J301" s="58">
        <v>295</v>
      </c>
      <c r="K301" s="58">
        <v>300</v>
      </c>
      <c r="L301" s="58">
        <v>290</v>
      </c>
      <c r="M301" s="58">
        <v>320</v>
      </c>
      <c r="N301" s="58">
        <v>320</v>
      </c>
      <c r="O301" s="58">
        <v>300</v>
      </c>
      <c r="P301" s="58">
        <v>320</v>
      </c>
      <c r="Q301" s="58">
        <v>300</v>
      </c>
      <c r="R301" s="58">
        <v>310</v>
      </c>
      <c r="S301" s="58">
        <v>320</v>
      </c>
      <c r="T301" s="58">
        <v>330</v>
      </c>
      <c r="U301" s="58">
        <v>350</v>
      </c>
      <c r="V301" s="58">
        <v>350</v>
      </c>
      <c r="W301" s="58">
        <v>380</v>
      </c>
      <c r="X301" s="58">
        <v>320</v>
      </c>
      <c r="Y301" s="58">
        <v>340</v>
      </c>
      <c r="Z301" s="58">
        <v>320</v>
      </c>
      <c r="AA301" s="58">
        <v>345</v>
      </c>
      <c r="AB301" s="58">
        <v>330</v>
      </c>
      <c r="AC301" s="58">
        <v>340</v>
      </c>
      <c r="AD301" s="58">
        <v>320</v>
      </c>
      <c r="AE301" s="58">
        <v>345</v>
      </c>
      <c r="AF301" s="58">
        <v>340</v>
      </c>
      <c r="AG301" s="58">
        <v>330</v>
      </c>
      <c r="AH301" s="58">
        <v>360</v>
      </c>
      <c r="AI301" s="58">
        <v>335</v>
      </c>
      <c r="AJ301" s="58">
        <v>350</v>
      </c>
      <c r="AK301" s="58">
        <v>330</v>
      </c>
      <c r="AL301" s="58">
        <v>330</v>
      </c>
      <c r="AM301" s="58">
        <v>330</v>
      </c>
      <c r="AN301" s="58">
        <v>350</v>
      </c>
      <c r="AO301" s="58">
        <v>350</v>
      </c>
      <c r="AP301" s="58">
        <v>350</v>
      </c>
      <c r="AQ301" s="58">
        <v>350</v>
      </c>
      <c r="AR301" s="58">
        <v>420</v>
      </c>
      <c r="AS301" s="58">
        <v>400</v>
      </c>
      <c r="AT301" s="58">
        <v>420</v>
      </c>
      <c r="AU301" s="58">
        <v>400</v>
      </c>
      <c r="AV301" s="58">
        <v>500</v>
      </c>
      <c r="AW301" s="58">
        <v>500</v>
      </c>
      <c r="AX301" s="58">
        <v>500</v>
      </c>
      <c r="AY301" s="58">
        <v>470</v>
      </c>
      <c r="AZ301" s="58">
        <v>475</v>
      </c>
      <c r="BA301" s="58">
        <v>520</v>
      </c>
      <c r="BB301" s="58">
        <v>600</v>
      </c>
      <c r="BC301" s="58">
        <v>570</v>
      </c>
      <c r="BD301" s="58">
        <v>550</v>
      </c>
      <c r="BE301" s="58">
        <v>530</v>
      </c>
      <c r="BF301" s="58">
        <v>620</v>
      </c>
      <c r="BG301" s="58">
        <v>600</v>
      </c>
      <c r="BH301" s="58">
        <v>615</v>
      </c>
    </row>
    <row r="302" spans="2:60" hidden="1" x14ac:dyDescent="0.2">
      <c r="B302" s="59"/>
      <c r="C302" s="59" t="s">
        <v>688</v>
      </c>
      <c r="D302" s="59" t="s">
        <v>653</v>
      </c>
      <c r="E302" s="60">
        <v>350</v>
      </c>
      <c r="F302" s="60">
        <v>350</v>
      </c>
      <c r="G302" s="60">
        <v>350</v>
      </c>
      <c r="H302" s="60">
        <v>350</v>
      </c>
      <c r="I302" s="60">
        <v>360</v>
      </c>
      <c r="J302" s="60">
        <v>350</v>
      </c>
      <c r="K302" s="60">
        <v>350</v>
      </c>
      <c r="L302" s="60">
        <v>360</v>
      </c>
      <c r="M302" s="60">
        <v>350</v>
      </c>
      <c r="N302" s="60">
        <v>360</v>
      </c>
      <c r="O302" s="60">
        <v>360</v>
      </c>
      <c r="P302" s="60">
        <v>350</v>
      </c>
      <c r="Q302" s="60">
        <v>360</v>
      </c>
      <c r="R302" s="60">
        <v>360</v>
      </c>
      <c r="S302" s="60">
        <v>350</v>
      </c>
      <c r="T302" s="60">
        <v>360</v>
      </c>
      <c r="U302" s="60">
        <v>360</v>
      </c>
      <c r="V302" s="60">
        <v>360</v>
      </c>
      <c r="W302" s="60">
        <v>375</v>
      </c>
      <c r="X302" s="60">
        <v>370</v>
      </c>
      <c r="Y302" s="60">
        <v>365</v>
      </c>
      <c r="Z302" s="60">
        <v>365</v>
      </c>
      <c r="AA302" s="60">
        <v>380</v>
      </c>
      <c r="AB302" s="60">
        <v>365</v>
      </c>
      <c r="AC302" s="60">
        <v>380</v>
      </c>
      <c r="AD302" s="60">
        <v>390</v>
      </c>
      <c r="AE302" s="60">
        <v>380</v>
      </c>
      <c r="AF302" s="60">
        <v>380</v>
      </c>
      <c r="AG302" s="60">
        <v>380</v>
      </c>
      <c r="AH302" s="60">
        <v>380</v>
      </c>
      <c r="AI302" s="60">
        <v>380</v>
      </c>
      <c r="AJ302" s="60">
        <v>380</v>
      </c>
      <c r="AK302" s="60">
        <v>375</v>
      </c>
      <c r="AL302" s="60">
        <v>390</v>
      </c>
      <c r="AM302" s="60">
        <v>380</v>
      </c>
      <c r="AN302" s="60">
        <v>400</v>
      </c>
      <c r="AO302" s="60">
        <v>400</v>
      </c>
      <c r="AP302" s="60">
        <v>430</v>
      </c>
      <c r="AQ302" s="60">
        <v>400</v>
      </c>
      <c r="AR302" s="60">
        <v>450</v>
      </c>
      <c r="AS302" s="60">
        <v>475</v>
      </c>
      <c r="AT302" s="60">
        <v>480</v>
      </c>
      <c r="AU302" s="60">
        <v>550</v>
      </c>
      <c r="AV302" s="60">
        <v>500</v>
      </c>
      <c r="AW302" s="60">
        <v>520</v>
      </c>
      <c r="AX302" s="60">
        <v>530</v>
      </c>
      <c r="AY302" s="60">
        <v>580</v>
      </c>
      <c r="AZ302" s="60">
        <v>570</v>
      </c>
      <c r="BA302" s="60">
        <v>600</v>
      </c>
      <c r="BB302" s="60">
        <v>590</v>
      </c>
      <c r="BC302" s="60">
        <v>580</v>
      </c>
      <c r="BD302" s="60">
        <v>580</v>
      </c>
      <c r="BE302" s="60">
        <v>610</v>
      </c>
      <c r="BF302" s="60">
        <v>625</v>
      </c>
      <c r="BG302" s="60">
        <v>630</v>
      </c>
      <c r="BH302" s="60">
        <v>650</v>
      </c>
    </row>
    <row r="303" spans="2:60" hidden="1" x14ac:dyDescent="0.2">
      <c r="B303" s="57"/>
      <c r="C303" s="57" t="s">
        <v>688</v>
      </c>
      <c r="D303" s="57" t="s">
        <v>654</v>
      </c>
      <c r="E303" s="58"/>
      <c r="F303" s="58"/>
      <c r="G303" s="58"/>
      <c r="H303" s="58"/>
      <c r="I303" s="58">
        <v>220</v>
      </c>
      <c r="J303" s="58"/>
      <c r="K303" s="58"/>
      <c r="L303" s="58"/>
      <c r="M303" s="58"/>
      <c r="N303" s="58"/>
      <c r="O303" s="58"/>
      <c r="P303" s="58"/>
      <c r="Q303" s="58"/>
      <c r="R303" s="58"/>
      <c r="S303" s="58"/>
      <c r="T303" s="58"/>
      <c r="U303" s="58"/>
      <c r="V303" s="58"/>
      <c r="W303" s="58"/>
      <c r="X303" s="58"/>
      <c r="Y303" s="58"/>
      <c r="Z303" s="58"/>
      <c r="AA303" s="58"/>
      <c r="AB303" s="58">
        <v>260</v>
      </c>
      <c r="AC303" s="58"/>
      <c r="AD303" s="58"/>
      <c r="AE303" s="58"/>
      <c r="AF303" s="58"/>
      <c r="AG303" s="58">
        <v>275</v>
      </c>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row>
    <row r="304" spans="2:60" hidden="1" x14ac:dyDescent="0.2">
      <c r="B304" s="59"/>
      <c r="C304" s="59" t="s">
        <v>688</v>
      </c>
      <c r="D304" s="59" t="s">
        <v>655</v>
      </c>
      <c r="E304" s="60"/>
      <c r="F304" s="60"/>
      <c r="G304" s="60"/>
      <c r="H304" s="60"/>
      <c r="I304" s="60"/>
      <c r="J304" s="60"/>
      <c r="K304" s="60"/>
      <c r="L304" s="60">
        <v>280</v>
      </c>
      <c r="M304" s="60"/>
      <c r="N304" s="60"/>
      <c r="O304" s="60"/>
      <c r="P304" s="60"/>
      <c r="Q304" s="60"/>
      <c r="R304" s="60"/>
      <c r="S304" s="60"/>
      <c r="T304" s="60"/>
      <c r="U304" s="60"/>
      <c r="V304" s="60"/>
      <c r="W304" s="60"/>
      <c r="X304" s="60"/>
      <c r="Y304" s="60"/>
      <c r="Z304" s="60"/>
      <c r="AA304" s="60"/>
      <c r="AB304" s="60"/>
      <c r="AC304" s="60"/>
      <c r="AD304" s="60"/>
      <c r="AE304" s="60"/>
      <c r="AF304" s="60"/>
      <c r="AG304" s="60"/>
      <c r="AH304" s="60">
        <v>310</v>
      </c>
      <c r="AI304" s="60">
        <v>305</v>
      </c>
      <c r="AJ304" s="60">
        <v>310</v>
      </c>
      <c r="AK304" s="60">
        <v>310</v>
      </c>
      <c r="AL304" s="60">
        <v>310</v>
      </c>
      <c r="AM304" s="60">
        <v>310</v>
      </c>
      <c r="AN304" s="60">
        <v>310</v>
      </c>
      <c r="AO304" s="60">
        <v>325</v>
      </c>
      <c r="AP304" s="60"/>
      <c r="AQ304" s="60">
        <v>330</v>
      </c>
      <c r="AR304" s="60">
        <v>330</v>
      </c>
      <c r="AS304" s="60"/>
      <c r="AT304" s="60"/>
      <c r="AU304" s="60"/>
      <c r="AV304" s="60"/>
      <c r="AW304" s="60"/>
      <c r="AX304" s="60"/>
      <c r="AY304" s="60"/>
      <c r="AZ304" s="60"/>
      <c r="BA304" s="60">
        <v>450</v>
      </c>
      <c r="BB304" s="60"/>
      <c r="BC304" s="60"/>
      <c r="BD304" s="60"/>
      <c r="BE304" s="60">
        <v>460</v>
      </c>
      <c r="BF304" s="60">
        <v>500</v>
      </c>
      <c r="BG304" s="60">
        <v>500</v>
      </c>
      <c r="BH304" s="60"/>
    </row>
    <row r="305" spans="2:60" hidden="1" x14ac:dyDescent="0.2">
      <c r="B305" s="57"/>
      <c r="C305" s="57" t="s">
        <v>688</v>
      </c>
      <c r="D305" s="57" t="s">
        <v>656</v>
      </c>
      <c r="E305" s="58">
        <v>300</v>
      </c>
      <c r="F305" s="58">
        <v>290</v>
      </c>
      <c r="G305" s="58">
        <v>290</v>
      </c>
      <c r="H305" s="58">
        <v>300</v>
      </c>
      <c r="I305" s="58">
        <v>325</v>
      </c>
      <c r="J305" s="58">
        <v>300</v>
      </c>
      <c r="K305" s="58">
        <v>310</v>
      </c>
      <c r="L305" s="58">
        <v>300</v>
      </c>
      <c r="M305" s="58">
        <v>320</v>
      </c>
      <c r="N305" s="58">
        <v>320</v>
      </c>
      <c r="O305" s="58">
        <v>310</v>
      </c>
      <c r="P305" s="58">
        <v>315</v>
      </c>
      <c r="Q305" s="58">
        <v>320</v>
      </c>
      <c r="R305" s="58">
        <v>320</v>
      </c>
      <c r="S305" s="58">
        <v>325</v>
      </c>
      <c r="T305" s="58">
        <v>330</v>
      </c>
      <c r="U305" s="58">
        <v>340</v>
      </c>
      <c r="V305" s="58">
        <v>330</v>
      </c>
      <c r="W305" s="58">
        <v>350</v>
      </c>
      <c r="X305" s="58">
        <v>320</v>
      </c>
      <c r="Y305" s="58">
        <v>330</v>
      </c>
      <c r="Z305" s="58">
        <v>320</v>
      </c>
      <c r="AA305" s="58">
        <v>340</v>
      </c>
      <c r="AB305" s="58">
        <v>320</v>
      </c>
      <c r="AC305" s="58">
        <v>340</v>
      </c>
      <c r="AD305" s="58">
        <v>340</v>
      </c>
      <c r="AE305" s="58">
        <v>345</v>
      </c>
      <c r="AF305" s="58">
        <v>340</v>
      </c>
      <c r="AG305" s="58">
        <v>330</v>
      </c>
      <c r="AH305" s="58">
        <v>330</v>
      </c>
      <c r="AI305" s="58">
        <v>340</v>
      </c>
      <c r="AJ305" s="58">
        <v>330</v>
      </c>
      <c r="AK305" s="58">
        <v>320</v>
      </c>
      <c r="AL305" s="58">
        <v>320</v>
      </c>
      <c r="AM305" s="58">
        <v>320</v>
      </c>
      <c r="AN305" s="58">
        <v>325</v>
      </c>
      <c r="AO305" s="58">
        <v>345</v>
      </c>
      <c r="AP305" s="58">
        <v>350</v>
      </c>
      <c r="AQ305" s="58">
        <v>350</v>
      </c>
      <c r="AR305" s="58">
        <v>390</v>
      </c>
      <c r="AS305" s="58">
        <v>360</v>
      </c>
      <c r="AT305" s="58">
        <v>400</v>
      </c>
      <c r="AU305" s="58">
        <v>400</v>
      </c>
      <c r="AV305" s="58">
        <v>430</v>
      </c>
      <c r="AW305" s="58">
        <v>450</v>
      </c>
      <c r="AX305" s="58">
        <v>480</v>
      </c>
      <c r="AY305" s="58">
        <v>470</v>
      </c>
      <c r="AZ305" s="58">
        <v>480</v>
      </c>
      <c r="BA305" s="58">
        <v>520</v>
      </c>
      <c r="BB305" s="58">
        <v>550</v>
      </c>
      <c r="BC305" s="58">
        <v>550</v>
      </c>
      <c r="BD305" s="58">
        <v>540</v>
      </c>
      <c r="BE305" s="58">
        <v>550</v>
      </c>
      <c r="BF305" s="58">
        <v>550</v>
      </c>
      <c r="BG305" s="58">
        <v>560</v>
      </c>
      <c r="BH305" s="58">
        <v>600</v>
      </c>
    </row>
    <row r="306" spans="2:60" hidden="1" x14ac:dyDescent="0.2">
      <c r="B306" s="59"/>
      <c r="C306" s="59" t="s">
        <v>689</v>
      </c>
      <c r="D306" s="59" t="s">
        <v>648</v>
      </c>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row>
    <row r="307" spans="2:60" hidden="1" x14ac:dyDescent="0.2">
      <c r="B307" s="57"/>
      <c r="C307" s="57" t="s">
        <v>689</v>
      </c>
      <c r="D307" s="57" t="s">
        <v>649</v>
      </c>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v>200</v>
      </c>
      <c r="AO307" s="58"/>
      <c r="AP307" s="58"/>
      <c r="AQ307" s="58"/>
      <c r="AR307" s="58"/>
      <c r="AS307" s="58"/>
      <c r="AT307" s="58"/>
      <c r="AU307" s="58"/>
      <c r="AV307" s="58"/>
      <c r="AW307" s="58"/>
      <c r="AX307" s="58"/>
      <c r="AY307" s="58"/>
      <c r="AZ307" s="58"/>
      <c r="BA307" s="58"/>
      <c r="BB307" s="58"/>
      <c r="BC307" s="58"/>
      <c r="BD307" s="58"/>
      <c r="BE307" s="58"/>
      <c r="BF307" s="58"/>
      <c r="BG307" s="58"/>
      <c r="BH307" s="58"/>
    </row>
    <row r="308" spans="2:60" hidden="1" x14ac:dyDescent="0.2">
      <c r="B308" s="59"/>
      <c r="C308" s="59" t="s">
        <v>689</v>
      </c>
      <c r="D308" s="59" t="s">
        <v>650</v>
      </c>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v>310</v>
      </c>
      <c r="AT308" s="60"/>
      <c r="AU308" s="60"/>
      <c r="AV308" s="60"/>
      <c r="AW308" s="60"/>
      <c r="AX308" s="60"/>
      <c r="AY308" s="60"/>
      <c r="AZ308" s="60"/>
      <c r="BA308" s="60"/>
      <c r="BB308" s="60"/>
      <c r="BC308" s="60"/>
      <c r="BD308" s="60"/>
      <c r="BE308" s="60"/>
      <c r="BF308" s="60"/>
      <c r="BG308" s="60"/>
      <c r="BH308" s="60"/>
    </row>
    <row r="309" spans="2:60" hidden="1" x14ac:dyDescent="0.2">
      <c r="B309" s="57"/>
      <c r="C309" s="57" t="s">
        <v>689</v>
      </c>
      <c r="D309" s="57" t="s">
        <v>651</v>
      </c>
      <c r="E309" s="58">
        <v>225</v>
      </c>
      <c r="F309" s="58">
        <v>245</v>
      </c>
      <c r="G309" s="58">
        <v>200</v>
      </c>
      <c r="H309" s="58">
        <v>220</v>
      </c>
      <c r="I309" s="58">
        <v>245</v>
      </c>
      <c r="J309" s="58">
        <v>220</v>
      </c>
      <c r="K309" s="58">
        <v>200</v>
      </c>
      <c r="L309" s="58">
        <v>212</v>
      </c>
      <c r="M309" s="58">
        <v>230</v>
      </c>
      <c r="N309" s="58">
        <v>220</v>
      </c>
      <c r="O309" s="58">
        <v>220</v>
      </c>
      <c r="P309" s="58">
        <v>230</v>
      </c>
      <c r="Q309" s="58">
        <v>230</v>
      </c>
      <c r="R309" s="58">
        <v>250</v>
      </c>
      <c r="S309" s="58">
        <v>230</v>
      </c>
      <c r="T309" s="58">
        <v>240</v>
      </c>
      <c r="U309" s="58">
        <v>240</v>
      </c>
      <c r="V309" s="58">
        <v>240</v>
      </c>
      <c r="W309" s="58"/>
      <c r="X309" s="58">
        <v>235</v>
      </c>
      <c r="Y309" s="58">
        <v>250</v>
      </c>
      <c r="Z309" s="58">
        <v>220</v>
      </c>
      <c r="AA309" s="58">
        <v>265</v>
      </c>
      <c r="AB309" s="58"/>
      <c r="AC309" s="58">
        <v>280</v>
      </c>
      <c r="AD309" s="58">
        <v>240</v>
      </c>
      <c r="AE309" s="58">
        <v>290</v>
      </c>
      <c r="AF309" s="58">
        <v>270</v>
      </c>
      <c r="AG309" s="58">
        <v>270</v>
      </c>
      <c r="AH309" s="58">
        <v>260</v>
      </c>
      <c r="AI309" s="58">
        <v>260</v>
      </c>
      <c r="AJ309" s="58">
        <v>300</v>
      </c>
      <c r="AK309" s="58"/>
      <c r="AL309" s="58">
        <v>290</v>
      </c>
      <c r="AM309" s="58"/>
      <c r="AN309" s="58"/>
      <c r="AO309" s="58">
        <v>310</v>
      </c>
      <c r="AP309" s="58">
        <v>255</v>
      </c>
      <c r="AQ309" s="58"/>
      <c r="AR309" s="58"/>
      <c r="AS309" s="58"/>
      <c r="AT309" s="58">
        <v>340</v>
      </c>
      <c r="AU309" s="58"/>
      <c r="AV309" s="58"/>
      <c r="AW309" s="58"/>
      <c r="AX309" s="58">
        <v>380</v>
      </c>
      <c r="AY309" s="58"/>
      <c r="AZ309" s="58">
        <v>400</v>
      </c>
      <c r="BA309" s="58">
        <v>400</v>
      </c>
      <c r="BB309" s="58"/>
      <c r="BC309" s="58">
        <v>435</v>
      </c>
      <c r="BD309" s="58">
        <v>450</v>
      </c>
      <c r="BE309" s="58"/>
      <c r="BF309" s="58"/>
      <c r="BG309" s="58"/>
      <c r="BH309" s="58"/>
    </row>
    <row r="310" spans="2:60" hidden="1" x14ac:dyDescent="0.2">
      <c r="B310" s="59"/>
      <c r="C310" s="59" t="s">
        <v>689</v>
      </c>
      <c r="D310" s="59" t="s">
        <v>652</v>
      </c>
      <c r="E310" s="60">
        <v>260</v>
      </c>
      <c r="F310" s="60">
        <v>280</v>
      </c>
      <c r="G310" s="60">
        <v>270</v>
      </c>
      <c r="H310" s="60">
        <v>270</v>
      </c>
      <c r="I310" s="60">
        <v>280</v>
      </c>
      <c r="J310" s="60">
        <v>260</v>
      </c>
      <c r="K310" s="60">
        <v>270</v>
      </c>
      <c r="L310" s="60">
        <v>260</v>
      </c>
      <c r="M310" s="60">
        <v>265</v>
      </c>
      <c r="N310" s="60">
        <v>280</v>
      </c>
      <c r="O310" s="60">
        <v>270</v>
      </c>
      <c r="P310" s="60">
        <v>260</v>
      </c>
      <c r="Q310" s="60">
        <v>275</v>
      </c>
      <c r="R310" s="60">
        <v>280</v>
      </c>
      <c r="S310" s="60">
        <v>270</v>
      </c>
      <c r="T310" s="60">
        <v>275</v>
      </c>
      <c r="U310" s="60">
        <v>285</v>
      </c>
      <c r="V310" s="60">
        <v>270</v>
      </c>
      <c r="W310" s="60">
        <v>285</v>
      </c>
      <c r="X310" s="60">
        <v>275</v>
      </c>
      <c r="Y310" s="60">
        <v>290</v>
      </c>
      <c r="Z310" s="60">
        <v>295</v>
      </c>
      <c r="AA310" s="60">
        <v>300</v>
      </c>
      <c r="AB310" s="60">
        <v>290</v>
      </c>
      <c r="AC310" s="60">
        <v>300</v>
      </c>
      <c r="AD310" s="60">
        <v>300</v>
      </c>
      <c r="AE310" s="60">
        <v>300</v>
      </c>
      <c r="AF310" s="60">
        <v>300</v>
      </c>
      <c r="AG310" s="60">
        <v>300</v>
      </c>
      <c r="AH310" s="60">
        <v>300</v>
      </c>
      <c r="AI310" s="60">
        <v>300</v>
      </c>
      <c r="AJ310" s="60">
        <v>320</v>
      </c>
      <c r="AK310" s="60">
        <v>300</v>
      </c>
      <c r="AL310" s="60">
        <v>300</v>
      </c>
      <c r="AM310" s="60">
        <v>340</v>
      </c>
      <c r="AN310" s="60">
        <v>330</v>
      </c>
      <c r="AO310" s="60">
        <v>350</v>
      </c>
      <c r="AP310" s="60">
        <v>320</v>
      </c>
      <c r="AQ310" s="60">
        <v>320</v>
      </c>
      <c r="AR310" s="60">
        <v>330</v>
      </c>
      <c r="AS310" s="60">
        <v>370</v>
      </c>
      <c r="AT310" s="60">
        <v>400</v>
      </c>
      <c r="AU310" s="60">
        <v>400</v>
      </c>
      <c r="AV310" s="60">
        <v>390</v>
      </c>
      <c r="AW310" s="60">
        <v>440</v>
      </c>
      <c r="AX310" s="60">
        <v>450</v>
      </c>
      <c r="AY310" s="60">
        <v>450</v>
      </c>
      <c r="AZ310" s="60">
        <v>450</v>
      </c>
      <c r="BA310" s="60">
        <v>420</v>
      </c>
      <c r="BB310" s="60">
        <v>470</v>
      </c>
      <c r="BC310" s="60">
        <v>480</v>
      </c>
      <c r="BD310" s="60">
        <v>450</v>
      </c>
      <c r="BE310" s="60">
        <v>500</v>
      </c>
      <c r="BF310" s="60">
        <v>500</v>
      </c>
      <c r="BG310" s="60">
        <v>595</v>
      </c>
      <c r="BH310" s="60">
        <v>550</v>
      </c>
    </row>
    <row r="311" spans="2:60" hidden="1" x14ac:dyDescent="0.2">
      <c r="B311" s="57"/>
      <c r="C311" s="57" t="s">
        <v>689</v>
      </c>
      <c r="D311" s="57" t="s">
        <v>653</v>
      </c>
      <c r="E311" s="58">
        <v>290</v>
      </c>
      <c r="F311" s="58">
        <v>290</v>
      </c>
      <c r="G311" s="58">
        <v>300</v>
      </c>
      <c r="H311" s="58">
        <v>295</v>
      </c>
      <c r="I311" s="58">
        <v>290</v>
      </c>
      <c r="J311" s="58">
        <v>300</v>
      </c>
      <c r="K311" s="58">
        <v>290</v>
      </c>
      <c r="L311" s="58">
        <v>300</v>
      </c>
      <c r="M311" s="58">
        <v>295</v>
      </c>
      <c r="N311" s="58">
        <v>300</v>
      </c>
      <c r="O311" s="58">
        <v>300</v>
      </c>
      <c r="P311" s="58">
        <v>310</v>
      </c>
      <c r="Q311" s="58">
        <v>320</v>
      </c>
      <c r="R311" s="58">
        <v>300</v>
      </c>
      <c r="S311" s="58">
        <v>310</v>
      </c>
      <c r="T311" s="58">
        <v>320</v>
      </c>
      <c r="U311" s="58">
        <v>310</v>
      </c>
      <c r="V311" s="58">
        <v>320</v>
      </c>
      <c r="W311" s="58">
        <v>320</v>
      </c>
      <c r="X311" s="58">
        <v>320</v>
      </c>
      <c r="Y311" s="58">
        <v>320</v>
      </c>
      <c r="Z311" s="58">
        <v>320</v>
      </c>
      <c r="AA311" s="58">
        <v>320</v>
      </c>
      <c r="AB311" s="58">
        <v>330</v>
      </c>
      <c r="AC311" s="58">
        <v>320</v>
      </c>
      <c r="AD311" s="58">
        <v>330</v>
      </c>
      <c r="AE311" s="58">
        <v>330</v>
      </c>
      <c r="AF311" s="58">
        <v>330</v>
      </c>
      <c r="AG311" s="58">
        <v>330</v>
      </c>
      <c r="AH311" s="58">
        <v>340</v>
      </c>
      <c r="AI311" s="58">
        <v>340</v>
      </c>
      <c r="AJ311" s="58">
        <v>345</v>
      </c>
      <c r="AK311" s="58">
        <v>350</v>
      </c>
      <c r="AL311" s="58">
        <v>330</v>
      </c>
      <c r="AM311" s="58">
        <v>340</v>
      </c>
      <c r="AN311" s="58">
        <v>350</v>
      </c>
      <c r="AO311" s="58">
        <v>360</v>
      </c>
      <c r="AP311" s="58">
        <v>370</v>
      </c>
      <c r="AQ311" s="58">
        <v>355</v>
      </c>
      <c r="AR311" s="58">
        <v>380</v>
      </c>
      <c r="AS311" s="58">
        <v>400</v>
      </c>
      <c r="AT311" s="58">
        <v>420</v>
      </c>
      <c r="AU311" s="58">
        <v>450</v>
      </c>
      <c r="AV311" s="58">
        <v>470</v>
      </c>
      <c r="AW311" s="58">
        <v>470</v>
      </c>
      <c r="AX311" s="58">
        <v>490</v>
      </c>
      <c r="AY311" s="58">
        <v>525</v>
      </c>
      <c r="AZ311" s="58">
        <v>510</v>
      </c>
      <c r="BA311" s="58">
        <v>500</v>
      </c>
      <c r="BB311" s="58">
        <v>550</v>
      </c>
      <c r="BC311" s="58">
        <v>550</v>
      </c>
      <c r="BD311" s="58">
        <v>565</v>
      </c>
      <c r="BE311" s="58">
        <v>570</v>
      </c>
      <c r="BF311" s="58">
        <v>600</v>
      </c>
      <c r="BG311" s="58">
        <v>570</v>
      </c>
      <c r="BH311" s="58">
        <v>620</v>
      </c>
    </row>
    <row r="312" spans="2:60" hidden="1" x14ac:dyDescent="0.2">
      <c r="B312" s="59"/>
      <c r="C312" s="59" t="s">
        <v>689</v>
      </c>
      <c r="D312" s="59" t="s">
        <v>654</v>
      </c>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row>
    <row r="313" spans="2:60" hidden="1" x14ac:dyDescent="0.2">
      <c r="B313" s="57"/>
      <c r="C313" s="57" t="s">
        <v>689</v>
      </c>
      <c r="D313" s="57" t="s">
        <v>655</v>
      </c>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row>
    <row r="314" spans="2:60" hidden="1" x14ac:dyDescent="0.2">
      <c r="B314" s="59"/>
      <c r="C314" s="59" t="s">
        <v>689</v>
      </c>
      <c r="D314" s="59" t="s">
        <v>656</v>
      </c>
      <c r="E314" s="60">
        <v>280</v>
      </c>
      <c r="F314" s="60">
        <v>280</v>
      </c>
      <c r="G314" s="60">
        <v>285</v>
      </c>
      <c r="H314" s="60">
        <v>280</v>
      </c>
      <c r="I314" s="60">
        <v>280</v>
      </c>
      <c r="J314" s="60">
        <v>280</v>
      </c>
      <c r="K314" s="60">
        <v>275</v>
      </c>
      <c r="L314" s="60">
        <v>280</v>
      </c>
      <c r="M314" s="60">
        <v>275</v>
      </c>
      <c r="N314" s="60">
        <v>285</v>
      </c>
      <c r="O314" s="60">
        <v>280</v>
      </c>
      <c r="P314" s="60">
        <v>285</v>
      </c>
      <c r="Q314" s="60">
        <v>285</v>
      </c>
      <c r="R314" s="60">
        <v>280</v>
      </c>
      <c r="S314" s="60">
        <v>285</v>
      </c>
      <c r="T314" s="60">
        <v>290</v>
      </c>
      <c r="U314" s="60">
        <v>290</v>
      </c>
      <c r="V314" s="60">
        <v>290</v>
      </c>
      <c r="W314" s="60">
        <v>295</v>
      </c>
      <c r="X314" s="60">
        <v>285</v>
      </c>
      <c r="Y314" s="60">
        <v>300</v>
      </c>
      <c r="Z314" s="60">
        <v>295</v>
      </c>
      <c r="AA314" s="60">
        <v>300</v>
      </c>
      <c r="AB314" s="60">
        <v>300</v>
      </c>
      <c r="AC314" s="60">
        <v>300</v>
      </c>
      <c r="AD314" s="60">
        <v>300</v>
      </c>
      <c r="AE314" s="60">
        <v>310</v>
      </c>
      <c r="AF314" s="60">
        <v>300</v>
      </c>
      <c r="AG314" s="60">
        <v>300</v>
      </c>
      <c r="AH314" s="60">
        <v>320</v>
      </c>
      <c r="AI314" s="60">
        <v>310</v>
      </c>
      <c r="AJ314" s="60">
        <v>320</v>
      </c>
      <c r="AK314" s="60">
        <v>320</v>
      </c>
      <c r="AL314" s="60">
        <v>310</v>
      </c>
      <c r="AM314" s="60">
        <v>330</v>
      </c>
      <c r="AN314" s="60">
        <v>325</v>
      </c>
      <c r="AO314" s="60">
        <v>340</v>
      </c>
      <c r="AP314" s="60">
        <v>325</v>
      </c>
      <c r="AQ314" s="60">
        <v>330</v>
      </c>
      <c r="AR314" s="60">
        <v>350</v>
      </c>
      <c r="AS314" s="60">
        <v>370</v>
      </c>
      <c r="AT314" s="60">
        <v>360</v>
      </c>
      <c r="AU314" s="60">
        <v>440</v>
      </c>
      <c r="AV314" s="60">
        <v>410</v>
      </c>
      <c r="AW314" s="60">
        <v>440</v>
      </c>
      <c r="AX314" s="60">
        <v>450</v>
      </c>
      <c r="AY314" s="60">
        <v>470</v>
      </c>
      <c r="AZ314" s="60">
        <v>470</v>
      </c>
      <c r="BA314" s="60">
        <v>450</v>
      </c>
      <c r="BB314" s="60">
        <v>470</v>
      </c>
      <c r="BC314" s="60">
        <v>500</v>
      </c>
      <c r="BD314" s="60">
        <v>480</v>
      </c>
      <c r="BE314" s="60">
        <v>520</v>
      </c>
      <c r="BF314" s="60">
        <v>530</v>
      </c>
      <c r="BG314" s="60">
        <v>560</v>
      </c>
      <c r="BH314" s="60">
        <v>565</v>
      </c>
    </row>
    <row r="315" spans="2:60" hidden="1" x14ac:dyDescent="0.2">
      <c r="B315" s="57"/>
      <c r="C315" s="57" t="s">
        <v>690</v>
      </c>
      <c r="D315" s="57" t="s">
        <v>648</v>
      </c>
      <c r="E315" s="58">
        <v>160</v>
      </c>
      <c r="F315" s="58">
        <v>140</v>
      </c>
      <c r="G315" s="58">
        <v>160</v>
      </c>
      <c r="H315" s="58">
        <v>130</v>
      </c>
      <c r="I315" s="58">
        <v>150</v>
      </c>
      <c r="J315" s="58"/>
      <c r="K315" s="58"/>
      <c r="L315" s="58">
        <v>155</v>
      </c>
      <c r="M315" s="58">
        <v>155</v>
      </c>
      <c r="N315" s="58"/>
      <c r="O315" s="58"/>
      <c r="P315" s="58"/>
      <c r="Q315" s="58">
        <v>140</v>
      </c>
      <c r="R315" s="58">
        <v>155</v>
      </c>
      <c r="S315" s="58">
        <v>155</v>
      </c>
      <c r="T315" s="58">
        <v>155</v>
      </c>
      <c r="U315" s="58">
        <v>155</v>
      </c>
      <c r="V315" s="58">
        <v>155</v>
      </c>
      <c r="W315" s="58"/>
      <c r="X315" s="58">
        <v>156</v>
      </c>
      <c r="Y315" s="58">
        <v>175</v>
      </c>
      <c r="Z315" s="58">
        <v>155</v>
      </c>
      <c r="AA315" s="58">
        <v>175</v>
      </c>
      <c r="AB315" s="58">
        <v>155</v>
      </c>
      <c r="AC315" s="58"/>
      <c r="AD315" s="58">
        <v>155</v>
      </c>
      <c r="AE315" s="58">
        <v>150</v>
      </c>
      <c r="AF315" s="58"/>
      <c r="AG315" s="58">
        <v>160</v>
      </c>
      <c r="AH315" s="58"/>
      <c r="AI315" s="58">
        <v>170</v>
      </c>
      <c r="AJ315" s="58">
        <v>180</v>
      </c>
      <c r="AK315" s="58">
        <v>160</v>
      </c>
      <c r="AL315" s="58">
        <v>160</v>
      </c>
      <c r="AM315" s="58"/>
      <c r="AN315" s="58"/>
      <c r="AO315" s="58"/>
      <c r="AP315" s="58"/>
      <c r="AQ315" s="58"/>
      <c r="AR315" s="58"/>
      <c r="AS315" s="58"/>
      <c r="AT315" s="58"/>
      <c r="AU315" s="58"/>
      <c r="AV315" s="58"/>
      <c r="AW315" s="58">
        <v>210</v>
      </c>
      <c r="AX315" s="58"/>
      <c r="AY315" s="58"/>
      <c r="AZ315" s="58">
        <v>177</v>
      </c>
      <c r="BA315" s="58"/>
      <c r="BB315" s="58">
        <v>310</v>
      </c>
      <c r="BC315" s="58">
        <v>250</v>
      </c>
      <c r="BD315" s="58"/>
      <c r="BE315" s="58">
        <v>275</v>
      </c>
      <c r="BF315" s="58">
        <v>250</v>
      </c>
      <c r="BG315" s="58"/>
      <c r="BH315" s="58">
        <v>237</v>
      </c>
    </row>
    <row r="316" spans="2:60" hidden="1" x14ac:dyDescent="0.2">
      <c r="B316" s="59"/>
      <c r="C316" s="59" t="s">
        <v>690</v>
      </c>
      <c r="D316" s="59" t="s">
        <v>649</v>
      </c>
      <c r="E316" s="60">
        <v>185</v>
      </c>
      <c r="F316" s="60">
        <v>190</v>
      </c>
      <c r="G316" s="60">
        <v>185</v>
      </c>
      <c r="H316" s="60">
        <v>190</v>
      </c>
      <c r="I316" s="60">
        <v>190</v>
      </c>
      <c r="J316" s="60">
        <v>190</v>
      </c>
      <c r="K316" s="60">
        <v>185</v>
      </c>
      <c r="L316" s="60">
        <v>190</v>
      </c>
      <c r="M316" s="60">
        <v>185</v>
      </c>
      <c r="N316" s="60">
        <v>190</v>
      </c>
      <c r="O316" s="60">
        <v>185</v>
      </c>
      <c r="P316" s="60">
        <v>190</v>
      </c>
      <c r="Q316" s="60">
        <v>185</v>
      </c>
      <c r="R316" s="60">
        <v>190</v>
      </c>
      <c r="S316" s="60">
        <v>190</v>
      </c>
      <c r="T316" s="60">
        <v>195</v>
      </c>
      <c r="U316" s="60">
        <v>190</v>
      </c>
      <c r="V316" s="60">
        <v>180</v>
      </c>
      <c r="W316" s="60">
        <v>190</v>
      </c>
      <c r="X316" s="60">
        <v>185</v>
      </c>
      <c r="Y316" s="60">
        <v>200</v>
      </c>
      <c r="Z316" s="60">
        <v>185</v>
      </c>
      <c r="AA316" s="60">
        <v>190</v>
      </c>
      <c r="AB316" s="60">
        <v>185</v>
      </c>
      <c r="AC316" s="60">
        <v>195</v>
      </c>
      <c r="AD316" s="60">
        <v>200</v>
      </c>
      <c r="AE316" s="60">
        <v>200</v>
      </c>
      <c r="AF316" s="60">
        <v>215</v>
      </c>
      <c r="AG316" s="60">
        <v>195</v>
      </c>
      <c r="AH316" s="60">
        <v>195</v>
      </c>
      <c r="AI316" s="60">
        <v>200</v>
      </c>
      <c r="AJ316" s="60">
        <v>220</v>
      </c>
      <c r="AK316" s="60">
        <v>215</v>
      </c>
      <c r="AL316" s="60">
        <v>215</v>
      </c>
      <c r="AM316" s="60">
        <v>200</v>
      </c>
      <c r="AN316" s="60">
        <v>230</v>
      </c>
      <c r="AO316" s="60">
        <v>220</v>
      </c>
      <c r="AP316" s="60">
        <v>230</v>
      </c>
      <c r="AQ316" s="60">
        <v>230</v>
      </c>
      <c r="AR316" s="60">
        <v>250</v>
      </c>
      <c r="AS316" s="60">
        <v>250</v>
      </c>
      <c r="AT316" s="60">
        <v>290</v>
      </c>
      <c r="AU316" s="60">
        <v>290</v>
      </c>
      <c r="AV316" s="60">
        <v>310</v>
      </c>
      <c r="AW316" s="60">
        <v>290</v>
      </c>
      <c r="AX316" s="60">
        <v>300</v>
      </c>
      <c r="AY316" s="60">
        <v>320</v>
      </c>
      <c r="AZ316" s="60">
        <v>330</v>
      </c>
      <c r="BA316" s="60">
        <v>350</v>
      </c>
      <c r="BB316" s="60">
        <v>320</v>
      </c>
      <c r="BC316" s="60">
        <v>330</v>
      </c>
      <c r="BD316" s="60">
        <v>330</v>
      </c>
      <c r="BE316" s="60">
        <v>370</v>
      </c>
      <c r="BF316" s="60">
        <v>360</v>
      </c>
      <c r="BG316" s="60">
        <v>350</v>
      </c>
      <c r="BH316" s="60">
        <v>350</v>
      </c>
    </row>
    <row r="317" spans="2:60" hidden="1" x14ac:dyDescent="0.2">
      <c r="B317" s="57"/>
      <c r="C317" s="57" t="s">
        <v>690</v>
      </c>
      <c r="D317" s="57" t="s">
        <v>650</v>
      </c>
      <c r="E317" s="58">
        <v>240</v>
      </c>
      <c r="F317" s="58"/>
      <c r="G317" s="58"/>
      <c r="H317" s="58"/>
      <c r="I317" s="58">
        <v>235</v>
      </c>
      <c r="J317" s="58">
        <v>225</v>
      </c>
      <c r="K317" s="58">
        <v>220</v>
      </c>
      <c r="L317" s="58">
        <v>240</v>
      </c>
      <c r="M317" s="58">
        <v>240</v>
      </c>
      <c r="N317" s="58"/>
      <c r="O317" s="58"/>
      <c r="P317" s="58">
        <v>250</v>
      </c>
      <c r="Q317" s="58">
        <v>250</v>
      </c>
      <c r="R317" s="58"/>
      <c r="S317" s="58"/>
      <c r="T317" s="58">
        <v>230</v>
      </c>
      <c r="U317" s="58"/>
      <c r="V317" s="58">
        <v>230</v>
      </c>
      <c r="W317" s="58"/>
      <c r="X317" s="58"/>
      <c r="Y317" s="58">
        <v>255</v>
      </c>
      <c r="Z317" s="58"/>
      <c r="AA317" s="58"/>
      <c r="AB317" s="58">
        <v>250</v>
      </c>
      <c r="AC317" s="58">
        <v>245</v>
      </c>
      <c r="AD317" s="58"/>
      <c r="AE317" s="58"/>
      <c r="AF317" s="58"/>
      <c r="AG317" s="58"/>
      <c r="AH317" s="58">
        <v>240</v>
      </c>
      <c r="AI317" s="58"/>
      <c r="AJ317" s="58">
        <v>270</v>
      </c>
      <c r="AK317" s="58">
        <v>255</v>
      </c>
      <c r="AL317" s="58">
        <v>270</v>
      </c>
      <c r="AM317" s="58"/>
      <c r="AN317" s="58"/>
      <c r="AO317" s="58"/>
      <c r="AP317" s="58">
        <v>275</v>
      </c>
      <c r="AQ317" s="58"/>
      <c r="AR317" s="58"/>
      <c r="AS317" s="58"/>
      <c r="AT317" s="58"/>
      <c r="AU317" s="58"/>
      <c r="AV317" s="58"/>
      <c r="AW317" s="58"/>
      <c r="AX317" s="58"/>
      <c r="AY317" s="58"/>
      <c r="AZ317" s="58"/>
      <c r="BA317" s="58"/>
      <c r="BB317" s="58"/>
      <c r="BC317" s="58"/>
      <c r="BD317" s="58"/>
      <c r="BE317" s="58"/>
      <c r="BF317" s="58"/>
      <c r="BG317" s="58"/>
      <c r="BH317" s="58"/>
    </row>
    <row r="318" spans="2:60" hidden="1" x14ac:dyDescent="0.2">
      <c r="B318" s="59"/>
      <c r="C318" s="59" t="s">
        <v>690</v>
      </c>
      <c r="D318" s="59" t="s">
        <v>651</v>
      </c>
      <c r="E318" s="60">
        <v>195</v>
      </c>
      <c r="F318" s="60">
        <v>190</v>
      </c>
      <c r="G318" s="60">
        <v>200</v>
      </c>
      <c r="H318" s="60">
        <v>185</v>
      </c>
      <c r="I318" s="60">
        <v>205</v>
      </c>
      <c r="J318" s="60">
        <v>200</v>
      </c>
      <c r="K318" s="60">
        <v>200</v>
      </c>
      <c r="L318" s="60">
        <v>200</v>
      </c>
      <c r="M318" s="60">
        <v>200</v>
      </c>
      <c r="N318" s="60">
        <v>210</v>
      </c>
      <c r="O318" s="60">
        <v>220</v>
      </c>
      <c r="P318" s="60">
        <v>200</v>
      </c>
      <c r="Q318" s="60">
        <v>210</v>
      </c>
      <c r="R318" s="60">
        <v>220</v>
      </c>
      <c r="S318" s="60">
        <v>210</v>
      </c>
      <c r="T318" s="60">
        <v>230</v>
      </c>
      <c r="U318" s="60">
        <v>210</v>
      </c>
      <c r="V318" s="60">
        <v>220</v>
      </c>
      <c r="W318" s="60">
        <v>235</v>
      </c>
      <c r="X318" s="60">
        <v>205</v>
      </c>
      <c r="Y318" s="60">
        <v>220</v>
      </c>
      <c r="Z318" s="60">
        <v>210</v>
      </c>
      <c r="AA318" s="60">
        <v>200</v>
      </c>
      <c r="AB318" s="60">
        <v>220</v>
      </c>
      <c r="AC318" s="60">
        <v>220</v>
      </c>
      <c r="AD318" s="60">
        <v>220</v>
      </c>
      <c r="AE318" s="60">
        <v>225</v>
      </c>
      <c r="AF318" s="60">
        <v>220</v>
      </c>
      <c r="AG318" s="60">
        <v>240</v>
      </c>
      <c r="AH318" s="60">
        <v>220</v>
      </c>
      <c r="AI318" s="60">
        <v>220</v>
      </c>
      <c r="AJ318" s="60">
        <v>220</v>
      </c>
      <c r="AK318" s="60">
        <v>230</v>
      </c>
      <c r="AL318" s="60">
        <v>230</v>
      </c>
      <c r="AM318" s="60">
        <v>200</v>
      </c>
      <c r="AN318" s="60">
        <v>250</v>
      </c>
      <c r="AO318" s="60">
        <v>220</v>
      </c>
      <c r="AP318" s="60">
        <v>250</v>
      </c>
      <c r="AQ318" s="60">
        <v>250</v>
      </c>
      <c r="AR318" s="60">
        <v>260</v>
      </c>
      <c r="AS318" s="60">
        <v>285</v>
      </c>
      <c r="AT318" s="60">
        <v>290</v>
      </c>
      <c r="AU318" s="60">
        <v>300</v>
      </c>
      <c r="AV318" s="60">
        <v>290</v>
      </c>
      <c r="AW318" s="60">
        <v>300</v>
      </c>
      <c r="AX318" s="60">
        <v>275</v>
      </c>
      <c r="AY318" s="60">
        <v>360</v>
      </c>
      <c r="AZ318" s="60">
        <v>350</v>
      </c>
      <c r="BA318" s="60">
        <v>360</v>
      </c>
      <c r="BB318" s="60">
        <v>395</v>
      </c>
      <c r="BC318" s="60">
        <v>360</v>
      </c>
      <c r="BD318" s="60">
        <v>410</v>
      </c>
      <c r="BE318" s="60">
        <v>365</v>
      </c>
      <c r="BF318" s="60">
        <v>425</v>
      </c>
      <c r="BG318" s="60"/>
      <c r="BH318" s="60">
        <v>410</v>
      </c>
    </row>
    <row r="319" spans="2:60" hidden="1" x14ac:dyDescent="0.2">
      <c r="B319" s="57"/>
      <c r="C319" s="57" t="s">
        <v>690</v>
      </c>
      <c r="D319" s="57" t="s">
        <v>652</v>
      </c>
      <c r="E319" s="58">
        <v>235</v>
      </c>
      <c r="F319" s="58">
        <v>240</v>
      </c>
      <c r="G319" s="58">
        <v>230</v>
      </c>
      <c r="H319" s="58">
        <v>230</v>
      </c>
      <c r="I319" s="58">
        <v>230</v>
      </c>
      <c r="J319" s="58">
        <v>240</v>
      </c>
      <c r="K319" s="58">
        <v>230</v>
      </c>
      <c r="L319" s="58">
        <v>230</v>
      </c>
      <c r="M319" s="58">
        <v>240</v>
      </c>
      <c r="N319" s="58">
        <v>230</v>
      </c>
      <c r="O319" s="58">
        <v>240</v>
      </c>
      <c r="P319" s="58">
        <v>235</v>
      </c>
      <c r="Q319" s="58">
        <v>235</v>
      </c>
      <c r="R319" s="58">
        <v>240</v>
      </c>
      <c r="S319" s="58">
        <v>240</v>
      </c>
      <c r="T319" s="58">
        <v>235</v>
      </c>
      <c r="U319" s="58">
        <v>245</v>
      </c>
      <c r="V319" s="58">
        <v>245</v>
      </c>
      <c r="W319" s="58">
        <v>245</v>
      </c>
      <c r="X319" s="58">
        <v>240</v>
      </c>
      <c r="Y319" s="58">
        <v>240</v>
      </c>
      <c r="Z319" s="58">
        <v>250</v>
      </c>
      <c r="AA319" s="58">
        <v>250</v>
      </c>
      <c r="AB319" s="58">
        <v>250</v>
      </c>
      <c r="AC319" s="58">
        <v>250</v>
      </c>
      <c r="AD319" s="58">
        <v>260</v>
      </c>
      <c r="AE319" s="58">
        <v>250</v>
      </c>
      <c r="AF319" s="58">
        <v>260</v>
      </c>
      <c r="AG319" s="58">
        <v>260</v>
      </c>
      <c r="AH319" s="58">
        <v>260</v>
      </c>
      <c r="AI319" s="58">
        <v>255</v>
      </c>
      <c r="AJ319" s="58">
        <v>265</v>
      </c>
      <c r="AK319" s="58">
        <v>270</v>
      </c>
      <c r="AL319" s="58">
        <v>270</v>
      </c>
      <c r="AM319" s="58">
        <v>265</v>
      </c>
      <c r="AN319" s="58">
        <v>270</v>
      </c>
      <c r="AO319" s="58">
        <v>285</v>
      </c>
      <c r="AP319" s="58">
        <v>280</v>
      </c>
      <c r="AQ319" s="58">
        <v>285</v>
      </c>
      <c r="AR319" s="58">
        <v>310</v>
      </c>
      <c r="AS319" s="58">
        <v>325</v>
      </c>
      <c r="AT319" s="58">
        <v>345</v>
      </c>
      <c r="AU319" s="58">
        <v>350</v>
      </c>
      <c r="AV319" s="58">
        <v>350</v>
      </c>
      <c r="AW319" s="58">
        <v>370</v>
      </c>
      <c r="AX319" s="58">
        <v>365</v>
      </c>
      <c r="AY319" s="58">
        <v>390</v>
      </c>
      <c r="AZ319" s="58">
        <v>400</v>
      </c>
      <c r="BA319" s="58">
        <v>400</v>
      </c>
      <c r="BB319" s="58">
        <v>420</v>
      </c>
      <c r="BC319" s="58">
        <v>420</v>
      </c>
      <c r="BD319" s="58">
        <v>450</v>
      </c>
      <c r="BE319" s="58">
        <v>450</v>
      </c>
      <c r="BF319" s="58">
        <v>460</v>
      </c>
      <c r="BG319" s="58">
        <v>475</v>
      </c>
      <c r="BH319" s="58">
        <v>480</v>
      </c>
    </row>
    <row r="320" spans="2:60" hidden="1" x14ac:dyDescent="0.2">
      <c r="B320" s="59"/>
      <c r="C320" s="59" t="s">
        <v>690</v>
      </c>
      <c r="D320" s="59" t="s">
        <v>653</v>
      </c>
      <c r="E320" s="60">
        <v>300</v>
      </c>
      <c r="F320" s="60">
        <v>300</v>
      </c>
      <c r="G320" s="60">
        <v>280</v>
      </c>
      <c r="H320" s="60">
        <v>280</v>
      </c>
      <c r="I320" s="60">
        <v>300</v>
      </c>
      <c r="J320" s="60">
        <v>290</v>
      </c>
      <c r="K320" s="60">
        <v>290</v>
      </c>
      <c r="L320" s="60">
        <v>300</v>
      </c>
      <c r="M320" s="60">
        <v>300</v>
      </c>
      <c r="N320" s="60">
        <v>295</v>
      </c>
      <c r="O320" s="60">
        <v>300</v>
      </c>
      <c r="P320" s="60">
        <v>290</v>
      </c>
      <c r="Q320" s="60">
        <v>300</v>
      </c>
      <c r="R320" s="60">
        <v>290</v>
      </c>
      <c r="S320" s="60">
        <v>290</v>
      </c>
      <c r="T320" s="60">
        <v>300</v>
      </c>
      <c r="U320" s="60">
        <v>300</v>
      </c>
      <c r="V320" s="60">
        <v>290</v>
      </c>
      <c r="W320" s="60">
        <v>300</v>
      </c>
      <c r="X320" s="60">
        <v>295</v>
      </c>
      <c r="Y320" s="60">
        <v>300</v>
      </c>
      <c r="Z320" s="60">
        <v>300</v>
      </c>
      <c r="AA320" s="60">
        <v>300</v>
      </c>
      <c r="AB320" s="60">
        <v>300</v>
      </c>
      <c r="AC320" s="60">
        <v>300</v>
      </c>
      <c r="AD320" s="60">
        <v>310</v>
      </c>
      <c r="AE320" s="60">
        <v>305</v>
      </c>
      <c r="AF320" s="60">
        <v>320</v>
      </c>
      <c r="AG320" s="60">
        <v>315</v>
      </c>
      <c r="AH320" s="60">
        <v>310</v>
      </c>
      <c r="AI320" s="60">
        <v>320</v>
      </c>
      <c r="AJ320" s="60">
        <v>320</v>
      </c>
      <c r="AK320" s="60">
        <v>325</v>
      </c>
      <c r="AL320" s="60">
        <v>320</v>
      </c>
      <c r="AM320" s="60">
        <v>340</v>
      </c>
      <c r="AN320" s="60">
        <v>350</v>
      </c>
      <c r="AO320" s="60">
        <v>335</v>
      </c>
      <c r="AP320" s="60">
        <v>350</v>
      </c>
      <c r="AQ320" s="60">
        <v>350</v>
      </c>
      <c r="AR320" s="60">
        <v>360</v>
      </c>
      <c r="AS320" s="60">
        <v>420</v>
      </c>
      <c r="AT320" s="60">
        <v>400</v>
      </c>
      <c r="AU320" s="60">
        <v>400</v>
      </c>
      <c r="AV320" s="60">
        <v>430</v>
      </c>
      <c r="AW320" s="60">
        <v>450</v>
      </c>
      <c r="AX320" s="60">
        <v>440</v>
      </c>
      <c r="AY320" s="60">
        <v>500</v>
      </c>
      <c r="AZ320" s="60">
        <v>550</v>
      </c>
      <c r="BA320" s="60">
        <v>520</v>
      </c>
      <c r="BB320" s="60">
        <v>550</v>
      </c>
      <c r="BC320" s="60">
        <v>500</v>
      </c>
      <c r="BD320" s="60">
        <v>550</v>
      </c>
      <c r="BE320" s="60">
        <v>550</v>
      </c>
      <c r="BF320" s="60">
        <v>550</v>
      </c>
      <c r="BG320" s="60">
        <v>570</v>
      </c>
      <c r="BH320" s="60">
        <v>575</v>
      </c>
    </row>
    <row r="321" spans="2:60" hidden="1" x14ac:dyDescent="0.2">
      <c r="B321" s="57"/>
      <c r="C321" s="57" t="s">
        <v>690</v>
      </c>
      <c r="D321" s="57" t="s">
        <v>654</v>
      </c>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row>
    <row r="322" spans="2:60" hidden="1" x14ac:dyDescent="0.2">
      <c r="B322" s="59"/>
      <c r="C322" s="59" t="s">
        <v>690</v>
      </c>
      <c r="D322" s="59" t="s">
        <v>655</v>
      </c>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0"/>
      <c r="BG322" s="60"/>
      <c r="BH322" s="60"/>
    </row>
    <row r="323" spans="2:60" hidden="1" x14ac:dyDescent="0.2">
      <c r="B323" s="57"/>
      <c r="C323" s="57" t="s">
        <v>690</v>
      </c>
      <c r="D323" s="57" t="s">
        <v>656</v>
      </c>
      <c r="E323" s="58">
        <v>235</v>
      </c>
      <c r="F323" s="58">
        <v>230</v>
      </c>
      <c r="G323" s="58">
        <v>230</v>
      </c>
      <c r="H323" s="58">
        <v>230</v>
      </c>
      <c r="I323" s="58">
        <v>230</v>
      </c>
      <c r="J323" s="58">
        <v>230</v>
      </c>
      <c r="K323" s="58">
        <v>235</v>
      </c>
      <c r="L323" s="58">
        <v>230</v>
      </c>
      <c r="M323" s="58">
        <v>245</v>
      </c>
      <c r="N323" s="58">
        <v>230</v>
      </c>
      <c r="O323" s="58">
        <v>240</v>
      </c>
      <c r="P323" s="58">
        <v>240</v>
      </c>
      <c r="Q323" s="58">
        <v>230</v>
      </c>
      <c r="R323" s="58">
        <v>240</v>
      </c>
      <c r="S323" s="58">
        <v>240</v>
      </c>
      <c r="T323" s="58">
        <v>235</v>
      </c>
      <c r="U323" s="58">
        <v>240</v>
      </c>
      <c r="V323" s="58">
        <v>235</v>
      </c>
      <c r="W323" s="58">
        <v>250</v>
      </c>
      <c r="X323" s="58">
        <v>240</v>
      </c>
      <c r="Y323" s="58">
        <v>240</v>
      </c>
      <c r="Z323" s="58">
        <v>245</v>
      </c>
      <c r="AA323" s="58">
        <v>250</v>
      </c>
      <c r="AB323" s="58">
        <v>250</v>
      </c>
      <c r="AC323" s="58">
        <v>250</v>
      </c>
      <c r="AD323" s="58">
        <v>250</v>
      </c>
      <c r="AE323" s="58">
        <v>250</v>
      </c>
      <c r="AF323" s="58">
        <v>250</v>
      </c>
      <c r="AG323" s="58">
        <v>260</v>
      </c>
      <c r="AH323" s="58">
        <v>254</v>
      </c>
      <c r="AI323" s="58">
        <v>250</v>
      </c>
      <c r="AJ323" s="58">
        <v>265</v>
      </c>
      <c r="AK323" s="58">
        <v>260</v>
      </c>
      <c r="AL323" s="58">
        <v>270</v>
      </c>
      <c r="AM323" s="58">
        <v>260</v>
      </c>
      <c r="AN323" s="58">
        <v>275</v>
      </c>
      <c r="AO323" s="58">
        <v>275</v>
      </c>
      <c r="AP323" s="58">
        <v>280</v>
      </c>
      <c r="AQ323" s="58">
        <v>280</v>
      </c>
      <c r="AR323" s="58">
        <v>300</v>
      </c>
      <c r="AS323" s="58">
        <v>320</v>
      </c>
      <c r="AT323" s="58">
        <v>345</v>
      </c>
      <c r="AU323" s="58">
        <v>320</v>
      </c>
      <c r="AV323" s="58">
        <v>340</v>
      </c>
      <c r="AW323" s="58">
        <v>350</v>
      </c>
      <c r="AX323" s="58">
        <v>350</v>
      </c>
      <c r="AY323" s="58">
        <v>375</v>
      </c>
      <c r="AZ323" s="58">
        <v>380</v>
      </c>
      <c r="BA323" s="58">
        <v>400</v>
      </c>
      <c r="BB323" s="58">
        <v>420</v>
      </c>
      <c r="BC323" s="58">
        <v>395</v>
      </c>
      <c r="BD323" s="58">
        <v>400</v>
      </c>
      <c r="BE323" s="58">
        <v>425</v>
      </c>
      <c r="BF323" s="58">
        <v>440</v>
      </c>
      <c r="BG323" s="58">
        <v>450</v>
      </c>
      <c r="BH323" s="58">
        <v>450</v>
      </c>
    </row>
    <row r="324" spans="2:60" hidden="1" x14ac:dyDescent="0.2">
      <c r="B324" s="59"/>
      <c r="C324" s="59" t="s">
        <v>691</v>
      </c>
      <c r="D324" s="59" t="s">
        <v>648</v>
      </c>
      <c r="E324" s="60"/>
      <c r="F324" s="60">
        <v>130</v>
      </c>
      <c r="G324" s="60"/>
      <c r="H324" s="60"/>
      <c r="I324" s="60">
        <v>140</v>
      </c>
      <c r="J324" s="60"/>
      <c r="K324" s="60">
        <v>140</v>
      </c>
      <c r="L324" s="60">
        <v>140</v>
      </c>
      <c r="M324" s="60">
        <v>135</v>
      </c>
      <c r="N324" s="60"/>
      <c r="O324" s="60">
        <v>135</v>
      </c>
      <c r="P324" s="60"/>
      <c r="Q324" s="60">
        <v>135</v>
      </c>
      <c r="R324" s="60"/>
      <c r="S324" s="60"/>
      <c r="T324" s="60">
        <v>145</v>
      </c>
      <c r="U324" s="60"/>
      <c r="V324" s="60"/>
      <c r="W324" s="60"/>
      <c r="X324" s="60">
        <v>150</v>
      </c>
      <c r="Y324" s="60"/>
      <c r="Z324" s="60">
        <v>147</v>
      </c>
      <c r="AA324" s="60">
        <v>145</v>
      </c>
      <c r="AB324" s="60">
        <v>150</v>
      </c>
      <c r="AC324" s="60"/>
      <c r="AD324" s="60"/>
      <c r="AE324" s="60">
        <v>160</v>
      </c>
      <c r="AF324" s="60">
        <v>160</v>
      </c>
      <c r="AG324" s="60"/>
      <c r="AH324" s="60"/>
      <c r="AI324" s="60"/>
      <c r="AJ324" s="60">
        <v>150</v>
      </c>
      <c r="AK324" s="60"/>
      <c r="AL324" s="60"/>
      <c r="AM324" s="60">
        <v>150</v>
      </c>
      <c r="AN324" s="60">
        <v>175</v>
      </c>
      <c r="AO324" s="60"/>
      <c r="AP324" s="60">
        <v>175</v>
      </c>
      <c r="AQ324" s="60"/>
      <c r="AR324" s="60"/>
      <c r="AS324" s="60"/>
      <c r="AT324" s="60">
        <v>180</v>
      </c>
      <c r="AU324" s="60"/>
      <c r="AV324" s="60">
        <v>185</v>
      </c>
      <c r="AW324" s="60"/>
      <c r="AX324" s="60">
        <v>155</v>
      </c>
      <c r="AY324" s="60"/>
      <c r="AZ324" s="60">
        <v>210</v>
      </c>
      <c r="BA324" s="60"/>
      <c r="BB324" s="60"/>
      <c r="BC324" s="60">
        <v>225</v>
      </c>
      <c r="BD324" s="60"/>
      <c r="BE324" s="60"/>
      <c r="BF324" s="60"/>
      <c r="BG324" s="60"/>
      <c r="BH324" s="60">
        <v>284</v>
      </c>
    </row>
    <row r="325" spans="2:60" hidden="1" x14ac:dyDescent="0.2">
      <c r="B325" s="57"/>
      <c r="C325" s="57" t="s">
        <v>691</v>
      </c>
      <c r="D325" s="57" t="s">
        <v>649</v>
      </c>
      <c r="E325" s="58">
        <v>220</v>
      </c>
      <c r="F325" s="58">
        <v>200</v>
      </c>
      <c r="G325" s="58">
        <v>190</v>
      </c>
      <c r="H325" s="58">
        <v>194</v>
      </c>
      <c r="I325" s="58">
        <v>200</v>
      </c>
      <c r="J325" s="58">
        <v>200</v>
      </c>
      <c r="K325" s="58">
        <v>200</v>
      </c>
      <c r="L325" s="58">
        <v>200</v>
      </c>
      <c r="M325" s="58">
        <v>200</v>
      </c>
      <c r="N325" s="58">
        <v>200</v>
      </c>
      <c r="O325" s="58">
        <v>195</v>
      </c>
      <c r="P325" s="58">
        <v>204</v>
      </c>
      <c r="Q325" s="58">
        <v>200</v>
      </c>
      <c r="R325" s="58">
        <v>204</v>
      </c>
      <c r="S325" s="58">
        <v>210</v>
      </c>
      <c r="T325" s="58">
        <v>200</v>
      </c>
      <c r="U325" s="58">
        <v>225</v>
      </c>
      <c r="V325" s="58">
        <v>200</v>
      </c>
      <c r="W325" s="58">
        <v>230</v>
      </c>
      <c r="X325" s="58">
        <v>210</v>
      </c>
      <c r="Y325" s="58">
        <v>210</v>
      </c>
      <c r="Z325" s="58">
        <v>205</v>
      </c>
      <c r="AA325" s="58">
        <v>210</v>
      </c>
      <c r="AB325" s="58">
        <v>200</v>
      </c>
      <c r="AC325" s="58">
        <v>210</v>
      </c>
      <c r="AD325" s="58">
        <v>200</v>
      </c>
      <c r="AE325" s="58">
        <v>220</v>
      </c>
      <c r="AF325" s="58">
        <v>230</v>
      </c>
      <c r="AG325" s="58">
        <v>225</v>
      </c>
      <c r="AH325" s="58">
        <v>220</v>
      </c>
      <c r="AI325" s="58">
        <v>220</v>
      </c>
      <c r="AJ325" s="58">
        <v>210</v>
      </c>
      <c r="AK325" s="58">
        <v>240</v>
      </c>
      <c r="AL325" s="58">
        <v>215</v>
      </c>
      <c r="AM325" s="58">
        <v>230</v>
      </c>
      <c r="AN325" s="58">
        <v>210</v>
      </c>
      <c r="AO325" s="58">
        <v>235</v>
      </c>
      <c r="AP325" s="58">
        <v>230</v>
      </c>
      <c r="AQ325" s="58">
        <v>220</v>
      </c>
      <c r="AR325" s="58">
        <v>225</v>
      </c>
      <c r="AS325" s="58">
        <v>260</v>
      </c>
      <c r="AT325" s="58">
        <v>240</v>
      </c>
      <c r="AU325" s="58">
        <v>270</v>
      </c>
      <c r="AV325" s="58">
        <v>270</v>
      </c>
      <c r="AW325" s="58">
        <v>280</v>
      </c>
      <c r="AX325" s="58">
        <v>300</v>
      </c>
      <c r="AY325" s="58">
        <v>285</v>
      </c>
      <c r="AZ325" s="58">
        <v>330</v>
      </c>
      <c r="BA325" s="58">
        <v>320</v>
      </c>
      <c r="BB325" s="58">
        <v>330</v>
      </c>
      <c r="BC325" s="58">
        <v>340</v>
      </c>
      <c r="BD325" s="58">
        <v>330</v>
      </c>
      <c r="BE325" s="58">
        <v>350</v>
      </c>
      <c r="BF325" s="58">
        <v>350</v>
      </c>
      <c r="BG325" s="58">
        <v>350</v>
      </c>
      <c r="BH325" s="58">
        <v>350</v>
      </c>
    </row>
    <row r="326" spans="2:60" hidden="1" x14ac:dyDescent="0.2">
      <c r="B326" s="59"/>
      <c r="C326" s="59" t="s">
        <v>691</v>
      </c>
      <c r="D326" s="59" t="s">
        <v>650</v>
      </c>
      <c r="E326" s="60">
        <v>260</v>
      </c>
      <c r="F326" s="60">
        <v>265</v>
      </c>
      <c r="G326" s="60">
        <v>208</v>
      </c>
      <c r="H326" s="60">
        <v>250</v>
      </c>
      <c r="I326" s="60">
        <v>260</v>
      </c>
      <c r="J326" s="60"/>
      <c r="K326" s="60">
        <v>230</v>
      </c>
      <c r="L326" s="60">
        <v>240</v>
      </c>
      <c r="M326" s="60">
        <v>260</v>
      </c>
      <c r="N326" s="60"/>
      <c r="O326" s="60">
        <v>230</v>
      </c>
      <c r="P326" s="60">
        <v>275</v>
      </c>
      <c r="Q326" s="60">
        <v>290</v>
      </c>
      <c r="R326" s="60">
        <v>275</v>
      </c>
      <c r="S326" s="60">
        <v>250</v>
      </c>
      <c r="T326" s="60">
        <v>270</v>
      </c>
      <c r="U326" s="60">
        <v>280</v>
      </c>
      <c r="V326" s="60">
        <v>260</v>
      </c>
      <c r="W326" s="60"/>
      <c r="X326" s="60">
        <v>218</v>
      </c>
      <c r="Y326" s="60">
        <v>270</v>
      </c>
      <c r="Z326" s="60">
        <v>270</v>
      </c>
      <c r="AA326" s="60">
        <v>270</v>
      </c>
      <c r="AB326" s="60">
        <v>270</v>
      </c>
      <c r="AC326" s="60">
        <v>285</v>
      </c>
      <c r="AD326" s="60">
        <v>250</v>
      </c>
      <c r="AE326" s="60">
        <v>280</v>
      </c>
      <c r="AF326" s="60">
        <v>295</v>
      </c>
      <c r="AG326" s="60">
        <v>265</v>
      </c>
      <c r="AH326" s="60">
        <v>270</v>
      </c>
      <c r="AI326" s="60">
        <v>270</v>
      </c>
      <c r="AJ326" s="60">
        <v>290</v>
      </c>
      <c r="AK326" s="60"/>
      <c r="AL326" s="60">
        <v>280</v>
      </c>
      <c r="AM326" s="60">
        <v>270</v>
      </c>
      <c r="AN326" s="60"/>
      <c r="AO326" s="60">
        <v>265</v>
      </c>
      <c r="AP326" s="60">
        <v>290</v>
      </c>
      <c r="AQ326" s="60">
        <v>275</v>
      </c>
      <c r="AR326" s="60"/>
      <c r="AS326" s="60">
        <v>315</v>
      </c>
      <c r="AT326" s="60">
        <v>300</v>
      </c>
      <c r="AU326" s="60"/>
      <c r="AV326" s="60"/>
      <c r="AW326" s="60"/>
      <c r="AX326" s="60">
        <v>420</v>
      </c>
      <c r="AY326" s="60">
        <v>400</v>
      </c>
      <c r="AZ326" s="60">
        <v>440</v>
      </c>
      <c r="BA326" s="60"/>
      <c r="BB326" s="60">
        <v>535</v>
      </c>
      <c r="BC326" s="60">
        <v>530</v>
      </c>
      <c r="BD326" s="60"/>
      <c r="BE326" s="60">
        <v>550</v>
      </c>
      <c r="BF326" s="60">
        <v>480</v>
      </c>
      <c r="BG326" s="60">
        <v>550</v>
      </c>
      <c r="BH326" s="60">
        <v>550</v>
      </c>
    </row>
    <row r="327" spans="2:60" hidden="1" x14ac:dyDescent="0.2">
      <c r="B327" s="57"/>
      <c r="C327" s="57" t="s">
        <v>691</v>
      </c>
      <c r="D327" s="57" t="s">
        <v>651</v>
      </c>
      <c r="E327" s="58">
        <v>220</v>
      </c>
      <c r="F327" s="58">
        <v>210</v>
      </c>
      <c r="G327" s="58">
        <v>200</v>
      </c>
      <c r="H327" s="58">
        <v>215</v>
      </c>
      <c r="I327" s="58">
        <v>210</v>
      </c>
      <c r="J327" s="58">
        <v>200</v>
      </c>
      <c r="K327" s="58">
        <v>210</v>
      </c>
      <c r="L327" s="58">
        <v>225</v>
      </c>
      <c r="M327" s="58">
        <v>215</v>
      </c>
      <c r="N327" s="58">
        <v>220</v>
      </c>
      <c r="O327" s="58">
        <v>225</v>
      </c>
      <c r="P327" s="58">
        <v>220</v>
      </c>
      <c r="Q327" s="58">
        <v>230</v>
      </c>
      <c r="R327" s="58">
        <v>230</v>
      </c>
      <c r="S327" s="58">
        <v>220</v>
      </c>
      <c r="T327" s="58">
        <v>225</v>
      </c>
      <c r="U327" s="58">
        <v>225</v>
      </c>
      <c r="V327" s="58">
        <v>230</v>
      </c>
      <c r="W327" s="58">
        <v>225</v>
      </c>
      <c r="X327" s="58">
        <v>240</v>
      </c>
      <c r="Y327" s="58">
        <v>235</v>
      </c>
      <c r="Z327" s="58">
        <v>235</v>
      </c>
      <c r="AA327" s="58">
        <v>230</v>
      </c>
      <c r="AB327" s="58">
        <v>250</v>
      </c>
      <c r="AC327" s="58">
        <v>240</v>
      </c>
      <c r="AD327" s="58">
        <v>240</v>
      </c>
      <c r="AE327" s="58">
        <v>250</v>
      </c>
      <c r="AF327" s="58">
        <v>235</v>
      </c>
      <c r="AG327" s="58">
        <v>245</v>
      </c>
      <c r="AH327" s="58">
        <v>235</v>
      </c>
      <c r="AI327" s="58">
        <v>250</v>
      </c>
      <c r="AJ327" s="58">
        <v>235</v>
      </c>
      <c r="AK327" s="58">
        <v>250</v>
      </c>
      <c r="AL327" s="58">
        <v>240</v>
      </c>
      <c r="AM327" s="58">
        <v>235</v>
      </c>
      <c r="AN327" s="58">
        <v>245</v>
      </c>
      <c r="AO327" s="58">
        <v>260</v>
      </c>
      <c r="AP327" s="58">
        <v>260</v>
      </c>
      <c r="AQ327" s="58">
        <v>260</v>
      </c>
      <c r="AR327" s="58">
        <v>280</v>
      </c>
      <c r="AS327" s="58">
        <v>275</v>
      </c>
      <c r="AT327" s="58">
        <v>285</v>
      </c>
      <c r="AU327" s="58">
        <v>310</v>
      </c>
      <c r="AV327" s="58">
        <v>310</v>
      </c>
      <c r="AW327" s="58">
        <v>330</v>
      </c>
      <c r="AX327" s="58">
        <v>345</v>
      </c>
      <c r="AY327" s="58">
        <v>320</v>
      </c>
      <c r="AZ327" s="58"/>
      <c r="BA327" s="58">
        <v>370</v>
      </c>
      <c r="BB327" s="58">
        <v>350</v>
      </c>
      <c r="BC327" s="58">
        <v>340</v>
      </c>
      <c r="BD327" s="58">
        <v>350</v>
      </c>
      <c r="BE327" s="58">
        <v>380</v>
      </c>
      <c r="BF327" s="58">
        <v>420</v>
      </c>
      <c r="BG327" s="58">
        <v>440</v>
      </c>
      <c r="BH327" s="58">
        <v>400</v>
      </c>
    </row>
    <row r="328" spans="2:60" hidden="1" x14ac:dyDescent="0.2">
      <c r="B328" s="59"/>
      <c r="C328" s="59" t="s">
        <v>691</v>
      </c>
      <c r="D328" s="59" t="s">
        <v>652</v>
      </c>
      <c r="E328" s="60">
        <v>240</v>
      </c>
      <c r="F328" s="60">
        <v>235</v>
      </c>
      <c r="G328" s="60">
        <v>245</v>
      </c>
      <c r="H328" s="60">
        <v>240</v>
      </c>
      <c r="I328" s="60">
        <v>245</v>
      </c>
      <c r="J328" s="60">
        <v>240</v>
      </c>
      <c r="K328" s="60">
        <v>250</v>
      </c>
      <c r="L328" s="60">
        <v>250</v>
      </c>
      <c r="M328" s="60">
        <v>250</v>
      </c>
      <c r="N328" s="60">
        <v>250</v>
      </c>
      <c r="O328" s="60">
        <v>260</v>
      </c>
      <c r="P328" s="60">
        <v>260</v>
      </c>
      <c r="Q328" s="60">
        <v>250</v>
      </c>
      <c r="R328" s="60">
        <v>255</v>
      </c>
      <c r="S328" s="60">
        <v>250</v>
      </c>
      <c r="T328" s="60">
        <v>265</v>
      </c>
      <c r="U328" s="60">
        <v>260</v>
      </c>
      <c r="V328" s="60">
        <v>260</v>
      </c>
      <c r="W328" s="60">
        <v>250</v>
      </c>
      <c r="X328" s="60">
        <v>265</v>
      </c>
      <c r="Y328" s="60">
        <v>265</v>
      </c>
      <c r="Z328" s="60">
        <v>260</v>
      </c>
      <c r="AA328" s="60">
        <v>265</v>
      </c>
      <c r="AB328" s="60">
        <v>270</v>
      </c>
      <c r="AC328" s="60">
        <v>270</v>
      </c>
      <c r="AD328" s="60">
        <v>270</v>
      </c>
      <c r="AE328" s="60">
        <v>270</v>
      </c>
      <c r="AF328" s="60">
        <v>270</v>
      </c>
      <c r="AG328" s="60">
        <v>270</v>
      </c>
      <c r="AH328" s="60">
        <v>270</v>
      </c>
      <c r="AI328" s="60">
        <v>275</v>
      </c>
      <c r="AJ328" s="60">
        <v>275</v>
      </c>
      <c r="AK328" s="60">
        <v>275</v>
      </c>
      <c r="AL328" s="60">
        <v>275</v>
      </c>
      <c r="AM328" s="60">
        <v>275</v>
      </c>
      <c r="AN328" s="60">
        <v>280</v>
      </c>
      <c r="AO328" s="60">
        <v>280</v>
      </c>
      <c r="AP328" s="60">
        <v>290</v>
      </c>
      <c r="AQ328" s="60">
        <v>300</v>
      </c>
      <c r="AR328" s="60">
        <v>310</v>
      </c>
      <c r="AS328" s="60">
        <v>320</v>
      </c>
      <c r="AT328" s="60">
        <v>320</v>
      </c>
      <c r="AU328" s="60">
        <v>330</v>
      </c>
      <c r="AV328" s="60">
        <v>370</v>
      </c>
      <c r="AW328" s="60">
        <v>360</v>
      </c>
      <c r="AX328" s="60">
        <v>375</v>
      </c>
      <c r="AY328" s="60">
        <v>395</v>
      </c>
      <c r="AZ328" s="60">
        <v>395</v>
      </c>
      <c r="BA328" s="60">
        <v>400</v>
      </c>
      <c r="BB328" s="60">
        <v>400</v>
      </c>
      <c r="BC328" s="60">
        <v>430</v>
      </c>
      <c r="BD328" s="60">
        <v>450</v>
      </c>
      <c r="BE328" s="60">
        <v>450</v>
      </c>
      <c r="BF328" s="60">
        <v>480</v>
      </c>
      <c r="BG328" s="60">
        <v>490</v>
      </c>
      <c r="BH328" s="60">
        <v>480</v>
      </c>
    </row>
    <row r="329" spans="2:60" hidden="1" x14ac:dyDescent="0.2">
      <c r="B329" s="57"/>
      <c r="C329" s="57" t="s">
        <v>691</v>
      </c>
      <c r="D329" s="57" t="s">
        <v>653</v>
      </c>
      <c r="E329" s="58">
        <v>300</v>
      </c>
      <c r="F329" s="58">
        <v>290</v>
      </c>
      <c r="G329" s="58">
        <v>290</v>
      </c>
      <c r="H329" s="58">
        <v>300</v>
      </c>
      <c r="I329" s="58">
        <v>300</v>
      </c>
      <c r="J329" s="58">
        <v>300</v>
      </c>
      <c r="K329" s="58">
        <v>305</v>
      </c>
      <c r="L329" s="58">
        <v>310</v>
      </c>
      <c r="M329" s="58">
        <v>295</v>
      </c>
      <c r="N329" s="58">
        <v>310</v>
      </c>
      <c r="O329" s="58">
        <v>305</v>
      </c>
      <c r="P329" s="58">
        <v>320</v>
      </c>
      <c r="Q329" s="58">
        <v>310</v>
      </c>
      <c r="R329" s="58">
        <v>320</v>
      </c>
      <c r="S329" s="58">
        <v>320</v>
      </c>
      <c r="T329" s="58">
        <v>320</v>
      </c>
      <c r="U329" s="58">
        <v>320</v>
      </c>
      <c r="V329" s="58">
        <v>320</v>
      </c>
      <c r="W329" s="58">
        <v>320</v>
      </c>
      <c r="X329" s="58">
        <v>325</v>
      </c>
      <c r="Y329" s="58">
        <v>320</v>
      </c>
      <c r="Z329" s="58">
        <v>320</v>
      </c>
      <c r="AA329" s="58">
        <v>320</v>
      </c>
      <c r="AB329" s="58">
        <v>320</v>
      </c>
      <c r="AC329" s="58">
        <v>325</v>
      </c>
      <c r="AD329" s="58">
        <v>325</v>
      </c>
      <c r="AE329" s="58">
        <v>330</v>
      </c>
      <c r="AF329" s="58">
        <v>335</v>
      </c>
      <c r="AG329" s="58">
        <v>325</v>
      </c>
      <c r="AH329" s="58">
        <v>320</v>
      </c>
      <c r="AI329" s="58">
        <v>330</v>
      </c>
      <c r="AJ329" s="58">
        <v>325</v>
      </c>
      <c r="AK329" s="58">
        <v>330</v>
      </c>
      <c r="AL329" s="58">
        <v>330</v>
      </c>
      <c r="AM329" s="58">
        <v>335</v>
      </c>
      <c r="AN329" s="58">
        <v>350</v>
      </c>
      <c r="AO329" s="58">
        <v>340</v>
      </c>
      <c r="AP329" s="58">
        <v>340</v>
      </c>
      <c r="AQ329" s="58">
        <v>360</v>
      </c>
      <c r="AR329" s="58">
        <v>380</v>
      </c>
      <c r="AS329" s="58">
        <v>390</v>
      </c>
      <c r="AT329" s="58">
        <v>400</v>
      </c>
      <c r="AU329" s="58">
        <v>445</v>
      </c>
      <c r="AV329" s="58">
        <v>450</v>
      </c>
      <c r="AW329" s="58">
        <v>450</v>
      </c>
      <c r="AX329" s="58">
        <v>460</v>
      </c>
      <c r="AY329" s="58">
        <v>480</v>
      </c>
      <c r="AZ329" s="58">
        <v>500</v>
      </c>
      <c r="BA329" s="58">
        <v>500</v>
      </c>
      <c r="BB329" s="58">
        <v>520</v>
      </c>
      <c r="BC329" s="58">
        <v>550</v>
      </c>
      <c r="BD329" s="58">
        <v>550</v>
      </c>
      <c r="BE329" s="58">
        <v>550</v>
      </c>
      <c r="BF329" s="58">
        <v>560</v>
      </c>
      <c r="BG329" s="58">
        <v>580</v>
      </c>
      <c r="BH329" s="58">
        <v>580</v>
      </c>
    </row>
    <row r="330" spans="2:60" hidden="1" x14ac:dyDescent="0.2">
      <c r="B330" s="59"/>
      <c r="C330" s="59" t="s">
        <v>691</v>
      </c>
      <c r="D330" s="59" t="s">
        <v>654</v>
      </c>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row>
    <row r="331" spans="2:60" hidden="1" x14ac:dyDescent="0.2">
      <c r="B331" s="57"/>
      <c r="C331" s="57" t="s">
        <v>691</v>
      </c>
      <c r="D331" s="57" t="s">
        <v>655</v>
      </c>
      <c r="E331" s="58"/>
      <c r="F331" s="58"/>
      <c r="G331" s="58"/>
      <c r="H331" s="58"/>
      <c r="I331" s="58"/>
      <c r="J331" s="58"/>
      <c r="K331" s="58"/>
      <c r="L331" s="58"/>
      <c r="M331" s="58"/>
      <c r="N331" s="58"/>
      <c r="O331" s="58">
        <v>250</v>
      </c>
      <c r="P331" s="58"/>
      <c r="Q331" s="58"/>
      <c r="R331" s="58"/>
      <c r="S331" s="58"/>
      <c r="T331" s="58"/>
      <c r="U331" s="58"/>
      <c r="V331" s="58"/>
      <c r="W331" s="58"/>
      <c r="X331" s="58"/>
      <c r="Y331" s="58"/>
      <c r="Z331" s="58"/>
      <c r="AA331" s="58"/>
      <c r="AB331" s="58"/>
      <c r="AC331" s="58"/>
      <c r="AD331" s="58"/>
      <c r="AE331" s="58"/>
      <c r="AF331" s="58"/>
      <c r="AG331" s="58">
        <v>260</v>
      </c>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row>
    <row r="332" spans="2:60" hidden="1" x14ac:dyDescent="0.2">
      <c r="B332" s="59"/>
      <c r="C332" s="59" t="s">
        <v>691</v>
      </c>
      <c r="D332" s="59" t="s">
        <v>656</v>
      </c>
      <c r="E332" s="60">
        <v>245</v>
      </c>
      <c r="F332" s="60">
        <v>235</v>
      </c>
      <c r="G332" s="60">
        <v>240</v>
      </c>
      <c r="H332" s="60">
        <v>240</v>
      </c>
      <c r="I332" s="60">
        <v>240</v>
      </c>
      <c r="J332" s="60">
        <v>240</v>
      </c>
      <c r="K332" s="60">
        <v>240</v>
      </c>
      <c r="L332" s="60">
        <v>250</v>
      </c>
      <c r="M332" s="60">
        <v>245</v>
      </c>
      <c r="N332" s="60">
        <v>250</v>
      </c>
      <c r="O332" s="60">
        <v>250</v>
      </c>
      <c r="P332" s="60">
        <v>260</v>
      </c>
      <c r="Q332" s="60">
        <v>250</v>
      </c>
      <c r="R332" s="60">
        <v>255</v>
      </c>
      <c r="S332" s="60">
        <v>250</v>
      </c>
      <c r="T332" s="60">
        <v>260</v>
      </c>
      <c r="U332" s="60">
        <v>265</v>
      </c>
      <c r="V332" s="60">
        <v>255</v>
      </c>
      <c r="W332" s="60">
        <v>250</v>
      </c>
      <c r="X332" s="60">
        <v>260</v>
      </c>
      <c r="Y332" s="60">
        <v>260</v>
      </c>
      <c r="Z332" s="60">
        <v>255</v>
      </c>
      <c r="AA332" s="60">
        <v>260</v>
      </c>
      <c r="AB332" s="60">
        <v>270</v>
      </c>
      <c r="AC332" s="60">
        <v>270</v>
      </c>
      <c r="AD332" s="60">
        <v>270</v>
      </c>
      <c r="AE332" s="60">
        <v>265</v>
      </c>
      <c r="AF332" s="60">
        <v>270</v>
      </c>
      <c r="AG332" s="60">
        <v>270</v>
      </c>
      <c r="AH332" s="60">
        <v>270</v>
      </c>
      <c r="AI332" s="60">
        <v>270</v>
      </c>
      <c r="AJ332" s="60">
        <v>275</v>
      </c>
      <c r="AK332" s="60">
        <v>275</v>
      </c>
      <c r="AL332" s="60">
        <v>270</v>
      </c>
      <c r="AM332" s="60">
        <v>265</v>
      </c>
      <c r="AN332" s="60">
        <v>280</v>
      </c>
      <c r="AO332" s="60">
        <v>280</v>
      </c>
      <c r="AP332" s="60">
        <v>280</v>
      </c>
      <c r="AQ332" s="60">
        <v>290</v>
      </c>
      <c r="AR332" s="60">
        <v>300</v>
      </c>
      <c r="AS332" s="60">
        <v>310</v>
      </c>
      <c r="AT332" s="60">
        <v>320</v>
      </c>
      <c r="AU332" s="60">
        <v>330</v>
      </c>
      <c r="AV332" s="60">
        <v>350</v>
      </c>
      <c r="AW332" s="60">
        <v>350</v>
      </c>
      <c r="AX332" s="60">
        <v>370</v>
      </c>
      <c r="AY332" s="60">
        <v>380</v>
      </c>
      <c r="AZ332" s="60">
        <v>390</v>
      </c>
      <c r="BA332" s="60">
        <v>400</v>
      </c>
      <c r="BB332" s="60">
        <v>420</v>
      </c>
      <c r="BC332" s="60">
        <v>420</v>
      </c>
      <c r="BD332" s="60">
        <v>430</v>
      </c>
      <c r="BE332" s="60">
        <v>450</v>
      </c>
      <c r="BF332" s="60">
        <v>480</v>
      </c>
      <c r="BG332" s="60">
        <v>450</v>
      </c>
      <c r="BH332" s="60">
        <v>475</v>
      </c>
    </row>
    <row r="333" spans="2:60" hidden="1" x14ac:dyDescent="0.2">
      <c r="B333" s="57"/>
      <c r="C333" s="57" t="s">
        <v>692</v>
      </c>
      <c r="D333" s="57" t="s">
        <v>648</v>
      </c>
      <c r="E333" s="58">
        <v>240</v>
      </c>
      <c r="F333" s="58">
        <v>235</v>
      </c>
      <c r="G333" s="58">
        <v>245</v>
      </c>
      <c r="H333" s="58">
        <v>220</v>
      </c>
      <c r="I333" s="58">
        <v>220</v>
      </c>
      <c r="J333" s="58">
        <v>250</v>
      </c>
      <c r="K333" s="58">
        <v>250</v>
      </c>
      <c r="L333" s="58">
        <v>270</v>
      </c>
      <c r="M333" s="58">
        <v>260</v>
      </c>
      <c r="N333" s="58">
        <v>260</v>
      </c>
      <c r="O333" s="58">
        <v>239</v>
      </c>
      <c r="P333" s="58">
        <v>260</v>
      </c>
      <c r="Q333" s="58">
        <v>275</v>
      </c>
      <c r="R333" s="58">
        <v>260</v>
      </c>
      <c r="S333" s="58">
        <v>260</v>
      </c>
      <c r="T333" s="58">
        <v>275</v>
      </c>
      <c r="U333" s="58">
        <v>260</v>
      </c>
      <c r="V333" s="58">
        <v>275</v>
      </c>
      <c r="W333" s="58">
        <v>220</v>
      </c>
      <c r="X333" s="58">
        <v>280</v>
      </c>
      <c r="Y333" s="58">
        <v>280</v>
      </c>
      <c r="Z333" s="58">
        <v>280</v>
      </c>
      <c r="AA333" s="58">
        <v>290</v>
      </c>
      <c r="AB333" s="58">
        <v>280</v>
      </c>
      <c r="AC333" s="58">
        <v>300</v>
      </c>
      <c r="AD333" s="58">
        <v>290</v>
      </c>
      <c r="AE333" s="58">
        <v>290</v>
      </c>
      <c r="AF333" s="58">
        <v>290</v>
      </c>
      <c r="AG333" s="58">
        <v>300</v>
      </c>
      <c r="AH333" s="58">
        <v>290</v>
      </c>
      <c r="AI333" s="58">
        <v>290</v>
      </c>
      <c r="AJ333" s="58">
        <v>300</v>
      </c>
      <c r="AK333" s="58">
        <v>300</v>
      </c>
      <c r="AL333" s="58">
        <v>315</v>
      </c>
      <c r="AM333" s="58">
        <v>300</v>
      </c>
      <c r="AN333" s="58">
        <v>310</v>
      </c>
      <c r="AO333" s="58">
        <v>320</v>
      </c>
      <c r="AP333" s="58">
        <v>340</v>
      </c>
      <c r="AQ333" s="58">
        <v>330</v>
      </c>
      <c r="AR333" s="58">
        <v>340</v>
      </c>
      <c r="AS333" s="58">
        <v>350</v>
      </c>
      <c r="AT333" s="58">
        <v>360</v>
      </c>
      <c r="AU333" s="58">
        <v>375</v>
      </c>
      <c r="AV333" s="58">
        <v>375</v>
      </c>
      <c r="AW333" s="58">
        <v>390</v>
      </c>
      <c r="AX333" s="58">
        <v>400</v>
      </c>
      <c r="AY333" s="58">
        <v>410</v>
      </c>
      <c r="AZ333" s="58">
        <v>420</v>
      </c>
      <c r="BA333" s="58">
        <v>420</v>
      </c>
      <c r="BB333" s="58">
        <v>420</v>
      </c>
      <c r="BC333" s="58">
        <v>420</v>
      </c>
      <c r="BD333" s="58">
        <v>420</v>
      </c>
      <c r="BE333" s="58">
        <v>440</v>
      </c>
      <c r="BF333" s="58">
        <v>450</v>
      </c>
      <c r="BG333" s="58">
        <v>450</v>
      </c>
      <c r="BH333" s="58">
        <v>475</v>
      </c>
    </row>
    <row r="334" spans="2:60" hidden="1" x14ac:dyDescent="0.2">
      <c r="B334" s="59"/>
      <c r="C334" s="59" t="s">
        <v>692</v>
      </c>
      <c r="D334" s="59" t="s">
        <v>649</v>
      </c>
      <c r="E334" s="60">
        <v>300</v>
      </c>
      <c r="F334" s="60">
        <v>300</v>
      </c>
      <c r="G334" s="60">
        <v>300</v>
      </c>
      <c r="H334" s="60">
        <v>310</v>
      </c>
      <c r="I334" s="60">
        <v>315</v>
      </c>
      <c r="J334" s="60">
        <v>310</v>
      </c>
      <c r="K334" s="60">
        <v>310</v>
      </c>
      <c r="L334" s="60">
        <v>312</v>
      </c>
      <c r="M334" s="60">
        <v>325</v>
      </c>
      <c r="N334" s="60">
        <v>330</v>
      </c>
      <c r="O334" s="60">
        <v>320</v>
      </c>
      <c r="P334" s="60">
        <v>325</v>
      </c>
      <c r="Q334" s="60">
        <v>340</v>
      </c>
      <c r="R334" s="60">
        <v>335</v>
      </c>
      <c r="S334" s="60">
        <v>340</v>
      </c>
      <c r="T334" s="60">
        <v>345</v>
      </c>
      <c r="U334" s="60">
        <v>345</v>
      </c>
      <c r="V334" s="60">
        <v>340</v>
      </c>
      <c r="W334" s="60">
        <v>340</v>
      </c>
      <c r="X334" s="60">
        <v>350</v>
      </c>
      <c r="Y334" s="60">
        <v>350</v>
      </c>
      <c r="Z334" s="60">
        <v>360</v>
      </c>
      <c r="AA334" s="60">
        <v>355</v>
      </c>
      <c r="AB334" s="60">
        <v>355</v>
      </c>
      <c r="AC334" s="60">
        <v>365</v>
      </c>
      <c r="AD334" s="60">
        <v>365</v>
      </c>
      <c r="AE334" s="60">
        <v>370</v>
      </c>
      <c r="AF334" s="60">
        <v>370</v>
      </c>
      <c r="AG334" s="60">
        <v>380</v>
      </c>
      <c r="AH334" s="60">
        <v>370</v>
      </c>
      <c r="AI334" s="60">
        <v>375</v>
      </c>
      <c r="AJ334" s="60">
        <v>380</v>
      </c>
      <c r="AK334" s="60">
        <v>385</v>
      </c>
      <c r="AL334" s="60">
        <v>380</v>
      </c>
      <c r="AM334" s="60">
        <v>400</v>
      </c>
      <c r="AN334" s="60">
        <v>410</v>
      </c>
      <c r="AO334" s="60">
        <v>425</v>
      </c>
      <c r="AP334" s="60">
        <v>445</v>
      </c>
      <c r="AQ334" s="60">
        <v>450</v>
      </c>
      <c r="AR334" s="60">
        <v>460</v>
      </c>
      <c r="AS334" s="60">
        <v>490</v>
      </c>
      <c r="AT334" s="60">
        <v>500</v>
      </c>
      <c r="AU334" s="60">
        <v>500</v>
      </c>
      <c r="AV334" s="60">
        <v>520</v>
      </c>
      <c r="AW334" s="60">
        <v>550</v>
      </c>
      <c r="AX334" s="60">
        <v>550</v>
      </c>
      <c r="AY334" s="60">
        <v>550</v>
      </c>
      <c r="AZ334" s="60">
        <v>560</v>
      </c>
      <c r="BA334" s="60">
        <v>580</v>
      </c>
      <c r="BB334" s="60">
        <v>590</v>
      </c>
      <c r="BC334" s="60">
        <v>580</v>
      </c>
      <c r="BD334" s="60">
        <v>600</v>
      </c>
      <c r="BE334" s="60">
        <v>625</v>
      </c>
      <c r="BF334" s="60">
        <v>620</v>
      </c>
      <c r="BG334" s="60">
        <v>630</v>
      </c>
      <c r="BH334" s="60">
        <v>640</v>
      </c>
    </row>
    <row r="335" spans="2:60" hidden="1" x14ac:dyDescent="0.2">
      <c r="B335" s="57"/>
      <c r="C335" s="57" t="s">
        <v>692</v>
      </c>
      <c r="D335" s="57" t="s">
        <v>650</v>
      </c>
      <c r="E335" s="58">
        <v>355</v>
      </c>
      <c r="F335" s="58">
        <v>365</v>
      </c>
      <c r="G335" s="58">
        <v>380</v>
      </c>
      <c r="H335" s="58">
        <v>355</v>
      </c>
      <c r="I335" s="58">
        <v>380</v>
      </c>
      <c r="J335" s="58">
        <v>380</v>
      </c>
      <c r="K335" s="58">
        <v>380</v>
      </c>
      <c r="L335" s="58">
        <v>380</v>
      </c>
      <c r="M335" s="58">
        <v>400</v>
      </c>
      <c r="N335" s="58">
        <v>385</v>
      </c>
      <c r="O335" s="58">
        <v>400</v>
      </c>
      <c r="P335" s="58">
        <v>400</v>
      </c>
      <c r="Q335" s="58">
        <v>420</v>
      </c>
      <c r="R335" s="58">
        <v>400</v>
      </c>
      <c r="S335" s="58">
        <v>400</v>
      </c>
      <c r="T335" s="58">
        <v>405</v>
      </c>
      <c r="U335" s="58">
        <v>420</v>
      </c>
      <c r="V335" s="58">
        <v>420</v>
      </c>
      <c r="W335" s="58">
        <v>400</v>
      </c>
      <c r="X335" s="58">
        <v>420</v>
      </c>
      <c r="Y335" s="58">
        <v>420</v>
      </c>
      <c r="Z335" s="58">
        <v>425</v>
      </c>
      <c r="AA335" s="58">
        <v>430</v>
      </c>
      <c r="AB335" s="58">
        <v>430</v>
      </c>
      <c r="AC335" s="58">
        <v>440</v>
      </c>
      <c r="AD335" s="58">
        <v>430</v>
      </c>
      <c r="AE335" s="58">
        <v>430</v>
      </c>
      <c r="AF335" s="58">
        <v>435</v>
      </c>
      <c r="AG335" s="58">
        <v>435</v>
      </c>
      <c r="AH335" s="58">
        <v>450</v>
      </c>
      <c r="AI335" s="58">
        <v>450</v>
      </c>
      <c r="AJ335" s="58">
        <v>450</v>
      </c>
      <c r="AK335" s="58">
        <v>450</v>
      </c>
      <c r="AL335" s="58">
        <v>450</v>
      </c>
      <c r="AM335" s="58">
        <v>450</v>
      </c>
      <c r="AN335" s="58">
        <v>470</v>
      </c>
      <c r="AO335" s="58">
        <v>490</v>
      </c>
      <c r="AP335" s="58">
        <v>530</v>
      </c>
      <c r="AQ335" s="58">
        <v>520</v>
      </c>
      <c r="AR335" s="58">
        <v>550</v>
      </c>
      <c r="AS335" s="58">
        <v>595</v>
      </c>
      <c r="AT335" s="58">
        <v>595</v>
      </c>
      <c r="AU335" s="58">
        <v>595</v>
      </c>
      <c r="AV335" s="58">
        <v>620</v>
      </c>
      <c r="AW335" s="58">
        <v>650</v>
      </c>
      <c r="AX335" s="58">
        <v>625</v>
      </c>
      <c r="AY335" s="58">
        <v>620</v>
      </c>
      <c r="AZ335" s="58">
        <v>640</v>
      </c>
      <c r="BA335" s="58">
        <v>680</v>
      </c>
      <c r="BB335" s="58">
        <v>680</v>
      </c>
      <c r="BC335" s="58">
        <v>700</v>
      </c>
      <c r="BD335" s="58">
        <v>710</v>
      </c>
      <c r="BE335" s="58">
        <v>730</v>
      </c>
      <c r="BF335" s="58">
        <v>750</v>
      </c>
      <c r="BG335" s="58">
        <v>750</v>
      </c>
      <c r="BH335" s="58">
        <v>760</v>
      </c>
    </row>
    <row r="336" spans="2:60" hidden="1" x14ac:dyDescent="0.2">
      <c r="B336" s="59"/>
      <c r="C336" s="59" t="s">
        <v>692</v>
      </c>
      <c r="D336" s="59" t="s">
        <v>651</v>
      </c>
      <c r="E336" s="60">
        <v>310</v>
      </c>
      <c r="F336" s="60">
        <v>310</v>
      </c>
      <c r="G336" s="60">
        <v>310</v>
      </c>
      <c r="H336" s="60">
        <v>320</v>
      </c>
      <c r="I336" s="60">
        <v>315</v>
      </c>
      <c r="J336" s="60">
        <v>320</v>
      </c>
      <c r="K336" s="60">
        <v>320</v>
      </c>
      <c r="L336" s="60">
        <v>310</v>
      </c>
      <c r="M336" s="60">
        <v>330</v>
      </c>
      <c r="N336" s="60">
        <v>320</v>
      </c>
      <c r="O336" s="60">
        <v>340</v>
      </c>
      <c r="P336" s="60">
        <v>340</v>
      </c>
      <c r="Q336" s="60">
        <v>340</v>
      </c>
      <c r="R336" s="60">
        <v>360</v>
      </c>
      <c r="S336" s="60">
        <v>350</v>
      </c>
      <c r="T336" s="60">
        <v>350</v>
      </c>
      <c r="U336" s="60">
        <v>350</v>
      </c>
      <c r="V336" s="60">
        <v>355</v>
      </c>
      <c r="W336" s="60">
        <v>350</v>
      </c>
      <c r="X336" s="60">
        <v>350</v>
      </c>
      <c r="Y336" s="60">
        <v>360</v>
      </c>
      <c r="Z336" s="60">
        <v>375</v>
      </c>
      <c r="AA336" s="60">
        <v>370</v>
      </c>
      <c r="AB336" s="60">
        <v>370</v>
      </c>
      <c r="AC336" s="60">
        <v>370</v>
      </c>
      <c r="AD336" s="60">
        <v>370</v>
      </c>
      <c r="AE336" s="60">
        <v>370</v>
      </c>
      <c r="AF336" s="60">
        <v>385</v>
      </c>
      <c r="AG336" s="60">
        <v>375</v>
      </c>
      <c r="AH336" s="60">
        <v>380</v>
      </c>
      <c r="AI336" s="60">
        <v>375</v>
      </c>
      <c r="AJ336" s="60">
        <v>380</v>
      </c>
      <c r="AK336" s="60">
        <v>390</v>
      </c>
      <c r="AL336" s="60">
        <v>385</v>
      </c>
      <c r="AM336" s="60">
        <v>380</v>
      </c>
      <c r="AN336" s="60">
        <v>430</v>
      </c>
      <c r="AO336" s="60">
        <v>445</v>
      </c>
      <c r="AP336" s="60">
        <v>450</v>
      </c>
      <c r="AQ336" s="60">
        <v>450</v>
      </c>
      <c r="AR336" s="60">
        <v>430</v>
      </c>
      <c r="AS336" s="60">
        <v>510</v>
      </c>
      <c r="AT336" s="60">
        <v>500</v>
      </c>
      <c r="AU336" s="60">
        <v>550</v>
      </c>
      <c r="AV336" s="60">
        <v>500</v>
      </c>
      <c r="AW336" s="60">
        <v>525</v>
      </c>
      <c r="AX336" s="60">
        <v>525</v>
      </c>
      <c r="AY336" s="60">
        <v>530</v>
      </c>
      <c r="AZ336" s="60">
        <v>550</v>
      </c>
      <c r="BA336" s="60">
        <v>550</v>
      </c>
      <c r="BB336" s="60">
        <v>595</v>
      </c>
      <c r="BC336" s="60">
        <v>580</v>
      </c>
      <c r="BD336" s="60">
        <v>570</v>
      </c>
      <c r="BE336" s="60">
        <v>600</v>
      </c>
      <c r="BF336" s="60">
        <v>600</v>
      </c>
      <c r="BG336" s="60">
        <v>620</v>
      </c>
      <c r="BH336" s="60">
        <v>615</v>
      </c>
    </row>
    <row r="337" spans="2:60" hidden="1" x14ac:dyDescent="0.2">
      <c r="B337" s="57"/>
      <c r="C337" s="57" t="s">
        <v>692</v>
      </c>
      <c r="D337" s="57" t="s">
        <v>652</v>
      </c>
      <c r="E337" s="58">
        <v>360</v>
      </c>
      <c r="F337" s="58">
        <v>370</v>
      </c>
      <c r="G337" s="58">
        <v>370</v>
      </c>
      <c r="H337" s="58">
        <v>380</v>
      </c>
      <c r="I337" s="58">
        <v>380</v>
      </c>
      <c r="J337" s="58">
        <v>380</v>
      </c>
      <c r="K337" s="58">
        <v>380</v>
      </c>
      <c r="L337" s="58">
        <v>380</v>
      </c>
      <c r="M337" s="58">
        <v>395</v>
      </c>
      <c r="N337" s="58">
        <v>395</v>
      </c>
      <c r="O337" s="58">
        <v>400</v>
      </c>
      <c r="P337" s="58">
        <v>410</v>
      </c>
      <c r="Q337" s="58">
        <v>420</v>
      </c>
      <c r="R337" s="58">
        <v>415</v>
      </c>
      <c r="S337" s="58">
        <v>420</v>
      </c>
      <c r="T337" s="58">
        <v>420</v>
      </c>
      <c r="U337" s="58">
        <v>430</v>
      </c>
      <c r="V337" s="58">
        <v>430</v>
      </c>
      <c r="W337" s="58">
        <v>440</v>
      </c>
      <c r="X337" s="58">
        <v>440</v>
      </c>
      <c r="Y337" s="58">
        <v>435</v>
      </c>
      <c r="Z337" s="58">
        <v>440</v>
      </c>
      <c r="AA337" s="58">
        <v>440</v>
      </c>
      <c r="AB337" s="58">
        <v>450</v>
      </c>
      <c r="AC337" s="58">
        <v>450</v>
      </c>
      <c r="AD337" s="58">
        <v>450</v>
      </c>
      <c r="AE337" s="58">
        <v>450</v>
      </c>
      <c r="AF337" s="58">
        <v>450</v>
      </c>
      <c r="AG337" s="58">
        <v>450</v>
      </c>
      <c r="AH337" s="58">
        <v>460</v>
      </c>
      <c r="AI337" s="58">
        <v>450</v>
      </c>
      <c r="AJ337" s="58">
        <v>460</v>
      </c>
      <c r="AK337" s="58">
        <v>460</v>
      </c>
      <c r="AL337" s="58">
        <v>460</v>
      </c>
      <c r="AM337" s="58">
        <v>470</v>
      </c>
      <c r="AN337" s="58">
        <v>490</v>
      </c>
      <c r="AO337" s="58">
        <v>510</v>
      </c>
      <c r="AP337" s="58">
        <v>535</v>
      </c>
      <c r="AQ337" s="58">
        <v>550</v>
      </c>
      <c r="AR337" s="58">
        <v>560</v>
      </c>
      <c r="AS337" s="58">
        <v>595</v>
      </c>
      <c r="AT337" s="58">
        <v>600</v>
      </c>
      <c r="AU337" s="58">
        <v>600</v>
      </c>
      <c r="AV337" s="58">
        <v>630</v>
      </c>
      <c r="AW337" s="58">
        <v>650</v>
      </c>
      <c r="AX337" s="58">
        <v>640</v>
      </c>
      <c r="AY337" s="58">
        <v>640</v>
      </c>
      <c r="AZ337" s="58">
        <v>650</v>
      </c>
      <c r="BA337" s="58">
        <v>680</v>
      </c>
      <c r="BB337" s="58">
        <v>680</v>
      </c>
      <c r="BC337" s="58">
        <v>680</v>
      </c>
      <c r="BD337" s="58">
        <v>700</v>
      </c>
      <c r="BE337" s="58">
        <v>700</v>
      </c>
      <c r="BF337" s="58">
        <v>710</v>
      </c>
      <c r="BG337" s="58">
        <v>720</v>
      </c>
      <c r="BH337" s="58">
        <v>750</v>
      </c>
    </row>
    <row r="338" spans="2:60" hidden="1" x14ac:dyDescent="0.2">
      <c r="B338" s="59"/>
      <c r="C338" s="59" t="s">
        <v>692</v>
      </c>
      <c r="D338" s="59" t="s">
        <v>653</v>
      </c>
      <c r="E338" s="60">
        <v>440</v>
      </c>
      <c r="F338" s="60">
        <v>450</v>
      </c>
      <c r="G338" s="60">
        <v>440</v>
      </c>
      <c r="H338" s="60">
        <v>450</v>
      </c>
      <c r="I338" s="60">
        <v>450</v>
      </c>
      <c r="J338" s="60">
        <v>455</v>
      </c>
      <c r="K338" s="60">
        <v>450</v>
      </c>
      <c r="L338" s="60">
        <v>460</v>
      </c>
      <c r="M338" s="60">
        <v>475</v>
      </c>
      <c r="N338" s="60">
        <v>475</v>
      </c>
      <c r="O338" s="60">
        <v>480</v>
      </c>
      <c r="P338" s="60">
        <v>480</v>
      </c>
      <c r="Q338" s="60">
        <v>490</v>
      </c>
      <c r="R338" s="60">
        <v>495</v>
      </c>
      <c r="S338" s="60">
        <v>495</v>
      </c>
      <c r="T338" s="60">
        <v>495</v>
      </c>
      <c r="U338" s="60">
        <v>500</v>
      </c>
      <c r="V338" s="60">
        <v>495</v>
      </c>
      <c r="W338" s="60">
        <v>500</v>
      </c>
      <c r="X338" s="60">
        <v>500</v>
      </c>
      <c r="Y338" s="60">
        <v>500</v>
      </c>
      <c r="Z338" s="60">
        <v>500</v>
      </c>
      <c r="AA338" s="60">
        <v>500</v>
      </c>
      <c r="AB338" s="60">
        <v>515</v>
      </c>
      <c r="AC338" s="60">
        <v>525</v>
      </c>
      <c r="AD338" s="60">
        <v>520</v>
      </c>
      <c r="AE338" s="60">
        <v>525</v>
      </c>
      <c r="AF338" s="60">
        <v>520</v>
      </c>
      <c r="AG338" s="60">
        <v>530</v>
      </c>
      <c r="AH338" s="60">
        <v>535</v>
      </c>
      <c r="AI338" s="60">
        <v>525</v>
      </c>
      <c r="AJ338" s="60">
        <v>540</v>
      </c>
      <c r="AK338" s="60">
        <v>535</v>
      </c>
      <c r="AL338" s="60">
        <v>530</v>
      </c>
      <c r="AM338" s="60">
        <v>540</v>
      </c>
      <c r="AN338" s="60">
        <v>565</v>
      </c>
      <c r="AO338" s="60">
        <v>600</v>
      </c>
      <c r="AP338" s="60">
        <v>630</v>
      </c>
      <c r="AQ338" s="60">
        <v>650</v>
      </c>
      <c r="AR338" s="60">
        <v>660</v>
      </c>
      <c r="AS338" s="60">
        <v>700</v>
      </c>
      <c r="AT338" s="60">
        <v>710</v>
      </c>
      <c r="AU338" s="60">
        <v>700</v>
      </c>
      <c r="AV338" s="60">
        <v>730</v>
      </c>
      <c r="AW338" s="60">
        <v>750</v>
      </c>
      <c r="AX338" s="60">
        <v>720</v>
      </c>
      <c r="AY338" s="60">
        <v>720</v>
      </c>
      <c r="AZ338" s="60">
        <v>740</v>
      </c>
      <c r="BA338" s="60">
        <v>770</v>
      </c>
      <c r="BB338" s="60">
        <v>780</v>
      </c>
      <c r="BC338" s="60">
        <v>780</v>
      </c>
      <c r="BD338" s="60">
        <v>800</v>
      </c>
      <c r="BE338" s="60">
        <v>800</v>
      </c>
      <c r="BF338" s="60">
        <v>825</v>
      </c>
      <c r="BG338" s="60">
        <v>835</v>
      </c>
      <c r="BH338" s="60">
        <v>850</v>
      </c>
    </row>
    <row r="339" spans="2:60" hidden="1" x14ac:dyDescent="0.2">
      <c r="B339" s="57"/>
      <c r="C339" s="57" t="s">
        <v>692</v>
      </c>
      <c r="D339" s="57" t="s">
        <v>654</v>
      </c>
      <c r="E339" s="58">
        <v>300</v>
      </c>
      <c r="F339" s="58">
        <v>305</v>
      </c>
      <c r="G339" s="58">
        <v>300</v>
      </c>
      <c r="H339" s="58">
        <v>310</v>
      </c>
      <c r="I339" s="58">
        <v>320</v>
      </c>
      <c r="J339" s="58">
        <v>315</v>
      </c>
      <c r="K339" s="58">
        <v>310</v>
      </c>
      <c r="L339" s="58">
        <v>330</v>
      </c>
      <c r="M339" s="58">
        <v>320</v>
      </c>
      <c r="N339" s="58">
        <v>300</v>
      </c>
      <c r="O339" s="58">
        <v>315</v>
      </c>
      <c r="P339" s="58">
        <v>335</v>
      </c>
      <c r="Q339" s="58">
        <v>340</v>
      </c>
      <c r="R339" s="58">
        <v>350</v>
      </c>
      <c r="S339" s="58">
        <v>350</v>
      </c>
      <c r="T339" s="58">
        <v>350</v>
      </c>
      <c r="U339" s="58">
        <v>350</v>
      </c>
      <c r="V339" s="58">
        <v>345</v>
      </c>
      <c r="W339" s="58">
        <v>350</v>
      </c>
      <c r="X339" s="58">
        <v>380</v>
      </c>
      <c r="Y339" s="58">
        <v>350</v>
      </c>
      <c r="Z339" s="58">
        <v>360</v>
      </c>
      <c r="AA339" s="58">
        <v>360</v>
      </c>
      <c r="AB339" s="58">
        <v>370</v>
      </c>
      <c r="AC339" s="58">
        <v>380</v>
      </c>
      <c r="AD339" s="58">
        <v>380</v>
      </c>
      <c r="AE339" s="58">
        <v>375</v>
      </c>
      <c r="AF339" s="58">
        <v>380</v>
      </c>
      <c r="AG339" s="58">
        <v>380</v>
      </c>
      <c r="AH339" s="58">
        <v>375</v>
      </c>
      <c r="AI339" s="58">
        <v>380</v>
      </c>
      <c r="AJ339" s="58">
        <v>370</v>
      </c>
      <c r="AK339" s="58">
        <v>385</v>
      </c>
      <c r="AL339" s="58">
        <v>380</v>
      </c>
      <c r="AM339" s="58">
        <v>400</v>
      </c>
      <c r="AN339" s="58">
        <v>425</v>
      </c>
      <c r="AO339" s="58">
        <v>440</v>
      </c>
      <c r="AP339" s="58">
        <v>445</v>
      </c>
      <c r="AQ339" s="58">
        <v>470</v>
      </c>
      <c r="AR339" s="58">
        <v>460</v>
      </c>
      <c r="AS339" s="58">
        <v>475</v>
      </c>
      <c r="AT339" s="58">
        <v>495</v>
      </c>
      <c r="AU339" s="58">
        <v>520</v>
      </c>
      <c r="AV339" s="58">
        <v>500</v>
      </c>
      <c r="AW339" s="58">
        <v>550</v>
      </c>
      <c r="AX339" s="58">
        <v>550</v>
      </c>
      <c r="AY339" s="58">
        <v>550</v>
      </c>
      <c r="AZ339" s="58">
        <v>550</v>
      </c>
      <c r="BA339" s="58">
        <v>570</v>
      </c>
      <c r="BB339" s="58">
        <v>580</v>
      </c>
      <c r="BC339" s="58">
        <v>570</v>
      </c>
      <c r="BD339" s="58">
        <v>615</v>
      </c>
      <c r="BE339" s="58">
        <v>600</v>
      </c>
      <c r="BF339" s="58">
        <v>605</v>
      </c>
      <c r="BG339" s="58">
        <v>625</v>
      </c>
      <c r="BH339" s="58">
        <v>650</v>
      </c>
    </row>
    <row r="340" spans="2:60" hidden="1" x14ac:dyDescent="0.2">
      <c r="B340" s="59"/>
      <c r="C340" s="59" t="s">
        <v>692</v>
      </c>
      <c r="D340" s="59" t="s">
        <v>655</v>
      </c>
      <c r="E340" s="60">
        <v>355</v>
      </c>
      <c r="F340" s="60">
        <v>360</v>
      </c>
      <c r="G340" s="60">
        <v>360</v>
      </c>
      <c r="H340" s="60">
        <v>360</v>
      </c>
      <c r="I340" s="60">
        <v>375</v>
      </c>
      <c r="J340" s="60">
        <v>370</v>
      </c>
      <c r="K340" s="60">
        <v>370</v>
      </c>
      <c r="L340" s="60">
        <v>370</v>
      </c>
      <c r="M340" s="60">
        <v>365</v>
      </c>
      <c r="N340" s="60">
        <v>380</v>
      </c>
      <c r="O340" s="60">
        <v>390</v>
      </c>
      <c r="P340" s="60">
        <v>400</v>
      </c>
      <c r="Q340" s="60">
        <v>400</v>
      </c>
      <c r="R340" s="60">
        <v>400</v>
      </c>
      <c r="S340" s="60">
        <v>410</v>
      </c>
      <c r="T340" s="60">
        <v>405</v>
      </c>
      <c r="U340" s="60">
        <v>410</v>
      </c>
      <c r="V340" s="60">
        <v>410</v>
      </c>
      <c r="W340" s="60">
        <v>420</v>
      </c>
      <c r="X340" s="60">
        <v>415</v>
      </c>
      <c r="Y340" s="60">
        <v>420</v>
      </c>
      <c r="Z340" s="60">
        <v>420</v>
      </c>
      <c r="AA340" s="60">
        <v>420</v>
      </c>
      <c r="AB340" s="60">
        <v>425</v>
      </c>
      <c r="AC340" s="60">
        <v>430</v>
      </c>
      <c r="AD340" s="60">
        <v>435</v>
      </c>
      <c r="AE340" s="60">
        <v>430</v>
      </c>
      <c r="AF340" s="60">
        <v>430</v>
      </c>
      <c r="AG340" s="60">
        <v>435</v>
      </c>
      <c r="AH340" s="60">
        <v>430</v>
      </c>
      <c r="AI340" s="60">
        <v>440</v>
      </c>
      <c r="AJ340" s="60">
        <v>450</v>
      </c>
      <c r="AK340" s="60">
        <v>450</v>
      </c>
      <c r="AL340" s="60">
        <v>435</v>
      </c>
      <c r="AM340" s="60">
        <v>450</v>
      </c>
      <c r="AN340" s="60">
        <v>460</v>
      </c>
      <c r="AO340" s="60">
        <v>500</v>
      </c>
      <c r="AP340" s="60">
        <v>520</v>
      </c>
      <c r="AQ340" s="60">
        <v>525</v>
      </c>
      <c r="AR340" s="60">
        <v>530</v>
      </c>
      <c r="AS340" s="60">
        <v>550</v>
      </c>
      <c r="AT340" s="60">
        <v>575</v>
      </c>
      <c r="AU340" s="60">
        <v>580</v>
      </c>
      <c r="AV340" s="60">
        <v>580</v>
      </c>
      <c r="AW340" s="60">
        <v>600</v>
      </c>
      <c r="AX340" s="60">
        <v>600</v>
      </c>
      <c r="AY340" s="60">
        <v>600</v>
      </c>
      <c r="AZ340" s="60">
        <v>625</v>
      </c>
      <c r="BA340" s="60">
        <v>650</v>
      </c>
      <c r="BB340" s="60">
        <v>650</v>
      </c>
      <c r="BC340" s="60">
        <v>650</v>
      </c>
      <c r="BD340" s="60">
        <v>670</v>
      </c>
      <c r="BE340" s="60">
        <v>685</v>
      </c>
      <c r="BF340" s="60">
        <v>700</v>
      </c>
      <c r="BG340" s="60">
        <v>700</v>
      </c>
      <c r="BH340" s="60">
        <v>750</v>
      </c>
    </row>
    <row r="341" spans="2:60" hidden="1" x14ac:dyDescent="0.2">
      <c r="B341" s="57"/>
      <c r="C341" s="57" t="s">
        <v>692</v>
      </c>
      <c r="D341" s="57" t="s">
        <v>656</v>
      </c>
      <c r="E341" s="58">
        <v>340</v>
      </c>
      <c r="F341" s="58">
        <v>360</v>
      </c>
      <c r="G341" s="58">
        <v>350</v>
      </c>
      <c r="H341" s="58">
        <v>365</v>
      </c>
      <c r="I341" s="58">
        <v>350</v>
      </c>
      <c r="J341" s="58">
        <v>370</v>
      </c>
      <c r="K341" s="58">
        <v>360</v>
      </c>
      <c r="L341" s="58">
        <v>375</v>
      </c>
      <c r="M341" s="58">
        <v>350</v>
      </c>
      <c r="N341" s="58">
        <v>380</v>
      </c>
      <c r="O341" s="58">
        <v>360</v>
      </c>
      <c r="P341" s="58">
        <v>390</v>
      </c>
      <c r="Q341" s="58">
        <v>370</v>
      </c>
      <c r="R341" s="58">
        <v>400</v>
      </c>
      <c r="S341" s="58">
        <v>393</v>
      </c>
      <c r="T341" s="58">
        <v>410</v>
      </c>
      <c r="U341" s="58">
        <v>390</v>
      </c>
      <c r="V341" s="58">
        <v>410</v>
      </c>
      <c r="W341" s="58">
        <v>380</v>
      </c>
      <c r="X341" s="58">
        <v>420</v>
      </c>
      <c r="Y341" s="58">
        <v>400</v>
      </c>
      <c r="Z341" s="58">
        <v>420</v>
      </c>
      <c r="AA341" s="58">
        <v>410</v>
      </c>
      <c r="AB341" s="58">
        <v>430</v>
      </c>
      <c r="AC341" s="58">
        <v>420</v>
      </c>
      <c r="AD341" s="58">
        <v>430</v>
      </c>
      <c r="AE341" s="58">
        <v>420</v>
      </c>
      <c r="AF341" s="58">
        <v>440</v>
      </c>
      <c r="AG341" s="58">
        <v>420</v>
      </c>
      <c r="AH341" s="58">
        <v>440</v>
      </c>
      <c r="AI341" s="58">
        <v>430</v>
      </c>
      <c r="AJ341" s="58">
        <v>450</v>
      </c>
      <c r="AK341" s="58">
        <v>430</v>
      </c>
      <c r="AL341" s="58">
        <v>435</v>
      </c>
      <c r="AM341" s="58">
        <v>450</v>
      </c>
      <c r="AN341" s="58">
        <v>460</v>
      </c>
      <c r="AO341" s="58">
        <v>460</v>
      </c>
      <c r="AP341" s="58">
        <v>500</v>
      </c>
      <c r="AQ341" s="58">
        <v>515</v>
      </c>
      <c r="AR341" s="58">
        <v>550</v>
      </c>
      <c r="AS341" s="58">
        <v>550</v>
      </c>
      <c r="AT341" s="58">
        <v>575</v>
      </c>
      <c r="AU341" s="58">
        <v>580</v>
      </c>
      <c r="AV341" s="58">
        <v>600</v>
      </c>
      <c r="AW341" s="58">
        <v>590</v>
      </c>
      <c r="AX341" s="58">
        <v>600</v>
      </c>
      <c r="AY341" s="58">
        <v>600</v>
      </c>
      <c r="AZ341" s="58">
        <v>650</v>
      </c>
      <c r="BA341" s="58">
        <v>635</v>
      </c>
      <c r="BB341" s="58">
        <v>650</v>
      </c>
      <c r="BC341" s="58">
        <v>650</v>
      </c>
      <c r="BD341" s="58">
        <v>675</v>
      </c>
      <c r="BE341" s="58">
        <v>670</v>
      </c>
      <c r="BF341" s="58">
        <v>695</v>
      </c>
      <c r="BG341" s="58">
        <v>695</v>
      </c>
      <c r="BH341" s="58">
        <v>720</v>
      </c>
    </row>
    <row r="342" spans="2:60" hidden="1" x14ac:dyDescent="0.2">
      <c r="B342" s="59"/>
      <c r="C342" s="59" t="s">
        <v>693</v>
      </c>
      <c r="D342" s="59" t="s">
        <v>648</v>
      </c>
      <c r="E342" s="60">
        <v>140</v>
      </c>
      <c r="F342" s="60">
        <v>130</v>
      </c>
      <c r="G342" s="60">
        <v>140</v>
      </c>
      <c r="H342" s="60"/>
      <c r="I342" s="60">
        <v>132</v>
      </c>
      <c r="J342" s="60"/>
      <c r="K342" s="60"/>
      <c r="L342" s="60">
        <v>150</v>
      </c>
      <c r="M342" s="60"/>
      <c r="N342" s="60">
        <v>140</v>
      </c>
      <c r="O342" s="60">
        <v>160</v>
      </c>
      <c r="P342" s="60"/>
      <c r="Q342" s="60">
        <v>150</v>
      </c>
      <c r="R342" s="60">
        <v>150</v>
      </c>
      <c r="S342" s="60"/>
      <c r="T342" s="60"/>
      <c r="U342" s="60">
        <v>155</v>
      </c>
      <c r="V342" s="60">
        <v>157</v>
      </c>
      <c r="W342" s="60"/>
      <c r="X342" s="60">
        <v>168</v>
      </c>
      <c r="Y342" s="60">
        <v>167</v>
      </c>
      <c r="Z342" s="60"/>
      <c r="AA342" s="60">
        <v>160</v>
      </c>
      <c r="AB342" s="60"/>
      <c r="AC342" s="60"/>
      <c r="AD342" s="60"/>
      <c r="AE342" s="60"/>
      <c r="AF342" s="60"/>
      <c r="AG342" s="60">
        <v>210</v>
      </c>
      <c r="AH342" s="60"/>
      <c r="AI342" s="60"/>
      <c r="AJ342" s="60">
        <v>180</v>
      </c>
      <c r="AK342" s="60"/>
      <c r="AL342" s="60">
        <v>177</v>
      </c>
      <c r="AM342" s="60">
        <v>200</v>
      </c>
      <c r="AN342" s="60"/>
      <c r="AO342" s="60"/>
      <c r="AP342" s="60"/>
      <c r="AQ342" s="60"/>
      <c r="AR342" s="60"/>
      <c r="AS342" s="60"/>
      <c r="AT342" s="60"/>
      <c r="AU342" s="60">
        <v>250</v>
      </c>
      <c r="AV342" s="60"/>
      <c r="AW342" s="60"/>
      <c r="AX342" s="60"/>
      <c r="AY342" s="60">
        <v>259</v>
      </c>
      <c r="AZ342" s="60"/>
      <c r="BA342" s="60"/>
      <c r="BB342" s="60">
        <v>215</v>
      </c>
      <c r="BC342" s="60"/>
      <c r="BD342" s="60"/>
      <c r="BE342" s="60"/>
      <c r="BF342" s="60"/>
      <c r="BG342" s="60"/>
      <c r="BH342" s="60">
        <v>244</v>
      </c>
    </row>
    <row r="343" spans="2:60" hidden="1" x14ac:dyDescent="0.2">
      <c r="B343" s="57"/>
      <c r="C343" s="57" t="s">
        <v>693</v>
      </c>
      <c r="D343" s="57" t="s">
        <v>649</v>
      </c>
      <c r="E343" s="58">
        <v>200</v>
      </c>
      <c r="F343" s="58">
        <v>220</v>
      </c>
      <c r="G343" s="58">
        <v>210</v>
      </c>
      <c r="H343" s="58">
        <v>210</v>
      </c>
      <c r="I343" s="58">
        <v>220</v>
      </c>
      <c r="J343" s="58">
        <v>205</v>
      </c>
      <c r="K343" s="58">
        <v>210</v>
      </c>
      <c r="L343" s="58">
        <v>230</v>
      </c>
      <c r="M343" s="58">
        <v>210</v>
      </c>
      <c r="N343" s="58">
        <v>225</v>
      </c>
      <c r="O343" s="58">
        <v>230</v>
      </c>
      <c r="P343" s="58">
        <v>230</v>
      </c>
      <c r="Q343" s="58">
        <v>230</v>
      </c>
      <c r="R343" s="58">
        <v>230</v>
      </c>
      <c r="S343" s="58">
        <v>240</v>
      </c>
      <c r="T343" s="58">
        <v>220</v>
      </c>
      <c r="U343" s="58">
        <v>220</v>
      </c>
      <c r="V343" s="58">
        <v>220</v>
      </c>
      <c r="W343" s="58">
        <v>260</v>
      </c>
      <c r="X343" s="58">
        <v>230</v>
      </c>
      <c r="Y343" s="58">
        <v>230</v>
      </c>
      <c r="Z343" s="58">
        <v>230</v>
      </c>
      <c r="AA343" s="58">
        <v>220</v>
      </c>
      <c r="AB343" s="58">
        <v>235</v>
      </c>
      <c r="AC343" s="58">
        <v>240</v>
      </c>
      <c r="AD343" s="58">
        <v>240</v>
      </c>
      <c r="AE343" s="58">
        <v>220</v>
      </c>
      <c r="AF343" s="58">
        <v>230</v>
      </c>
      <c r="AG343" s="58">
        <v>240</v>
      </c>
      <c r="AH343" s="58">
        <v>230</v>
      </c>
      <c r="AI343" s="58">
        <v>250</v>
      </c>
      <c r="AJ343" s="58">
        <v>240</v>
      </c>
      <c r="AK343" s="58">
        <v>250</v>
      </c>
      <c r="AL343" s="58">
        <v>220</v>
      </c>
      <c r="AM343" s="58">
        <v>240</v>
      </c>
      <c r="AN343" s="58">
        <v>260</v>
      </c>
      <c r="AO343" s="58">
        <v>260</v>
      </c>
      <c r="AP343" s="58">
        <v>260</v>
      </c>
      <c r="AQ343" s="58">
        <v>260</v>
      </c>
      <c r="AR343" s="58">
        <v>260</v>
      </c>
      <c r="AS343" s="58">
        <v>260</v>
      </c>
      <c r="AT343" s="58">
        <v>270</v>
      </c>
      <c r="AU343" s="58">
        <v>280</v>
      </c>
      <c r="AV343" s="58">
        <v>300</v>
      </c>
      <c r="AW343" s="58">
        <v>280</v>
      </c>
      <c r="AX343" s="58">
        <v>310</v>
      </c>
      <c r="AY343" s="58">
        <v>300</v>
      </c>
      <c r="AZ343" s="58">
        <v>300</v>
      </c>
      <c r="BA343" s="58">
        <v>330</v>
      </c>
      <c r="BB343" s="58">
        <v>320</v>
      </c>
      <c r="BC343" s="58">
        <v>350</v>
      </c>
      <c r="BD343" s="58">
        <v>320</v>
      </c>
      <c r="BE343" s="58">
        <v>380</v>
      </c>
      <c r="BF343" s="58">
        <v>340</v>
      </c>
      <c r="BG343" s="58">
        <v>340</v>
      </c>
      <c r="BH343" s="58">
        <v>360</v>
      </c>
    </row>
    <row r="344" spans="2:60" hidden="1" x14ac:dyDescent="0.2">
      <c r="B344" s="59"/>
      <c r="C344" s="59" t="s">
        <v>693</v>
      </c>
      <c r="D344" s="59" t="s">
        <v>650</v>
      </c>
      <c r="E344" s="60"/>
      <c r="F344" s="60"/>
      <c r="G344" s="60"/>
      <c r="H344" s="60"/>
      <c r="I344" s="60"/>
      <c r="J344" s="60"/>
      <c r="K344" s="60"/>
      <c r="L344" s="60"/>
      <c r="M344" s="60"/>
      <c r="N344" s="60"/>
      <c r="O344" s="60"/>
      <c r="P344" s="60"/>
      <c r="Q344" s="60"/>
      <c r="R344" s="60"/>
      <c r="S344" s="60">
        <v>250</v>
      </c>
      <c r="T344" s="60">
        <v>275</v>
      </c>
      <c r="U344" s="60"/>
      <c r="V344" s="60">
        <v>260</v>
      </c>
      <c r="W344" s="60"/>
      <c r="X344" s="60">
        <v>280</v>
      </c>
      <c r="Y344" s="60">
        <v>290</v>
      </c>
      <c r="Z344" s="60"/>
      <c r="AA344" s="60"/>
      <c r="AB344" s="60"/>
      <c r="AC344" s="60"/>
      <c r="AD344" s="60"/>
      <c r="AE344" s="60"/>
      <c r="AF344" s="60"/>
      <c r="AG344" s="60">
        <v>300</v>
      </c>
      <c r="AH344" s="60"/>
      <c r="AI344" s="60"/>
      <c r="AJ344" s="60"/>
      <c r="AK344" s="60"/>
      <c r="AL344" s="60"/>
      <c r="AM344" s="60"/>
      <c r="AN344" s="60"/>
      <c r="AO344" s="60">
        <v>310</v>
      </c>
      <c r="AP344" s="60"/>
      <c r="AQ344" s="60"/>
      <c r="AR344" s="60">
        <v>320</v>
      </c>
      <c r="AS344" s="60"/>
      <c r="AT344" s="60"/>
      <c r="AU344" s="60"/>
      <c r="AV344" s="60"/>
      <c r="AW344" s="60"/>
      <c r="AX344" s="60"/>
      <c r="AY344" s="60">
        <v>370</v>
      </c>
      <c r="AZ344" s="60"/>
      <c r="BA344" s="60"/>
      <c r="BB344" s="60"/>
      <c r="BC344" s="60"/>
      <c r="BD344" s="60"/>
      <c r="BE344" s="60"/>
      <c r="BF344" s="60">
        <v>360</v>
      </c>
      <c r="BG344" s="60"/>
      <c r="BH344" s="60"/>
    </row>
    <row r="345" spans="2:60" hidden="1" x14ac:dyDescent="0.2">
      <c r="B345" s="57"/>
      <c r="C345" s="57" t="s">
        <v>693</v>
      </c>
      <c r="D345" s="57" t="s">
        <v>651</v>
      </c>
      <c r="E345" s="58">
        <v>250</v>
      </c>
      <c r="F345" s="58">
        <v>230</v>
      </c>
      <c r="G345" s="58">
        <v>240</v>
      </c>
      <c r="H345" s="58">
        <v>230</v>
      </c>
      <c r="I345" s="58">
        <v>220</v>
      </c>
      <c r="J345" s="58">
        <v>230</v>
      </c>
      <c r="K345" s="58">
        <v>245</v>
      </c>
      <c r="L345" s="58">
        <v>250</v>
      </c>
      <c r="M345" s="58">
        <v>250</v>
      </c>
      <c r="N345" s="58">
        <v>240</v>
      </c>
      <c r="O345" s="58">
        <v>240</v>
      </c>
      <c r="P345" s="58">
        <v>250</v>
      </c>
      <c r="Q345" s="58">
        <v>260</v>
      </c>
      <c r="R345" s="58">
        <v>250</v>
      </c>
      <c r="S345" s="58">
        <v>250</v>
      </c>
      <c r="T345" s="58">
        <v>260</v>
      </c>
      <c r="U345" s="58">
        <v>250</v>
      </c>
      <c r="V345" s="58">
        <v>250</v>
      </c>
      <c r="W345" s="58"/>
      <c r="X345" s="58">
        <v>260</v>
      </c>
      <c r="Y345" s="58">
        <v>250</v>
      </c>
      <c r="Z345" s="58">
        <v>250</v>
      </c>
      <c r="AA345" s="58">
        <v>275</v>
      </c>
      <c r="AB345" s="58">
        <v>250</v>
      </c>
      <c r="AC345" s="58">
        <v>250</v>
      </c>
      <c r="AD345" s="58">
        <v>250</v>
      </c>
      <c r="AE345" s="58">
        <v>250</v>
      </c>
      <c r="AF345" s="58">
        <v>270</v>
      </c>
      <c r="AG345" s="58">
        <v>260</v>
      </c>
      <c r="AH345" s="58">
        <v>260</v>
      </c>
      <c r="AI345" s="58">
        <v>270</v>
      </c>
      <c r="AJ345" s="58">
        <v>260</v>
      </c>
      <c r="AK345" s="58">
        <v>270</v>
      </c>
      <c r="AL345" s="58">
        <v>260</v>
      </c>
      <c r="AM345" s="58">
        <v>280</v>
      </c>
      <c r="AN345" s="58">
        <v>290</v>
      </c>
      <c r="AO345" s="58">
        <v>260</v>
      </c>
      <c r="AP345" s="58">
        <v>290</v>
      </c>
      <c r="AQ345" s="58"/>
      <c r="AR345" s="58">
        <v>290</v>
      </c>
      <c r="AS345" s="58">
        <v>280</v>
      </c>
      <c r="AT345" s="58">
        <v>300</v>
      </c>
      <c r="AU345" s="58"/>
      <c r="AV345" s="58"/>
      <c r="AW345" s="58"/>
      <c r="AX345" s="58"/>
      <c r="AY345" s="58">
        <v>330</v>
      </c>
      <c r="AZ345" s="58"/>
      <c r="BA345" s="58">
        <v>330</v>
      </c>
      <c r="BB345" s="58"/>
      <c r="BC345" s="58"/>
      <c r="BD345" s="58">
        <v>350</v>
      </c>
      <c r="BE345" s="58"/>
      <c r="BF345" s="58">
        <v>400</v>
      </c>
      <c r="BG345" s="58"/>
      <c r="BH345" s="58">
        <v>385</v>
      </c>
    </row>
    <row r="346" spans="2:60" hidden="1" x14ac:dyDescent="0.2">
      <c r="B346" s="59"/>
      <c r="C346" s="59" t="s">
        <v>693</v>
      </c>
      <c r="D346" s="59" t="s">
        <v>652</v>
      </c>
      <c r="E346" s="60">
        <v>275</v>
      </c>
      <c r="F346" s="60">
        <v>280</v>
      </c>
      <c r="G346" s="60">
        <v>280</v>
      </c>
      <c r="H346" s="60">
        <v>280</v>
      </c>
      <c r="I346" s="60">
        <v>280</v>
      </c>
      <c r="J346" s="60">
        <v>280</v>
      </c>
      <c r="K346" s="60">
        <v>285</v>
      </c>
      <c r="L346" s="60">
        <v>290</v>
      </c>
      <c r="M346" s="60">
        <v>280</v>
      </c>
      <c r="N346" s="60">
        <v>295</v>
      </c>
      <c r="O346" s="60">
        <v>290</v>
      </c>
      <c r="P346" s="60">
        <v>290</v>
      </c>
      <c r="Q346" s="60">
        <v>290</v>
      </c>
      <c r="R346" s="60">
        <v>290</v>
      </c>
      <c r="S346" s="60">
        <v>290</v>
      </c>
      <c r="T346" s="60">
        <v>290</v>
      </c>
      <c r="U346" s="60">
        <v>290</v>
      </c>
      <c r="V346" s="60">
        <v>295</v>
      </c>
      <c r="W346" s="60">
        <v>290</v>
      </c>
      <c r="X346" s="60">
        <v>300</v>
      </c>
      <c r="Y346" s="60">
        <v>300</v>
      </c>
      <c r="Z346" s="60">
        <v>300</v>
      </c>
      <c r="AA346" s="60">
        <v>300</v>
      </c>
      <c r="AB346" s="60">
        <v>300</v>
      </c>
      <c r="AC346" s="60">
        <v>300</v>
      </c>
      <c r="AD346" s="60">
        <v>310</v>
      </c>
      <c r="AE346" s="60">
        <v>310</v>
      </c>
      <c r="AF346" s="60">
        <v>310</v>
      </c>
      <c r="AG346" s="60">
        <v>310</v>
      </c>
      <c r="AH346" s="60">
        <v>300</v>
      </c>
      <c r="AI346" s="60">
        <v>320</v>
      </c>
      <c r="AJ346" s="60">
        <v>320</v>
      </c>
      <c r="AK346" s="60">
        <v>300</v>
      </c>
      <c r="AL346" s="60">
        <v>330</v>
      </c>
      <c r="AM346" s="60">
        <v>330</v>
      </c>
      <c r="AN346" s="60">
        <v>330</v>
      </c>
      <c r="AO346" s="60">
        <v>330</v>
      </c>
      <c r="AP346" s="60">
        <v>340</v>
      </c>
      <c r="AQ346" s="60">
        <v>370</v>
      </c>
      <c r="AR346" s="60">
        <v>350</v>
      </c>
      <c r="AS346" s="60">
        <v>370</v>
      </c>
      <c r="AT346" s="60">
        <v>360</v>
      </c>
      <c r="AU346" s="60">
        <v>390</v>
      </c>
      <c r="AV346" s="60">
        <v>390</v>
      </c>
      <c r="AW346" s="60">
        <v>400</v>
      </c>
      <c r="AX346" s="60">
        <v>410</v>
      </c>
      <c r="AY346" s="60">
        <v>400</v>
      </c>
      <c r="AZ346" s="60">
        <v>410</v>
      </c>
      <c r="BA346" s="60">
        <v>420</v>
      </c>
      <c r="BB346" s="60">
        <v>450</v>
      </c>
      <c r="BC346" s="60">
        <v>450</v>
      </c>
      <c r="BD346" s="60">
        <v>450</v>
      </c>
      <c r="BE346" s="60">
        <v>450</v>
      </c>
      <c r="BF346" s="60">
        <v>450</v>
      </c>
      <c r="BG346" s="60">
        <v>450</v>
      </c>
      <c r="BH346" s="60">
        <v>470</v>
      </c>
    </row>
    <row r="347" spans="2:60" hidden="1" x14ac:dyDescent="0.2">
      <c r="B347" s="57"/>
      <c r="C347" s="57" t="s">
        <v>693</v>
      </c>
      <c r="D347" s="57" t="s">
        <v>653</v>
      </c>
      <c r="E347" s="58">
        <v>320</v>
      </c>
      <c r="F347" s="58">
        <v>350</v>
      </c>
      <c r="G347" s="58">
        <v>350</v>
      </c>
      <c r="H347" s="58">
        <v>310</v>
      </c>
      <c r="I347" s="58">
        <v>330</v>
      </c>
      <c r="J347" s="58">
        <v>320</v>
      </c>
      <c r="K347" s="58">
        <v>300</v>
      </c>
      <c r="L347" s="58">
        <v>350</v>
      </c>
      <c r="M347" s="58">
        <v>350</v>
      </c>
      <c r="N347" s="58">
        <v>335</v>
      </c>
      <c r="O347" s="58">
        <v>340</v>
      </c>
      <c r="P347" s="58">
        <v>340</v>
      </c>
      <c r="Q347" s="58">
        <v>350</v>
      </c>
      <c r="R347" s="58">
        <v>360</v>
      </c>
      <c r="S347" s="58">
        <v>350</v>
      </c>
      <c r="T347" s="58">
        <v>350</v>
      </c>
      <c r="U347" s="58">
        <v>350</v>
      </c>
      <c r="V347" s="58">
        <v>350</v>
      </c>
      <c r="W347" s="58"/>
      <c r="X347" s="58">
        <v>350</v>
      </c>
      <c r="Y347" s="58">
        <v>370</v>
      </c>
      <c r="Z347" s="58">
        <v>350</v>
      </c>
      <c r="AA347" s="58">
        <v>350</v>
      </c>
      <c r="AB347" s="58">
        <v>370</v>
      </c>
      <c r="AC347" s="58">
        <v>380</v>
      </c>
      <c r="AD347" s="58">
        <v>370</v>
      </c>
      <c r="AE347" s="58">
        <v>350</v>
      </c>
      <c r="AF347" s="58">
        <v>380</v>
      </c>
      <c r="AG347" s="58">
        <v>380</v>
      </c>
      <c r="AH347" s="58">
        <v>380</v>
      </c>
      <c r="AI347" s="58">
        <v>380</v>
      </c>
      <c r="AJ347" s="58">
        <v>380</v>
      </c>
      <c r="AK347" s="58">
        <v>375</v>
      </c>
      <c r="AL347" s="58">
        <v>370</v>
      </c>
      <c r="AM347" s="58">
        <v>400</v>
      </c>
      <c r="AN347" s="58">
        <v>395</v>
      </c>
      <c r="AO347" s="58">
        <v>400</v>
      </c>
      <c r="AP347" s="58">
        <v>400</v>
      </c>
      <c r="AQ347" s="58">
        <v>400</v>
      </c>
      <c r="AR347" s="58">
        <v>410</v>
      </c>
      <c r="AS347" s="58">
        <v>410</v>
      </c>
      <c r="AT347" s="58">
        <v>425</v>
      </c>
      <c r="AU347" s="58">
        <v>450</v>
      </c>
      <c r="AV347" s="58">
        <v>450</v>
      </c>
      <c r="AW347" s="58">
        <v>450</v>
      </c>
      <c r="AX347" s="58">
        <v>450</v>
      </c>
      <c r="AY347" s="58">
        <v>500</v>
      </c>
      <c r="AZ347" s="58">
        <v>500</v>
      </c>
      <c r="BA347" s="58">
        <v>510</v>
      </c>
      <c r="BB347" s="58">
        <v>550</v>
      </c>
      <c r="BC347" s="58">
        <v>550</v>
      </c>
      <c r="BD347" s="58">
        <v>540</v>
      </c>
      <c r="BE347" s="58">
        <v>550</v>
      </c>
      <c r="BF347" s="58">
        <v>520</v>
      </c>
      <c r="BG347" s="58">
        <v>550</v>
      </c>
      <c r="BH347" s="58">
        <v>600</v>
      </c>
    </row>
    <row r="348" spans="2:60" hidden="1" x14ac:dyDescent="0.2">
      <c r="B348" s="59"/>
      <c r="C348" s="59" t="s">
        <v>693</v>
      </c>
      <c r="D348" s="59" t="s">
        <v>654</v>
      </c>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0"/>
      <c r="BG348" s="60"/>
      <c r="BH348" s="60"/>
    </row>
    <row r="349" spans="2:60" hidden="1" x14ac:dyDescent="0.2">
      <c r="B349" s="57"/>
      <c r="C349" s="57" t="s">
        <v>693</v>
      </c>
      <c r="D349" s="57" t="s">
        <v>655</v>
      </c>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row>
    <row r="350" spans="2:60" hidden="1" x14ac:dyDescent="0.2">
      <c r="B350" s="59"/>
      <c r="C350" s="59" t="s">
        <v>693</v>
      </c>
      <c r="D350" s="59" t="s">
        <v>656</v>
      </c>
      <c r="E350" s="60">
        <v>260</v>
      </c>
      <c r="F350" s="60">
        <v>270</v>
      </c>
      <c r="G350" s="60">
        <v>250</v>
      </c>
      <c r="H350" s="60">
        <v>255</v>
      </c>
      <c r="I350" s="60">
        <v>265</v>
      </c>
      <c r="J350" s="60">
        <v>250</v>
      </c>
      <c r="K350" s="60">
        <v>270</v>
      </c>
      <c r="L350" s="60">
        <v>265</v>
      </c>
      <c r="M350" s="60">
        <v>260</v>
      </c>
      <c r="N350" s="60">
        <v>270</v>
      </c>
      <c r="O350" s="60">
        <v>280</v>
      </c>
      <c r="P350" s="60">
        <v>280</v>
      </c>
      <c r="Q350" s="60">
        <v>280</v>
      </c>
      <c r="R350" s="60">
        <v>280</v>
      </c>
      <c r="S350" s="60">
        <v>280</v>
      </c>
      <c r="T350" s="60">
        <v>280</v>
      </c>
      <c r="U350" s="60">
        <v>280</v>
      </c>
      <c r="V350" s="60">
        <v>280</v>
      </c>
      <c r="W350" s="60">
        <v>280</v>
      </c>
      <c r="X350" s="60">
        <v>280</v>
      </c>
      <c r="Y350" s="60">
        <v>280</v>
      </c>
      <c r="Z350" s="60">
        <v>290</v>
      </c>
      <c r="AA350" s="60">
        <v>295</v>
      </c>
      <c r="AB350" s="60">
        <v>290</v>
      </c>
      <c r="AC350" s="60">
        <v>295</v>
      </c>
      <c r="AD350" s="60">
        <v>300</v>
      </c>
      <c r="AE350" s="60">
        <v>295</v>
      </c>
      <c r="AF350" s="60">
        <v>290</v>
      </c>
      <c r="AG350" s="60">
        <v>300</v>
      </c>
      <c r="AH350" s="60">
        <v>280</v>
      </c>
      <c r="AI350" s="60">
        <v>300</v>
      </c>
      <c r="AJ350" s="60">
        <v>300</v>
      </c>
      <c r="AK350" s="60">
        <v>300</v>
      </c>
      <c r="AL350" s="60">
        <v>295</v>
      </c>
      <c r="AM350" s="60">
        <v>300</v>
      </c>
      <c r="AN350" s="60">
        <v>310</v>
      </c>
      <c r="AO350" s="60">
        <v>300</v>
      </c>
      <c r="AP350" s="60">
        <v>320</v>
      </c>
      <c r="AQ350" s="60">
        <v>340</v>
      </c>
      <c r="AR350" s="60">
        <v>320</v>
      </c>
      <c r="AS350" s="60">
        <v>350</v>
      </c>
      <c r="AT350" s="60">
        <v>340</v>
      </c>
      <c r="AU350" s="60">
        <v>350</v>
      </c>
      <c r="AV350" s="60">
        <v>350</v>
      </c>
      <c r="AW350" s="60">
        <v>360</v>
      </c>
      <c r="AX350" s="60">
        <v>380</v>
      </c>
      <c r="AY350" s="60">
        <v>380</v>
      </c>
      <c r="AZ350" s="60">
        <v>380</v>
      </c>
      <c r="BA350" s="60">
        <v>395</v>
      </c>
      <c r="BB350" s="60">
        <v>370</v>
      </c>
      <c r="BC350" s="60">
        <v>420</v>
      </c>
      <c r="BD350" s="60">
        <v>420</v>
      </c>
      <c r="BE350" s="60">
        <v>430</v>
      </c>
      <c r="BF350" s="60">
        <v>400</v>
      </c>
      <c r="BG350" s="60">
        <v>410</v>
      </c>
      <c r="BH350" s="60">
        <v>440</v>
      </c>
    </row>
    <row r="351" spans="2:60" hidden="1" x14ac:dyDescent="0.2">
      <c r="B351" s="57"/>
      <c r="C351" s="57" t="s">
        <v>694</v>
      </c>
      <c r="D351" s="57" t="s">
        <v>648</v>
      </c>
      <c r="E351" s="58">
        <v>165</v>
      </c>
      <c r="F351" s="58">
        <v>170</v>
      </c>
      <c r="G351" s="58">
        <v>165</v>
      </c>
      <c r="H351" s="58">
        <v>170</v>
      </c>
      <c r="I351" s="58">
        <v>170</v>
      </c>
      <c r="J351" s="58">
        <v>175</v>
      </c>
      <c r="K351" s="58">
        <v>165</v>
      </c>
      <c r="L351" s="58">
        <v>175</v>
      </c>
      <c r="M351" s="58">
        <v>180</v>
      </c>
      <c r="N351" s="58">
        <v>180</v>
      </c>
      <c r="O351" s="58">
        <v>180</v>
      </c>
      <c r="P351" s="58">
        <v>180</v>
      </c>
      <c r="Q351" s="58">
        <v>180</v>
      </c>
      <c r="R351" s="58">
        <v>180</v>
      </c>
      <c r="S351" s="58">
        <v>180</v>
      </c>
      <c r="T351" s="58">
        <v>180</v>
      </c>
      <c r="U351" s="58">
        <v>185</v>
      </c>
      <c r="V351" s="58">
        <v>180</v>
      </c>
      <c r="W351" s="58">
        <v>165</v>
      </c>
      <c r="X351" s="58">
        <v>180</v>
      </c>
      <c r="Y351" s="58">
        <v>190</v>
      </c>
      <c r="Z351" s="58">
        <v>185</v>
      </c>
      <c r="AA351" s="58">
        <v>185</v>
      </c>
      <c r="AB351" s="58">
        <v>190</v>
      </c>
      <c r="AC351" s="58">
        <v>190</v>
      </c>
      <c r="AD351" s="58">
        <v>190</v>
      </c>
      <c r="AE351" s="58">
        <v>185</v>
      </c>
      <c r="AF351" s="58">
        <v>185</v>
      </c>
      <c r="AG351" s="58">
        <v>190</v>
      </c>
      <c r="AH351" s="58">
        <v>200</v>
      </c>
      <c r="AI351" s="58">
        <v>190</v>
      </c>
      <c r="AJ351" s="58">
        <v>200</v>
      </c>
      <c r="AK351" s="58">
        <v>200</v>
      </c>
      <c r="AL351" s="58">
        <v>200</v>
      </c>
      <c r="AM351" s="58">
        <v>200</v>
      </c>
      <c r="AN351" s="58">
        <v>200</v>
      </c>
      <c r="AO351" s="58">
        <v>210</v>
      </c>
      <c r="AP351" s="58">
        <v>200</v>
      </c>
      <c r="AQ351" s="58">
        <v>220</v>
      </c>
      <c r="AR351" s="58">
        <v>215</v>
      </c>
      <c r="AS351" s="58">
        <v>225</v>
      </c>
      <c r="AT351" s="58">
        <v>230</v>
      </c>
      <c r="AU351" s="58">
        <v>235</v>
      </c>
      <c r="AV351" s="58">
        <v>240</v>
      </c>
      <c r="AW351" s="58">
        <v>260</v>
      </c>
      <c r="AX351" s="58">
        <v>260</v>
      </c>
      <c r="AY351" s="58">
        <v>260</v>
      </c>
      <c r="AZ351" s="58">
        <v>280</v>
      </c>
      <c r="BA351" s="58">
        <v>250</v>
      </c>
      <c r="BB351" s="58">
        <v>255</v>
      </c>
      <c r="BC351" s="58">
        <v>275</v>
      </c>
      <c r="BD351" s="58">
        <v>275</v>
      </c>
      <c r="BE351" s="58">
        <v>290</v>
      </c>
      <c r="BF351" s="58">
        <v>300</v>
      </c>
      <c r="BG351" s="58">
        <v>268</v>
      </c>
      <c r="BH351" s="58">
        <v>320</v>
      </c>
    </row>
    <row r="352" spans="2:60" hidden="1" x14ac:dyDescent="0.2">
      <c r="B352" s="59"/>
      <c r="C352" s="59" t="s">
        <v>694</v>
      </c>
      <c r="D352" s="59" t="s">
        <v>649</v>
      </c>
      <c r="E352" s="60">
        <v>225</v>
      </c>
      <c r="F352" s="60">
        <v>220</v>
      </c>
      <c r="G352" s="60">
        <v>220</v>
      </c>
      <c r="H352" s="60">
        <v>225</v>
      </c>
      <c r="I352" s="60">
        <v>230</v>
      </c>
      <c r="J352" s="60">
        <v>230</v>
      </c>
      <c r="K352" s="60">
        <v>235</v>
      </c>
      <c r="L352" s="60">
        <v>240</v>
      </c>
      <c r="M352" s="60">
        <v>245</v>
      </c>
      <c r="N352" s="60">
        <v>245</v>
      </c>
      <c r="O352" s="60">
        <v>245</v>
      </c>
      <c r="P352" s="60">
        <v>250</v>
      </c>
      <c r="Q352" s="60">
        <v>255</v>
      </c>
      <c r="R352" s="60">
        <v>250</v>
      </c>
      <c r="S352" s="60">
        <v>250</v>
      </c>
      <c r="T352" s="60">
        <v>245</v>
      </c>
      <c r="U352" s="60">
        <v>255</v>
      </c>
      <c r="V352" s="60">
        <v>240</v>
      </c>
      <c r="W352" s="60">
        <v>240</v>
      </c>
      <c r="X352" s="60">
        <v>245</v>
      </c>
      <c r="Y352" s="60">
        <v>250</v>
      </c>
      <c r="Z352" s="60">
        <v>250</v>
      </c>
      <c r="AA352" s="60">
        <v>245</v>
      </c>
      <c r="AB352" s="60">
        <v>245</v>
      </c>
      <c r="AC352" s="60">
        <v>255</v>
      </c>
      <c r="AD352" s="60">
        <v>250</v>
      </c>
      <c r="AE352" s="60">
        <v>250</v>
      </c>
      <c r="AF352" s="60">
        <v>250</v>
      </c>
      <c r="AG352" s="60">
        <v>260</v>
      </c>
      <c r="AH352" s="60">
        <v>250</v>
      </c>
      <c r="AI352" s="60">
        <v>260</v>
      </c>
      <c r="AJ352" s="60">
        <v>250</v>
      </c>
      <c r="AK352" s="60">
        <v>265</v>
      </c>
      <c r="AL352" s="60">
        <v>260</v>
      </c>
      <c r="AM352" s="60">
        <v>265</v>
      </c>
      <c r="AN352" s="60">
        <v>270</v>
      </c>
      <c r="AO352" s="60">
        <v>270</v>
      </c>
      <c r="AP352" s="60">
        <v>280</v>
      </c>
      <c r="AQ352" s="60">
        <v>280</v>
      </c>
      <c r="AR352" s="60">
        <v>290</v>
      </c>
      <c r="AS352" s="60">
        <v>300</v>
      </c>
      <c r="AT352" s="60">
        <v>300</v>
      </c>
      <c r="AU352" s="60">
        <v>315</v>
      </c>
      <c r="AV352" s="60">
        <v>330</v>
      </c>
      <c r="AW352" s="60">
        <v>340</v>
      </c>
      <c r="AX352" s="60">
        <v>350</v>
      </c>
      <c r="AY352" s="60">
        <v>350</v>
      </c>
      <c r="AZ352" s="60">
        <v>360</v>
      </c>
      <c r="BA352" s="60">
        <v>370</v>
      </c>
      <c r="BB352" s="60">
        <v>375</v>
      </c>
      <c r="BC352" s="60">
        <v>375</v>
      </c>
      <c r="BD352" s="60">
        <v>380</v>
      </c>
      <c r="BE352" s="60">
        <v>400</v>
      </c>
      <c r="BF352" s="60">
        <v>400</v>
      </c>
      <c r="BG352" s="60">
        <v>405</v>
      </c>
      <c r="BH352" s="60">
        <v>420</v>
      </c>
    </row>
    <row r="353" spans="2:60" hidden="1" x14ac:dyDescent="0.2">
      <c r="B353" s="57"/>
      <c r="C353" s="57" t="s">
        <v>694</v>
      </c>
      <c r="D353" s="57" t="s">
        <v>650</v>
      </c>
      <c r="E353" s="58">
        <v>295</v>
      </c>
      <c r="F353" s="58">
        <v>290</v>
      </c>
      <c r="G353" s="58">
        <v>300</v>
      </c>
      <c r="H353" s="58">
        <v>295</v>
      </c>
      <c r="I353" s="58">
        <v>295</v>
      </c>
      <c r="J353" s="58">
        <v>300</v>
      </c>
      <c r="K353" s="58">
        <v>310</v>
      </c>
      <c r="L353" s="58">
        <v>310</v>
      </c>
      <c r="M353" s="58">
        <v>320</v>
      </c>
      <c r="N353" s="58">
        <v>310</v>
      </c>
      <c r="O353" s="58">
        <v>310</v>
      </c>
      <c r="P353" s="58">
        <v>320</v>
      </c>
      <c r="Q353" s="58">
        <v>320</v>
      </c>
      <c r="R353" s="58">
        <v>310</v>
      </c>
      <c r="S353" s="58">
        <v>300</v>
      </c>
      <c r="T353" s="58">
        <v>310</v>
      </c>
      <c r="U353" s="58">
        <v>310</v>
      </c>
      <c r="V353" s="58">
        <v>300</v>
      </c>
      <c r="W353" s="58">
        <v>300</v>
      </c>
      <c r="X353" s="58">
        <v>295</v>
      </c>
      <c r="Y353" s="58">
        <v>300</v>
      </c>
      <c r="Z353" s="58">
        <v>295</v>
      </c>
      <c r="AA353" s="58">
        <v>300</v>
      </c>
      <c r="AB353" s="58">
        <v>300</v>
      </c>
      <c r="AC353" s="58">
        <v>305</v>
      </c>
      <c r="AD353" s="58">
        <v>305</v>
      </c>
      <c r="AE353" s="58">
        <v>305</v>
      </c>
      <c r="AF353" s="58">
        <v>310</v>
      </c>
      <c r="AG353" s="58">
        <v>305</v>
      </c>
      <c r="AH353" s="58">
        <v>310</v>
      </c>
      <c r="AI353" s="58">
        <v>310</v>
      </c>
      <c r="AJ353" s="58">
        <v>315</v>
      </c>
      <c r="AK353" s="58">
        <v>310</v>
      </c>
      <c r="AL353" s="58">
        <v>310</v>
      </c>
      <c r="AM353" s="58">
        <v>320</v>
      </c>
      <c r="AN353" s="58">
        <v>325</v>
      </c>
      <c r="AO353" s="58">
        <v>340</v>
      </c>
      <c r="AP353" s="58">
        <v>340</v>
      </c>
      <c r="AQ353" s="58">
        <v>340</v>
      </c>
      <c r="AR353" s="58">
        <v>350</v>
      </c>
      <c r="AS353" s="58">
        <v>350</v>
      </c>
      <c r="AT353" s="58">
        <v>380</v>
      </c>
      <c r="AU353" s="58">
        <v>380</v>
      </c>
      <c r="AV353" s="58">
        <v>390</v>
      </c>
      <c r="AW353" s="58">
        <v>400</v>
      </c>
      <c r="AX353" s="58">
        <v>420</v>
      </c>
      <c r="AY353" s="58">
        <v>410</v>
      </c>
      <c r="AZ353" s="58">
        <v>420</v>
      </c>
      <c r="BA353" s="58">
        <v>440</v>
      </c>
      <c r="BB353" s="58">
        <v>440</v>
      </c>
      <c r="BC353" s="58">
        <v>450</v>
      </c>
      <c r="BD353" s="58">
        <v>450</v>
      </c>
      <c r="BE353" s="58">
        <v>460</v>
      </c>
      <c r="BF353" s="58">
        <v>470</v>
      </c>
      <c r="BG353" s="58">
        <v>480</v>
      </c>
      <c r="BH353" s="58">
        <v>480</v>
      </c>
    </row>
    <row r="354" spans="2:60" hidden="1" x14ac:dyDescent="0.2">
      <c r="B354" s="59"/>
      <c r="C354" s="59" t="s">
        <v>694</v>
      </c>
      <c r="D354" s="59" t="s">
        <v>651</v>
      </c>
      <c r="E354" s="60">
        <v>240</v>
      </c>
      <c r="F354" s="60">
        <v>245</v>
      </c>
      <c r="G354" s="60">
        <v>235</v>
      </c>
      <c r="H354" s="60">
        <v>240</v>
      </c>
      <c r="I354" s="60">
        <v>250</v>
      </c>
      <c r="J354" s="60">
        <v>245</v>
      </c>
      <c r="K354" s="60">
        <v>250</v>
      </c>
      <c r="L354" s="60">
        <v>250</v>
      </c>
      <c r="M354" s="60">
        <v>250</v>
      </c>
      <c r="N354" s="60">
        <v>258</v>
      </c>
      <c r="O354" s="60">
        <v>260</v>
      </c>
      <c r="P354" s="60">
        <v>250</v>
      </c>
      <c r="Q354" s="60">
        <v>265</v>
      </c>
      <c r="R354" s="60">
        <v>255</v>
      </c>
      <c r="S354" s="60">
        <v>265</v>
      </c>
      <c r="T354" s="60">
        <v>260</v>
      </c>
      <c r="U354" s="60">
        <v>260</v>
      </c>
      <c r="V354" s="60">
        <v>250</v>
      </c>
      <c r="W354" s="60">
        <v>250</v>
      </c>
      <c r="X354" s="60">
        <v>260</v>
      </c>
      <c r="Y354" s="60">
        <v>260</v>
      </c>
      <c r="Z354" s="60">
        <v>250</v>
      </c>
      <c r="AA354" s="60">
        <v>255</v>
      </c>
      <c r="AB354" s="60">
        <v>260</v>
      </c>
      <c r="AC354" s="60">
        <v>260</v>
      </c>
      <c r="AD354" s="60">
        <v>250</v>
      </c>
      <c r="AE354" s="60">
        <v>265</v>
      </c>
      <c r="AF354" s="60">
        <v>250</v>
      </c>
      <c r="AG354" s="60">
        <v>275</v>
      </c>
      <c r="AH354" s="60">
        <v>265</v>
      </c>
      <c r="AI354" s="60">
        <v>280</v>
      </c>
      <c r="AJ354" s="60">
        <v>270</v>
      </c>
      <c r="AK354" s="60">
        <v>280</v>
      </c>
      <c r="AL354" s="60">
        <v>265</v>
      </c>
      <c r="AM354" s="60">
        <v>280</v>
      </c>
      <c r="AN354" s="60">
        <v>280</v>
      </c>
      <c r="AO354" s="60">
        <v>290</v>
      </c>
      <c r="AP354" s="60">
        <v>285</v>
      </c>
      <c r="AQ354" s="60">
        <v>310</v>
      </c>
      <c r="AR354" s="60">
        <v>310</v>
      </c>
      <c r="AS354" s="60">
        <v>325</v>
      </c>
      <c r="AT354" s="60">
        <v>330</v>
      </c>
      <c r="AU354" s="60">
        <v>350</v>
      </c>
      <c r="AV354" s="60">
        <v>350</v>
      </c>
      <c r="AW354" s="60">
        <v>370</v>
      </c>
      <c r="AX354" s="60">
        <v>370</v>
      </c>
      <c r="AY354" s="60">
        <v>390</v>
      </c>
      <c r="AZ354" s="60">
        <v>390</v>
      </c>
      <c r="BA354" s="60">
        <v>390</v>
      </c>
      <c r="BB354" s="60">
        <v>400</v>
      </c>
      <c r="BC354" s="60">
        <v>425</v>
      </c>
      <c r="BD354" s="60">
        <v>420</v>
      </c>
      <c r="BE354" s="60">
        <v>440</v>
      </c>
      <c r="BF354" s="60">
        <v>400</v>
      </c>
      <c r="BG354" s="60">
        <v>450</v>
      </c>
      <c r="BH354" s="60">
        <v>460</v>
      </c>
    </row>
    <row r="355" spans="2:60" hidden="1" x14ac:dyDescent="0.2">
      <c r="B355" s="57"/>
      <c r="C355" s="57" t="s">
        <v>694</v>
      </c>
      <c r="D355" s="57" t="s">
        <v>652</v>
      </c>
      <c r="E355" s="58">
        <v>280</v>
      </c>
      <c r="F355" s="58">
        <v>280</v>
      </c>
      <c r="G355" s="58">
        <v>280</v>
      </c>
      <c r="H355" s="58">
        <v>280</v>
      </c>
      <c r="I355" s="58">
        <v>290</v>
      </c>
      <c r="J355" s="58">
        <v>295</v>
      </c>
      <c r="K355" s="58">
        <v>290</v>
      </c>
      <c r="L355" s="58">
        <v>290</v>
      </c>
      <c r="M355" s="58">
        <v>300</v>
      </c>
      <c r="N355" s="58">
        <v>300</v>
      </c>
      <c r="O355" s="58">
        <v>300</v>
      </c>
      <c r="P355" s="58">
        <v>310</v>
      </c>
      <c r="Q355" s="58">
        <v>310</v>
      </c>
      <c r="R355" s="58">
        <v>300</v>
      </c>
      <c r="S355" s="58">
        <v>300</v>
      </c>
      <c r="T355" s="58">
        <v>300</v>
      </c>
      <c r="U355" s="58">
        <v>300</v>
      </c>
      <c r="V355" s="58">
        <v>300</v>
      </c>
      <c r="W355" s="58">
        <v>295</v>
      </c>
      <c r="X355" s="58">
        <v>300</v>
      </c>
      <c r="Y355" s="58">
        <v>300</v>
      </c>
      <c r="Z355" s="58">
        <v>300</v>
      </c>
      <c r="AA355" s="58">
        <v>300</v>
      </c>
      <c r="AB355" s="58">
        <v>300</v>
      </c>
      <c r="AC355" s="58">
        <v>310</v>
      </c>
      <c r="AD355" s="58">
        <v>300</v>
      </c>
      <c r="AE355" s="58">
        <v>310</v>
      </c>
      <c r="AF355" s="58">
        <v>310</v>
      </c>
      <c r="AG355" s="58">
        <v>315</v>
      </c>
      <c r="AH355" s="58">
        <v>315</v>
      </c>
      <c r="AI355" s="58">
        <v>320</v>
      </c>
      <c r="AJ355" s="58">
        <v>320</v>
      </c>
      <c r="AK355" s="58">
        <v>320</v>
      </c>
      <c r="AL355" s="58">
        <v>320</v>
      </c>
      <c r="AM355" s="58">
        <v>320</v>
      </c>
      <c r="AN355" s="58">
        <v>330</v>
      </c>
      <c r="AO355" s="58">
        <v>340</v>
      </c>
      <c r="AP355" s="58">
        <v>350</v>
      </c>
      <c r="AQ355" s="58">
        <v>350</v>
      </c>
      <c r="AR355" s="58">
        <v>370</v>
      </c>
      <c r="AS355" s="58">
        <v>380</v>
      </c>
      <c r="AT355" s="58">
        <v>400</v>
      </c>
      <c r="AU355" s="58">
        <v>420</v>
      </c>
      <c r="AV355" s="58">
        <v>430</v>
      </c>
      <c r="AW355" s="58">
        <v>430</v>
      </c>
      <c r="AX355" s="58">
        <v>440</v>
      </c>
      <c r="AY355" s="58">
        <v>450</v>
      </c>
      <c r="AZ355" s="58">
        <v>460</v>
      </c>
      <c r="BA355" s="58">
        <v>460</v>
      </c>
      <c r="BB355" s="58">
        <v>480</v>
      </c>
      <c r="BC355" s="58">
        <v>490</v>
      </c>
      <c r="BD355" s="58">
        <v>500</v>
      </c>
      <c r="BE355" s="58">
        <v>500</v>
      </c>
      <c r="BF355" s="58">
        <v>510</v>
      </c>
      <c r="BG355" s="58">
        <v>520</v>
      </c>
      <c r="BH355" s="58">
        <v>530</v>
      </c>
    </row>
    <row r="356" spans="2:60" hidden="1" x14ac:dyDescent="0.2">
      <c r="B356" s="59"/>
      <c r="C356" s="59" t="s">
        <v>694</v>
      </c>
      <c r="D356" s="59" t="s">
        <v>653</v>
      </c>
      <c r="E356" s="60">
        <v>360</v>
      </c>
      <c r="F356" s="60">
        <v>360</v>
      </c>
      <c r="G356" s="60">
        <v>365</v>
      </c>
      <c r="H356" s="60">
        <v>375</v>
      </c>
      <c r="I356" s="60">
        <v>380</v>
      </c>
      <c r="J356" s="60">
        <v>375</v>
      </c>
      <c r="K356" s="60">
        <v>380</v>
      </c>
      <c r="L356" s="60">
        <v>380</v>
      </c>
      <c r="M356" s="60">
        <v>385</v>
      </c>
      <c r="N356" s="60">
        <v>385</v>
      </c>
      <c r="O356" s="60">
        <v>385</v>
      </c>
      <c r="P356" s="60">
        <v>395</v>
      </c>
      <c r="Q356" s="60">
        <v>395</v>
      </c>
      <c r="R356" s="60">
        <v>385</v>
      </c>
      <c r="S356" s="60">
        <v>380</v>
      </c>
      <c r="T356" s="60">
        <v>380</v>
      </c>
      <c r="U356" s="60">
        <v>380</v>
      </c>
      <c r="V356" s="60">
        <v>370</v>
      </c>
      <c r="W356" s="60">
        <v>370</v>
      </c>
      <c r="X356" s="60">
        <v>375</v>
      </c>
      <c r="Y356" s="60">
        <v>380</v>
      </c>
      <c r="Z356" s="60">
        <v>380</v>
      </c>
      <c r="AA356" s="60">
        <v>375</v>
      </c>
      <c r="AB356" s="60">
        <v>380</v>
      </c>
      <c r="AC356" s="60">
        <v>385</v>
      </c>
      <c r="AD356" s="60">
        <v>380</v>
      </c>
      <c r="AE356" s="60">
        <v>380</v>
      </c>
      <c r="AF356" s="60">
        <v>380</v>
      </c>
      <c r="AG356" s="60">
        <v>400</v>
      </c>
      <c r="AH356" s="60">
        <v>395</v>
      </c>
      <c r="AI356" s="60">
        <v>390</v>
      </c>
      <c r="AJ356" s="60">
        <v>400</v>
      </c>
      <c r="AK356" s="60">
        <v>400</v>
      </c>
      <c r="AL356" s="60">
        <v>390</v>
      </c>
      <c r="AM356" s="60">
        <v>400</v>
      </c>
      <c r="AN356" s="60">
        <v>410</v>
      </c>
      <c r="AO356" s="60">
        <v>410</v>
      </c>
      <c r="AP356" s="60">
        <v>425</v>
      </c>
      <c r="AQ356" s="60">
        <v>430</v>
      </c>
      <c r="AR356" s="60">
        <v>450</v>
      </c>
      <c r="AS356" s="60">
        <v>460</v>
      </c>
      <c r="AT356" s="60">
        <v>475</v>
      </c>
      <c r="AU356" s="60">
        <v>490</v>
      </c>
      <c r="AV356" s="60">
        <v>510</v>
      </c>
      <c r="AW356" s="60">
        <v>525</v>
      </c>
      <c r="AX356" s="60">
        <v>530</v>
      </c>
      <c r="AY356" s="60">
        <v>550</v>
      </c>
      <c r="AZ356" s="60">
        <v>575</v>
      </c>
      <c r="BA356" s="60">
        <v>570</v>
      </c>
      <c r="BB356" s="60">
        <v>580</v>
      </c>
      <c r="BC356" s="60">
        <v>600</v>
      </c>
      <c r="BD356" s="60">
        <v>600</v>
      </c>
      <c r="BE356" s="60">
        <v>600</v>
      </c>
      <c r="BF356" s="60">
        <v>620</v>
      </c>
      <c r="BG356" s="60">
        <v>620</v>
      </c>
      <c r="BH356" s="60">
        <v>630</v>
      </c>
    </row>
    <row r="357" spans="2:60" hidden="1" x14ac:dyDescent="0.2">
      <c r="B357" s="57"/>
      <c r="C357" s="57" t="s">
        <v>694</v>
      </c>
      <c r="D357" s="57" t="s">
        <v>654</v>
      </c>
      <c r="E357" s="58">
        <v>260</v>
      </c>
      <c r="F357" s="58"/>
      <c r="G357" s="58">
        <v>285</v>
      </c>
      <c r="H357" s="58">
        <v>250</v>
      </c>
      <c r="I357" s="58">
        <v>260</v>
      </c>
      <c r="J357" s="58">
        <v>265</v>
      </c>
      <c r="K357" s="58">
        <v>259</v>
      </c>
      <c r="L357" s="58">
        <v>260</v>
      </c>
      <c r="M357" s="58">
        <v>260</v>
      </c>
      <c r="N357" s="58">
        <v>255</v>
      </c>
      <c r="O357" s="58"/>
      <c r="P357" s="58">
        <v>264</v>
      </c>
      <c r="Q357" s="58">
        <v>290</v>
      </c>
      <c r="R357" s="58">
        <v>295</v>
      </c>
      <c r="S357" s="58">
        <v>285</v>
      </c>
      <c r="T357" s="58">
        <v>290</v>
      </c>
      <c r="U357" s="58">
        <v>290</v>
      </c>
      <c r="V357" s="58">
        <v>275</v>
      </c>
      <c r="W357" s="58">
        <v>270</v>
      </c>
      <c r="X357" s="58">
        <v>264</v>
      </c>
      <c r="Y357" s="58">
        <v>280</v>
      </c>
      <c r="Z357" s="58">
        <v>285</v>
      </c>
      <c r="AA357" s="58">
        <v>280</v>
      </c>
      <c r="AB357" s="58">
        <v>280</v>
      </c>
      <c r="AC357" s="58">
        <v>295</v>
      </c>
      <c r="AD357" s="58">
        <v>270</v>
      </c>
      <c r="AE357" s="58">
        <v>275</v>
      </c>
      <c r="AF357" s="58">
        <v>290</v>
      </c>
      <c r="AG357" s="58">
        <v>295</v>
      </c>
      <c r="AH357" s="58">
        <v>280</v>
      </c>
      <c r="AI357" s="58">
        <v>265</v>
      </c>
      <c r="AJ357" s="58">
        <v>270</v>
      </c>
      <c r="AK357" s="58">
        <v>295</v>
      </c>
      <c r="AL357" s="58">
        <v>280</v>
      </c>
      <c r="AM357" s="58">
        <v>290</v>
      </c>
      <c r="AN357" s="58">
        <v>280</v>
      </c>
      <c r="AO357" s="58">
        <v>290</v>
      </c>
      <c r="AP357" s="58">
        <v>300</v>
      </c>
      <c r="AQ357" s="58">
        <v>315</v>
      </c>
      <c r="AR357" s="58">
        <v>325</v>
      </c>
      <c r="AS357" s="58">
        <v>340</v>
      </c>
      <c r="AT357" s="58">
        <v>330</v>
      </c>
      <c r="AU357" s="58">
        <v>340</v>
      </c>
      <c r="AV357" s="58">
        <v>340</v>
      </c>
      <c r="AW357" s="58">
        <v>350</v>
      </c>
      <c r="AX357" s="58">
        <v>350</v>
      </c>
      <c r="AY357" s="58">
        <v>390</v>
      </c>
      <c r="AZ357" s="58">
        <v>400</v>
      </c>
      <c r="BA357" s="58">
        <v>420</v>
      </c>
      <c r="BB357" s="58">
        <v>410</v>
      </c>
      <c r="BC357" s="58">
        <v>400</v>
      </c>
      <c r="BD357" s="58">
        <v>450</v>
      </c>
      <c r="BE357" s="58">
        <v>450</v>
      </c>
      <c r="BF357" s="58">
        <v>455</v>
      </c>
      <c r="BG357" s="58">
        <v>465</v>
      </c>
      <c r="BH357" s="58">
        <v>470</v>
      </c>
    </row>
    <row r="358" spans="2:60" hidden="1" x14ac:dyDescent="0.2">
      <c r="B358" s="59"/>
      <c r="C358" s="59" t="s">
        <v>694</v>
      </c>
      <c r="D358" s="59" t="s">
        <v>655</v>
      </c>
      <c r="E358" s="60">
        <v>300</v>
      </c>
      <c r="F358" s="60">
        <v>285</v>
      </c>
      <c r="G358" s="60">
        <v>282</v>
      </c>
      <c r="H358" s="60">
        <v>290</v>
      </c>
      <c r="I358" s="60">
        <v>282</v>
      </c>
      <c r="J358" s="60">
        <v>295</v>
      </c>
      <c r="K358" s="60">
        <v>285</v>
      </c>
      <c r="L358" s="60">
        <v>330</v>
      </c>
      <c r="M358" s="60">
        <v>320</v>
      </c>
      <c r="N358" s="60">
        <v>320</v>
      </c>
      <c r="O358" s="60">
        <v>295</v>
      </c>
      <c r="P358" s="60">
        <v>300</v>
      </c>
      <c r="Q358" s="60">
        <v>320</v>
      </c>
      <c r="R358" s="60">
        <v>295</v>
      </c>
      <c r="S358" s="60">
        <v>310</v>
      </c>
      <c r="T358" s="60">
        <v>315</v>
      </c>
      <c r="U358" s="60">
        <v>330</v>
      </c>
      <c r="V358" s="60">
        <v>330</v>
      </c>
      <c r="W358" s="60"/>
      <c r="X358" s="60">
        <v>310</v>
      </c>
      <c r="Y358" s="60">
        <v>310</v>
      </c>
      <c r="Z358" s="60">
        <v>300</v>
      </c>
      <c r="AA358" s="60">
        <v>300</v>
      </c>
      <c r="AB358" s="60">
        <v>320</v>
      </c>
      <c r="AC358" s="60">
        <v>320</v>
      </c>
      <c r="AD358" s="60">
        <v>315</v>
      </c>
      <c r="AE358" s="60">
        <v>330</v>
      </c>
      <c r="AF358" s="60">
        <v>325</v>
      </c>
      <c r="AG358" s="60">
        <v>340</v>
      </c>
      <c r="AH358" s="60">
        <v>295</v>
      </c>
      <c r="AI358" s="60">
        <v>340</v>
      </c>
      <c r="AJ358" s="60">
        <v>335</v>
      </c>
      <c r="AK358" s="60">
        <v>350</v>
      </c>
      <c r="AL358" s="60">
        <v>330</v>
      </c>
      <c r="AM358" s="60">
        <v>340</v>
      </c>
      <c r="AN358" s="60">
        <v>340</v>
      </c>
      <c r="AO358" s="60">
        <v>360</v>
      </c>
      <c r="AP358" s="60">
        <v>380</v>
      </c>
      <c r="AQ358" s="60">
        <v>370</v>
      </c>
      <c r="AR358" s="60">
        <v>360</v>
      </c>
      <c r="AS358" s="60">
        <v>390</v>
      </c>
      <c r="AT358" s="60">
        <v>380</v>
      </c>
      <c r="AU358" s="60">
        <v>395</v>
      </c>
      <c r="AV358" s="60">
        <v>450</v>
      </c>
      <c r="AW358" s="60">
        <v>400</v>
      </c>
      <c r="AX358" s="60">
        <v>390</v>
      </c>
      <c r="AY358" s="60">
        <v>400</v>
      </c>
      <c r="AZ358" s="60">
        <v>450</v>
      </c>
      <c r="BA358" s="60">
        <v>450</v>
      </c>
      <c r="BB358" s="60">
        <v>470</v>
      </c>
      <c r="BC358" s="60">
        <v>460</v>
      </c>
      <c r="BD358" s="60">
        <v>520</v>
      </c>
      <c r="BE358" s="60">
        <v>500</v>
      </c>
      <c r="BF358" s="60">
        <v>500</v>
      </c>
      <c r="BG358" s="60">
        <v>540</v>
      </c>
      <c r="BH358" s="60">
        <v>540</v>
      </c>
    </row>
    <row r="359" spans="2:60" hidden="1" x14ac:dyDescent="0.2">
      <c r="B359" s="57"/>
      <c r="C359" s="57" t="s">
        <v>694</v>
      </c>
      <c r="D359" s="57" t="s">
        <v>656</v>
      </c>
      <c r="E359" s="58">
        <v>265</v>
      </c>
      <c r="F359" s="58">
        <v>270</v>
      </c>
      <c r="G359" s="58">
        <v>270</v>
      </c>
      <c r="H359" s="58">
        <v>270</v>
      </c>
      <c r="I359" s="58">
        <v>275</v>
      </c>
      <c r="J359" s="58">
        <v>280</v>
      </c>
      <c r="K359" s="58">
        <v>275</v>
      </c>
      <c r="L359" s="58">
        <v>285</v>
      </c>
      <c r="M359" s="58">
        <v>285</v>
      </c>
      <c r="N359" s="58">
        <v>295</v>
      </c>
      <c r="O359" s="58">
        <v>290</v>
      </c>
      <c r="P359" s="58">
        <v>300</v>
      </c>
      <c r="Q359" s="58">
        <v>295</v>
      </c>
      <c r="R359" s="58">
        <v>300</v>
      </c>
      <c r="S359" s="58">
        <v>290</v>
      </c>
      <c r="T359" s="58">
        <v>300</v>
      </c>
      <c r="U359" s="58">
        <v>290</v>
      </c>
      <c r="V359" s="58">
        <v>290</v>
      </c>
      <c r="W359" s="58">
        <v>290</v>
      </c>
      <c r="X359" s="58">
        <v>290</v>
      </c>
      <c r="Y359" s="58">
        <v>290</v>
      </c>
      <c r="Z359" s="58">
        <v>290</v>
      </c>
      <c r="AA359" s="58">
        <v>290</v>
      </c>
      <c r="AB359" s="58">
        <v>300</v>
      </c>
      <c r="AC359" s="58">
        <v>300</v>
      </c>
      <c r="AD359" s="58">
        <v>300</v>
      </c>
      <c r="AE359" s="58">
        <v>300</v>
      </c>
      <c r="AF359" s="58">
        <v>300</v>
      </c>
      <c r="AG359" s="58">
        <v>300</v>
      </c>
      <c r="AH359" s="58">
        <v>300</v>
      </c>
      <c r="AI359" s="58">
        <v>300</v>
      </c>
      <c r="AJ359" s="58">
        <v>310</v>
      </c>
      <c r="AK359" s="58">
        <v>315</v>
      </c>
      <c r="AL359" s="58">
        <v>300</v>
      </c>
      <c r="AM359" s="58">
        <v>315</v>
      </c>
      <c r="AN359" s="58">
        <v>320</v>
      </c>
      <c r="AO359" s="58">
        <v>330</v>
      </c>
      <c r="AP359" s="58">
        <v>332</v>
      </c>
      <c r="AQ359" s="58">
        <v>340</v>
      </c>
      <c r="AR359" s="58">
        <v>350</v>
      </c>
      <c r="AS359" s="58">
        <v>360</v>
      </c>
      <c r="AT359" s="58">
        <v>375</v>
      </c>
      <c r="AU359" s="58">
        <v>390</v>
      </c>
      <c r="AV359" s="58">
        <v>400</v>
      </c>
      <c r="AW359" s="58">
        <v>400</v>
      </c>
      <c r="AX359" s="58">
        <v>410</v>
      </c>
      <c r="AY359" s="58">
        <v>420</v>
      </c>
      <c r="AZ359" s="58">
        <v>450</v>
      </c>
      <c r="BA359" s="58">
        <v>445</v>
      </c>
      <c r="BB359" s="58">
        <v>450</v>
      </c>
      <c r="BC359" s="58">
        <v>460</v>
      </c>
      <c r="BD359" s="58">
        <v>480</v>
      </c>
      <c r="BE359" s="58">
        <v>480</v>
      </c>
      <c r="BF359" s="58">
        <v>490</v>
      </c>
      <c r="BG359" s="58">
        <v>500</v>
      </c>
      <c r="BH359" s="58">
        <v>520</v>
      </c>
    </row>
    <row r="360" spans="2:60" hidden="1" x14ac:dyDescent="0.2">
      <c r="B360" s="59"/>
      <c r="C360" s="59" t="s">
        <v>695</v>
      </c>
      <c r="D360" s="59" t="s">
        <v>648</v>
      </c>
      <c r="E360" s="60">
        <v>240</v>
      </c>
      <c r="F360" s="60">
        <v>230</v>
      </c>
      <c r="G360" s="60">
        <v>220</v>
      </c>
      <c r="H360" s="60">
        <v>220</v>
      </c>
      <c r="I360" s="60">
        <v>242</v>
      </c>
      <c r="J360" s="60">
        <v>230</v>
      </c>
      <c r="K360" s="60">
        <v>230</v>
      </c>
      <c r="L360" s="60">
        <v>210</v>
      </c>
      <c r="M360" s="60">
        <v>260</v>
      </c>
      <c r="N360" s="60">
        <v>230</v>
      </c>
      <c r="O360" s="60">
        <v>240</v>
      </c>
      <c r="P360" s="60">
        <v>230</v>
      </c>
      <c r="Q360" s="60">
        <v>230</v>
      </c>
      <c r="R360" s="60">
        <v>240</v>
      </c>
      <c r="S360" s="60">
        <v>230</v>
      </c>
      <c r="T360" s="60">
        <v>216</v>
      </c>
      <c r="U360" s="60">
        <v>250</v>
      </c>
      <c r="V360" s="60">
        <v>220</v>
      </c>
      <c r="W360" s="60">
        <v>228</v>
      </c>
      <c r="X360" s="60">
        <v>216</v>
      </c>
      <c r="Y360" s="60">
        <v>250</v>
      </c>
      <c r="Z360" s="60">
        <v>196</v>
      </c>
      <c r="AA360" s="60">
        <v>205</v>
      </c>
      <c r="AB360" s="60">
        <v>200</v>
      </c>
      <c r="AC360" s="60">
        <v>220</v>
      </c>
      <c r="AD360" s="60">
        <v>220</v>
      </c>
      <c r="AE360" s="60">
        <v>200</v>
      </c>
      <c r="AF360" s="60">
        <v>200</v>
      </c>
      <c r="AG360" s="60">
        <v>215</v>
      </c>
      <c r="AH360" s="60">
        <v>200</v>
      </c>
      <c r="AI360" s="60">
        <v>230</v>
      </c>
      <c r="AJ360" s="60">
        <v>230</v>
      </c>
      <c r="AK360" s="60">
        <v>225</v>
      </c>
      <c r="AL360" s="60">
        <v>220</v>
      </c>
      <c r="AM360" s="60">
        <v>230</v>
      </c>
      <c r="AN360" s="60">
        <v>269</v>
      </c>
      <c r="AO360" s="60">
        <v>269</v>
      </c>
      <c r="AP360" s="60">
        <v>269</v>
      </c>
      <c r="AQ360" s="60">
        <v>250</v>
      </c>
      <c r="AR360" s="60">
        <v>280</v>
      </c>
      <c r="AS360" s="60">
        <v>280</v>
      </c>
      <c r="AT360" s="60">
        <v>260</v>
      </c>
      <c r="AU360" s="60">
        <v>276</v>
      </c>
      <c r="AV360" s="60">
        <v>280</v>
      </c>
      <c r="AW360" s="60">
        <v>300</v>
      </c>
      <c r="AX360" s="60">
        <v>300</v>
      </c>
      <c r="AY360" s="60">
        <v>300</v>
      </c>
      <c r="AZ360" s="60">
        <v>300</v>
      </c>
      <c r="BA360" s="60">
        <v>350</v>
      </c>
      <c r="BB360" s="60">
        <v>311</v>
      </c>
      <c r="BC360" s="60">
        <v>300</v>
      </c>
      <c r="BD360" s="60">
        <v>330</v>
      </c>
      <c r="BE360" s="60">
        <v>350</v>
      </c>
      <c r="BF360" s="60">
        <v>330</v>
      </c>
      <c r="BG360" s="60">
        <v>330</v>
      </c>
      <c r="BH360" s="60">
        <v>350</v>
      </c>
    </row>
    <row r="361" spans="2:60" hidden="1" x14ac:dyDescent="0.2">
      <c r="B361" s="57"/>
      <c r="C361" s="57" t="s">
        <v>695</v>
      </c>
      <c r="D361" s="57" t="s">
        <v>649</v>
      </c>
      <c r="E361" s="58">
        <v>300</v>
      </c>
      <c r="F361" s="58">
        <v>280</v>
      </c>
      <c r="G361" s="58">
        <v>280</v>
      </c>
      <c r="H361" s="58">
        <v>290</v>
      </c>
      <c r="I361" s="58">
        <v>300</v>
      </c>
      <c r="J361" s="58">
        <v>280</v>
      </c>
      <c r="K361" s="58">
        <v>280</v>
      </c>
      <c r="L361" s="58">
        <v>280</v>
      </c>
      <c r="M361" s="58">
        <v>290</v>
      </c>
      <c r="N361" s="58">
        <v>270</v>
      </c>
      <c r="O361" s="58">
        <v>265</v>
      </c>
      <c r="P361" s="58">
        <v>275</v>
      </c>
      <c r="Q361" s="58">
        <v>275</v>
      </c>
      <c r="R361" s="58">
        <v>250</v>
      </c>
      <c r="S361" s="58">
        <v>250</v>
      </c>
      <c r="T361" s="58">
        <v>260</v>
      </c>
      <c r="U361" s="58">
        <v>265</v>
      </c>
      <c r="V361" s="58">
        <v>250</v>
      </c>
      <c r="W361" s="58">
        <v>250</v>
      </c>
      <c r="X361" s="58">
        <v>245</v>
      </c>
      <c r="Y361" s="58">
        <v>256</v>
      </c>
      <c r="Z361" s="58">
        <v>235</v>
      </c>
      <c r="AA361" s="58">
        <v>240</v>
      </c>
      <c r="AB361" s="58">
        <v>240</v>
      </c>
      <c r="AC361" s="58">
        <v>250</v>
      </c>
      <c r="AD361" s="58">
        <v>245</v>
      </c>
      <c r="AE361" s="58">
        <v>235</v>
      </c>
      <c r="AF361" s="58">
        <v>250</v>
      </c>
      <c r="AG361" s="58">
        <v>280</v>
      </c>
      <c r="AH361" s="58">
        <v>260</v>
      </c>
      <c r="AI361" s="58">
        <v>270</v>
      </c>
      <c r="AJ361" s="58">
        <v>280</v>
      </c>
      <c r="AK361" s="58">
        <v>295</v>
      </c>
      <c r="AL361" s="58">
        <v>270</v>
      </c>
      <c r="AM361" s="58">
        <v>280</v>
      </c>
      <c r="AN361" s="58">
        <v>300</v>
      </c>
      <c r="AO361" s="58">
        <v>310</v>
      </c>
      <c r="AP361" s="58">
        <v>290</v>
      </c>
      <c r="AQ361" s="58">
        <v>300</v>
      </c>
      <c r="AR361" s="58">
        <v>325</v>
      </c>
      <c r="AS361" s="58">
        <v>330</v>
      </c>
      <c r="AT361" s="58">
        <v>320</v>
      </c>
      <c r="AU361" s="58">
        <v>330</v>
      </c>
      <c r="AV361" s="58">
        <v>350</v>
      </c>
      <c r="AW361" s="58">
        <v>350</v>
      </c>
      <c r="AX361" s="58">
        <v>350</v>
      </c>
      <c r="AY361" s="58">
        <v>355</v>
      </c>
      <c r="AZ361" s="58">
        <v>380</v>
      </c>
      <c r="BA361" s="58">
        <v>390</v>
      </c>
      <c r="BB361" s="58">
        <v>390</v>
      </c>
      <c r="BC361" s="58">
        <v>400</v>
      </c>
      <c r="BD361" s="58">
        <v>420</v>
      </c>
      <c r="BE361" s="58">
        <v>430</v>
      </c>
      <c r="BF361" s="58">
        <v>440</v>
      </c>
      <c r="BG361" s="58">
        <v>420</v>
      </c>
      <c r="BH361" s="58">
        <v>450</v>
      </c>
    </row>
    <row r="362" spans="2:60" hidden="1" x14ac:dyDescent="0.2">
      <c r="B362" s="59"/>
      <c r="C362" s="59" t="s">
        <v>695</v>
      </c>
      <c r="D362" s="59" t="s">
        <v>650</v>
      </c>
      <c r="E362" s="60">
        <v>410</v>
      </c>
      <c r="F362" s="60">
        <v>425</v>
      </c>
      <c r="G362" s="60">
        <v>410</v>
      </c>
      <c r="H362" s="60">
        <v>390</v>
      </c>
      <c r="I362" s="60">
        <v>400</v>
      </c>
      <c r="J362" s="60">
        <v>420</v>
      </c>
      <c r="K362" s="60">
        <v>395</v>
      </c>
      <c r="L362" s="60">
        <v>395</v>
      </c>
      <c r="M362" s="60">
        <v>400</v>
      </c>
      <c r="N362" s="60">
        <v>375</v>
      </c>
      <c r="O362" s="60">
        <v>370</v>
      </c>
      <c r="P362" s="60">
        <v>360</v>
      </c>
      <c r="Q362" s="60">
        <v>395</v>
      </c>
      <c r="R362" s="60">
        <v>340</v>
      </c>
      <c r="S362" s="60">
        <v>350</v>
      </c>
      <c r="T362" s="60">
        <v>350</v>
      </c>
      <c r="U362" s="60">
        <v>350</v>
      </c>
      <c r="V362" s="60">
        <v>330</v>
      </c>
      <c r="W362" s="60">
        <v>300</v>
      </c>
      <c r="X362" s="60">
        <v>310</v>
      </c>
      <c r="Y362" s="60">
        <v>350</v>
      </c>
      <c r="Z362" s="60">
        <v>310</v>
      </c>
      <c r="AA362" s="60">
        <v>330</v>
      </c>
      <c r="AB362" s="60">
        <v>338</v>
      </c>
      <c r="AC362" s="60">
        <v>350</v>
      </c>
      <c r="AD362" s="60">
        <v>330</v>
      </c>
      <c r="AE362" s="60">
        <v>340</v>
      </c>
      <c r="AF362" s="60">
        <v>340</v>
      </c>
      <c r="AG362" s="60">
        <v>400</v>
      </c>
      <c r="AH362" s="60">
        <v>330</v>
      </c>
      <c r="AI362" s="60">
        <v>370</v>
      </c>
      <c r="AJ362" s="60">
        <v>375</v>
      </c>
      <c r="AK362" s="60">
        <v>380</v>
      </c>
      <c r="AL362" s="60">
        <v>340</v>
      </c>
      <c r="AM362" s="60">
        <v>380</v>
      </c>
      <c r="AN362" s="60">
        <v>390</v>
      </c>
      <c r="AO362" s="60">
        <v>400</v>
      </c>
      <c r="AP362" s="60">
        <v>380</v>
      </c>
      <c r="AQ362" s="60">
        <v>390</v>
      </c>
      <c r="AR362" s="60">
        <v>410</v>
      </c>
      <c r="AS362" s="60">
        <v>420</v>
      </c>
      <c r="AT362" s="60">
        <v>410</v>
      </c>
      <c r="AU362" s="60">
        <v>420</v>
      </c>
      <c r="AV362" s="60">
        <v>450</v>
      </c>
      <c r="AW362" s="60">
        <v>450</v>
      </c>
      <c r="AX362" s="60">
        <v>450</v>
      </c>
      <c r="AY362" s="60">
        <v>450</v>
      </c>
      <c r="AZ362" s="60">
        <v>450</v>
      </c>
      <c r="BA362" s="60">
        <v>500</v>
      </c>
      <c r="BB362" s="60">
        <v>490</v>
      </c>
      <c r="BC362" s="60">
        <v>495</v>
      </c>
      <c r="BD362" s="60">
        <v>490</v>
      </c>
      <c r="BE362" s="60">
        <v>520</v>
      </c>
      <c r="BF362" s="60">
        <v>540</v>
      </c>
      <c r="BG362" s="60">
        <v>530</v>
      </c>
      <c r="BH362" s="60">
        <v>550</v>
      </c>
    </row>
    <row r="363" spans="2:60" hidden="1" x14ac:dyDescent="0.2">
      <c r="B363" s="57"/>
      <c r="C363" s="57" t="s">
        <v>695</v>
      </c>
      <c r="D363" s="57" t="s">
        <v>651</v>
      </c>
      <c r="E363" s="58">
        <v>300</v>
      </c>
      <c r="F363" s="58">
        <v>295</v>
      </c>
      <c r="G363" s="58">
        <v>290</v>
      </c>
      <c r="H363" s="58">
        <v>300</v>
      </c>
      <c r="I363" s="58">
        <v>310</v>
      </c>
      <c r="J363" s="58">
        <v>300</v>
      </c>
      <c r="K363" s="58">
        <v>300</v>
      </c>
      <c r="L363" s="58">
        <v>300</v>
      </c>
      <c r="M363" s="58">
        <v>300</v>
      </c>
      <c r="N363" s="58">
        <v>280</v>
      </c>
      <c r="O363" s="58">
        <v>290</v>
      </c>
      <c r="P363" s="58">
        <v>285</v>
      </c>
      <c r="Q363" s="58">
        <v>280</v>
      </c>
      <c r="R363" s="58">
        <v>270</v>
      </c>
      <c r="S363" s="58">
        <v>280</v>
      </c>
      <c r="T363" s="58">
        <v>260</v>
      </c>
      <c r="U363" s="58">
        <v>270</v>
      </c>
      <c r="V363" s="58">
        <v>270</v>
      </c>
      <c r="W363" s="58">
        <v>260</v>
      </c>
      <c r="X363" s="58">
        <v>250</v>
      </c>
      <c r="Y363" s="58">
        <v>260</v>
      </c>
      <c r="Z363" s="58">
        <v>250</v>
      </c>
      <c r="AA363" s="58">
        <v>250</v>
      </c>
      <c r="AB363" s="58">
        <v>250</v>
      </c>
      <c r="AC363" s="58">
        <v>256</v>
      </c>
      <c r="AD363" s="58">
        <v>250</v>
      </c>
      <c r="AE363" s="58">
        <v>260</v>
      </c>
      <c r="AF363" s="58">
        <v>250</v>
      </c>
      <c r="AG363" s="58">
        <v>270</v>
      </c>
      <c r="AH363" s="58">
        <v>290</v>
      </c>
      <c r="AI363" s="58">
        <v>300</v>
      </c>
      <c r="AJ363" s="58">
        <v>295</v>
      </c>
      <c r="AK363" s="58">
        <v>280</v>
      </c>
      <c r="AL363" s="58">
        <v>275</v>
      </c>
      <c r="AM363" s="58">
        <v>300</v>
      </c>
      <c r="AN363" s="58">
        <v>310</v>
      </c>
      <c r="AO363" s="58">
        <v>300</v>
      </c>
      <c r="AP363" s="58">
        <v>315</v>
      </c>
      <c r="AQ363" s="58">
        <v>310</v>
      </c>
      <c r="AR363" s="58">
        <v>330</v>
      </c>
      <c r="AS363" s="58">
        <v>350</v>
      </c>
      <c r="AT363" s="58">
        <v>350</v>
      </c>
      <c r="AU363" s="58">
        <v>350</v>
      </c>
      <c r="AV363" s="58">
        <v>375</v>
      </c>
      <c r="AW363" s="58">
        <v>350</v>
      </c>
      <c r="AX363" s="58">
        <v>360</v>
      </c>
      <c r="AY363" s="58">
        <v>380</v>
      </c>
      <c r="AZ363" s="58">
        <v>390</v>
      </c>
      <c r="BA363" s="58">
        <v>400</v>
      </c>
      <c r="BB363" s="58">
        <v>400</v>
      </c>
      <c r="BC363" s="58">
        <v>430</v>
      </c>
      <c r="BD363" s="58">
        <v>420</v>
      </c>
      <c r="BE363" s="58">
        <v>440</v>
      </c>
      <c r="BF363" s="58">
        <v>450</v>
      </c>
      <c r="BG363" s="58">
        <v>470</v>
      </c>
      <c r="BH363" s="58">
        <v>460</v>
      </c>
    </row>
    <row r="364" spans="2:60" hidden="1" x14ac:dyDescent="0.2">
      <c r="B364" s="59"/>
      <c r="C364" s="59" t="s">
        <v>695</v>
      </c>
      <c r="D364" s="59" t="s">
        <v>652</v>
      </c>
      <c r="E364" s="60">
        <v>350</v>
      </c>
      <c r="F364" s="60">
        <v>340</v>
      </c>
      <c r="G364" s="60">
        <v>350</v>
      </c>
      <c r="H364" s="60">
        <v>350</v>
      </c>
      <c r="I364" s="60">
        <v>350</v>
      </c>
      <c r="J364" s="60">
        <v>340</v>
      </c>
      <c r="K364" s="60">
        <v>336</v>
      </c>
      <c r="L364" s="60">
        <v>340</v>
      </c>
      <c r="M364" s="60">
        <v>345</v>
      </c>
      <c r="N364" s="60">
        <v>330</v>
      </c>
      <c r="O364" s="60">
        <v>320</v>
      </c>
      <c r="P364" s="60">
        <v>320</v>
      </c>
      <c r="Q364" s="60">
        <v>330</v>
      </c>
      <c r="R364" s="60">
        <v>310</v>
      </c>
      <c r="S364" s="60">
        <v>300</v>
      </c>
      <c r="T364" s="60">
        <v>310</v>
      </c>
      <c r="U364" s="60">
        <v>310</v>
      </c>
      <c r="V364" s="60">
        <v>295</v>
      </c>
      <c r="W364" s="60">
        <v>300</v>
      </c>
      <c r="X364" s="60">
        <v>290</v>
      </c>
      <c r="Y364" s="60">
        <v>300</v>
      </c>
      <c r="Z364" s="60">
        <v>285</v>
      </c>
      <c r="AA364" s="60">
        <v>280</v>
      </c>
      <c r="AB364" s="60">
        <v>295</v>
      </c>
      <c r="AC364" s="60">
        <v>300</v>
      </c>
      <c r="AD364" s="60">
        <v>290</v>
      </c>
      <c r="AE364" s="60">
        <v>290</v>
      </c>
      <c r="AF364" s="60">
        <v>300</v>
      </c>
      <c r="AG364" s="60">
        <v>315</v>
      </c>
      <c r="AH364" s="60">
        <v>320</v>
      </c>
      <c r="AI364" s="60">
        <v>320</v>
      </c>
      <c r="AJ364" s="60">
        <v>330</v>
      </c>
      <c r="AK364" s="60">
        <v>335</v>
      </c>
      <c r="AL364" s="60">
        <v>320</v>
      </c>
      <c r="AM364" s="60">
        <v>335</v>
      </c>
      <c r="AN364" s="60">
        <v>350</v>
      </c>
      <c r="AO364" s="60">
        <v>360</v>
      </c>
      <c r="AP364" s="60">
        <v>350</v>
      </c>
      <c r="AQ364" s="60">
        <v>365</v>
      </c>
      <c r="AR364" s="60">
        <v>380</v>
      </c>
      <c r="AS364" s="60">
        <v>390</v>
      </c>
      <c r="AT364" s="60">
        <v>390</v>
      </c>
      <c r="AU364" s="60">
        <v>400</v>
      </c>
      <c r="AV364" s="60">
        <v>420</v>
      </c>
      <c r="AW364" s="60">
        <v>410</v>
      </c>
      <c r="AX364" s="60">
        <v>420</v>
      </c>
      <c r="AY364" s="60">
        <v>435</v>
      </c>
      <c r="AZ364" s="60">
        <v>450</v>
      </c>
      <c r="BA364" s="60">
        <v>460</v>
      </c>
      <c r="BB364" s="60">
        <v>475</v>
      </c>
      <c r="BC364" s="60">
        <v>480</v>
      </c>
      <c r="BD364" s="60">
        <v>500</v>
      </c>
      <c r="BE364" s="60">
        <v>500</v>
      </c>
      <c r="BF364" s="60">
        <v>500</v>
      </c>
      <c r="BG364" s="60">
        <v>525</v>
      </c>
      <c r="BH364" s="60">
        <v>550</v>
      </c>
    </row>
    <row r="365" spans="2:60" hidden="1" x14ac:dyDescent="0.2">
      <c r="B365" s="57"/>
      <c r="C365" s="57" t="s">
        <v>695</v>
      </c>
      <c r="D365" s="57" t="s">
        <v>653</v>
      </c>
      <c r="E365" s="58">
        <v>410</v>
      </c>
      <c r="F365" s="58">
        <v>400</v>
      </c>
      <c r="G365" s="58">
        <v>400</v>
      </c>
      <c r="H365" s="58">
        <v>410</v>
      </c>
      <c r="I365" s="58">
        <v>410</v>
      </c>
      <c r="J365" s="58">
        <v>400</v>
      </c>
      <c r="K365" s="58">
        <v>390</v>
      </c>
      <c r="L365" s="58">
        <v>400</v>
      </c>
      <c r="M365" s="58">
        <v>400</v>
      </c>
      <c r="N365" s="58">
        <v>380</v>
      </c>
      <c r="O365" s="58">
        <v>370</v>
      </c>
      <c r="P365" s="58">
        <v>380</v>
      </c>
      <c r="Q365" s="58">
        <v>375</v>
      </c>
      <c r="R365" s="58">
        <v>355</v>
      </c>
      <c r="S365" s="58">
        <v>360</v>
      </c>
      <c r="T365" s="58">
        <v>360</v>
      </c>
      <c r="U365" s="58">
        <v>365</v>
      </c>
      <c r="V365" s="58">
        <v>350</v>
      </c>
      <c r="W365" s="58">
        <v>340</v>
      </c>
      <c r="X365" s="58">
        <v>350</v>
      </c>
      <c r="Y365" s="58">
        <v>360</v>
      </c>
      <c r="Z365" s="58">
        <v>340</v>
      </c>
      <c r="AA365" s="58">
        <v>340</v>
      </c>
      <c r="AB365" s="58">
        <v>350</v>
      </c>
      <c r="AC365" s="58">
        <v>360</v>
      </c>
      <c r="AD365" s="58">
        <v>350</v>
      </c>
      <c r="AE365" s="58">
        <v>350</v>
      </c>
      <c r="AF365" s="58">
        <v>360</v>
      </c>
      <c r="AG365" s="58">
        <v>380</v>
      </c>
      <c r="AH365" s="58">
        <v>385</v>
      </c>
      <c r="AI365" s="58">
        <v>390</v>
      </c>
      <c r="AJ365" s="58">
        <v>400</v>
      </c>
      <c r="AK365" s="58">
        <v>400</v>
      </c>
      <c r="AL365" s="58">
        <v>390</v>
      </c>
      <c r="AM365" s="58">
        <v>395</v>
      </c>
      <c r="AN365" s="58">
        <v>410</v>
      </c>
      <c r="AO365" s="58">
        <v>420</v>
      </c>
      <c r="AP365" s="58">
        <v>420</v>
      </c>
      <c r="AQ365" s="58">
        <v>420</v>
      </c>
      <c r="AR365" s="58">
        <v>440</v>
      </c>
      <c r="AS365" s="58">
        <v>450</v>
      </c>
      <c r="AT365" s="58">
        <v>460</v>
      </c>
      <c r="AU365" s="58">
        <v>480</v>
      </c>
      <c r="AV365" s="58">
        <v>490</v>
      </c>
      <c r="AW365" s="58">
        <v>495</v>
      </c>
      <c r="AX365" s="58">
        <v>500</v>
      </c>
      <c r="AY365" s="58">
        <v>500</v>
      </c>
      <c r="AZ365" s="58">
        <v>530</v>
      </c>
      <c r="BA365" s="58">
        <v>540</v>
      </c>
      <c r="BB365" s="58">
        <v>550</v>
      </c>
      <c r="BC365" s="58">
        <v>560</v>
      </c>
      <c r="BD365" s="58">
        <v>570</v>
      </c>
      <c r="BE365" s="58">
        <v>580</v>
      </c>
      <c r="BF365" s="58">
        <v>595</v>
      </c>
      <c r="BG365" s="58">
        <v>600</v>
      </c>
      <c r="BH365" s="58">
        <v>625</v>
      </c>
    </row>
    <row r="366" spans="2:60" hidden="1" x14ac:dyDescent="0.2">
      <c r="B366" s="59"/>
      <c r="C366" s="59" t="s">
        <v>695</v>
      </c>
      <c r="D366" s="59" t="s">
        <v>654</v>
      </c>
      <c r="E366" s="60">
        <v>290</v>
      </c>
      <c r="F366" s="60">
        <v>285</v>
      </c>
      <c r="G366" s="60">
        <v>290</v>
      </c>
      <c r="H366" s="60">
        <v>290</v>
      </c>
      <c r="I366" s="60">
        <v>310</v>
      </c>
      <c r="J366" s="60">
        <v>280</v>
      </c>
      <c r="K366" s="60">
        <v>290</v>
      </c>
      <c r="L366" s="60">
        <v>280</v>
      </c>
      <c r="M366" s="60">
        <v>295</v>
      </c>
      <c r="N366" s="60">
        <v>265</v>
      </c>
      <c r="O366" s="60">
        <v>260</v>
      </c>
      <c r="P366" s="60">
        <v>270</v>
      </c>
      <c r="Q366" s="60">
        <v>270</v>
      </c>
      <c r="R366" s="60">
        <v>280</v>
      </c>
      <c r="S366" s="60">
        <v>260</v>
      </c>
      <c r="T366" s="60">
        <v>275</v>
      </c>
      <c r="U366" s="60">
        <v>265</v>
      </c>
      <c r="V366" s="60">
        <v>250</v>
      </c>
      <c r="W366" s="60">
        <v>240</v>
      </c>
      <c r="X366" s="60">
        <v>240</v>
      </c>
      <c r="Y366" s="60">
        <v>250</v>
      </c>
      <c r="Z366" s="60">
        <v>240</v>
      </c>
      <c r="AA366" s="60">
        <v>240</v>
      </c>
      <c r="AB366" s="60">
        <v>250</v>
      </c>
      <c r="AC366" s="60">
        <v>250</v>
      </c>
      <c r="AD366" s="60">
        <v>250</v>
      </c>
      <c r="AE366" s="60">
        <v>250</v>
      </c>
      <c r="AF366" s="60">
        <v>240</v>
      </c>
      <c r="AG366" s="60">
        <v>260</v>
      </c>
      <c r="AH366" s="60">
        <v>280</v>
      </c>
      <c r="AI366" s="60">
        <v>270</v>
      </c>
      <c r="AJ366" s="60">
        <v>280</v>
      </c>
      <c r="AK366" s="60">
        <v>280</v>
      </c>
      <c r="AL366" s="60">
        <v>280</v>
      </c>
      <c r="AM366" s="60">
        <v>280</v>
      </c>
      <c r="AN366" s="60">
        <v>310</v>
      </c>
      <c r="AO366" s="60">
        <v>290</v>
      </c>
      <c r="AP366" s="60">
        <v>295</v>
      </c>
      <c r="AQ366" s="60">
        <v>310</v>
      </c>
      <c r="AR366" s="60">
        <v>310</v>
      </c>
      <c r="AS366" s="60">
        <v>320</v>
      </c>
      <c r="AT366" s="60">
        <v>320</v>
      </c>
      <c r="AU366" s="60">
        <v>345</v>
      </c>
      <c r="AV366" s="60">
        <v>340</v>
      </c>
      <c r="AW366" s="60">
        <v>340</v>
      </c>
      <c r="AX366" s="60">
        <v>350</v>
      </c>
      <c r="AY366" s="60">
        <v>350</v>
      </c>
      <c r="AZ366" s="60">
        <v>370</v>
      </c>
      <c r="BA366" s="60">
        <v>380</v>
      </c>
      <c r="BB366" s="60">
        <v>370</v>
      </c>
      <c r="BC366" s="60">
        <v>390</v>
      </c>
      <c r="BD366" s="60">
        <v>420</v>
      </c>
      <c r="BE366" s="60">
        <v>450</v>
      </c>
      <c r="BF366" s="60">
        <v>420</v>
      </c>
      <c r="BG366" s="60">
        <v>420</v>
      </c>
      <c r="BH366" s="60">
        <v>440</v>
      </c>
    </row>
    <row r="367" spans="2:60" hidden="1" x14ac:dyDescent="0.2">
      <c r="B367" s="57"/>
      <c r="C367" s="57" t="s">
        <v>695</v>
      </c>
      <c r="D367" s="57" t="s">
        <v>655</v>
      </c>
      <c r="E367" s="58">
        <v>360</v>
      </c>
      <c r="F367" s="58">
        <v>370</v>
      </c>
      <c r="G367" s="58">
        <v>350</v>
      </c>
      <c r="H367" s="58">
        <v>370</v>
      </c>
      <c r="I367" s="58">
        <v>365</v>
      </c>
      <c r="J367" s="58">
        <v>350</v>
      </c>
      <c r="K367" s="58">
        <v>365</v>
      </c>
      <c r="L367" s="58">
        <v>350</v>
      </c>
      <c r="M367" s="58">
        <v>350</v>
      </c>
      <c r="N367" s="58">
        <v>345</v>
      </c>
      <c r="O367" s="58">
        <v>330</v>
      </c>
      <c r="P367" s="58">
        <v>340</v>
      </c>
      <c r="Q367" s="58">
        <v>340</v>
      </c>
      <c r="R367" s="58">
        <v>330</v>
      </c>
      <c r="S367" s="58">
        <v>320</v>
      </c>
      <c r="T367" s="58">
        <v>320</v>
      </c>
      <c r="U367" s="58">
        <v>335</v>
      </c>
      <c r="V367" s="58">
        <v>310</v>
      </c>
      <c r="W367" s="58"/>
      <c r="X367" s="58">
        <v>300</v>
      </c>
      <c r="Y367" s="58">
        <v>300</v>
      </c>
      <c r="Z367" s="58">
        <v>300</v>
      </c>
      <c r="AA367" s="58">
        <v>300</v>
      </c>
      <c r="AB367" s="58">
        <v>290</v>
      </c>
      <c r="AC367" s="58">
        <v>300</v>
      </c>
      <c r="AD367" s="58">
        <v>310</v>
      </c>
      <c r="AE367" s="58">
        <v>310</v>
      </c>
      <c r="AF367" s="58">
        <v>300</v>
      </c>
      <c r="AG367" s="58">
        <v>320</v>
      </c>
      <c r="AH367" s="58">
        <v>350</v>
      </c>
      <c r="AI367" s="58">
        <v>350</v>
      </c>
      <c r="AJ367" s="58">
        <v>330</v>
      </c>
      <c r="AK367" s="58">
        <v>350</v>
      </c>
      <c r="AL367" s="58">
        <v>340</v>
      </c>
      <c r="AM367" s="58">
        <v>335</v>
      </c>
      <c r="AN367" s="58">
        <v>350</v>
      </c>
      <c r="AO367" s="58">
        <v>350</v>
      </c>
      <c r="AP367" s="58">
        <v>350</v>
      </c>
      <c r="AQ367" s="58">
        <v>365</v>
      </c>
      <c r="AR367" s="58">
        <v>350</v>
      </c>
      <c r="AS367" s="58">
        <v>395</v>
      </c>
      <c r="AT367" s="58">
        <v>410</v>
      </c>
      <c r="AU367" s="58">
        <v>380</v>
      </c>
      <c r="AV367" s="58">
        <v>395</v>
      </c>
      <c r="AW367" s="58">
        <v>400</v>
      </c>
      <c r="AX367" s="58">
        <v>420</v>
      </c>
      <c r="AY367" s="58">
        <v>410</v>
      </c>
      <c r="AZ367" s="58">
        <v>440</v>
      </c>
      <c r="BA367" s="58">
        <v>450</v>
      </c>
      <c r="BB367" s="58">
        <v>450</v>
      </c>
      <c r="BC367" s="58">
        <v>460</v>
      </c>
      <c r="BD367" s="58">
        <v>460</v>
      </c>
      <c r="BE367" s="58">
        <v>500</v>
      </c>
      <c r="BF367" s="58">
        <v>500</v>
      </c>
      <c r="BG367" s="58">
        <v>500</v>
      </c>
      <c r="BH367" s="58">
        <v>480</v>
      </c>
    </row>
    <row r="368" spans="2:60" hidden="1" x14ac:dyDescent="0.2">
      <c r="B368" s="59"/>
      <c r="C368" s="59" t="s">
        <v>695</v>
      </c>
      <c r="D368" s="59" t="s">
        <v>656</v>
      </c>
      <c r="E368" s="60">
        <v>350</v>
      </c>
      <c r="F368" s="60">
        <v>345</v>
      </c>
      <c r="G368" s="60">
        <v>350</v>
      </c>
      <c r="H368" s="60">
        <v>350</v>
      </c>
      <c r="I368" s="60">
        <v>350</v>
      </c>
      <c r="J368" s="60">
        <v>340</v>
      </c>
      <c r="K368" s="60">
        <v>340</v>
      </c>
      <c r="L368" s="60">
        <v>350</v>
      </c>
      <c r="M368" s="60">
        <v>345</v>
      </c>
      <c r="N368" s="60">
        <v>325</v>
      </c>
      <c r="O368" s="60">
        <v>320</v>
      </c>
      <c r="P368" s="60">
        <v>330</v>
      </c>
      <c r="Q368" s="60">
        <v>330</v>
      </c>
      <c r="R368" s="60">
        <v>310</v>
      </c>
      <c r="S368" s="60">
        <v>310</v>
      </c>
      <c r="T368" s="60">
        <v>320</v>
      </c>
      <c r="U368" s="60">
        <v>310</v>
      </c>
      <c r="V368" s="60">
        <v>300</v>
      </c>
      <c r="W368" s="60">
        <v>300</v>
      </c>
      <c r="X368" s="60">
        <v>300</v>
      </c>
      <c r="Y368" s="60">
        <v>300</v>
      </c>
      <c r="Z368" s="60">
        <v>285</v>
      </c>
      <c r="AA368" s="60">
        <v>290</v>
      </c>
      <c r="AB368" s="60">
        <v>295</v>
      </c>
      <c r="AC368" s="60">
        <v>300</v>
      </c>
      <c r="AD368" s="60">
        <v>300</v>
      </c>
      <c r="AE368" s="60">
        <v>295</v>
      </c>
      <c r="AF368" s="60">
        <v>300</v>
      </c>
      <c r="AG368" s="60">
        <v>325</v>
      </c>
      <c r="AH368" s="60">
        <v>320</v>
      </c>
      <c r="AI368" s="60">
        <v>320</v>
      </c>
      <c r="AJ368" s="60">
        <v>335</v>
      </c>
      <c r="AK368" s="60">
        <v>335</v>
      </c>
      <c r="AL368" s="60">
        <v>330</v>
      </c>
      <c r="AM368" s="60">
        <v>330</v>
      </c>
      <c r="AN368" s="60">
        <v>350</v>
      </c>
      <c r="AO368" s="60">
        <v>350</v>
      </c>
      <c r="AP368" s="60">
        <v>350</v>
      </c>
      <c r="AQ368" s="60">
        <v>355</v>
      </c>
      <c r="AR368" s="60">
        <v>375</v>
      </c>
      <c r="AS368" s="60">
        <v>380</v>
      </c>
      <c r="AT368" s="60">
        <v>380</v>
      </c>
      <c r="AU368" s="60">
        <v>400</v>
      </c>
      <c r="AV368" s="60">
        <v>410</v>
      </c>
      <c r="AW368" s="60">
        <v>410</v>
      </c>
      <c r="AX368" s="60">
        <v>420</v>
      </c>
      <c r="AY368" s="60">
        <v>430</v>
      </c>
      <c r="AZ368" s="60">
        <v>450</v>
      </c>
      <c r="BA368" s="60">
        <v>460</v>
      </c>
      <c r="BB368" s="60">
        <v>470</v>
      </c>
      <c r="BC368" s="60">
        <v>480</v>
      </c>
      <c r="BD368" s="60">
        <v>490</v>
      </c>
      <c r="BE368" s="60">
        <v>500</v>
      </c>
      <c r="BF368" s="60">
        <v>500</v>
      </c>
      <c r="BG368" s="60">
        <v>520</v>
      </c>
      <c r="BH368" s="60">
        <v>540</v>
      </c>
    </row>
    <row r="369" spans="2:60" hidden="1" x14ac:dyDescent="0.2">
      <c r="B369" s="57"/>
      <c r="C369" s="57" t="s">
        <v>696</v>
      </c>
      <c r="D369" s="57" t="s">
        <v>648</v>
      </c>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row>
    <row r="370" spans="2:60" hidden="1" x14ac:dyDescent="0.2">
      <c r="B370" s="59"/>
      <c r="C370" s="59" t="s">
        <v>696</v>
      </c>
      <c r="D370" s="59" t="s">
        <v>649</v>
      </c>
      <c r="E370" s="60"/>
      <c r="F370" s="60"/>
      <c r="G370" s="60"/>
      <c r="H370" s="60"/>
      <c r="I370" s="60"/>
      <c r="J370" s="60"/>
      <c r="K370" s="60">
        <v>600</v>
      </c>
      <c r="L370" s="60"/>
      <c r="M370" s="60"/>
      <c r="N370" s="60"/>
      <c r="O370" s="60"/>
      <c r="P370" s="60"/>
      <c r="Q370" s="60">
        <v>550</v>
      </c>
      <c r="R370" s="60"/>
      <c r="S370" s="60"/>
      <c r="T370" s="60"/>
      <c r="U370" s="60"/>
      <c r="V370" s="60"/>
      <c r="W370" s="60"/>
      <c r="X370" s="60"/>
      <c r="Y370" s="60"/>
      <c r="Z370" s="60"/>
      <c r="AA370" s="60">
        <v>535</v>
      </c>
      <c r="AB370" s="60"/>
      <c r="AC370" s="60">
        <v>500</v>
      </c>
      <c r="AD370" s="60"/>
      <c r="AE370" s="60">
        <v>525</v>
      </c>
      <c r="AF370" s="60">
        <v>525</v>
      </c>
      <c r="AG370" s="60"/>
      <c r="AH370" s="60"/>
      <c r="AI370" s="60">
        <v>550</v>
      </c>
      <c r="AJ370" s="60"/>
      <c r="AK370" s="60">
        <v>500</v>
      </c>
      <c r="AL370" s="60">
        <v>500</v>
      </c>
      <c r="AM370" s="60">
        <v>500</v>
      </c>
      <c r="AN370" s="60">
        <v>500</v>
      </c>
      <c r="AO370" s="60">
        <v>500</v>
      </c>
      <c r="AP370" s="60">
        <v>500</v>
      </c>
      <c r="AQ370" s="60">
        <v>530</v>
      </c>
      <c r="AR370" s="60">
        <v>550</v>
      </c>
      <c r="AS370" s="60">
        <v>575</v>
      </c>
      <c r="AT370" s="60">
        <v>550</v>
      </c>
      <c r="AU370" s="60">
        <v>600</v>
      </c>
      <c r="AV370" s="60">
        <v>580</v>
      </c>
      <c r="AW370" s="60"/>
      <c r="AX370" s="60"/>
      <c r="AY370" s="60">
        <v>600</v>
      </c>
      <c r="AZ370" s="60"/>
      <c r="BA370" s="60">
        <v>600</v>
      </c>
      <c r="BB370" s="60"/>
      <c r="BC370" s="60">
        <v>675</v>
      </c>
      <c r="BD370" s="60">
        <v>750</v>
      </c>
      <c r="BE370" s="60"/>
      <c r="BF370" s="60"/>
      <c r="BG370" s="60">
        <v>750</v>
      </c>
      <c r="BH370" s="60">
        <v>700</v>
      </c>
    </row>
    <row r="371" spans="2:60" hidden="1" x14ac:dyDescent="0.2">
      <c r="B371" s="57"/>
      <c r="C371" s="57" t="s">
        <v>696</v>
      </c>
      <c r="D371" s="57" t="s">
        <v>650</v>
      </c>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v>595</v>
      </c>
      <c r="AC371" s="58"/>
      <c r="AD371" s="58"/>
      <c r="AE371" s="58"/>
      <c r="AF371" s="58"/>
      <c r="AG371" s="58"/>
      <c r="AH371" s="58"/>
      <c r="AI371" s="58"/>
      <c r="AJ371" s="58">
        <v>580</v>
      </c>
      <c r="AK371" s="58">
        <v>580</v>
      </c>
      <c r="AL371" s="58">
        <v>600</v>
      </c>
      <c r="AM371" s="58"/>
      <c r="AN371" s="58"/>
      <c r="AO371" s="58"/>
      <c r="AP371" s="58"/>
      <c r="AQ371" s="58"/>
      <c r="AR371" s="58"/>
      <c r="AS371" s="58"/>
      <c r="AT371" s="58">
        <v>660</v>
      </c>
      <c r="AU371" s="58"/>
      <c r="AV371" s="58"/>
      <c r="AW371" s="58"/>
      <c r="AX371" s="58"/>
      <c r="AY371" s="58">
        <v>650</v>
      </c>
      <c r="AZ371" s="58"/>
      <c r="BA371" s="58"/>
      <c r="BB371" s="58"/>
      <c r="BC371" s="58"/>
      <c r="BD371" s="58"/>
      <c r="BE371" s="58"/>
      <c r="BF371" s="58"/>
      <c r="BG371" s="58"/>
      <c r="BH371" s="58">
        <v>800</v>
      </c>
    </row>
    <row r="372" spans="2:60" hidden="1" x14ac:dyDescent="0.2">
      <c r="B372" s="59"/>
      <c r="C372" s="59" t="s">
        <v>696</v>
      </c>
      <c r="D372" s="59" t="s">
        <v>651</v>
      </c>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0"/>
      <c r="BG372" s="60"/>
      <c r="BH372" s="60"/>
    </row>
    <row r="373" spans="2:60" hidden="1" x14ac:dyDescent="0.2">
      <c r="B373" s="57"/>
      <c r="C373" s="57" t="s">
        <v>696</v>
      </c>
      <c r="D373" s="57" t="s">
        <v>652</v>
      </c>
      <c r="E373" s="58"/>
      <c r="F373" s="58"/>
      <c r="G373" s="58"/>
      <c r="H373" s="58"/>
      <c r="I373" s="58"/>
      <c r="J373" s="58"/>
      <c r="K373" s="58"/>
      <c r="L373" s="58"/>
      <c r="M373" s="58"/>
      <c r="N373" s="58"/>
      <c r="O373" s="58"/>
      <c r="P373" s="58"/>
      <c r="Q373" s="58"/>
      <c r="R373" s="58"/>
      <c r="S373" s="58"/>
      <c r="T373" s="58"/>
      <c r="U373" s="58"/>
      <c r="V373" s="58"/>
      <c r="W373" s="58"/>
      <c r="X373" s="58"/>
      <c r="Y373" s="58">
        <v>600</v>
      </c>
      <c r="Z373" s="58"/>
      <c r="AA373" s="58"/>
      <c r="AB373" s="58"/>
      <c r="AC373" s="58"/>
      <c r="AD373" s="58"/>
      <c r="AE373" s="58"/>
      <c r="AF373" s="58"/>
      <c r="AG373" s="58"/>
      <c r="AH373" s="58"/>
      <c r="AI373" s="58"/>
      <c r="AJ373" s="58"/>
      <c r="AK373" s="58">
        <v>650</v>
      </c>
      <c r="AL373" s="58">
        <v>650</v>
      </c>
      <c r="AM373" s="58">
        <v>620</v>
      </c>
      <c r="AN373" s="58"/>
      <c r="AO373" s="58">
        <v>700</v>
      </c>
      <c r="AP373" s="58">
        <v>700</v>
      </c>
      <c r="AQ373" s="58">
        <v>700</v>
      </c>
      <c r="AR373" s="58">
        <v>710</v>
      </c>
      <c r="AS373" s="58">
        <v>700</v>
      </c>
      <c r="AT373" s="58"/>
      <c r="AU373" s="58"/>
      <c r="AV373" s="58"/>
      <c r="AW373" s="58"/>
      <c r="AX373" s="58"/>
      <c r="AY373" s="58">
        <v>750</v>
      </c>
      <c r="AZ373" s="58">
        <v>750</v>
      </c>
      <c r="BA373" s="58"/>
      <c r="BB373" s="58"/>
      <c r="BC373" s="58"/>
      <c r="BD373" s="58"/>
      <c r="BE373" s="58"/>
      <c r="BF373" s="58"/>
      <c r="BG373" s="58"/>
      <c r="BH373" s="58">
        <v>850</v>
      </c>
    </row>
    <row r="374" spans="2:60" hidden="1" x14ac:dyDescent="0.2">
      <c r="B374" s="59"/>
      <c r="C374" s="59" t="s">
        <v>696</v>
      </c>
      <c r="D374" s="59" t="s">
        <v>653</v>
      </c>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v>725</v>
      </c>
      <c r="AM374" s="60"/>
      <c r="AN374" s="60"/>
      <c r="AO374" s="60">
        <v>800</v>
      </c>
      <c r="AP374" s="60"/>
      <c r="AQ374" s="60"/>
      <c r="AR374" s="60"/>
      <c r="AS374" s="60"/>
      <c r="AT374" s="60"/>
      <c r="AU374" s="60"/>
      <c r="AV374" s="60"/>
      <c r="AW374" s="60"/>
      <c r="AX374" s="60"/>
      <c r="AY374" s="60"/>
      <c r="AZ374" s="60"/>
      <c r="BA374" s="60"/>
      <c r="BB374" s="60"/>
      <c r="BC374" s="60"/>
      <c r="BD374" s="60"/>
      <c r="BE374" s="60"/>
      <c r="BF374" s="60"/>
      <c r="BG374" s="60"/>
      <c r="BH374" s="60"/>
    </row>
    <row r="375" spans="2:60" hidden="1" x14ac:dyDescent="0.2">
      <c r="B375" s="57"/>
      <c r="C375" s="57" t="s">
        <v>696</v>
      </c>
      <c r="D375" s="57" t="s">
        <v>654</v>
      </c>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v>750</v>
      </c>
    </row>
    <row r="376" spans="2:60" hidden="1" x14ac:dyDescent="0.2">
      <c r="B376" s="59"/>
      <c r="C376" s="59" t="s">
        <v>696</v>
      </c>
      <c r="D376" s="59" t="s">
        <v>655</v>
      </c>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0"/>
      <c r="BG376" s="60"/>
      <c r="BH376" s="60"/>
    </row>
    <row r="377" spans="2:60" hidden="1" x14ac:dyDescent="0.2">
      <c r="B377" s="57"/>
      <c r="C377" s="57" t="s">
        <v>696</v>
      </c>
      <c r="D377" s="57" t="s">
        <v>656</v>
      </c>
      <c r="E377" s="58">
        <v>300</v>
      </c>
      <c r="F377" s="58">
        <v>700</v>
      </c>
      <c r="G377" s="58"/>
      <c r="H377" s="58"/>
      <c r="I377" s="58">
        <v>450</v>
      </c>
      <c r="J377" s="58"/>
      <c r="K377" s="58">
        <v>700</v>
      </c>
      <c r="L377" s="58"/>
      <c r="M377" s="58">
        <v>600</v>
      </c>
      <c r="N377" s="58">
        <v>550</v>
      </c>
      <c r="O377" s="58">
        <v>650</v>
      </c>
      <c r="P377" s="58">
        <v>650</v>
      </c>
      <c r="Q377" s="58">
        <v>575</v>
      </c>
      <c r="R377" s="58">
        <v>630</v>
      </c>
      <c r="S377" s="58">
        <v>650</v>
      </c>
      <c r="T377" s="58">
        <v>650</v>
      </c>
      <c r="U377" s="58">
        <v>550</v>
      </c>
      <c r="V377" s="58">
        <v>650</v>
      </c>
      <c r="W377" s="58">
        <v>520</v>
      </c>
      <c r="X377" s="58">
        <v>600</v>
      </c>
      <c r="Y377" s="58">
        <v>585</v>
      </c>
      <c r="Z377" s="58">
        <v>600</v>
      </c>
      <c r="AA377" s="58">
        <v>585</v>
      </c>
      <c r="AB377" s="58">
        <v>600</v>
      </c>
      <c r="AC377" s="58">
        <v>500</v>
      </c>
      <c r="AD377" s="58">
        <v>550</v>
      </c>
      <c r="AE377" s="58">
        <v>500</v>
      </c>
      <c r="AF377" s="58">
        <v>600</v>
      </c>
      <c r="AG377" s="58">
        <v>700</v>
      </c>
      <c r="AH377" s="58">
        <v>600</v>
      </c>
      <c r="AI377" s="58">
        <v>560</v>
      </c>
      <c r="AJ377" s="58">
        <v>600</v>
      </c>
      <c r="AK377" s="58">
        <v>580</v>
      </c>
      <c r="AL377" s="58">
        <v>580</v>
      </c>
      <c r="AM377" s="58">
        <v>580</v>
      </c>
      <c r="AN377" s="58">
        <v>580</v>
      </c>
      <c r="AO377" s="58">
        <v>600</v>
      </c>
      <c r="AP377" s="58">
        <v>650</v>
      </c>
      <c r="AQ377" s="58">
        <v>625</v>
      </c>
      <c r="AR377" s="58">
        <v>650</v>
      </c>
      <c r="AS377" s="58">
        <v>600</v>
      </c>
      <c r="AT377" s="58">
        <v>600</v>
      </c>
      <c r="AU377" s="58">
        <v>650</v>
      </c>
      <c r="AV377" s="58">
        <v>650</v>
      </c>
      <c r="AW377" s="58">
        <v>675</v>
      </c>
      <c r="AX377" s="58">
        <v>675</v>
      </c>
      <c r="AY377" s="58">
        <v>705</v>
      </c>
      <c r="AZ377" s="58">
        <v>700</v>
      </c>
      <c r="BA377" s="58">
        <v>700</v>
      </c>
      <c r="BB377" s="58">
        <v>730</v>
      </c>
      <c r="BC377" s="58">
        <v>750</v>
      </c>
      <c r="BD377" s="58">
        <v>750</v>
      </c>
      <c r="BE377" s="58">
        <v>700</v>
      </c>
      <c r="BF377" s="58">
        <v>725</v>
      </c>
      <c r="BG377" s="58">
        <v>750</v>
      </c>
      <c r="BH377" s="58">
        <v>780</v>
      </c>
    </row>
    <row r="378" spans="2:60" hidden="1" x14ac:dyDescent="0.2">
      <c r="B378" s="59"/>
      <c r="C378" s="59" t="s">
        <v>697</v>
      </c>
      <c r="D378" s="59" t="s">
        <v>648</v>
      </c>
      <c r="E378" s="60"/>
      <c r="F378" s="60">
        <v>175</v>
      </c>
      <c r="G378" s="60">
        <v>175</v>
      </c>
      <c r="H378" s="60"/>
      <c r="I378" s="60">
        <v>180</v>
      </c>
      <c r="J378" s="60">
        <v>125</v>
      </c>
      <c r="K378" s="60">
        <v>225</v>
      </c>
      <c r="L378" s="60">
        <v>180</v>
      </c>
      <c r="M378" s="60"/>
      <c r="N378" s="60">
        <v>190</v>
      </c>
      <c r="O378" s="60"/>
      <c r="P378" s="60"/>
      <c r="Q378" s="60">
        <v>160</v>
      </c>
      <c r="R378" s="60">
        <v>150</v>
      </c>
      <c r="S378" s="60"/>
      <c r="T378" s="60"/>
      <c r="U378" s="60"/>
      <c r="V378" s="60">
        <v>150</v>
      </c>
      <c r="W378" s="60"/>
      <c r="X378" s="60"/>
      <c r="Y378" s="60"/>
      <c r="Z378" s="60">
        <v>130</v>
      </c>
      <c r="AA378" s="60">
        <v>150</v>
      </c>
      <c r="AB378" s="60">
        <v>140</v>
      </c>
      <c r="AC378" s="60">
        <v>144</v>
      </c>
      <c r="AD378" s="60">
        <v>130</v>
      </c>
      <c r="AE378" s="60"/>
      <c r="AF378" s="60">
        <v>150</v>
      </c>
      <c r="AG378" s="60"/>
      <c r="AH378" s="60">
        <v>145</v>
      </c>
      <c r="AI378" s="60">
        <v>160</v>
      </c>
      <c r="AJ378" s="60">
        <v>160</v>
      </c>
      <c r="AK378" s="60">
        <v>135</v>
      </c>
      <c r="AL378" s="60">
        <v>160</v>
      </c>
      <c r="AM378" s="60"/>
      <c r="AN378" s="60">
        <v>155</v>
      </c>
      <c r="AO378" s="60"/>
      <c r="AP378" s="60">
        <v>165</v>
      </c>
      <c r="AQ378" s="60">
        <v>155</v>
      </c>
      <c r="AR378" s="60"/>
      <c r="AS378" s="60">
        <v>170</v>
      </c>
      <c r="AT378" s="60">
        <v>150</v>
      </c>
      <c r="AU378" s="60">
        <v>200</v>
      </c>
      <c r="AV378" s="60">
        <v>180</v>
      </c>
      <c r="AW378" s="60"/>
      <c r="AX378" s="60">
        <v>230</v>
      </c>
      <c r="AY378" s="60">
        <v>230</v>
      </c>
      <c r="AZ378" s="60">
        <v>200</v>
      </c>
      <c r="BA378" s="60"/>
      <c r="BB378" s="60"/>
      <c r="BC378" s="60"/>
      <c r="BD378" s="60">
        <v>240</v>
      </c>
      <c r="BE378" s="60">
        <v>200</v>
      </c>
      <c r="BF378" s="60">
        <v>250</v>
      </c>
      <c r="BG378" s="60">
        <v>290</v>
      </c>
      <c r="BH378" s="60">
        <v>300</v>
      </c>
    </row>
    <row r="379" spans="2:60" hidden="1" x14ac:dyDescent="0.2">
      <c r="B379" s="57"/>
      <c r="C379" s="57" t="s">
        <v>697</v>
      </c>
      <c r="D379" s="57" t="s">
        <v>649</v>
      </c>
      <c r="E379" s="58">
        <v>215</v>
      </c>
      <c r="F379" s="58">
        <v>260</v>
      </c>
      <c r="G379" s="58">
        <v>250</v>
      </c>
      <c r="H379" s="58">
        <v>270</v>
      </c>
      <c r="I379" s="58">
        <v>260</v>
      </c>
      <c r="J379" s="58">
        <v>240</v>
      </c>
      <c r="K379" s="58">
        <v>250</v>
      </c>
      <c r="L379" s="58">
        <v>280</v>
      </c>
      <c r="M379" s="58">
        <v>270</v>
      </c>
      <c r="N379" s="58">
        <v>255</v>
      </c>
      <c r="O379" s="58">
        <v>245</v>
      </c>
      <c r="P379" s="58">
        <v>220</v>
      </c>
      <c r="Q379" s="58">
        <v>195</v>
      </c>
      <c r="R379" s="58">
        <v>190</v>
      </c>
      <c r="S379" s="58">
        <v>170</v>
      </c>
      <c r="T379" s="58">
        <v>165</v>
      </c>
      <c r="U379" s="58">
        <v>170</v>
      </c>
      <c r="V379" s="58">
        <v>160</v>
      </c>
      <c r="W379" s="58">
        <v>150</v>
      </c>
      <c r="X379" s="58">
        <v>160</v>
      </c>
      <c r="Y379" s="58">
        <v>160</v>
      </c>
      <c r="Z379" s="58">
        <v>170</v>
      </c>
      <c r="AA379" s="58">
        <v>165</v>
      </c>
      <c r="AB379" s="58">
        <v>170</v>
      </c>
      <c r="AC379" s="58">
        <v>170</v>
      </c>
      <c r="AD379" s="58">
        <v>180</v>
      </c>
      <c r="AE379" s="58">
        <v>170</v>
      </c>
      <c r="AF379" s="58">
        <v>185</v>
      </c>
      <c r="AG379" s="58">
        <v>200</v>
      </c>
      <c r="AH379" s="58">
        <v>180</v>
      </c>
      <c r="AI379" s="58">
        <v>190</v>
      </c>
      <c r="AJ379" s="58">
        <v>185</v>
      </c>
      <c r="AK379" s="58">
        <v>195</v>
      </c>
      <c r="AL379" s="58">
        <v>200</v>
      </c>
      <c r="AM379" s="58">
        <v>185</v>
      </c>
      <c r="AN379" s="58">
        <v>205</v>
      </c>
      <c r="AO379" s="58">
        <v>215</v>
      </c>
      <c r="AP379" s="58">
        <v>230</v>
      </c>
      <c r="AQ379" s="58">
        <v>230</v>
      </c>
      <c r="AR379" s="58">
        <v>220</v>
      </c>
      <c r="AS379" s="58">
        <v>225</v>
      </c>
      <c r="AT379" s="58">
        <v>251</v>
      </c>
      <c r="AU379" s="58">
        <v>240</v>
      </c>
      <c r="AV379" s="58">
        <v>240</v>
      </c>
      <c r="AW379" s="58">
        <v>250</v>
      </c>
      <c r="AX379" s="58">
        <v>270</v>
      </c>
      <c r="AY379" s="58">
        <v>285</v>
      </c>
      <c r="AZ379" s="58">
        <v>300</v>
      </c>
      <c r="BA379" s="58">
        <v>300</v>
      </c>
      <c r="BB379" s="58">
        <v>320</v>
      </c>
      <c r="BC379" s="58">
        <v>320</v>
      </c>
      <c r="BD379" s="58">
        <v>290</v>
      </c>
      <c r="BE379" s="58">
        <v>325</v>
      </c>
      <c r="BF379" s="58">
        <v>300</v>
      </c>
      <c r="BG379" s="58">
        <v>330</v>
      </c>
      <c r="BH379" s="58">
        <v>340</v>
      </c>
    </row>
    <row r="380" spans="2:60" hidden="1" x14ac:dyDescent="0.2">
      <c r="B380" s="59"/>
      <c r="C380" s="59" t="s">
        <v>697</v>
      </c>
      <c r="D380" s="59" t="s">
        <v>650</v>
      </c>
      <c r="E380" s="60">
        <v>450</v>
      </c>
      <c r="F380" s="60">
        <v>420</v>
      </c>
      <c r="G380" s="60">
        <v>450</v>
      </c>
      <c r="H380" s="60">
        <v>500</v>
      </c>
      <c r="I380" s="60">
        <v>550</v>
      </c>
      <c r="J380" s="60">
        <v>500</v>
      </c>
      <c r="K380" s="60">
        <v>490</v>
      </c>
      <c r="L380" s="60">
        <v>490</v>
      </c>
      <c r="M380" s="60">
        <v>450</v>
      </c>
      <c r="N380" s="60">
        <v>375</v>
      </c>
      <c r="O380" s="60">
        <v>335</v>
      </c>
      <c r="P380" s="60">
        <v>280</v>
      </c>
      <c r="Q380" s="60">
        <v>250</v>
      </c>
      <c r="R380" s="60">
        <v>225</v>
      </c>
      <c r="S380" s="60">
        <v>195</v>
      </c>
      <c r="T380" s="60">
        <v>190</v>
      </c>
      <c r="U380" s="60">
        <v>200</v>
      </c>
      <c r="V380" s="60">
        <v>200</v>
      </c>
      <c r="W380" s="60"/>
      <c r="X380" s="60">
        <v>180</v>
      </c>
      <c r="Y380" s="60">
        <v>180</v>
      </c>
      <c r="Z380" s="60">
        <v>180</v>
      </c>
      <c r="AA380" s="60">
        <v>180</v>
      </c>
      <c r="AB380" s="60">
        <v>190</v>
      </c>
      <c r="AC380" s="60">
        <v>200</v>
      </c>
      <c r="AD380" s="60">
        <v>205</v>
      </c>
      <c r="AE380" s="60">
        <v>200</v>
      </c>
      <c r="AF380" s="60">
        <v>210</v>
      </c>
      <c r="AG380" s="60">
        <v>215</v>
      </c>
      <c r="AH380" s="60">
        <v>220</v>
      </c>
      <c r="AI380" s="60">
        <v>230</v>
      </c>
      <c r="AJ380" s="60">
        <v>220</v>
      </c>
      <c r="AK380" s="60">
        <v>230</v>
      </c>
      <c r="AL380" s="60">
        <v>230</v>
      </c>
      <c r="AM380" s="60">
        <v>245</v>
      </c>
      <c r="AN380" s="60">
        <v>235</v>
      </c>
      <c r="AO380" s="60">
        <v>260</v>
      </c>
      <c r="AP380" s="60">
        <v>260</v>
      </c>
      <c r="AQ380" s="60">
        <v>290</v>
      </c>
      <c r="AR380" s="60">
        <v>280</v>
      </c>
      <c r="AS380" s="60">
        <v>290</v>
      </c>
      <c r="AT380" s="60">
        <v>320</v>
      </c>
      <c r="AU380" s="60">
        <v>330</v>
      </c>
      <c r="AV380" s="60">
        <v>330</v>
      </c>
      <c r="AW380" s="60">
        <v>360</v>
      </c>
      <c r="AX380" s="60">
        <v>340</v>
      </c>
      <c r="AY380" s="60">
        <v>340</v>
      </c>
      <c r="AZ380" s="60">
        <v>370</v>
      </c>
      <c r="BA380" s="60">
        <v>390</v>
      </c>
      <c r="BB380" s="60">
        <v>390</v>
      </c>
      <c r="BC380" s="60">
        <v>400</v>
      </c>
      <c r="BD380" s="60">
        <v>380</v>
      </c>
      <c r="BE380" s="60">
        <v>400</v>
      </c>
      <c r="BF380" s="60">
        <v>410</v>
      </c>
      <c r="BG380" s="60">
        <v>420</v>
      </c>
      <c r="BH380" s="60">
        <v>430</v>
      </c>
    </row>
    <row r="381" spans="2:60" hidden="1" x14ac:dyDescent="0.2">
      <c r="B381" s="57"/>
      <c r="C381" s="57" t="s">
        <v>697</v>
      </c>
      <c r="D381" s="57" t="s">
        <v>651</v>
      </c>
      <c r="E381" s="58">
        <v>250</v>
      </c>
      <c r="F381" s="58">
        <v>250</v>
      </c>
      <c r="G381" s="58">
        <v>250</v>
      </c>
      <c r="H381" s="58">
        <v>265</v>
      </c>
      <c r="I381" s="58">
        <v>250</v>
      </c>
      <c r="J381" s="58">
        <v>280</v>
      </c>
      <c r="K381" s="58">
        <v>290</v>
      </c>
      <c r="L381" s="58">
        <v>280</v>
      </c>
      <c r="M381" s="58">
        <v>265</v>
      </c>
      <c r="N381" s="58">
        <v>250</v>
      </c>
      <c r="O381" s="58">
        <v>230</v>
      </c>
      <c r="P381" s="58">
        <v>230</v>
      </c>
      <c r="Q381" s="58">
        <v>210</v>
      </c>
      <c r="R381" s="58"/>
      <c r="S381" s="58">
        <v>200</v>
      </c>
      <c r="T381" s="58">
        <v>170</v>
      </c>
      <c r="U381" s="58">
        <v>200</v>
      </c>
      <c r="V381" s="58">
        <v>170</v>
      </c>
      <c r="W381" s="58">
        <v>185</v>
      </c>
      <c r="X381" s="58">
        <v>180</v>
      </c>
      <c r="Y381" s="58">
        <v>200</v>
      </c>
      <c r="Z381" s="58">
        <v>185</v>
      </c>
      <c r="AA381" s="58">
        <v>210</v>
      </c>
      <c r="AB381" s="58">
        <v>200</v>
      </c>
      <c r="AC381" s="58">
        <v>190</v>
      </c>
      <c r="AD381" s="58">
        <v>190</v>
      </c>
      <c r="AE381" s="58">
        <v>200</v>
      </c>
      <c r="AF381" s="58">
        <v>200</v>
      </c>
      <c r="AG381" s="58">
        <v>210</v>
      </c>
      <c r="AH381" s="58">
        <v>200</v>
      </c>
      <c r="AI381" s="58">
        <v>200</v>
      </c>
      <c r="AJ381" s="58">
        <v>210</v>
      </c>
      <c r="AK381" s="58">
        <v>195</v>
      </c>
      <c r="AL381" s="58">
        <v>200</v>
      </c>
      <c r="AM381" s="58">
        <v>195</v>
      </c>
      <c r="AN381" s="58">
        <v>220</v>
      </c>
      <c r="AO381" s="58"/>
      <c r="AP381" s="58">
        <v>250</v>
      </c>
      <c r="AQ381" s="58">
        <v>240</v>
      </c>
      <c r="AR381" s="58">
        <v>250</v>
      </c>
      <c r="AS381" s="58"/>
      <c r="AT381" s="58">
        <v>300</v>
      </c>
      <c r="AU381" s="58">
        <v>295</v>
      </c>
      <c r="AV381" s="58"/>
      <c r="AW381" s="58">
        <v>300</v>
      </c>
      <c r="AX381" s="58">
        <v>275</v>
      </c>
      <c r="AY381" s="58">
        <v>330</v>
      </c>
      <c r="AZ381" s="58"/>
      <c r="BA381" s="58"/>
      <c r="BB381" s="58"/>
      <c r="BC381" s="58"/>
      <c r="BD381" s="58">
        <v>330</v>
      </c>
      <c r="BE381" s="58"/>
      <c r="BF381" s="58">
        <v>350</v>
      </c>
      <c r="BG381" s="58">
        <v>380</v>
      </c>
      <c r="BH381" s="58">
        <v>380</v>
      </c>
    </row>
    <row r="382" spans="2:60" hidden="1" x14ac:dyDescent="0.2">
      <c r="B382" s="59"/>
      <c r="C382" s="59" t="s">
        <v>697</v>
      </c>
      <c r="D382" s="59" t="s">
        <v>652</v>
      </c>
      <c r="E382" s="60">
        <v>300</v>
      </c>
      <c r="F382" s="60">
        <v>310</v>
      </c>
      <c r="G382" s="60">
        <v>320</v>
      </c>
      <c r="H382" s="60">
        <v>320</v>
      </c>
      <c r="I382" s="60">
        <v>345</v>
      </c>
      <c r="J382" s="60">
        <v>340</v>
      </c>
      <c r="K382" s="60">
        <v>350</v>
      </c>
      <c r="L382" s="60">
        <v>350</v>
      </c>
      <c r="M382" s="60">
        <v>320</v>
      </c>
      <c r="N382" s="60">
        <v>300</v>
      </c>
      <c r="O382" s="60">
        <v>295</v>
      </c>
      <c r="P382" s="60">
        <v>260</v>
      </c>
      <c r="Q382" s="60">
        <v>250</v>
      </c>
      <c r="R382" s="60">
        <v>230</v>
      </c>
      <c r="S382" s="60">
        <v>220</v>
      </c>
      <c r="T382" s="60">
        <v>215</v>
      </c>
      <c r="U382" s="60">
        <v>220</v>
      </c>
      <c r="V382" s="60">
        <v>210</v>
      </c>
      <c r="W382" s="60">
        <v>210</v>
      </c>
      <c r="X382" s="60">
        <v>200</v>
      </c>
      <c r="Y382" s="60">
        <v>215</v>
      </c>
      <c r="Z382" s="60">
        <v>220</v>
      </c>
      <c r="AA382" s="60">
        <v>230</v>
      </c>
      <c r="AB382" s="60">
        <v>220</v>
      </c>
      <c r="AC382" s="60">
        <v>230</v>
      </c>
      <c r="AD382" s="60">
        <v>240</v>
      </c>
      <c r="AE382" s="60">
        <v>240</v>
      </c>
      <c r="AF382" s="60">
        <v>230</v>
      </c>
      <c r="AG382" s="60">
        <v>240</v>
      </c>
      <c r="AH382" s="60">
        <v>250</v>
      </c>
      <c r="AI382" s="60">
        <v>240</v>
      </c>
      <c r="AJ382" s="60">
        <v>240</v>
      </c>
      <c r="AK382" s="60">
        <v>250</v>
      </c>
      <c r="AL382" s="60">
        <v>240</v>
      </c>
      <c r="AM382" s="60">
        <v>250</v>
      </c>
      <c r="AN382" s="60">
        <v>260</v>
      </c>
      <c r="AO382" s="60">
        <v>250</v>
      </c>
      <c r="AP382" s="60">
        <v>260</v>
      </c>
      <c r="AQ382" s="60">
        <v>275</v>
      </c>
      <c r="AR382" s="60">
        <v>280</v>
      </c>
      <c r="AS382" s="60">
        <v>290</v>
      </c>
      <c r="AT382" s="60">
        <v>300</v>
      </c>
      <c r="AU382" s="60">
        <v>310</v>
      </c>
      <c r="AV382" s="60">
        <v>330</v>
      </c>
      <c r="AW382" s="60">
        <v>350</v>
      </c>
      <c r="AX382" s="60">
        <v>340</v>
      </c>
      <c r="AY382" s="60">
        <v>350</v>
      </c>
      <c r="AZ382" s="60">
        <v>400</v>
      </c>
      <c r="BA382" s="60">
        <v>400</v>
      </c>
      <c r="BB382" s="60">
        <v>395</v>
      </c>
      <c r="BC382" s="60">
        <v>400</v>
      </c>
      <c r="BD382" s="60">
        <v>400</v>
      </c>
      <c r="BE382" s="60">
        <v>440</v>
      </c>
      <c r="BF382" s="60">
        <v>450</v>
      </c>
      <c r="BG382" s="60">
        <v>470</v>
      </c>
      <c r="BH382" s="60">
        <v>450</v>
      </c>
    </row>
    <row r="383" spans="2:60" hidden="1" x14ac:dyDescent="0.2">
      <c r="B383" s="57"/>
      <c r="C383" s="57" t="s">
        <v>697</v>
      </c>
      <c r="D383" s="57" t="s">
        <v>653</v>
      </c>
      <c r="E383" s="58">
        <v>400</v>
      </c>
      <c r="F383" s="58">
        <v>430</v>
      </c>
      <c r="G383" s="58">
        <v>450</v>
      </c>
      <c r="H383" s="58">
        <v>440</v>
      </c>
      <c r="I383" s="58">
        <v>450</v>
      </c>
      <c r="J383" s="58">
        <v>490</v>
      </c>
      <c r="K383" s="58">
        <v>550</v>
      </c>
      <c r="L383" s="58">
        <v>520</v>
      </c>
      <c r="M383" s="58">
        <v>450</v>
      </c>
      <c r="N383" s="58">
        <v>400</v>
      </c>
      <c r="O383" s="58">
        <v>360</v>
      </c>
      <c r="P383" s="58">
        <v>310</v>
      </c>
      <c r="Q383" s="58">
        <v>310</v>
      </c>
      <c r="R383" s="58">
        <v>290</v>
      </c>
      <c r="S383" s="58">
        <v>285</v>
      </c>
      <c r="T383" s="58">
        <v>270</v>
      </c>
      <c r="U383" s="58">
        <v>270</v>
      </c>
      <c r="V383" s="58">
        <v>260</v>
      </c>
      <c r="W383" s="58">
        <v>270</v>
      </c>
      <c r="X383" s="58">
        <v>250</v>
      </c>
      <c r="Y383" s="58">
        <v>250</v>
      </c>
      <c r="Z383" s="58">
        <v>260</v>
      </c>
      <c r="AA383" s="58">
        <v>260</v>
      </c>
      <c r="AB383" s="58">
        <v>275</v>
      </c>
      <c r="AC383" s="58">
        <v>280</v>
      </c>
      <c r="AD383" s="58">
        <v>270</v>
      </c>
      <c r="AE383" s="58">
        <v>280</v>
      </c>
      <c r="AF383" s="58">
        <v>280</v>
      </c>
      <c r="AG383" s="58">
        <v>280</v>
      </c>
      <c r="AH383" s="58">
        <v>290</v>
      </c>
      <c r="AI383" s="58">
        <v>290</v>
      </c>
      <c r="AJ383" s="58">
        <v>295</v>
      </c>
      <c r="AK383" s="58">
        <v>280</v>
      </c>
      <c r="AL383" s="58">
        <v>290</v>
      </c>
      <c r="AM383" s="58">
        <v>300</v>
      </c>
      <c r="AN383" s="58">
        <v>300</v>
      </c>
      <c r="AO383" s="58">
        <v>320</v>
      </c>
      <c r="AP383" s="58">
        <v>325</v>
      </c>
      <c r="AQ383" s="58">
        <v>340</v>
      </c>
      <c r="AR383" s="58">
        <v>340</v>
      </c>
      <c r="AS383" s="58">
        <v>350</v>
      </c>
      <c r="AT383" s="58">
        <v>360</v>
      </c>
      <c r="AU383" s="58">
        <v>400</v>
      </c>
      <c r="AV383" s="58">
        <v>400</v>
      </c>
      <c r="AW383" s="58">
        <v>400</v>
      </c>
      <c r="AX383" s="58">
        <v>430</v>
      </c>
      <c r="AY383" s="58">
        <v>440</v>
      </c>
      <c r="AZ383" s="58">
        <v>450</v>
      </c>
      <c r="BA383" s="58">
        <v>475</v>
      </c>
      <c r="BB383" s="58">
        <v>490</v>
      </c>
      <c r="BC383" s="58">
        <v>475</v>
      </c>
      <c r="BD383" s="58">
        <v>495</v>
      </c>
      <c r="BE383" s="58">
        <v>500</v>
      </c>
      <c r="BF383" s="58">
        <v>540</v>
      </c>
      <c r="BG383" s="58">
        <v>540</v>
      </c>
      <c r="BH383" s="58">
        <v>560</v>
      </c>
    </row>
    <row r="384" spans="2:60" hidden="1" x14ac:dyDescent="0.2">
      <c r="B384" s="59"/>
      <c r="C384" s="59" t="s">
        <v>697</v>
      </c>
      <c r="D384" s="59" t="s">
        <v>654</v>
      </c>
      <c r="E384" s="60"/>
      <c r="F384" s="60"/>
      <c r="G384" s="60"/>
      <c r="H384" s="60"/>
      <c r="I384" s="60"/>
      <c r="J384" s="60"/>
      <c r="K384" s="60"/>
      <c r="L384" s="60"/>
      <c r="M384" s="60"/>
      <c r="N384" s="60"/>
      <c r="O384" s="60"/>
      <c r="P384" s="60"/>
      <c r="Q384" s="60"/>
      <c r="R384" s="60"/>
      <c r="S384" s="60"/>
      <c r="T384" s="60"/>
      <c r="U384" s="60">
        <v>240</v>
      </c>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row>
    <row r="385" spans="2:60" hidden="1" x14ac:dyDescent="0.2">
      <c r="B385" s="57"/>
      <c r="C385" s="57" t="s">
        <v>697</v>
      </c>
      <c r="D385" s="57" t="s">
        <v>655</v>
      </c>
      <c r="E385" s="58"/>
      <c r="F385" s="58"/>
      <c r="G385" s="58">
        <v>600</v>
      </c>
      <c r="H385" s="58"/>
      <c r="I385" s="58"/>
      <c r="J385" s="58"/>
      <c r="K385" s="58"/>
      <c r="L385" s="58"/>
      <c r="M385" s="58"/>
      <c r="N385" s="58"/>
      <c r="O385" s="58">
        <v>300</v>
      </c>
      <c r="P385" s="58"/>
      <c r="Q385" s="58">
        <v>250</v>
      </c>
      <c r="R385" s="58">
        <v>300</v>
      </c>
      <c r="S385" s="58">
        <v>240</v>
      </c>
      <c r="T385" s="58">
        <v>200</v>
      </c>
      <c r="U385" s="58">
        <v>250</v>
      </c>
      <c r="V385" s="58"/>
      <c r="W385" s="58"/>
      <c r="X385" s="58">
        <v>190</v>
      </c>
      <c r="Y385" s="58">
        <v>180</v>
      </c>
      <c r="Z385" s="58">
        <v>190</v>
      </c>
      <c r="AA385" s="58">
        <v>180</v>
      </c>
      <c r="AB385" s="58"/>
      <c r="AC385" s="58"/>
      <c r="AD385" s="58"/>
      <c r="AE385" s="58"/>
      <c r="AF385" s="58">
        <v>200</v>
      </c>
      <c r="AG385" s="58"/>
      <c r="AH385" s="58"/>
      <c r="AI385" s="58"/>
      <c r="AJ385" s="58">
        <v>220</v>
      </c>
      <c r="AK385" s="58">
        <v>230</v>
      </c>
      <c r="AL385" s="58">
        <v>200</v>
      </c>
      <c r="AM385" s="58"/>
      <c r="AN385" s="58"/>
      <c r="AO385" s="58"/>
      <c r="AP385" s="58">
        <v>270</v>
      </c>
      <c r="AQ385" s="58">
        <v>265</v>
      </c>
      <c r="AR385" s="58">
        <v>283</v>
      </c>
      <c r="AS385" s="58">
        <v>300</v>
      </c>
      <c r="AT385" s="58">
        <v>325</v>
      </c>
      <c r="AU385" s="58">
        <v>320</v>
      </c>
      <c r="AV385" s="58"/>
      <c r="AW385" s="58"/>
      <c r="AX385" s="58">
        <v>320</v>
      </c>
      <c r="AY385" s="58">
        <v>330</v>
      </c>
      <c r="AZ385" s="58"/>
      <c r="BA385" s="58"/>
      <c r="BB385" s="58"/>
      <c r="BC385" s="58"/>
      <c r="BD385" s="58"/>
      <c r="BE385" s="58"/>
      <c r="BF385" s="58">
        <v>400</v>
      </c>
      <c r="BG385" s="58"/>
      <c r="BH385" s="58"/>
    </row>
    <row r="386" spans="2:60" hidden="1" x14ac:dyDescent="0.2">
      <c r="B386" s="59"/>
      <c r="C386" s="59" t="s">
        <v>697</v>
      </c>
      <c r="D386" s="59" t="s">
        <v>656</v>
      </c>
      <c r="E386" s="60">
        <v>350</v>
      </c>
      <c r="F386" s="60">
        <v>350</v>
      </c>
      <c r="G386" s="60">
        <v>375</v>
      </c>
      <c r="H386" s="60">
        <v>385</v>
      </c>
      <c r="I386" s="60">
        <v>400</v>
      </c>
      <c r="J386" s="60">
        <v>400</v>
      </c>
      <c r="K386" s="60">
        <v>425</v>
      </c>
      <c r="L386" s="60">
        <v>420</v>
      </c>
      <c r="M386" s="60">
        <v>400</v>
      </c>
      <c r="N386" s="60">
        <v>360</v>
      </c>
      <c r="O386" s="60">
        <v>330</v>
      </c>
      <c r="P386" s="60">
        <v>280</v>
      </c>
      <c r="Q386" s="60">
        <v>270</v>
      </c>
      <c r="R386" s="60">
        <v>250</v>
      </c>
      <c r="S386" s="60">
        <v>240</v>
      </c>
      <c r="T386" s="60">
        <v>225</v>
      </c>
      <c r="U386" s="60">
        <v>230</v>
      </c>
      <c r="V386" s="60">
        <v>220</v>
      </c>
      <c r="W386" s="60">
        <v>230</v>
      </c>
      <c r="X386" s="60">
        <v>210</v>
      </c>
      <c r="Y386" s="60">
        <v>210</v>
      </c>
      <c r="Z386" s="60">
        <v>205</v>
      </c>
      <c r="AA386" s="60">
        <v>210</v>
      </c>
      <c r="AB386" s="60">
        <v>220</v>
      </c>
      <c r="AC386" s="60">
        <v>230</v>
      </c>
      <c r="AD386" s="60">
        <v>220</v>
      </c>
      <c r="AE386" s="60">
        <v>230</v>
      </c>
      <c r="AF386" s="60">
        <v>230</v>
      </c>
      <c r="AG386" s="60">
        <v>240</v>
      </c>
      <c r="AH386" s="60">
        <v>240</v>
      </c>
      <c r="AI386" s="60">
        <v>250</v>
      </c>
      <c r="AJ386" s="60">
        <v>240</v>
      </c>
      <c r="AK386" s="60">
        <v>240</v>
      </c>
      <c r="AL386" s="60">
        <v>240</v>
      </c>
      <c r="AM386" s="60">
        <v>250</v>
      </c>
      <c r="AN386" s="60">
        <v>260</v>
      </c>
      <c r="AO386" s="60">
        <v>260</v>
      </c>
      <c r="AP386" s="60">
        <v>275</v>
      </c>
      <c r="AQ386" s="60">
        <v>280</v>
      </c>
      <c r="AR386" s="60">
        <v>290</v>
      </c>
      <c r="AS386" s="60">
        <v>300</v>
      </c>
      <c r="AT386" s="60">
        <v>300</v>
      </c>
      <c r="AU386" s="60">
        <v>320</v>
      </c>
      <c r="AV386" s="60">
        <v>320</v>
      </c>
      <c r="AW386" s="60">
        <v>350</v>
      </c>
      <c r="AX386" s="60">
        <v>350</v>
      </c>
      <c r="AY386" s="60">
        <v>350</v>
      </c>
      <c r="AZ386" s="60">
        <v>380</v>
      </c>
      <c r="BA386" s="60">
        <v>400</v>
      </c>
      <c r="BB386" s="60">
        <v>400</v>
      </c>
      <c r="BC386" s="60">
        <v>400</v>
      </c>
      <c r="BD386" s="60">
        <v>390</v>
      </c>
      <c r="BE386" s="60">
        <v>420</v>
      </c>
      <c r="BF386" s="60">
        <v>420</v>
      </c>
      <c r="BG386" s="60">
        <v>420</v>
      </c>
      <c r="BH386" s="60">
        <v>440</v>
      </c>
    </row>
    <row r="387" spans="2:60" hidden="1" x14ac:dyDescent="0.2">
      <c r="B387" s="57"/>
      <c r="C387" s="57" t="s">
        <v>698</v>
      </c>
      <c r="D387" s="57" t="s">
        <v>648</v>
      </c>
      <c r="E387" s="58">
        <v>220</v>
      </c>
      <c r="F387" s="58">
        <v>230</v>
      </c>
      <c r="G387" s="58">
        <v>180</v>
      </c>
      <c r="H387" s="58">
        <v>180</v>
      </c>
      <c r="I387" s="58">
        <v>180</v>
      </c>
      <c r="J387" s="58">
        <v>180</v>
      </c>
      <c r="K387" s="58">
        <v>180</v>
      </c>
      <c r="L387" s="58">
        <v>180</v>
      </c>
      <c r="M387" s="58">
        <v>180</v>
      </c>
      <c r="N387" s="58">
        <v>180</v>
      </c>
      <c r="O387" s="58">
        <v>180</v>
      </c>
      <c r="P387" s="58">
        <v>180</v>
      </c>
      <c r="Q387" s="58">
        <v>180</v>
      </c>
      <c r="R387" s="58">
        <v>180</v>
      </c>
      <c r="S387" s="58">
        <v>180</v>
      </c>
      <c r="T387" s="58">
        <v>180</v>
      </c>
      <c r="U387" s="58">
        <v>190</v>
      </c>
      <c r="V387" s="58">
        <v>180</v>
      </c>
      <c r="W387" s="58"/>
      <c r="X387" s="58">
        <v>225</v>
      </c>
      <c r="Y387" s="58">
        <v>190</v>
      </c>
      <c r="Z387" s="58">
        <v>216</v>
      </c>
      <c r="AA387" s="58">
        <v>210</v>
      </c>
      <c r="AB387" s="58">
        <v>200</v>
      </c>
      <c r="AC387" s="58">
        <v>250</v>
      </c>
      <c r="AD387" s="58">
        <v>250</v>
      </c>
      <c r="AE387" s="58">
        <v>205</v>
      </c>
      <c r="AF387" s="58">
        <v>235</v>
      </c>
      <c r="AG387" s="58">
        <v>230</v>
      </c>
      <c r="AH387" s="58">
        <v>200</v>
      </c>
      <c r="AI387" s="58">
        <v>210</v>
      </c>
      <c r="AJ387" s="58">
        <v>195</v>
      </c>
      <c r="AK387" s="58">
        <v>225</v>
      </c>
      <c r="AL387" s="58">
        <v>230</v>
      </c>
      <c r="AM387" s="58">
        <v>230</v>
      </c>
      <c r="AN387" s="58">
        <v>220</v>
      </c>
      <c r="AO387" s="58">
        <v>190</v>
      </c>
      <c r="AP387" s="58">
        <v>190</v>
      </c>
      <c r="AQ387" s="58">
        <v>190</v>
      </c>
      <c r="AR387" s="58">
        <v>200</v>
      </c>
      <c r="AS387" s="58">
        <v>200</v>
      </c>
      <c r="AT387" s="58">
        <v>200</v>
      </c>
      <c r="AU387" s="58">
        <v>250</v>
      </c>
      <c r="AV387" s="58">
        <v>250</v>
      </c>
      <c r="AW387" s="58">
        <v>300</v>
      </c>
      <c r="AX387" s="58">
        <v>300</v>
      </c>
      <c r="AY387" s="58">
        <v>230</v>
      </c>
      <c r="AZ387" s="58">
        <v>240</v>
      </c>
      <c r="BA387" s="58">
        <v>350</v>
      </c>
      <c r="BB387" s="58">
        <v>325</v>
      </c>
      <c r="BC387" s="58">
        <v>350</v>
      </c>
      <c r="BD387" s="58">
        <v>350</v>
      </c>
      <c r="BE387" s="58">
        <v>320</v>
      </c>
      <c r="BF387" s="58">
        <v>331</v>
      </c>
      <c r="BG387" s="58">
        <v>400</v>
      </c>
      <c r="BH387" s="58">
        <v>400</v>
      </c>
    </row>
    <row r="388" spans="2:60" hidden="1" x14ac:dyDescent="0.2">
      <c r="B388" s="59"/>
      <c r="C388" s="59" t="s">
        <v>698</v>
      </c>
      <c r="D388" s="59" t="s">
        <v>649</v>
      </c>
      <c r="E388" s="60">
        <v>270</v>
      </c>
      <c r="F388" s="60">
        <v>280</v>
      </c>
      <c r="G388" s="60">
        <v>300</v>
      </c>
      <c r="H388" s="60">
        <v>300</v>
      </c>
      <c r="I388" s="60">
        <v>300</v>
      </c>
      <c r="J388" s="60">
        <v>295</v>
      </c>
      <c r="K388" s="60">
        <v>300</v>
      </c>
      <c r="L388" s="60">
        <v>300</v>
      </c>
      <c r="M388" s="60">
        <v>290</v>
      </c>
      <c r="N388" s="60">
        <v>290</v>
      </c>
      <c r="O388" s="60">
        <v>280</v>
      </c>
      <c r="P388" s="60">
        <v>270</v>
      </c>
      <c r="Q388" s="60">
        <v>250</v>
      </c>
      <c r="R388" s="60">
        <v>260</v>
      </c>
      <c r="S388" s="60">
        <v>270</v>
      </c>
      <c r="T388" s="60">
        <v>270</v>
      </c>
      <c r="U388" s="60">
        <v>265</v>
      </c>
      <c r="V388" s="60">
        <v>260</v>
      </c>
      <c r="W388" s="60">
        <v>230</v>
      </c>
      <c r="X388" s="60">
        <v>260</v>
      </c>
      <c r="Y388" s="60">
        <v>270</v>
      </c>
      <c r="Z388" s="60">
        <v>250</v>
      </c>
      <c r="AA388" s="60">
        <v>270</v>
      </c>
      <c r="AB388" s="60">
        <v>290</v>
      </c>
      <c r="AC388" s="60">
        <v>310</v>
      </c>
      <c r="AD388" s="60">
        <v>310</v>
      </c>
      <c r="AE388" s="60">
        <v>275</v>
      </c>
      <c r="AF388" s="60">
        <v>300</v>
      </c>
      <c r="AG388" s="60">
        <v>310</v>
      </c>
      <c r="AH388" s="60">
        <v>285</v>
      </c>
      <c r="AI388" s="60">
        <v>280</v>
      </c>
      <c r="AJ388" s="60">
        <v>300</v>
      </c>
      <c r="AK388" s="60">
        <v>300</v>
      </c>
      <c r="AL388" s="60">
        <v>285</v>
      </c>
      <c r="AM388" s="60">
        <v>300</v>
      </c>
      <c r="AN388" s="60">
        <v>310</v>
      </c>
      <c r="AO388" s="60">
        <v>330</v>
      </c>
      <c r="AP388" s="60">
        <v>320</v>
      </c>
      <c r="AQ388" s="60">
        <v>330</v>
      </c>
      <c r="AR388" s="60">
        <v>360</v>
      </c>
      <c r="AS388" s="60">
        <v>380</v>
      </c>
      <c r="AT388" s="60">
        <v>360</v>
      </c>
      <c r="AU388" s="60">
        <v>380</v>
      </c>
      <c r="AV388" s="60">
        <v>380</v>
      </c>
      <c r="AW388" s="60">
        <v>420</v>
      </c>
      <c r="AX388" s="60">
        <v>440</v>
      </c>
      <c r="AY388" s="60">
        <v>440</v>
      </c>
      <c r="AZ388" s="60">
        <v>450</v>
      </c>
      <c r="BA388" s="60">
        <v>445</v>
      </c>
      <c r="BB388" s="60">
        <v>475</v>
      </c>
      <c r="BC388" s="60">
        <v>500</v>
      </c>
      <c r="BD388" s="60">
        <v>500</v>
      </c>
      <c r="BE388" s="60">
        <v>500</v>
      </c>
      <c r="BF388" s="60">
        <v>495</v>
      </c>
      <c r="BG388" s="60">
        <v>500</v>
      </c>
      <c r="BH388" s="60">
        <v>500</v>
      </c>
    </row>
    <row r="389" spans="2:60" hidden="1" x14ac:dyDescent="0.2">
      <c r="B389" s="57"/>
      <c r="C389" s="57" t="s">
        <v>698</v>
      </c>
      <c r="D389" s="57" t="s">
        <v>650</v>
      </c>
      <c r="E389" s="58">
        <v>330</v>
      </c>
      <c r="F389" s="58">
        <v>350</v>
      </c>
      <c r="G389" s="58">
        <v>380</v>
      </c>
      <c r="H389" s="58">
        <v>390</v>
      </c>
      <c r="I389" s="58">
        <v>350</v>
      </c>
      <c r="J389" s="58">
        <v>400</v>
      </c>
      <c r="K389" s="58">
        <v>350</v>
      </c>
      <c r="L389" s="58">
        <v>360</v>
      </c>
      <c r="M389" s="58">
        <v>360</v>
      </c>
      <c r="N389" s="58">
        <v>340</v>
      </c>
      <c r="O389" s="58">
        <v>320</v>
      </c>
      <c r="P389" s="58">
        <v>330</v>
      </c>
      <c r="Q389" s="58">
        <v>300</v>
      </c>
      <c r="R389" s="58">
        <v>295</v>
      </c>
      <c r="S389" s="58">
        <v>310</v>
      </c>
      <c r="T389" s="58">
        <v>290</v>
      </c>
      <c r="U389" s="58">
        <v>270</v>
      </c>
      <c r="V389" s="58">
        <v>300</v>
      </c>
      <c r="W389" s="58"/>
      <c r="X389" s="58">
        <v>270</v>
      </c>
      <c r="Y389" s="58">
        <v>300</v>
      </c>
      <c r="Z389" s="58">
        <v>300</v>
      </c>
      <c r="AA389" s="58">
        <v>330</v>
      </c>
      <c r="AB389" s="58">
        <v>300</v>
      </c>
      <c r="AC389" s="58">
        <v>350</v>
      </c>
      <c r="AD389" s="58">
        <v>350</v>
      </c>
      <c r="AE389" s="58">
        <v>315</v>
      </c>
      <c r="AF389" s="58">
        <v>320</v>
      </c>
      <c r="AG389" s="58">
        <v>350</v>
      </c>
      <c r="AH389" s="58">
        <v>330</v>
      </c>
      <c r="AI389" s="58">
        <v>330</v>
      </c>
      <c r="AJ389" s="58">
        <v>340</v>
      </c>
      <c r="AK389" s="58">
        <v>360</v>
      </c>
      <c r="AL389" s="58">
        <v>400</v>
      </c>
      <c r="AM389" s="58">
        <v>350</v>
      </c>
      <c r="AN389" s="58">
        <v>380</v>
      </c>
      <c r="AO389" s="58">
        <v>350</v>
      </c>
      <c r="AP389" s="58">
        <v>370</v>
      </c>
      <c r="AQ389" s="58">
        <v>400</v>
      </c>
      <c r="AR389" s="58">
        <v>400</v>
      </c>
      <c r="AS389" s="58">
        <v>450</v>
      </c>
      <c r="AT389" s="58">
        <v>470</v>
      </c>
      <c r="AU389" s="58">
        <v>450</v>
      </c>
      <c r="AV389" s="58">
        <v>430</v>
      </c>
      <c r="AW389" s="58">
        <v>500</v>
      </c>
      <c r="AX389" s="58">
        <v>520</v>
      </c>
      <c r="AY389" s="58">
        <v>450</v>
      </c>
      <c r="AZ389" s="58">
        <v>520</v>
      </c>
      <c r="BA389" s="58">
        <v>550</v>
      </c>
      <c r="BB389" s="58">
        <v>550</v>
      </c>
      <c r="BC389" s="58">
        <v>590</v>
      </c>
      <c r="BD389" s="58">
        <v>580</v>
      </c>
      <c r="BE389" s="58">
        <v>580</v>
      </c>
      <c r="BF389" s="58">
        <v>600</v>
      </c>
      <c r="BG389" s="58">
        <v>570</v>
      </c>
      <c r="BH389" s="58">
        <v>640</v>
      </c>
    </row>
    <row r="390" spans="2:60" hidden="1" x14ac:dyDescent="0.2">
      <c r="B390" s="59"/>
      <c r="C390" s="59" t="s">
        <v>698</v>
      </c>
      <c r="D390" s="59" t="s">
        <v>651</v>
      </c>
      <c r="E390" s="60">
        <v>300</v>
      </c>
      <c r="F390" s="60">
        <v>295</v>
      </c>
      <c r="G390" s="60">
        <v>300</v>
      </c>
      <c r="H390" s="60">
        <v>300</v>
      </c>
      <c r="I390" s="60">
        <v>290</v>
      </c>
      <c r="J390" s="60">
        <v>285</v>
      </c>
      <c r="K390" s="60">
        <v>280</v>
      </c>
      <c r="L390" s="60">
        <v>250</v>
      </c>
      <c r="M390" s="60">
        <v>260</v>
      </c>
      <c r="N390" s="60">
        <v>250</v>
      </c>
      <c r="O390" s="60">
        <v>250</v>
      </c>
      <c r="P390" s="60">
        <v>220</v>
      </c>
      <c r="Q390" s="60">
        <v>250</v>
      </c>
      <c r="R390" s="60">
        <v>250</v>
      </c>
      <c r="S390" s="60">
        <v>220</v>
      </c>
      <c r="T390" s="60">
        <v>215</v>
      </c>
      <c r="U390" s="60">
        <v>230</v>
      </c>
      <c r="V390" s="60">
        <v>220</v>
      </c>
      <c r="W390" s="60"/>
      <c r="X390" s="60">
        <v>250</v>
      </c>
      <c r="Y390" s="60">
        <v>250</v>
      </c>
      <c r="Z390" s="60">
        <v>250</v>
      </c>
      <c r="AA390" s="60">
        <v>300</v>
      </c>
      <c r="AB390" s="60">
        <v>250</v>
      </c>
      <c r="AC390" s="60">
        <v>280</v>
      </c>
      <c r="AD390" s="60">
        <v>260</v>
      </c>
      <c r="AE390" s="60">
        <v>240</v>
      </c>
      <c r="AF390" s="60">
        <v>265</v>
      </c>
      <c r="AG390" s="60">
        <v>320</v>
      </c>
      <c r="AH390" s="60">
        <v>275</v>
      </c>
      <c r="AI390" s="60">
        <v>250</v>
      </c>
      <c r="AJ390" s="60">
        <v>250</v>
      </c>
      <c r="AK390" s="60">
        <v>260</v>
      </c>
      <c r="AL390" s="60">
        <v>270</v>
      </c>
      <c r="AM390" s="60">
        <v>290</v>
      </c>
      <c r="AN390" s="60">
        <v>290</v>
      </c>
      <c r="AO390" s="60">
        <v>300</v>
      </c>
      <c r="AP390" s="60">
        <v>280</v>
      </c>
      <c r="AQ390" s="60">
        <v>300</v>
      </c>
      <c r="AR390" s="60">
        <v>350</v>
      </c>
      <c r="AS390" s="60">
        <v>320</v>
      </c>
      <c r="AT390" s="60">
        <v>350</v>
      </c>
      <c r="AU390" s="60">
        <v>380</v>
      </c>
      <c r="AV390" s="60"/>
      <c r="AW390" s="60">
        <v>420</v>
      </c>
      <c r="AX390" s="60">
        <v>475</v>
      </c>
      <c r="AY390" s="60">
        <v>430</v>
      </c>
      <c r="AZ390" s="60">
        <v>420</v>
      </c>
      <c r="BA390" s="60">
        <v>350</v>
      </c>
      <c r="BB390" s="60">
        <v>450</v>
      </c>
      <c r="BC390" s="60">
        <v>500</v>
      </c>
      <c r="BD390" s="60">
        <v>490</v>
      </c>
      <c r="BE390" s="60">
        <v>460</v>
      </c>
      <c r="BF390" s="60">
        <v>450</v>
      </c>
      <c r="BG390" s="60">
        <v>550</v>
      </c>
      <c r="BH390" s="60">
        <v>495</v>
      </c>
    </row>
    <row r="391" spans="2:60" hidden="1" x14ac:dyDescent="0.2">
      <c r="B391" s="57"/>
      <c r="C391" s="57" t="s">
        <v>698</v>
      </c>
      <c r="D391" s="57" t="s">
        <v>652</v>
      </c>
      <c r="E391" s="58">
        <v>350</v>
      </c>
      <c r="F391" s="58">
        <v>355</v>
      </c>
      <c r="G391" s="58">
        <v>380</v>
      </c>
      <c r="H391" s="58">
        <v>360</v>
      </c>
      <c r="I391" s="58">
        <v>350</v>
      </c>
      <c r="J391" s="58">
        <v>350</v>
      </c>
      <c r="K391" s="58">
        <v>350</v>
      </c>
      <c r="L391" s="58">
        <v>330</v>
      </c>
      <c r="M391" s="58">
        <v>340</v>
      </c>
      <c r="N391" s="58">
        <v>340</v>
      </c>
      <c r="O391" s="58">
        <v>320</v>
      </c>
      <c r="P391" s="58">
        <v>300</v>
      </c>
      <c r="Q391" s="58">
        <v>300</v>
      </c>
      <c r="R391" s="58">
        <v>290</v>
      </c>
      <c r="S391" s="58">
        <v>300</v>
      </c>
      <c r="T391" s="58">
        <v>300</v>
      </c>
      <c r="U391" s="58">
        <v>300</v>
      </c>
      <c r="V391" s="58">
        <v>290</v>
      </c>
      <c r="W391" s="58">
        <v>320</v>
      </c>
      <c r="X391" s="58">
        <v>300</v>
      </c>
      <c r="Y391" s="58">
        <v>310</v>
      </c>
      <c r="Z391" s="58">
        <v>320</v>
      </c>
      <c r="AA391" s="58">
        <v>350</v>
      </c>
      <c r="AB391" s="58">
        <v>340</v>
      </c>
      <c r="AC391" s="58">
        <v>330</v>
      </c>
      <c r="AD391" s="58">
        <v>340</v>
      </c>
      <c r="AE391" s="58">
        <v>340</v>
      </c>
      <c r="AF391" s="58">
        <v>320</v>
      </c>
      <c r="AG391" s="58">
        <v>330</v>
      </c>
      <c r="AH391" s="58">
        <v>330</v>
      </c>
      <c r="AI391" s="58">
        <v>350</v>
      </c>
      <c r="AJ391" s="58">
        <v>360</v>
      </c>
      <c r="AK391" s="58">
        <v>355</v>
      </c>
      <c r="AL391" s="58">
        <v>360</v>
      </c>
      <c r="AM391" s="58">
        <v>350</v>
      </c>
      <c r="AN391" s="58">
        <v>380</v>
      </c>
      <c r="AO391" s="58">
        <v>370</v>
      </c>
      <c r="AP391" s="58">
        <v>350</v>
      </c>
      <c r="AQ391" s="58">
        <v>400</v>
      </c>
      <c r="AR391" s="58">
        <v>420</v>
      </c>
      <c r="AS391" s="58">
        <v>425</v>
      </c>
      <c r="AT391" s="58">
        <v>450</v>
      </c>
      <c r="AU391" s="58">
        <v>450</v>
      </c>
      <c r="AV391" s="58">
        <v>450</v>
      </c>
      <c r="AW391" s="58">
        <v>420</v>
      </c>
      <c r="AX391" s="58">
        <v>500</v>
      </c>
      <c r="AY391" s="58">
        <v>500</v>
      </c>
      <c r="AZ391" s="58">
        <v>560</v>
      </c>
      <c r="BA391" s="58">
        <v>500</v>
      </c>
      <c r="BB391" s="58">
        <v>600</v>
      </c>
      <c r="BC391" s="58">
        <v>570</v>
      </c>
      <c r="BD391" s="58">
        <v>600</v>
      </c>
      <c r="BE391" s="58">
        <v>620</v>
      </c>
      <c r="BF391" s="58">
        <v>600</v>
      </c>
      <c r="BG391" s="58">
        <v>600</v>
      </c>
      <c r="BH391" s="58">
        <v>620</v>
      </c>
    </row>
    <row r="392" spans="2:60" hidden="1" x14ac:dyDescent="0.2">
      <c r="B392" s="59"/>
      <c r="C392" s="59" t="s">
        <v>698</v>
      </c>
      <c r="D392" s="59" t="s">
        <v>653</v>
      </c>
      <c r="E392" s="60">
        <v>420</v>
      </c>
      <c r="F392" s="60">
        <v>450</v>
      </c>
      <c r="G392" s="60">
        <v>430</v>
      </c>
      <c r="H392" s="60">
        <v>400</v>
      </c>
      <c r="I392" s="60">
        <v>400</v>
      </c>
      <c r="J392" s="60">
        <v>420</v>
      </c>
      <c r="K392" s="60">
        <v>420</v>
      </c>
      <c r="L392" s="60">
        <v>400</v>
      </c>
      <c r="M392" s="60">
        <v>400</v>
      </c>
      <c r="N392" s="60">
        <v>400</v>
      </c>
      <c r="O392" s="60">
        <v>370</v>
      </c>
      <c r="P392" s="60">
        <v>360</v>
      </c>
      <c r="Q392" s="60">
        <v>350</v>
      </c>
      <c r="R392" s="60">
        <v>350</v>
      </c>
      <c r="S392" s="60">
        <v>355</v>
      </c>
      <c r="T392" s="60">
        <v>370</v>
      </c>
      <c r="U392" s="60">
        <v>360</v>
      </c>
      <c r="V392" s="60">
        <v>375</v>
      </c>
      <c r="W392" s="60">
        <v>360</v>
      </c>
      <c r="X392" s="60">
        <v>400</v>
      </c>
      <c r="Y392" s="60">
        <v>395</v>
      </c>
      <c r="Z392" s="60">
        <v>420</v>
      </c>
      <c r="AA392" s="60">
        <v>425</v>
      </c>
      <c r="AB392" s="60">
        <v>440</v>
      </c>
      <c r="AC392" s="60">
        <v>450</v>
      </c>
      <c r="AD392" s="60">
        <v>400</v>
      </c>
      <c r="AE392" s="60">
        <v>430</v>
      </c>
      <c r="AF392" s="60">
        <v>420</v>
      </c>
      <c r="AG392" s="60">
        <v>400</v>
      </c>
      <c r="AH392" s="60">
        <v>400</v>
      </c>
      <c r="AI392" s="60">
        <v>430</v>
      </c>
      <c r="AJ392" s="60">
        <v>420</v>
      </c>
      <c r="AK392" s="60">
        <v>400</v>
      </c>
      <c r="AL392" s="60">
        <v>400</v>
      </c>
      <c r="AM392" s="60">
        <v>420</v>
      </c>
      <c r="AN392" s="60">
        <v>425</v>
      </c>
      <c r="AO392" s="60">
        <v>450</v>
      </c>
      <c r="AP392" s="60">
        <v>420</v>
      </c>
      <c r="AQ392" s="60">
        <v>500</v>
      </c>
      <c r="AR392" s="60">
        <v>485</v>
      </c>
      <c r="AS392" s="60">
        <v>550</v>
      </c>
      <c r="AT392" s="60">
        <v>500</v>
      </c>
      <c r="AU392" s="60">
        <v>550</v>
      </c>
      <c r="AV392" s="60">
        <v>625</v>
      </c>
      <c r="AW392" s="60">
        <v>620</v>
      </c>
      <c r="AX392" s="60">
        <v>675</v>
      </c>
      <c r="AY392" s="60">
        <v>695</v>
      </c>
      <c r="AZ392" s="60">
        <v>700</v>
      </c>
      <c r="BA392" s="60">
        <v>700</v>
      </c>
      <c r="BB392" s="60">
        <v>700</v>
      </c>
      <c r="BC392" s="60">
        <v>720</v>
      </c>
      <c r="BD392" s="60">
        <v>750</v>
      </c>
      <c r="BE392" s="60">
        <v>750</v>
      </c>
      <c r="BF392" s="60">
        <v>700</v>
      </c>
      <c r="BG392" s="60">
        <v>750</v>
      </c>
      <c r="BH392" s="60">
        <v>780</v>
      </c>
    </row>
    <row r="393" spans="2:60" hidden="1" x14ac:dyDescent="0.2">
      <c r="B393" s="57"/>
      <c r="C393" s="57" t="s">
        <v>698</v>
      </c>
      <c r="D393" s="57" t="s">
        <v>654</v>
      </c>
      <c r="E393" s="58">
        <v>300</v>
      </c>
      <c r="F393" s="58">
        <v>345</v>
      </c>
      <c r="G393" s="58">
        <v>360</v>
      </c>
      <c r="H393" s="58">
        <v>340</v>
      </c>
      <c r="I393" s="58">
        <v>370</v>
      </c>
      <c r="J393" s="58">
        <v>350</v>
      </c>
      <c r="K393" s="58">
        <v>350</v>
      </c>
      <c r="L393" s="58">
        <v>360</v>
      </c>
      <c r="M393" s="58">
        <v>340</v>
      </c>
      <c r="N393" s="58">
        <v>300</v>
      </c>
      <c r="O393" s="58">
        <v>330</v>
      </c>
      <c r="P393" s="58">
        <v>280</v>
      </c>
      <c r="Q393" s="58">
        <v>320</v>
      </c>
      <c r="R393" s="58">
        <v>300</v>
      </c>
      <c r="S393" s="58">
        <v>290</v>
      </c>
      <c r="T393" s="58">
        <v>270</v>
      </c>
      <c r="U393" s="58">
        <v>300</v>
      </c>
      <c r="V393" s="58">
        <v>275</v>
      </c>
      <c r="W393" s="58"/>
      <c r="X393" s="58">
        <v>320</v>
      </c>
      <c r="Y393" s="58">
        <v>280</v>
      </c>
      <c r="Z393" s="58">
        <v>260</v>
      </c>
      <c r="AA393" s="58">
        <v>370</v>
      </c>
      <c r="AB393" s="58">
        <v>300</v>
      </c>
      <c r="AC393" s="58">
        <v>285</v>
      </c>
      <c r="AD393" s="58">
        <v>370</v>
      </c>
      <c r="AE393" s="58">
        <v>380</v>
      </c>
      <c r="AF393" s="58">
        <v>360</v>
      </c>
      <c r="AG393" s="58">
        <v>350</v>
      </c>
      <c r="AH393" s="58">
        <v>350</v>
      </c>
      <c r="AI393" s="58">
        <v>330</v>
      </c>
      <c r="AJ393" s="58">
        <v>350</v>
      </c>
      <c r="AK393" s="58">
        <v>370</v>
      </c>
      <c r="AL393" s="58">
        <v>340</v>
      </c>
      <c r="AM393" s="58">
        <v>325</v>
      </c>
      <c r="AN393" s="58">
        <v>320</v>
      </c>
      <c r="AO393" s="58">
        <v>320</v>
      </c>
      <c r="AP393" s="58">
        <v>350</v>
      </c>
      <c r="AQ393" s="58"/>
      <c r="AR393" s="58">
        <v>365</v>
      </c>
      <c r="AS393" s="58">
        <v>375</v>
      </c>
      <c r="AT393" s="58">
        <v>395</v>
      </c>
      <c r="AU393" s="58"/>
      <c r="AV393" s="58">
        <v>480</v>
      </c>
      <c r="AW393" s="58"/>
      <c r="AX393" s="58"/>
      <c r="AY393" s="58">
        <v>430</v>
      </c>
      <c r="AZ393" s="58"/>
      <c r="BA393" s="58"/>
      <c r="BB393" s="58"/>
      <c r="BC393" s="58"/>
      <c r="BD393" s="58">
        <v>500</v>
      </c>
      <c r="BE393" s="58"/>
      <c r="BF393" s="58"/>
      <c r="BG393" s="58">
        <v>600</v>
      </c>
      <c r="BH393" s="58">
        <v>550</v>
      </c>
    </row>
    <row r="394" spans="2:60" hidden="1" x14ac:dyDescent="0.2">
      <c r="B394" s="59"/>
      <c r="C394" s="59" t="s">
        <v>698</v>
      </c>
      <c r="D394" s="59" t="s">
        <v>655</v>
      </c>
      <c r="E394" s="60">
        <v>380</v>
      </c>
      <c r="F394" s="60">
        <v>420</v>
      </c>
      <c r="G394" s="60">
        <v>400</v>
      </c>
      <c r="H394" s="60">
        <v>360</v>
      </c>
      <c r="I394" s="60">
        <v>375</v>
      </c>
      <c r="J394" s="60">
        <v>370</v>
      </c>
      <c r="K394" s="60">
        <v>360</v>
      </c>
      <c r="L394" s="60">
        <v>370</v>
      </c>
      <c r="M394" s="60">
        <v>380</v>
      </c>
      <c r="N394" s="60">
        <v>335</v>
      </c>
      <c r="O394" s="60">
        <v>350</v>
      </c>
      <c r="P394" s="60">
        <v>350</v>
      </c>
      <c r="Q394" s="60">
        <v>330</v>
      </c>
      <c r="R394" s="60">
        <v>300</v>
      </c>
      <c r="S394" s="60">
        <v>310</v>
      </c>
      <c r="T394" s="60">
        <v>262</v>
      </c>
      <c r="U394" s="60">
        <v>280</v>
      </c>
      <c r="V394" s="60">
        <v>300</v>
      </c>
      <c r="W394" s="60"/>
      <c r="X394" s="60">
        <v>300</v>
      </c>
      <c r="Y394" s="60">
        <v>350</v>
      </c>
      <c r="Z394" s="60">
        <v>350</v>
      </c>
      <c r="AA394" s="60">
        <v>420</v>
      </c>
      <c r="AB394" s="60">
        <v>350</v>
      </c>
      <c r="AC394" s="60">
        <v>350</v>
      </c>
      <c r="AD394" s="60">
        <v>420</v>
      </c>
      <c r="AE394" s="60">
        <v>400</v>
      </c>
      <c r="AF394" s="60">
        <v>350</v>
      </c>
      <c r="AG394" s="60">
        <v>410</v>
      </c>
      <c r="AH394" s="60">
        <v>430</v>
      </c>
      <c r="AI394" s="60">
        <v>400</v>
      </c>
      <c r="AJ394" s="60">
        <v>380</v>
      </c>
      <c r="AK394" s="60">
        <v>400</v>
      </c>
      <c r="AL394" s="60">
        <v>400</v>
      </c>
      <c r="AM394" s="60">
        <v>400</v>
      </c>
      <c r="AN394" s="60">
        <v>400</v>
      </c>
      <c r="AO394" s="60">
        <v>450</v>
      </c>
      <c r="AP394" s="60">
        <v>400</v>
      </c>
      <c r="AQ394" s="60">
        <v>450</v>
      </c>
      <c r="AR394" s="60"/>
      <c r="AS394" s="60">
        <v>425</v>
      </c>
      <c r="AT394" s="60">
        <v>430</v>
      </c>
      <c r="AU394" s="60">
        <v>480</v>
      </c>
      <c r="AV394" s="60"/>
      <c r="AW394" s="60">
        <v>520</v>
      </c>
      <c r="AX394" s="60">
        <v>550</v>
      </c>
      <c r="AY394" s="60">
        <v>550</v>
      </c>
      <c r="AZ394" s="60">
        <v>630</v>
      </c>
      <c r="BA394" s="60">
        <v>600</v>
      </c>
      <c r="BB394" s="60">
        <v>650</v>
      </c>
      <c r="BC394" s="60">
        <v>650</v>
      </c>
      <c r="BD394" s="60">
        <v>620</v>
      </c>
      <c r="BE394" s="60">
        <v>600</v>
      </c>
      <c r="BF394" s="60"/>
      <c r="BG394" s="60">
        <v>695</v>
      </c>
      <c r="BH394" s="60">
        <v>650</v>
      </c>
    </row>
    <row r="395" spans="2:60" hidden="1" x14ac:dyDescent="0.2">
      <c r="B395" s="57"/>
      <c r="C395" s="57" t="s">
        <v>698</v>
      </c>
      <c r="D395" s="57" t="s">
        <v>656</v>
      </c>
      <c r="E395" s="58">
        <v>325</v>
      </c>
      <c r="F395" s="58">
        <v>330</v>
      </c>
      <c r="G395" s="58">
        <v>340</v>
      </c>
      <c r="H395" s="58">
        <v>340</v>
      </c>
      <c r="I395" s="58">
        <v>340</v>
      </c>
      <c r="J395" s="58">
        <v>340</v>
      </c>
      <c r="K395" s="58">
        <v>330</v>
      </c>
      <c r="L395" s="58">
        <v>325</v>
      </c>
      <c r="M395" s="58">
        <v>325</v>
      </c>
      <c r="N395" s="58">
        <v>320</v>
      </c>
      <c r="O395" s="58">
        <v>300</v>
      </c>
      <c r="P395" s="58">
        <v>300</v>
      </c>
      <c r="Q395" s="58">
        <v>295</v>
      </c>
      <c r="R395" s="58">
        <v>290</v>
      </c>
      <c r="S395" s="58">
        <v>280</v>
      </c>
      <c r="T395" s="58">
        <v>285</v>
      </c>
      <c r="U395" s="58">
        <v>285</v>
      </c>
      <c r="V395" s="58">
        <v>290</v>
      </c>
      <c r="W395" s="58">
        <v>300</v>
      </c>
      <c r="X395" s="58">
        <v>290</v>
      </c>
      <c r="Y395" s="58">
        <v>280</v>
      </c>
      <c r="Z395" s="58">
        <v>300</v>
      </c>
      <c r="AA395" s="58">
        <v>330</v>
      </c>
      <c r="AB395" s="58">
        <v>330</v>
      </c>
      <c r="AC395" s="58">
        <v>340</v>
      </c>
      <c r="AD395" s="58">
        <v>330</v>
      </c>
      <c r="AE395" s="58">
        <v>320</v>
      </c>
      <c r="AF395" s="58">
        <v>325</v>
      </c>
      <c r="AG395" s="58">
        <v>340</v>
      </c>
      <c r="AH395" s="58">
        <v>320</v>
      </c>
      <c r="AI395" s="58">
        <v>340</v>
      </c>
      <c r="AJ395" s="58">
        <v>330</v>
      </c>
      <c r="AK395" s="58">
        <v>325</v>
      </c>
      <c r="AL395" s="58">
        <v>340</v>
      </c>
      <c r="AM395" s="58">
        <v>330</v>
      </c>
      <c r="AN395" s="58">
        <v>350</v>
      </c>
      <c r="AO395" s="58">
        <v>340</v>
      </c>
      <c r="AP395" s="58">
        <v>350</v>
      </c>
      <c r="AQ395" s="58">
        <v>350</v>
      </c>
      <c r="AR395" s="58">
        <v>380</v>
      </c>
      <c r="AS395" s="58">
        <v>390</v>
      </c>
      <c r="AT395" s="58">
        <v>390</v>
      </c>
      <c r="AU395" s="58">
        <v>420</v>
      </c>
      <c r="AV395" s="58">
        <v>430</v>
      </c>
      <c r="AW395" s="58">
        <v>450</v>
      </c>
      <c r="AX395" s="58">
        <v>480</v>
      </c>
      <c r="AY395" s="58">
        <v>480</v>
      </c>
      <c r="AZ395" s="58">
        <v>530</v>
      </c>
      <c r="BA395" s="58">
        <v>500</v>
      </c>
      <c r="BB395" s="58">
        <v>520</v>
      </c>
      <c r="BC395" s="58">
        <v>550</v>
      </c>
      <c r="BD395" s="58">
        <v>575</v>
      </c>
      <c r="BE395" s="58">
        <v>580</v>
      </c>
      <c r="BF395" s="58">
        <v>550</v>
      </c>
      <c r="BG395" s="58">
        <v>580</v>
      </c>
      <c r="BH395" s="58">
        <v>600</v>
      </c>
    </row>
    <row r="398" spans="2:60" x14ac:dyDescent="0.2">
      <c r="BD398" s="61"/>
    </row>
  </sheetData>
  <autoFilter ref="C8:BH395" xr:uid="{9D66E637-A27F-44B2-A3B5-D7E6F85D640A}">
    <filterColumn colId="0">
      <filters>
        <filter val="Brisbane (C)"/>
        <filter val="Ipswich (C)"/>
        <filter val="Logan (C)"/>
        <filter val="Moreton Bay (R)"/>
        <filter val="Redland (C)"/>
      </filters>
    </filterColumn>
    <filterColumn colId="1">
      <filters>
        <filter val="Flat 2"/>
        <filter val="Townhouse 2"/>
      </filters>
    </filterColumn>
  </autoFilter>
  <pageMargins left="0.7" right="0.7" top="0.75" bottom="0.75" header="0.3" footer="0.3"/>
  <pageSetup paperSize="9" orientation="portrait" r:id="rId1"/>
  <headerFooter>
    <oddHeader>&amp;C&amp;"Calibri"&amp;12&amp;K0000FF OFFICIAL&amp;1#_x000D_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EFDE-FC1B-4141-BEDF-E7B763CA3CDC}">
  <sheetPr filterMode="1">
    <tabColor rgb="FFFF0000"/>
  </sheetPr>
  <dimension ref="B1:BH438"/>
  <sheetViews>
    <sheetView showGridLines="0" workbookViewId="0">
      <pane xSplit="4" ySplit="8" topLeftCell="E20" activePane="bottomRight" state="frozen"/>
      <selection activeCell="D402" sqref="D402"/>
      <selection pane="topRight" activeCell="D402" sqref="D402"/>
      <selection pane="bottomLeft" activeCell="D402" sqref="D402"/>
      <selection pane="bottomRight" activeCell="H23" sqref="H23"/>
    </sheetView>
  </sheetViews>
  <sheetFormatPr defaultColWidth="9.140625" defaultRowHeight="14.25" outlineLevelCol="1" x14ac:dyDescent="0.2"/>
  <cols>
    <col min="1" max="1" width="3.85546875" style="47" customWidth="1"/>
    <col min="2" max="2" width="2.85546875" style="47" customWidth="1"/>
    <col min="3" max="4" width="25" style="47" customWidth="1"/>
    <col min="5" max="44" width="10.28515625" style="47" customWidth="1" outlineLevel="1"/>
    <col min="45" max="55" width="10.28515625" style="47" customWidth="1" outlineLevel="1" collapsed="1"/>
    <col min="56" max="16384" width="9.140625" style="47"/>
  </cols>
  <sheetData>
    <row r="1" spans="2:60" ht="15" x14ac:dyDescent="0.25">
      <c r="B1" t="s">
        <v>705</v>
      </c>
      <c r="BD1" s="48" t="s">
        <v>637</v>
      </c>
      <c r="BE1" s="49" t="s">
        <v>638</v>
      </c>
    </row>
    <row r="2" spans="2:60" ht="15.75" x14ac:dyDescent="0.2">
      <c r="B2" s="50" t="s">
        <v>703</v>
      </c>
    </row>
    <row r="3" spans="2:60" x14ac:dyDescent="0.2">
      <c r="B3" s="51" t="s">
        <v>704</v>
      </c>
    </row>
    <row r="5" spans="2:60" x14ac:dyDescent="0.2">
      <c r="B5" s="52"/>
      <c r="C5" s="52" t="s">
        <v>641</v>
      </c>
      <c r="D5" s="52" t="s">
        <v>642</v>
      </c>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row>
    <row r="6" spans="2:60" x14ac:dyDescent="0.2">
      <c r="B6" s="54"/>
      <c r="C6" s="54"/>
      <c r="D6" s="54"/>
      <c r="E6" s="55" t="s">
        <v>643</v>
      </c>
      <c r="F6" s="55" t="s">
        <v>644</v>
      </c>
      <c r="G6" s="55" t="s">
        <v>645</v>
      </c>
      <c r="H6" s="55" t="s">
        <v>646</v>
      </c>
      <c r="I6" s="55" t="s">
        <v>643</v>
      </c>
      <c r="J6" s="55" t="s">
        <v>644</v>
      </c>
      <c r="K6" s="55" t="s">
        <v>645</v>
      </c>
      <c r="L6" s="55" t="s">
        <v>646</v>
      </c>
      <c r="M6" s="55" t="s">
        <v>643</v>
      </c>
      <c r="N6" s="55" t="s">
        <v>644</v>
      </c>
      <c r="O6" s="55" t="s">
        <v>645</v>
      </c>
      <c r="P6" s="55" t="s">
        <v>646</v>
      </c>
      <c r="Q6" s="55" t="s">
        <v>643</v>
      </c>
      <c r="R6" s="55" t="s">
        <v>644</v>
      </c>
      <c r="S6" s="55" t="s">
        <v>645</v>
      </c>
      <c r="T6" s="55" t="s">
        <v>646</v>
      </c>
      <c r="U6" s="55" t="s">
        <v>643</v>
      </c>
      <c r="V6" s="55" t="s">
        <v>644</v>
      </c>
      <c r="W6" s="55" t="s">
        <v>645</v>
      </c>
      <c r="X6" s="55" t="s">
        <v>646</v>
      </c>
      <c r="Y6" s="55" t="s">
        <v>643</v>
      </c>
      <c r="Z6" s="55" t="s">
        <v>644</v>
      </c>
      <c r="AA6" s="55" t="s">
        <v>645</v>
      </c>
      <c r="AB6" s="55" t="s">
        <v>646</v>
      </c>
      <c r="AC6" s="55" t="s">
        <v>643</v>
      </c>
      <c r="AD6" s="55" t="s">
        <v>644</v>
      </c>
      <c r="AE6" s="55" t="s">
        <v>645</v>
      </c>
      <c r="AF6" s="55" t="s">
        <v>646</v>
      </c>
      <c r="AG6" s="55" t="s">
        <v>643</v>
      </c>
      <c r="AH6" s="55" t="s">
        <v>644</v>
      </c>
      <c r="AI6" s="55" t="s">
        <v>645</v>
      </c>
      <c r="AJ6" s="55" t="s">
        <v>646</v>
      </c>
      <c r="AK6" s="55" t="s">
        <v>643</v>
      </c>
      <c r="AL6" s="55" t="s">
        <v>644</v>
      </c>
      <c r="AM6" s="55" t="s">
        <v>645</v>
      </c>
      <c r="AN6" s="55" t="s">
        <v>646</v>
      </c>
      <c r="AO6" s="55" t="s">
        <v>643</v>
      </c>
      <c r="AP6" s="55" t="s">
        <v>644</v>
      </c>
      <c r="AQ6" s="55" t="s">
        <v>645</v>
      </c>
      <c r="AR6" s="55" t="s">
        <v>646</v>
      </c>
      <c r="AS6" s="55" t="s">
        <v>643</v>
      </c>
      <c r="AT6" s="55" t="s">
        <v>644</v>
      </c>
      <c r="AU6" s="55" t="s">
        <v>645</v>
      </c>
      <c r="AV6" s="55" t="s">
        <v>646</v>
      </c>
      <c r="AW6" s="55" t="s">
        <v>643</v>
      </c>
      <c r="AX6" s="55" t="s">
        <v>644</v>
      </c>
      <c r="AY6" s="55" t="s">
        <v>645</v>
      </c>
      <c r="AZ6" s="55" t="s">
        <v>646</v>
      </c>
      <c r="BA6" s="55" t="s">
        <v>643</v>
      </c>
      <c r="BB6" s="55" t="s">
        <v>644</v>
      </c>
      <c r="BC6" s="55" t="s">
        <v>645</v>
      </c>
      <c r="BD6" s="55" t="s">
        <v>646</v>
      </c>
      <c r="BE6" s="55" t="s">
        <v>643</v>
      </c>
      <c r="BF6" s="55" t="s">
        <v>644</v>
      </c>
      <c r="BG6" s="55" t="s">
        <v>645</v>
      </c>
      <c r="BH6" s="55" t="s">
        <v>646</v>
      </c>
    </row>
    <row r="7" spans="2:60" x14ac:dyDescent="0.2">
      <c r="B7" s="54"/>
      <c r="C7" s="54"/>
      <c r="D7" s="54"/>
      <c r="E7" s="55">
        <v>2012</v>
      </c>
      <c r="F7" s="55">
        <v>2012</v>
      </c>
      <c r="G7" s="55">
        <v>2012</v>
      </c>
      <c r="H7" s="55">
        <v>2012</v>
      </c>
      <c r="I7" s="55">
        <v>2013</v>
      </c>
      <c r="J7" s="55">
        <v>2013</v>
      </c>
      <c r="K7" s="55">
        <v>2013</v>
      </c>
      <c r="L7" s="55">
        <v>2013</v>
      </c>
      <c r="M7" s="55">
        <v>2014</v>
      </c>
      <c r="N7" s="55">
        <v>2014</v>
      </c>
      <c r="O7" s="55">
        <v>2014</v>
      </c>
      <c r="P7" s="55">
        <v>2014</v>
      </c>
      <c r="Q7" s="55">
        <v>2015</v>
      </c>
      <c r="R7" s="55">
        <v>2015</v>
      </c>
      <c r="S7" s="55">
        <v>2015</v>
      </c>
      <c r="T7" s="55">
        <v>2015</v>
      </c>
      <c r="U7" s="55">
        <v>2016</v>
      </c>
      <c r="V7" s="55">
        <v>2016</v>
      </c>
      <c r="W7" s="55">
        <v>2016</v>
      </c>
      <c r="X7" s="55">
        <v>2016</v>
      </c>
      <c r="Y7" s="55">
        <v>2017</v>
      </c>
      <c r="Z7" s="55">
        <v>2017</v>
      </c>
      <c r="AA7" s="55">
        <v>2017</v>
      </c>
      <c r="AB7" s="55">
        <v>2017</v>
      </c>
      <c r="AC7" s="55">
        <v>2018</v>
      </c>
      <c r="AD7" s="55">
        <v>2018</v>
      </c>
      <c r="AE7" s="55">
        <v>2018</v>
      </c>
      <c r="AF7" s="55">
        <v>2018</v>
      </c>
      <c r="AG7" s="55">
        <v>2019</v>
      </c>
      <c r="AH7" s="55">
        <v>2019</v>
      </c>
      <c r="AI7" s="55">
        <v>2019</v>
      </c>
      <c r="AJ7" s="55">
        <v>2019</v>
      </c>
      <c r="AK7" s="55">
        <v>2020</v>
      </c>
      <c r="AL7" s="55">
        <v>2020</v>
      </c>
      <c r="AM7" s="55">
        <v>2020</v>
      </c>
      <c r="AN7" s="55">
        <v>2020</v>
      </c>
      <c r="AO7" s="55">
        <v>2021</v>
      </c>
      <c r="AP7" s="55">
        <v>2021</v>
      </c>
      <c r="AQ7" s="55">
        <v>2021</v>
      </c>
      <c r="AR7" s="55">
        <v>2021</v>
      </c>
      <c r="AS7" s="55">
        <v>2022</v>
      </c>
      <c r="AT7" s="55">
        <v>2022</v>
      </c>
      <c r="AU7" s="55">
        <v>2022</v>
      </c>
      <c r="AV7" s="55">
        <v>2022</v>
      </c>
      <c r="AW7" s="55">
        <v>2023</v>
      </c>
      <c r="AX7" s="55">
        <v>2023</v>
      </c>
      <c r="AY7" s="55">
        <v>2023</v>
      </c>
      <c r="AZ7" s="55">
        <v>2023</v>
      </c>
      <c r="BA7" s="55">
        <v>2024</v>
      </c>
      <c r="BB7" s="55">
        <v>2024</v>
      </c>
      <c r="BC7" s="55">
        <v>2024</v>
      </c>
      <c r="BD7" s="55">
        <v>2024</v>
      </c>
      <c r="BE7" s="55">
        <v>2025</v>
      </c>
      <c r="BF7" s="55">
        <v>2025</v>
      </c>
      <c r="BG7" s="55">
        <v>2025</v>
      </c>
      <c r="BH7" s="55">
        <v>2025</v>
      </c>
    </row>
    <row r="8" spans="2:60" ht="14.25" customHeight="1" x14ac:dyDescent="0.2">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row>
    <row r="9" spans="2:60" hidden="1" x14ac:dyDescent="0.2">
      <c r="B9" s="57"/>
      <c r="C9" s="57" t="s">
        <v>647</v>
      </c>
      <c r="D9" s="57" t="s">
        <v>648</v>
      </c>
      <c r="E9" s="62">
        <v>8</v>
      </c>
      <c r="F9" s="62">
        <v>7</v>
      </c>
      <c r="G9" s="62">
        <v>4</v>
      </c>
      <c r="H9" s="62">
        <v>5</v>
      </c>
      <c r="I9" s="62">
        <v>7</v>
      </c>
      <c r="J9" s="62">
        <v>9</v>
      </c>
      <c r="K9" s="62">
        <v>7</v>
      </c>
      <c r="L9" s="62">
        <v>9</v>
      </c>
      <c r="M9" s="62">
        <v>5</v>
      </c>
      <c r="N9" s="62">
        <v>6</v>
      </c>
      <c r="O9" s="62">
        <v>3</v>
      </c>
      <c r="P9" s="62">
        <v>6</v>
      </c>
      <c r="Q9" s="62">
        <v>8</v>
      </c>
      <c r="R9" s="62">
        <v>3</v>
      </c>
      <c r="S9" s="62">
        <v>14</v>
      </c>
      <c r="T9" s="62">
        <v>2</v>
      </c>
      <c r="U9" s="62">
        <v>4</v>
      </c>
      <c r="V9" s="62">
        <v>5</v>
      </c>
      <c r="W9" s="62">
        <v>3</v>
      </c>
      <c r="X9" s="62">
        <v>9</v>
      </c>
      <c r="Y9" s="62">
        <v>6</v>
      </c>
      <c r="Z9" s="62">
        <v>8</v>
      </c>
      <c r="AA9" s="62">
        <v>9</v>
      </c>
      <c r="AB9" s="62">
        <v>7</v>
      </c>
      <c r="AC9" s="62">
        <v>8</v>
      </c>
      <c r="AD9" s="62">
        <v>7</v>
      </c>
      <c r="AE9" s="62">
        <v>7</v>
      </c>
      <c r="AF9" s="62">
        <v>4</v>
      </c>
      <c r="AG9" s="62">
        <v>6</v>
      </c>
      <c r="AH9" s="62">
        <v>2</v>
      </c>
      <c r="AI9" s="62">
        <v>2</v>
      </c>
      <c r="AJ9" s="62">
        <v>6</v>
      </c>
      <c r="AK9" s="62">
        <v>7</v>
      </c>
      <c r="AL9" s="62">
        <v>5</v>
      </c>
      <c r="AM9" s="62">
        <v>5</v>
      </c>
      <c r="AN9" s="62">
        <v>7</v>
      </c>
      <c r="AO9" s="62">
        <v>7</v>
      </c>
      <c r="AP9" s="62">
        <v>5</v>
      </c>
      <c r="AQ9" s="62">
        <v>7</v>
      </c>
      <c r="AR9" s="62">
        <v>1</v>
      </c>
      <c r="AS9" s="62">
        <v>5</v>
      </c>
      <c r="AT9" s="62">
        <v>2</v>
      </c>
      <c r="AU9" s="62">
        <v>4</v>
      </c>
      <c r="AV9" s="62">
        <v>2</v>
      </c>
      <c r="AW9" s="62">
        <v>3</v>
      </c>
      <c r="AX9" s="62">
        <v>2</v>
      </c>
      <c r="AY9" s="62">
        <v>14</v>
      </c>
      <c r="AZ9" s="62">
        <v>7</v>
      </c>
      <c r="BA9" s="62">
        <v>10</v>
      </c>
      <c r="BB9" s="62">
        <v>10</v>
      </c>
      <c r="BC9" s="62">
        <v>4</v>
      </c>
      <c r="BD9" s="62"/>
      <c r="BE9" s="62">
        <v>5</v>
      </c>
      <c r="BF9" s="62">
        <v>1</v>
      </c>
      <c r="BG9" s="62">
        <v>2</v>
      </c>
      <c r="BH9" s="62"/>
    </row>
    <row r="10" spans="2:60" hidden="1" x14ac:dyDescent="0.2">
      <c r="B10" s="59"/>
      <c r="C10" s="59" t="s">
        <v>647</v>
      </c>
      <c r="D10" s="59" t="s">
        <v>649</v>
      </c>
      <c r="E10" s="63">
        <v>18</v>
      </c>
      <c r="F10" s="63">
        <v>16</v>
      </c>
      <c r="G10" s="63">
        <v>9</v>
      </c>
      <c r="H10" s="63">
        <v>21</v>
      </c>
      <c r="I10" s="63">
        <v>11</v>
      </c>
      <c r="J10" s="63">
        <v>19</v>
      </c>
      <c r="K10" s="63">
        <v>22</v>
      </c>
      <c r="L10" s="63">
        <v>21</v>
      </c>
      <c r="M10" s="63">
        <v>22</v>
      </c>
      <c r="N10" s="63">
        <v>18</v>
      </c>
      <c r="O10" s="63">
        <v>21</v>
      </c>
      <c r="P10" s="63">
        <v>11</v>
      </c>
      <c r="Q10" s="63">
        <v>20</v>
      </c>
      <c r="R10" s="63">
        <v>20</v>
      </c>
      <c r="S10" s="63">
        <v>18</v>
      </c>
      <c r="T10" s="63">
        <v>12</v>
      </c>
      <c r="U10" s="63">
        <v>15</v>
      </c>
      <c r="V10" s="63">
        <v>13</v>
      </c>
      <c r="W10" s="63">
        <v>27</v>
      </c>
      <c r="X10" s="63">
        <v>18</v>
      </c>
      <c r="Y10" s="63">
        <v>32</v>
      </c>
      <c r="Z10" s="63">
        <v>18</v>
      </c>
      <c r="AA10" s="63">
        <v>31</v>
      </c>
      <c r="AB10" s="63">
        <v>20</v>
      </c>
      <c r="AC10" s="63">
        <v>21</v>
      </c>
      <c r="AD10" s="63">
        <v>26</v>
      </c>
      <c r="AE10" s="63">
        <v>18</v>
      </c>
      <c r="AF10" s="63">
        <v>20</v>
      </c>
      <c r="AG10" s="63">
        <v>15</v>
      </c>
      <c r="AH10" s="63">
        <v>17</v>
      </c>
      <c r="AI10" s="63">
        <v>9</v>
      </c>
      <c r="AJ10" s="63">
        <v>18</v>
      </c>
      <c r="AK10" s="63">
        <v>16</v>
      </c>
      <c r="AL10" s="63">
        <v>25</v>
      </c>
      <c r="AM10" s="63">
        <v>15</v>
      </c>
      <c r="AN10" s="63">
        <v>11</v>
      </c>
      <c r="AO10" s="63">
        <v>15</v>
      </c>
      <c r="AP10" s="63">
        <v>13</v>
      </c>
      <c r="AQ10" s="63">
        <v>13</v>
      </c>
      <c r="AR10" s="63">
        <v>15</v>
      </c>
      <c r="AS10" s="63">
        <v>9</v>
      </c>
      <c r="AT10" s="63">
        <v>21</v>
      </c>
      <c r="AU10" s="63">
        <v>15</v>
      </c>
      <c r="AV10" s="63">
        <v>9</v>
      </c>
      <c r="AW10" s="63">
        <v>16</v>
      </c>
      <c r="AX10" s="63">
        <v>13</v>
      </c>
      <c r="AY10" s="63">
        <v>14</v>
      </c>
      <c r="AZ10" s="63">
        <v>13</v>
      </c>
      <c r="BA10" s="63">
        <v>11</v>
      </c>
      <c r="BB10" s="63">
        <v>10</v>
      </c>
      <c r="BC10" s="63">
        <v>14</v>
      </c>
      <c r="BD10" s="63">
        <v>2</v>
      </c>
      <c r="BE10" s="63">
        <v>16</v>
      </c>
      <c r="BF10" s="63">
        <v>11</v>
      </c>
      <c r="BG10" s="63">
        <v>8</v>
      </c>
      <c r="BH10" s="63">
        <v>15</v>
      </c>
    </row>
    <row r="11" spans="2:60" hidden="1" x14ac:dyDescent="0.2">
      <c r="B11" s="57"/>
      <c r="C11" s="57" t="s">
        <v>647</v>
      </c>
      <c r="D11" s="57" t="s">
        <v>650</v>
      </c>
      <c r="E11" s="62">
        <v>1</v>
      </c>
      <c r="F11" s="62"/>
      <c r="G11" s="62">
        <v>3</v>
      </c>
      <c r="H11" s="62">
        <v>2</v>
      </c>
      <c r="I11" s="62">
        <v>4</v>
      </c>
      <c r="J11" s="62">
        <v>4</v>
      </c>
      <c r="K11" s="62">
        <v>3</v>
      </c>
      <c r="L11" s="62">
        <v>2</v>
      </c>
      <c r="M11" s="62">
        <v>4</v>
      </c>
      <c r="N11" s="62">
        <v>4</v>
      </c>
      <c r="O11" s="62">
        <v>2</v>
      </c>
      <c r="P11" s="62">
        <v>1</v>
      </c>
      <c r="Q11" s="62">
        <v>5</v>
      </c>
      <c r="R11" s="62"/>
      <c r="S11" s="62">
        <v>7</v>
      </c>
      <c r="T11" s="62">
        <v>5</v>
      </c>
      <c r="U11" s="62">
        <v>8</v>
      </c>
      <c r="V11" s="62">
        <v>1</v>
      </c>
      <c r="W11" s="62">
        <v>5</v>
      </c>
      <c r="X11" s="62">
        <v>2</v>
      </c>
      <c r="Y11" s="62">
        <v>6</v>
      </c>
      <c r="Z11" s="62">
        <v>4</v>
      </c>
      <c r="AA11" s="62">
        <v>6</v>
      </c>
      <c r="AB11" s="62">
        <v>3</v>
      </c>
      <c r="AC11" s="62">
        <v>2</v>
      </c>
      <c r="AD11" s="62">
        <v>2</v>
      </c>
      <c r="AE11" s="62">
        <v>3</v>
      </c>
      <c r="AF11" s="62">
        <v>4</v>
      </c>
      <c r="AG11" s="62">
        <v>2</v>
      </c>
      <c r="AH11" s="62">
        <v>1</v>
      </c>
      <c r="AI11" s="62"/>
      <c r="AJ11" s="62">
        <v>1</v>
      </c>
      <c r="AK11" s="62">
        <v>3</v>
      </c>
      <c r="AL11" s="62">
        <v>1</v>
      </c>
      <c r="AM11" s="62">
        <v>1</v>
      </c>
      <c r="AN11" s="62">
        <v>1</v>
      </c>
      <c r="AO11" s="62">
        <v>1</v>
      </c>
      <c r="AP11" s="62">
        <v>4</v>
      </c>
      <c r="AQ11" s="62">
        <v>1</v>
      </c>
      <c r="AR11" s="62"/>
      <c r="AS11" s="62">
        <v>1</v>
      </c>
      <c r="AT11" s="62"/>
      <c r="AU11" s="62"/>
      <c r="AV11" s="62">
        <v>2</v>
      </c>
      <c r="AW11" s="62">
        <v>2</v>
      </c>
      <c r="AX11" s="62">
        <v>1</v>
      </c>
      <c r="AY11" s="62">
        <v>1</v>
      </c>
      <c r="AZ11" s="62">
        <v>2</v>
      </c>
      <c r="BA11" s="62"/>
      <c r="BB11" s="62">
        <v>1</v>
      </c>
      <c r="BC11" s="62">
        <v>1</v>
      </c>
      <c r="BD11" s="62"/>
      <c r="BE11" s="62"/>
      <c r="BF11" s="62">
        <v>1</v>
      </c>
      <c r="BG11" s="62"/>
      <c r="BH11" s="62">
        <v>3</v>
      </c>
    </row>
    <row r="12" spans="2:60" hidden="1" x14ac:dyDescent="0.2">
      <c r="B12" s="59"/>
      <c r="C12" s="59" t="s">
        <v>647</v>
      </c>
      <c r="D12" s="59" t="s">
        <v>651</v>
      </c>
      <c r="E12" s="63">
        <v>6</v>
      </c>
      <c r="F12" s="63">
        <v>10</v>
      </c>
      <c r="G12" s="63">
        <v>4</v>
      </c>
      <c r="H12" s="63">
        <v>5</v>
      </c>
      <c r="I12" s="63">
        <v>7</v>
      </c>
      <c r="J12" s="63">
        <v>7</v>
      </c>
      <c r="K12" s="63">
        <v>6</v>
      </c>
      <c r="L12" s="63">
        <v>7</v>
      </c>
      <c r="M12" s="63">
        <v>7</v>
      </c>
      <c r="N12" s="63">
        <v>5</v>
      </c>
      <c r="O12" s="63">
        <v>2</v>
      </c>
      <c r="P12" s="63">
        <v>7</v>
      </c>
      <c r="Q12" s="63">
        <v>9</v>
      </c>
      <c r="R12" s="63">
        <v>4</v>
      </c>
      <c r="S12" s="63">
        <v>6</v>
      </c>
      <c r="T12" s="63">
        <v>1</v>
      </c>
      <c r="U12" s="63">
        <v>4</v>
      </c>
      <c r="V12" s="63">
        <v>3</v>
      </c>
      <c r="W12" s="63">
        <v>2</v>
      </c>
      <c r="X12" s="63">
        <v>4</v>
      </c>
      <c r="Y12" s="63">
        <v>5</v>
      </c>
      <c r="Z12" s="63">
        <v>3</v>
      </c>
      <c r="AA12" s="63">
        <v>4</v>
      </c>
      <c r="AB12" s="63">
        <v>8</v>
      </c>
      <c r="AC12" s="63">
        <v>4</v>
      </c>
      <c r="AD12" s="63">
        <v>1</v>
      </c>
      <c r="AE12" s="63">
        <v>1</v>
      </c>
      <c r="AF12" s="63">
        <v>4</v>
      </c>
      <c r="AG12" s="63">
        <v>7</v>
      </c>
      <c r="AH12" s="63">
        <v>4</v>
      </c>
      <c r="AI12" s="63">
        <v>8</v>
      </c>
      <c r="AJ12" s="63">
        <v>2</v>
      </c>
      <c r="AK12" s="63">
        <v>4</v>
      </c>
      <c r="AL12" s="63">
        <v>4</v>
      </c>
      <c r="AM12" s="63">
        <v>8</v>
      </c>
      <c r="AN12" s="63">
        <v>4</v>
      </c>
      <c r="AO12" s="63">
        <v>1</v>
      </c>
      <c r="AP12" s="63">
        <v>4</v>
      </c>
      <c r="AQ12" s="63">
        <v>11</v>
      </c>
      <c r="AR12" s="63">
        <v>5</v>
      </c>
      <c r="AS12" s="63">
        <v>3</v>
      </c>
      <c r="AT12" s="63">
        <v>6</v>
      </c>
      <c r="AU12" s="63">
        <v>3</v>
      </c>
      <c r="AV12" s="63">
        <v>4</v>
      </c>
      <c r="AW12" s="63">
        <v>3</v>
      </c>
      <c r="AX12" s="63">
        <v>3</v>
      </c>
      <c r="AY12" s="63">
        <v>7</v>
      </c>
      <c r="AZ12" s="63">
        <v>3</v>
      </c>
      <c r="BA12" s="63">
        <v>7</v>
      </c>
      <c r="BB12" s="63">
        <v>5</v>
      </c>
      <c r="BC12" s="63">
        <v>2</v>
      </c>
      <c r="BD12" s="63">
        <v>3</v>
      </c>
      <c r="BE12" s="63">
        <v>4</v>
      </c>
      <c r="BF12" s="63">
        <v>4</v>
      </c>
      <c r="BG12" s="63">
        <v>1</v>
      </c>
      <c r="BH12" s="63">
        <v>2</v>
      </c>
    </row>
    <row r="13" spans="2:60" hidden="1" x14ac:dyDescent="0.2">
      <c r="B13" s="57"/>
      <c r="C13" s="57" t="s">
        <v>647</v>
      </c>
      <c r="D13" s="57" t="s">
        <v>652</v>
      </c>
      <c r="E13" s="62">
        <v>71</v>
      </c>
      <c r="F13" s="62">
        <v>49</v>
      </c>
      <c r="G13" s="62">
        <v>53</v>
      </c>
      <c r="H13" s="62">
        <v>51</v>
      </c>
      <c r="I13" s="62">
        <v>51</v>
      </c>
      <c r="J13" s="62">
        <v>65</v>
      </c>
      <c r="K13" s="62">
        <v>65</v>
      </c>
      <c r="L13" s="62">
        <v>56</v>
      </c>
      <c r="M13" s="62">
        <v>73</v>
      </c>
      <c r="N13" s="62">
        <v>49</v>
      </c>
      <c r="O13" s="62">
        <v>60</v>
      </c>
      <c r="P13" s="62">
        <v>47</v>
      </c>
      <c r="Q13" s="62">
        <v>54</v>
      </c>
      <c r="R13" s="62">
        <v>55</v>
      </c>
      <c r="S13" s="62">
        <v>63</v>
      </c>
      <c r="T13" s="62">
        <v>41</v>
      </c>
      <c r="U13" s="62">
        <v>42</v>
      </c>
      <c r="V13" s="62">
        <v>45</v>
      </c>
      <c r="W13" s="62">
        <v>57</v>
      </c>
      <c r="X13" s="62">
        <v>38</v>
      </c>
      <c r="Y13" s="62">
        <v>60</v>
      </c>
      <c r="Z13" s="62">
        <v>47</v>
      </c>
      <c r="AA13" s="62">
        <v>44</v>
      </c>
      <c r="AB13" s="62">
        <v>50</v>
      </c>
      <c r="AC13" s="62">
        <v>46</v>
      </c>
      <c r="AD13" s="62">
        <v>58</v>
      </c>
      <c r="AE13" s="62">
        <v>59</v>
      </c>
      <c r="AF13" s="62">
        <v>48</v>
      </c>
      <c r="AG13" s="62">
        <v>57</v>
      </c>
      <c r="AH13" s="62">
        <v>44</v>
      </c>
      <c r="AI13" s="62">
        <v>56</v>
      </c>
      <c r="AJ13" s="62">
        <v>43</v>
      </c>
      <c r="AK13" s="62">
        <v>73</v>
      </c>
      <c r="AL13" s="62">
        <v>51</v>
      </c>
      <c r="AM13" s="62">
        <v>43</v>
      </c>
      <c r="AN13" s="62">
        <v>41</v>
      </c>
      <c r="AO13" s="62">
        <v>65</v>
      </c>
      <c r="AP13" s="62">
        <v>57</v>
      </c>
      <c r="AQ13" s="62">
        <v>46</v>
      </c>
      <c r="AR13" s="62">
        <v>35</v>
      </c>
      <c r="AS13" s="62">
        <v>41</v>
      </c>
      <c r="AT13" s="62">
        <v>39</v>
      </c>
      <c r="AU13" s="62">
        <v>34</v>
      </c>
      <c r="AV13" s="62">
        <v>37</v>
      </c>
      <c r="AW13" s="62">
        <v>41</v>
      </c>
      <c r="AX13" s="62">
        <v>31</v>
      </c>
      <c r="AY13" s="62">
        <v>40</v>
      </c>
      <c r="AZ13" s="62">
        <v>30</v>
      </c>
      <c r="BA13" s="62">
        <v>40</v>
      </c>
      <c r="BB13" s="62">
        <v>30</v>
      </c>
      <c r="BC13" s="62">
        <v>37</v>
      </c>
      <c r="BD13" s="62">
        <v>28</v>
      </c>
      <c r="BE13" s="62">
        <v>29</v>
      </c>
      <c r="BF13" s="62">
        <v>34</v>
      </c>
      <c r="BG13" s="62">
        <v>26</v>
      </c>
      <c r="BH13" s="62">
        <v>34</v>
      </c>
    </row>
    <row r="14" spans="2:60" hidden="1" x14ac:dyDescent="0.2">
      <c r="B14" s="59"/>
      <c r="C14" s="59" t="s">
        <v>647</v>
      </c>
      <c r="D14" s="59" t="s">
        <v>653</v>
      </c>
      <c r="E14" s="63">
        <v>46</v>
      </c>
      <c r="F14" s="63">
        <v>35</v>
      </c>
      <c r="G14" s="63">
        <v>43</v>
      </c>
      <c r="H14" s="63">
        <v>35</v>
      </c>
      <c r="I14" s="63">
        <v>44</v>
      </c>
      <c r="J14" s="63">
        <v>54</v>
      </c>
      <c r="K14" s="63">
        <v>50</v>
      </c>
      <c r="L14" s="63">
        <v>34</v>
      </c>
      <c r="M14" s="63">
        <v>44</v>
      </c>
      <c r="N14" s="63">
        <v>43</v>
      </c>
      <c r="O14" s="63">
        <v>43</v>
      </c>
      <c r="P14" s="63">
        <v>45</v>
      </c>
      <c r="Q14" s="63">
        <v>52</v>
      </c>
      <c r="R14" s="63">
        <v>36</v>
      </c>
      <c r="S14" s="63">
        <v>42</v>
      </c>
      <c r="T14" s="63">
        <v>29</v>
      </c>
      <c r="U14" s="63">
        <v>41</v>
      </c>
      <c r="V14" s="63">
        <v>35</v>
      </c>
      <c r="W14" s="63">
        <v>41</v>
      </c>
      <c r="X14" s="63">
        <v>36</v>
      </c>
      <c r="Y14" s="63">
        <v>51</v>
      </c>
      <c r="Z14" s="63">
        <v>25</v>
      </c>
      <c r="AA14" s="63">
        <v>38</v>
      </c>
      <c r="AB14" s="63">
        <v>42</v>
      </c>
      <c r="AC14" s="63">
        <v>37</v>
      </c>
      <c r="AD14" s="63">
        <v>38</v>
      </c>
      <c r="AE14" s="63">
        <v>51</v>
      </c>
      <c r="AF14" s="63">
        <v>44</v>
      </c>
      <c r="AG14" s="63">
        <v>47</v>
      </c>
      <c r="AH14" s="63">
        <v>32</v>
      </c>
      <c r="AI14" s="63">
        <v>29</v>
      </c>
      <c r="AJ14" s="63">
        <v>42</v>
      </c>
      <c r="AK14" s="63">
        <v>35</v>
      </c>
      <c r="AL14" s="63">
        <v>33</v>
      </c>
      <c r="AM14" s="63">
        <v>29</v>
      </c>
      <c r="AN14" s="63">
        <v>32</v>
      </c>
      <c r="AO14" s="63">
        <v>41</v>
      </c>
      <c r="AP14" s="63">
        <v>41</v>
      </c>
      <c r="AQ14" s="63">
        <v>33</v>
      </c>
      <c r="AR14" s="63">
        <v>23</v>
      </c>
      <c r="AS14" s="63">
        <v>29</v>
      </c>
      <c r="AT14" s="63">
        <v>23</v>
      </c>
      <c r="AU14" s="63">
        <v>14</v>
      </c>
      <c r="AV14" s="63">
        <v>28</v>
      </c>
      <c r="AW14" s="63">
        <v>21</v>
      </c>
      <c r="AX14" s="63">
        <v>15</v>
      </c>
      <c r="AY14" s="63">
        <v>20</v>
      </c>
      <c r="AZ14" s="63">
        <v>24</v>
      </c>
      <c r="BA14" s="63">
        <v>21</v>
      </c>
      <c r="BB14" s="63">
        <v>16</v>
      </c>
      <c r="BC14" s="63">
        <v>17</v>
      </c>
      <c r="BD14" s="63">
        <v>10</v>
      </c>
      <c r="BE14" s="63">
        <v>16</v>
      </c>
      <c r="BF14" s="63">
        <v>13</v>
      </c>
      <c r="BG14" s="63">
        <v>14</v>
      </c>
      <c r="BH14" s="63">
        <v>7</v>
      </c>
    </row>
    <row r="15" spans="2:60" hidden="1" x14ac:dyDescent="0.2">
      <c r="B15" s="57"/>
      <c r="C15" s="57" t="s">
        <v>647</v>
      </c>
      <c r="D15" s="57" t="s">
        <v>654</v>
      </c>
      <c r="E15" s="62"/>
      <c r="F15" s="62">
        <v>1</v>
      </c>
      <c r="G15" s="62"/>
      <c r="H15" s="62"/>
      <c r="I15" s="62"/>
      <c r="J15" s="62">
        <v>1</v>
      </c>
      <c r="K15" s="62"/>
      <c r="L15" s="62"/>
      <c r="M15" s="62"/>
      <c r="N15" s="62"/>
      <c r="O15" s="62"/>
      <c r="P15" s="62"/>
      <c r="Q15" s="62">
        <v>4</v>
      </c>
      <c r="R15" s="62"/>
      <c r="S15" s="62">
        <v>1</v>
      </c>
      <c r="T15" s="62"/>
      <c r="U15" s="62"/>
      <c r="V15" s="62"/>
      <c r="W15" s="62"/>
      <c r="X15" s="62"/>
      <c r="Y15" s="62"/>
      <c r="Z15" s="62"/>
      <c r="AA15" s="62"/>
      <c r="AB15" s="62"/>
      <c r="AC15" s="62"/>
      <c r="AD15" s="62"/>
      <c r="AE15" s="62"/>
      <c r="AF15" s="62">
        <v>4</v>
      </c>
      <c r="AG15" s="62"/>
      <c r="AH15" s="62">
        <v>1</v>
      </c>
      <c r="AI15" s="62"/>
      <c r="AJ15" s="62">
        <v>5</v>
      </c>
      <c r="AK15" s="62"/>
      <c r="AL15" s="62">
        <v>2</v>
      </c>
      <c r="AM15" s="62">
        <v>1</v>
      </c>
      <c r="AN15" s="62"/>
      <c r="AO15" s="62">
        <v>2</v>
      </c>
      <c r="AP15" s="62"/>
      <c r="AQ15" s="62">
        <v>2</v>
      </c>
      <c r="AR15" s="62"/>
      <c r="AS15" s="62"/>
      <c r="AT15" s="62"/>
      <c r="AU15" s="62"/>
      <c r="AV15" s="62"/>
      <c r="AW15" s="62"/>
      <c r="AX15" s="62">
        <v>1</v>
      </c>
      <c r="AY15" s="62"/>
      <c r="AZ15" s="62">
        <v>1</v>
      </c>
      <c r="BA15" s="62">
        <v>1</v>
      </c>
      <c r="BB15" s="62"/>
      <c r="BC15" s="62">
        <v>1</v>
      </c>
      <c r="BD15" s="62"/>
      <c r="BE15" s="62"/>
      <c r="BF15" s="62">
        <v>2</v>
      </c>
      <c r="BG15" s="62">
        <v>1</v>
      </c>
      <c r="BH15" s="62">
        <v>1</v>
      </c>
    </row>
    <row r="16" spans="2:60" hidden="1" x14ac:dyDescent="0.2">
      <c r="B16" s="59"/>
      <c r="C16" s="59" t="s">
        <v>647</v>
      </c>
      <c r="D16" s="59" t="s">
        <v>655</v>
      </c>
      <c r="E16" s="63"/>
      <c r="F16" s="63">
        <v>1</v>
      </c>
      <c r="G16" s="63"/>
      <c r="H16" s="63"/>
      <c r="I16" s="63"/>
      <c r="J16" s="63"/>
      <c r="K16" s="63"/>
      <c r="L16" s="63"/>
      <c r="M16" s="63"/>
      <c r="N16" s="63"/>
      <c r="O16" s="63"/>
      <c r="P16" s="63"/>
      <c r="Q16" s="63"/>
      <c r="R16" s="63">
        <v>3</v>
      </c>
      <c r="S16" s="63">
        <v>3</v>
      </c>
      <c r="T16" s="63"/>
      <c r="U16" s="63"/>
      <c r="V16" s="63">
        <v>2</v>
      </c>
      <c r="W16" s="63">
        <v>1</v>
      </c>
      <c r="X16" s="63">
        <v>2</v>
      </c>
      <c r="Y16" s="63">
        <v>1</v>
      </c>
      <c r="Z16" s="63"/>
      <c r="AA16" s="63">
        <v>2</v>
      </c>
      <c r="AB16" s="63">
        <v>3</v>
      </c>
      <c r="AC16" s="63">
        <v>3</v>
      </c>
      <c r="AD16" s="63">
        <v>1</v>
      </c>
      <c r="AE16" s="63">
        <v>4</v>
      </c>
      <c r="AF16" s="63">
        <v>3</v>
      </c>
      <c r="AG16" s="63">
        <v>2</v>
      </c>
      <c r="AH16" s="63">
        <v>1</v>
      </c>
      <c r="AI16" s="63">
        <v>4</v>
      </c>
      <c r="AJ16" s="63">
        <v>4</v>
      </c>
      <c r="AK16" s="63">
        <v>4</v>
      </c>
      <c r="AL16" s="63">
        <v>7</v>
      </c>
      <c r="AM16" s="63">
        <v>3</v>
      </c>
      <c r="AN16" s="63">
        <v>3</v>
      </c>
      <c r="AO16" s="63">
        <v>1</v>
      </c>
      <c r="AP16" s="63"/>
      <c r="AQ16" s="63">
        <v>1</v>
      </c>
      <c r="AR16" s="63">
        <v>2</v>
      </c>
      <c r="AS16" s="63">
        <v>1</v>
      </c>
      <c r="AT16" s="63">
        <v>1</v>
      </c>
      <c r="AU16" s="63"/>
      <c r="AV16" s="63">
        <v>1</v>
      </c>
      <c r="AW16" s="63">
        <v>2</v>
      </c>
      <c r="AX16" s="63">
        <v>1</v>
      </c>
      <c r="AY16" s="63"/>
      <c r="AZ16" s="63"/>
      <c r="BA16" s="63">
        <v>1</v>
      </c>
      <c r="BB16" s="63"/>
      <c r="BC16" s="63"/>
      <c r="BD16" s="63">
        <v>2</v>
      </c>
      <c r="BE16" s="63">
        <v>2</v>
      </c>
      <c r="BF16" s="63">
        <v>2</v>
      </c>
      <c r="BG16" s="63"/>
      <c r="BH16" s="63"/>
    </row>
    <row r="17" spans="2:60" hidden="1" x14ac:dyDescent="0.2">
      <c r="B17" s="57"/>
      <c r="C17" s="57" t="s">
        <v>647</v>
      </c>
      <c r="D17" s="57" t="s">
        <v>699</v>
      </c>
      <c r="E17" s="62">
        <v>11</v>
      </c>
      <c r="F17" s="62">
        <v>18</v>
      </c>
      <c r="G17" s="62">
        <v>5</v>
      </c>
      <c r="H17" s="62">
        <v>9</v>
      </c>
      <c r="I17" s="62">
        <v>12</v>
      </c>
      <c r="J17" s="62">
        <v>14</v>
      </c>
      <c r="K17" s="62">
        <v>10</v>
      </c>
      <c r="L17" s="62">
        <v>12</v>
      </c>
      <c r="M17" s="62">
        <v>10</v>
      </c>
      <c r="N17" s="62">
        <v>5</v>
      </c>
      <c r="O17" s="62">
        <v>10</v>
      </c>
      <c r="P17" s="62">
        <v>15</v>
      </c>
      <c r="Q17" s="62">
        <v>18</v>
      </c>
      <c r="R17" s="62">
        <v>11</v>
      </c>
      <c r="S17" s="62">
        <v>8</v>
      </c>
      <c r="T17" s="62">
        <v>7</v>
      </c>
      <c r="U17" s="62">
        <v>7</v>
      </c>
      <c r="V17" s="62">
        <v>5</v>
      </c>
      <c r="W17" s="62">
        <v>8</v>
      </c>
      <c r="X17" s="62">
        <v>7</v>
      </c>
      <c r="Y17" s="62">
        <v>12</v>
      </c>
      <c r="Z17" s="62">
        <v>5</v>
      </c>
      <c r="AA17" s="62">
        <v>7</v>
      </c>
      <c r="AB17" s="62">
        <v>5</v>
      </c>
      <c r="AC17" s="62">
        <v>4</v>
      </c>
      <c r="AD17" s="62">
        <v>6</v>
      </c>
      <c r="AE17" s="62">
        <v>5</v>
      </c>
      <c r="AF17" s="62">
        <v>10</v>
      </c>
      <c r="AG17" s="62">
        <v>12</v>
      </c>
      <c r="AH17" s="62">
        <v>3</v>
      </c>
      <c r="AI17" s="62">
        <v>4</v>
      </c>
      <c r="AJ17" s="62">
        <v>6</v>
      </c>
      <c r="AK17" s="62">
        <v>3</v>
      </c>
      <c r="AL17" s="62">
        <v>5</v>
      </c>
      <c r="AM17" s="62">
        <v>4</v>
      </c>
      <c r="AN17" s="62">
        <v>5</v>
      </c>
      <c r="AO17" s="62">
        <v>1</v>
      </c>
      <c r="AP17" s="62">
        <v>3</v>
      </c>
      <c r="AQ17" s="62">
        <v>3</v>
      </c>
      <c r="AR17" s="62">
        <v>7</v>
      </c>
      <c r="AS17" s="62">
        <v>7</v>
      </c>
      <c r="AT17" s="62">
        <v>5</v>
      </c>
      <c r="AU17" s="62">
        <v>6</v>
      </c>
      <c r="AV17" s="62"/>
      <c r="AW17" s="62">
        <v>4</v>
      </c>
      <c r="AX17" s="62">
        <v>6</v>
      </c>
      <c r="AY17" s="62">
        <v>6</v>
      </c>
      <c r="AZ17" s="62">
        <v>4</v>
      </c>
      <c r="BA17" s="62">
        <v>5</v>
      </c>
      <c r="BB17" s="62">
        <v>4</v>
      </c>
      <c r="BC17" s="62">
        <v>2</v>
      </c>
      <c r="BD17" s="62"/>
      <c r="BE17" s="62">
        <v>3</v>
      </c>
      <c r="BF17" s="62">
        <v>5</v>
      </c>
      <c r="BG17" s="62">
        <v>4</v>
      </c>
      <c r="BH17" s="62">
        <v>3</v>
      </c>
    </row>
    <row r="18" spans="2:60" hidden="1" x14ac:dyDescent="0.2">
      <c r="B18" s="59"/>
      <c r="C18" s="59" t="s">
        <v>647</v>
      </c>
      <c r="D18" s="59" t="s">
        <v>656</v>
      </c>
      <c r="E18" s="63">
        <v>161</v>
      </c>
      <c r="F18" s="63">
        <v>137</v>
      </c>
      <c r="G18" s="63">
        <v>121</v>
      </c>
      <c r="H18" s="63">
        <v>128</v>
      </c>
      <c r="I18" s="63">
        <v>136</v>
      </c>
      <c r="J18" s="63">
        <v>173</v>
      </c>
      <c r="K18" s="63">
        <v>163</v>
      </c>
      <c r="L18" s="63">
        <v>141</v>
      </c>
      <c r="M18" s="63">
        <v>165</v>
      </c>
      <c r="N18" s="63">
        <v>130</v>
      </c>
      <c r="O18" s="63">
        <v>141</v>
      </c>
      <c r="P18" s="63">
        <v>132</v>
      </c>
      <c r="Q18" s="63">
        <v>170</v>
      </c>
      <c r="R18" s="63">
        <v>132</v>
      </c>
      <c r="S18" s="63">
        <v>162</v>
      </c>
      <c r="T18" s="63">
        <v>97</v>
      </c>
      <c r="U18" s="63">
        <v>121</v>
      </c>
      <c r="V18" s="63">
        <v>109</v>
      </c>
      <c r="W18" s="63">
        <v>144</v>
      </c>
      <c r="X18" s="63">
        <v>116</v>
      </c>
      <c r="Y18" s="63">
        <v>173</v>
      </c>
      <c r="Z18" s="63">
        <v>110</v>
      </c>
      <c r="AA18" s="63">
        <v>141</v>
      </c>
      <c r="AB18" s="63">
        <v>138</v>
      </c>
      <c r="AC18" s="63">
        <v>125</v>
      </c>
      <c r="AD18" s="63">
        <v>139</v>
      </c>
      <c r="AE18" s="63">
        <v>148</v>
      </c>
      <c r="AF18" s="63">
        <v>141</v>
      </c>
      <c r="AG18" s="63">
        <v>148</v>
      </c>
      <c r="AH18" s="63">
        <v>105</v>
      </c>
      <c r="AI18" s="63">
        <v>112</v>
      </c>
      <c r="AJ18" s="63">
        <v>127</v>
      </c>
      <c r="AK18" s="63">
        <v>145</v>
      </c>
      <c r="AL18" s="63">
        <v>133</v>
      </c>
      <c r="AM18" s="63">
        <v>109</v>
      </c>
      <c r="AN18" s="63">
        <v>104</v>
      </c>
      <c r="AO18" s="63">
        <v>134</v>
      </c>
      <c r="AP18" s="63">
        <v>127</v>
      </c>
      <c r="AQ18" s="63">
        <v>117</v>
      </c>
      <c r="AR18" s="63">
        <v>88</v>
      </c>
      <c r="AS18" s="63">
        <v>96</v>
      </c>
      <c r="AT18" s="63">
        <v>97</v>
      </c>
      <c r="AU18" s="63">
        <v>76</v>
      </c>
      <c r="AV18" s="63">
        <v>83</v>
      </c>
      <c r="AW18" s="63">
        <v>92</v>
      </c>
      <c r="AX18" s="63">
        <v>73</v>
      </c>
      <c r="AY18" s="63">
        <v>102</v>
      </c>
      <c r="AZ18" s="63">
        <v>84</v>
      </c>
      <c r="BA18" s="63">
        <v>96</v>
      </c>
      <c r="BB18" s="63">
        <v>76</v>
      </c>
      <c r="BC18" s="63">
        <v>78</v>
      </c>
      <c r="BD18" s="63">
        <v>45</v>
      </c>
      <c r="BE18" s="63">
        <v>75</v>
      </c>
      <c r="BF18" s="63">
        <v>73</v>
      </c>
      <c r="BG18" s="63">
        <v>56</v>
      </c>
      <c r="BH18" s="63">
        <v>65</v>
      </c>
    </row>
    <row r="19" spans="2:60" hidden="1" x14ac:dyDescent="0.2">
      <c r="B19" s="57"/>
      <c r="C19" s="57" t="s">
        <v>657</v>
      </c>
      <c r="D19" s="57" t="s">
        <v>648</v>
      </c>
      <c r="E19" s="62">
        <v>2663</v>
      </c>
      <c r="F19" s="62">
        <v>1816</v>
      </c>
      <c r="G19" s="62">
        <v>2386</v>
      </c>
      <c r="H19" s="62">
        <v>2026</v>
      </c>
      <c r="I19" s="62">
        <v>2837</v>
      </c>
      <c r="J19" s="62">
        <v>2035</v>
      </c>
      <c r="K19" s="62">
        <v>2436</v>
      </c>
      <c r="L19" s="62">
        <v>2044</v>
      </c>
      <c r="M19" s="62">
        <v>3121</v>
      </c>
      <c r="N19" s="62">
        <v>2050</v>
      </c>
      <c r="O19" s="62">
        <v>2626</v>
      </c>
      <c r="P19" s="62">
        <v>2305</v>
      </c>
      <c r="Q19" s="62">
        <v>3292</v>
      </c>
      <c r="R19" s="62">
        <v>2257</v>
      </c>
      <c r="S19" s="62">
        <v>2811</v>
      </c>
      <c r="T19" s="62">
        <v>2420</v>
      </c>
      <c r="U19" s="62">
        <v>3596</v>
      </c>
      <c r="V19" s="62">
        <v>2557</v>
      </c>
      <c r="W19" s="62">
        <v>3354</v>
      </c>
      <c r="X19" s="62">
        <v>2951</v>
      </c>
      <c r="Y19" s="62">
        <v>4636</v>
      </c>
      <c r="Z19" s="62">
        <v>2880</v>
      </c>
      <c r="AA19" s="62">
        <v>3416</v>
      </c>
      <c r="AB19" s="62">
        <v>3096</v>
      </c>
      <c r="AC19" s="62">
        <v>5184</v>
      </c>
      <c r="AD19" s="62">
        <v>3384</v>
      </c>
      <c r="AE19" s="62">
        <v>4089</v>
      </c>
      <c r="AF19" s="62">
        <v>3550</v>
      </c>
      <c r="AG19" s="62">
        <v>4770</v>
      </c>
      <c r="AH19" s="62">
        <v>3504</v>
      </c>
      <c r="AI19" s="62">
        <v>4056</v>
      </c>
      <c r="AJ19" s="62">
        <v>3756</v>
      </c>
      <c r="AK19" s="62">
        <v>4299</v>
      </c>
      <c r="AL19" s="62">
        <v>3840</v>
      </c>
      <c r="AM19" s="62">
        <v>4290</v>
      </c>
      <c r="AN19" s="62">
        <v>3830</v>
      </c>
      <c r="AO19" s="62">
        <v>4754</v>
      </c>
      <c r="AP19" s="62">
        <v>3434</v>
      </c>
      <c r="AQ19" s="62">
        <v>3830</v>
      </c>
      <c r="AR19" s="62">
        <v>3424</v>
      </c>
      <c r="AS19" s="62">
        <v>4401</v>
      </c>
      <c r="AT19" s="62">
        <v>3740</v>
      </c>
      <c r="AU19" s="62">
        <v>3607</v>
      </c>
      <c r="AV19" s="62">
        <v>2724</v>
      </c>
      <c r="AW19" s="62">
        <v>3335</v>
      </c>
      <c r="AX19" s="62">
        <v>3231</v>
      </c>
      <c r="AY19" s="62">
        <v>3518</v>
      </c>
      <c r="AZ19" s="62">
        <v>2504</v>
      </c>
      <c r="BA19" s="62">
        <v>3982</v>
      </c>
      <c r="BB19" s="62">
        <v>3005</v>
      </c>
      <c r="BC19" s="62">
        <v>3426</v>
      </c>
      <c r="BD19" s="62">
        <v>2947</v>
      </c>
      <c r="BE19" s="62">
        <v>3846</v>
      </c>
      <c r="BF19" s="62">
        <v>2957</v>
      </c>
      <c r="BG19" s="62">
        <v>3495</v>
      </c>
      <c r="BH19" s="62">
        <v>3173</v>
      </c>
    </row>
    <row r="20" spans="2:60" x14ac:dyDescent="0.2">
      <c r="B20" s="59"/>
      <c r="C20" s="59" t="s">
        <v>657</v>
      </c>
      <c r="D20" s="59" t="s">
        <v>649</v>
      </c>
      <c r="E20" s="63">
        <v>5494</v>
      </c>
      <c r="F20" s="63">
        <v>3659</v>
      </c>
      <c r="G20" s="63">
        <v>4327</v>
      </c>
      <c r="H20" s="63">
        <v>3581</v>
      </c>
      <c r="I20" s="63">
        <v>5490</v>
      </c>
      <c r="J20" s="63">
        <v>3841</v>
      </c>
      <c r="K20" s="63">
        <v>4318</v>
      </c>
      <c r="L20" s="63">
        <v>3741</v>
      </c>
      <c r="M20" s="63">
        <v>5727</v>
      </c>
      <c r="N20" s="63">
        <v>3808</v>
      </c>
      <c r="O20" s="63">
        <v>4435</v>
      </c>
      <c r="P20" s="63">
        <v>3994</v>
      </c>
      <c r="Q20" s="63">
        <v>6022</v>
      </c>
      <c r="R20" s="63">
        <v>4174</v>
      </c>
      <c r="S20" s="63">
        <v>4804</v>
      </c>
      <c r="T20" s="63">
        <v>4328</v>
      </c>
      <c r="U20" s="63">
        <v>6331</v>
      </c>
      <c r="V20" s="63">
        <v>4545</v>
      </c>
      <c r="W20" s="63">
        <v>5355</v>
      </c>
      <c r="X20" s="63">
        <v>4861</v>
      </c>
      <c r="Y20" s="63">
        <v>7906</v>
      </c>
      <c r="Z20" s="63">
        <v>5051</v>
      </c>
      <c r="AA20" s="63">
        <v>5803</v>
      </c>
      <c r="AB20" s="63">
        <v>5170</v>
      </c>
      <c r="AC20" s="63">
        <v>8088</v>
      </c>
      <c r="AD20" s="63">
        <v>5424</v>
      </c>
      <c r="AE20" s="63">
        <v>5638</v>
      </c>
      <c r="AF20" s="63">
        <v>5620</v>
      </c>
      <c r="AG20" s="63">
        <v>7384</v>
      </c>
      <c r="AH20" s="63">
        <v>5156</v>
      </c>
      <c r="AI20" s="63">
        <v>5244</v>
      </c>
      <c r="AJ20" s="63">
        <v>5660</v>
      </c>
      <c r="AK20" s="63">
        <v>7115</v>
      </c>
      <c r="AL20" s="63">
        <v>5427</v>
      </c>
      <c r="AM20" s="63">
        <v>6419</v>
      </c>
      <c r="AN20" s="63">
        <v>6164</v>
      </c>
      <c r="AO20" s="63">
        <v>7609</v>
      </c>
      <c r="AP20" s="63">
        <v>5608</v>
      </c>
      <c r="AQ20" s="63">
        <v>5617</v>
      </c>
      <c r="AR20" s="63">
        <v>5454</v>
      </c>
      <c r="AS20" s="63">
        <v>6412</v>
      </c>
      <c r="AT20" s="63">
        <v>5059</v>
      </c>
      <c r="AU20" s="63">
        <v>4505</v>
      </c>
      <c r="AV20" s="63">
        <v>4185</v>
      </c>
      <c r="AW20" s="63">
        <v>4892</v>
      </c>
      <c r="AX20" s="63">
        <v>4330</v>
      </c>
      <c r="AY20" s="63">
        <v>4688</v>
      </c>
      <c r="AZ20" s="63">
        <v>4016</v>
      </c>
      <c r="BA20" s="63">
        <v>5426</v>
      </c>
      <c r="BB20" s="63">
        <v>4482</v>
      </c>
      <c r="BC20" s="63">
        <v>4561</v>
      </c>
      <c r="BD20" s="63">
        <v>4365</v>
      </c>
      <c r="BE20" s="63">
        <v>5414</v>
      </c>
      <c r="BF20" s="63">
        <v>4290</v>
      </c>
      <c r="BG20" s="63">
        <v>4389</v>
      </c>
      <c r="BH20" s="63">
        <v>4476</v>
      </c>
    </row>
    <row r="21" spans="2:60" hidden="1" x14ac:dyDescent="0.2">
      <c r="B21" s="57"/>
      <c r="C21" s="57" t="s">
        <v>657</v>
      </c>
      <c r="D21" s="57" t="s">
        <v>650</v>
      </c>
      <c r="E21" s="62">
        <v>1296</v>
      </c>
      <c r="F21" s="62">
        <v>738</v>
      </c>
      <c r="G21" s="62">
        <v>936</v>
      </c>
      <c r="H21" s="62">
        <v>779</v>
      </c>
      <c r="I21" s="62">
        <v>1197</v>
      </c>
      <c r="J21" s="62">
        <v>693</v>
      </c>
      <c r="K21" s="62">
        <v>893</v>
      </c>
      <c r="L21" s="62">
        <v>741</v>
      </c>
      <c r="M21" s="62">
        <v>1154</v>
      </c>
      <c r="N21" s="62">
        <v>677</v>
      </c>
      <c r="O21" s="62">
        <v>859</v>
      </c>
      <c r="P21" s="62">
        <v>726</v>
      </c>
      <c r="Q21" s="62">
        <v>1232</v>
      </c>
      <c r="R21" s="62">
        <v>738</v>
      </c>
      <c r="S21" s="62">
        <v>854</v>
      </c>
      <c r="T21" s="62">
        <v>718</v>
      </c>
      <c r="U21" s="62">
        <v>1245</v>
      </c>
      <c r="V21" s="62">
        <v>704</v>
      </c>
      <c r="W21" s="62">
        <v>868</v>
      </c>
      <c r="X21" s="62">
        <v>749</v>
      </c>
      <c r="Y21" s="62">
        <v>1381</v>
      </c>
      <c r="Z21" s="62">
        <v>797</v>
      </c>
      <c r="AA21" s="62">
        <v>893</v>
      </c>
      <c r="AB21" s="62">
        <v>769</v>
      </c>
      <c r="AC21" s="62">
        <v>1387</v>
      </c>
      <c r="AD21" s="62">
        <v>864</v>
      </c>
      <c r="AE21" s="62">
        <v>919</v>
      </c>
      <c r="AF21" s="62">
        <v>928</v>
      </c>
      <c r="AG21" s="62">
        <v>1327</v>
      </c>
      <c r="AH21" s="62">
        <v>772</v>
      </c>
      <c r="AI21" s="62">
        <v>859</v>
      </c>
      <c r="AJ21" s="62">
        <v>894</v>
      </c>
      <c r="AK21" s="62">
        <v>1207</v>
      </c>
      <c r="AL21" s="62">
        <v>930</v>
      </c>
      <c r="AM21" s="62">
        <v>1058</v>
      </c>
      <c r="AN21" s="62">
        <v>969</v>
      </c>
      <c r="AO21" s="62">
        <v>1339</v>
      </c>
      <c r="AP21" s="62">
        <v>863</v>
      </c>
      <c r="AQ21" s="62">
        <v>867</v>
      </c>
      <c r="AR21" s="62">
        <v>930</v>
      </c>
      <c r="AS21" s="62">
        <v>1054</v>
      </c>
      <c r="AT21" s="62">
        <v>800</v>
      </c>
      <c r="AU21" s="62">
        <v>729</v>
      </c>
      <c r="AV21" s="62">
        <v>682</v>
      </c>
      <c r="AW21" s="62">
        <v>924</v>
      </c>
      <c r="AX21" s="62">
        <v>710</v>
      </c>
      <c r="AY21" s="62">
        <v>829</v>
      </c>
      <c r="AZ21" s="62">
        <v>702</v>
      </c>
      <c r="BA21" s="62">
        <v>982</v>
      </c>
      <c r="BB21" s="62">
        <v>732</v>
      </c>
      <c r="BC21" s="62">
        <v>830</v>
      </c>
      <c r="BD21" s="62">
        <v>785</v>
      </c>
      <c r="BE21" s="62">
        <v>953</v>
      </c>
      <c r="BF21" s="62">
        <v>772</v>
      </c>
      <c r="BG21" s="62">
        <v>798</v>
      </c>
      <c r="BH21" s="62">
        <v>815</v>
      </c>
    </row>
    <row r="22" spans="2:60" hidden="1" x14ac:dyDescent="0.2">
      <c r="B22" s="59"/>
      <c r="C22" s="59" t="s">
        <v>657</v>
      </c>
      <c r="D22" s="59" t="s">
        <v>651</v>
      </c>
      <c r="E22" s="63">
        <v>621</v>
      </c>
      <c r="F22" s="63">
        <v>561</v>
      </c>
      <c r="G22" s="63">
        <v>534</v>
      </c>
      <c r="H22" s="63">
        <v>503</v>
      </c>
      <c r="I22" s="63">
        <v>633</v>
      </c>
      <c r="J22" s="63">
        <v>519</v>
      </c>
      <c r="K22" s="63">
        <v>581</v>
      </c>
      <c r="L22" s="63">
        <v>516</v>
      </c>
      <c r="M22" s="63">
        <v>632</v>
      </c>
      <c r="N22" s="63">
        <v>489</v>
      </c>
      <c r="O22" s="63">
        <v>527</v>
      </c>
      <c r="P22" s="63">
        <v>479</v>
      </c>
      <c r="Q22" s="63">
        <v>588</v>
      </c>
      <c r="R22" s="63">
        <v>533</v>
      </c>
      <c r="S22" s="63">
        <v>520</v>
      </c>
      <c r="T22" s="63">
        <v>438</v>
      </c>
      <c r="U22" s="63">
        <v>605</v>
      </c>
      <c r="V22" s="63">
        <v>496</v>
      </c>
      <c r="W22" s="63">
        <v>527</v>
      </c>
      <c r="X22" s="63">
        <v>433</v>
      </c>
      <c r="Y22" s="63">
        <v>638</v>
      </c>
      <c r="Z22" s="63">
        <v>510</v>
      </c>
      <c r="AA22" s="63">
        <v>513</v>
      </c>
      <c r="AB22" s="63">
        <v>488</v>
      </c>
      <c r="AC22" s="63">
        <v>558</v>
      </c>
      <c r="AD22" s="63">
        <v>469</v>
      </c>
      <c r="AE22" s="63">
        <v>481</v>
      </c>
      <c r="AF22" s="63">
        <v>422</v>
      </c>
      <c r="AG22" s="63">
        <v>501</v>
      </c>
      <c r="AH22" s="63">
        <v>435</v>
      </c>
      <c r="AI22" s="63">
        <v>432</v>
      </c>
      <c r="AJ22" s="63">
        <v>473</v>
      </c>
      <c r="AK22" s="63">
        <v>496</v>
      </c>
      <c r="AL22" s="63">
        <v>434</v>
      </c>
      <c r="AM22" s="63">
        <v>387</v>
      </c>
      <c r="AN22" s="63">
        <v>385</v>
      </c>
      <c r="AO22" s="63">
        <v>429</v>
      </c>
      <c r="AP22" s="63">
        <v>400</v>
      </c>
      <c r="AQ22" s="63">
        <v>360</v>
      </c>
      <c r="AR22" s="63">
        <v>388</v>
      </c>
      <c r="AS22" s="63">
        <v>412</v>
      </c>
      <c r="AT22" s="63">
        <v>378</v>
      </c>
      <c r="AU22" s="63">
        <v>381</v>
      </c>
      <c r="AV22" s="63">
        <v>367</v>
      </c>
      <c r="AW22" s="63">
        <v>418</v>
      </c>
      <c r="AX22" s="63">
        <v>395</v>
      </c>
      <c r="AY22" s="63">
        <v>400</v>
      </c>
      <c r="AZ22" s="63">
        <v>412</v>
      </c>
      <c r="BA22" s="63">
        <v>389</v>
      </c>
      <c r="BB22" s="63">
        <v>356</v>
      </c>
      <c r="BC22" s="63">
        <v>413</v>
      </c>
      <c r="BD22" s="63">
        <v>399</v>
      </c>
      <c r="BE22" s="63">
        <v>387</v>
      </c>
      <c r="BF22" s="63">
        <v>355</v>
      </c>
      <c r="BG22" s="63">
        <v>387</v>
      </c>
      <c r="BH22" s="63">
        <v>386</v>
      </c>
    </row>
    <row r="23" spans="2:60" x14ac:dyDescent="0.2">
      <c r="B23" s="57"/>
      <c r="C23" s="57" t="s">
        <v>657</v>
      </c>
      <c r="D23" s="57" t="s">
        <v>652</v>
      </c>
      <c r="E23" s="62">
        <v>3578</v>
      </c>
      <c r="F23" s="62">
        <v>2526</v>
      </c>
      <c r="G23" s="62">
        <v>2847</v>
      </c>
      <c r="H23" s="62">
        <v>2628</v>
      </c>
      <c r="I23" s="62">
        <v>3481</v>
      </c>
      <c r="J23" s="62">
        <v>2659</v>
      </c>
      <c r="K23" s="62">
        <v>2973</v>
      </c>
      <c r="L23" s="62">
        <v>2633</v>
      </c>
      <c r="M23" s="62">
        <v>3322</v>
      </c>
      <c r="N23" s="62">
        <v>2584</v>
      </c>
      <c r="O23" s="62">
        <v>2836</v>
      </c>
      <c r="P23" s="62">
        <v>2541</v>
      </c>
      <c r="Q23" s="62">
        <v>3219</v>
      </c>
      <c r="R23" s="62">
        <v>2540</v>
      </c>
      <c r="S23" s="62">
        <v>2897</v>
      </c>
      <c r="T23" s="62">
        <v>2842</v>
      </c>
      <c r="U23" s="62">
        <v>3400</v>
      </c>
      <c r="V23" s="62">
        <v>2500</v>
      </c>
      <c r="W23" s="62">
        <v>2744</v>
      </c>
      <c r="X23" s="62">
        <v>2573</v>
      </c>
      <c r="Y23" s="62">
        <v>3433</v>
      </c>
      <c r="Z23" s="62">
        <v>2662</v>
      </c>
      <c r="AA23" s="62">
        <v>2646</v>
      </c>
      <c r="AB23" s="62">
        <v>2521</v>
      </c>
      <c r="AC23" s="62">
        <v>3192</v>
      </c>
      <c r="AD23" s="62">
        <v>2624</v>
      </c>
      <c r="AE23" s="62">
        <v>2643</v>
      </c>
      <c r="AF23" s="62">
        <v>2510</v>
      </c>
      <c r="AG23" s="62">
        <v>2924</v>
      </c>
      <c r="AH23" s="62">
        <v>2377</v>
      </c>
      <c r="AI23" s="62">
        <v>2359</v>
      </c>
      <c r="AJ23" s="62">
        <v>2915</v>
      </c>
      <c r="AK23" s="62">
        <v>2692</v>
      </c>
      <c r="AL23" s="62">
        <v>2693</v>
      </c>
      <c r="AM23" s="62">
        <v>2480</v>
      </c>
      <c r="AN23" s="62">
        <v>2422</v>
      </c>
      <c r="AO23" s="62">
        <v>2784</v>
      </c>
      <c r="AP23" s="62">
        <v>2340</v>
      </c>
      <c r="AQ23" s="62">
        <v>2344</v>
      </c>
      <c r="AR23" s="62">
        <v>2450</v>
      </c>
      <c r="AS23" s="62">
        <v>2680</v>
      </c>
      <c r="AT23" s="62">
        <v>2368</v>
      </c>
      <c r="AU23" s="62">
        <v>2213</v>
      </c>
      <c r="AV23" s="62">
        <v>2239</v>
      </c>
      <c r="AW23" s="62">
        <v>2443</v>
      </c>
      <c r="AX23" s="62">
        <v>2195</v>
      </c>
      <c r="AY23" s="62">
        <v>2160</v>
      </c>
      <c r="AZ23" s="62">
        <v>2239</v>
      </c>
      <c r="BA23" s="62">
        <v>2390</v>
      </c>
      <c r="BB23" s="62">
        <v>2170</v>
      </c>
      <c r="BC23" s="62">
        <v>2191</v>
      </c>
      <c r="BD23" s="62">
        <v>2161</v>
      </c>
      <c r="BE23" s="62">
        <v>2378</v>
      </c>
      <c r="BF23" s="62">
        <v>2233</v>
      </c>
      <c r="BG23" s="62">
        <v>2285</v>
      </c>
      <c r="BH23" s="62">
        <v>2332</v>
      </c>
    </row>
    <row r="24" spans="2:60" hidden="1" x14ac:dyDescent="0.2">
      <c r="B24" s="59"/>
      <c r="C24" s="59" t="s">
        <v>657</v>
      </c>
      <c r="D24" s="59" t="s">
        <v>653</v>
      </c>
      <c r="E24" s="63">
        <v>2139</v>
      </c>
      <c r="F24" s="63">
        <v>1625</v>
      </c>
      <c r="G24" s="63">
        <v>1673</v>
      </c>
      <c r="H24" s="63">
        <v>1628</v>
      </c>
      <c r="I24" s="63">
        <v>2123</v>
      </c>
      <c r="J24" s="63">
        <v>1481</v>
      </c>
      <c r="K24" s="63">
        <v>1650</v>
      </c>
      <c r="L24" s="63">
        <v>1605</v>
      </c>
      <c r="M24" s="63">
        <v>2101</v>
      </c>
      <c r="N24" s="63">
        <v>1568</v>
      </c>
      <c r="O24" s="63">
        <v>1678</v>
      </c>
      <c r="P24" s="63">
        <v>1578</v>
      </c>
      <c r="Q24" s="63">
        <v>2092</v>
      </c>
      <c r="R24" s="63">
        <v>1551</v>
      </c>
      <c r="S24" s="63">
        <v>1850</v>
      </c>
      <c r="T24" s="63">
        <v>1782</v>
      </c>
      <c r="U24" s="63">
        <v>2149</v>
      </c>
      <c r="V24" s="63">
        <v>1496</v>
      </c>
      <c r="W24" s="63">
        <v>1847</v>
      </c>
      <c r="X24" s="63">
        <v>1652</v>
      </c>
      <c r="Y24" s="63">
        <v>2244</v>
      </c>
      <c r="Z24" s="63">
        <v>1673</v>
      </c>
      <c r="AA24" s="63">
        <v>1721</v>
      </c>
      <c r="AB24" s="63">
        <v>1698</v>
      </c>
      <c r="AC24" s="63">
        <v>2145</v>
      </c>
      <c r="AD24" s="63">
        <v>1695</v>
      </c>
      <c r="AE24" s="63">
        <v>1812</v>
      </c>
      <c r="AF24" s="63">
        <v>1802</v>
      </c>
      <c r="AG24" s="63">
        <v>2163</v>
      </c>
      <c r="AH24" s="63">
        <v>1625</v>
      </c>
      <c r="AI24" s="63">
        <v>1663</v>
      </c>
      <c r="AJ24" s="63">
        <v>2125</v>
      </c>
      <c r="AK24" s="63">
        <v>2028</v>
      </c>
      <c r="AL24" s="63">
        <v>1825</v>
      </c>
      <c r="AM24" s="63">
        <v>1641</v>
      </c>
      <c r="AN24" s="63">
        <v>1736</v>
      </c>
      <c r="AO24" s="63">
        <v>1984</v>
      </c>
      <c r="AP24" s="63">
        <v>1691</v>
      </c>
      <c r="AQ24" s="63">
        <v>1797</v>
      </c>
      <c r="AR24" s="63">
        <v>1982</v>
      </c>
      <c r="AS24" s="63">
        <v>1927</v>
      </c>
      <c r="AT24" s="63">
        <v>1706</v>
      </c>
      <c r="AU24" s="63">
        <v>1690</v>
      </c>
      <c r="AV24" s="63">
        <v>1696</v>
      </c>
      <c r="AW24" s="63">
        <v>1773</v>
      </c>
      <c r="AX24" s="63">
        <v>1742</v>
      </c>
      <c r="AY24" s="63">
        <v>1809</v>
      </c>
      <c r="AZ24" s="63">
        <v>1881</v>
      </c>
      <c r="BA24" s="63">
        <v>1908</v>
      </c>
      <c r="BB24" s="63">
        <v>1756</v>
      </c>
      <c r="BC24" s="63">
        <v>1776</v>
      </c>
      <c r="BD24" s="63">
        <v>1877</v>
      </c>
      <c r="BE24" s="63">
        <v>1855</v>
      </c>
      <c r="BF24" s="63">
        <v>1706</v>
      </c>
      <c r="BG24" s="63">
        <v>1797</v>
      </c>
      <c r="BH24" s="63">
        <v>1807</v>
      </c>
    </row>
    <row r="25" spans="2:60" x14ac:dyDescent="0.2">
      <c r="B25" s="57"/>
      <c r="C25" s="57" t="s">
        <v>657</v>
      </c>
      <c r="D25" s="57" t="s">
        <v>654</v>
      </c>
      <c r="E25" s="62">
        <v>409</v>
      </c>
      <c r="F25" s="62">
        <v>309</v>
      </c>
      <c r="G25" s="62">
        <v>340</v>
      </c>
      <c r="H25" s="62">
        <v>324</v>
      </c>
      <c r="I25" s="62">
        <v>440</v>
      </c>
      <c r="J25" s="62">
        <v>326</v>
      </c>
      <c r="K25" s="62">
        <v>329</v>
      </c>
      <c r="L25" s="62">
        <v>318</v>
      </c>
      <c r="M25" s="62">
        <v>407</v>
      </c>
      <c r="N25" s="62">
        <v>358</v>
      </c>
      <c r="O25" s="62">
        <v>356</v>
      </c>
      <c r="P25" s="62">
        <v>343</v>
      </c>
      <c r="Q25" s="62">
        <v>494</v>
      </c>
      <c r="R25" s="62">
        <v>328</v>
      </c>
      <c r="S25" s="62">
        <v>395</v>
      </c>
      <c r="T25" s="62">
        <v>335</v>
      </c>
      <c r="U25" s="62">
        <v>464</v>
      </c>
      <c r="V25" s="62">
        <v>346</v>
      </c>
      <c r="W25" s="62">
        <v>322</v>
      </c>
      <c r="X25" s="62">
        <v>316</v>
      </c>
      <c r="Y25" s="62">
        <v>482</v>
      </c>
      <c r="Z25" s="62">
        <v>338</v>
      </c>
      <c r="AA25" s="62">
        <v>355</v>
      </c>
      <c r="AB25" s="62">
        <v>329</v>
      </c>
      <c r="AC25" s="62">
        <v>438</v>
      </c>
      <c r="AD25" s="62">
        <v>312</v>
      </c>
      <c r="AE25" s="62">
        <v>364</v>
      </c>
      <c r="AF25" s="62">
        <v>353</v>
      </c>
      <c r="AG25" s="62">
        <v>374</v>
      </c>
      <c r="AH25" s="62">
        <v>294</v>
      </c>
      <c r="AI25" s="62">
        <v>313</v>
      </c>
      <c r="AJ25" s="62">
        <v>377</v>
      </c>
      <c r="AK25" s="62">
        <v>388</v>
      </c>
      <c r="AL25" s="62">
        <v>329</v>
      </c>
      <c r="AM25" s="62">
        <v>347</v>
      </c>
      <c r="AN25" s="62">
        <v>319</v>
      </c>
      <c r="AO25" s="62">
        <v>363</v>
      </c>
      <c r="AP25" s="62">
        <v>295</v>
      </c>
      <c r="AQ25" s="62">
        <v>306</v>
      </c>
      <c r="AR25" s="62">
        <v>308</v>
      </c>
      <c r="AS25" s="62">
        <v>332</v>
      </c>
      <c r="AT25" s="62">
        <v>286</v>
      </c>
      <c r="AU25" s="62">
        <v>263</v>
      </c>
      <c r="AV25" s="62">
        <v>293</v>
      </c>
      <c r="AW25" s="62">
        <v>270</v>
      </c>
      <c r="AX25" s="62">
        <v>281</v>
      </c>
      <c r="AY25" s="62">
        <v>252</v>
      </c>
      <c r="AZ25" s="62">
        <v>293</v>
      </c>
      <c r="BA25" s="62">
        <v>273</v>
      </c>
      <c r="BB25" s="62">
        <v>266</v>
      </c>
      <c r="BC25" s="62">
        <v>258</v>
      </c>
      <c r="BD25" s="62">
        <v>261</v>
      </c>
      <c r="BE25" s="62">
        <v>312</v>
      </c>
      <c r="BF25" s="62">
        <v>227</v>
      </c>
      <c r="BG25" s="62">
        <v>263</v>
      </c>
      <c r="BH25" s="62">
        <v>273</v>
      </c>
    </row>
    <row r="26" spans="2:60" x14ac:dyDescent="0.2">
      <c r="B26" s="59"/>
      <c r="C26" s="59" t="s">
        <v>657</v>
      </c>
      <c r="D26" s="59" t="s">
        <v>655</v>
      </c>
      <c r="E26" s="63">
        <v>1804</v>
      </c>
      <c r="F26" s="63">
        <v>1411</v>
      </c>
      <c r="G26" s="63">
        <v>1414</v>
      </c>
      <c r="H26" s="63">
        <v>1489</v>
      </c>
      <c r="I26" s="63">
        <v>1809</v>
      </c>
      <c r="J26" s="63">
        <v>1272</v>
      </c>
      <c r="K26" s="63">
        <v>1583</v>
      </c>
      <c r="L26" s="63">
        <v>1437</v>
      </c>
      <c r="M26" s="63">
        <v>1903</v>
      </c>
      <c r="N26" s="63">
        <v>1521</v>
      </c>
      <c r="O26" s="63">
        <v>1669</v>
      </c>
      <c r="P26" s="63">
        <v>1568</v>
      </c>
      <c r="Q26" s="63">
        <v>1956</v>
      </c>
      <c r="R26" s="63">
        <v>1459</v>
      </c>
      <c r="S26" s="63">
        <v>1716</v>
      </c>
      <c r="T26" s="63">
        <v>1597</v>
      </c>
      <c r="U26" s="63">
        <v>2016</v>
      </c>
      <c r="V26" s="63">
        <v>1579</v>
      </c>
      <c r="W26" s="63">
        <v>1711</v>
      </c>
      <c r="X26" s="63">
        <v>1627</v>
      </c>
      <c r="Y26" s="63">
        <v>2362</v>
      </c>
      <c r="Z26" s="63">
        <v>1580</v>
      </c>
      <c r="AA26" s="63">
        <v>1912</v>
      </c>
      <c r="AB26" s="63">
        <v>1727</v>
      </c>
      <c r="AC26" s="63">
        <v>2275</v>
      </c>
      <c r="AD26" s="63">
        <v>1688</v>
      </c>
      <c r="AE26" s="63">
        <v>1723</v>
      </c>
      <c r="AF26" s="63">
        <v>1739</v>
      </c>
      <c r="AG26" s="63">
        <v>2127</v>
      </c>
      <c r="AH26" s="63">
        <v>1596</v>
      </c>
      <c r="AI26" s="63">
        <v>1627</v>
      </c>
      <c r="AJ26" s="63">
        <v>1921</v>
      </c>
      <c r="AK26" s="63">
        <v>2000</v>
      </c>
      <c r="AL26" s="63">
        <v>1556</v>
      </c>
      <c r="AM26" s="63">
        <v>1771</v>
      </c>
      <c r="AN26" s="63">
        <v>1771</v>
      </c>
      <c r="AO26" s="63">
        <v>1981</v>
      </c>
      <c r="AP26" s="63">
        <v>1561</v>
      </c>
      <c r="AQ26" s="63">
        <v>1572</v>
      </c>
      <c r="AR26" s="63">
        <v>1670</v>
      </c>
      <c r="AS26" s="63">
        <v>1606</v>
      </c>
      <c r="AT26" s="63">
        <v>1260</v>
      </c>
      <c r="AU26" s="63">
        <v>1290</v>
      </c>
      <c r="AV26" s="63">
        <v>1237</v>
      </c>
      <c r="AW26" s="63">
        <v>1369</v>
      </c>
      <c r="AX26" s="63">
        <v>1227</v>
      </c>
      <c r="AY26" s="63">
        <v>1309</v>
      </c>
      <c r="AZ26" s="63">
        <v>1277</v>
      </c>
      <c r="BA26" s="63">
        <v>1388</v>
      </c>
      <c r="BB26" s="63">
        <v>1266</v>
      </c>
      <c r="BC26" s="63">
        <v>1376</v>
      </c>
      <c r="BD26" s="63">
        <v>1419</v>
      </c>
      <c r="BE26" s="63">
        <v>1463</v>
      </c>
      <c r="BF26" s="63">
        <v>1247</v>
      </c>
      <c r="BG26" s="63">
        <v>1323</v>
      </c>
      <c r="BH26" s="63">
        <v>1303</v>
      </c>
    </row>
    <row r="27" spans="2:60" hidden="1" x14ac:dyDescent="0.2">
      <c r="B27" s="57"/>
      <c r="C27" s="57" t="s">
        <v>657</v>
      </c>
      <c r="D27" s="57" t="s">
        <v>699</v>
      </c>
      <c r="E27" s="62">
        <v>5938</v>
      </c>
      <c r="F27" s="62">
        <v>2497</v>
      </c>
      <c r="G27" s="62">
        <v>3914</v>
      </c>
      <c r="H27" s="62">
        <v>2455</v>
      </c>
      <c r="I27" s="62">
        <v>5589</v>
      </c>
      <c r="J27" s="62">
        <v>2305</v>
      </c>
      <c r="K27" s="62">
        <v>3593</v>
      </c>
      <c r="L27" s="62">
        <v>2239</v>
      </c>
      <c r="M27" s="62">
        <v>6073</v>
      </c>
      <c r="N27" s="62">
        <v>2362</v>
      </c>
      <c r="O27" s="62">
        <v>4092</v>
      </c>
      <c r="P27" s="62">
        <v>2494</v>
      </c>
      <c r="Q27" s="62">
        <v>6417</v>
      </c>
      <c r="R27" s="62">
        <v>2573</v>
      </c>
      <c r="S27" s="62">
        <v>4225</v>
      </c>
      <c r="T27" s="62">
        <v>2579</v>
      </c>
      <c r="U27" s="62">
        <v>5931</v>
      </c>
      <c r="V27" s="62">
        <v>2646</v>
      </c>
      <c r="W27" s="62">
        <v>4599</v>
      </c>
      <c r="X27" s="62">
        <v>3025</v>
      </c>
      <c r="Y27" s="62">
        <v>6232</v>
      </c>
      <c r="Z27" s="62">
        <v>2735</v>
      </c>
      <c r="AA27" s="62">
        <v>4480</v>
      </c>
      <c r="AB27" s="62">
        <v>3253</v>
      </c>
      <c r="AC27" s="62">
        <v>6468</v>
      </c>
      <c r="AD27" s="62">
        <v>3625</v>
      </c>
      <c r="AE27" s="62">
        <v>5034</v>
      </c>
      <c r="AF27" s="62">
        <v>3476</v>
      </c>
      <c r="AG27" s="62">
        <v>6820</v>
      </c>
      <c r="AH27" s="62">
        <v>3341</v>
      </c>
      <c r="AI27" s="62">
        <v>4765</v>
      </c>
      <c r="AJ27" s="62">
        <v>3685</v>
      </c>
      <c r="AK27" s="62">
        <v>5922</v>
      </c>
      <c r="AL27" s="62">
        <v>2841</v>
      </c>
      <c r="AM27" s="62">
        <v>2626</v>
      </c>
      <c r="AN27" s="62">
        <v>2244</v>
      </c>
      <c r="AO27" s="62">
        <v>4169</v>
      </c>
      <c r="AP27" s="62">
        <v>2497</v>
      </c>
      <c r="AQ27" s="62">
        <v>2967</v>
      </c>
      <c r="AR27" s="62">
        <v>2911</v>
      </c>
      <c r="AS27" s="62">
        <v>6207</v>
      </c>
      <c r="AT27" s="62">
        <v>4118</v>
      </c>
      <c r="AU27" s="62">
        <v>5631</v>
      </c>
      <c r="AV27" s="62">
        <v>3767</v>
      </c>
      <c r="AW27" s="62">
        <v>6579</v>
      </c>
      <c r="AX27" s="62">
        <v>4521</v>
      </c>
      <c r="AY27" s="62">
        <v>5659</v>
      </c>
      <c r="AZ27" s="62">
        <v>2593</v>
      </c>
      <c r="BA27" s="62">
        <v>7078</v>
      </c>
      <c r="BB27" s="62">
        <v>3015</v>
      </c>
      <c r="BC27" s="62">
        <v>5979</v>
      </c>
      <c r="BD27" s="62">
        <v>3986</v>
      </c>
      <c r="BE27" s="62">
        <v>8119</v>
      </c>
      <c r="BF27" s="62">
        <v>3333</v>
      </c>
      <c r="BG27" s="62">
        <v>6231</v>
      </c>
      <c r="BH27" s="62">
        <v>3875</v>
      </c>
    </row>
    <row r="28" spans="2:60" hidden="1" x14ac:dyDescent="0.2">
      <c r="B28" s="59"/>
      <c r="C28" s="59" t="s">
        <v>657</v>
      </c>
      <c r="D28" s="59" t="s">
        <v>656</v>
      </c>
      <c r="E28" s="63">
        <v>23942</v>
      </c>
      <c r="F28" s="63">
        <v>15142</v>
      </c>
      <c r="G28" s="63">
        <v>18371</v>
      </c>
      <c r="H28" s="63">
        <v>15413</v>
      </c>
      <c r="I28" s="63">
        <v>23599</v>
      </c>
      <c r="J28" s="63">
        <v>15131</v>
      </c>
      <c r="K28" s="63">
        <v>18356</v>
      </c>
      <c r="L28" s="63">
        <v>15274</v>
      </c>
      <c r="M28" s="63">
        <v>24440</v>
      </c>
      <c r="N28" s="63">
        <v>15417</v>
      </c>
      <c r="O28" s="63">
        <v>19078</v>
      </c>
      <c r="P28" s="63">
        <v>16028</v>
      </c>
      <c r="Q28" s="63">
        <v>25312</v>
      </c>
      <c r="R28" s="63">
        <v>16153</v>
      </c>
      <c r="S28" s="63">
        <v>20072</v>
      </c>
      <c r="T28" s="63">
        <v>17039</v>
      </c>
      <c r="U28" s="63">
        <v>25737</v>
      </c>
      <c r="V28" s="63">
        <v>16869</v>
      </c>
      <c r="W28" s="63">
        <v>21327</v>
      </c>
      <c r="X28" s="63">
        <v>18187</v>
      </c>
      <c r="Y28" s="63">
        <v>29314</v>
      </c>
      <c r="Z28" s="63">
        <v>18226</v>
      </c>
      <c r="AA28" s="63">
        <v>21739</v>
      </c>
      <c r="AB28" s="63">
        <v>19051</v>
      </c>
      <c r="AC28" s="63">
        <v>29735</v>
      </c>
      <c r="AD28" s="63">
        <v>20085</v>
      </c>
      <c r="AE28" s="63">
        <v>22703</v>
      </c>
      <c r="AF28" s="63">
        <v>20400</v>
      </c>
      <c r="AG28" s="63">
        <v>28390</v>
      </c>
      <c r="AH28" s="63">
        <v>19100</v>
      </c>
      <c r="AI28" s="63">
        <v>21318</v>
      </c>
      <c r="AJ28" s="63">
        <v>21806</v>
      </c>
      <c r="AK28" s="63">
        <v>26147</v>
      </c>
      <c r="AL28" s="63">
        <v>19875</v>
      </c>
      <c r="AM28" s="63">
        <v>21019</v>
      </c>
      <c r="AN28" s="63">
        <v>19840</v>
      </c>
      <c r="AO28" s="63">
        <v>25412</v>
      </c>
      <c r="AP28" s="63">
        <v>18689</v>
      </c>
      <c r="AQ28" s="63">
        <v>19660</v>
      </c>
      <c r="AR28" s="63">
        <v>19517</v>
      </c>
      <c r="AS28" s="63">
        <v>25031</v>
      </c>
      <c r="AT28" s="63">
        <v>19715</v>
      </c>
      <c r="AU28" s="63">
        <v>20309</v>
      </c>
      <c r="AV28" s="63">
        <v>17190</v>
      </c>
      <c r="AW28" s="63">
        <v>22003</v>
      </c>
      <c r="AX28" s="63">
        <v>18632</v>
      </c>
      <c r="AY28" s="63">
        <v>20624</v>
      </c>
      <c r="AZ28" s="63">
        <v>15917</v>
      </c>
      <c r="BA28" s="63">
        <v>23816</v>
      </c>
      <c r="BB28" s="63">
        <v>17048</v>
      </c>
      <c r="BC28" s="63">
        <v>20810</v>
      </c>
      <c r="BD28" s="63">
        <v>18200</v>
      </c>
      <c r="BE28" s="63">
        <v>24727</v>
      </c>
      <c r="BF28" s="63">
        <v>17120</v>
      </c>
      <c r="BG28" s="63">
        <v>20968</v>
      </c>
      <c r="BH28" s="63">
        <v>18440</v>
      </c>
    </row>
    <row r="29" spans="2:60" hidden="1" x14ac:dyDescent="0.2">
      <c r="B29" s="57"/>
      <c r="C29" s="57" t="s">
        <v>658</v>
      </c>
      <c r="D29" s="57" t="s">
        <v>648</v>
      </c>
      <c r="E29" s="62">
        <v>40</v>
      </c>
      <c r="F29" s="62">
        <v>45</v>
      </c>
      <c r="G29" s="62">
        <v>32</v>
      </c>
      <c r="H29" s="62">
        <v>61</v>
      </c>
      <c r="I29" s="62">
        <v>40</v>
      </c>
      <c r="J29" s="62">
        <v>48</v>
      </c>
      <c r="K29" s="62">
        <v>35</v>
      </c>
      <c r="L29" s="62">
        <v>41</v>
      </c>
      <c r="M29" s="62">
        <v>39</v>
      </c>
      <c r="N29" s="62">
        <v>33</v>
      </c>
      <c r="O29" s="62">
        <v>43</v>
      </c>
      <c r="P29" s="62">
        <v>37</v>
      </c>
      <c r="Q29" s="62">
        <v>33</v>
      </c>
      <c r="R29" s="62">
        <v>45</v>
      </c>
      <c r="S29" s="62">
        <v>69</v>
      </c>
      <c r="T29" s="62">
        <v>57</v>
      </c>
      <c r="U29" s="62">
        <v>60</v>
      </c>
      <c r="V29" s="62">
        <v>47</v>
      </c>
      <c r="W29" s="62">
        <v>46</v>
      </c>
      <c r="X29" s="62">
        <v>51</v>
      </c>
      <c r="Y29" s="62">
        <v>55</v>
      </c>
      <c r="Z29" s="62">
        <v>45</v>
      </c>
      <c r="AA29" s="62">
        <v>49</v>
      </c>
      <c r="AB29" s="62">
        <v>49</v>
      </c>
      <c r="AC29" s="62">
        <v>47</v>
      </c>
      <c r="AD29" s="62">
        <v>53</v>
      </c>
      <c r="AE29" s="62">
        <v>35</v>
      </c>
      <c r="AF29" s="62">
        <v>68</v>
      </c>
      <c r="AG29" s="62">
        <v>40</v>
      </c>
      <c r="AH29" s="62">
        <v>43</v>
      </c>
      <c r="AI29" s="62">
        <v>41</v>
      </c>
      <c r="AJ29" s="62">
        <v>42</v>
      </c>
      <c r="AK29" s="62">
        <v>45</v>
      </c>
      <c r="AL29" s="62">
        <v>66</v>
      </c>
      <c r="AM29" s="62">
        <v>42</v>
      </c>
      <c r="AN29" s="62">
        <v>38</v>
      </c>
      <c r="AO29" s="62">
        <v>37</v>
      </c>
      <c r="AP29" s="62">
        <v>38</v>
      </c>
      <c r="AQ29" s="62">
        <v>48</v>
      </c>
      <c r="AR29" s="62">
        <v>34</v>
      </c>
      <c r="AS29" s="62">
        <v>33</v>
      </c>
      <c r="AT29" s="62">
        <v>54</v>
      </c>
      <c r="AU29" s="62">
        <v>40</v>
      </c>
      <c r="AV29" s="62">
        <v>30</v>
      </c>
      <c r="AW29" s="62">
        <v>30</v>
      </c>
      <c r="AX29" s="62">
        <v>34</v>
      </c>
      <c r="AY29" s="62">
        <v>24</v>
      </c>
      <c r="AZ29" s="62">
        <v>36</v>
      </c>
      <c r="BA29" s="62">
        <v>36</v>
      </c>
      <c r="BB29" s="62">
        <v>25</v>
      </c>
      <c r="BC29" s="62">
        <v>37</v>
      </c>
      <c r="BD29" s="62">
        <v>46</v>
      </c>
      <c r="BE29" s="62">
        <v>37</v>
      </c>
      <c r="BF29" s="62">
        <v>49</v>
      </c>
      <c r="BG29" s="62">
        <v>36</v>
      </c>
      <c r="BH29" s="62">
        <v>32</v>
      </c>
    </row>
    <row r="30" spans="2:60" hidden="1" x14ac:dyDescent="0.2">
      <c r="B30" s="59"/>
      <c r="C30" s="59" t="s">
        <v>658</v>
      </c>
      <c r="D30" s="59" t="s">
        <v>649</v>
      </c>
      <c r="E30" s="63">
        <v>181</v>
      </c>
      <c r="F30" s="63">
        <v>208</v>
      </c>
      <c r="G30" s="63">
        <v>157</v>
      </c>
      <c r="H30" s="63">
        <v>153</v>
      </c>
      <c r="I30" s="63">
        <v>186</v>
      </c>
      <c r="J30" s="63">
        <v>152</v>
      </c>
      <c r="K30" s="63">
        <v>188</v>
      </c>
      <c r="L30" s="63">
        <v>153</v>
      </c>
      <c r="M30" s="63">
        <v>184</v>
      </c>
      <c r="N30" s="63">
        <v>157</v>
      </c>
      <c r="O30" s="63">
        <v>188</v>
      </c>
      <c r="P30" s="63">
        <v>176</v>
      </c>
      <c r="Q30" s="63">
        <v>200</v>
      </c>
      <c r="R30" s="63">
        <v>184</v>
      </c>
      <c r="S30" s="63">
        <v>208</v>
      </c>
      <c r="T30" s="63">
        <v>157</v>
      </c>
      <c r="U30" s="63">
        <v>185</v>
      </c>
      <c r="V30" s="63">
        <v>172</v>
      </c>
      <c r="W30" s="63">
        <v>185</v>
      </c>
      <c r="X30" s="63">
        <v>163</v>
      </c>
      <c r="Y30" s="63">
        <v>212</v>
      </c>
      <c r="Z30" s="63">
        <v>145</v>
      </c>
      <c r="AA30" s="63">
        <v>174</v>
      </c>
      <c r="AB30" s="63">
        <v>163</v>
      </c>
      <c r="AC30" s="63">
        <v>191</v>
      </c>
      <c r="AD30" s="63">
        <v>140</v>
      </c>
      <c r="AE30" s="63">
        <v>178</v>
      </c>
      <c r="AF30" s="63">
        <v>175</v>
      </c>
      <c r="AG30" s="63">
        <v>182</v>
      </c>
      <c r="AH30" s="63">
        <v>168</v>
      </c>
      <c r="AI30" s="63">
        <v>145</v>
      </c>
      <c r="AJ30" s="63">
        <v>151</v>
      </c>
      <c r="AK30" s="63">
        <v>148</v>
      </c>
      <c r="AL30" s="63">
        <v>168</v>
      </c>
      <c r="AM30" s="63">
        <v>151</v>
      </c>
      <c r="AN30" s="63">
        <v>124</v>
      </c>
      <c r="AO30" s="63">
        <v>124</v>
      </c>
      <c r="AP30" s="63">
        <v>153</v>
      </c>
      <c r="AQ30" s="63">
        <v>135</v>
      </c>
      <c r="AR30" s="63">
        <v>133</v>
      </c>
      <c r="AS30" s="63">
        <v>109</v>
      </c>
      <c r="AT30" s="63">
        <v>115</v>
      </c>
      <c r="AU30" s="63">
        <v>117</v>
      </c>
      <c r="AV30" s="63">
        <v>92</v>
      </c>
      <c r="AW30" s="63">
        <v>102</v>
      </c>
      <c r="AX30" s="63">
        <v>102</v>
      </c>
      <c r="AY30" s="63">
        <v>128</v>
      </c>
      <c r="AZ30" s="63">
        <v>103</v>
      </c>
      <c r="BA30" s="63">
        <v>105</v>
      </c>
      <c r="BB30" s="63">
        <v>144</v>
      </c>
      <c r="BC30" s="63">
        <v>113</v>
      </c>
      <c r="BD30" s="63">
        <v>101</v>
      </c>
      <c r="BE30" s="63">
        <v>113</v>
      </c>
      <c r="BF30" s="63">
        <v>90</v>
      </c>
      <c r="BG30" s="63">
        <v>118</v>
      </c>
      <c r="BH30" s="63">
        <v>118</v>
      </c>
    </row>
    <row r="31" spans="2:60" hidden="1" x14ac:dyDescent="0.2">
      <c r="B31" s="57"/>
      <c r="C31" s="57" t="s">
        <v>658</v>
      </c>
      <c r="D31" s="57" t="s">
        <v>650</v>
      </c>
      <c r="E31" s="62">
        <v>67</v>
      </c>
      <c r="F31" s="62">
        <v>39</v>
      </c>
      <c r="G31" s="62">
        <v>38</v>
      </c>
      <c r="H31" s="62">
        <v>37</v>
      </c>
      <c r="I31" s="62">
        <v>44</v>
      </c>
      <c r="J31" s="62">
        <v>39</v>
      </c>
      <c r="K31" s="62">
        <v>43</v>
      </c>
      <c r="L31" s="62">
        <v>48</v>
      </c>
      <c r="M31" s="62">
        <v>50</v>
      </c>
      <c r="N31" s="62">
        <v>41</v>
      </c>
      <c r="O31" s="62">
        <v>34</v>
      </c>
      <c r="P31" s="62">
        <v>43</v>
      </c>
      <c r="Q31" s="62">
        <v>53</v>
      </c>
      <c r="R31" s="62">
        <v>41</v>
      </c>
      <c r="S31" s="62">
        <v>58</v>
      </c>
      <c r="T31" s="62">
        <v>34</v>
      </c>
      <c r="U31" s="62">
        <v>58</v>
      </c>
      <c r="V31" s="62">
        <v>47</v>
      </c>
      <c r="W31" s="62">
        <v>55</v>
      </c>
      <c r="X31" s="62">
        <v>38</v>
      </c>
      <c r="Y31" s="62">
        <v>61</v>
      </c>
      <c r="Z31" s="62">
        <v>51</v>
      </c>
      <c r="AA31" s="62">
        <v>56</v>
      </c>
      <c r="AB31" s="62">
        <v>47</v>
      </c>
      <c r="AC31" s="62">
        <v>51</v>
      </c>
      <c r="AD31" s="62">
        <v>53</v>
      </c>
      <c r="AE31" s="62">
        <v>49</v>
      </c>
      <c r="AF31" s="62">
        <v>53</v>
      </c>
      <c r="AG31" s="62">
        <v>68</v>
      </c>
      <c r="AH31" s="62">
        <v>43</v>
      </c>
      <c r="AI31" s="62">
        <v>49</v>
      </c>
      <c r="AJ31" s="62">
        <v>45</v>
      </c>
      <c r="AK31" s="62">
        <v>52</v>
      </c>
      <c r="AL31" s="62">
        <v>49</v>
      </c>
      <c r="AM31" s="62">
        <v>35</v>
      </c>
      <c r="AN31" s="62">
        <v>42</v>
      </c>
      <c r="AO31" s="62">
        <v>44</v>
      </c>
      <c r="AP31" s="62">
        <v>41</v>
      </c>
      <c r="AQ31" s="62">
        <v>41</v>
      </c>
      <c r="AR31" s="62">
        <v>27</v>
      </c>
      <c r="AS31" s="62">
        <v>43</v>
      </c>
      <c r="AT31" s="62">
        <v>31</v>
      </c>
      <c r="AU31" s="62">
        <v>32</v>
      </c>
      <c r="AV31" s="62">
        <v>27</v>
      </c>
      <c r="AW31" s="62">
        <v>30</v>
      </c>
      <c r="AX31" s="62">
        <v>32</v>
      </c>
      <c r="AY31" s="62">
        <v>35</v>
      </c>
      <c r="AZ31" s="62">
        <v>33</v>
      </c>
      <c r="BA31" s="62">
        <v>38</v>
      </c>
      <c r="BB31" s="62">
        <v>43</v>
      </c>
      <c r="BC31" s="62">
        <v>31</v>
      </c>
      <c r="BD31" s="62">
        <v>27</v>
      </c>
      <c r="BE31" s="62">
        <v>39</v>
      </c>
      <c r="BF31" s="62">
        <v>28</v>
      </c>
      <c r="BG31" s="62">
        <v>30</v>
      </c>
      <c r="BH31" s="62">
        <v>44</v>
      </c>
    </row>
    <row r="32" spans="2:60" hidden="1" x14ac:dyDescent="0.2">
      <c r="B32" s="59"/>
      <c r="C32" s="59" t="s">
        <v>658</v>
      </c>
      <c r="D32" s="59" t="s">
        <v>651</v>
      </c>
      <c r="E32" s="63">
        <v>88</v>
      </c>
      <c r="F32" s="63">
        <v>84</v>
      </c>
      <c r="G32" s="63">
        <v>60</v>
      </c>
      <c r="H32" s="63">
        <v>65</v>
      </c>
      <c r="I32" s="63">
        <v>50</v>
      </c>
      <c r="J32" s="63">
        <v>55</v>
      </c>
      <c r="K32" s="63">
        <v>63</v>
      </c>
      <c r="L32" s="63">
        <v>69</v>
      </c>
      <c r="M32" s="63">
        <v>74</v>
      </c>
      <c r="N32" s="63">
        <v>65</v>
      </c>
      <c r="O32" s="63">
        <v>71</v>
      </c>
      <c r="P32" s="63">
        <v>54</v>
      </c>
      <c r="Q32" s="63">
        <v>52</v>
      </c>
      <c r="R32" s="63">
        <v>57</v>
      </c>
      <c r="S32" s="63">
        <v>52</v>
      </c>
      <c r="T32" s="63">
        <v>45</v>
      </c>
      <c r="U32" s="63">
        <v>62</v>
      </c>
      <c r="V32" s="63">
        <v>68</v>
      </c>
      <c r="W32" s="63">
        <v>57</v>
      </c>
      <c r="X32" s="63">
        <v>47</v>
      </c>
      <c r="Y32" s="63">
        <v>56</v>
      </c>
      <c r="Z32" s="63">
        <v>88</v>
      </c>
      <c r="AA32" s="63">
        <v>62</v>
      </c>
      <c r="AB32" s="63">
        <v>55</v>
      </c>
      <c r="AC32" s="63">
        <v>65</v>
      </c>
      <c r="AD32" s="63">
        <v>60</v>
      </c>
      <c r="AE32" s="63">
        <v>55</v>
      </c>
      <c r="AF32" s="63">
        <v>55</v>
      </c>
      <c r="AG32" s="63">
        <v>60</v>
      </c>
      <c r="AH32" s="63">
        <v>50</v>
      </c>
      <c r="AI32" s="63">
        <v>50</v>
      </c>
      <c r="AJ32" s="63">
        <v>62</v>
      </c>
      <c r="AK32" s="63">
        <v>54</v>
      </c>
      <c r="AL32" s="63">
        <v>62</v>
      </c>
      <c r="AM32" s="63">
        <v>42</v>
      </c>
      <c r="AN32" s="63">
        <v>53</v>
      </c>
      <c r="AO32" s="63">
        <v>41</v>
      </c>
      <c r="AP32" s="63">
        <v>47</v>
      </c>
      <c r="AQ32" s="63">
        <v>54</v>
      </c>
      <c r="AR32" s="63">
        <v>34</v>
      </c>
      <c r="AS32" s="63">
        <v>40</v>
      </c>
      <c r="AT32" s="63">
        <v>42</v>
      </c>
      <c r="AU32" s="63">
        <v>38</v>
      </c>
      <c r="AV32" s="63">
        <v>27</v>
      </c>
      <c r="AW32" s="63">
        <v>33</v>
      </c>
      <c r="AX32" s="63">
        <v>39</v>
      </c>
      <c r="AY32" s="63">
        <v>32</v>
      </c>
      <c r="AZ32" s="63">
        <v>35</v>
      </c>
      <c r="BA32" s="63">
        <v>33</v>
      </c>
      <c r="BB32" s="63">
        <v>46</v>
      </c>
      <c r="BC32" s="63">
        <v>39</v>
      </c>
      <c r="BD32" s="63">
        <v>36</v>
      </c>
      <c r="BE32" s="63">
        <v>40</v>
      </c>
      <c r="BF32" s="63">
        <v>43</v>
      </c>
      <c r="BG32" s="63">
        <v>34</v>
      </c>
      <c r="BH32" s="63">
        <v>35</v>
      </c>
    </row>
    <row r="33" spans="2:60" hidden="1" x14ac:dyDescent="0.2">
      <c r="B33" s="57"/>
      <c r="C33" s="57" t="s">
        <v>658</v>
      </c>
      <c r="D33" s="57" t="s">
        <v>652</v>
      </c>
      <c r="E33" s="62">
        <v>401</v>
      </c>
      <c r="F33" s="62">
        <v>364</v>
      </c>
      <c r="G33" s="62">
        <v>343</v>
      </c>
      <c r="H33" s="62">
        <v>381</v>
      </c>
      <c r="I33" s="62">
        <v>377</v>
      </c>
      <c r="J33" s="62">
        <v>309</v>
      </c>
      <c r="K33" s="62">
        <v>368</v>
      </c>
      <c r="L33" s="62">
        <v>354</v>
      </c>
      <c r="M33" s="62">
        <v>396</v>
      </c>
      <c r="N33" s="62">
        <v>350</v>
      </c>
      <c r="O33" s="62">
        <v>335</v>
      </c>
      <c r="P33" s="62">
        <v>355</v>
      </c>
      <c r="Q33" s="62">
        <v>372</v>
      </c>
      <c r="R33" s="62">
        <v>328</v>
      </c>
      <c r="S33" s="62">
        <v>346</v>
      </c>
      <c r="T33" s="62">
        <v>356</v>
      </c>
      <c r="U33" s="62">
        <v>360</v>
      </c>
      <c r="V33" s="62">
        <v>369</v>
      </c>
      <c r="W33" s="62">
        <v>360</v>
      </c>
      <c r="X33" s="62">
        <v>323</v>
      </c>
      <c r="Y33" s="62">
        <v>348</v>
      </c>
      <c r="Z33" s="62">
        <v>318</v>
      </c>
      <c r="AA33" s="62">
        <v>313</v>
      </c>
      <c r="AB33" s="62">
        <v>296</v>
      </c>
      <c r="AC33" s="62">
        <v>339</v>
      </c>
      <c r="AD33" s="62">
        <v>334</v>
      </c>
      <c r="AE33" s="62">
        <v>308</v>
      </c>
      <c r="AF33" s="62">
        <v>296</v>
      </c>
      <c r="AG33" s="62">
        <v>294</v>
      </c>
      <c r="AH33" s="62">
        <v>280</v>
      </c>
      <c r="AI33" s="62">
        <v>282</v>
      </c>
      <c r="AJ33" s="62">
        <v>293</v>
      </c>
      <c r="AK33" s="62">
        <v>303</v>
      </c>
      <c r="AL33" s="62">
        <v>293</v>
      </c>
      <c r="AM33" s="62">
        <v>207</v>
      </c>
      <c r="AN33" s="62">
        <v>217</v>
      </c>
      <c r="AO33" s="62">
        <v>215</v>
      </c>
      <c r="AP33" s="62">
        <v>220</v>
      </c>
      <c r="AQ33" s="62">
        <v>225</v>
      </c>
      <c r="AR33" s="62">
        <v>203</v>
      </c>
      <c r="AS33" s="62">
        <v>207</v>
      </c>
      <c r="AT33" s="62">
        <v>232</v>
      </c>
      <c r="AU33" s="62">
        <v>192</v>
      </c>
      <c r="AV33" s="62">
        <v>211</v>
      </c>
      <c r="AW33" s="62">
        <v>214</v>
      </c>
      <c r="AX33" s="62">
        <v>241</v>
      </c>
      <c r="AY33" s="62">
        <v>214</v>
      </c>
      <c r="AZ33" s="62">
        <v>215</v>
      </c>
      <c r="BA33" s="62">
        <v>224</v>
      </c>
      <c r="BB33" s="62">
        <v>243</v>
      </c>
      <c r="BC33" s="62">
        <v>223</v>
      </c>
      <c r="BD33" s="62">
        <v>227</v>
      </c>
      <c r="BE33" s="62">
        <v>239</v>
      </c>
      <c r="BF33" s="62">
        <v>249</v>
      </c>
      <c r="BG33" s="62">
        <v>263</v>
      </c>
      <c r="BH33" s="62">
        <v>284</v>
      </c>
    </row>
    <row r="34" spans="2:60" hidden="1" x14ac:dyDescent="0.2">
      <c r="B34" s="59"/>
      <c r="C34" s="59" t="s">
        <v>658</v>
      </c>
      <c r="D34" s="59" t="s">
        <v>653</v>
      </c>
      <c r="E34" s="63">
        <v>207</v>
      </c>
      <c r="F34" s="63">
        <v>209</v>
      </c>
      <c r="G34" s="63">
        <v>195</v>
      </c>
      <c r="H34" s="63">
        <v>196</v>
      </c>
      <c r="I34" s="63">
        <v>206</v>
      </c>
      <c r="J34" s="63">
        <v>191</v>
      </c>
      <c r="K34" s="63">
        <v>226</v>
      </c>
      <c r="L34" s="63">
        <v>197</v>
      </c>
      <c r="M34" s="63">
        <v>242</v>
      </c>
      <c r="N34" s="63">
        <v>220</v>
      </c>
      <c r="O34" s="63">
        <v>210</v>
      </c>
      <c r="P34" s="63">
        <v>210</v>
      </c>
      <c r="Q34" s="63">
        <v>244</v>
      </c>
      <c r="R34" s="63">
        <v>215</v>
      </c>
      <c r="S34" s="63">
        <v>229</v>
      </c>
      <c r="T34" s="63">
        <v>221</v>
      </c>
      <c r="U34" s="63">
        <v>264</v>
      </c>
      <c r="V34" s="63">
        <v>233</v>
      </c>
      <c r="W34" s="63">
        <v>206</v>
      </c>
      <c r="X34" s="63">
        <v>205</v>
      </c>
      <c r="Y34" s="63">
        <v>226</v>
      </c>
      <c r="Z34" s="63">
        <v>212</v>
      </c>
      <c r="AA34" s="63">
        <v>185</v>
      </c>
      <c r="AB34" s="63">
        <v>194</v>
      </c>
      <c r="AC34" s="63">
        <v>208</v>
      </c>
      <c r="AD34" s="63">
        <v>183</v>
      </c>
      <c r="AE34" s="63">
        <v>173</v>
      </c>
      <c r="AF34" s="63">
        <v>171</v>
      </c>
      <c r="AG34" s="63">
        <v>218</v>
      </c>
      <c r="AH34" s="63">
        <v>160</v>
      </c>
      <c r="AI34" s="63">
        <v>139</v>
      </c>
      <c r="AJ34" s="63">
        <v>160</v>
      </c>
      <c r="AK34" s="63">
        <v>169</v>
      </c>
      <c r="AL34" s="63">
        <v>171</v>
      </c>
      <c r="AM34" s="63">
        <v>103</v>
      </c>
      <c r="AN34" s="63">
        <v>127</v>
      </c>
      <c r="AO34" s="63">
        <v>117</v>
      </c>
      <c r="AP34" s="63">
        <v>133</v>
      </c>
      <c r="AQ34" s="63">
        <v>137</v>
      </c>
      <c r="AR34" s="63">
        <v>137</v>
      </c>
      <c r="AS34" s="63">
        <v>125</v>
      </c>
      <c r="AT34" s="63">
        <v>120</v>
      </c>
      <c r="AU34" s="63">
        <v>133</v>
      </c>
      <c r="AV34" s="63">
        <v>128</v>
      </c>
      <c r="AW34" s="63">
        <v>119</v>
      </c>
      <c r="AX34" s="63">
        <v>140</v>
      </c>
      <c r="AY34" s="63">
        <v>153</v>
      </c>
      <c r="AZ34" s="63">
        <v>130</v>
      </c>
      <c r="BA34" s="63">
        <v>156</v>
      </c>
      <c r="BB34" s="63">
        <v>166</v>
      </c>
      <c r="BC34" s="63">
        <v>161</v>
      </c>
      <c r="BD34" s="63">
        <v>145</v>
      </c>
      <c r="BE34" s="63">
        <v>143</v>
      </c>
      <c r="BF34" s="63">
        <v>134</v>
      </c>
      <c r="BG34" s="63">
        <v>186</v>
      </c>
      <c r="BH34" s="63">
        <v>195</v>
      </c>
    </row>
    <row r="35" spans="2:60" hidden="1" x14ac:dyDescent="0.2">
      <c r="B35" s="57"/>
      <c r="C35" s="57" t="s">
        <v>658</v>
      </c>
      <c r="D35" s="57" t="s">
        <v>654</v>
      </c>
      <c r="E35" s="62">
        <v>6</v>
      </c>
      <c r="F35" s="62">
        <v>2</v>
      </c>
      <c r="G35" s="62">
        <v>2</v>
      </c>
      <c r="H35" s="62">
        <v>5</v>
      </c>
      <c r="I35" s="62">
        <v>6</v>
      </c>
      <c r="J35" s="62">
        <v>4</v>
      </c>
      <c r="K35" s="62">
        <v>4</v>
      </c>
      <c r="L35" s="62">
        <v>4</v>
      </c>
      <c r="M35" s="62">
        <v>6</v>
      </c>
      <c r="N35" s="62">
        <v>4</v>
      </c>
      <c r="O35" s="62">
        <v>11</v>
      </c>
      <c r="P35" s="62">
        <v>3</v>
      </c>
      <c r="Q35" s="62">
        <v>6</v>
      </c>
      <c r="R35" s="62">
        <v>4</v>
      </c>
      <c r="S35" s="62">
        <v>2</v>
      </c>
      <c r="T35" s="62">
        <v>9</v>
      </c>
      <c r="U35" s="62">
        <v>9</v>
      </c>
      <c r="V35" s="62">
        <v>6</v>
      </c>
      <c r="W35" s="62">
        <v>2</v>
      </c>
      <c r="X35" s="62">
        <v>2</v>
      </c>
      <c r="Y35" s="62">
        <v>6</v>
      </c>
      <c r="Z35" s="62">
        <v>3</v>
      </c>
      <c r="AA35" s="62">
        <v>6</v>
      </c>
      <c r="AB35" s="62">
        <v>2</v>
      </c>
      <c r="AC35" s="62">
        <v>5</v>
      </c>
      <c r="AD35" s="62">
        <v>2</v>
      </c>
      <c r="AE35" s="62">
        <v>4</v>
      </c>
      <c r="AF35" s="62">
        <v>5</v>
      </c>
      <c r="AG35" s="62">
        <v>4</v>
      </c>
      <c r="AH35" s="62">
        <v>4</v>
      </c>
      <c r="AI35" s="62">
        <v>2</v>
      </c>
      <c r="AJ35" s="62">
        <v>6</v>
      </c>
      <c r="AK35" s="62">
        <v>9</v>
      </c>
      <c r="AL35" s="62">
        <v>3</v>
      </c>
      <c r="AM35" s="62">
        <v>6</v>
      </c>
      <c r="AN35" s="62">
        <v>2</v>
      </c>
      <c r="AO35" s="62">
        <v>3</v>
      </c>
      <c r="AP35" s="62">
        <v>5</v>
      </c>
      <c r="AQ35" s="62">
        <v>5</v>
      </c>
      <c r="AR35" s="62">
        <v>2</v>
      </c>
      <c r="AS35" s="62">
        <v>6</v>
      </c>
      <c r="AT35" s="62">
        <v>2</v>
      </c>
      <c r="AU35" s="62">
        <v>9</v>
      </c>
      <c r="AV35" s="62">
        <v>1</v>
      </c>
      <c r="AW35" s="62">
        <v>2</v>
      </c>
      <c r="AX35" s="62">
        <v>2</v>
      </c>
      <c r="AY35" s="62">
        <v>3</v>
      </c>
      <c r="AZ35" s="62">
        <v>5</v>
      </c>
      <c r="BA35" s="62">
        <v>2</v>
      </c>
      <c r="BB35" s="62"/>
      <c r="BC35" s="62">
        <v>1</v>
      </c>
      <c r="BD35" s="62">
        <v>3</v>
      </c>
      <c r="BE35" s="62">
        <v>8</v>
      </c>
      <c r="BF35" s="62">
        <v>1</v>
      </c>
      <c r="BG35" s="62">
        <v>4</v>
      </c>
      <c r="BH35" s="62"/>
    </row>
    <row r="36" spans="2:60" hidden="1" x14ac:dyDescent="0.2">
      <c r="B36" s="59"/>
      <c r="C36" s="59" t="s">
        <v>658</v>
      </c>
      <c r="D36" s="59" t="s">
        <v>655</v>
      </c>
      <c r="E36" s="63">
        <v>10</v>
      </c>
      <c r="F36" s="63">
        <v>6</v>
      </c>
      <c r="G36" s="63">
        <v>11</v>
      </c>
      <c r="H36" s="63">
        <v>19</v>
      </c>
      <c r="I36" s="63">
        <v>17</v>
      </c>
      <c r="J36" s="63">
        <v>12</v>
      </c>
      <c r="K36" s="63">
        <v>10</v>
      </c>
      <c r="L36" s="63">
        <v>13</v>
      </c>
      <c r="M36" s="63">
        <v>11</v>
      </c>
      <c r="N36" s="63">
        <v>11</v>
      </c>
      <c r="O36" s="63">
        <v>16</v>
      </c>
      <c r="P36" s="63">
        <v>19</v>
      </c>
      <c r="Q36" s="63">
        <v>21</v>
      </c>
      <c r="R36" s="63">
        <v>14</v>
      </c>
      <c r="S36" s="63">
        <v>17</v>
      </c>
      <c r="T36" s="63">
        <v>9</v>
      </c>
      <c r="U36" s="63">
        <v>24</v>
      </c>
      <c r="V36" s="63">
        <v>9</v>
      </c>
      <c r="W36" s="63">
        <v>7</v>
      </c>
      <c r="X36" s="63">
        <v>8</v>
      </c>
      <c r="Y36" s="63">
        <v>16</v>
      </c>
      <c r="Z36" s="63">
        <v>9</v>
      </c>
      <c r="AA36" s="63">
        <v>14</v>
      </c>
      <c r="AB36" s="63">
        <v>6</v>
      </c>
      <c r="AC36" s="63">
        <v>12</v>
      </c>
      <c r="AD36" s="63">
        <v>8</v>
      </c>
      <c r="AE36" s="63">
        <v>9</v>
      </c>
      <c r="AF36" s="63">
        <v>4</v>
      </c>
      <c r="AG36" s="63">
        <v>6</v>
      </c>
      <c r="AH36" s="63">
        <v>9</v>
      </c>
      <c r="AI36" s="63">
        <v>5</v>
      </c>
      <c r="AJ36" s="63">
        <v>9</v>
      </c>
      <c r="AK36" s="63">
        <v>7</v>
      </c>
      <c r="AL36" s="63">
        <v>10</v>
      </c>
      <c r="AM36" s="63">
        <v>7</v>
      </c>
      <c r="AN36" s="63">
        <v>5</v>
      </c>
      <c r="AO36" s="63">
        <v>4</v>
      </c>
      <c r="AP36" s="63">
        <v>7</v>
      </c>
      <c r="AQ36" s="63">
        <v>6</v>
      </c>
      <c r="AR36" s="63">
        <v>7</v>
      </c>
      <c r="AS36" s="63">
        <v>4</v>
      </c>
      <c r="AT36" s="63">
        <v>9</v>
      </c>
      <c r="AU36" s="63">
        <v>7</v>
      </c>
      <c r="AV36" s="63">
        <v>7</v>
      </c>
      <c r="AW36" s="63">
        <v>10</v>
      </c>
      <c r="AX36" s="63">
        <v>7</v>
      </c>
      <c r="AY36" s="63">
        <v>7</v>
      </c>
      <c r="AZ36" s="63">
        <v>1</v>
      </c>
      <c r="BA36" s="63">
        <v>11</v>
      </c>
      <c r="BB36" s="63">
        <v>6</v>
      </c>
      <c r="BC36" s="63">
        <v>8</v>
      </c>
      <c r="BD36" s="63">
        <v>7</v>
      </c>
      <c r="BE36" s="63">
        <v>13</v>
      </c>
      <c r="BF36" s="63">
        <v>9</v>
      </c>
      <c r="BG36" s="63">
        <v>10</v>
      </c>
      <c r="BH36" s="63">
        <v>4</v>
      </c>
    </row>
    <row r="37" spans="2:60" hidden="1" x14ac:dyDescent="0.2">
      <c r="B37" s="57"/>
      <c r="C37" s="57" t="s">
        <v>658</v>
      </c>
      <c r="D37" s="57" t="s">
        <v>699</v>
      </c>
      <c r="E37" s="62">
        <v>106</v>
      </c>
      <c r="F37" s="62">
        <v>117</v>
      </c>
      <c r="G37" s="62">
        <v>101</v>
      </c>
      <c r="H37" s="62">
        <v>102</v>
      </c>
      <c r="I37" s="62">
        <v>96</v>
      </c>
      <c r="J37" s="62">
        <v>74</v>
      </c>
      <c r="K37" s="62">
        <v>89</v>
      </c>
      <c r="L37" s="62">
        <v>77</v>
      </c>
      <c r="M37" s="62">
        <v>109</v>
      </c>
      <c r="N37" s="62">
        <v>81</v>
      </c>
      <c r="O37" s="62">
        <v>88</v>
      </c>
      <c r="P37" s="62">
        <v>89</v>
      </c>
      <c r="Q37" s="62">
        <v>91</v>
      </c>
      <c r="R37" s="62">
        <v>65</v>
      </c>
      <c r="S37" s="62">
        <v>70</v>
      </c>
      <c r="T37" s="62">
        <v>77</v>
      </c>
      <c r="U37" s="62">
        <v>63</v>
      </c>
      <c r="V37" s="62">
        <v>57</v>
      </c>
      <c r="W37" s="62">
        <v>117</v>
      </c>
      <c r="X37" s="62">
        <v>88</v>
      </c>
      <c r="Y37" s="62">
        <v>59</v>
      </c>
      <c r="Z37" s="62">
        <v>89</v>
      </c>
      <c r="AA37" s="62">
        <v>80</v>
      </c>
      <c r="AB37" s="62">
        <v>74</v>
      </c>
      <c r="AC37" s="62">
        <v>70</v>
      </c>
      <c r="AD37" s="62">
        <v>62</v>
      </c>
      <c r="AE37" s="62">
        <v>48</v>
      </c>
      <c r="AF37" s="62">
        <v>47</v>
      </c>
      <c r="AG37" s="62">
        <v>49</v>
      </c>
      <c r="AH37" s="62">
        <v>49</v>
      </c>
      <c r="AI37" s="62">
        <v>47</v>
      </c>
      <c r="AJ37" s="62">
        <v>49</v>
      </c>
      <c r="AK37" s="62">
        <v>65</v>
      </c>
      <c r="AL37" s="62">
        <v>73</v>
      </c>
      <c r="AM37" s="62">
        <v>37</v>
      </c>
      <c r="AN37" s="62">
        <v>36</v>
      </c>
      <c r="AO37" s="62">
        <v>59</v>
      </c>
      <c r="AP37" s="62">
        <v>55</v>
      </c>
      <c r="AQ37" s="62">
        <v>51</v>
      </c>
      <c r="AR37" s="62">
        <v>65</v>
      </c>
      <c r="AS37" s="62">
        <v>35</v>
      </c>
      <c r="AT37" s="62">
        <v>52</v>
      </c>
      <c r="AU37" s="62">
        <v>52</v>
      </c>
      <c r="AV37" s="62">
        <v>71</v>
      </c>
      <c r="AW37" s="62">
        <v>106</v>
      </c>
      <c r="AX37" s="62">
        <v>83</v>
      </c>
      <c r="AY37" s="62">
        <v>62</v>
      </c>
      <c r="AZ37" s="62">
        <v>47</v>
      </c>
      <c r="BA37" s="62">
        <v>70</v>
      </c>
      <c r="BB37" s="62">
        <v>59</v>
      </c>
      <c r="BC37" s="62">
        <v>63</v>
      </c>
      <c r="BD37" s="62">
        <v>56</v>
      </c>
      <c r="BE37" s="62">
        <v>54</v>
      </c>
      <c r="BF37" s="62">
        <v>51</v>
      </c>
      <c r="BG37" s="62">
        <v>62</v>
      </c>
      <c r="BH37" s="62">
        <v>53</v>
      </c>
    </row>
    <row r="38" spans="2:60" hidden="1" x14ac:dyDescent="0.2">
      <c r="B38" s="59"/>
      <c r="C38" s="59" t="s">
        <v>658</v>
      </c>
      <c r="D38" s="59" t="s">
        <v>656</v>
      </c>
      <c r="E38" s="63">
        <v>1106</v>
      </c>
      <c r="F38" s="63">
        <v>1074</v>
      </c>
      <c r="G38" s="63">
        <v>939</v>
      </c>
      <c r="H38" s="63">
        <v>1019</v>
      </c>
      <c r="I38" s="63">
        <v>1022</v>
      </c>
      <c r="J38" s="63">
        <v>884</v>
      </c>
      <c r="K38" s="63">
        <v>1026</v>
      </c>
      <c r="L38" s="63">
        <v>956</v>
      </c>
      <c r="M38" s="63">
        <v>1111</v>
      </c>
      <c r="N38" s="63">
        <v>962</v>
      </c>
      <c r="O38" s="63">
        <v>996</v>
      </c>
      <c r="P38" s="63">
        <v>986</v>
      </c>
      <c r="Q38" s="63">
        <v>1072</v>
      </c>
      <c r="R38" s="63">
        <v>953</v>
      </c>
      <c r="S38" s="63">
        <v>1051</v>
      </c>
      <c r="T38" s="63">
        <v>965</v>
      </c>
      <c r="U38" s="63">
        <v>1085</v>
      </c>
      <c r="V38" s="63">
        <v>1008</v>
      </c>
      <c r="W38" s="63">
        <v>1035</v>
      </c>
      <c r="X38" s="63">
        <v>925</v>
      </c>
      <c r="Y38" s="63">
        <v>1039</v>
      </c>
      <c r="Z38" s="63">
        <v>960</v>
      </c>
      <c r="AA38" s="63">
        <v>939</v>
      </c>
      <c r="AB38" s="63">
        <v>886</v>
      </c>
      <c r="AC38" s="63">
        <v>988</v>
      </c>
      <c r="AD38" s="63">
        <v>895</v>
      </c>
      <c r="AE38" s="63">
        <v>859</v>
      </c>
      <c r="AF38" s="63">
        <v>874</v>
      </c>
      <c r="AG38" s="63">
        <v>921</v>
      </c>
      <c r="AH38" s="63">
        <v>806</v>
      </c>
      <c r="AI38" s="63">
        <v>760</v>
      </c>
      <c r="AJ38" s="63">
        <v>817</v>
      </c>
      <c r="AK38" s="63">
        <v>852</v>
      </c>
      <c r="AL38" s="63">
        <v>895</v>
      </c>
      <c r="AM38" s="63">
        <v>630</v>
      </c>
      <c r="AN38" s="63">
        <v>644</v>
      </c>
      <c r="AO38" s="63">
        <v>644</v>
      </c>
      <c r="AP38" s="63">
        <v>699</v>
      </c>
      <c r="AQ38" s="63">
        <v>702</v>
      </c>
      <c r="AR38" s="63">
        <v>642</v>
      </c>
      <c r="AS38" s="63">
        <v>602</v>
      </c>
      <c r="AT38" s="63">
        <v>657</v>
      </c>
      <c r="AU38" s="63">
        <v>620</v>
      </c>
      <c r="AV38" s="63">
        <v>594</v>
      </c>
      <c r="AW38" s="63">
        <v>646</v>
      </c>
      <c r="AX38" s="63">
        <v>680</v>
      </c>
      <c r="AY38" s="63">
        <v>658</v>
      </c>
      <c r="AZ38" s="63">
        <v>605</v>
      </c>
      <c r="BA38" s="63">
        <v>675</v>
      </c>
      <c r="BB38" s="63">
        <v>732</v>
      </c>
      <c r="BC38" s="63">
        <v>676</v>
      </c>
      <c r="BD38" s="63">
        <v>648</v>
      </c>
      <c r="BE38" s="63">
        <v>686</v>
      </c>
      <c r="BF38" s="63">
        <v>654</v>
      </c>
      <c r="BG38" s="63">
        <v>743</v>
      </c>
      <c r="BH38" s="63">
        <v>765</v>
      </c>
    </row>
    <row r="39" spans="2:60" hidden="1" x14ac:dyDescent="0.2">
      <c r="B39" s="57"/>
      <c r="C39" s="57" t="s">
        <v>659</v>
      </c>
      <c r="D39" s="57" t="s">
        <v>648</v>
      </c>
      <c r="E39" s="62">
        <v>17</v>
      </c>
      <c r="F39" s="62">
        <v>17</v>
      </c>
      <c r="G39" s="62">
        <v>15</v>
      </c>
      <c r="H39" s="62">
        <v>16</v>
      </c>
      <c r="I39" s="62">
        <v>24</v>
      </c>
      <c r="J39" s="62">
        <v>14</v>
      </c>
      <c r="K39" s="62">
        <v>12</v>
      </c>
      <c r="L39" s="62">
        <v>17</v>
      </c>
      <c r="M39" s="62">
        <v>14</v>
      </c>
      <c r="N39" s="62">
        <v>13</v>
      </c>
      <c r="O39" s="62">
        <v>11</v>
      </c>
      <c r="P39" s="62">
        <v>14</v>
      </c>
      <c r="Q39" s="62">
        <v>9</v>
      </c>
      <c r="R39" s="62">
        <v>15</v>
      </c>
      <c r="S39" s="62">
        <v>13</v>
      </c>
      <c r="T39" s="62">
        <v>5</v>
      </c>
      <c r="U39" s="62">
        <v>18</v>
      </c>
      <c r="V39" s="62">
        <v>7</v>
      </c>
      <c r="W39" s="62">
        <v>10</v>
      </c>
      <c r="X39" s="62">
        <v>15</v>
      </c>
      <c r="Y39" s="62">
        <v>15</v>
      </c>
      <c r="Z39" s="62">
        <v>8</v>
      </c>
      <c r="AA39" s="62">
        <v>10</v>
      </c>
      <c r="AB39" s="62">
        <v>10</v>
      </c>
      <c r="AC39" s="62">
        <v>5</v>
      </c>
      <c r="AD39" s="62">
        <v>11</v>
      </c>
      <c r="AE39" s="62">
        <v>9</v>
      </c>
      <c r="AF39" s="62">
        <v>14</v>
      </c>
      <c r="AG39" s="62">
        <v>15</v>
      </c>
      <c r="AH39" s="62">
        <v>10</v>
      </c>
      <c r="AI39" s="62">
        <v>9</v>
      </c>
      <c r="AJ39" s="62">
        <v>8</v>
      </c>
      <c r="AK39" s="62">
        <v>13</v>
      </c>
      <c r="AL39" s="62">
        <v>12</v>
      </c>
      <c r="AM39" s="62">
        <v>12</v>
      </c>
      <c r="AN39" s="62">
        <v>7</v>
      </c>
      <c r="AO39" s="62">
        <v>13</v>
      </c>
      <c r="AP39" s="62">
        <v>16</v>
      </c>
      <c r="AQ39" s="62">
        <v>12</v>
      </c>
      <c r="AR39" s="62">
        <v>9</v>
      </c>
      <c r="AS39" s="62">
        <v>8</v>
      </c>
      <c r="AT39" s="62">
        <v>8</v>
      </c>
      <c r="AU39" s="62">
        <v>7</v>
      </c>
      <c r="AV39" s="62">
        <v>9</v>
      </c>
      <c r="AW39" s="62">
        <v>8</v>
      </c>
      <c r="AX39" s="62">
        <v>10</v>
      </c>
      <c r="AY39" s="62">
        <v>5</v>
      </c>
      <c r="AZ39" s="62">
        <v>10</v>
      </c>
      <c r="BA39" s="62">
        <v>5</v>
      </c>
      <c r="BB39" s="62">
        <v>12</v>
      </c>
      <c r="BC39" s="62">
        <v>7</v>
      </c>
      <c r="BD39" s="62">
        <v>16</v>
      </c>
      <c r="BE39" s="62">
        <v>10</v>
      </c>
      <c r="BF39" s="62">
        <v>10</v>
      </c>
      <c r="BG39" s="62">
        <v>9</v>
      </c>
      <c r="BH39" s="62">
        <v>14</v>
      </c>
    </row>
    <row r="40" spans="2:60" hidden="1" x14ac:dyDescent="0.2">
      <c r="B40" s="59"/>
      <c r="C40" s="59" t="s">
        <v>659</v>
      </c>
      <c r="D40" s="59" t="s">
        <v>649</v>
      </c>
      <c r="E40" s="63">
        <v>47</v>
      </c>
      <c r="F40" s="63">
        <v>58</v>
      </c>
      <c r="G40" s="63">
        <v>46</v>
      </c>
      <c r="H40" s="63">
        <v>59</v>
      </c>
      <c r="I40" s="63">
        <v>65</v>
      </c>
      <c r="J40" s="63">
        <v>60</v>
      </c>
      <c r="K40" s="63">
        <v>56</v>
      </c>
      <c r="L40" s="63">
        <v>46</v>
      </c>
      <c r="M40" s="63">
        <v>55</v>
      </c>
      <c r="N40" s="63">
        <v>52</v>
      </c>
      <c r="O40" s="63">
        <v>43</v>
      </c>
      <c r="P40" s="63">
        <v>39</v>
      </c>
      <c r="Q40" s="63">
        <v>58</v>
      </c>
      <c r="R40" s="63">
        <v>43</v>
      </c>
      <c r="S40" s="63">
        <v>52</v>
      </c>
      <c r="T40" s="63">
        <v>34</v>
      </c>
      <c r="U40" s="63">
        <v>48</v>
      </c>
      <c r="V40" s="63">
        <v>30</v>
      </c>
      <c r="W40" s="63">
        <v>28</v>
      </c>
      <c r="X40" s="63">
        <v>30</v>
      </c>
      <c r="Y40" s="63">
        <v>39</v>
      </c>
      <c r="Z40" s="63">
        <v>47</v>
      </c>
      <c r="AA40" s="63">
        <v>23</v>
      </c>
      <c r="AB40" s="63">
        <v>28</v>
      </c>
      <c r="AC40" s="63">
        <v>32</v>
      </c>
      <c r="AD40" s="63">
        <v>39</v>
      </c>
      <c r="AE40" s="63">
        <v>35</v>
      </c>
      <c r="AF40" s="63">
        <v>26</v>
      </c>
      <c r="AG40" s="63">
        <v>33</v>
      </c>
      <c r="AH40" s="63">
        <v>45</v>
      </c>
      <c r="AI40" s="63">
        <v>43</v>
      </c>
      <c r="AJ40" s="63">
        <v>35</v>
      </c>
      <c r="AK40" s="63">
        <v>36</v>
      </c>
      <c r="AL40" s="63">
        <v>58</v>
      </c>
      <c r="AM40" s="63">
        <v>22</v>
      </c>
      <c r="AN40" s="63">
        <v>22</v>
      </c>
      <c r="AO40" s="63">
        <v>48</v>
      </c>
      <c r="AP40" s="63">
        <v>26</v>
      </c>
      <c r="AQ40" s="63">
        <v>31</v>
      </c>
      <c r="AR40" s="63">
        <v>47</v>
      </c>
      <c r="AS40" s="63">
        <v>44</v>
      </c>
      <c r="AT40" s="63">
        <v>28</v>
      </c>
      <c r="AU40" s="63">
        <v>22</v>
      </c>
      <c r="AV40" s="63">
        <v>25</v>
      </c>
      <c r="AW40" s="63">
        <v>25</v>
      </c>
      <c r="AX40" s="63">
        <v>16</v>
      </c>
      <c r="AY40" s="63">
        <v>25</v>
      </c>
      <c r="AZ40" s="63">
        <v>27</v>
      </c>
      <c r="BA40" s="63">
        <v>28</v>
      </c>
      <c r="BB40" s="63">
        <v>15</v>
      </c>
      <c r="BC40" s="63">
        <v>25</v>
      </c>
      <c r="BD40" s="63">
        <v>25</v>
      </c>
      <c r="BE40" s="63">
        <v>25</v>
      </c>
      <c r="BF40" s="63">
        <v>20</v>
      </c>
      <c r="BG40" s="63">
        <v>18</v>
      </c>
      <c r="BH40" s="63">
        <v>19</v>
      </c>
    </row>
    <row r="41" spans="2:60" hidden="1" x14ac:dyDescent="0.2">
      <c r="B41" s="57"/>
      <c r="C41" s="57" t="s">
        <v>659</v>
      </c>
      <c r="D41" s="57" t="s">
        <v>650</v>
      </c>
      <c r="E41" s="62">
        <v>8</v>
      </c>
      <c r="F41" s="62">
        <v>11</v>
      </c>
      <c r="G41" s="62">
        <v>4</v>
      </c>
      <c r="H41" s="62">
        <v>6</v>
      </c>
      <c r="I41" s="62">
        <v>8</v>
      </c>
      <c r="J41" s="62">
        <v>6</v>
      </c>
      <c r="K41" s="62">
        <v>7</v>
      </c>
      <c r="L41" s="62">
        <v>3</v>
      </c>
      <c r="M41" s="62">
        <v>6</v>
      </c>
      <c r="N41" s="62">
        <v>5</v>
      </c>
      <c r="O41" s="62">
        <v>6</v>
      </c>
      <c r="P41" s="62">
        <v>8</v>
      </c>
      <c r="Q41" s="62">
        <v>2</v>
      </c>
      <c r="R41" s="62">
        <v>7</v>
      </c>
      <c r="S41" s="62">
        <v>7</v>
      </c>
      <c r="T41" s="62">
        <v>5</v>
      </c>
      <c r="U41" s="62">
        <v>3</v>
      </c>
      <c r="V41" s="62">
        <v>5</v>
      </c>
      <c r="W41" s="62">
        <v>8</v>
      </c>
      <c r="X41" s="62">
        <v>4</v>
      </c>
      <c r="Y41" s="62">
        <v>5</v>
      </c>
      <c r="Z41" s="62">
        <v>3</v>
      </c>
      <c r="AA41" s="62">
        <v>3</v>
      </c>
      <c r="AB41" s="62"/>
      <c r="AC41" s="62">
        <v>4</v>
      </c>
      <c r="AD41" s="62">
        <v>7</v>
      </c>
      <c r="AE41" s="62">
        <v>4</v>
      </c>
      <c r="AF41" s="62">
        <v>4</v>
      </c>
      <c r="AG41" s="62">
        <v>5</v>
      </c>
      <c r="AH41" s="62">
        <v>4</v>
      </c>
      <c r="AI41" s="62">
        <v>5</v>
      </c>
      <c r="AJ41" s="62">
        <v>3</v>
      </c>
      <c r="AK41" s="62"/>
      <c r="AL41" s="62">
        <v>2</v>
      </c>
      <c r="AM41" s="62">
        <v>4</v>
      </c>
      <c r="AN41" s="62"/>
      <c r="AO41" s="62">
        <v>8</v>
      </c>
      <c r="AP41" s="62">
        <v>2</v>
      </c>
      <c r="AQ41" s="62">
        <v>6</v>
      </c>
      <c r="AR41" s="62">
        <v>2</v>
      </c>
      <c r="AS41" s="62">
        <v>6</v>
      </c>
      <c r="AT41" s="62">
        <v>1</v>
      </c>
      <c r="AU41" s="62">
        <v>5</v>
      </c>
      <c r="AV41" s="62">
        <v>5</v>
      </c>
      <c r="AW41" s="62">
        <v>4</v>
      </c>
      <c r="AX41" s="62">
        <v>5</v>
      </c>
      <c r="AY41" s="62"/>
      <c r="AZ41" s="62">
        <v>6</v>
      </c>
      <c r="BA41" s="62">
        <v>5</v>
      </c>
      <c r="BB41" s="62">
        <v>2</v>
      </c>
      <c r="BC41" s="62">
        <v>6</v>
      </c>
      <c r="BD41" s="62">
        <v>2</v>
      </c>
      <c r="BE41" s="62">
        <v>2</v>
      </c>
      <c r="BF41" s="62">
        <v>3</v>
      </c>
      <c r="BG41" s="62"/>
      <c r="BH41" s="62">
        <v>3</v>
      </c>
    </row>
    <row r="42" spans="2:60" hidden="1" x14ac:dyDescent="0.2">
      <c r="B42" s="59"/>
      <c r="C42" s="59" t="s">
        <v>659</v>
      </c>
      <c r="D42" s="59" t="s">
        <v>651</v>
      </c>
      <c r="E42" s="63">
        <v>15</v>
      </c>
      <c r="F42" s="63">
        <v>19</v>
      </c>
      <c r="G42" s="63">
        <v>13</v>
      </c>
      <c r="H42" s="63">
        <v>17</v>
      </c>
      <c r="I42" s="63">
        <v>24</v>
      </c>
      <c r="J42" s="63">
        <v>23</v>
      </c>
      <c r="K42" s="63">
        <v>7</v>
      </c>
      <c r="L42" s="63">
        <v>20</v>
      </c>
      <c r="M42" s="63">
        <v>20</v>
      </c>
      <c r="N42" s="63">
        <v>20</v>
      </c>
      <c r="O42" s="63">
        <v>16</v>
      </c>
      <c r="P42" s="63">
        <v>14</v>
      </c>
      <c r="Q42" s="63">
        <v>17</v>
      </c>
      <c r="R42" s="63">
        <v>23</v>
      </c>
      <c r="S42" s="63">
        <v>13</v>
      </c>
      <c r="T42" s="63">
        <v>12</v>
      </c>
      <c r="U42" s="63">
        <v>15</v>
      </c>
      <c r="V42" s="63">
        <v>13</v>
      </c>
      <c r="W42" s="63">
        <v>10</v>
      </c>
      <c r="X42" s="63">
        <v>10</v>
      </c>
      <c r="Y42" s="63">
        <v>9</v>
      </c>
      <c r="Z42" s="63">
        <v>13</v>
      </c>
      <c r="AA42" s="63">
        <v>17</v>
      </c>
      <c r="AB42" s="63">
        <v>13</v>
      </c>
      <c r="AC42" s="63">
        <v>14</v>
      </c>
      <c r="AD42" s="63">
        <v>8</v>
      </c>
      <c r="AE42" s="63">
        <v>22</v>
      </c>
      <c r="AF42" s="63">
        <v>12</v>
      </c>
      <c r="AG42" s="63">
        <v>14</v>
      </c>
      <c r="AH42" s="63">
        <v>17</v>
      </c>
      <c r="AI42" s="63">
        <v>9</v>
      </c>
      <c r="AJ42" s="63">
        <v>9</v>
      </c>
      <c r="AK42" s="63">
        <v>20</v>
      </c>
      <c r="AL42" s="63">
        <v>14</v>
      </c>
      <c r="AM42" s="63">
        <v>9</v>
      </c>
      <c r="AN42" s="63">
        <v>8</v>
      </c>
      <c r="AO42" s="63">
        <v>12</v>
      </c>
      <c r="AP42" s="63">
        <v>7</v>
      </c>
      <c r="AQ42" s="63">
        <v>11</v>
      </c>
      <c r="AR42" s="63">
        <v>10</v>
      </c>
      <c r="AS42" s="63">
        <v>10</v>
      </c>
      <c r="AT42" s="63">
        <v>8</v>
      </c>
      <c r="AU42" s="63">
        <v>11</v>
      </c>
      <c r="AV42" s="63">
        <v>13</v>
      </c>
      <c r="AW42" s="63">
        <v>10</v>
      </c>
      <c r="AX42" s="63">
        <v>6</v>
      </c>
      <c r="AY42" s="63">
        <v>6</v>
      </c>
      <c r="AZ42" s="63">
        <v>7</v>
      </c>
      <c r="BA42" s="63">
        <v>6</v>
      </c>
      <c r="BB42" s="63">
        <v>6</v>
      </c>
      <c r="BC42" s="63">
        <v>8</v>
      </c>
      <c r="BD42" s="63">
        <v>4</v>
      </c>
      <c r="BE42" s="63">
        <v>5</v>
      </c>
      <c r="BF42" s="63">
        <v>5</v>
      </c>
      <c r="BG42" s="63">
        <v>3</v>
      </c>
      <c r="BH42" s="63">
        <v>7</v>
      </c>
    </row>
    <row r="43" spans="2:60" hidden="1" x14ac:dyDescent="0.2">
      <c r="B43" s="57"/>
      <c r="C43" s="57" t="s">
        <v>659</v>
      </c>
      <c r="D43" s="57" t="s">
        <v>652</v>
      </c>
      <c r="E43" s="62">
        <v>70</v>
      </c>
      <c r="F43" s="62">
        <v>69</v>
      </c>
      <c r="G43" s="62">
        <v>73</v>
      </c>
      <c r="H43" s="62">
        <v>70</v>
      </c>
      <c r="I43" s="62">
        <v>59</v>
      </c>
      <c r="J43" s="62">
        <v>84</v>
      </c>
      <c r="K43" s="62">
        <v>65</v>
      </c>
      <c r="L43" s="62">
        <v>57</v>
      </c>
      <c r="M43" s="62">
        <v>63</v>
      </c>
      <c r="N43" s="62">
        <v>58</v>
      </c>
      <c r="O43" s="62">
        <v>57</v>
      </c>
      <c r="P43" s="62">
        <v>56</v>
      </c>
      <c r="Q43" s="62">
        <v>76</v>
      </c>
      <c r="R43" s="62">
        <v>50</v>
      </c>
      <c r="S43" s="62">
        <v>57</v>
      </c>
      <c r="T43" s="62">
        <v>42</v>
      </c>
      <c r="U43" s="62">
        <v>62</v>
      </c>
      <c r="V43" s="62">
        <v>46</v>
      </c>
      <c r="W43" s="62">
        <v>39</v>
      </c>
      <c r="X43" s="62">
        <v>32</v>
      </c>
      <c r="Y43" s="62">
        <v>44</v>
      </c>
      <c r="Z43" s="62">
        <v>44</v>
      </c>
      <c r="AA43" s="62">
        <v>47</v>
      </c>
      <c r="AB43" s="62">
        <v>39</v>
      </c>
      <c r="AC43" s="62">
        <v>29</v>
      </c>
      <c r="AD43" s="62">
        <v>43</v>
      </c>
      <c r="AE43" s="62">
        <v>62</v>
      </c>
      <c r="AF43" s="62">
        <v>56</v>
      </c>
      <c r="AG43" s="62">
        <v>53</v>
      </c>
      <c r="AH43" s="62">
        <v>42</v>
      </c>
      <c r="AI43" s="62">
        <v>40</v>
      </c>
      <c r="AJ43" s="62">
        <v>55</v>
      </c>
      <c r="AK43" s="62">
        <v>37</v>
      </c>
      <c r="AL43" s="62">
        <v>60</v>
      </c>
      <c r="AM43" s="62">
        <v>41</v>
      </c>
      <c r="AN43" s="62">
        <v>40</v>
      </c>
      <c r="AO43" s="62">
        <v>45</v>
      </c>
      <c r="AP43" s="62">
        <v>42</v>
      </c>
      <c r="AQ43" s="62">
        <v>31</v>
      </c>
      <c r="AR43" s="62">
        <v>40</v>
      </c>
      <c r="AS43" s="62">
        <v>40</v>
      </c>
      <c r="AT43" s="62">
        <v>40</v>
      </c>
      <c r="AU43" s="62">
        <v>43</v>
      </c>
      <c r="AV43" s="62">
        <v>42</v>
      </c>
      <c r="AW43" s="62">
        <v>34</v>
      </c>
      <c r="AX43" s="62">
        <v>29</v>
      </c>
      <c r="AY43" s="62">
        <v>32</v>
      </c>
      <c r="AZ43" s="62">
        <v>23</v>
      </c>
      <c r="BA43" s="62">
        <v>16</v>
      </c>
      <c r="BB43" s="62">
        <v>28</v>
      </c>
      <c r="BC43" s="62">
        <v>23</v>
      </c>
      <c r="BD43" s="62">
        <v>24</v>
      </c>
      <c r="BE43" s="62">
        <v>16</v>
      </c>
      <c r="BF43" s="62">
        <v>20</v>
      </c>
      <c r="BG43" s="62">
        <v>15</v>
      </c>
      <c r="BH43" s="62">
        <v>24</v>
      </c>
    </row>
    <row r="44" spans="2:60" hidden="1" x14ac:dyDescent="0.2">
      <c r="B44" s="59"/>
      <c r="C44" s="59" t="s">
        <v>659</v>
      </c>
      <c r="D44" s="59" t="s">
        <v>653</v>
      </c>
      <c r="E44" s="63">
        <v>13</v>
      </c>
      <c r="F44" s="63">
        <v>11</v>
      </c>
      <c r="G44" s="63">
        <v>12</v>
      </c>
      <c r="H44" s="63">
        <v>15</v>
      </c>
      <c r="I44" s="63">
        <v>19</v>
      </c>
      <c r="J44" s="63">
        <v>28</v>
      </c>
      <c r="K44" s="63">
        <v>30</v>
      </c>
      <c r="L44" s="63">
        <v>21</v>
      </c>
      <c r="M44" s="63">
        <v>14</v>
      </c>
      <c r="N44" s="63">
        <v>24</v>
      </c>
      <c r="O44" s="63">
        <v>18</v>
      </c>
      <c r="P44" s="63">
        <v>22</v>
      </c>
      <c r="Q44" s="63">
        <v>22</v>
      </c>
      <c r="R44" s="63">
        <v>14</v>
      </c>
      <c r="S44" s="63">
        <v>23</v>
      </c>
      <c r="T44" s="63">
        <v>16</v>
      </c>
      <c r="U44" s="63">
        <v>16</v>
      </c>
      <c r="V44" s="63">
        <v>16</v>
      </c>
      <c r="W44" s="63">
        <v>11</v>
      </c>
      <c r="X44" s="63">
        <v>13</v>
      </c>
      <c r="Y44" s="63">
        <v>28</v>
      </c>
      <c r="Z44" s="63">
        <v>17</v>
      </c>
      <c r="AA44" s="63">
        <v>15</v>
      </c>
      <c r="AB44" s="63">
        <v>21</v>
      </c>
      <c r="AC44" s="63">
        <v>16</v>
      </c>
      <c r="AD44" s="63">
        <v>19</v>
      </c>
      <c r="AE44" s="63">
        <v>11</v>
      </c>
      <c r="AF44" s="63">
        <v>14</v>
      </c>
      <c r="AG44" s="63">
        <v>16</v>
      </c>
      <c r="AH44" s="63">
        <v>7</v>
      </c>
      <c r="AI44" s="63">
        <v>13</v>
      </c>
      <c r="AJ44" s="63">
        <v>11</v>
      </c>
      <c r="AK44" s="63">
        <v>22</v>
      </c>
      <c r="AL44" s="63">
        <v>19</v>
      </c>
      <c r="AM44" s="63">
        <v>13</v>
      </c>
      <c r="AN44" s="63">
        <v>9</v>
      </c>
      <c r="AO44" s="63">
        <v>21</v>
      </c>
      <c r="AP44" s="63">
        <v>13</v>
      </c>
      <c r="AQ44" s="63">
        <v>10</v>
      </c>
      <c r="AR44" s="63">
        <v>14</v>
      </c>
      <c r="AS44" s="63">
        <v>9</v>
      </c>
      <c r="AT44" s="63">
        <v>17</v>
      </c>
      <c r="AU44" s="63">
        <v>7</v>
      </c>
      <c r="AV44" s="63">
        <v>16</v>
      </c>
      <c r="AW44" s="63">
        <v>12</v>
      </c>
      <c r="AX44" s="63">
        <v>9</v>
      </c>
      <c r="AY44" s="63">
        <v>18</v>
      </c>
      <c r="AZ44" s="63">
        <v>5</v>
      </c>
      <c r="BA44" s="63">
        <v>9</v>
      </c>
      <c r="BB44" s="63">
        <v>11</v>
      </c>
      <c r="BC44" s="63">
        <v>12</v>
      </c>
      <c r="BD44" s="63">
        <v>9</v>
      </c>
      <c r="BE44" s="63">
        <v>14</v>
      </c>
      <c r="BF44" s="63">
        <v>10</v>
      </c>
      <c r="BG44" s="63">
        <v>5</v>
      </c>
      <c r="BH44" s="63">
        <v>4</v>
      </c>
    </row>
    <row r="45" spans="2:60" hidden="1" x14ac:dyDescent="0.2">
      <c r="B45" s="57"/>
      <c r="C45" s="57" t="s">
        <v>659</v>
      </c>
      <c r="D45" s="57" t="s">
        <v>654</v>
      </c>
      <c r="E45" s="62"/>
      <c r="F45" s="62"/>
      <c r="G45" s="62"/>
      <c r="H45" s="62"/>
      <c r="I45" s="62">
        <v>1</v>
      </c>
      <c r="J45" s="62"/>
      <c r="K45" s="62"/>
      <c r="L45" s="62"/>
      <c r="M45" s="62"/>
      <c r="N45" s="62"/>
      <c r="O45" s="62"/>
      <c r="P45" s="62"/>
      <c r="Q45" s="62">
        <v>1</v>
      </c>
      <c r="R45" s="62">
        <v>2</v>
      </c>
      <c r="S45" s="62"/>
      <c r="T45" s="62"/>
      <c r="U45" s="62"/>
      <c r="V45" s="62"/>
      <c r="W45" s="62"/>
      <c r="X45" s="62">
        <v>2</v>
      </c>
      <c r="Y45" s="62">
        <v>1</v>
      </c>
      <c r="Z45" s="62">
        <v>1</v>
      </c>
      <c r="AA45" s="62"/>
      <c r="AB45" s="62">
        <v>1</v>
      </c>
      <c r="AC45" s="62">
        <v>1</v>
      </c>
      <c r="AD45" s="62">
        <v>1</v>
      </c>
      <c r="AE45" s="62">
        <v>1</v>
      </c>
      <c r="AF45" s="62"/>
      <c r="AG45" s="62">
        <v>3</v>
      </c>
      <c r="AH45" s="62"/>
      <c r="AI45" s="62">
        <v>1</v>
      </c>
      <c r="AJ45" s="62"/>
      <c r="AK45" s="62"/>
      <c r="AL45" s="62"/>
      <c r="AM45" s="62"/>
      <c r="AN45" s="62">
        <v>2</v>
      </c>
      <c r="AO45" s="62">
        <v>2</v>
      </c>
      <c r="AP45" s="62">
        <v>1</v>
      </c>
      <c r="AQ45" s="62"/>
      <c r="AR45" s="62">
        <v>1</v>
      </c>
      <c r="AS45" s="62"/>
      <c r="AT45" s="62">
        <v>1</v>
      </c>
      <c r="AU45" s="62"/>
      <c r="AV45" s="62"/>
      <c r="AW45" s="62"/>
      <c r="AX45" s="62"/>
      <c r="AY45" s="62"/>
      <c r="AZ45" s="62">
        <v>1</v>
      </c>
      <c r="BA45" s="62">
        <v>2</v>
      </c>
      <c r="BB45" s="62"/>
      <c r="BC45" s="62">
        <v>2</v>
      </c>
      <c r="BD45" s="62">
        <v>2</v>
      </c>
      <c r="BE45" s="62"/>
      <c r="BF45" s="62">
        <v>1</v>
      </c>
      <c r="BG45" s="62">
        <v>4</v>
      </c>
      <c r="BH45" s="62">
        <v>1</v>
      </c>
    </row>
    <row r="46" spans="2:60" hidden="1" x14ac:dyDescent="0.2">
      <c r="B46" s="59"/>
      <c r="C46" s="59" t="s">
        <v>659</v>
      </c>
      <c r="D46" s="59" t="s">
        <v>655</v>
      </c>
      <c r="E46" s="63"/>
      <c r="F46" s="63"/>
      <c r="G46" s="63"/>
      <c r="H46" s="63">
        <v>1</v>
      </c>
      <c r="I46" s="63">
        <v>1</v>
      </c>
      <c r="J46" s="63">
        <v>1</v>
      </c>
      <c r="K46" s="63"/>
      <c r="L46" s="63"/>
      <c r="M46" s="63"/>
      <c r="N46" s="63"/>
      <c r="O46" s="63">
        <v>1</v>
      </c>
      <c r="P46" s="63"/>
      <c r="Q46" s="63">
        <v>1</v>
      </c>
      <c r="R46" s="63"/>
      <c r="S46" s="63"/>
      <c r="T46" s="63"/>
      <c r="U46" s="63"/>
      <c r="V46" s="63"/>
      <c r="W46" s="63"/>
      <c r="X46" s="63"/>
      <c r="Y46" s="63">
        <v>1</v>
      </c>
      <c r="Z46" s="63"/>
      <c r="AA46" s="63">
        <v>1</v>
      </c>
      <c r="AB46" s="63">
        <v>1</v>
      </c>
      <c r="AC46" s="63"/>
      <c r="AD46" s="63"/>
      <c r="AE46" s="63">
        <v>1</v>
      </c>
      <c r="AF46" s="63"/>
      <c r="AG46" s="63"/>
      <c r="AH46" s="63"/>
      <c r="AI46" s="63"/>
      <c r="AJ46" s="63"/>
      <c r="AK46" s="63">
        <v>2</v>
      </c>
      <c r="AL46" s="63"/>
      <c r="AM46" s="63"/>
      <c r="AN46" s="63"/>
      <c r="AO46" s="63">
        <v>1</v>
      </c>
      <c r="AP46" s="63">
        <v>1</v>
      </c>
      <c r="AQ46" s="63"/>
      <c r="AR46" s="63"/>
      <c r="AS46" s="63"/>
      <c r="AT46" s="63"/>
      <c r="AU46" s="63"/>
      <c r="AV46" s="63"/>
      <c r="AW46" s="63">
        <v>1</v>
      </c>
      <c r="AX46" s="63"/>
      <c r="AY46" s="63"/>
      <c r="AZ46" s="63"/>
      <c r="BA46" s="63">
        <v>1</v>
      </c>
      <c r="BB46" s="63">
        <v>1</v>
      </c>
      <c r="BC46" s="63"/>
      <c r="BD46" s="63"/>
      <c r="BE46" s="63">
        <v>2</v>
      </c>
      <c r="BF46" s="63"/>
      <c r="BG46" s="63"/>
      <c r="BH46" s="63">
        <v>1</v>
      </c>
    </row>
    <row r="47" spans="2:60" hidden="1" x14ac:dyDescent="0.2">
      <c r="B47" s="57"/>
      <c r="C47" s="57" t="s">
        <v>659</v>
      </c>
      <c r="D47" s="57" t="s">
        <v>699</v>
      </c>
      <c r="E47" s="62">
        <v>19</v>
      </c>
      <c r="F47" s="62">
        <v>13</v>
      </c>
      <c r="G47" s="62">
        <v>10</v>
      </c>
      <c r="H47" s="62">
        <v>7</v>
      </c>
      <c r="I47" s="62">
        <v>6</v>
      </c>
      <c r="J47" s="62">
        <v>12</v>
      </c>
      <c r="K47" s="62">
        <v>12</v>
      </c>
      <c r="L47" s="62">
        <v>11</v>
      </c>
      <c r="M47" s="62">
        <v>7</v>
      </c>
      <c r="N47" s="62">
        <v>17</v>
      </c>
      <c r="O47" s="62">
        <v>10</v>
      </c>
      <c r="P47" s="62">
        <v>10</v>
      </c>
      <c r="Q47" s="62">
        <v>16</v>
      </c>
      <c r="R47" s="62">
        <v>15</v>
      </c>
      <c r="S47" s="62">
        <v>8</v>
      </c>
      <c r="T47" s="62">
        <v>9</v>
      </c>
      <c r="U47" s="62">
        <v>21</v>
      </c>
      <c r="V47" s="62">
        <v>38</v>
      </c>
      <c r="W47" s="62">
        <v>45</v>
      </c>
      <c r="X47" s="62">
        <v>36</v>
      </c>
      <c r="Y47" s="62">
        <v>42</v>
      </c>
      <c r="Z47" s="62">
        <v>13</v>
      </c>
      <c r="AA47" s="62">
        <v>24</v>
      </c>
      <c r="AB47" s="62">
        <v>14</v>
      </c>
      <c r="AC47" s="62">
        <v>16</v>
      </c>
      <c r="AD47" s="62">
        <v>10</v>
      </c>
      <c r="AE47" s="62">
        <v>16</v>
      </c>
      <c r="AF47" s="62">
        <v>9</v>
      </c>
      <c r="AG47" s="62">
        <v>5</v>
      </c>
      <c r="AH47" s="62">
        <v>4</v>
      </c>
      <c r="AI47" s="62">
        <v>7</v>
      </c>
      <c r="AJ47" s="62">
        <v>9</v>
      </c>
      <c r="AK47" s="62">
        <v>2</v>
      </c>
      <c r="AL47" s="62">
        <v>8</v>
      </c>
      <c r="AM47" s="62">
        <v>2</v>
      </c>
      <c r="AN47" s="62">
        <v>1</v>
      </c>
      <c r="AO47" s="62">
        <v>4</v>
      </c>
      <c r="AP47" s="62">
        <v>7</v>
      </c>
      <c r="AQ47" s="62">
        <v>5</v>
      </c>
      <c r="AR47" s="62">
        <v>5</v>
      </c>
      <c r="AS47" s="62">
        <v>2</v>
      </c>
      <c r="AT47" s="62">
        <v>8</v>
      </c>
      <c r="AU47" s="62">
        <v>3</v>
      </c>
      <c r="AV47" s="62">
        <v>4</v>
      </c>
      <c r="AW47" s="62">
        <v>2</v>
      </c>
      <c r="AX47" s="62">
        <v>2</v>
      </c>
      <c r="AY47" s="62">
        <v>4</v>
      </c>
      <c r="AZ47" s="62">
        <v>1</v>
      </c>
      <c r="BA47" s="62">
        <v>2</v>
      </c>
      <c r="BB47" s="62">
        <v>4</v>
      </c>
      <c r="BC47" s="62">
        <v>3</v>
      </c>
      <c r="BD47" s="62">
        <v>2</v>
      </c>
      <c r="BE47" s="62">
        <v>2</v>
      </c>
      <c r="BF47" s="62">
        <v>7</v>
      </c>
      <c r="BG47" s="62">
        <v>4</v>
      </c>
      <c r="BH47" s="62">
        <v>3</v>
      </c>
    </row>
    <row r="48" spans="2:60" hidden="1" x14ac:dyDescent="0.2">
      <c r="B48" s="59"/>
      <c r="C48" s="59" t="s">
        <v>659</v>
      </c>
      <c r="D48" s="59" t="s">
        <v>656</v>
      </c>
      <c r="E48" s="63">
        <v>189</v>
      </c>
      <c r="F48" s="63">
        <v>198</v>
      </c>
      <c r="G48" s="63">
        <v>173</v>
      </c>
      <c r="H48" s="63">
        <v>191</v>
      </c>
      <c r="I48" s="63">
        <v>207</v>
      </c>
      <c r="J48" s="63">
        <v>228</v>
      </c>
      <c r="K48" s="63">
        <v>189</v>
      </c>
      <c r="L48" s="63">
        <v>175</v>
      </c>
      <c r="M48" s="63">
        <v>179</v>
      </c>
      <c r="N48" s="63">
        <v>189</v>
      </c>
      <c r="O48" s="63">
        <v>162</v>
      </c>
      <c r="P48" s="63">
        <v>163</v>
      </c>
      <c r="Q48" s="63">
        <v>202</v>
      </c>
      <c r="R48" s="63">
        <v>169</v>
      </c>
      <c r="S48" s="63">
        <v>173</v>
      </c>
      <c r="T48" s="63">
        <v>123</v>
      </c>
      <c r="U48" s="63">
        <v>183</v>
      </c>
      <c r="V48" s="63">
        <v>155</v>
      </c>
      <c r="W48" s="63">
        <v>151</v>
      </c>
      <c r="X48" s="63">
        <v>142</v>
      </c>
      <c r="Y48" s="63">
        <v>184</v>
      </c>
      <c r="Z48" s="63">
        <v>146</v>
      </c>
      <c r="AA48" s="63">
        <v>140</v>
      </c>
      <c r="AB48" s="63">
        <v>127</v>
      </c>
      <c r="AC48" s="63">
        <v>117</v>
      </c>
      <c r="AD48" s="63">
        <v>138</v>
      </c>
      <c r="AE48" s="63">
        <v>161</v>
      </c>
      <c r="AF48" s="63">
        <v>135</v>
      </c>
      <c r="AG48" s="63">
        <v>144</v>
      </c>
      <c r="AH48" s="63">
        <v>129</v>
      </c>
      <c r="AI48" s="63">
        <v>127</v>
      </c>
      <c r="AJ48" s="63">
        <v>130</v>
      </c>
      <c r="AK48" s="63">
        <v>132</v>
      </c>
      <c r="AL48" s="63">
        <v>173</v>
      </c>
      <c r="AM48" s="63">
        <v>103</v>
      </c>
      <c r="AN48" s="63">
        <v>89</v>
      </c>
      <c r="AO48" s="63">
        <v>154</v>
      </c>
      <c r="AP48" s="63">
        <v>115</v>
      </c>
      <c r="AQ48" s="63">
        <v>106</v>
      </c>
      <c r="AR48" s="63">
        <v>128</v>
      </c>
      <c r="AS48" s="63">
        <v>119</v>
      </c>
      <c r="AT48" s="63">
        <v>111</v>
      </c>
      <c r="AU48" s="63">
        <v>98</v>
      </c>
      <c r="AV48" s="63">
        <v>114</v>
      </c>
      <c r="AW48" s="63">
        <v>96</v>
      </c>
      <c r="AX48" s="63">
        <v>77</v>
      </c>
      <c r="AY48" s="63">
        <v>90</v>
      </c>
      <c r="AZ48" s="63">
        <v>80</v>
      </c>
      <c r="BA48" s="63">
        <v>74</v>
      </c>
      <c r="BB48" s="63">
        <v>79</v>
      </c>
      <c r="BC48" s="63">
        <v>86</v>
      </c>
      <c r="BD48" s="63">
        <v>84</v>
      </c>
      <c r="BE48" s="63">
        <v>76</v>
      </c>
      <c r="BF48" s="63">
        <v>76</v>
      </c>
      <c r="BG48" s="63">
        <v>58</v>
      </c>
      <c r="BH48" s="63">
        <v>76</v>
      </c>
    </row>
    <row r="49" spans="2:60" hidden="1" x14ac:dyDescent="0.2">
      <c r="B49" s="57"/>
      <c r="C49" s="57" t="s">
        <v>660</v>
      </c>
      <c r="D49" s="57" t="s">
        <v>648</v>
      </c>
      <c r="E49" s="62">
        <v>473</v>
      </c>
      <c r="F49" s="62">
        <v>415</v>
      </c>
      <c r="G49" s="62">
        <v>411</v>
      </c>
      <c r="H49" s="62">
        <v>350</v>
      </c>
      <c r="I49" s="62">
        <v>438</v>
      </c>
      <c r="J49" s="62">
        <v>385</v>
      </c>
      <c r="K49" s="62">
        <v>379</v>
      </c>
      <c r="L49" s="62">
        <v>356</v>
      </c>
      <c r="M49" s="62">
        <v>368</v>
      </c>
      <c r="N49" s="62">
        <v>393</v>
      </c>
      <c r="O49" s="62">
        <v>357</v>
      </c>
      <c r="P49" s="62">
        <v>346</v>
      </c>
      <c r="Q49" s="62">
        <v>359</v>
      </c>
      <c r="R49" s="62">
        <v>356</v>
      </c>
      <c r="S49" s="62">
        <v>340</v>
      </c>
      <c r="T49" s="62">
        <v>320</v>
      </c>
      <c r="U49" s="62">
        <v>378</v>
      </c>
      <c r="V49" s="62">
        <v>331</v>
      </c>
      <c r="W49" s="62">
        <v>311</v>
      </c>
      <c r="X49" s="62">
        <v>328</v>
      </c>
      <c r="Y49" s="62">
        <v>411</v>
      </c>
      <c r="Z49" s="62">
        <v>343</v>
      </c>
      <c r="AA49" s="62">
        <v>289</v>
      </c>
      <c r="AB49" s="62">
        <v>316</v>
      </c>
      <c r="AC49" s="62">
        <v>327</v>
      </c>
      <c r="AD49" s="62">
        <v>352</v>
      </c>
      <c r="AE49" s="62">
        <v>270</v>
      </c>
      <c r="AF49" s="62">
        <v>311</v>
      </c>
      <c r="AG49" s="62">
        <v>330</v>
      </c>
      <c r="AH49" s="62">
        <v>259</v>
      </c>
      <c r="AI49" s="62">
        <v>281</v>
      </c>
      <c r="AJ49" s="62">
        <v>344</v>
      </c>
      <c r="AK49" s="62">
        <v>278</v>
      </c>
      <c r="AL49" s="62">
        <v>393</v>
      </c>
      <c r="AM49" s="62">
        <v>362</v>
      </c>
      <c r="AN49" s="62">
        <v>306</v>
      </c>
      <c r="AO49" s="62">
        <v>358</v>
      </c>
      <c r="AP49" s="62">
        <v>367</v>
      </c>
      <c r="AQ49" s="62">
        <v>320</v>
      </c>
      <c r="AR49" s="62">
        <v>363</v>
      </c>
      <c r="AS49" s="62">
        <v>282</v>
      </c>
      <c r="AT49" s="62">
        <v>330</v>
      </c>
      <c r="AU49" s="62">
        <v>241</v>
      </c>
      <c r="AV49" s="62">
        <v>238</v>
      </c>
      <c r="AW49" s="62">
        <v>230</v>
      </c>
      <c r="AX49" s="62">
        <v>295</v>
      </c>
      <c r="AY49" s="62">
        <v>291</v>
      </c>
      <c r="AZ49" s="62">
        <v>255</v>
      </c>
      <c r="BA49" s="62">
        <v>274</v>
      </c>
      <c r="BB49" s="62">
        <v>259</v>
      </c>
      <c r="BC49" s="62">
        <v>250</v>
      </c>
      <c r="BD49" s="62">
        <v>218</v>
      </c>
      <c r="BE49" s="62">
        <v>284</v>
      </c>
      <c r="BF49" s="62">
        <v>230</v>
      </c>
      <c r="BG49" s="62">
        <v>263</v>
      </c>
      <c r="BH49" s="62">
        <v>256</v>
      </c>
    </row>
    <row r="50" spans="2:60" hidden="1" x14ac:dyDescent="0.2">
      <c r="B50" s="59"/>
      <c r="C50" s="59" t="s">
        <v>660</v>
      </c>
      <c r="D50" s="59" t="s">
        <v>649</v>
      </c>
      <c r="E50" s="63">
        <v>1031</v>
      </c>
      <c r="F50" s="63">
        <v>870</v>
      </c>
      <c r="G50" s="63">
        <v>898</v>
      </c>
      <c r="H50" s="63">
        <v>798</v>
      </c>
      <c r="I50" s="63">
        <v>981</v>
      </c>
      <c r="J50" s="63">
        <v>838</v>
      </c>
      <c r="K50" s="63">
        <v>894</v>
      </c>
      <c r="L50" s="63">
        <v>794</v>
      </c>
      <c r="M50" s="63">
        <v>942</v>
      </c>
      <c r="N50" s="63">
        <v>793</v>
      </c>
      <c r="O50" s="63">
        <v>812</v>
      </c>
      <c r="P50" s="63">
        <v>786</v>
      </c>
      <c r="Q50" s="63">
        <v>873</v>
      </c>
      <c r="R50" s="63">
        <v>784</v>
      </c>
      <c r="S50" s="63">
        <v>842</v>
      </c>
      <c r="T50" s="63">
        <v>765</v>
      </c>
      <c r="U50" s="63">
        <v>904</v>
      </c>
      <c r="V50" s="63">
        <v>753</v>
      </c>
      <c r="W50" s="63">
        <v>778</v>
      </c>
      <c r="X50" s="63">
        <v>705</v>
      </c>
      <c r="Y50" s="63">
        <v>803</v>
      </c>
      <c r="Z50" s="63">
        <v>730</v>
      </c>
      <c r="AA50" s="63">
        <v>694</v>
      </c>
      <c r="AB50" s="63">
        <v>695</v>
      </c>
      <c r="AC50" s="63">
        <v>747</v>
      </c>
      <c r="AD50" s="63">
        <v>700</v>
      </c>
      <c r="AE50" s="63">
        <v>662</v>
      </c>
      <c r="AF50" s="63">
        <v>643</v>
      </c>
      <c r="AG50" s="63">
        <v>655</v>
      </c>
      <c r="AH50" s="63">
        <v>615</v>
      </c>
      <c r="AI50" s="63">
        <v>594</v>
      </c>
      <c r="AJ50" s="63">
        <v>727</v>
      </c>
      <c r="AK50" s="63">
        <v>599</v>
      </c>
      <c r="AL50" s="63">
        <v>777</v>
      </c>
      <c r="AM50" s="63">
        <v>692</v>
      </c>
      <c r="AN50" s="63">
        <v>594</v>
      </c>
      <c r="AO50" s="63">
        <v>711</v>
      </c>
      <c r="AP50" s="63">
        <v>613</v>
      </c>
      <c r="AQ50" s="63">
        <v>571</v>
      </c>
      <c r="AR50" s="63">
        <v>634</v>
      </c>
      <c r="AS50" s="63">
        <v>594</v>
      </c>
      <c r="AT50" s="63">
        <v>568</v>
      </c>
      <c r="AU50" s="63">
        <v>496</v>
      </c>
      <c r="AV50" s="63">
        <v>453</v>
      </c>
      <c r="AW50" s="63">
        <v>508</v>
      </c>
      <c r="AX50" s="63">
        <v>502</v>
      </c>
      <c r="AY50" s="63">
        <v>496</v>
      </c>
      <c r="AZ50" s="63">
        <v>465</v>
      </c>
      <c r="BA50" s="63">
        <v>542</v>
      </c>
      <c r="BB50" s="63">
        <v>433</v>
      </c>
      <c r="BC50" s="63">
        <v>455</v>
      </c>
      <c r="BD50" s="63">
        <v>487</v>
      </c>
      <c r="BE50" s="63">
        <v>520</v>
      </c>
      <c r="BF50" s="63">
        <v>456</v>
      </c>
      <c r="BG50" s="63">
        <v>421</v>
      </c>
      <c r="BH50" s="63">
        <v>493</v>
      </c>
    </row>
    <row r="51" spans="2:60" hidden="1" x14ac:dyDescent="0.2">
      <c r="B51" s="57"/>
      <c r="C51" s="57" t="s">
        <v>660</v>
      </c>
      <c r="D51" s="57" t="s">
        <v>650</v>
      </c>
      <c r="E51" s="62">
        <v>227</v>
      </c>
      <c r="F51" s="62">
        <v>147</v>
      </c>
      <c r="G51" s="62">
        <v>168</v>
      </c>
      <c r="H51" s="62">
        <v>187</v>
      </c>
      <c r="I51" s="62">
        <v>182</v>
      </c>
      <c r="J51" s="62">
        <v>161</v>
      </c>
      <c r="K51" s="62">
        <v>165</v>
      </c>
      <c r="L51" s="62">
        <v>162</v>
      </c>
      <c r="M51" s="62">
        <v>175</v>
      </c>
      <c r="N51" s="62">
        <v>154</v>
      </c>
      <c r="O51" s="62">
        <v>157</v>
      </c>
      <c r="P51" s="62">
        <v>159</v>
      </c>
      <c r="Q51" s="62">
        <v>171</v>
      </c>
      <c r="R51" s="62">
        <v>160</v>
      </c>
      <c r="S51" s="62">
        <v>170</v>
      </c>
      <c r="T51" s="62">
        <v>138</v>
      </c>
      <c r="U51" s="62">
        <v>193</v>
      </c>
      <c r="V51" s="62">
        <v>164</v>
      </c>
      <c r="W51" s="62">
        <v>163</v>
      </c>
      <c r="X51" s="62">
        <v>163</v>
      </c>
      <c r="Y51" s="62">
        <v>177</v>
      </c>
      <c r="Z51" s="62">
        <v>134</v>
      </c>
      <c r="AA51" s="62">
        <v>128</v>
      </c>
      <c r="AB51" s="62">
        <v>132</v>
      </c>
      <c r="AC51" s="62">
        <v>149</v>
      </c>
      <c r="AD51" s="62">
        <v>146</v>
      </c>
      <c r="AE51" s="62">
        <v>130</v>
      </c>
      <c r="AF51" s="62">
        <v>121</v>
      </c>
      <c r="AG51" s="62">
        <v>165</v>
      </c>
      <c r="AH51" s="62">
        <v>115</v>
      </c>
      <c r="AI51" s="62">
        <v>113</v>
      </c>
      <c r="AJ51" s="62">
        <v>176</v>
      </c>
      <c r="AK51" s="62">
        <v>133</v>
      </c>
      <c r="AL51" s="62">
        <v>165</v>
      </c>
      <c r="AM51" s="62">
        <v>168</v>
      </c>
      <c r="AN51" s="62">
        <v>127</v>
      </c>
      <c r="AO51" s="62">
        <v>159</v>
      </c>
      <c r="AP51" s="62">
        <v>118</v>
      </c>
      <c r="AQ51" s="62">
        <v>137</v>
      </c>
      <c r="AR51" s="62">
        <v>118</v>
      </c>
      <c r="AS51" s="62">
        <v>129</v>
      </c>
      <c r="AT51" s="62">
        <v>100</v>
      </c>
      <c r="AU51" s="62">
        <v>99</v>
      </c>
      <c r="AV51" s="62">
        <v>114</v>
      </c>
      <c r="AW51" s="62">
        <v>95</v>
      </c>
      <c r="AX51" s="62">
        <v>83</v>
      </c>
      <c r="AY51" s="62">
        <v>91</v>
      </c>
      <c r="AZ51" s="62">
        <v>90</v>
      </c>
      <c r="BA51" s="62">
        <v>97</v>
      </c>
      <c r="BB51" s="62">
        <v>87</v>
      </c>
      <c r="BC51" s="62">
        <v>81</v>
      </c>
      <c r="BD51" s="62">
        <v>107</v>
      </c>
      <c r="BE51" s="62">
        <v>115</v>
      </c>
      <c r="BF51" s="62">
        <v>90</v>
      </c>
      <c r="BG51" s="62">
        <v>101</v>
      </c>
      <c r="BH51" s="62">
        <v>98</v>
      </c>
    </row>
    <row r="52" spans="2:60" hidden="1" x14ac:dyDescent="0.2">
      <c r="B52" s="59"/>
      <c r="C52" s="59" t="s">
        <v>660</v>
      </c>
      <c r="D52" s="59" t="s">
        <v>651</v>
      </c>
      <c r="E52" s="63">
        <v>63</v>
      </c>
      <c r="F52" s="63">
        <v>58</v>
      </c>
      <c r="G52" s="63">
        <v>70</v>
      </c>
      <c r="H52" s="63">
        <v>43</v>
      </c>
      <c r="I52" s="63">
        <v>87</v>
      </c>
      <c r="J52" s="63">
        <v>56</v>
      </c>
      <c r="K52" s="63">
        <v>66</v>
      </c>
      <c r="L52" s="63">
        <v>50</v>
      </c>
      <c r="M52" s="63">
        <v>69</v>
      </c>
      <c r="N52" s="63">
        <v>56</v>
      </c>
      <c r="O52" s="63">
        <v>60</v>
      </c>
      <c r="P52" s="63">
        <v>55</v>
      </c>
      <c r="Q52" s="63">
        <v>65</v>
      </c>
      <c r="R52" s="63">
        <v>59</v>
      </c>
      <c r="S52" s="63">
        <v>80</v>
      </c>
      <c r="T52" s="63">
        <v>56</v>
      </c>
      <c r="U52" s="63">
        <v>68</v>
      </c>
      <c r="V52" s="63">
        <v>54</v>
      </c>
      <c r="W52" s="63">
        <v>63</v>
      </c>
      <c r="X52" s="63">
        <v>45</v>
      </c>
      <c r="Y52" s="63">
        <v>56</v>
      </c>
      <c r="Z52" s="63">
        <v>48</v>
      </c>
      <c r="AA52" s="63">
        <v>56</v>
      </c>
      <c r="AB52" s="63">
        <v>66</v>
      </c>
      <c r="AC52" s="63">
        <v>57</v>
      </c>
      <c r="AD52" s="63">
        <v>55</v>
      </c>
      <c r="AE52" s="63">
        <v>67</v>
      </c>
      <c r="AF52" s="63">
        <v>63</v>
      </c>
      <c r="AG52" s="63">
        <v>57</v>
      </c>
      <c r="AH52" s="63">
        <v>55</v>
      </c>
      <c r="AI52" s="63">
        <v>51</v>
      </c>
      <c r="AJ52" s="63">
        <v>61</v>
      </c>
      <c r="AK52" s="63">
        <v>47</v>
      </c>
      <c r="AL52" s="63">
        <v>61</v>
      </c>
      <c r="AM52" s="63">
        <v>42</v>
      </c>
      <c r="AN52" s="63">
        <v>33</v>
      </c>
      <c r="AO52" s="63">
        <v>40</v>
      </c>
      <c r="AP52" s="63">
        <v>52</v>
      </c>
      <c r="AQ52" s="63">
        <v>51</v>
      </c>
      <c r="AR52" s="63">
        <v>65</v>
      </c>
      <c r="AS52" s="63">
        <v>48</v>
      </c>
      <c r="AT52" s="63">
        <v>38</v>
      </c>
      <c r="AU52" s="63">
        <v>42</v>
      </c>
      <c r="AV52" s="63">
        <v>50</v>
      </c>
      <c r="AW52" s="63">
        <v>36</v>
      </c>
      <c r="AX52" s="63">
        <v>49</v>
      </c>
      <c r="AY52" s="63">
        <v>54</v>
      </c>
      <c r="AZ52" s="63">
        <v>34</v>
      </c>
      <c r="BA52" s="63">
        <v>41</v>
      </c>
      <c r="BB52" s="63">
        <v>31</v>
      </c>
      <c r="BC52" s="63">
        <v>44</v>
      </c>
      <c r="BD52" s="63">
        <v>43</v>
      </c>
      <c r="BE52" s="63">
        <v>47</v>
      </c>
      <c r="BF52" s="63">
        <v>37</v>
      </c>
      <c r="BG52" s="63">
        <v>53</v>
      </c>
      <c r="BH52" s="63">
        <v>50</v>
      </c>
    </row>
    <row r="53" spans="2:60" hidden="1" x14ac:dyDescent="0.2">
      <c r="B53" s="57"/>
      <c r="C53" s="57" t="s">
        <v>660</v>
      </c>
      <c r="D53" s="57" t="s">
        <v>652</v>
      </c>
      <c r="E53" s="62">
        <v>500</v>
      </c>
      <c r="F53" s="62">
        <v>436</v>
      </c>
      <c r="G53" s="62">
        <v>458</v>
      </c>
      <c r="H53" s="62">
        <v>399</v>
      </c>
      <c r="I53" s="62">
        <v>494</v>
      </c>
      <c r="J53" s="62">
        <v>450</v>
      </c>
      <c r="K53" s="62">
        <v>452</v>
      </c>
      <c r="L53" s="62">
        <v>437</v>
      </c>
      <c r="M53" s="62">
        <v>521</v>
      </c>
      <c r="N53" s="62">
        <v>424</v>
      </c>
      <c r="O53" s="62">
        <v>461</v>
      </c>
      <c r="P53" s="62">
        <v>442</v>
      </c>
      <c r="Q53" s="62">
        <v>423</v>
      </c>
      <c r="R53" s="62">
        <v>406</v>
      </c>
      <c r="S53" s="62">
        <v>460</v>
      </c>
      <c r="T53" s="62">
        <v>405</v>
      </c>
      <c r="U53" s="62">
        <v>484</v>
      </c>
      <c r="V53" s="62">
        <v>414</v>
      </c>
      <c r="W53" s="62">
        <v>394</v>
      </c>
      <c r="X53" s="62">
        <v>436</v>
      </c>
      <c r="Y53" s="62">
        <v>436</v>
      </c>
      <c r="Z53" s="62">
        <v>413</v>
      </c>
      <c r="AA53" s="62">
        <v>429</v>
      </c>
      <c r="AB53" s="62">
        <v>419</v>
      </c>
      <c r="AC53" s="62">
        <v>420</v>
      </c>
      <c r="AD53" s="62">
        <v>397</v>
      </c>
      <c r="AE53" s="62">
        <v>368</v>
      </c>
      <c r="AF53" s="62">
        <v>395</v>
      </c>
      <c r="AG53" s="62">
        <v>381</v>
      </c>
      <c r="AH53" s="62">
        <v>383</v>
      </c>
      <c r="AI53" s="62">
        <v>335</v>
      </c>
      <c r="AJ53" s="62">
        <v>435</v>
      </c>
      <c r="AK53" s="62">
        <v>333</v>
      </c>
      <c r="AL53" s="62">
        <v>396</v>
      </c>
      <c r="AM53" s="62">
        <v>292</v>
      </c>
      <c r="AN53" s="62">
        <v>273</v>
      </c>
      <c r="AO53" s="62">
        <v>318</v>
      </c>
      <c r="AP53" s="62">
        <v>295</v>
      </c>
      <c r="AQ53" s="62">
        <v>287</v>
      </c>
      <c r="AR53" s="62">
        <v>310</v>
      </c>
      <c r="AS53" s="62">
        <v>294</v>
      </c>
      <c r="AT53" s="62">
        <v>286</v>
      </c>
      <c r="AU53" s="62">
        <v>300</v>
      </c>
      <c r="AV53" s="62">
        <v>295</v>
      </c>
      <c r="AW53" s="62">
        <v>267</v>
      </c>
      <c r="AX53" s="62">
        <v>263</v>
      </c>
      <c r="AY53" s="62">
        <v>265</v>
      </c>
      <c r="AZ53" s="62">
        <v>263</v>
      </c>
      <c r="BA53" s="62">
        <v>316</v>
      </c>
      <c r="BB53" s="62">
        <v>264</v>
      </c>
      <c r="BC53" s="62">
        <v>294</v>
      </c>
      <c r="BD53" s="62">
        <v>324</v>
      </c>
      <c r="BE53" s="62">
        <v>335</v>
      </c>
      <c r="BF53" s="62">
        <v>313</v>
      </c>
      <c r="BG53" s="62">
        <v>328</v>
      </c>
      <c r="BH53" s="62">
        <v>363</v>
      </c>
    </row>
    <row r="54" spans="2:60" hidden="1" x14ac:dyDescent="0.2">
      <c r="B54" s="59"/>
      <c r="C54" s="59" t="s">
        <v>660</v>
      </c>
      <c r="D54" s="59" t="s">
        <v>653</v>
      </c>
      <c r="E54" s="63">
        <v>482</v>
      </c>
      <c r="F54" s="63">
        <v>418</v>
      </c>
      <c r="G54" s="63">
        <v>424</v>
      </c>
      <c r="H54" s="63">
        <v>395</v>
      </c>
      <c r="I54" s="63">
        <v>427</v>
      </c>
      <c r="J54" s="63">
        <v>363</v>
      </c>
      <c r="K54" s="63">
        <v>436</v>
      </c>
      <c r="L54" s="63">
        <v>429</v>
      </c>
      <c r="M54" s="63">
        <v>463</v>
      </c>
      <c r="N54" s="63">
        <v>395</v>
      </c>
      <c r="O54" s="63">
        <v>446</v>
      </c>
      <c r="P54" s="63">
        <v>417</v>
      </c>
      <c r="Q54" s="63">
        <v>430</v>
      </c>
      <c r="R54" s="63">
        <v>464</v>
      </c>
      <c r="S54" s="63">
        <v>490</v>
      </c>
      <c r="T54" s="63">
        <v>439</v>
      </c>
      <c r="U54" s="63">
        <v>510</v>
      </c>
      <c r="V54" s="63">
        <v>426</v>
      </c>
      <c r="W54" s="63">
        <v>439</v>
      </c>
      <c r="X54" s="63">
        <v>440</v>
      </c>
      <c r="Y54" s="63">
        <v>447</v>
      </c>
      <c r="Z54" s="63">
        <v>393</v>
      </c>
      <c r="AA54" s="63">
        <v>418</v>
      </c>
      <c r="AB54" s="63">
        <v>396</v>
      </c>
      <c r="AC54" s="63">
        <v>469</v>
      </c>
      <c r="AD54" s="63">
        <v>395</v>
      </c>
      <c r="AE54" s="63">
        <v>443</v>
      </c>
      <c r="AF54" s="63">
        <v>396</v>
      </c>
      <c r="AG54" s="63">
        <v>396</v>
      </c>
      <c r="AH54" s="63">
        <v>374</v>
      </c>
      <c r="AI54" s="63">
        <v>363</v>
      </c>
      <c r="AJ54" s="63">
        <v>438</v>
      </c>
      <c r="AK54" s="63">
        <v>400</v>
      </c>
      <c r="AL54" s="63">
        <v>416</v>
      </c>
      <c r="AM54" s="63">
        <v>351</v>
      </c>
      <c r="AN54" s="63">
        <v>333</v>
      </c>
      <c r="AO54" s="63">
        <v>372</v>
      </c>
      <c r="AP54" s="63">
        <v>346</v>
      </c>
      <c r="AQ54" s="63">
        <v>340</v>
      </c>
      <c r="AR54" s="63">
        <v>346</v>
      </c>
      <c r="AS54" s="63">
        <v>349</v>
      </c>
      <c r="AT54" s="63">
        <v>325</v>
      </c>
      <c r="AU54" s="63">
        <v>321</v>
      </c>
      <c r="AV54" s="63">
        <v>298</v>
      </c>
      <c r="AW54" s="63">
        <v>273</v>
      </c>
      <c r="AX54" s="63">
        <v>343</v>
      </c>
      <c r="AY54" s="63">
        <v>316</v>
      </c>
      <c r="AZ54" s="63">
        <v>323</v>
      </c>
      <c r="BA54" s="63">
        <v>354</v>
      </c>
      <c r="BB54" s="63">
        <v>298</v>
      </c>
      <c r="BC54" s="63">
        <v>332</v>
      </c>
      <c r="BD54" s="63">
        <v>367</v>
      </c>
      <c r="BE54" s="63">
        <v>355</v>
      </c>
      <c r="BF54" s="63">
        <v>356</v>
      </c>
      <c r="BG54" s="63">
        <v>346</v>
      </c>
      <c r="BH54" s="63">
        <v>410</v>
      </c>
    </row>
    <row r="55" spans="2:60" hidden="1" x14ac:dyDescent="0.2">
      <c r="B55" s="57"/>
      <c r="C55" s="57" t="s">
        <v>660</v>
      </c>
      <c r="D55" s="57" t="s">
        <v>654</v>
      </c>
      <c r="E55" s="62">
        <v>137</v>
      </c>
      <c r="F55" s="62">
        <v>113</v>
      </c>
      <c r="G55" s="62">
        <v>121</v>
      </c>
      <c r="H55" s="62">
        <v>100</v>
      </c>
      <c r="I55" s="62">
        <v>110</v>
      </c>
      <c r="J55" s="62">
        <v>101</v>
      </c>
      <c r="K55" s="62">
        <v>85</v>
      </c>
      <c r="L55" s="62">
        <v>95</v>
      </c>
      <c r="M55" s="62">
        <v>96</v>
      </c>
      <c r="N55" s="62">
        <v>106</v>
      </c>
      <c r="O55" s="62">
        <v>105</v>
      </c>
      <c r="P55" s="62">
        <v>79</v>
      </c>
      <c r="Q55" s="62">
        <v>115</v>
      </c>
      <c r="R55" s="62">
        <v>67</v>
      </c>
      <c r="S55" s="62">
        <v>108</v>
      </c>
      <c r="T55" s="62">
        <v>83</v>
      </c>
      <c r="U55" s="62">
        <v>87</v>
      </c>
      <c r="V55" s="62">
        <v>100</v>
      </c>
      <c r="W55" s="62">
        <v>89</v>
      </c>
      <c r="X55" s="62">
        <v>54</v>
      </c>
      <c r="Y55" s="62">
        <v>75</v>
      </c>
      <c r="Z55" s="62">
        <v>96</v>
      </c>
      <c r="AA55" s="62">
        <v>76</v>
      </c>
      <c r="AB55" s="62">
        <v>65</v>
      </c>
      <c r="AC55" s="62">
        <v>77</v>
      </c>
      <c r="AD55" s="62">
        <v>61</v>
      </c>
      <c r="AE55" s="62">
        <v>53</v>
      </c>
      <c r="AF55" s="62">
        <v>65</v>
      </c>
      <c r="AG55" s="62">
        <v>62</v>
      </c>
      <c r="AH55" s="62">
        <v>71</v>
      </c>
      <c r="AI55" s="62">
        <v>54</v>
      </c>
      <c r="AJ55" s="62">
        <v>72</v>
      </c>
      <c r="AK55" s="62">
        <v>61</v>
      </c>
      <c r="AL55" s="62">
        <v>72</v>
      </c>
      <c r="AM55" s="62">
        <v>59</v>
      </c>
      <c r="AN55" s="62">
        <v>61</v>
      </c>
      <c r="AO55" s="62">
        <v>62</v>
      </c>
      <c r="AP55" s="62">
        <v>74</v>
      </c>
      <c r="AQ55" s="62">
        <v>43</v>
      </c>
      <c r="AR55" s="62">
        <v>64</v>
      </c>
      <c r="AS55" s="62">
        <v>38</v>
      </c>
      <c r="AT55" s="62">
        <v>55</v>
      </c>
      <c r="AU55" s="62">
        <v>45</v>
      </c>
      <c r="AV55" s="62">
        <v>49</v>
      </c>
      <c r="AW55" s="62">
        <v>58</v>
      </c>
      <c r="AX55" s="62">
        <v>43</v>
      </c>
      <c r="AY55" s="62">
        <v>31</v>
      </c>
      <c r="AZ55" s="62">
        <v>43</v>
      </c>
      <c r="BA55" s="62">
        <v>41</v>
      </c>
      <c r="BB55" s="62">
        <v>43</v>
      </c>
      <c r="BC55" s="62">
        <v>40</v>
      </c>
      <c r="BD55" s="62">
        <v>67</v>
      </c>
      <c r="BE55" s="62">
        <v>46</v>
      </c>
      <c r="BF55" s="62">
        <v>51</v>
      </c>
      <c r="BG55" s="62">
        <v>60</v>
      </c>
      <c r="BH55" s="62">
        <v>55</v>
      </c>
    </row>
    <row r="56" spans="2:60" hidden="1" x14ac:dyDescent="0.2">
      <c r="B56" s="59"/>
      <c r="C56" s="59" t="s">
        <v>660</v>
      </c>
      <c r="D56" s="59" t="s">
        <v>655</v>
      </c>
      <c r="E56" s="63">
        <v>52</v>
      </c>
      <c r="F56" s="63">
        <v>26</v>
      </c>
      <c r="G56" s="63">
        <v>38</v>
      </c>
      <c r="H56" s="63">
        <v>21</v>
      </c>
      <c r="I56" s="63">
        <v>17</v>
      </c>
      <c r="J56" s="63">
        <v>23</v>
      </c>
      <c r="K56" s="63">
        <v>22</v>
      </c>
      <c r="L56" s="63">
        <v>18</v>
      </c>
      <c r="M56" s="63">
        <v>13</v>
      </c>
      <c r="N56" s="63">
        <v>24</v>
      </c>
      <c r="O56" s="63">
        <v>19</v>
      </c>
      <c r="P56" s="63">
        <v>17</v>
      </c>
      <c r="Q56" s="63">
        <v>14</v>
      </c>
      <c r="R56" s="63">
        <v>13</v>
      </c>
      <c r="S56" s="63">
        <v>25</v>
      </c>
      <c r="T56" s="63">
        <v>22</v>
      </c>
      <c r="U56" s="63">
        <v>21</v>
      </c>
      <c r="V56" s="63">
        <v>22</v>
      </c>
      <c r="W56" s="63">
        <v>19</v>
      </c>
      <c r="X56" s="63">
        <v>13</v>
      </c>
      <c r="Y56" s="63">
        <v>13</v>
      </c>
      <c r="Z56" s="63">
        <v>10</v>
      </c>
      <c r="AA56" s="63">
        <v>12</v>
      </c>
      <c r="AB56" s="63">
        <v>17</v>
      </c>
      <c r="AC56" s="63">
        <v>8</v>
      </c>
      <c r="AD56" s="63">
        <v>9</v>
      </c>
      <c r="AE56" s="63">
        <v>11</v>
      </c>
      <c r="AF56" s="63">
        <v>14</v>
      </c>
      <c r="AG56" s="63">
        <v>10</v>
      </c>
      <c r="AH56" s="63">
        <v>11</v>
      </c>
      <c r="AI56" s="63">
        <v>13</v>
      </c>
      <c r="AJ56" s="63">
        <v>20</v>
      </c>
      <c r="AK56" s="63">
        <v>10</v>
      </c>
      <c r="AL56" s="63">
        <v>12</v>
      </c>
      <c r="AM56" s="63">
        <v>19</v>
      </c>
      <c r="AN56" s="63">
        <v>15</v>
      </c>
      <c r="AO56" s="63">
        <v>12</v>
      </c>
      <c r="AP56" s="63">
        <v>11</v>
      </c>
      <c r="AQ56" s="63">
        <v>9</v>
      </c>
      <c r="AR56" s="63">
        <v>14</v>
      </c>
      <c r="AS56" s="63">
        <v>15</v>
      </c>
      <c r="AT56" s="63">
        <v>13</v>
      </c>
      <c r="AU56" s="63">
        <v>10</v>
      </c>
      <c r="AV56" s="63">
        <v>13</v>
      </c>
      <c r="AW56" s="63">
        <v>21</v>
      </c>
      <c r="AX56" s="63">
        <v>15</v>
      </c>
      <c r="AY56" s="63">
        <v>11</v>
      </c>
      <c r="AZ56" s="63">
        <v>11</v>
      </c>
      <c r="BA56" s="63">
        <v>12</v>
      </c>
      <c r="BB56" s="63">
        <v>10</v>
      </c>
      <c r="BC56" s="63">
        <v>16</v>
      </c>
      <c r="BD56" s="63">
        <v>17</v>
      </c>
      <c r="BE56" s="63">
        <v>11</v>
      </c>
      <c r="BF56" s="63">
        <v>8</v>
      </c>
      <c r="BG56" s="63">
        <v>13</v>
      </c>
      <c r="BH56" s="63">
        <v>18</v>
      </c>
    </row>
    <row r="57" spans="2:60" hidden="1" x14ac:dyDescent="0.2">
      <c r="B57" s="57"/>
      <c r="C57" s="57" t="s">
        <v>660</v>
      </c>
      <c r="D57" s="57" t="s">
        <v>699</v>
      </c>
      <c r="E57" s="62">
        <v>305</v>
      </c>
      <c r="F57" s="62">
        <v>228</v>
      </c>
      <c r="G57" s="62">
        <v>232</v>
      </c>
      <c r="H57" s="62">
        <v>195</v>
      </c>
      <c r="I57" s="62">
        <v>299</v>
      </c>
      <c r="J57" s="62">
        <v>189</v>
      </c>
      <c r="K57" s="62">
        <v>200</v>
      </c>
      <c r="L57" s="62">
        <v>209</v>
      </c>
      <c r="M57" s="62">
        <v>326</v>
      </c>
      <c r="N57" s="62">
        <v>177</v>
      </c>
      <c r="O57" s="62">
        <v>198</v>
      </c>
      <c r="P57" s="62">
        <v>228</v>
      </c>
      <c r="Q57" s="62">
        <v>324</v>
      </c>
      <c r="R57" s="62">
        <v>213</v>
      </c>
      <c r="S57" s="62">
        <v>236</v>
      </c>
      <c r="T57" s="62">
        <v>202</v>
      </c>
      <c r="U57" s="62">
        <v>277</v>
      </c>
      <c r="V57" s="62">
        <v>224</v>
      </c>
      <c r="W57" s="62">
        <v>288</v>
      </c>
      <c r="X57" s="62">
        <v>215</v>
      </c>
      <c r="Y57" s="62">
        <v>229</v>
      </c>
      <c r="Z57" s="62">
        <v>166</v>
      </c>
      <c r="AA57" s="62">
        <v>183</v>
      </c>
      <c r="AB57" s="62">
        <v>173</v>
      </c>
      <c r="AC57" s="62">
        <v>245</v>
      </c>
      <c r="AD57" s="62">
        <v>217</v>
      </c>
      <c r="AE57" s="62">
        <v>169</v>
      </c>
      <c r="AF57" s="62">
        <v>177</v>
      </c>
      <c r="AG57" s="62">
        <v>173</v>
      </c>
      <c r="AH57" s="62">
        <v>134</v>
      </c>
      <c r="AI57" s="62">
        <v>161</v>
      </c>
      <c r="AJ57" s="62">
        <v>176</v>
      </c>
      <c r="AK57" s="62">
        <v>170</v>
      </c>
      <c r="AL57" s="62">
        <v>147</v>
      </c>
      <c r="AM57" s="62">
        <v>124</v>
      </c>
      <c r="AN57" s="62">
        <v>116</v>
      </c>
      <c r="AO57" s="62">
        <v>134</v>
      </c>
      <c r="AP57" s="62">
        <v>169</v>
      </c>
      <c r="AQ57" s="62">
        <v>174</v>
      </c>
      <c r="AR57" s="62">
        <v>121</v>
      </c>
      <c r="AS57" s="62">
        <v>130</v>
      </c>
      <c r="AT57" s="62">
        <v>134</v>
      </c>
      <c r="AU57" s="62">
        <v>182</v>
      </c>
      <c r="AV57" s="62">
        <v>182</v>
      </c>
      <c r="AW57" s="62">
        <v>240</v>
      </c>
      <c r="AX57" s="62">
        <v>175</v>
      </c>
      <c r="AY57" s="62">
        <v>140</v>
      </c>
      <c r="AZ57" s="62">
        <v>138</v>
      </c>
      <c r="BA57" s="62">
        <v>166</v>
      </c>
      <c r="BB57" s="62">
        <v>160</v>
      </c>
      <c r="BC57" s="62">
        <v>190</v>
      </c>
      <c r="BD57" s="62">
        <v>172</v>
      </c>
      <c r="BE57" s="62">
        <v>199</v>
      </c>
      <c r="BF57" s="62">
        <v>194</v>
      </c>
      <c r="BG57" s="62">
        <v>177</v>
      </c>
      <c r="BH57" s="62">
        <v>208</v>
      </c>
    </row>
    <row r="58" spans="2:60" hidden="1" x14ac:dyDescent="0.2">
      <c r="B58" s="59"/>
      <c r="C58" s="59" t="s">
        <v>660</v>
      </c>
      <c r="D58" s="59" t="s">
        <v>656</v>
      </c>
      <c r="E58" s="63">
        <v>3270</v>
      </c>
      <c r="F58" s="63">
        <v>2711</v>
      </c>
      <c r="G58" s="63">
        <v>2820</v>
      </c>
      <c r="H58" s="63">
        <v>2488</v>
      </c>
      <c r="I58" s="63">
        <v>3035</v>
      </c>
      <c r="J58" s="63">
        <v>2566</v>
      </c>
      <c r="K58" s="63">
        <v>2699</v>
      </c>
      <c r="L58" s="63">
        <v>2550</v>
      </c>
      <c r="M58" s="63">
        <v>2973</v>
      </c>
      <c r="N58" s="63">
        <v>2522</v>
      </c>
      <c r="O58" s="63">
        <v>2615</v>
      </c>
      <c r="P58" s="63">
        <v>2529</v>
      </c>
      <c r="Q58" s="63">
        <v>2774</v>
      </c>
      <c r="R58" s="63">
        <v>2522</v>
      </c>
      <c r="S58" s="63">
        <v>2751</v>
      </c>
      <c r="T58" s="63">
        <v>2430</v>
      </c>
      <c r="U58" s="63">
        <v>2922</v>
      </c>
      <c r="V58" s="63">
        <v>2488</v>
      </c>
      <c r="W58" s="63">
        <v>2544</v>
      </c>
      <c r="X58" s="63">
        <v>2399</v>
      </c>
      <c r="Y58" s="63">
        <v>2647</v>
      </c>
      <c r="Z58" s="63">
        <v>2333</v>
      </c>
      <c r="AA58" s="63">
        <v>2285</v>
      </c>
      <c r="AB58" s="63">
        <v>2279</v>
      </c>
      <c r="AC58" s="63">
        <v>2499</v>
      </c>
      <c r="AD58" s="63">
        <v>2332</v>
      </c>
      <c r="AE58" s="63">
        <v>2173</v>
      </c>
      <c r="AF58" s="63">
        <v>2185</v>
      </c>
      <c r="AG58" s="63">
        <v>2229</v>
      </c>
      <c r="AH58" s="63">
        <v>2017</v>
      </c>
      <c r="AI58" s="63">
        <v>1965</v>
      </c>
      <c r="AJ58" s="63">
        <v>2449</v>
      </c>
      <c r="AK58" s="63">
        <v>2031</v>
      </c>
      <c r="AL58" s="63">
        <v>2439</v>
      </c>
      <c r="AM58" s="63">
        <v>2109</v>
      </c>
      <c r="AN58" s="63">
        <v>1858</v>
      </c>
      <c r="AO58" s="63">
        <v>2166</v>
      </c>
      <c r="AP58" s="63">
        <v>2045</v>
      </c>
      <c r="AQ58" s="63">
        <v>1932</v>
      </c>
      <c r="AR58" s="63">
        <v>2035</v>
      </c>
      <c r="AS58" s="63">
        <v>1879</v>
      </c>
      <c r="AT58" s="63">
        <v>1849</v>
      </c>
      <c r="AU58" s="63">
        <v>1736</v>
      </c>
      <c r="AV58" s="63">
        <v>1692</v>
      </c>
      <c r="AW58" s="63">
        <v>1728</v>
      </c>
      <c r="AX58" s="63">
        <v>1768</v>
      </c>
      <c r="AY58" s="63">
        <v>1695</v>
      </c>
      <c r="AZ58" s="63">
        <v>1622</v>
      </c>
      <c r="BA58" s="63">
        <v>1843</v>
      </c>
      <c r="BB58" s="63">
        <v>1585</v>
      </c>
      <c r="BC58" s="63">
        <v>1702</v>
      </c>
      <c r="BD58" s="63">
        <v>1802</v>
      </c>
      <c r="BE58" s="63">
        <v>1912</v>
      </c>
      <c r="BF58" s="63">
        <v>1735</v>
      </c>
      <c r="BG58" s="63">
        <v>1762</v>
      </c>
      <c r="BH58" s="63">
        <v>1951</v>
      </c>
    </row>
    <row r="59" spans="2:60" hidden="1" x14ac:dyDescent="0.2">
      <c r="B59" s="57"/>
      <c r="C59" s="57" t="s">
        <v>661</v>
      </c>
      <c r="D59" s="57" t="s">
        <v>648</v>
      </c>
      <c r="E59" s="62">
        <v>17</v>
      </c>
      <c r="F59" s="62">
        <v>12</v>
      </c>
      <c r="G59" s="62">
        <v>15</v>
      </c>
      <c r="H59" s="62">
        <v>11</v>
      </c>
      <c r="I59" s="62">
        <v>28</v>
      </c>
      <c r="J59" s="62">
        <v>18</v>
      </c>
      <c r="K59" s="62">
        <v>20</v>
      </c>
      <c r="L59" s="62">
        <v>19</v>
      </c>
      <c r="M59" s="62">
        <v>23</v>
      </c>
      <c r="N59" s="62">
        <v>20</v>
      </c>
      <c r="O59" s="62">
        <v>14</v>
      </c>
      <c r="P59" s="62">
        <v>16</v>
      </c>
      <c r="Q59" s="62">
        <v>21</v>
      </c>
      <c r="R59" s="62">
        <v>23</v>
      </c>
      <c r="S59" s="62">
        <v>21</v>
      </c>
      <c r="T59" s="62">
        <v>21</v>
      </c>
      <c r="U59" s="62">
        <v>17</v>
      </c>
      <c r="V59" s="62">
        <v>24</v>
      </c>
      <c r="W59" s="62">
        <v>22</v>
      </c>
      <c r="X59" s="62">
        <v>17</v>
      </c>
      <c r="Y59" s="62">
        <v>12</v>
      </c>
      <c r="Z59" s="62">
        <v>11</v>
      </c>
      <c r="AA59" s="62">
        <v>10</v>
      </c>
      <c r="AB59" s="62">
        <v>15</v>
      </c>
      <c r="AC59" s="62">
        <v>20</v>
      </c>
      <c r="AD59" s="62">
        <v>24</v>
      </c>
      <c r="AE59" s="62">
        <v>16</v>
      </c>
      <c r="AF59" s="62">
        <v>14</v>
      </c>
      <c r="AG59" s="62">
        <v>13</v>
      </c>
      <c r="AH59" s="62">
        <v>17</v>
      </c>
      <c r="AI59" s="62">
        <v>14</v>
      </c>
      <c r="AJ59" s="62">
        <v>19</v>
      </c>
      <c r="AK59" s="62">
        <v>10</v>
      </c>
      <c r="AL59" s="62">
        <v>17</v>
      </c>
      <c r="AM59" s="62">
        <v>17</v>
      </c>
      <c r="AN59" s="62">
        <v>13</v>
      </c>
      <c r="AO59" s="62">
        <v>18</v>
      </c>
      <c r="AP59" s="62">
        <v>16</v>
      </c>
      <c r="AQ59" s="62">
        <v>22</v>
      </c>
      <c r="AR59" s="62">
        <v>13</v>
      </c>
      <c r="AS59" s="62">
        <v>17</v>
      </c>
      <c r="AT59" s="62">
        <v>25</v>
      </c>
      <c r="AU59" s="62">
        <v>13</v>
      </c>
      <c r="AV59" s="62">
        <v>11</v>
      </c>
      <c r="AW59" s="62">
        <v>10</v>
      </c>
      <c r="AX59" s="62">
        <v>9</v>
      </c>
      <c r="AY59" s="62">
        <v>13</v>
      </c>
      <c r="AZ59" s="62">
        <v>4</v>
      </c>
      <c r="BA59" s="62">
        <v>13</v>
      </c>
      <c r="BB59" s="62">
        <v>16</v>
      </c>
      <c r="BC59" s="62">
        <v>14</v>
      </c>
      <c r="BD59" s="62">
        <v>12</v>
      </c>
      <c r="BE59" s="62">
        <v>10</v>
      </c>
      <c r="BF59" s="62">
        <v>14</v>
      </c>
      <c r="BG59" s="62">
        <v>11</v>
      </c>
      <c r="BH59" s="62">
        <v>11</v>
      </c>
    </row>
    <row r="60" spans="2:60" hidden="1" x14ac:dyDescent="0.2">
      <c r="B60" s="59"/>
      <c r="C60" s="59" t="s">
        <v>661</v>
      </c>
      <c r="D60" s="59" t="s">
        <v>649</v>
      </c>
      <c r="E60" s="63">
        <v>95</v>
      </c>
      <c r="F60" s="63">
        <v>85</v>
      </c>
      <c r="G60" s="63">
        <v>115</v>
      </c>
      <c r="H60" s="63">
        <v>98</v>
      </c>
      <c r="I60" s="63">
        <v>101</v>
      </c>
      <c r="J60" s="63">
        <v>81</v>
      </c>
      <c r="K60" s="63">
        <v>75</v>
      </c>
      <c r="L60" s="63">
        <v>87</v>
      </c>
      <c r="M60" s="63">
        <v>96</v>
      </c>
      <c r="N60" s="63">
        <v>81</v>
      </c>
      <c r="O60" s="63">
        <v>102</v>
      </c>
      <c r="P60" s="63">
        <v>87</v>
      </c>
      <c r="Q60" s="63">
        <v>87</v>
      </c>
      <c r="R60" s="63">
        <v>101</v>
      </c>
      <c r="S60" s="63">
        <v>94</v>
      </c>
      <c r="T60" s="63">
        <v>98</v>
      </c>
      <c r="U60" s="63">
        <v>100</v>
      </c>
      <c r="V60" s="63">
        <v>115</v>
      </c>
      <c r="W60" s="63">
        <v>81</v>
      </c>
      <c r="X60" s="63">
        <v>84</v>
      </c>
      <c r="Y60" s="63">
        <v>121</v>
      </c>
      <c r="Z60" s="63">
        <v>79</v>
      </c>
      <c r="AA60" s="63">
        <v>86</v>
      </c>
      <c r="AB60" s="63">
        <v>66</v>
      </c>
      <c r="AC60" s="63">
        <v>87</v>
      </c>
      <c r="AD60" s="63">
        <v>73</v>
      </c>
      <c r="AE60" s="63">
        <v>63</v>
      </c>
      <c r="AF60" s="63">
        <v>60</v>
      </c>
      <c r="AG60" s="63">
        <v>89</v>
      </c>
      <c r="AH60" s="63">
        <v>71</v>
      </c>
      <c r="AI60" s="63">
        <v>58</v>
      </c>
      <c r="AJ60" s="63">
        <v>95</v>
      </c>
      <c r="AK60" s="63">
        <v>73</v>
      </c>
      <c r="AL60" s="63">
        <v>80</v>
      </c>
      <c r="AM60" s="63">
        <v>57</v>
      </c>
      <c r="AN60" s="63">
        <v>58</v>
      </c>
      <c r="AO60" s="63">
        <v>66</v>
      </c>
      <c r="AP60" s="63">
        <v>70</v>
      </c>
      <c r="AQ60" s="63">
        <v>58</v>
      </c>
      <c r="AR60" s="63">
        <v>65</v>
      </c>
      <c r="AS60" s="63">
        <v>64</v>
      </c>
      <c r="AT60" s="63">
        <v>69</v>
      </c>
      <c r="AU60" s="63">
        <v>57</v>
      </c>
      <c r="AV60" s="63">
        <v>50</v>
      </c>
      <c r="AW60" s="63">
        <v>61</v>
      </c>
      <c r="AX60" s="63">
        <v>60</v>
      </c>
      <c r="AY60" s="63">
        <v>52</v>
      </c>
      <c r="AZ60" s="63">
        <v>58</v>
      </c>
      <c r="BA60" s="63">
        <v>58</v>
      </c>
      <c r="BB60" s="63">
        <v>63</v>
      </c>
      <c r="BC60" s="63">
        <v>59</v>
      </c>
      <c r="BD60" s="63">
        <v>53</v>
      </c>
      <c r="BE60" s="63">
        <v>44</v>
      </c>
      <c r="BF60" s="63">
        <v>63</v>
      </c>
      <c r="BG60" s="63">
        <v>44</v>
      </c>
      <c r="BH60" s="63">
        <v>66</v>
      </c>
    </row>
    <row r="61" spans="2:60" hidden="1" x14ac:dyDescent="0.2">
      <c r="B61" s="57"/>
      <c r="C61" s="57" t="s">
        <v>661</v>
      </c>
      <c r="D61" s="57" t="s">
        <v>650</v>
      </c>
      <c r="E61" s="62">
        <v>16</v>
      </c>
      <c r="F61" s="62">
        <v>15</v>
      </c>
      <c r="G61" s="62">
        <v>12</v>
      </c>
      <c r="H61" s="62">
        <v>10</v>
      </c>
      <c r="I61" s="62">
        <v>20</v>
      </c>
      <c r="J61" s="62">
        <v>16</v>
      </c>
      <c r="K61" s="62">
        <v>19</v>
      </c>
      <c r="L61" s="62">
        <v>22</v>
      </c>
      <c r="M61" s="62">
        <v>15</v>
      </c>
      <c r="N61" s="62">
        <v>12</v>
      </c>
      <c r="O61" s="62">
        <v>15</v>
      </c>
      <c r="P61" s="62">
        <v>15</v>
      </c>
      <c r="Q61" s="62">
        <v>13</v>
      </c>
      <c r="R61" s="62">
        <v>19</v>
      </c>
      <c r="S61" s="62">
        <v>19</v>
      </c>
      <c r="T61" s="62">
        <v>11</v>
      </c>
      <c r="U61" s="62">
        <v>24</v>
      </c>
      <c r="V61" s="62">
        <v>20</v>
      </c>
      <c r="W61" s="62">
        <v>14</v>
      </c>
      <c r="X61" s="62">
        <v>25</v>
      </c>
      <c r="Y61" s="62">
        <v>19</v>
      </c>
      <c r="Z61" s="62">
        <v>10</v>
      </c>
      <c r="AA61" s="62">
        <v>10</v>
      </c>
      <c r="AB61" s="62">
        <v>12</v>
      </c>
      <c r="AC61" s="62">
        <v>12</v>
      </c>
      <c r="AD61" s="62">
        <v>20</v>
      </c>
      <c r="AE61" s="62">
        <v>12</v>
      </c>
      <c r="AF61" s="62">
        <v>17</v>
      </c>
      <c r="AG61" s="62">
        <v>18</v>
      </c>
      <c r="AH61" s="62">
        <v>17</v>
      </c>
      <c r="AI61" s="62">
        <v>10</v>
      </c>
      <c r="AJ61" s="62">
        <v>16</v>
      </c>
      <c r="AK61" s="62">
        <v>11</v>
      </c>
      <c r="AL61" s="62">
        <v>16</v>
      </c>
      <c r="AM61" s="62">
        <v>16</v>
      </c>
      <c r="AN61" s="62">
        <v>9</v>
      </c>
      <c r="AO61" s="62">
        <v>11</v>
      </c>
      <c r="AP61" s="62">
        <v>12</v>
      </c>
      <c r="AQ61" s="62">
        <v>12</v>
      </c>
      <c r="AR61" s="62">
        <v>15</v>
      </c>
      <c r="AS61" s="62">
        <v>6</v>
      </c>
      <c r="AT61" s="62">
        <v>12</v>
      </c>
      <c r="AU61" s="62">
        <v>11</v>
      </c>
      <c r="AV61" s="62">
        <v>10</v>
      </c>
      <c r="AW61" s="62">
        <v>9</v>
      </c>
      <c r="AX61" s="62">
        <v>13</v>
      </c>
      <c r="AY61" s="62">
        <v>15</v>
      </c>
      <c r="AZ61" s="62">
        <v>7</v>
      </c>
      <c r="BA61" s="62">
        <v>9</v>
      </c>
      <c r="BB61" s="62">
        <v>8</v>
      </c>
      <c r="BC61" s="62">
        <v>12</v>
      </c>
      <c r="BD61" s="62">
        <v>9</v>
      </c>
      <c r="BE61" s="62">
        <v>15</v>
      </c>
      <c r="BF61" s="62">
        <v>9</v>
      </c>
      <c r="BG61" s="62">
        <v>12</v>
      </c>
      <c r="BH61" s="62">
        <v>7</v>
      </c>
    </row>
    <row r="62" spans="2:60" hidden="1" x14ac:dyDescent="0.2">
      <c r="B62" s="59"/>
      <c r="C62" s="59" t="s">
        <v>661</v>
      </c>
      <c r="D62" s="59" t="s">
        <v>651</v>
      </c>
      <c r="E62" s="63">
        <v>35</v>
      </c>
      <c r="F62" s="63">
        <v>36</v>
      </c>
      <c r="G62" s="63">
        <v>45</v>
      </c>
      <c r="H62" s="63">
        <v>40</v>
      </c>
      <c r="I62" s="63">
        <v>42</v>
      </c>
      <c r="J62" s="63">
        <v>41</v>
      </c>
      <c r="K62" s="63">
        <v>35</v>
      </c>
      <c r="L62" s="63">
        <v>33</v>
      </c>
      <c r="M62" s="63">
        <v>41</v>
      </c>
      <c r="N62" s="63">
        <v>38</v>
      </c>
      <c r="O62" s="63">
        <v>40</v>
      </c>
      <c r="P62" s="63">
        <v>35</v>
      </c>
      <c r="Q62" s="63">
        <v>51</v>
      </c>
      <c r="R62" s="63">
        <v>37</v>
      </c>
      <c r="S62" s="63">
        <v>36</v>
      </c>
      <c r="T62" s="63">
        <v>34</v>
      </c>
      <c r="U62" s="63">
        <v>47</v>
      </c>
      <c r="V62" s="63">
        <v>28</v>
      </c>
      <c r="W62" s="63">
        <v>37</v>
      </c>
      <c r="X62" s="63">
        <v>30</v>
      </c>
      <c r="Y62" s="63">
        <v>41</v>
      </c>
      <c r="Z62" s="63">
        <v>26</v>
      </c>
      <c r="AA62" s="63">
        <v>30</v>
      </c>
      <c r="AB62" s="63">
        <v>31</v>
      </c>
      <c r="AC62" s="63">
        <v>41</v>
      </c>
      <c r="AD62" s="63">
        <v>28</v>
      </c>
      <c r="AE62" s="63">
        <v>27</v>
      </c>
      <c r="AF62" s="63">
        <v>28</v>
      </c>
      <c r="AG62" s="63">
        <v>33</v>
      </c>
      <c r="AH62" s="63">
        <v>34</v>
      </c>
      <c r="AI62" s="63">
        <v>20</v>
      </c>
      <c r="AJ62" s="63">
        <v>42</v>
      </c>
      <c r="AK62" s="63">
        <v>37</v>
      </c>
      <c r="AL62" s="63">
        <v>45</v>
      </c>
      <c r="AM62" s="63">
        <v>12</v>
      </c>
      <c r="AN62" s="63">
        <v>24</v>
      </c>
      <c r="AO62" s="63">
        <v>21</v>
      </c>
      <c r="AP62" s="63">
        <v>26</v>
      </c>
      <c r="AQ62" s="63">
        <v>21</v>
      </c>
      <c r="AR62" s="63">
        <v>23</v>
      </c>
      <c r="AS62" s="63">
        <v>18</v>
      </c>
      <c r="AT62" s="63">
        <v>18</v>
      </c>
      <c r="AU62" s="63">
        <v>17</v>
      </c>
      <c r="AV62" s="63">
        <v>20</v>
      </c>
      <c r="AW62" s="63">
        <v>25</v>
      </c>
      <c r="AX62" s="63">
        <v>13</v>
      </c>
      <c r="AY62" s="63">
        <v>16</v>
      </c>
      <c r="AZ62" s="63">
        <v>16</v>
      </c>
      <c r="BA62" s="63">
        <v>20</v>
      </c>
      <c r="BB62" s="63">
        <v>14</v>
      </c>
      <c r="BC62" s="63">
        <v>19</v>
      </c>
      <c r="BD62" s="63">
        <v>15</v>
      </c>
      <c r="BE62" s="63">
        <v>17</v>
      </c>
      <c r="BF62" s="63">
        <v>23</v>
      </c>
      <c r="BG62" s="63">
        <v>16</v>
      </c>
      <c r="BH62" s="63">
        <v>22</v>
      </c>
    </row>
    <row r="63" spans="2:60" hidden="1" x14ac:dyDescent="0.2">
      <c r="B63" s="57"/>
      <c r="C63" s="57" t="s">
        <v>661</v>
      </c>
      <c r="D63" s="57" t="s">
        <v>652</v>
      </c>
      <c r="E63" s="62">
        <v>123</v>
      </c>
      <c r="F63" s="62">
        <v>133</v>
      </c>
      <c r="G63" s="62">
        <v>102</v>
      </c>
      <c r="H63" s="62">
        <v>106</v>
      </c>
      <c r="I63" s="62">
        <v>114</v>
      </c>
      <c r="J63" s="62">
        <v>114</v>
      </c>
      <c r="K63" s="62">
        <v>113</v>
      </c>
      <c r="L63" s="62">
        <v>112</v>
      </c>
      <c r="M63" s="62">
        <v>137</v>
      </c>
      <c r="N63" s="62">
        <v>98</v>
      </c>
      <c r="O63" s="62">
        <v>111</v>
      </c>
      <c r="P63" s="62">
        <v>110</v>
      </c>
      <c r="Q63" s="62">
        <v>134</v>
      </c>
      <c r="R63" s="62">
        <v>109</v>
      </c>
      <c r="S63" s="62">
        <v>116</v>
      </c>
      <c r="T63" s="62">
        <v>94</v>
      </c>
      <c r="U63" s="62">
        <v>118</v>
      </c>
      <c r="V63" s="62">
        <v>96</v>
      </c>
      <c r="W63" s="62">
        <v>96</v>
      </c>
      <c r="X63" s="62">
        <v>105</v>
      </c>
      <c r="Y63" s="62">
        <v>97</v>
      </c>
      <c r="Z63" s="62">
        <v>103</v>
      </c>
      <c r="AA63" s="62">
        <v>78</v>
      </c>
      <c r="AB63" s="62">
        <v>95</v>
      </c>
      <c r="AC63" s="62">
        <v>97</v>
      </c>
      <c r="AD63" s="62">
        <v>118</v>
      </c>
      <c r="AE63" s="62">
        <v>82</v>
      </c>
      <c r="AF63" s="62">
        <v>78</v>
      </c>
      <c r="AG63" s="62">
        <v>100</v>
      </c>
      <c r="AH63" s="62">
        <v>85</v>
      </c>
      <c r="AI63" s="62">
        <v>86</v>
      </c>
      <c r="AJ63" s="62">
        <v>91</v>
      </c>
      <c r="AK63" s="62">
        <v>96</v>
      </c>
      <c r="AL63" s="62">
        <v>106</v>
      </c>
      <c r="AM63" s="62">
        <v>66</v>
      </c>
      <c r="AN63" s="62">
        <v>61</v>
      </c>
      <c r="AO63" s="62">
        <v>78</v>
      </c>
      <c r="AP63" s="62">
        <v>86</v>
      </c>
      <c r="AQ63" s="62">
        <v>89</v>
      </c>
      <c r="AR63" s="62">
        <v>63</v>
      </c>
      <c r="AS63" s="62">
        <v>67</v>
      </c>
      <c r="AT63" s="62">
        <v>52</v>
      </c>
      <c r="AU63" s="62">
        <v>73</v>
      </c>
      <c r="AV63" s="62">
        <v>49</v>
      </c>
      <c r="AW63" s="62">
        <v>50</v>
      </c>
      <c r="AX63" s="62">
        <v>75</v>
      </c>
      <c r="AY63" s="62">
        <v>74</v>
      </c>
      <c r="AZ63" s="62">
        <v>42</v>
      </c>
      <c r="BA63" s="62">
        <v>66</v>
      </c>
      <c r="BB63" s="62">
        <v>61</v>
      </c>
      <c r="BC63" s="62">
        <v>60</v>
      </c>
      <c r="BD63" s="62">
        <v>59</v>
      </c>
      <c r="BE63" s="62">
        <v>35</v>
      </c>
      <c r="BF63" s="62">
        <v>49</v>
      </c>
      <c r="BG63" s="62">
        <v>52</v>
      </c>
      <c r="BH63" s="62">
        <v>52</v>
      </c>
    </row>
    <row r="64" spans="2:60" hidden="1" x14ac:dyDescent="0.2">
      <c r="B64" s="59"/>
      <c r="C64" s="59" t="s">
        <v>661</v>
      </c>
      <c r="D64" s="59" t="s">
        <v>653</v>
      </c>
      <c r="E64" s="63">
        <v>53</v>
      </c>
      <c r="F64" s="63">
        <v>39</v>
      </c>
      <c r="G64" s="63">
        <v>50</v>
      </c>
      <c r="H64" s="63">
        <v>36</v>
      </c>
      <c r="I64" s="63">
        <v>40</v>
      </c>
      <c r="J64" s="63">
        <v>25</v>
      </c>
      <c r="K64" s="63">
        <v>31</v>
      </c>
      <c r="L64" s="63">
        <v>40</v>
      </c>
      <c r="M64" s="63">
        <v>34</v>
      </c>
      <c r="N64" s="63">
        <v>50</v>
      </c>
      <c r="O64" s="63">
        <v>38</v>
      </c>
      <c r="P64" s="63">
        <v>31</v>
      </c>
      <c r="Q64" s="63">
        <v>46</v>
      </c>
      <c r="R64" s="63">
        <v>33</v>
      </c>
      <c r="S64" s="63">
        <v>44</v>
      </c>
      <c r="T64" s="63">
        <v>38</v>
      </c>
      <c r="U64" s="63">
        <v>50</v>
      </c>
      <c r="V64" s="63">
        <v>37</v>
      </c>
      <c r="W64" s="63">
        <v>42</v>
      </c>
      <c r="X64" s="63">
        <v>36</v>
      </c>
      <c r="Y64" s="63">
        <v>36</v>
      </c>
      <c r="Z64" s="63">
        <v>38</v>
      </c>
      <c r="AA64" s="63">
        <v>33</v>
      </c>
      <c r="AB64" s="63">
        <v>24</v>
      </c>
      <c r="AC64" s="63">
        <v>44</v>
      </c>
      <c r="AD64" s="63">
        <v>48</v>
      </c>
      <c r="AE64" s="63">
        <v>22</v>
      </c>
      <c r="AF64" s="63">
        <v>29</v>
      </c>
      <c r="AG64" s="63">
        <v>31</v>
      </c>
      <c r="AH64" s="63">
        <v>40</v>
      </c>
      <c r="AI64" s="63">
        <v>28</v>
      </c>
      <c r="AJ64" s="63">
        <v>40</v>
      </c>
      <c r="AK64" s="63">
        <v>25</v>
      </c>
      <c r="AL64" s="63">
        <v>33</v>
      </c>
      <c r="AM64" s="63">
        <v>33</v>
      </c>
      <c r="AN64" s="63">
        <v>24</v>
      </c>
      <c r="AO64" s="63">
        <v>34</v>
      </c>
      <c r="AP64" s="63">
        <v>21</v>
      </c>
      <c r="AQ64" s="63">
        <v>21</v>
      </c>
      <c r="AR64" s="63">
        <v>24</v>
      </c>
      <c r="AS64" s="63">
        <v>23</v>
      </c>
      <c r="AT64" s="63">
        <v>27</v>
      </c>
      <c r="AU64" s="63">
        <v>18</v>
      </c>
      <c r="AV64" s="63">
        <v>15</v>
      </c>
      <c r="AW64" s="63">
        <v>19</v>
      </c>
      <c r="AX64" s="63">
        <v>25</v>
      </c>
      <c r="AY64" s="63">
        <v>22</v>
      </c>
      <c r="AZ64" s="63">
        <v>21</v>
      </c>
      <c r="BA64" s="63">
        <v>21</v>
      </c>
      <c r="BB64" s="63">
        <v>19</v>
      </c>
      <c r="BC64" s="63">
        <v>15</v>
      </c>
      <c r="BD64" s="63">
        <v>21</v>
      </c>
      <c r="BE64" s="63">
        <v>21</v>
      </c>
      <c r="BF64" s="63">
        <v>20</v>
      </c>
      <c r="BG64" s="63">
        <v>29</v>
      </c>
      <c r="BH64" s="63">
        <v>24</v>
      </c>
    </row>
    <row r="65" spans="2:60" hidden="1" x14ac:dyDescent="0.2">
      <c r="B65" s="57"/>
      <c r="C65" s="57" t="s">
        <v>661</v>
      </c>
      <c r="D65" s="57" t="s">
        <v>654</v>
      </c>
      <c r="E65" s="62">
        <v>7</v>
      </c>
      <c r="F65" s="62">
        <v>12</v>
      </c>
      <c r="G65" s="62">
        <v>7</v>
      </c>
      <c r="H65" s="62">
        <v>5</v>
      </c>
      <c r="I65" s="62">
        <v>11</v>
      </c>
      <c r="J65" s="62">
        <v>4</v>
      </c>
      <c r="K65" s="62">
        <v>9</v>
      </c>
      <c r="L65" s="62">
        <v>6</v>
      </c>
      <c r="M65" s="62">
        <v>8</v>
      </c>
      <c r="N65" s="62">
        <v>8</v>
      </c>
      <c r="O65" s="62">
        <v>3</v>
      </c>
      <c r="P65" s="62">
        <v>2</v>
      </c>
      <c r="Q65" s="62">
        <v>4</v>
      </c>
      <c r="R65" s="62">
        <v>8</v>
      </c>
      <c r="S65" s="62">
        <v>2</v>
      </c>
      <c r="T65" s="62">
        <v>4</v>
      </c>
      <c r="U65" s="62">
        <v>8</v>
      </c>
      <c r="V65" s="62">
        <v>1</v>
      </c>
      <c r="W65" s="62">
        <v>6</v>
      </c>
      <c r="X65" s="62">
        <v>4</v>
      </c>
      <c r="Y65" s="62">
        <v>5</v>
      </c>
      <c r="Z65" s="62">
        <v>4</v>
      </c>
      <c r="AA65" s="62">
        <v>1</v>
      </c>
      <c r="AB65" s="62">
        <v>8</v>
      </c>
      <c r="AC65" s="62">
        <v>9</v>
      </c>
      <c r="AD65" s="62">
        <v>5</v>
      </c>
      <c r="AE65" s="62">
        <v>7</v>
      </c>
      <c r="AF65" s="62">
        <v>10</v>
      </c>
      <c r="AG65" s="62">
        <v>3</v>
      </c>
      <c r="AH65" s="62">
        <v>7</v>
      </c>
      <c r="AI65" s="62">
        <v>5</v>
      </c>
      <c r="AJ65" s="62">
        <v>11</v>
      </c>
      <c r="AK65" s="62">
        <v>8</v>
      </c>
      <c r="AL65" s="62">
        <v>7</v>
      </c>
      <c r="AM65" s="62">
        <v>9</v>
      </c>
      <c r="AN65" s="62">
        <v>5</v>
      </c>
      <c r="AO65" s="62">
        <v>6</v>
      </c>
      <c r="AP65" s="62">
        <v>8</v>
      </c>
      <c r="AQ65" s="62">
        <v>6</v>
      </c>
      <c r="AR65" s="62">
        <v>6</v>
      </c>
      <c r="AS65" s="62">
        <v>7</v>
      </c>
      <c r="AT65" s="62">
        <v>2</v>
      </c>
      <c r="AU65" s="62">
        <v>5</v>
      </c>
      <c r="AV65" s="62">
        <v>4</v>
      </c>
      <c r="AW65" s="62">
        <v>8</v>
      </c>
      <c r="AX65" s="62">
        <v>5</v>
      </c>
      <c r="AY65" s="62">
        <v>6</v>
      </c>
      <c r="AZ65" s="62">
        <v>7</v>
      </c>
      <c r="BA65" s="62">
        <v>5</v>
      </c>
      <c r="BB65" s="62">
        <v>4</v>
      </c>
      <c r="BC65" s="62">
        <v>1</v>
      </c>
      <c r="BD65" s="62">
        <v>7</v>
      </c>
      <c r="BE65" s="62">
        <v>2</v>
      </c>
      <c r="BF65" s="62">
        <v>3</v>
      </c>
      <c r="BG65" s="62">
        <v>3</v>
      </c>
      <c r="BH65" s="62">
        <v>7</v>
      </c>
    </row>
    <row r="66" spans="2:60" hidden="1" x14ac:dyDescent="0.2">
      <c r="B66" s="59"/>
      <c r="C66" s="59" t="s">
        <v>661</v>
      </c>
      <c r="D66" s="59" t="s">
        <v>655</v>
      </c>
      <c r="E66" s="63">
        <v>4</v>
      </c>
      <c r="F66" s="63">
        <v>7</v>
      </c>
      <c r="G66" s="63">
        <v>6</v>
      </c>
      <c r="H66" s="63">
        <v>4</v>
      </c>
      <c r="I66" s="63">
        <v>3</v>
      </c>
      <c r="J66" s="63">
        <v>4</v>
      </c>
      <c r="K66" s="63">
        <v>1</v>
      </c>
      <c r="L66" s="63">
        <v>2</v>
      </c>
      <c r="M66" s="63">
        <v>2</v>
      </c>
      <c r="N66" s="63">
        <v>3</v>
      </c>
      <c r="O66" s="63"/>
      <c r="P66" s="63">
        <v>3</v>
      </c>
      <c r="Q66" s="63">
        <v>1</v>
      </c>
      <c r="R66" s="63">
        <v>2</v>
      </c>
      <c r="S66" s="63">
        <v>1</v>
      </c>
      <c r="T66" s="63">
        <v>1</v>
      </c>
      <c r="U66" s="63">
        <v>1</v>
      </c>
      <c r="V66" s="63">
        <v>3</v>
      </c>
      <c r="W66" s="63">
        <v>2</v>
      </c>
      <c r="X66" s="63">
        <v>2</v>
      </c>
      <c r="Y66" s="63">
        <v>1</v>
      </c>
      <c r="Z66" s="63">
        <v>2</v>
      </c>
      <c r="AA66" s="63">
        <v>2</v>
      </c>
      <c r="AB66" s="63">
        <v>2</v>
      </c>
      <c r="AC66" s="63">
        <v>3</v>
      </c>
      <c r="AD66" s="63">
        <v>3</v>
      </c>
      <c r="AE66" s="63">
        <v>2</v>
      </c>
      <c r="AF66" s="63">
        <v>4</v>
      </c>
      <c r="AG66" s="63">
        <v>3</v>
      </c>
      <c r="AH66" s="63"/>
      <c r="AI66" s="63"/>
      <c r="AJ66" s="63">
        <v>3</v>
      </c>
      <c r="AK66" s="63">
        <v>3</v>
      </c>
      <c r="AL66" s="63">
        <v>1</v>
      </c>
      <c r="AM66" s="63">
        <v>5</v>
      </c>
      <c r="AN66" s="63">
        <v>2</v>
      </c>
      <c r="AO66" s="63">
        <v>3</v>
      </c>
      <c r="AP66" s="63">
        <v>4</v>
      </c>
      <c r="AQ66" s="63"/>
      <c r="AR66" s="63">
        <v>2</v>
      </c>
      <c r="AS66" s="63">
        <v>2</v>
      </c>
      <c r="AT66" s="63">
        <v>3</v>
      </c>
      <c r="AU66" s="63">
        <v>1</v>
      </c>
      <c r="AV66" s="63">
        <v>2</v>
      </c>
      <c r="AW66" s="63">
        <v>3</v>
      </c>
      <c r="AX66" s="63">
        <v>3</v>
      </c>
      <c r="AY66" s="63"/>
      <c r="AZ66" s="63"/>
      <c r="BA66" s="63">
        <v>2</v>
      </c>
      <c r="BB66" s="63">
        <v>2</v>
      </c>
      <c r="BC66" s="63">
        <v>1</v>
      </c>
      <c r="BD66" s="63">
        <v>3</v>
      </c>
      <c r="BE66" s="63">
        <v>2</v>
      </c>
      <c r="BF66" s="63">
        <v>2</v>
      </c>
      <c r="BG66" s="63">
        <v>2</v>
      </c>
      <c r="BH66" s="63">
        <v>1</v>
      </c>
    </row>
    <row r="67" spans="2:60" hidden="1" x14ac:dyDescent="0.2">
      <c r="B67" s="57"/>
      <c r="C67" s="57" t="s">
        <v>661</v>
      </c>
      <c r="D67" s="57" t="s">
        <v>699</v>
      </c>
      <c r="E67" s="62">
        <v>45</v>
      </c>
      <c r="F67" s="62">
        <v>27</v>
      </c>
      <c r="G67" s="62">
        <v>38</v>
      </c>
      <c r="H67" s="62">
        <v>35</v>
      </c>
      <c r="I67" s="62">
        <v>29</v>
      </c>
      <c r="J67" s="62">
        <v>29</v>
      </c>
      <c r="K67" s="62">
        <v>34</v>
      </c>
      <c r="L67" s="62">
        <v>28</v>
      </c>
      <c r="M67" s="62">
        <v>29</v>
      </c>
      <c r="N67" s="62">
        <v>21</v>
      </c>
      <c r="O67" s="62">
        <v>31</v>
      </c>
      <c r="P67" s="62">
        <v>24</v>
      </c>
      <c r="Q67" s="62">
        <v>26</v>
      </c>
      <c r="R67" s="62">
        <v>32</v>
      </c>
      <c r="S67" s="62">
        <v>45</v>
      </c>
      <c r="T67" s="62">
        <v>38</v>
      </c>
      <c r="U67" s="62">
        <v>49</v>
      </c>
      <c r="V67" s="62">
        <v>38</v>
      </c>
      <c r="W67" s="62">
        <v>53</v>
      </c>
      <c r="X67" s="62">
        <v>34</v>
      </c>
      <c r="Y67" s="62">
        <v>36</v>
      </c>
      <c r="Z67" s="62">
        <v>17</v>
      </c>
      <c r="AA67" s="62">
        <v>15</v>
      </c>
      <c r="AB67" s="62">
        <v>25</v>
      </c>
      <c r="AC67" s="62">
        <v>25</v>
      </c>
      <c r="AD67" s="62">
        <v>25</v>
      </c>
      <c r="AE67" s="62">
        <v>20</v>
      </c>
      <c r="AF67" s="62">
        <v>29</v>
      </c>
      <c r="AG67" s="62">
        <v>21</v>
      </c>
      <c r="AH67" s="62">
        <v>23</v>
      </c>
      <c r="AI67" s="62">
        <v>17</v>
      </c>
      <c r="AJ67" s="62">
        <v>19</v>
      </c>
      <c r="AK67" s="62">
        <v>20</v>
      </c>
      <c r="AL67" s="62">
        <v>24</v>
      </c>
      <c r="AM67" s="62">
        <v>21</v>
      </c>
      <c r="AN67" s="62">
        <v>13</v>
      </c>
      <c r="AO67" s="62">
        <v>18</v>
      </c>
      <c r="AP67" s="62">
        <v>11</v>
      </c>
      <c r="AQ67" s="62">
        <v>25</v>
      </c>
      <c r="AR67" s="62">
        <v>13</v>
      </c>
      <c r="AS67" s="62">
        <v>14</v>
      </c>
      <c r="AT67" s="62">
        <v>13</v>
      </c>
      <c r="AU67" s="62">
        <v>15</v>
      </c>
      <c r="AV67" s="62">
        <v>11</v>
      </c>
      <c r="AW67" s="62">
        <v>20</v>
      </c>
      <c r="AX67" s="62">
        <v>19</v>
      </c>
      <c r="AY67" s="62">
        <v>17</v>
      </c>
      <c r="AZ67" s="62">
        <v>13</v>
      </c>
      <c r="BA67" s="62">
        <v>20</v>
      </c>
      <c r="BB67" s="62">
        <v>14</v>
      </c>
      <c r="BC67" s="62">
        <v>13</v>
      </c>
      <c r="BD67" s="62">
        <v>16</v>
      </c>
      <c r="BE67" s="62">
        <v>19</v>
      </c>
      <c r="BF67" s="62">
        <v>9</v>
      </c>
      <c r="BG67" s="62">
        <v>12</v>
      </c>
      <c r="BH67" s="62">
        <v>31</v>
      </c>
    </row>
    <row r="68" spans="2:60" hidden="1" x14ac:dyDescent="0.2">
      <c r="B68" s="59"/>
      <c r="C68" s="59" t="s">
        <v>661</v>
      </c>
      <c r="D68" s="59" t="s">
        <v>656</v>
      </c>
      <c r="E68" s="63">
        <v>395</v>
      </c>
      <c r="F68" s="63">
        <v>366</v>
      </c>
      <c r="G68" s="63">
        <v>390</v>
      </c>
      <c r="H68" s="63">
        <v>345</v>
      </c>
      <c r="I68" s="63">
        <v>388</v>
      </c>
      <c r="J68" s="63">
        <v>332</v>
      </c>
      <c r="K68" s="63">
        <v>337</v>
      </c>
      <c r="L68" s="63">
        <v>349</v>
      </c>
      <c r="M68" s="63">
        <v>385</v>
      </c>
      <c r="N68" s="63">
        <v>331</v>
      </c>
      <c r="O68" s="63">
        <v>354</v>
      </c>
      <c r="P68" s="63">
        <v>323</v>
      </c>
      <c r="Q68" s="63">
        <v>383</v>
      </c>
      <c r="R68" s="63">
        <v>364</v>
      </c>
      <c r="S68" s="63">
        <v>378</v>
      </c>
      <c r="T68" s="63">
        <v>339</v>
      </c>
      <c r="U68" s="63">
        <v>414</v>
      </c>
      <c r="V68" s="63">
        <v>362</v>
      </c>
      <c r="W68" s="63">
        <v>353</v>
      </c>
      <c r="X68" s="63">
        <v>337</v>
      </c>
      <c r="Y68" s="63">
        <v>368</v>
      </c>
      <c r="Z68" s="63">
        <v>290</v>
      </c>
      <c r="AA68" s="63">
        <v>265</v>
      </c>
      <c r="AB68" s="63">
        <v>278</v>
      </c>
      <c r="AC68" s="63">
        <v>338</v>
      </c>
      <c r="AD68" s="63">
        <v>344</v>
      </c>
      <c r="AE68" s="63">
        <v>251</v>
      </c>
      <c r="AF68" s="63">
        <v>269</v>
      </c>
      <c r="AG68" s="63">
        <v>311</v>
      </c>
      <c r="AH68" s="63">
        <v>294</v>
      </c>
      <c r="AI68" s="63">
        <v>238</v>
      </c>
      <c r="AJ68" s="63">
        <v>336</v>
      </c>
      <c r="AK68" s="63">
        <v>283</v>
      </c>
      <c r="AL68" s="63">
        <v>329</v>
      </c>
      <c r="AM68" s="63">
        <v>236</v>
      </c>
      <c r="AN68" s="63">
        <v>209</v>
      </c>
      <c r="AO68" s="63">
        <v>255</v>
      </c>
      <c r="AP68" s="63">
        <v>254</v>
      </c>
      <c r="AQ68" s="63">
        <v>254</v>
      </c>
      <c r="AR68" s="63">
        <v>224</v>
      </c>
      <c r="AS68" s="63">
        <v>218</v>
      </c>
      <c r="AT68" s="63">
        <v>221</v>
      </c>
      <c r="AU68" s="63">
        <v>210</v>
      </c>
      <c r="AV68" s="63">
        <v>172</v>
      </c>
      <c r="AW68" s="63">
        <v>205</v>
      </c>
      <c r="AX68" s="63">
        <v>222</v>
      </c>
      <c r="AY68" s="63">
        <v>215</v>
      </c>
      <c r="AZ68" s="63">
        <v>168</v>
      </c>
      <c r="BA68" s="63">
        <v>214</v>
      </c>
      <c r="BB68" s="63">
        <v>201</v>
      </c>
      <c r="BC68" s="63">
        <v>194</v>
      </c>
      <c r="BD68" s="63">
        <v>195</v>
      </c>
      <c r="BE68" s="63">
        <v>165</v>
      </c>
      <c r="BF68" s="63">
        <v>192</v>
      </c>
      <c r="BG68" s="63">
        <v>181</v>
      </c>
      <c r="BH68" s="63">
        <v>221</v>
      </c>
    </row>
    <row r="69" spans="2:60" hidden="1" x14ac:dyDescent="0.2">
      <c r="B69" s="57"/>
      <c r="C69" s="57" t="s">
        <v>662</v>
      </c>
      <c r="D69" s="57" t="s">
        <v>648</v>
      </c>
      <c r="E69" s="62">
        <v>18</v>
      </c>
      <c r="F69" s="62">
        <v>17</v>
      </c>
      <c r="G69" s="62">
        <v>30</v>
      </c>
      <c r="H69" s="62">
        <v>17</v>
      </c>
      <c r="I69" s="62">
        <v>21</v>
      </c>
      <c r="J69" s="62">
        <v>15</v>
      </c>
      <c r="K69" s="62">
        <v>25</v>
      </c>
      <c r="L69" s="62">
        <v>19</v>
      </c>
      <c r="M69" s="62">
        <v>14</v>
      </c>
      <c r="N69" s="62">
        <v>12</v>
      </c>
      <c r="O69" s="62">
        <v>20</v>
      </c>
      <c r="P69" s="62">
        <v>9</v>
      </c>
      <c r="Q69" s="62">
        <v>22</v>
      </c>
      <c r="R69" s="62">
        <v>24</v>
      </c>
      <c r="S69" s="62">
        <v>18</v>
      </c>
      <c r="T69" s="62">
        <v>23</v>
      </c>
      <c r="U69" s="62">
        <v>24</v>
      </c>
      <c r="V69" s="62">
        <v>15</v>
      </c>
      <c r="W69" s="62">
        <v>14</v>
      </c>
      <c r="X69" s="62">
        <v>17</v>
      </c>
      <c r="Y69" s="62">
        <v>18</v>
      </c>
      <c r="Z69" s="62">
        <v>15</v>
      </c>
      <c r="AA69" s="62">
        <v>19</v>
      </c>
      <c r="AB69" s="62">
        <v>16</v>
      </c>
      <c r="AC69" s="62">
        <v>25</v>
      </c>
      <c r="AD69" s="62">
        <v>21</v>
      </c>
      <c r="AE69" s="62">
        <v>21</v>
      </c>
      <c r="AF69" s="62">
        <v>11</v>
      </c>
      <c r="AG69" s="62">
        <v>19</v>
      </c>
      <c r="AH69" s="62">
        <v>22</v>
      </c>
      <c r="AI69" s="62">
        <v>17</v>
      </c>
      <c r="AJ69" s="62">
        <v>23</v>
      </c>
      <c r="AK69" s="62">
        <v>24</v>
      </c>
      <c r="AL69" s="62">
        <v>9</v>
      </c>
      <c r="AM69" s="62">
        <v>23</v>
      </c>
      <c r="AN69" s="62">
        <v>14</v>
      </c>
      <c r="AO69" s="62">
        <v>22</v>
      </c>
      <c r="AP69" s="62">
        <v>20</v>
      </c>
      <c r="AQ69" s="62">
        <v>22</v>
      </c>
      <c r="AR69" s="62">
        <v>15</v>
      </c>
      <c r="AS69" s="62">
        <v>17</v>
      </c>
      <c r="AT69" s="62">
        <v>22</v>
      </c>
      <c r="AU69" s="62">
        <v>15</v>
      </c>
      <c r="AV69" s="62">
        <v>3</v>
      </c>
      <c r="AW69" s="62">
        <v>15</v>
      </c>
      <c r="AX69" s="62">
        <v>15</v>
      </c>
      <c r="AY69" s="62">
        <v>18</v>
      </c>
      <c r="AZ69" s="62">
        <v>10</v>
      </c>
      <c r="BA69" s="62">
        <v>17</v>
      </c>
      <c r="BB69" s="62">
        <v>17</v>
      </c>
      <c r="BC69" s="62">
        <v>14</v>
      </c>
      <c r="BD69" s="62">
        <v>14</v>
      </c>
      <c r="BE69" s="62">
        <v>13</v>
      </c>
      <c r="BF69" s="62">
        <v>14</v>
      </c>
      <c r="BG69" s="62">
        <v>14</v>
      </c>
      <c r="BH69" s="62">
        <v>16</v>
      </c>
    </row>
    <row r="70" spans="2:60" hidden="1" x14ac:dyDescent="0.2">
      <c r="B70" s="59"/>
      <c r="C70" s="59" t="s">
        <v>662</v>
      </c>
      <c r="D70" s="59" t="s">
        <v>649</v>
      </c>
      <c r="E70" s="63">
        <v>37</v>
      </c>
      <c r="F70" s="63">
        <v>27</v>
      </c>
      <c r="G70" s="63">
        <v>42</v>
      </c>
      <c r="H70" s="63">
        <v>53</v>
      </c>
      <c r="I70" s="63">
        <v>89</v>
      </c>
      <c r="J70" s="63">
        <v>55</v>
      </c>
      <c r="K70" s="63">
        <v>84</v>
      </c>
      <c r="L70" s="63">
        <v>77</v>
      </c>
      <c r="M70" s="63">
        <v>70</v>
      </c>
      <c r="N70" s="63">
        <v>60</v>
      </c>
      <c r="O70" s="63">
        <v>59</v>
      </c>
      <c r="P70" s="63">
        <v>63</v>
      </c>
      <c r="Q70" s="63">
        <v>77</v>
      </c>
      <c r="R70" s="63">
        <v>48</v>
      </c>
      <c r="S70" s="63">
        <v>73</v>
      </c>
      <c r="T70" s="63">
        <v>57</v>
      </c>
      <c r="U70" s="63">
        <v>86</v>
      </c>
      <c r="V70" s="63">
        <v>54</v>
      </c>
      <c r="W70" s="63">
        <v>61</v>
      </c>
      <c r="X70" s="63">
        <v>68</v>
      </c>
      <c r="Y70" s="63">
        <v>65</v>
      </c>
      <c r="Z70" s="63">
        <v>74</v>
      </c>
      <c r="AA70" s="63">
        <v>72</v>
      </c>
      <c r="AB70" s="63">
        <v>62</v>
      </c>
      <c r="AC70" s="63">
        <v>73</v>
      </c>
      <c r="AD70" s="63">
        <v>63</v>
      </c>
      <c r="AE70" s="63">
        <v>61</v>
      </c>
      <c r="AF70" s="63">
        <v>69</v>
      </c>
      <c r="AG70" s="63">
        <v>60</v>
      </c>
      <c r="AH70" s="63">
        <v>64</v>
      </c>
      <c r="AI70" s="63">
        <v>59</v>
      </c>
      <c r="AJ70" s="63">
        <v>64</v>
      </c>
      <c r="AK70" s="63">
        <v>60</v>
      </c>
      <c r="AL70" s="63">
        <v>70</v>
      </c>
      <c r="AM70" s="63">
        <v>54</v>
      </c>
      <c r="AN70" s="63">
        <v>64</v>
      </c>
      <c r="AO70" s="63">
        <v>65</v>
      </c>
      <c r="AP70" s="63">
        <v>46</v>
      </c>
      <c r="AQ70" s="63">
        <v>62</v>
      </c>
      <c r="AR70" s="63">
        <v>58</v>
      </c>
      <c r="AS70" s="63">
        <v>72</v>
      </c>
      <c r="AT70" s="63">
        <v>64</v>
      </c>
      <c r="AU70" s="63">
        <v>41</v>
      </c>
      <c r="AV70" s="63">
        <v>47</v>
      </c>
      <c r="AW70" s="63">
        <v>57</v>
      </c>
      <c r="AX70" s="63">
        <v>52</v>
      </c>
      <c r="AY70" s="63">
        <v>48</v>
      </c>
      <c r="AZ70" s="63">
        <v>34</v>
      </c>
      <c r="BA70" s="63">
        <v>51</v>
      </c>
      <c r="BB70" s="63">
        <v>36</v>
      </c>
      <c r="BC70" s="63">
        <v>34</v>
      </c>
      <c r="BD70" s="63">
        <v>44</v>
      </c>
      <c r="BE70" s="63">
        <v>57</v>
      </c>
      <c r="BF70" s="63">
        <v>60</v>
      </c>
      <c r="BG70" s="63">
        <v>42</v>
      </c>
      <c r="BH70" s="63">
        <v>41</v>
      </c>
    </row>
    <row r="71" spans="2:60" hidden="1" x14ac:dyDescent="0.2">
      <c r="B71" s="57"/>
      <c r="C71" s="57" t="s">
        <v>662</v>
      </c>
      <c r="D71" s="57" t="s">
        <v>650</v>
      </c>
      <c r="E71" s="62">
        <v>38</v>
      </c>
      <c r="F71" s="62">
        <v>36</v>
      </c>
      <c r="G71" s="62">
        <v>44</v>
      </c>
      <c r="H71" s="62">
        <v>45</v>
      </c>
      <c r="I71" s="62">
        <v>50</v>
      </c>
      <c r="J71" s="62">
        <v>59</v>
      </c>
      <c r="K71" s="62">
        <v>52</v>
      </c>
      <c r="L71" s="62">
        <v>49</v>
      </c>
      <c r="M71" s="62">
        <v>54</v>
      </c>
      <c r="N71" s="62">
        <v>39</v>
      </c>
      <c r="O71" s="62">
        <v>49</v>
      </c>
      <c r="P71" s="62">
        <v>34</v>
      </c>
      <c r="Q71" s="62">
        <v>62</v>
      </c>
      <c r="R71" s="62">
        <v>51</v>
      </c>
      <c r="S71" s="62">
        <v>36</v>
      </c>
      <c r="T71" s="62">
        <v>42</v>
      </c>
      <c r="U71" s="62">
        <v>56</v>
      </c>
      <c r="V71" s="62">
        <v>33</v>
      </c>
      <c r="W71" s="62">
        <v>47</v>
      </c>
      <c r="X71" s="62">
        <v>46</v>
      </c>
      <c r="Y71" s="62">
        <v>42</v>
      </c>
      <c r="Z71" s="62">
        <v>48</v>
      </c>
      <c r="AA71" s="62">
        <v>45</v>
      </c>
      <c r="AB71" s="62">
        <v>38</v>
      </c>
      <c r="AC71" s="62">
        <v>57</v>
      </c>
      <c r="AD71" s="62">
        <v>49</v>
      </c>
      <c r="AE71" s="62">
        <v>51</v>
      </c>
      <c r="AF71" s="62">
        <v>37</v>
      </c>
      <c r="AG71" s="62">
        <v>23</v>
      </c>
      <c r="AH71" s="62">
        <v>37</v>
      </c>
      <c r="AI71" s="62">
        <v>33</v>
      </c>
      <c r="AJ71" s="62">
        <v>33</v>
      </c>
      <c r="AK71" s="62">
        <v>23</v>
      </c>
      <c r="AL71" s="62">
        <v>50</v>
      </c>
      <c r="AM71" s="62">
        <v>31</v>
      </c>
      <c r="AN71" s="62">
        <v>29</v>
      </c>
      <c r="AO71" s="62">
        <v>36</v>
      </c>
      <c r="AP71" s="62">
        <v>37</v>
      </c>
      <c r="AQ71" s="62">
        <v>42</v>
      </c>
      <c r="AR71" s="62">
        <v>36</v>
      </c>
      <c r="AS71" s="62">
        <v>41</v>
      </c>
      <c r="AT71" s="62">
        <v>32</v>
      </c>
      <c r="AU71" s="62">
        <v>31</v>
      </c>
      <c r="AV71" s="62">
        <v>35</v>
      </c>
      <c r="AW71" s="62">
        <v>22</v>
      </c>
      <c r="AX71" s="62">
        <v>27</v>
      </c>
      <c r="AY71" s="62">
        <v>31</v>
      </c>
      <c r="AZ71" s="62">
        <v>25</v>
      </c>
      <c r="BA71" s="62">
        <v>33</v>
      </c>
      <c r="BB71" s="62">
        <v>28</v>
      </c>
      <c r="BC71" s="62">
        <v>26</v>
      </c>
      <c r="BD71" s="62">
        <v>31</v>
      </c>
      <c r="BE71" s="62">
        <v>30</v>
      </c>
      <c r="BF71" s="62">
        <v>15</v>
      </c>
      <c r="BG71" s="62">
        <v>41</v>
      </c>
      <c r="BH71" s="62">
        <v>25</v>
      </c>
    </row>
    <row r="72" spans="2:60" hidden="1" x14ac:dyDescent="0.2">
      <c r="B72" s="59"/>
      <c r="C72" s="59" t="s">
        <v>662</v>
      </c>
      <c r="D72" s="59" t="s">
        <v>651</v>
      </c>
      <c r="E72" s="63">
        <v>7</v>
      </c>
      <c r="F72" s="63">
        <v>5</v>
      </c>
      <c r="G72" s="63">
        <v>8</v>
      </c>
      <c r="H72" s="63">
        <v>4</v>
      </c>
      <c r="I72" s="63">
        <v>9</v>
      </c>
      <c r="J72" s="63">
        <v>10</v>
      </c>
      <c r="K72" s="63">
        <v>6</v>
      </c>
      <c r="L72" s="63">
        <v>7</v>
      </c>
      <c r="M72" s="63">
        <v>7</v>
      </c>
      <c r="N72" s="63">
        <v>2</v>
      </c>
      <c r="O72" s="63">
        <v>12</v>
      </c>
      <c r="P72" s="63">
        <v>13</v>
      </c>
      <c r="Q72" s="63">
        <v>7</v>
      </c>
      <c r="R72" s="63">
        <v>4</v>
      </c>
      <c r="S72" s="63">
        <v>8</v>
      </c>
      <c r="T72" s="63">
        <v>5</v>
      </c>
      <c r="U72" s="63">
        <v>5</v>
      </c>
      <c r="V72" s="63">
        <v>3</v>
      </c>
      <c r="W72" s="63">
        <v>10</v>
      </c>
      <c r="X72" s="63">
        <v>8</v>
      </c>
      <c r="Y72" s="63">
        <v>9</v>
      </c>
      <c r="Z72" s="63">
        <v>3</v>
      </c>
      <c r="AA72" s="63">
        <v>6</v>
      </c>
      <c r="AB72" s="63">
        <v>8</v>
      </c>
      <c r="AC72" s="63">
        <v>8</v>
      </c>
      <c r="AD72" s="63">
        <v>5</v>
      </c>
      <c r="AE72" s="63">
        <v>6</v>
      </c>
      <c r="AF72" s="63">
        <v>7</v>
      </c>
      <c r="AG72" s="63">
        <v>7</v>
      </c>
      <c r="AH72" s="63">
        <v>7</v>
      </c>
      <c r="AI72" s="63">
        <v>7</v>
      </c>
      <c r="AJ72" s="63">
        <v>3</v>
      </c>
      <c r="AK72" s="63">
        <v>7</v>
      </c>
      <c r="AL72" s="63">
        <v>8</v>
      </c>
      <c r="AM72" s="63">
        <v>7</v>
      </c>
      <c r="AN72" s="63">
        <v>3</v>
      </c>
      <c r="AO72" s="63">
        <v>6</v>
      </c>
      <c r="AP72" s="63">
        <v>4</v>
      </c>
      <c r="AQ72" s="63">
        <v>4</v>
      </c>
      <c r="AR72" s="63">
        <v>3</v>
      </c>
      <c r="AS72" s="63">
        <v>6</v>
      </c>
      <c r="AT72" s="63">
        <v>5</v>
      </c>
      <c r="AU72" s="63">
        <v>6</v>
      </c>
      <c r="AV72" s="63">
        <v>2</v>
      </c>
      <c r="AW72" s="63">
        <v>6</v>
      </c>
      <c r="AX72" s="63">
        <v>5</v>
      </c>
      <c r="AY72" s="63">
        <v>5</v>
      </c>
      <c r="AZ72" s="63">
        <v>4</v>
      </c>
      <c r="BA72" s="63">
        <v>5</v>
      </c>
      <c r="BB72" s="63">
        <v>6</v>
      </c>
      <c r="BC72" s="63">
        <v>5</v>
      </c>
      <c r="BD72" s="63">
        <v>5</v>
      </c>
      <c r="BE72" s="63">
        <v>6</v>
      </c>
      <c r="BF72" s="63">
        <v>6</v>
      </c>
      <c r="BG72" s="63">
        <v>6</v>
      </c>
      <c r="BH72" s="63"/>
    </row>
    <row r="73" spans="2:60" hidden="1" x14ac:dyDescent="0.2">
      <c r="B73" s="57"/>
      <c r="C73" s="57" t="s">
        <v>662</v>
      </c>
      <c r="D73" s="57" t="s">
        <v>652</v>
      </c>
      <c r="E73" s="62">
        <v>128</v>
      </c>
      <c r="F73" s="62">
        <v>111</v>
      </c>
      <c r="G73" s="62">
        <v>129</v>
      </c>
      <c r="H73" s="62">
        <v>121</v>
      </c>
      <c r="I73" s="62">
        <v>152</v>
      </c>
      <c r="J73" s="62">
        <v>144</v>
      </c>
      <c r="K73" s="62">
        <v>200</v>
      </c>
      <c r="L73" s="62">
        <v>150</v>
      </c>
      <c r="M73" s="62">
        <v>131</v>
      </c>
      <c r="N73" s="62">
        <v>127</v>
      </c>
      <c r="O73" s="62">
        <v>137</v>
      </c>
      <c r="P73" s="62">
        <v>128</v>
      </c>
      <c r="Q73" s="62">
        <v>137</v>
      </c>
      <c r="R73" s="62">
        <v>127</v>
      </c>
      <c r="S73" s="62">
        <v>135</v>
      </c>
      <c r="T73" s="62">
        <v>131</v>
      </c>
      <c r="U73" s="62">
        <v>118</v>
      </c>
      <c r="V73" s="62">
        <v>141</v>
      </c>
      <c r="W73" s="62">
        <v>146</v>
      </c>
      <c r="X73" s="62">
        <v>115</v>
      </c>
      <c r="Y73" s="62">
        <v>126</v>
      </c>
      <c r="Z73" s="62">
        <v>127</v>
      </c>
      <c r="AA73" s="62">
        <v>123</v>
      </c>
      <c r="AB73" s="62">
        <v>136</v>
      </c>
      <c r="AC73" s="62">
        <v>170</v>
      </c>
      <c r="AD73" s="62">
        <v>142</v>
      </c>
      <c r="AE73" s="62">
        <v>133</v>
      </c>
      <c r="AF73" s="62">
        <v>127</v>
      </c>
      <c r="AG73" s="62">
        <v>117</v>
      </c>
      <c r="AH73" s="62">
        <v>125</v>
      </c>
      <c r="AI73" s="62">
        <v>123</v>
      </c>
      <c r="AJ73" s="62">
        <v>158</v>
      </c>
      <c r="AK73" s="62">
        <v>113</v>
      </c>
      <c r="AL73" s="62">
        <v>154</v>
      </c>
      <c r="AM73" s="62">
        <v>113</v>
      </c>
      <c r="AN73" s="62">
        <v>118</v>
      </c>
      <c r="AO73" s="62">
        <v>122</v>
      </c>
      <c r="AP73" s="62">
        <v>124</v>
      </c>
      <c r="AQ73" s="62">
        <v>122</v>
      </c>
      <c r="AR73" s="62">
        <v>110</v>
      </c>
      <c r="AS73" s="62">
        <v>132</v>
      </c>
      <c r="AT73" s="62">
        <v>111</v>
      </c>
      <c r="AU73" s="62">
        <v>102</v>
      </c>
      <c r="AV73" s="62">
        <v>68</v>
      </c>
      <c r="AW73" s="62">
        <v>102</v>
      </c>
      <c r="AX73" s="62">
        <v>97</v>
      </c>
      <c r="AY73" s="62">
        <v>103</v>
      </c>
      <c r="AZ73" s="62">
        <v>84</v>
      </c>
      <c r="BA73" s="62">
        <v>78</v>
      </c>
      <c r="BB73" s="62">
        <v>87</v>
      </c>
      <c r="BC73" s="62">
        <v>69</v>
      </c>
      <c r="BD73" s="62">
        <v>73</v>
      </c>
      <c r="BE73" s="62">
        <v>86</v>
      </c>
      <c r="BF73" s="62">
        <v>82</v>
      </c>
      <c r="BG73" s="62">
        <v>102</v>
      </c>
      <c r="BH73" s="62">
        <v>71</v>
      </c>
    </row>
    <row r="74" spans="2:60" hidden="1" x14ac:dyDescent="0.2">
      <c r="B74" s="59"/>
      <c r="C74" s="59" t="s">
        <v>662</v>
      </c>
      <c r="D74" s="59" t="s">
        <v>653</v>
      </c>
      <c r="E74" s="63">
        <v>141</v>
      </c>
      <c r="F74" s="63">
        <v>94</v>
      </c>
      <c r="G74" s="63">
        <v>132</v>
      </c>
      <c r="H74" s="63">
        <v>140</v>
      </c>
      <c r="I74" s="63">
        <v>139</v>
      </c>
      <c r="J74" s="63">
        <v>147</v>
      </c>
      <c r="K74" s="63">
        <v>200</v>
      </c>
      <c r="L74" s="63">
        <v>134</v>
      </c>
      <c r="M74" s="63">
        <v>152</v>
      </c>
      <c r="N74" s="63">
        <v>139</v>
      </c>
      <c r="O74" s="63">
        <v>161</v>
      </c>
      <c r="P74" s="63">
        <v>118</v>
      </c>
      <c r="Q74" s="63">
        <v>164</v>
      </c>
      <c r="R74" s="63">
        <v>146</v>
      </c>
      <c r="S74" s="63">
        <v>143</v>
      </c>
      <c r="T74" s="63">
        <v>136</v>
      </c>
      <c r="U74" s="63">
        <v>141</v>
      </c>
      <c r="V74" s="63">
        <v>144</v>
      </c>
      <c r="W74" s="63">
        <v>158</v>
      </c>
      <c r="X74" s="63">
        <v>130</v>
      </c>
      <c r="Y74" s="63">
        <v>161</v>
      </c>
      <c r="Z74" s="63">
        <v>108</v>
      </c>
      <c r="AA74" s="63">
        <v>130</v>
      </c>
      <c r="AB74" s="63">
        <v>124</v>
      </c>
      <c r="AC74" s="63">
        <v>150</v>
      </c>
      <c r="AD74" s="63">
        <v>101</v>
      </c>
      <c r="AE74" s="63">
        <v>123</v>
      </c>
      <c r="AF74" s="63">
        <v>128</v>
      </c>
      <c r="AG74" s="63">
        <v>142</v>
      </c>
      <c r="AH74" s="63">
        <v>107</v>
      </c>
      <c r="AI74" s="63">
        <v>109</v>
      </c>
      <c r="AJ74" s="63">
        <v>157</v>
      </c>
      <c r="AK74" s="63">
        <v>116</v>
      </c>
      <c r="AL74" s="63">
        <v>134</v>
      </c>
      <c r="AM74" s="63">
        <v>121</v>
      </c>
      <c r="AN74" s="63">
        <v>116</v>
      </c>
      <c r="AO74" s="63">
        <v>104</v>
      </c>
      <c r="AP74" s="63">
        <v>122</v>
      </c>
      <c r="AQ74" s="63">
        <v>110</v>
      </c>
      <c r="AR74" s="63">
        <v>99</v>
      </c>
      <c r="AS74" s="63">
        <v>100</v>
      </c>
      <c r="AT74" s="63">
        <v>120</v>
      </c>
      <c r="AU74" s="63">
        <v>98</v>
      </c>
      <c r="AV74" s="63">
        <v>95</v>
      </c>
      <c r="AW74" s="63">
        <v>84</v>
      </c>
      <c r="AX74" s="63">
        <v>88</v>
      </c>
      <c r="AY74" s="63">
        <v>69</v>
      </c>
      <c r="AZ74" s="63">
        <v>81</v>
      </c>
      <c r="BA74" s="63">
        <v>74</v>
      </c>
      <c r="BB74" s="63">
        <v>79</v>
      </c>
      <c r="BC74" s="63">
        <v>66</v>
      </c>
      <c r="BD74" s="63">
        <v>90</v>
      </c>
      <c r="BE74" s="63">
        <v>67</v>
      </c>
      <c r="BF74" s="63">
        <v>86</v>
      </c>
      <c r="BG74" s="63">
        <v>88</v>
      </c>
      <c r="BH74" s="63">
        <v>74</v>
      </c>
    </row>
    <row r="75" spans="2:60" hidden="1" x14ac:dyDescent="0.2">
      <c r="B75" s="57"/>
      <c r="C75" s="57" t="s">
        <v>662</v>
      </c>
      <c r="D75" s="57" t="s">
        <v>654</v>
      </c>
      <c r="E75" s="62">
        <v>1</v>
      </c>
      <c r="F75" s="62"/>
      <c r="G75" s="62"/>
      <c r="H75" s="62">
        <v>4</v>
      </c>
      <c r="I75" s="62">
        <v>3</v>
      </c>
      <c r="J75" s="62"/>
      <c r="K75" s="62">
        <v>7</v>
      </c>
      <c r="L75" s="62">
        <v>1</v>
      </c>
      <c r="M75" s="62"/>
      <c r="N75" s="62">
        <v>1</v>
      </c>
      <c r="O75" s="62">
        <v>2</v>
      </c>
      <c r="P75" s="62">
        <v>3</v>
      </c>
      <c r="Q75" s="62">
        <v>5</v>
      </c>
      <c r="R75" s="62">
        <v>7</v>
      </c>
      <c r="S75" s="62">
        <v>4</v>
      </c>
      <c r="T75" s="62">
        <v>1</v>
      </c>
      <c r="U75" s="62">
        <v>11</v>
      </c>
      <c r="V75" s="62">
        <v>7</v>
      </c>
      <c r="W75" s="62">
        <v>3</v>
      </c>
      <c r="X75" s="62">
        <v>6</v>
      </c>
      <c r="Y75" s="62">
        <v>8</v>
      </c>
      <c r="Z75" s="62">
        <v>4</v>
      </c>
      <c r="AA75" s="62">
        <v>3</v>
      </c>
      <c r="AB75" s="62">
        <v>3</v>
      </c>
      <c r="AC75" s="62">
        <v>3</v>
      </c>
      <c r="AD75" s="62">
        <v>9</v>
      </c>
      <c r="AE75" s="62">
        <v>2</v>
      </c>
      <c r="AF75" s="62">
        <v>6</v>
      </c>
      <c r="AG75" s="62">
        <v>9</v>
      </c>
      <c r="AH75" s="62">
        <v>6</v>
      </c>
      <c r="AI75" s="62">
        <v>8</v>
      </c>
      <c r="AJ75" s="62">
        <v>11</v>
      </c>
      <c r="AK75" s="62">
        <v>7</v>
      </c>
      <c r="AL75" s="62">
        <v>10</v>
      </c>
      <c r="AM75" s="62">
        <v>4</v>
      </c>
      <c r="AN75" s="62">
        <v>2</v>
      </c>
      <c r="AO75" s="62">
        <v>6</v>
      </c>
      <c r="AP75" s="62">
        <v>8</v>
      </c>
      <c r="AQ75" s="62">
        <v>9</v>
      </c>
      <c r="AR75" s="62">
        <v>3</v>
      </c>
      <c r="AS75" s="62">
        <v>4</v>
      </c>
      <c r="AT75" s="62">
        <v>6</v>
      </c>
      <c r="AU75" s="62">
        <v>5</v>
      </c>
      <c r="AV75" s="62">
        <v>4</v>
      </c>
      <c r="AW75" s="62">
        <v>5</v>
      </c>
      <c r="AX75" s="62">
        <v>2</v>
      </c>
      <c r="AY75" s="62">
        <v>1</v>
      </c>
      <c r="AZ75" s="62"/>
      <c r="BA75" s="62">
        <v>3</v>
      </c>
      <c r="BB75" s="62">
        <v>4</v>
      </c>
      <c r="BC75" s="62">
        <v>1</v>
      </c>
      <c r="BD75" s="62">
        <v>1</v>
      </c>
      <c r="BE75" s="62">
        <v>2</v>
      </c>
      <c r="BF75" s="62">
        <v>2</v>
      </c>
      <c r="BG75" s="62">
        <v>3</v>
      </c>
      <c r="BH75" s="62">
        <v>1</v>
      </c>
    </row>
    <row r="76" spans="2:60" hidden="1" x14ac:dyDescent="0.2">
      <c r="B76" s="59"/>
      <c r="C76" s="59" t="s">
        <v>662</v>
      </c>
      <c r="D76" s="59" t="s">
        <v>655</v>
      </c>
      <c r="E76" s="63">
        <v>8</v>
      </c>
      <c r="F76" s="63">
        <v>21</v>
      </c>
      <c r="G76" s="63">
        <v>14</v>
      </c>
      <c r="H76" s="63">
        <v>22</v>
      </c>
      <c r="I76" s="63">
        <v>13</v>
      </c>
      <c r="J76" s="63">
        <v>22</v>
      </c>
      <c r="K76" s="63">
        <v>21</v>
      </c>
      <c r="L76" s="63">
        <v>21</v>
      </c>
      <c r="M76" s="63">
        <v>9</v>
      </c>
      <c r="N76" s="63">
        <v>13</v>
      </c>
      <c r="O76" s="63">
        <v>18</v>
      </c>
      <c r="P76" s="63">
        <v>17</v>
      </c>
      <c r="Q76" s="63">
        <v>24</v>
      </c>
      <c r="R76" s="63">
        <v>13</v>
      </c>
      <c r="S76" s="63">
        <v>10</v>
      </c>
      <c r="T76" s="63">
        <v>9</v>
      </c>
      <c r="U76" s="63">
        <v>6</v>
      </c>
      <c r="V76" s="63">
        <v>12</v>
      </c>
      <c r="W76" s="63">
        <v>10</v>
      </c>
      <c r="X76" s="63">
        <v>10</v>
      </c>
      <c r="Y76" s="63">
        <v>6</v>
      </c>
      <c r="Z76" s="63">
        <v>4</v>
      </c>
      <c r="AA76" s="63">
        <v>7</v>
      </c>
      <c r="AB76" s="63">
        <v>13</v>
      </c>
      <c r="AC76" s="63">
        <v>13</v>
      </c>
      <c r="AD76" s="63">
        <v>4</v>
      </c>
      <c r="AE76" s="63">
        <v>7</v>
      </c>
      <c r="AF76" s="63">
        <v>7</v>
      </c>
      <c r="AG76" s="63">
        <v>8</v>
      </c>
      <c r="AH76" s="63">
        <v>11</v>
      </c>
      <c r="AI76" s="63">
        <v>12</v>
      </c>
      <c r="AJ76" s="63">
        <v>15</v>
      </c>
      <c r="AK76" s="63">
        <v>11</v>
      </c>
      <c r="AL76" s="63">
        <v>13</v>
      </c>
      <c r="AM76" s="63">
        <v>11</v>
      </c>
      <c r="AN76" s="63">
        <v>15</v>
      </c>
      <c r="AO76" s="63">
        <v>9</v>
      </c>
      <c r="AP76" s="63">
        <v>4</v>
      </c>
      <c r="AQ76" s="63">
        <v>5</v>
      </c>
      <c r="AR76" s="63">
        <v>13</v>
      </c>
      <c r="AS76" s="63">
        <v>13</v>
      </c>
      <c r="AT76" s="63">
        <v>9</v>
      </c>
      <c r="AU76" s="63">
        <v>5</v>
      </c>
      <c r="AV76" s="63">
        <v>13</v>
      </c>
      <c r="AW76" s="63">
        <v>16</v>
      </c>
      <c r="AX76" s="63">
        <v>13</v>
      </c>
      <c r="AY76" s="63">
        <v>10</v>
      </c>
      <c r="AZ76" s="63">
        <v>9</v>
      </c>
      <c r="BA76" s="63">
        <v>11</v>
      </c>
      <c r="BB76" s="63">
        <v>9</v>
      </c>
      <c r="BC76" s="63">
        <v>8</v>
      </c>
      <c r="BD76" s="63">
        <v>8</v>
      </c>
      <c r="BE76" s="63">
        <v>11</v>
      </c>
      <c r="BF76" s="63">
        <v>10</v>
      </c>
      <c r="BG76" s="63">
        <v>11</v>
      </c>
      <c r="BH76" s="63">
        <v>10</v>
      </c>
    </row>
    <row r="77" spans="2:60" hidden="1" x14ac:dyDescent="0.2">
      <c r="B77" s="57"/>
      <c r="C77" s="57" t="s">
        <v>662</v>
      </c>
      <c r="D77" s="57" t="s">
        <v>699</v>
      </c>
      <c r="E77" s="62">
        <v>29</v>
      </c>
      <c r="F77" s="62">
        <v>36</v>
      </c>
      <c r="G77" s="62">
        <v>52</v>
      </c>
      <c r="H77" s="62">
        <v>46</v>
      </c>
      <c r="I77" s="62">
        <v>84</v>
      </c>
      <c r="J77" s="62">
        <v>51</v>
      </c>
      <c r="K77" s="62">
        <v>45</v>
      </c>
      <c r="L77" s="62">
        <v>51</v>
      </c>
      <c r="M77" s="62">
        <v>50</v>
      </c>
      <c r="N77" s="62">
        <v>45</v>
      </c>
      <c r="O77" s="62">
        <v>52</v>
      </c>
      <c r="P77" s="62">
        <v>34</v>
      </c>
      <c r="Q77" s="62">
        <v>35</v>
      </c>
      <c r="R77" s="62">
        <v>37</v>
      </c>
      <c r="S77" s="62">
        <v>52</v>
      </c>
      <c r="T77" s="62">
        <v>42</v>
      </c>
      <c r="U77" s="62">
        <v>31</v>
      </c>
      <c r="V77" s="62">
        <v>42</v>
      </c>
      <c r="W77" s="62">
        <v>47</v>
      </c>
      <c r="X77" s="62">
        <v>35</v>
      </c>
      <c r="Y77" s="62">
        <v>35</v>
      </c>
      <c r="Z77" s="62">
        <v>34</v>
      </c>
      <c r="AA77" s="62">
        <v>30</v>
      </c>
      <c r="AB77" s="62">
        <v>34</v>
      </c>
      <c r="AC77" s="62">
        <v>36</v>
      </c>
      <c r="AD77" s="62">
        <v>45</v>
      </c>
      <c r="AE77" s="62">
        <v>31</v>
      </c>
      <c r="AF77" s="62">
        <v>32</v>
      </c>
      <c r="AG77" s="62">
        <v>27</v>
      </c>
      <c r="AH77" s="62">
        <v>27</v>
      </c>
      <c r="AI77" s="62">
        <v>25</v>
      </c>
      <c r="AJ77" s="62">
        <v>20</v>
      </c>
      <c r="AK77" s="62">
        <v>23</v>
      </c>
      <c r="AL77" s="62">
        <v>20</v>
      </c>
      <c r="AM77" s="62">
        <v>14</v>
      </c>
      <c r="AN77" s="62">
        <v>17</v>
      </c>
      <c r="AO77" s="62">
        <v>25</v>
      </c>
      <c r="AP77" s="62">
        <v>22</v>
      </c>
      <c r="AQ77" s="62">
        <v>27</v>
      </c>
      <c r="AR77" s="62">
        <v>21</v>
      </c>
      <c r="AS77" s="62">
        <v>21</v>
      </c>
      <c r="AT77" s="62">
        <v>25</v>
      </c>
      <c r="AU77" s="62">
        <v>20</v>
      </c>
      <c r="AV77" s="62">
        <v>17</v>
      </c>
      <c r="AW77" s="62">
        <v>16</v>
      </c>
      <c r="AX77" s="62">
        <v>14</v>
      </c>
      <c r="AY77" s="62">
        <v>15</v>
      </c>
      <c r="AZ77" s="62">
        <v>14</v>
      </c>
      <c r="BA77" s="62">
        <v>15</v>
      </c>
      <c r="BB77" s="62">
        <v>9</v>
      </c>
      <c r="BC77" s="62">
        <v>12</v>
      </c>
      <c r="BD77" s="62">
        <v>13</v>
      </c>
      <c r="BE77" s="62">
        <v>14</v>
      </c>
      <c r="BF77" s="62">
        <v>6</v>
      </c>
      <c r="BG77" s="62">
        <v>12</v>
      </c>
      <c r="BH77" s="62">
        <v>15</v>
      </c>
    </row>
    <row r="78" spans="2:60" hidden="1" x14ac:dyDescent="0.2">
      <c r="B78" s="59"/>
      <c r="C78" s="59" t="s">
        <v>662</v>
      </c>
      <c r="D78" s="59" t="s">
        <v>656</v>
      </c>
      <c r="E78" s="63">
        <v>407</v>
      </c>
      <c r="F78" s="63">
        <v>347</v>
      </c>
      <c r="G78" s="63">
        <v>451</v>
      </c>
      <c r="H78" s="63">
        <v>452</v>
      </c>
      <c r="I78" s="63">
        <v>560</v>
      </c>
      <c r="J78" s="63">
        <v>503</v>
      </c>
      <c r="K78" s="63">
        <v>640</v>
      </c>
      <c r="L78" s="63">
        <v>509</v>
      </c>
      <c r="M78" s="63">
        <v>487</v>
      </c>
      <c r="N78" s="63">
        <v>438</v>
      </c>
      <c r="O78" s="63">
        <v>510</v>
      </c>
      <c r="P78" s="63">
        <v>419</v>
      </c>
      <c r="Q78" s="63">
        <v>533</v>
      </c>
      <c r="R78" s="63">
        <v>457</v>
      </c>
      <c r="S78" s="63">
        <v>479</v>
      </c>
      <c r="T78" s="63">
        <v>446</v>
      </c>
      <c r="U78" s="63">
        <v>478</v>
      </c>
      <c r="V78" s="63">
        <v>451</v>
      </c>
      <c r="W78" s="63">
        <v>496</v>
      </c>
      <c r="X78" s="63">
        <v>435</v>
      </c>
      <c r="Y78" s="63">
        <v>470</v>
      </c>
      <c r="Z78" s="63">
        <v>417</v>
      </c>
      <c r="AA78" s="63">
        <v>435</v>
      </c>
      <c r="AB78" s="63">
        <v>434</v>
      </c>
      <c r="AC78" s="63">
        <v>535</v>
      </c>
      <c r="AD78" s="63">
        <v>439</v>
      </c>
      <c r="AE78" s="63">
        <v>435</v>
      </c>
      <c r="AF78" s="63">
        <v>424</v>
      </c>
      <c r="AG78" s="63">
        <v>412</v>
      </c>
      <c r="AH78" s="63">
        <v>406</v>
      </c>
      <c r="AI78" s="63">
        <v>393</v>
      </c>
      <c r="AJ78" s="63">
        <v>484</v>
      </c>
      <c r="AK78" s="63">
        <v>384</v>
      </c>
      <c r="AL78" s="63">
        <v>468</v>
      </c>
      <c r="AM78" s="63">
        <v>378</v>
      </c>
      <c r="AN78" s="63">
        <v>378</v>
      </c>
      <c r="AO78" s="63">
        <v>395</v>
      </c>
      <c r="AP78" s="63">
        <v>387</v>
      </c>
      <c r="AQ78" s="63">
        <v>403</v>
      </c>
      <c r="AR78" s="63">
        <v>358</v>
      </c>
      <c r="AS78" s="63">
        <v>406</v>
      </c>
      <c r="AT78" s="63">
        <v>394</v>
      </c>
      <c r="AU78" s="63">
        <v>323</v>
      </c>
      <c r="AV78" s="63">
        <v>284</v>
      </c>
      <c r="AW78" s="63">
        <v>323</v>
      </c>
      <c r="AX78" s="63">
        <v>313</v>
      </c>
      <c r="AY78" s="63">
        <v>300</v>
      </c>
      <c r="AZ78" s="63">
        <v>261</v>
      </c>
      <c r="BA78" s="63">
        <v>287</v>
      </c>
      <c r="BB78" s="63">
        <v>275</v>
      </c>
      <c r="BC78" s="63">
        <v>235</v>
      </c>
      <c r="BD78" s="63">
        <v>279</v>
      </c>
      <c r="BE78" s="63">
        <v>286</v>
      </c>
      <c r="BF78" s="63">
        <v>281</v>
      </c>
      <c r="BG78" s="63">
        <v>319</v>
      </c>
      <c r="BH78" s="63">
        <v>253</v>
      </c>
    </row>
    <row r="79" spans="2:60" hidden="1" x14ac:dyDescent="0.2">
      <c r="B79" s="57"/>
      <c r="C79" s="57" t="s">
        <v>663</v>
      </c>
      <c r="D79" s="57" t="s">
        <v>648</v>
      </c>
      <c r="E79" s="62">
        <v>3</v>
      </c>
      <c r="F79" s="62">
        <v>2</v>
      </c>
      <c r="G79" s="62">
        <v>1</v>
      </c>
      <c r="H79" s="62"/>
      <c r="I79" s="62">
        <v>2</v>
      </c>
      <c r="J79" s="62">
        <v>2</v>
      </c>
      <c r="K79" s="62">
        <v>1</v>
      </c>
      <c r="L79" s="62">
        <v>3</v>
      </c>
      <c r="M79" s="62">
        <v>3</v>
      </c>
      <c r="N79" s="62">
        <v>1</v>
      </c>
      <c r="O79" s="62">
        <v>3</v>
      </c>
      <c r="P79" s="62">
        <v>1</v>
      </c>
      <c r="Q79" s="62"/>
      <c r="R79" s="62"/>
      <c r="S79" s="62">
        <v>1</v>
      </c>
      <c r="T79" s="62">
        <v>2</v>
      </c>
      <c r="U79" s="62">
        <v>3</v>
      </c>
      <c r="V79" s="62">
        <v>1</v>
      </c>
      <c r="W79" s="62">
        <v>1</v>
      </c>
      <c r="X79" s="62">
        <v>1</v>
      </c>
      <c r="Y79" s="62">
        <v>2</v>
      </c>
      <c r="Z79" s="62">
        <v>3</v>
      </c>
      <c r="AA79" s="62">
        <v>2</v>
      </c>
      <c r="AB79" s="62">
        <v>5</v>
      </c>
      <c r="AC79" s="62">
        <v>2</v>
      </c>
      <c r="AD79" s="62">
        <v>2</v>
      </c>
      <c r="AE79" s="62">
        <v>1</v>
      </c>
      <c r="AF79" s="62">
        <v>1</v>
      </c>
      <c r="AG79" s="62">
        <v>1</v>
      </c>
      <c r="AH79" s="62">
        <v>2</v>
      </c>
      <c r="AI79" s="62">
        <v>2</v>
      </c>
      <c r="AJ79" s="62">
        <v>1</v>
      </c>
      <c r="AK79" s="62">
        <v>1</v>
      </c>
      <c r="AL79" s="62">
        <v>2</v>
      </c>
      <c r="AM79" s="62">
        <v>2</v>
      </c>
      <c r="AN79" s="62">
        <v>3</v>
      </c>
      <c r="AO79" s="62">
        <v>4</v>
      </c>
      <c r="AP79" s="62">
        <v>1</v>
      </c>
      <c r="AQ79" s="62">
        <v>1</v>
      </c>
      <c r="AR79" s="62"/>
      <c r="AS79" s="62">
        <v>3</v>
      </c>
      <c r="AT79" s="62">
        <v>2</v>
      </c>
      <c r="AU79" s="62">
        <v>2</v>
      </c>
      <c r="AV79" s="62"/>
      <c r="AW79" s="62">
        <v>1</v>
      </c>
      <c r="AX79" s="62">
        <v>2</v>
      </c>
      <c r="AY79" s="62">
        <v>3</v>
      </c>
      <c r="AZ79" s="62"/>
      <c r="BA79" s="62">
        <v>2</v>
      </c>
      <c r="BB79" s="62">
        <v>1</v>
      </c>
      <c r="BC79" s="62">
        <v>3</v>
      </c>
      <c r="BD79" s="62">
        <v>1</v>
      </c>
      <c r="BE79" s="62"/>
      <c r="BF79" s="62"/>
      <c r="BG79" s="62">
        <v>2</v>
      </c>
      <c r="BH79" s="62"/>
    </row>
    <row r="80" spans="2:60" hidden="1" x14ac:dyDescent="0.2">
      <c r="B80" s="59"/>
      <c r="C80" s="59" t="s">
        <v>663</v>
      </c>
      <c r="D80" s="59" t="s">
        <v>649</v>
      </c>
      <c r="E80" s="63">
        <v>21</v>
      </c>
      <c r="F80" s="63">
        <v>11</v>
      </c>
      <c r="G80" s="63">
        <v>12</v>
      </c>
      <c r="H80" s="63">
        <v>17</v>
      </c>
      <c r="I80" s="63">
        <v>23</v>
      </c>
      <c r="J80" s="63">
        <v>17</v>
      </c>
      <c r="K80" s="63">
        <v>19</v>
      </c>
      <c r="L80" s="63">
        <v>15</v>
      </c>
      <c r="M80" s="63">
        <v>18</v>
      </c>
      <c r="N80" s="63">
        <v>20</v>
      </c>
      <c r="O80" s="63">
        <v>8</v>
      </c>
      <c r="P80" s="63">
        <v>10</v>
      </c>
      <c r="Q80" s="63">
        <v>15</v>
      </c>
      <c r="R80" s="63">
        <v>15</v>
      </c>
      <c r="S80" s="63">
        <v>8</v>
      </c>
      <c r="T80" s="63">
        <v>10</v>
      </c>
      <c r="U80" s="63">
        <v>15</v>
      </c>
      <c r="V80" s="63">
        <v>17</v>
      </c>
      <c r="W80" s="63">
        <v>13</v>
      </c>
      <c r="X80" s="63">
        <v>14</v>
      </c>
      <c r="Y80" s="63">
        <v>13</v>
      </c>
      <c r="Z80" s="63">
        <v>8</v>
      </c>
      <c r="AA80" s="63">
        <v>8</v>
      </c>
      <c r="AB80" s="63">
        <v>17</v>
      </c>
      <c r="AC80" s="63">
        <v>26</v>
      </c>
      <c r="AD80" s="63">
        <v>19</v>
      </c>
      <c r="AE80" s="63">
        <v>10</v>
      </c>
      <c r="AF80" s="63">
        <v>15</v>
      </c>
      <c r="AG80" s="63">
        <v>20</v>
      </c>
      <c r="AH80" s="63">
        <v>14</v>
      </c>
      <c r="AI80" s="63">
        <v>9</v>
      </c>
      <c r="AJ80" s="63">
        <v>22</v>
      </c>
      <c r="AK80" s="63">
        <v>11</v>
      </c>
      <c r="AL80" s="63">
        <v>17</v>
      </c>
      <c r="AM80" s="63">
        <v>25</v>
      </c>
      <c r="AN80" s="63">
        <v>11</v>
      </c>
      <c r="AO80" s="63">
        <v>16</v>
      </c>
      <c r="AP80" s="63">
        <v>10</v>
      </c>
      <c r="AQ80" s="63">
        <v>12</v>
      </c>
      <c r="AR80" s="63">
        <v>14</v>
      </c>
      <c r="AS80" s="63">
        <v>7</v>
      </c>
      <c r="AT80" s="63">
        <v>19</v>
      </c>
      <c r="AU80" s="63">
        <v>12</v>
      </c>
      <c r="AV80" s="63">
        <v>11</v>
      </c>
      <c r="AW80" s="63">
        <v>8</v>
      </c>
      <c r="AX80" s="63">
        <v>12</v>
      </c>
      <c r="AY80" s="63">
        <v>9</v>
      </c>
      <c r="AZ80" s="63">
        <v>12</v>
      </c>
      <c r="BA80" s="63">
        <v>9</v>
      </c>
      <c r="BB80" s="63">
        <v>8</v>
      </c>
      <c r="BC80" s="63">
        <v>8</v>
      </c>
      <c r="BD80" s="63">
        <v>6</v>
      </c>
      <c r="BE80" s="63">
        <v>13</v>
      </c>
      <c r="BF80" s="63">
        <v>5</v>
      </c>
      <c r="BG80" s="63">
        <v>11</v>
      </c>
      <c r="BH80" s="63">
        <v>5</v>
      </c>
    </row>
    <row r="81" spans="2:60" hidden="1" x14ac:dyDescent="0.2">
      <c r="B81" s="57"/>
      <c r="C81" s="57" t="s">
        <v>663</v>
      </c>
      <c r="D81" s="57" t="s">
        <v>650</v>
      </c>
      <c r="E81" s="62">
        <v>7</v>
      </c>
      <c r="F81" s="62">
        <v>1</v>
      </c>
      <c r="G81" s="62">
        <v>3</v>
      </c>
      <c r="H81" s="62">
        <v>1</v>
      </c>
      <c r="I81" s="62">
        <v>5</v>
      </c>
      <c r="J81" s="62">
        <v>3</v>
      </c>
      <c r="K81" s="62">
        <v>3</v>
      </c>
      <c r="L81" s="62">
        <v>7</v>
      </c>
      <c r="M81" s="62">
        <v>5</v>
      </c>
      <c r="N81" s="62">
        <v>1</v>
      </c>
      <c r="O81" s="62">
        <v>4</v>
      </c>
      <c r="P81" s="62">
        <v>2</v>
      </c>
      <c r="Q81" s="62">
        <v>5</v>
      </c>
      <c r="R81" s="62">
        <v>3</v>
      </c>
      <c r="S81" s="62">
        <v>3</v>
      </c>
      <c r="T81" s="62">
        <v>4</v>
      </c>
      <c r="U81" s="62">
        <v>2</v>
      </c>
      <c r="V81" s="62">
        <v>3</v>
      </c>
      <c r="W81" s="62">
        <v>1</v>
      </c>
      <c r="X81" s="62">
        <v>1</v>
      </c>
      <c r="Y81" s="62">
        <v>1</v>
      </c>
      <c r="Z81" s="62">
        <v>3</v>
      </c>
      <c r="AA81" s="62">
        <v>4</v>
      </c>
      <c r="AB81" s="62">
        <v>2</v>
      </c>
      <c r="AC81" s="62">
        <v>3</v>
      </c>
      <c r="AD81" s="62">
        <v>5</v>
      </c>
      <c r="AE81" s="62"/>
      <c r="AF81" s="62">
        <v>3</v>
      </c>
      <c r="AG81" s="62">
        <v>2</v>
      </c>
      <c r="AH81" s="62">
        <v>3</v>
      </c>
      <c r="AI81" s="62">
        <v>2</v>
      </c>
      <c r="AJ81" s="62">
        <v>3</v>
      </c>
      <c r="AK81" s="62">
        <v>3</v>
      </c>
      <c r="AL81" s="62">
        <v>1</v>
      </c>
      <c r="AM81" s="62">
        <v>1</v>
      </c>
      <c r="AN81" s="62">
        <v>1</v>
      </c>
      <c r="AO81" s="62">
        <v>3</v>
      </c>
      <c r="AP81" s="62">
        <v>2</v>
      </c>
      <c r="AQ81" s="62">
        <v>2</v>
      </c>
      <c r="AR81" s="62">
        <v>3</v>
      </c>
      <c r="AS81" s="62">
        <v>1</v>
      </c>
      <c r="AT81" s="62"/>
      <c r="AU81" s="62">
        <v>2</v>
      </c>
      <c r="AV81" s="62">
        <v>5</v>
      </c>
      <c r="AW81" s="62"/>
      <c r="AX81" s="62"/>
      <c r="AY81" s="62">
        <v>4</v>
      </c>
      <c r="AZ81" s="62">
        <v>1</v>
      </c>
      <c r="BA81" s="62">
        <v>1</v>
      </c>
      <c r="BB81" s="62">
        <v>2</v>
      </c>
      <c r="BC81" s="62">
        <v>1</v>
      </c>
      <c r="BD81" s="62">
        <v>3</v>
      </c>
      <c r="BE81" s="62"/>
      <c r="BF81" s="62">
        <v>2</v>
      </c>
      <c r="BG81" s="62">
        <v>1</v>
      </c>
      <c r="BH81" s="62">
        <v>3</v>
      </c>
    </row>
    <row r="82" spans="2:60" hidden="1" x14ac:dyDescent="0.2">
      <c r="B82" s="59"/>
      <c r="C82" s="59" t="s">
        <v>663</v>
      </c>
      <c r="D82" s="59" t="s">
        <v>651</v>
      </c>
      <c r="E82" s="63">
        <v>17</v>
      </c>
      <c r="F82" s="63">
        <v>14</v>
      </c>
      <c r="G82" s="63">
        <v>11</v>
      </c>
      <c r="H82" s="63">
        <v>14</v>
      </c>
      <c r="I82" s="63">
        <v>20</v>
      </c>
      <c r="J82" s="63">
        <v>19</v>
      </c>
      <c r="K82" s="63">
        <v>11</v>
      </c>
      <c r="L82" s="63">
        <v>11</v>
      </c>
      <c r="M82" s="63">
        <v>16</v>
      </c>
      <c r="N82" s="63">
        <v>14</v>
      </c>
      <c r="O82" s="63">
        <v>18</v>
      </c>
      <c r="P82" s="63">
        <v>7</v>
      </c>
      <c r="Q82" s="63">
        <v>19</v>
      </c>
      <c r="R82" s="63">
        <v>11</v>
      </c>
      <c r="S82" s="63">
        <v>19</v>
      </c>
      <c r="T82" s="63">
        <v>14</v>
      </c>
      <c r="U82" s="63">
        <v>14</v>
      </c>
      <c r="V82" s="63">
        <v>14</v>
      </c>
      <c r="W82" s="63">
        <v>17</v>
      </c>
      <c r="X82" s="63">
        <v>6</v>
      </c>
      <c r="Y82" s="63">
        <v>18</v>
      </c>
      <c r="Z82" s="63">
        <v>13</v>
      </c>
      <c r="AA82" s="63">
        <v>15</v>
      </c>
      <c r="AB82" s="63">
        <v>7</v>
      </c>
      <c r="AC82" s="63">
        <v>17</v>
      </c>
      <c r="AD82" s="63">
        <v>10</v>
      </c>
      <c r="AE82" s="63">
        <v>11</v>
      </c>
      <c r="AF82" s="63">
        <v>13</v>
      </c>
      <c r="AG82" s="63">
        <v>18</v>
      </c>
      <c r="AH82" s="63">
        <v>11</v>
      </c>
      <c r="AI82" s="63">
        <v>14</v>
      </c>
      <c r="AJ82" s="63">
        <v>20</v>
      </c>
      <c r="AK82" s="63">
        <v>6</v>
      </c>
      <c r="AL82" s="63">
        <v>13</v>
      </c>
      <c r="AM82" s="63">
        <v>10</v>
      </c>
      <c r="AN82" s="63">
        <v>6</v>
      </c>
      <c r="AO82" s="63">
        <v>8</v>
      </c>
      <c r="AP82" s="63">
        <v>14</v>
      </c>
      <c r="AQ82" s="63">
        <v>11</v>
      </c>
      <c r="AR82" s="63">
        <v>9</v>
      </c>
      <c r="AS82" s="63">
        <v>10</v>
      </c>
      <c r="AT82" s="63">
        <v>11</v>
      </c>
      <c r="AU82" s="63">
        <v>11</v>
      </c>
      <c r="AV82" s="63">
        <v>6</v>
      </c>
      <c r="AW82" s="63">
        <v>6</v>
      </c>
      <c r="AX82" s="63">
        <v>7</v>
      </c>
      <c r="AY82" s="63">
        <v>10</v>
      </c>
      <c r="AZ82" s="63">
        <v>5</v>
      </c>
      <c r="BA82" s="63">
        <v>9</v>
      </c>
      <c r="BB82" s="63">
        <v>7</v>
      </c>
      <c r="BC82" s="63">
        <v>8</v>
      </c>
      <c r="BD82" s="63">
        <v>11</v>
      </c>
      <c r="BE82" s="63">
        <v>7</v>
      </c>
      <c r="BF82" s="63">
        <v>6</v>
      </c>
      <c r="BG82" s="63">
        <v>8</v>
      </c>
      <c r="BH82" s="63">
        <v>8</v>
      </c>
    </row>
    <row r="83" spans="2:60" hidden="1" x14ac:dyDescent="0.2">
      <c r="B83" s="57"/>
      <c r="C83" s="57" t="s">
        <v>663</v>
      </c>
      <c r="D83" s="57" t="s">
        <v>652</v>
      </c>
      <c r="E83" s="62">
        <v>54</v>
      </c>
      <c r="F83" s="62">
        <v>39</v>
      </c>
      <c r="G83" s="62">
        <v>43</v>
      </c>
      <c r="H83" s="62">
        <v>48</v>
      </c>
      <c r="I83" s="62">
        <v>44</v>
      </c>
      <c r="J83" s="62">
        <v>44</v>
      </c>
      <c r="K83" s="62">
        <v>47</v>
      </c>
      <c r="L83" s="62">
        <v>47</v>
      </c>
      <c r="M83" s="62">
        <v>45</v>
      </c>
      <c r="N83" s="62">
        <v>45</v>
      </c>
      <c r="O83" s="62">
        <v>42</v>
      </c>
      <c r="P83" s="62">
        <v>45</v>
      </c>
      <c r="Q83" s="62">
        <v>45</v>
      </c>
      <c r="R83" s="62">
        <v>36</v>
      </c>
      <c r="S83" s="62">
        <v>44</v>
      </c>
      <c r="T83" s="62">
        <v>45</v>
      </c>
      <c r="U83" s="62">
        <v>61</v>
      </c>
      <c r="V83" s="62">
        <v>39</v>
      </c>
      <c r="W83" s="62">
        <v>33</v>
      </c>
      <c r="X83" s="62">
        <v>40</v>
      </c>
      <c r="Y83" s="62">
        <v>46</v>
      </c>
      <c r="Z83" s="62">
        <v>42</v>
      </c>
      <c r="AA83" s="62">
        <v>36</v>
      </c>
      <c r="AB83" s="62">
        <v>38</v>
      </c>
      <c r="AC83" s="62">
        <v>43</v>
      </c>
      <c r="AD83" s="62">
        <v>50</v>
      </c>
      <c r="AE83" s="62">
        <v>44</v>
      </c>
      <c r="AF83" s="62">
        <v>24</v>
      </c>
      <c r="AG83" s="62">
        <v>39</v>
      </c>
      <c r="AH83" s="62">
        <v>36</v>
      </c>
      <c r="AI83" s="62">
        <v>31</v>
      </c>
      <c r="AJ83" s="62">
        <v>36</v>
      </c>
      <c r="AK83" s="62">
        <v>34</v>
      </c>
      <c r="AL83" s="62">
        <v>32</v>
      </c>
      <c r="AM83" s="62">
        <v>31</v>
      </c>
      <c r="AN83" s="62">
        <v>24</v>
      </c>
      <c r="AO83" s="62">
        <v>37</v>
      </c>
      <c r="AP83" s="62">
        <v>33</v>
      </c>
      <c r="AQ83" s="62">
        <v>34</v>
      </c>
      <c r="AR83" s="62">
        <v>27</v>
      </c>
      <c r="AS83" s="62">
        <v>31</v>
      </c>
      <c r="AT83" s="62">
        <v>31</v>
      </c>
      <c r="AU83" s="62">
        <v>19</v>
      </c>
      <c r="AV83" s="62">
        <v>30</v>
      </c>
      <c r="AW83" s="62">
        <v>20</v>
      </c>
      <c r="AX83" s="62">
        <v>19</v>
      </c>
      <c r="AY83" s="62">
        <v>14</v>
      </c>
      <c r="AZ83" s="62">
        <v>17</v>
      </c>
      <c r="BA83" s="62">
        <v>21</v>
      </c>
      <c r="BB83" s="62">
        <v>18</v>
      </c>
      <c r="BC83" s="62">
        <v>15</v>
      </c>
      <c r="BD83" s="62">
        <v>19</v>
      </c>
      <c r="BE83" s="62">
        <v>20</v>
      </c>
      <c r="BF83" s="62">
        <v>13</v>
      </c>
      <c r="BG83" s="62">
        <v>24</v>
      </c>
      <c r="BH83" s="62">
        <v>16</v>
      </c>
    </row>
    <row r="84" spans="2:60" hidden="1" x14ac:dyDescent="0.2">
      <c r="B84" s="59"/>
      <c r="C84" s="59" t="s">
        <v>663</v>
      </c>
      <c r="D84" s="59" t="s">
        <v>653</v>
      </c>
      <c r="E84" s="63">
        <v>39</v>
      </c>
      <c r="F84" s="63">
        <v>19</v>
      </c>
      <c r="G84" s="63">
        <v>21</v>
      </c>
      <c r="H84" s="63">
        <v>20</v>
      </c>
      <c r="I84" s="63">
        <v>33</v>
      </c>
      <c r="J84" s="63">
        <v>21</v>
      </c>
      <c r="K84" s="63">
        <v>36</v>
      </c>
      <c r="L84" s="63">
        <v>22</v>
      </c>
      <c r="M84" s="63">
        <v>33</v>
      </c>
      <c r="N84" s="63">
        <v>29</v>
      </c>
      <c r="O84" s="63">
        <v>25</v>
      </c>
      <c r="P84" s="63">
        <v>33</v>
      </c>
      <c r="Q84" s="63">
        <v>27</v>
      </c>
      <c r="R84" s="63">
        <v>33</v>
      </c>
      <c r="S84" s="63">
        <v>21</v>
      </c>
      <c r="T84" s="63">
        <v>22</v>
      </c>
      <c r="U84" s="63">
        <v>30</v>
      </c>
      <c r="V84" s="63">
        <v>15</v>
      </c>
      <c r="W84" s="63">
        <v>19</v>
      </c>
      <c r="X84" s="63">
        <v>26</v>
      </c>
      <c r="Y84" s="63">
        <v>31</v>
      </c>
      <c r="Z84" s="63">
        <v>11</v>
      </c>
      <c r="AA84" s="63">
        <v>17</v>
      </c>
      <c r="AB84" s="63">
        <v>17</v>
      </c>
      <c r="AC84" s="63">
        <v>27</v>
      </c>
      <c r="AD84" s="63">
        <v>27</v>
      </c>
      <c r="AE84" s="63">
        <v>21</v>
      </c>
      <c r="AF84" s="63">
        <v>18</v>
      </c>
      <c r="AG84" s="63">
        <v>22</v>
      </c>
      <c r="AH84" s="63">
        <v>23</v>
      </c>
      <c r="AI84" s="63">
        <v>25</v>
      </c>
      <c r="AJ84" s="63">
        <v>16</v>
      </c>
      <c r="AK84" s="63">
        <v>15</v>
      </c>
      <c r="AL84" s="63">
        <v>18</v>
      </c>
      <c r="AM84" s="63">
        <v>28</v>
      </c>
      <c r="AN84" s="63">
        <v>17</v>
      </c>
      <c r="AO84" s="63">
        <v>18</v>
      </c>
      <c r="AP84" s="63">
        <v>16</v>
      </c>
      <c r="AQ84" s="63">
        <v>16</v>
      </c>
      <c r="AR84" s="63">
        <v>17</v>
      </c>
      <c r="AS84" s="63">
        <v>14</v>
      </c>
      <c r="AT84" s="63">
        <v>16</v>
      </c>
      <c r="AU84" s="63">
        <v>15</v>
      </c>
      <c r="AV84" s="63">
        <v>15</v>
      </c>
      <c r="AW84" s="63">
        <v>23</v>
      </c>
      <c r="AX84" s="63">
        <v>15</v>
      </c>
      <c r="AY84" s="63">
        <v>7</v>
      </c>
      <c r="AZ84" s="63">
        <v>10</v>
      </c>
      <c r="BA84" s="63">
        <v>14</v>
      </c>
      <c r="BB84" s="63">
        <v>14</v>
      </c>
      <c r="BC84" s="63">
        <v>16</v>
      </c>
      <c r="BD84" s="63">
        <v>13</v>
      </c>
      <c r="BE84" s="63">
        <v>9</v>
      </c>
      <c r="BF84" s="63">
        <v>12</v>
      </c>
      <c r="BG84" s="63">
        <v>14</v>
      </c>
      <c r="BH84" s="63">
        <v>11</v>
      </c>
    </row>
    <row r="85" spans="2:60" hidden="1" x14ac:dyDescent="0.2">
      <c r="B85" s="57"/>
      <c r="C85" s="57" t="s">
        <v>663</v>
      </c>
      <c r="D85" s="57" t="s">
        <v>654</v>
      </c>
      <c r="E85" s="62"/>
      <c r="F85" s="62"/>
      <c r="G85" s="62"/>
      <c r="H85" s="62"/>
      <c r="I85" s="62"/>
      <c r="J85" s="62"/>
      <c r="K85" s="62">
        <v>1</v>
      </c>
      <c r="L85" s="62"/>
      <c r="M85" s="62"/>
      <c r="N85" s="62"/>
      <c r="O85" s="62"/>
      <c r="P85" s="62">
        <v>1</v>
      </c>
      <c r="Q85" s="62"/>
      <c r="R85" s="62"/>
      <c r="S85" s="62"/>
      <c r="T85" s="62"/>
      <c r="U85" s="62">
        <v>1</v>
      </c>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row>
    <row r="86" spans="2:60" hidden="1" x14ac:dyDescent="0.2">
      <c r="B86" s="59"/>
      <c r="C86" s="59" t="s">
        <v>663</v>
      </c>
      <c r="D86" s="59" t="s">
        <v>655</v>
      </c>
      <c r="E86" s="63"/>
      <c r="F86" s="63"/>
      <c r="G86" s="63"/>
      <c r="H86" s="63"/>
      <c r="I86" s="63">
        <v>1</v>
      </c>
      <c r="J86" s="63"/>
      <c r="K86" s="63"/>
      <c r="L86" s="63"/>
      <c r="M86" s="63">
        <v>1</v>
      </c>
      <c r="N86" s="63"/>
      <c r="O86" s="63"/>
      <c r="P86" s="63"/>
      <c r="Q86" s="63">
        <v>1</v>
      </c>
      <c r="R86" s="63"/>
      <c r="S86" s="63"/>
      <c r="T86" s="63">
        <v>1</v>
      </c>
      <c r="U86" s="63"/>
      <c r="V86" s="63"/>
      <c r="W86" s="63"/>
      <c r="X86" s="63"/>
      <c r="Y86" s="63"/>
      <c r="Z86" s="63"/>
      <c r="AA86" s="63"/>
      <c r="AB86" s="63"/>
      <c r="AC86" s="63"/>
      <c r="AD86" s="63"/>
      <c r="AE86" s="63"/>
      <c r="AF86" s="63">
        <v>1</v>
      </c>
      <c r="AG86" s="63"/>
      <c r="AH86" s="63"/>
      <c r="AI86" s="63"/>
      <c r="AJ86" s="63"/>
      <c r="AK86" s="63"/>
      <c r="AL86" s="63"/>
      <c r="AM86" s="63"/>
      <c r="AN86" s="63"/>
      <c r="AO86" s="63"/>
      <c r="AP86" s="63"/>
      <c r="AQ86" s="63"/>
      <c r="AR86" s="63"/>
      <c r="AS86" s="63"/>
      <c r="AT86" s="63"/>
      <c r="AU86" s="63"/>
      <c r="AV86" s="63"/>
      <c r="AW86" s="63"/>
      <c r="AX86" s="63"/>
      <c r="AY86" s="63"/>
      <c r="AZ86" s="63">
        <v>1</v>
      </c>
      <c r="BA86" s="63"/>
      <c r="BB86" s="63"/>
      <c r="BC86" s="63"/>
      <c r="BD86" s="63"/>
      <c r="BE86" s="63"/>
      <c r="BF86" s="63"/>
      <c r="BG86" s="63"/>
      <c r="BH86" s="63"/>
    </row>
    <row r="87" spans="2:60" hidden="1" x14ac:dyDescent="0.2">
      <c r="B87" s="57"/>
      <c r="C87" s="57" t="s">
        <v>663</v>
      </c>
      <c r="D87" s="57" t="s">
        <v>699</v>
      </c>
      <c r="E87" s="62">
        <v>12</v>
      </c>
      <c r="F87" s="62">
        <v>16</v>
      </c>
      <c r="G87" s="62">
        <v>14</v>
      </c>
      <c r="H87" s="62">
        <v>14</v>
      </c>
      <c r="I87" s="62">
        <v>14</v>
      </c>
      <c r="J87" s="62">
        <v>10</v>
      </c>
      <c r="K87" s="62">
        <v>18</v>
      </c>
      <c r="L87" s="62">
        <v>7</v>
      </c>
      <c r="M87" s="62">
        <v>17</v>
      </c>
      <c r="N87" s="62">
        <v>8</v>
      </c>
      <c r="O87" s="62">
        <v>8</v>
      </c>
      <c r="P87" s="62">
        <v>12</v>
      </c>
      <c r="Q87" s="62">
        <v>9</v>
      </c>
      <c r="R87" s="62">
        <v>8</v>
      </c>
      <c r="S87" s="62">
        <v>12</v>
      </c>
      <c r="T87" s="62">
        <v>5</v>
      </c>
      <c r="U87" s="62">
        <v>11</v>
      </c>
      <c r="V87" s="62">
        <v>9</v>
      </c>
      <c r="W87" s="62">
        <v>11</v>
      </c>
      <c r="X87" s="62">
        <v>8</v>
      </c>
      <c r="Y87" s="62">
        <v>7</v>
      </c>
      <c r="Z87" s="62">
        <v>8</v>
      </c>
      <c r="AA87" s="62">
        <v>8</v>
      </c>
      <c r="AB87" s="62">
        <v>6</v>
      </c>
      <c r="AC87" s="62">
        <v>8</v>
      </c>
      <c r="AD87" s="62">
        <v>9</v>
      </c>
      <c r="AE87" s="62">
        <v>6</v>
      </c>
      <c r="AF87" s="62">
        <v>4</v>
      </c>
      <c r="AG87" s="62">
        <v>10</v>
      </c>
      <c r="AH87" s="62">
        <v>9</v>
      </c>
      <c r="AI87" s="62">
        <v>5</v>
      </c>
      <c r="AJ87" s="62">
        <v>8</v>
      </c>
      <c r="AK87" s="62">
        <v>16</v>
      </c>
      <c r="AL87" s="62">
        <v>5</v>
      </c>
      <c r="AM87" s="62">
        <v>4</v>
      </c>
      <c r="AN87" s="62">
        <v>5</v>
      </c>
      <c r="AO87" s="62">
        <v>5</v>
      </c>
      <c r="AP87" s="62">
        <v>8</v>
      </c>
      <c r="AQ87" s="62">
        <v>2</v>
      </c>
      <c r="AR87" s="62">
        <v>6</v>
      </c>
      <c r="AS87" s="62">
        <v>6</v>
      </c>
      <c r="AT87" s="62">
        <v>9</v>
      </c>
      <c r="AU87" s="62">
        <v>3</v>
      </c>
      <c r="AV87" s="62">
        <v>3</v>
      </c>
      <c r="AW87" s="62">
        <v>3</v>
      </c>
      <c r="AX87" s="62">
        <v>4</v>
      </c>
      <c r="AY87" s="62">
        <v>3</v>
      </c>
      <c r="AZ87" s="62">
        <v>1</v>
      </c>
      <c r="BA87" s="62">
        <v>2</v>
      </c>
      <c r="BB87" s="62">
        <v>2</v>
      </c>
      <c r="BC87" s="62"/>
      <c r="BD87" s="62">
        <v>5</v>
      </c>
      <c r="BE87" s="62">
        <v>3</v>
      </c>
      <c r="BF87" s="62">
        <v>1</v>
      </c>
      <c r="BG87" s="62">
        <v>5</v>
      </c>
      <c r="BH87" s="62">
        <v>3</v>
      </c>
    </row>
    <row r="88" spans="2:60" hidden="1" x14ac:dyDescent="0.2">
      <c r="B88" s="59"/>
      <c r="C88" s="59" t="s">
        <v>663</v>
      </c>
      <c r="D88" s="59" t="s">
        <v>656</v>
      </c>
      <c r="E88" s="63">
        <v>153</v>
      </c>
      <c r="F88" s="63">
        <v>102</v>
      </c>
      <c r="G88" s="63">
        <v>105</v>
      </c>
      <c r="H88" s="63">
        <v>114</v>
      </c>
      <c r="I88" s="63">
        <v>142</v>
      </c>
      <c r="J88" s="63">
        <v>116</v>
      </c>
      <c r="K88" s="63">
        <v>136</v>
      </c>
      <c r="L88" s="63">
        <v>112</v>
      </c>
      <c r="M88" s="63">
        <v>138</v>
      </c>
      <c r="N88" s="63">
        <v>118</v>
      </c>
      <c r="O88" s="63">
        <v>108</v>
      </c>
      <c r="P88" s="63">
        <v>111</v>
      </c>
      <c r="Q88" s="63">
        <v>121</v>
      </c>
      <c r="R88" s="63">
        <v>106</v>
      </c>
      <c r="S88" s="63">
        <v>108</v>
      </c>
      <c r="T88" s="63">
        <v>103</v>
      </c>
      <c r="U88" s="63">
        <v>137</v>
      </c>
      <c r="V88" s="63">
        <v>98</v>
      </c>
      <c r="W88" s="63">
        <v>95</v>
      </c>
      <c r="X88" s="63">
        <v>96</v>
      </c>
      <c r="Y88" s="63">
        <v>118</v>
      </c>
      <c r="Z88" s="63">
        <v>88</v>
      </c>
      <c r="AA88" s="63">
        <v>90</v>
      </c>
      <c r="AB88" s="63">
        <v>92</v>
      </c>
      <c r="AC88" s="63">
        <v>126</v>
      </c>
      <c r="AD88" s="63">
        <v>122</v>
      </c>
      <c r="AE88" s="63">
        <v>93</v>
      </c>
      <c r="AF88" s="63">
        <v>79</v>
      </c>
      <c r="AG88" s="63">
        <v>112</v>
      </c>
      <c r="AH88" s="63">
        <v>98</v>
      </c>
      <c r="AI88" s="63">
        <v>88</v>
      </c>
      <c r="AJ88" s="63">
        <v>106</v>
      </c>
      <c r="AK88" s="63">
        <v>86</v>
      </c>
      <c r="AL88" s="63">
        <v>88</v>
      </c>
      <c r="AM88" s="63">
        <v>101</v>
      </c>
      <c r="AN88" s="63">
        <v>67</v>
      </c>
      <c r="AO88" s="63">
        <v>91</v>
      </c>
      <c r="AP88" s="63">
        <v>84</v>
      </c>
      <c r="AQ88" s="63">
        <v>78</v>
      </c>
      <c r="AR88" s="63">
        <v>76</v>
      </c>
      <c r="AS88" s="63">
        <v>72</v>
      </c>
      <c r="AT88" s="63">
        <v>88</v>
      </c>
      <c r="AU88" s="63">
        <v>64</v>
      </c>
      <c r="AV88" s="63">
        <v>70</v>
      </c>
      <c r="AW88" s="63">
        <v>61</v>
      </c>
      <c r="AX88" s="63">
        <v>59</v>
      </c>
      <c r="AY88" s="63">
        <v>50</v>
      </c>
      <c r="AZ88" s="63">
        <v>47</v>
      </c>
      <c r="BA88" s="63">
        <v>58</v>
      </c>
      <c r="BB88" s="63">
        <v>52</v>
      </c>
      <c r="BC88" s="63">
        <v>51</v>
      </c>
      <c r="BD88" s="63">
        <v>58</v>
      </c>
      <c r="BE88" s="63">
        <v>52</v>
      </c>
      <c r="BF88" s="63">
        <v>39</v>
      </c>
      <c r="BG88" s="63">
        <v>65</v>
      </c>
      <c r="BH88" s="63">
        <v>46</v>
      </c>
    </row>
    <row r="89" spans="2:60" hidden="1" x14ac:dyDescent="0.2">
      <c r="B89" s="57"/>
      <c r="C89" s="57" t="s">
        <v>664</v>
      </c>
      <c r="D89" s="57" t="s">
        <v>648</v>
      </c>
      <c r="E89" s="62">
        <v>2</v>
      </c>
      <c r="F89" s="62">
        <v>2</v>
      </c>
      <c r="G89" s="62">
        <v>6</v>
      </c>
      <c r="H89" s="62">
        <v>2</v>
      </c>
      <c r="I89" s="62">
        <v>2</v>
      </c>
      <c r="J89" s="62">
        <v>3</v>
      </c>
      <c r="K89" s="62">
        <v>1</v>
      </c>
      <c r="L89" s="62">
        <v>3</v>
      </c>
      <c r="M89" s="62">
        <v>1</v>
      </c>
      <c r="N89" s="62">
        <v>2</v>
      </c>
      <c r="O89" s="62">
        <v>3</v>
      </c>
      <c r="P89" s="62">
        <v>2</v>
      </c>
      <c r="Q89" s="62">
        <v>5</v>
      </c>
      <c r="R89" s="62">
        <v>3</v>
      </c>
      <c r="S89" s="62">
        <v>1</v>
      </c>
      <c r="T89" s="62">
        <v>4</v>
      </c>
      <c r="U89" s="62">
        <v>3</v>
      </c>
      <c r="V89" s="62">
        <v>1</v>
      </c>
      <c r="W89" s="62">
        <v>5</v>
      </c>
      <c r="X89" s="62">
        <v>8</v>
      </c>
      <c r="Y89" s="62"/>
      <c r="Z89" s="62">
        <v>4</v>
      </c>
      <c r="AA89" s="62">
        <v>3</v>
      </c>
      <c r="AB89" s="62">
        <v>3</v>
      </c>
      <c r="AC89" s="62">
        <v>6</v>
      </c>
      <c r="AD89" s="62">
        <v>3</v>
      </c>
      <c r="AE89" s="62">
        <v>6</v>
      </c>
      <c r="AF89" s="62">
        <v>5</v>
      </c>
      <c r="AG89" s="62"/>
      <c r="AH89" s="62">
        <v>1</v>
      </c>
      <c r="AI89" s="62">
        <v>5</v>
      </c>
      <c r="AJ89" s="62">
        <v>6</v>
      </c>
      <c r="AK89" s="62">
        <v>3</v>
      </c>
      <c r="AL89" s="62">
        <v>3</v>
      </c>
      <c r="AM89" s="62">
        <v>1</v>
      </c>
      <c r="AN89" s="62">
        <v>1</v>
      </c>
      <c r="AO89" s="62">
        <v>3</v>
      </c>
      <c r="AP89" s="62"/>
      <c r="AQ89" s="62">
        <v>5</v>
      </c>
      <c r="AR89" s="62">
        <v>3</v>
      </c>
      <c r="AS89" s="62">
        <v>3</v>
      </c>
      <c r="AT89" s="62">
        <v>4</v>
      </c>
      <c r="AU89" s="62">
        <v>7</v>
      </c>
      <c r="AV89" s="62">
        <v>2</v>
      </c>
      <c r="AW89" s="62">
        <v>5</v>
      </c>
      <c r="AX89" s="62">
        <v>3</v>
      </c>
      <c r="AY89" s="62">
        <v>2</v>
      </c>
      <c r="AZ89" s="62">
        <v>6</v>
      </c>
      <c r="BA89" s="62">
        <v>3</v>
      </c>
      <c r="BB89" s="62">
        <v>5</v>
      </c>
      <c r="BC89" s="62">
        <v>1</v>
      </c>
      <c r="BD89" s="62"/>
      <c r="BE89" s="62">
        <v>5</v>
      </c>
      <c r="BF89" s="62">
        <v>3</v>
      </c>
      <c r="BG89" s="62">
        <v>6</v>
      </c>
      <c r="BH89" s="62">
        <v>5</v>
      </c>
    </row>
    <row r="90" spans="2:60" hidden="1" x14ac:dyDescent="0.2">
      <c r="B90" s="59"/>
      <c r="C90" s="59" t="s">
        <v>664</v>
      </c>
      <c r="D90" s="59" t="s">
        <v>649</v>
      </c>
      <c r="E90" s="63">
        <v>6</v>
      </c>
      <c r="F90" s="63">
        <v>12</v>
      </c>
      <c r="G90" s="63">
        <v>4</v>
      </c>
      <c r="H90" s="63">
        <v>3</v>
      </c>
      <c r="I90" s="63">
        <v>1</v>
      </c>
      <c r="J90" s="63">
        <v>3</v>
      </c>
      <c r="K90" s="63">
        <v>4</v>
      </c>
      <c r="L90" s="63">
        <v>7</v>
      </c>
      <c r="M90" s="63">
        <v>5</v>
      </c>
      <c r="N90" s="63">
        <v>3</v>
      </c>
      <c r="O90" s="63">
        <v>5</v>
      </c>
      <c r="P90" s="63">
        <v>3</v>
      </c>
      <c r="Q90" s="63">
        <v>5</v>
      </c>
      <c r="R90" s="63">
        <v>1</v>
      </c>
      <c r="S90" s="63">
        <v>6</v>
      </c>
      <c r="T90" s="63">
        <v>6</v>
      </c>
      <c r="U90" s="63">
        <v>9</v>
      </c>
      <c r="V90" s="63">
        <v>10</v>
      </c>
      <c r="W90" s="63">
        <v>11</v>
      </c>
      <c r="X90" s="63">
        <v>8</v>
      </c>
      <c r="Y90" s="63">
        <v>5</v>
      </c>
      <c r="Z90" s="63">
        <v>8</v>
      </c>
      <c r="AA90" s="63">
        <v>5</v>
      </c>
      <c r="AB90" s="63">
        <v>13</v>
      </c>
      <c r="AC90" s="63">
        <v>9</v>
      </c>
      <c r="AD90" s="63">
        <v>9</v>
      </c>
      <c r="AE90" s="63">
        <v>10</v>
      </c>
      <c r="AF90" s="63">
        <v>7</v>
      </c>
      <c r="AG90" s="63">
        <v>4</v>
      </c>
      <c r="AH90" s="63">
        <v>6</v>
      </c>
      <c r="AI90" s="63">
        <v>10</v>
      </c>
      <c r="AJ90" s="63">
        <v>10</v>
      </c>
      <c r="AK90" s="63">
        <v>5</v>
      </c>
      <c r="AL90" s="63">
        <v>6</v>
      </c>
      <c r="AM90" s="63">
        <v>6</v>
      </c>
      <c r="AN90" s="63">
        <v>5</v>
      </c>
      <c r="AO90" s="63">
        <v>1</v>
      </c>
      <c r="AP90" s="63">
        <v>5</v>
      </c>
      <c r="AQ90" s="63">
        <v>11</v>
      </c>
      <c r="AR90" s="63">
        <v>12</v>
      </c>
      <c r="AS90" s="63">
        <v>9</v>
      </c>
      <c r="AT90" s="63">
        <v>7</v>
      </c>
      <c r="AU90" s="63">
        <v>4</v>
      </c>
      <c r="AV90" s="63">
        <v>8</v>
      </c>
      <c r="AW90" s="63">
        <v>5</v>
      </c>
      <c r="AX90" s="63">
        <v>7</v>
      </c>
      <c r="AY90" s="63">
        <v>6</v>
      </c>
      <c r="AZ90" s="63">
        <v>10</v>
      </c>
      <c r="BA90" s="63">
        <v>5</v>
      </c>
      <c r="BB90" s="63">
        <v>7</v>
      </c>
      <c r="BC90" s="63">
        <v>3</v>
      </c>
      <c r="BD90" s="63">
        <v>3</v>
      </c>
      <c r="BE90" s="63">
        <v>4</v>
      </c>
      <c r="BF90" s="63">
        <v>8</v>
      </c>
      <c r="BG90" s="63">
        <v>2</v>
      </c>
      <c r="BH90" s="63">
        <v>7</v>
      </c>
    </row>
    <row r="91" spans="2:60" hidden="1" x14ac:dyDescent="0.2">
      <c r="B91" s="57"/>
      <c r="C91" s="57" t="s">
        <v>664</v>
      </c>
      <c r="D91" s="57" t="s">
        <v>650</v>
      </c>
      <c r="E91" s="62"/>
      <c r="F91" s="62"/>
      <c r="G91" s="62"/>
      <c r="H91" s="62"/>
      <c r="I91" s="62"/>
      <c r="J91" s="62"/>
      <c r="K91" s="62"/>
      <c r="L91" s="62"/>
      <c r="M91" s="62">
        <v>1</v>
      </c>
      <c r="N91" s="62"/>
      <c r="O91" s="62"/>
      <c r="P91" s="62"/>
      <c r="Q91" s="62"/>
      <c r="R91" s="62">
        <v>2</v>
      </c>
      <c r="S91" s="62">
        <v>1</v>
      </c>
      <c r="T91" s="62"/>
      <c r="U91" s="62">
        <v>2</v>
      </c>
      <c r="V91" s="62"/>
      <c r="W91" s="62">
        <v>1</v>
      </c>
      <c r="X91" s="62"/>
      <c r="Y91" s="62"/>
      <c r="Z91" s="62">
        <v>3</v>
      </c>
      <c r="AA91" s="62">
        <v>1</v>
      </c>
      <c r="AB91" s="62"/>
      <c r="AC91" s="62"/>
      <c r="AD91" s="62"/>
      <c r="AE91" s="62"/>
      <c r="AF91" s="62">
        <v>2</v>
      </c>
      <c r="AG91" s="62">
        <v>1</v>
      </c>
      <c r="AH91" s="62"/>
      <c r="AI91" s="62"/>
      <c r="AJ91" s="62"/>
      <c r="AK91" s="62">
        <v>2</v>
      </c>
      <c r="AL91" s="62">
        <v>1</v>
      </c>
      <c r="AM91" s="62">
        <v>1</v>
      </c>
      <c r="AN91" s="62">
        <v>3</v>
      </c>
      <c r="AO91" s="62"/>
      <c r="AP91" s="62"/>
      <c r="AQ91" s="62"/>
      <c r="AR91" s="62">
        <v>1</v>
      </c>
      <c r="AS91" s="62">
        <v>2</v>
      </c>
      <c r="AT91" s="62"/>
      <c r="AU91" s="62"/>
      <c r="AV91" s="62"/>
      <c r="AW91" s="62">
        <v>1</v>
      </c>
      <c r="AX91" s="62">
        <v>1</v>
      </c>
      <c r="AY91" s="62"/>
      <c r="AZ91" s="62"/>
      <c r="BA91" s="62"/>
      <c r="BB91" s="62"/>
      <c r="BC91" s="62"/>
      <c r="BD91" s="62">
        <v>2</v>
      </c>
      <c r="BE91" s="62">
        <v>1</v>
      </c>
      <c r="BF91" s="62">
        <v>1</v>
      </c>
      <c r="BG91" s="62">
        <v>1</v>
      </c>
      <c r="BH91" s="62">
        <v>1</v>
      </c>
    </row>
    <row r="92" spans="2:60" hidden="1" x14ac:dyDescent="0.2">
      <c r="B92" s="59"/>
      <c r="C92" s="59" t="s">
        <v>664</v>
      </c>
      <c r="D92" s="59" t="s">
        <v>651</v>
      </c>
      <c r="E92" s="63">
        <v>5</v>
      </c>
      <c r="F92" s="63">
        <v>3</v>
      </c>
      <c r="G92" s="63">
        <v>1</v>
      </c>
      <c r="H92" s="63">
        <v>1</v>
      </c>
      <c r="I92" s="63">
        <v>6</v>
      </c>
      <c r="J92" s="63">
        <v>2</v>
      </c>
      <c r="K92" s="63">
        <v>4</v>
      </c>
      <c r="L92" s="63">
        <v>4</v>
      </c>
      <c r="M92" s="63">
        <v>2</v>
      </c>
      <c r="N92" s="63">
        <v>3</v>
      </c>
      <c r="O92" s="63">
        <v>5</v>
      </c>
      <c r="P92" s="63">
        <v>1</v>
      </c>
      <c r="Q92" s="63">
        <v>2</v>
      </c>
      <c r="R92" s="63">
        <v>3</v>
      </c>
      <c r="S92" s="63">
        <v>4</v>
      </c>
      <c r="T92" s="63">
        <v>5</v>
      </c>
      <c r="U92" s="63">
        <v>2</v>
      </c>
      <c r="V92" s="63">
        <v>1</v>
      </c>
      <c r="W92" s="63">
        <v>5</v>
      </c>
      <c r="X92" s="63">
        <v>2</v>
      </c>
      <c r="Y92" s="63">
        <v>4</v>
      </c>
      <c r="Z92" s="63"/>
      <c r="AA92" s="63">
        <v>2</v>
      </c>
      <c r="AB92" s="63">
        <v>4</v>
      </c>
      <c r="AC92" s="63">
        <v>3</v>
      </c>
      <c r="AD92" s="63">
        <v>5</v>
      </c>
      <c r="AE92" s="63">
        <v>1</v>
      </c>
      <c r="AF92" s="63">
        <v>2</v>
      </c>
      <c r="AG92" s="63">
        <v>2</v>
      </c>
      <c r="AH92" s="63">
        <v>5</v>
      </c>
      <c r="AI92" s="63">
        <v>4</v>
      </c>
      <c r="AJ92" s="63">
        <v>4</v>
      </c>
      <c r="AK92" s="63"/>
      <c r="AL92" s="63">
        <v>3</v>
      </c>
      <c r="AM92" s="63">
        <v>4</v>
      </c>
      <c r="AN92" s="63">
        <v>5</v>
      </c>
      <c r="AO92" s="63">
        <v>3</v>
      </c>
      <c r="AP92" s="63">
        <v>6</v>
      </c>
      <c r="AQ92" s="63">
        <v>2</v>
      </c>
      <c r="AR92" s="63">
        <v>2</v>
      </c>
      <c r="AS92" s="63"/>
      <c r="AT92" s="63">
        <v>3</v>
      </c>
      <c r="AU92" s="63">
        <v>2</v>
      </c>
      <c r="AV92" s="63">
        <v>2</v>
      </c>
      <c r="AW92" s="63">
        <v>1</v>
      </c>
      <c r="AX92" s="63">
        <v>3</v>
      </c>
      <c r="AY92" s="63">
        <v>2</v>
      </c>
      <c r="AZ92" s="63">
        <v>5</v>
      </c>
      <c r="BA92" s="63">
        <v>2</v>
      </c>
      <c r="BB92" s="63">
        <v>2</v>
      </c>
      <c r="BC92" s="63">
        <v>2</v>
      </c>
      <c r="BD92" s="63">
        <v>4</v>
      </c>
      <c r="BE92" s="63">
        <v>4</v>
      </c>
      <c r="BF92" s="63">
        <v>3</v>
      </c>
      <c r="BG92" s="63">
        <v>2</v>
      </c>
      <c r="BH92" s="63">
        <v>4</v>
      </c>
    </row>
    <row r="93" spans="2:60" hidden="1" x14ac:dyDescent="0.2">
      <c r="B93" s="57"/>
      <c r="C93" s="57" t="s">
        <v>664</v>
      </c>
      <c r="D93" s="57" t="s">
        <v>652</v>
      </c>
      <c r="E93" s="62">
        <v>18</v>
      </c>
      <c r="F93" s="62">
        <v>7</v>
      </c>
      <c r="G93" s="62">
        <v>15</v>
      </c>
      <c r="H93" s="62">
        <v>13</v>
      </c>
      <c r="I93" s="62">
        <v>19</v>
      </c>
      <c r="J93" s="62">
        <v>16</v>
      </c>
      <c r="K93" s="62">
        <v>15</v>
      </c>
      <c r="L93" s="62">
        <v>15</v>
      </c>
      <c r="M93" s="62">
        <v>10</v>
      </c>
      <c r="N93" s="62">
        <v>23</v>
      </c>
      <c r="O93" s="62">
        <v>23</v>
      </c>
      <c r="P93" s="62">
        <v>12</v>
      </c>
      <c r="Q93" s="62">
        <v>16</v>
      </c>
      <c r="R93" s="62">
        <v>15</v>
      </c>
      <c r="S93" s="62">
        <v>17</v>
      </c>
      <c r="T93" s="62">
        <v>16</v>
      </c>
      <c r="U93" s="62">
        <v>8</v>
      </c>
      <c r="V93" s="62">
        <v>17</v>
      </c>
      <c r="W93" s="62">
        <v>20</v>
      </c>
      <c r="X93" s="62">
        <v>21</v>
      </c>
      <c r="Y93" s="62">
        <v>19</v>
      </c>
      <c r="Z93" s="62">
        <v>12</v>
      </c>
      <c r="AA93" s="62">
        <v>11</v>
      </c>
      <c r="AB93" s="62">
        <v>22</v>
      </c>
      <c r="AC93" s="62">
        <v>13</v>
      </c>
      <c r="AD93" s="62">
        <v>8</v>
      </c>
      <c r="AE93" s="62">
        <v>13</v>
      </c>
      <c r="AF93" s="62">
        <v>22</v>
      </c>
      <c r="AG93" s="62">
        <v>15</v>
      </c>
      <c r="AH93" s="62">
        <v>18</v>
      </c>
      <c r="AI93" s="62">
        <v>14</v>
      </c>
      <c r="AJ93" s="62">
        <v>23</v>
      </c>
      <c r="AK93" s="62">
        <v>21</v>
      </c>
      <c r="AL93" s="62">
        <v>20</v>
      </c>
      <c r="AM93" s="62">
        <v>19</v>
      </c>
      <c r="AN93" s="62">
        <v>20</v>
      </c>
      <c r="AO93" s="62">
        <v>17</v>
      </c>
      <c r="AP93" s="62">
        <v>15</v>
      </c>
      <c r="AQ93" s="62">
        <v>9</v>
      </c>
      <c r="AR93" s="62">
        <v>24</v>
      </c>
      <c r="AS93" s="62">
        <v>18</v>
      </c>
      <c r="AT93" s="62">
        <v>13</v>
      </c>
      <c r="AU93" s="62">
        <v>21</v>
      </c>
      <c r="AV93" s="62">
        <v>20</v>
      </c>
      <c r="AW93" s="62">
        <v>14</v>
      </c>
      <c r="AX93" s="62">
        <v>22</v>
      </c>
      <c r="AY93" s="62">
        <v>15</v>
      </c>
      <c r="AZ93" s="62">
        <v>16</v>
      </c>
      <c r="BA93" s="62">
        <v>10</v>
      </c>
      <c r="BB93" s="62">
        <v>15</v>
      </c>
      <c r="BC93" s="62">
        <v>7</v>
      </c>
      <c r="BD93" s="62">
        <v>12</v>
      </c>
      <c r="BE93" s="62">
        <v>13</v>
      </c>
      <c r="BF93" s="62">
        <v>8</v>
      </c>
      <c r="BG93" s="62">
        <v>9</v>
      </c>
      <c r="BH93" s="62">
        <v>7</v>
      </c>
    </row>
    <row r="94" spans="2:60" hidden="1" x14ac:dyDescent="0.2">
      <c r="B94" s="59"/>
      <c r="C94" s="59" t="s">
        <v>664</v>
      </c>
      <c r="D94" s="59" t="s">
        <v>653</v>
      </c>
      <c r="E94" s="63">
        <v>7</v>
      </c>
      <c r="F94" s="63">
        <v>5</v>
      </c>
      <c r="G94" s="63">
        <v>5</v>
      </c>
      <c r="H94" s="63">
        <v>7</v>
      </c>
      <c r="I94" s="63">
        <v>7</v>
      </c>
      <c r="J94" s="63">
        <v>7</v>
      </c>
      <c r="K94" s="63">
        <v>15</v>
      </c>
      <c r="L94" s="63">
        <v>6</v>
      </c>
      <c r="M94" s="63">
        <v>14</v>
      </c>
      <c r="N94" s="63">
        <v>7</v>
      </c>
      <c r="O94" s="63">
        <v>8</v>
      </c>
      <c r="P94" s="63">
        <v>9</v>
      </c>
      <c r="Q94" s="63">
        <v>15</v>
      </c>
      <c r="R94" s="63">
        <v>12</v>
      </c>
      <c r="S94" s="63">
        <v>11</v>
      </c>
      <c r="T94" s="63">
        <v>13</v>
      </c>
      <c r="U94" s="63">
        <v>7</v>
      </c>
      <c r="V94" s="63">
        <v>10</v>
      </c>
      <c r="W94" s="63">
        <v>15</v>
      </c>
      <c r="X94" s="63">
        <v>6</v>
      </c>
      <c r="Y94" s="63">
        <v>8</v>
      </c>
      <c r="Z94" s="63">
        <v>9</v>
      </c>
      <c r="AA94" s="63">
        <v>6</v>
      </c>
      <c r="AB94" s="63">
        <v>7</v>
      </c>
      <c r="AC94" s="63">
        <v>6</v>
      </c>
      <c r="AD94" s="63">
        <v>5</v>
      </c>
      <c r="AE94" s="63">
        <v>4</v>
      </c>
      <c r="AF94" s="63">
        <v>13</v>
      </c>
      <c r="AG94" s="63">
        <v>5</v>
      </c>
      <c r="AH94" s="63">
        <v>14</v>
      </c>
      <c r="AI94" s="63">
        <v>8</v>
      </c>
      <c r="AJ94" s="63">
        <v>5</v>
      </c>
      <c r="AK94" s="63">
        <v>5</v>
      </c>
      <c r="AL94" s="63">
        <v>14</v>
      </c>
      <c r="AM94" s="63">
        <v>8</v>
      </c>
      <c r="AN94" s="63">
        <v>6</v>
      </c>
      <c r="AO94" s="63">
        <v>3</v>
      </c>
      <c r="AP94" s="63">
        <v>5</v>
      </c>
      <c r="AQ94" s="63">
        <v>8</v>
      </c>
      <c r="AR94" s="63"/>
      <c r="AS94" s="63">
        <v>7</v>
      </c>
      <c r="AT94" s="63">
        <v>3</v>
      </c>
      <c r="AU94" s="63">
        <v>6</v>
      </c>
      <c r="AV94" s="63">
        <v>5</v>
      </c>
      <c r="AW94" s="63">
        <v>3</v>
      </c>
      <c r="AX94" s="63">
        <v>8</v>
      </c>
      <c r="AY94" s="63">
        <v>4</v>
      </c>
      <c r="AZ94" s="63">
        <v>5</v>
      </c>
      <c r="BA94" s="63">
        <v>6</v>
      </c>
      <c r="BB94" s="63">
        <v>6</v>
      </c>
      <c r="BC94" s="63">
        <v>2</v>
      </c>
      <c r="BD94" s="63">
        <v>6</v>
      </c>
      <c r="BE94" s="63">
        <v>4</v>
      </c>
      <c r="BF94" s="63">
        <v>3</v>
      </c>
      <c r="BG94" s="63">
        <v>4</v>
      </c>
      <c r="BH94" s="63">
        <v>5</v>
      </c>
    </row>
    <row r="95" spans="2:60" hidden="1" x14ac:dyDescent="0.2">
      <c r="B95" s="57"/>
      <c r="C95" s="57" t="s">
        <v>664</v>
      </c>
      <c r="D95" s="57" t="s">
        <v>654</v>
      </c>
      <c r="E95" s="62">
        <v>1</v>
      </c>
      <c r="F95" s="62"/>
      <c r="G95" s="62"/>
      <c r="H95" s="62"/>
      <c r="I95" s="62"/>
      <c r="J95" s="62"/>
      <c r="K95" s="62"/>
      <c r="L95" s="62"/>
      <c r="M95" s="62"/>
      <c r="N95" s="62"/>
      <c r="O95" s="62"/>
      <c r="P95" s="62"/>
      <c r="Q95" s="62"/>
      <c r="R95" s="62"/>
      <c r="S95" s="62"/>
      <c r="T95" s="62"/>
      <c r="U95" s="62"/>
      <c r="V95" s="62">
        <v>1</v>
      </c>
      <c r="W95" s="62"/>
      <c r="X95" s="62"/>
      <c r="Y95" s="62"/>
      <c r="Z95" s="62"/>
      <c r="AA95" s="62">
        <v>1</v>
      </c>
      <c r="AB95" s="62"/>
      <c r="AC95" s="62"/>
      <c r="AD95" s="62">
        <v>1</v>
      </c>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row>
    <row r="96" spans="2:60" hidden="1" x14ac:dyDescent="0.2">
      <c r="B96" s="59"/>
      <c r="C96" s="59" t="s">
        <v>664</v>
      </c>
      <c r="D96" s="59" t="s">
        <v>655</v>
      </c>
      <c r="E96" s="63"/>
      <c r="F96" s="63"/>
      <c r="G96" s="63"/>
      <c r="H96" s="63"/>
      <c r="I96" s="63"/>
      <c r="J96" s="63"/>
      <c r="K96" s="63"/>
      <c r="L96" s="63"/>
      <c r="M96" s="63"/>
      <c r="N96" s="63"/>
      <c r="O96" s="63"/>
      <c r="P96" s="63">
        <v>4</v>
      </c>
      <c r="Q96" s="63"/>
      <c r="R96" s="63"/>
      <c r="S96" s="63">
        <v>2</v>
      </c>
      <c r="T96" s="63"/>
      <c r="U96" s="63">
        <v>1</v>
      </c>
      <c r="V96" s="63"/>
      <c r="W96" s="63"/>
      <c r="X96" s="63"/>
      <c r="Y96" s="63">
        <v>1</v>
      </c>
      <c r="Z96" s="63"/>
      <c r="AA96" s="63">
        <v>1</v>
      </c>
      <c r="AB96" s="63"/>
      <c r="AC96" s="63"/>
      <c r="AD96" s="63"/>
      <c r="AE96" s="63"/>
      <c r="AF96" s="63"/>
      <c r="AG96" s="63"/>
      <c r="AH96" s="63"/>
      <c r="AI96" s="63"/>
      <c r="AJ96" s="63">
        <v>1</v>
      </c>
      <c r="AK96" s="63">
        <v>1</v>
      </c>
      <c r="AL96" s="63"/>
      <c r="AM96" s="63"/>
      <c r="AN96" s="63"/>
      <c r="AO96" s="63"/>
      <c r="AP96" s="63">
        <v>1</v>
      </c>
      <c r="AQ96" s="63"/>
      <c r="AR96" s="63"/>
      <c r="AS96" s="63"/>
      <c r="AT96" s="63"/>
      <c r="AU96" s="63"/>
      <c r="AV96" s="63">
        <v>1</v>
      </c>
      <c r="AW96" s="63"/>
      <c r="AX96" s="63"/>
      <c r="AY96" s="63"/>
      <c r="AZ96" s="63"/>
      <c r="BA96" s="63"/>
      <c r="BB96" s="63"/>
      <c r="BC96" s="63"/>
      <c r="BD96" s="63"/>
      <c r="BE96" s="63"/>
      <c r="BF96" s="63"/>
      <c r="BG96" s="63"/>
      <c r="BH96" s="63"/>
    </row>
    <row r="97" spans="2:60" hidden="1" x14ac:dyDescent="0.2">
      <c r="B97" s="57"/>
      <c r="C97" s="57" t="s">
        <v>664</v>
      </c>
      <c r="D97" s="57" t="s">
        <v>699</v>
      </c>
      <c r="E97" s="62">
        <v>3</v>
      </c>
      <c r="F97" s="62">
        <v>3</v>
      </c>
      <c r="G97" s="62">
        <v>4</v>
      </c>
      <c r="H97" s="62">
        <v>4</v>
      </c>
      <c r="I97" s="62">
        <v>2</v>
      </c>
      <c r="J97" s="62">
        <v>3</v>
      </c>
      <c r="K97" s="62"/>
      <c r="L97" s="62">
        <v>2</v>
      </c>
      <c r="M97" s="62">
        <v>3</v>
      </c>
      <c r="N97" s="62">
        <v>5</v>
      </c>
      <c r="O97" s="62">
        <v>3</v>
      </c>
      <c r="P97" s="62">
        <v>4</v>
      </c>
      <c r="Q97" s="62">
        <v>2</v>
      </c>
      <c r="R97" s="62">
        <v>5</v>
      </c>
      <c r="S97" s="62">
        <v>4</v>
      </c>
      <c r="T97" s="62"/>
      <c r="U97" s="62">
        <v>3</v>
      </c>
      <c r="V97" s="62">
        <v>1</v>
      </c>
      <c r="W97" s="62">
        <v>2</v>
      </c>
      <c r="X97" s="62">
        <v>5</v>
      </c>
      <c r="Y97" s="62">
        <v>2</v>
      </c>
      <c r="Z97" s="62">
        <v>3</v>
      </c>
      <c r="AA97" s="62">
        <v>4</v>
      </c>
      <c r="AB97" s="62">
        <v>7</v>
      </c>
      <c r="AC97" s="62">
        <v>4</v>
      </c>
      <c r="AD97" s="62">
        <v>3</v>
      </c>
      <c r="AE97" s="62">
        <v>1</v>
      </c>
      <c r="AF97" s="62">
        <v>2</v>
      </c>
      <c r="AG97" s="62">
        <v>1</v>
      </c>
      <c r="AH97" s="62">
        <v>3</v>
      </c>
      <c r="AI97" s="62">
        <v>1</v>
      </c>
      <c r="AJ97" s="62">
        <v>2</v>
      </c>
      <c r="AK97" s="62">
        <v>3</v>
      </c>
      <c r="AL97" s="62">
        <v>2</v>
      </c>
      <c r="AM97" s="62">
        <v>2</v>
      </c>
      <c r="AN97" s="62">
        <v>2</v>
      </c>
      <c r="AO97" s="62">
        <v>2</v>
      </c>
      <c r="AP97" s="62">
        <v>4</v>
      </c>
      <c r="AQ97" s="62"/>
      <c r="AR97" s="62">
        <v>3</v>
      </c>
      <c r="AS97" s="62">
        <v>1</v>
      </c>
      <c r="AT97" s="62">
        <v>2</v>
      </c>
      <c r="AU97" s="62">
        <v>2</v>
      </c>
      <c r="AV97" s="62"/>
      <c r="AW97" s="62">
        <v>1</v>
      </c>
      <c r="AX97" s="62">
        <v>3</v>
      </c>
      <c r="AY97" s="62">
        <v>4</v>
      </c>
      <c r="AZ97" s="62"/>
      <c r="BA97" s="62">
        <v>2</v>
      </c>
      <c r="BB97" s="62">
        <v>2</v>
      </c>
      <c r="BC97" s="62">
        <v>1</v>
      </c>
      <c r="BD97" s="62">
        <v>2</v>
      </c>
      <c r="BE97" s="62">
        <v>2</v>
      </c>
      <c r="BF97" s="62">
        <v>1</v>
      </c>
      <c r="BG97" s="62">
        <v>1</v>
      </c>
      <c r="BH97" s="62">
        <v>0</v>
      </c>
    </row>
    <row r="98" spans="2:60" hidden="1" x14ac:dyDescent="0.2">
      <c r="B98" s="59"/>
      <c r="C98" s="59" t="s">
        <v>664</v>
      </c>
      <c r="D98" s="59" t="s">
        <v>656</v>
      </c>
      <c r="E98" s="63">
        <v>42</v>
      </c>
      <c r="F98" s="63">
        <v>32</v>
      </c>
      <c r="G98" s="63">
        <v>35</v>
      </c>
      <c r="H98" s="63">
        <v>30</v>
      </c>
      <c r="I98" s="63">
        <v>37</v>
      </c>
      <c r="J98" s="63">
        <v>34</v>
      </c>
      <c r="K98" s="63">
        <v>39</v>
      </c>
      <c r="L98" s="63">
        <v>37</v>
      </c>
      <c r="M98" s="63">
        <v>36</v>
      </c>
      <c r="N98" s="63">
        <v>43</v>
      </c>
      <c r="O98" s="63">
        <v>47</v>
      </c>
      <c r="P98" s="63">
        <v>35</v>
      </c>
      <c r="Q98" s="63">
        <v>45</v>
      </c>
      <c r="R98" s="63">
        <v>41</v>
      </c>
      <c r="S98" s="63">
        <v>46</v>
      </c>
      <c r="T98" s="63">
        <v>44</v>
      </c>
      <c r="U98" s="63">
        <v>35</v>
      </c>
      <c r="V98" s="63">
        <v>41</v>
      </c>
      <c r="W98" s="63">
        <v>59</v>
      </c>
      <c r="X98" s="63">
        <v>50</v>
      </c>
      <c r="Y98" s="63">
        <v>39</v>
      </c>
      <c r="Z98" s="63">
        <v>39</v>
      </c>
      <c r="AA98" s="63">
        <v>34</v>
      </c>
      <c r="AB98" s="63">
        <v>56</v>
      </c>
      <c r="AC98" s="63">
        <v>41</v>
      </c>
      <c r="AD98" s="63">
        <v>34</v>
      </c>
      <c r="AE98" s="63">
        <v>35</v>
      </c>
      <c r="AF98" s="63">
        <v>53</v>
      </c>
      <c r="AG98" s="63">
        <v>28</v>
      </c>
      <c r="AH98" s="63">
        <v>47</v>
      </c>
      <c r="AI98" s="63">
        <v>42</v>
      </c>
      <c r="AJ98" s="63">
        <v>51</v>
      </c>
      <c r="AK98" s="63">
        <v>40</v>
      </c>
      <c r="AL98" s="63">
        <v>49</v>
      </c>
      <c r="AM98" s="63">
        <v>41</v>
      </c>
      <c r="AN98" s="63">
        <v>42</v>
      </c>
      <c r="AO98" s="63">
        <v>29</v>
      </c>
      <c r="AP98" s="63">
        <v>36</v>
      </c>
      <c r="AQ98" s="63">
        <v>35</v>
      </c>
      <c r="AR98" s="63">
        <v>45</v>
      </c>
      <c r="AS98" s="63">
        <v>40</v>
      </c>
      <c r="AT98" s="63">
        <v>32</v>
      </c>
      <c r="AU98" s="63">
        <v>42</v>
      </c>
      <c r="AV98" s="63">
        <v>38</v>
      </c>
      <c r="AW98" s="63">
        <v>30</v>
      </c>
      <c r="AX98" s="63">
        <v>47</v>
      </c>
      <c r="AY98" s="63">
        <v>33</v>
      </c>
      <c r="AZ98" s="63">
        <v>42</v>
      </c>
      <c r="BA98" s="63">
        <v>28</v>
      </c>
      <c r="BB98" s="63">
        <v>37</v>
      </c>
      <c r="BC98" s="63">
        <v>16</v>
      </c>
      <c r="BD98" s="63">
        <v>29</v>
      </c>
      <c r="BE98" s="63">
        <v>33</v>
      </c>
      <c r="BF98" s="63">
        <v>27</v>
      </c>
      <c r="BG98" s="63">
        <v>25</v>
      </c>
      <c r="BH98" s="63">
        <v>29</v>
      </c>
    </row>
    <row r="99" spans="2:60" hidden="1" x14ac:dyDescent="0.2">
      <c r="B99" s="57"/>
      <c r="C99" s="57" t="s">
        <v>665</v>
      </c>
      <c r="D99" s="57" t="s">
        <v>648</v>
      </c>
      <c r="E99" s="62">
        <v>6</v>
      </c>
      <c r="F99" s="62">
        <v>6</v>
      </c>
      <c r="G99" s="62">
        <v>2</v>
      </c>
      <c r="H99" s="62">
        <v>5</v>
      </c>
      <c r="I99" s="62">
        <v>3</v>
      </c>
      <c r="J99" s="62">
        <v>3</v>
      </c>
      <c r="K99" s="62">
        <v>4</v>
      </c>
      <c r="L99" s="62">
        <v>5</v>
      </c>
      <c r="M99" s="62">
        <v>8</v>
      </c>
      <c r="N99" s="62">
        <v>1</v>
      </c>
      <c r="O99" s="62">
        <v>6</v>
      </c>
      <c r="P99" s="62">
        <v>3</v>
      </c>
      <c r="Q99" s="62">
        <v>14</v>
      </c>
      <c r="R99" s="62">
        <v>4</v>
      </c>
      <c r="S99" s="62">
        <v>3</v>
      </c>
      <c r="T99" s="62">
        <v>7</v>
      </c>
      <c r="U99" s="62">
        <v>3</v>
      </c>
      <c r="V99" s="62">
        <v>6</v>
      </c>
      <c r="W99" s="62">
        <v>3</v>
      </c>
      <c r="X99" s="62">
        <v>4</v>
      </c>
      <c r="Y99" s="62">
        <v>1</v>
      </c>
      <c r="Z99" s="62">
        <v>6</v>
      </c>
      <c r="AA99" s="62">
        <v>4</v>
      </c>
      <c r="AB99" s="62">
        <v>5</v>
      </c>
      <c r="AC99" s="62">
        <v>6</v>
      </c>
      <c r="AD99" s="62">
        <v>2</v>
      </c>
      <c r="AE99" s="62">
        <v>7</v>
      </c>
      <c r="AF99" s="62">
        <v>3</v>
      </c>
      <c r="AG99" s="62">
        <v>5</v>
      </c>
      <c r="AH99" s="62"/>
      <c r="AI99" s="62">
        <v>3</v>
      </c>
      <c r="AJ99" s="62">
        <v>5</v>
      </c>
      <c r="AK99" s="62">
        <v>4</v>
      </c>
      <c r="AL99" s="62">
        <v>3</v>
      </c>
      <c r="AM99" s="62"/>
      <c r="AN99" s="62">
        <v>1</v>
      </c>
      <c r="AO99" s="62">
        <v>5</v>
      </c>
      <c r="AP99" s="62">
        <v>3</v>
      </c>
      <c r="AQ99" s="62">
        <v>3</v>
      </c>
      <c r="AR99" s="62">
        <v>3</v>
      </c>
      <c r="AS99" s="62"/>
      <c r="AT99" s="62">
        <v>2</v>
      </c>
      <c r="AU99" s="62">
        <v>3</v>
      </c>
      <c r="AV99" s="62">
        <v>1</v>
      </c>
      <c r="AW99" s="62">
        <v>1</v>
      </c>
      <c r="AX99" s="62"/>
      <c r="AY99" s="62"/>
      <c r="AZ99" s="62">
        <v>2</v>
      </c>
      <c r="BA99" s="62"/>
      <c r="BB99" s="62">
        <v>1</v>
      </c>
      <c r="BC99" s="62">
        <v>3</v>
      </c>
      <c r="BD99" s="62">
        <v>1</v>
      </c>
      <c r="BE99" s="62">
        <v>2</v>
      </c>
      <c r="BF99" s="62"/>
      <c r="BG99" s="62">
        <v>2</v>
      </c>
      <c r="BH99" s="62">
        <v>2</v>
      </c>
    </row>
    <row r="100" spans="2:60" hidden="1" x14ac:dyDescent="0.2">
      <c r="B100" s="59"/>
      <c r="C100" s="59" t="s">
        <v>665</v>
      </c>
      <c r="D100" s="59" t="s">
        <v>649</v>
      </c>
      <c r="E100" s="63">
        <v>10</v>
      </c>
      <c r="F100" s="63">
        <v>8</v>
      </c>
      <c r="G100" s="63">
        <v>2</v>
      </c>
      <c r="H100" s="63">
        <v>4</v>
      </c>
      <c r="I100" s="63">
        <v>4</v>
      </c>
      <c r="J100" s="63">
        <v>4</v>
      </c>
      <c r="K100" s="63">
        <v>5</v>
      </c>
      <c r="L100" s="63">
        <v>1</v>
      </c>
      <c r="M100" s="63">
        <v>9</v>
      </c>
      <c r="N100" s="63">
        <v>5</v>
      </c>
      <c r="O100" s="63">
        <v>5</v>
      </c>
      <c r="P100" s="63">
        <v>7</v>
      </c>
      <c r="Q100" s="63">
        <v>6</v>
      </c>
      <c r="R100" s="63">
        <v>6</v>
      </c>
      <c r="S100" s="63">
        <v>6</v>
      </c>
      <c r="T100" s="63">
        <v>3</v>
      </c>
      <c r="U100" s="63">
        <v>3</v>
      </c>
      <c r="V100" s="63">
        <v>5</v>
      </c>
      <c r="W100" s="63">
        <v>4</v>
      </c>
      <c r="X100" s="63">
        <v>5</v>
      </c>
      <c r="Y100" s="63">
        <v>3</v>
      </c>
      <c r="Z100" s="63">
        <v>4</v>
      </c>
      <c r="AA100" s="63">
        <v>4</v>
      </c>
      <c r="AB100" s="63">
        <v>4</v>
      </c>
      <c r="AC100" s="63">
        <v>4</v>
      </c>
      <c r="AD100" s="63">
        <v>9</v>
      </c>
      <c r="AE100" s="63">
        <v>2</v>
      </c>
      <c r="AF100" s="63">
        <v>4</v>
      </c>
      <c r="AG100" s="63">
        <v>2</v>
      </c>
      <c r="AH100" s="63">
        <v>2</v>
      </c>
      <c r="AI100" s="63">
        <v>3</v>
      </c>
      <c r="AJ100" s="63">
        <v>2</v>
      </c>
      <c r="AK100" s="63">
        <v>3</v>
      </c>
      <c r="AL100" s="63"/>
      <c r="AM100" s="63">
        <v>3</v>
      </c>
      <c r="AN100" s="63">
        <v>2</v>
      </c>
      <c r="AO100" s="63">
        <v>1</v>
      </c>
      <c r="AP100" s="63">
        <v>1</v>
      </c>
      <c r="AQ100" s="63">
        <v>1</v>
      </c>
      <c r="AR100" s="63">
        <v>1</v>
      </c>
      <c r="AS100" s="63">
        <v>2</v>
      </c>
      <c r="AT100" s="63">
        <v>1</v>
      </c>
      <c r="AU100" s="63">
        <v>3</v>
      </c>
      <c r="AV100" s="63">
        <v>1</v>
      </c>
      <c r="AW100" s="63">
        <v>2</v>
      </c>
      <c r="AX100" s="63">
        <v>1</v>
      </c>
      <c r="AY100" s="63"/>
      <c r="AZ100" s="63">
        <v>2</v>
      </c>
      <c r="BA100" s="63"/>
      <c r="BB100" s="63">
        <v>2</v>
      </c>
      <c r="BC100" s="63"/>
      <c r="BD100" s="63"/>
      <c r="BE100" s="63">
        <v>2</v>
      </c>
      <c r="BF100" s="63">
        <v>4</v>
      </c>
      <c r="BG100" s="63">
        <v>2</v>
      </c>
      <c r="BH100" s="63"/>
    </row>
    <row r="101" spans="2:60" hidden="1" x14ac:dyDescent="0.2">
      <c r="B101" s="57"/>
      <c r="C101" s="57" t="s">
        <v>665</v>
      </c>
      <c r="D101" s="57" t="s">
        <v>650</v>
      </c>
      <c r="E101" s="62">
        <v>2</v>
      </c>
      <c r="F101" s="62"/>
      <c r="G101" s="62">
        <v>1</v>
      </c>
      <c r="H101" s="62"/>
      <c r="I101" s="62"/>
      <c r="J101" s="62">
        <v>1</v>
      </c>
      <c r="K101" s="62"/>
      <c r="L101" s="62">
        <v>1</v>
      </c>
      <c r="M101" s="62"/>
      <c r="N101" s="62">
        <v>1</v>
      </c>
      <c r="O101" s="62">
        <v>2</v>
      </c>
      <c r="P101" s="62"/>
      <c r="Q101" s="62">
        <v>1</v>
      </c>
      <c r="R101" s="62"/>
      <c r="S101" s="62"/>
      <c r="T101" s="62">
        <v>1</v>
      </c>
      <c r="U101" s="62"/>
      <c r="V101" s="62"/>
      <c r="W101" s="62"/>
      <c r="X101" s="62"/>
      <c r="Y101" s="62">
        <v>2</v>
      </c>
      <c r="Z101" s="62">
        <v>2</v>
      </c>
      <c r="AA101" s="62"/>
      <c r="AB101" s="62">
        <v>1</v>
      </c>
      <c r="AC101" s="62">
        <v>1</v>
      </c>
      <c r="AD101" s="62"/>
      <c r="AE101" s="62"/>
      <c r="AF101" s="62"/>
      <c r="AG101" s="62">
        <v>1</v>
      </c>
      <c r="AH101" s="62">
        <v>1</v>
      </c>
      <c r="AI101" s="62"/>
      <c r="AJ101" s="62"/>
      <c r="AK101" s="62">
        <v>1</v>
      </c>
      <c r="AL101" s="62">
        <v>1</v>
      </c>
      <c r="AM101" s="62"/>
      <c r="AN101" s="62"/>
      <c r="AO101" s="62"/>
      <c r="AP101" s="62"/>
      <c r="AQ101" s="62"/>
      <c r="AR101" s="62"/>
      <c r="AS101" s="62"/>
      <c r="AT101" s="62"/>
      <c r="AU101" s="62">
        <v>4</v>
      </c>
      <c r="AV101" s="62">
        <v>1</v>
      </c>
      <c r="AW101" s="62">
        <v>1</v>
      </c>
      <c r="AX101" s="62"/>
      <c r="AY101" s="62">
        <v>1</v>
      </c>
      <c r="AZ101" s="62"/>
      <c r="BA101" s="62">
        <v>1</v>
      </c>
      <c r="BB101" s="62">
        <v>1</v>
      </c>
      <c r="BC101" s="62"/>
      <c r="BD101" s="62"/>
      <c r="BE101" s="62"/>
      <c r="BF101" s="62"/>
      <c r="BG101" s="62"/>
      <c r="BH101" s="62"/>
    </row>
    <row r="102" spans="2:60" hidden="1" x14ac:dyDescent="0.2">
      <c r="B102" s="59"/>
      <c r="C102" s="59" t="s">
        <v>665</v>
      </c>
      <c r="D102" s="59" t="s">
        <v>651</v>
      </c>
      <c r="E102" s="63">
        <v>5</v>
      </c>
      <c r="F102" s="63">
        <v>5</v>
      </c>
      <c r="G102" s="63">
        <v>2</v>
      </c>
      <c r="H102" s="63">
        <v>3</v>
      </c>
      <c r="I102" s="63">
        <v>2</v>
      </c>
      <c r="J102" s="63">
        <v>8</v>
      </c>
      <c r="K102" s="63">
        <v>7</v>
      </c>
      <c r="L102" s="63">
        <v>7</v>
      </c>
      <c r="M102" s="63">
        <v>7</v>
      </c>
      <c r="N102" s="63">
        <v>6</v>
      </c>
      <c r="O102" s="63">
        <v>5</v>
      </c>
      <c r="P102" s="63">
        <v>6</v>
      </c>
      <c r="Q102" s="63">
        <v>5</v>
      </c>
      <c r="R102" s="63">
        <v>5</v>
      </c>
      <c r="S102" s="63">
        <v>2</v>
      </c>
      <c r="T102" s="63">
        <v>4</v>
      </c>
      <c r="U102" s="63">
        <v>7</v>
      </c>
      <c r="V102" s="63">
        <v>3</v>
      </c>
      <c r="W102" s="63">
        <v>3</v>
      </c>
      <c r="X102" s="63">
        <v>1</v>
      </c>
      <c r="Y102" s="63">
        <v>2</v>
      </c>
      <c r="Z102" s="63">
        <v>4</v>
      </c>
      <c r="AA102" s="63">
        <v>5</v>
      </c>
      <c r="AB102" s="63">
        <v>5</v>
      </c>
      <c r="AC102" s="63">
        <v>7</v>
      </c>
      <c r="AD102" s="63">
        <v>4</v>
      </c>
      <c r="AE102" s="63">
        <v>4</v>
      </c>
      <c r="AF102" s="63">
        <v>6</v>
      </c>
      <c r="AG102" s="63">
        <v>5</v>
      </c>
      <c r="AH102" s="63">
        <v>6</v>
      </c>
      <c r="AI102" s="63">
        <v>3</v>
      </c>
      <c r="AJ102" s="63">
        <v>5</v>
      </c>
      <c r="AK102" s="63">
        <v>2</v>
      </c>
      <c r="AL102" s="63">
        <v>4</v>
      </c>
      <c r="AM102" s="63">
        <v>2</v>
      </c>
      <c r="AN102" s="63">
        <v>5</v>
      </c>
      <c r="AO102" s="63">
        <v>5</v>
      </c>
      <c r="AP102" s="63">
        <v>4</v>
      </c>
      <c r="AQ102" s="63">
        <v>9</v>
      </c>
      <c r="AR102" s="63">
        <v>2</v>
      </c>
      <c r="AS102" s="63">
        <v>5</v>
      </c>
      <c r="AT102" s="63">
        <v>4</v>
      </c>
      <c r="AU102" s="63">
        <v>2</v>
      </c>
      <c r="AV102" s="63">
        <v>7</v>
      </c>
      <c r="AW102" s="63">
        <v>3</v>
      </c>
      <c r="AX102" s="63">
        <v>2</v>
      </c>
      <c r="AY102" s="63">
        <v>1</v>
      </c>
      <c r="AZ102" s="63">
        <v>2</v>
      </c>
      <c r="BA102" s="63">
        <v>1</v>
      </c>
      <c r="BB102" s="63">
        <v>1</v>
      </c>
      <c r="BC102" s="63">
        <v>1</v>
      </c>
      <c r="BD102" s="63">
        <v>1</v>
      </c>
      <c r="BE102" s="63">
        <v>1</v>
      </c>
      <c r="BF102" s="63"/>
      <c r="BG102" s="63">
        <v>3</v>
      </c>
      <c r="BH102" s="63">
        <v>3</v>
      </c>
    </row>
    <row r="103" spans="2:60" hidden="1" x14ac:dyDescent="0.2">
      <c r="B103" s="57"/>
      <c r="C103" s="57" t="s">
        <v>665</v>
      </c>
      <c r="D103" s="57" t="s">
        <v>652</v>
      </c>
      <c r="E103" s="62">
        <v>10</v>
      </c>
      <c r="F103" s="62">
        <v>10</v>
      </c>
      <c r="G103" s="62">
        <v>13</v>
      </c>
      <c r="H103" s="62">
        <v>11</v>
      </c>
      <c r="I103" s="62">
        <v>16</v>
      </c>
      <c r="J103" s="62">
        <v>12</v>
      </c>
      <c r="K103" s="62">
        <v>19</v>
      </c>
      <c r="L103" s="62">
        <v>9</v>
      </c>
      <c r="M103" s="62">
        <v>17</v>
      </c>
      <c r="N103" s="62">
        <v>9</v>
      </c>
      <c r="O103" s="62">
        <v>13</v>
      </c>
      <c r="P103" s="62">
        <v>12</v>
      </c>
      <c r="Q103" s="62">
        <v>8</v>
      </c>
      <c r="R103" s="62">
        <v>10</v>
      </c>
      <c r="S103" s="62">
        <v>8</v>
      </c>
      <c r="T103" s="62">
        <v>5</v>
      </c>
      <c r="U103" s="62">
        <v>9</v>
      </c>
      <c r="V103" s="62">
        <v>16</v>
      </c>
      <c r="W103" s="62">
        <v>10</v>
      </c>
      <c r="X103" s="62">
        <v>10</v>
      </c>
      <c r="Y103" s="62">
        <v>11</v>
      </c>
      <c r="Z103" s="62">
        <v>9</v>
      </c>
      <c r="AA103" s="62">
        <v>10</v>
      </c>
      <c r="AB103" s="62">
        <v>4</v>
      </c>
      <c r="AC103" s="62">
        <v>12</v>
      </c>
      <c r="AD103" s="62">
        <v>10</v>
      </c>
      <c r="AE103" s="62">
        <v>5</v>
      </c>
      <c r="AF103" s="62">
        <v>14</v>
      </c>
      <c r="AG103" s="62">
        <v>9</v>
      </c>
      <c r="AH103" s="62">
        <v>5</v>
      </c>
      <c r="AI103" s="62">
        <v>3</v>
      </c>
      <c r="AJ103" s="62">
        <v>9</v>
      </c>
      <c r="AK103" s="62">
        <v>10</v>
      </c>
      <c r="AL103" s="62">
        <v>8</v>
      </c>
      <c r="AM103" s="62">
        <v>8</v>
      </c>
      <c r="AN103" s="62">
        <v>5</v>
      </c>
      <c r="AO103" s="62">
        <v>7</v>
      </c>
      <c r="AP103" s="62">
        <v>7</v>
      </c>
      <c r="AQ103" s="62">
        <v>9</v>
      </c>
      <c r="AR103" s="62">
        <v>5</v>
      </c>
      <c r="AS103" s="62">
        <v>5</v>
      </c>
      <c r="AT103" s="62">
        <v>10</v>
      </c>
      <c r="AU103" s="62">
        <v>2</v>
      </c>
      <c r="AV103" s="62">
        <v>6</v>
      </c>
      <c r="AW103" s="62">
        <v>6</v>
      </c>
      <c r="AX103" s="62">
        <v>6</v>
      </c>
      <c r="AY103" s="62">
        <v>8</v>
      </c>
      <c r="AZ103" s="62">
        <v>5</v>
      </c>
      <c r="BA103" s="62">
        <v>4</v>
      </c>
      <c r="BB103" s="62">
        <v>1</v>
      </c>
      <c r="BC103" s="62">
        <v>9</v>
      </c>
      <c r="BD103" s="62">
        <v>5</v>
      </c>
      <c r="BE103" s="62">
        <v>3</v>
      </c>
      <c r="BF103" s="62">
        <v>6</v>
      </c>
      <c r="BG103" s="62">
        <v>1</v>
      </c>
      <c r="BH103" s="62">
        <v>3</v>
      </c>
    </row>
    <row r="104" spans="2:60" hidden="1" x14ac:dyDescent="0.2">
      <c r="B104" s="59"/>
      <c r="C104" s="59" t="s">
        <v>665</v>
      </c>
      <c r="D104" s="59" t="s">
        <v>653</v>
      </c>
      <c r="E104" s="63">
        <v>3</v>
      </c>
      <c r="F104" s="63">
        <v>1</v>
      </c>
      <c r="G104" s="63">
        <v>2</v>
      </c>
      <c r="H104" s="63">
        <v>1</v>
      </c>
      <c r="I104" s="63">
        <v>3</v>
      </c>
      <c r="J104" s="63">
        <v>2</v>
      </c>
      <c r="K104" s="63">
        <v>2</v>
      </c>
      <c r="L104" s="63">
        <v>1</v>
      </c>
      <c r="M104" s="63">
        <v>5</v>
      </c>
      <c r="N104" s="63">
        <v>2</v>
      </c>
      <c r="O104" s="63">
        <v>3</v>
      </c>
      <c r="P104" s="63">
        <v>3</v>
      </c>
      <c r="Q104" s="63">
        <v>3</v>
      </c>
      <c r="R104" s="63">
        <v>4</v>
      </c>
      <c r="S104" s="63">
        <v>2</v>
      </c>
      <c r="T104" s="63">
        <v>2</v>
      </c>
      <c r="U104" s="63">
        <v>2</v>
      </c>
      <c r="V104" s="63">
        <v>2</v>
      </c>
      <c r="W104" s="63">
        <v>2</v>
      </c>
      <c r="X104" s="63">
        <v>1</v>
      </c>
      <c r="Y104" s="63">
        <v>2</v>
      </c>
      <c r="Z104" s="63">
        <v>1</v>
      </c>
      <c r="AA104" s="63">
        <v>2</v>
      </c>
      <c r="AB104" s="63">
        <v>2</v>
      </c>
      <c r="AC104" s="63">
        <v>2</v>
      </c>
      <c r="AD104" s="63">
        <v>1</v>
      </c>
      <c r="AE104" s="63"/>
      <c r="AF104" s="63">
        <v>2</v>
      </c>
      <c r="AG104" s="63">
        <v>3</v>
      </c>
      <c r="AH104" s="63"/>
      <c r="AI104" s="63"/>
      <c r="AJ104" s="63">
        <v>3</v>
      </c>
      <c r="AK104" s="63">
        <v>1</v>
      </c>
      <c r="AL104" s="63">
        <v>2</v>
      </c>
      <c r="AM104" s="63"/>
      <c r="AN104" s="63">
        <v>4</v>
      </c>
      <c r="AO104" s="63">
        <v>1</v>
      </c>
      <c r="AP104" s="63">
        <v>1</v>
      </c>
      <c r="AQ104" s="63"/>
      <c r="AR104" s="63">
        <v>1</v>
      </c>
      <c r="AS104" s="63"/>
      <c r="AT104" s="63"/>
      <c r="AU104" s="63">
        <v>1</v>
      </c>
      <c r="AV104" s="63">
        <v>1</v>
      </c>
      <c r="AW104" s="63">
        <v>1</v>
      </c>
      <c r="AX104" s="63">
        <v>1</v>
      </c>
      <c r="AY104" s="63">
        <v>1</v>
      </c>
      <c r="AZ104" s="63"/>
      <c r="BA104" s="63">
        <v>2</v>
      </c>
      <c r="BB104" s="63">
        <v>1</v>
      </c>
      <c r="BC104" s="63">
        <v>1</v>
      </c>
      <c r="BD104" s="63">
        <v>1</v>
      </c>
      <c r="BE104" s="63">
        <v>1</v>
      </c>
      <c r="BF104" s="63"/>
      <c r="BG104" s="63">
        <v>1</v>
      </c>
      <c r="BH104" s="63">
        <v>3</v>
      </c>
    </row>
    <row r="105" spans="2:60" hidden="1" x14ac:dyDescent="0.2">
      <c r="B105" s="57"/>
      <c r="C105" s="57" t="s">
        <v>665</v>
      </c>
      <c r="D105" s="57" t="s">
        <v>654</v>
      </c>
      <c r="E105" s="62"/>
      <c r="F105" s="62"/>
      <c r="G105" s="62"/>
      <c r="H105" s="62"/>
      <c r="I105" s="62"/>
      <c r="J105" s="62"/>
      <c r="K105" s="62">
        <v>3</v>
      </c>
      <c r="L105" s="62">
        <v>1</v>
      </c>
      <c r="M105" s="62"/>
      <c r="N105" s="62">
        <v>1</v>
      </c>
      <c r="O105" s="62">
        <v>3</v>
      </c>
      <c r="P105" s="62">
        <v>2</v>
      </c>
      <c r="Q105" s="62"/>
      <c r="R105" s="62">
        <v>2</v>
      </c>
      <c r="S105" s="62">
        <v>1</v>
      </c>
      <c r="T105" s="62">
        <v>2</v>
      </c>
      <c r="U105" s="62">
        <v>1</v>
      </c>
      <c r="V105" s="62">
        <v>1</v>
      </c>
      <c r="W105" s="62">
        <v>2</v>
      </c>
      <c r="X105" s="62"/>
      <c r="Y105" s="62">
        <v>1</v>
      </c>
      <c r="Z105" s="62"/>
      <c r="AA105" s="62"/>
      <c r="AB105" s="62">
        <v>2</v>
      </c>
      <c r="AC105" s="62"/>
      <c r="AD105" s="62"/>
      <c r="AE105" s="62"/>
      <c r="AF105" s="62"/>
      <c r="AG105" s="62"/>
      <c r="AH105" s="62"/>
      <c r="AI105" s="62"/>
      <c r="AJ105" s="62"/>
      <c r="AK105" s="62"/>
      <c r="AL105" s="62"/>
      <c r="AM105" s="62"/>
      <c r="AN105" s="62"/>
      <c r="AO105" s="62"/>
      <c r="AP105" s="62">
        <v>1</v>
      </c>
      <c r="AQ105" s="62"/>
      <c r="AR105" s="62">
        <v>1</v>
      </c>
      <c r="AS105" s="62"/>
      <c r="AT105" s="62"/>
      <c r="AU105" s="62"/>
      <c r="AV105" s="62"/>
      <c r="AW105" s="62"/>
      <c r="AX105" s="62"/>
      <c r="AY105" s="62"/>
      <c r="AZ105" s="62"/>
      <c r="BA105" s="62"/>
      <c r="BB105" s="62"/>
      <c r="BC105" s="62"/>
      <c r="BD105" s="62"/>
      <c r="BE105" s="62"/>
      <c r="BF105" s="62"/>
      <c r="BG105" s="62"/>
      <c r="BH105" s="62"/>
    </row>
    <row r="106" spans="2:60" hidden="1" x14ac:dyDescent="0.2">
      <c r="B106" s="59"/>
      <c r="C106" s="59" t="s">
        <v>665</v>
      </c>
      <c r="D106" s="59" t="s">
        <v>655</v>
      </c>
      <c r="E106" s="63"/>
      <c r="F106" s="63"/>
      <c r="G106" s="63"/>
      <c r="H106" s="63"/>
      <c r="I106" s="63"/>
      <c r="J106" s="63"/>
      <c r="K106" s="63"/>
      <c r="L106" s="63"/>
      <c r="M106" s="63"/>
      <c r="N106" s="63"/>
      <c r="O106" s="63"/>
      <c r="P106" s="63"/>
      <c r="Q106" s="63">
        <v>1</v>
      </c>
      <c r="R106" s="63"/>
      <c r="S106" s="63"/>
      <c r="T106" s="63"/>
      <c r="U106" s="63">
        <v>2</v>
      </c>
      <c r="V106" s="63">
        <v>1</v>
      </c>
      <c r="W106" s="63"/>
      <c r="X106" s="63">
        <v>1</v>
      </c>
      <c r="Y106" s="63"/>
      <c r="Z106" s="63"/>
      <c r="AA106" s="63"/>
      <c r="AB106" s="63"/>
      <c r="AC106" s="63"/>
      <c r="AD106" s="63"/>
      <c r="AE106" s="63"/>
      <c r="AF106" s="63">
        <v>1</v>
      </c>
      <c r="AG106" s="63"/>
      <c r="AH106" s="63"/>
      <c r="AI106" s="63"/>
      <c r="AJ106" s="63"/>
      <c r="AK106" s="63"/>
      <c r="AL106" s="63"/>
      <c r="AM106" s="63"/>
      <c r="AN106" s="63"/>
      <c r="AO106" s="63"/>
      <c r="AP106" s="63"/>
      <c r="AQ106" s="63">
        <v>1</v>
      </c>
      <c r="AR106" s="63"/>
      <c r="AS106" s="63"/>
      <c r="AT106" s="63"/>
      <c r="AU106" s="63"/>
      <c r="AV106" s="63"/>
      <c r="AW106" s="63"/>
      <c r="AX106" s="63"/>
      <c r="AY106" s="63"/>
      <c r="AZ106" s="63"/>
      <c r="BA106" s="63"/>
      <c r="BB106" s="63"/>
      <c r="BC106" s="63"/>
      <c r="BD106" s="63"/>
      <c r="BE106" s="63"/>
      <c r="BF106" s="63">
        <v>2</v>
      </c>
      <c r="BG106" s="63"/>
      <c r="BH106" s="63"/>
    </row>
    <row r="107" spans="2:60" hidden="1" x14ac:dyDescent="0.2">
      <c r="B107" s="57"/>
      <c r="C107" s="57" t="s">
        <v>665</v>
      </c>
      <c r="D107" s="57" t="s">
        <v>699</v>
      </c>
      <c r="E107" s="62">
        <v>11</v>
      </c>
      <c r="F107" s="62">
        <v>5</v>
      </c>
      <c r="G107" s="62">
        <v>8</v>
      </c>
      <c r="H107" s="62">
        <v>4</v>
      </c>
      <c r="I107" s="62">
        <v>8</v>
      </c>
      <c r="J107" s="62">
        <v>5</v>
      </c>
      <c r="K107" s="62">
        <v>4</v>
      </c>
      <c r="L107" s="62">
        <v>2</v>
      </c>
      <c r="M107" s="62">
        <v>8</v>
      </c>
      <c r="N107" s="62">
        <v>2</v>
      </c>
      <c r="O107" s="62">
        <v>3</v>
      </c>
      <c r="P107" s="62"/>
      <c r="Q107" s="62">
        <v>2</v>
      </c>
      <c r="R107" s="62">
        <v>3</v>
      </c>
      <c r="S107" s="62">
        <v>2</v>
      </c>
      <c r="T107" s="62">
        <v>1</v>
      </c>
      <c r="U107" s="62">
        <v>1</v>
      </c>
      <c r="V107" s="62"/>
      <c r="W107" s="62">
        <v>23</v>
      </c>
      <c r="X107" s="62">
        <v>12</v>
      </c>
      <c r="Y107" s="62">
        <v>6</v>
      </c>
      <c r="Z107" s="62">
        <v>8</v>
      </c>
      <c r="AA107" s="62">
        <v>5</v>
      </c>
      <c r="AB107" s="62">
        <v>11</v>
      </c>
      <c r="AC107" s="62">
        <v>9</v>
      </c>
      <c r="AD107" s="62">
        <v>15</v>
      </c>
      <c r="AE107" s="62">
        <v>4</v>
      </c>
      <c r="AF107" s="62">
        <v>6</v>
      </c>
      <c r="AG107" s="62">
        <v>9</v>
      </c>
      <c r="AH107" s="62">
        <v>11</v>
      </c>
      <c r="AI107" s="62">
        <v>7</v>
      </c>
      <c r="AJ107" s="62">
        <v>6</v>
      </c>
      <c r="AK107" s="62">
        <v>3</v>
      </c>
      <c r="AL107" s="62">
        <v>5</v>
      </c>
      <c r="AM107" s="62">
        <v>3</v>
      </c>
      <c r="AN107" s="62">
        <v>2</v>
      </c>
      <c r="AO107" s="62">
        <v>2</v>
      </c>
      <c r="AP107" s="62">
        <v>3</v>
      </c>
      <c r="AQ107" s="62">
        <v>6</v>
      </c>
      <c r="AR107" s="62">
        <v>1</v>
      </c>
      <c r="AS107" s="62"/>
      <c r="AT107" s="62">
        <v>3</v>
      </c>
      <c r="AU107" s="62">
        <v>1</v>
      </c>
      <c r="AV107" s="62">
        <v>2</v>
      </c>
      <c r="AW107" s="62">
        <v>3</v>
      </c>
      <c r="AX107" s="62">
        <v>14</v>
      </c>
      <c r="AY107" s="62">
        <v>52</v>
      </c>
      <c r="AZ107" s="62">
        <v>2</v>
      </c>
      <c r="BA107" s="62">
        <v>30</v>
      </c>
      <c r="BB107" s="62">
        <v>49</v>
      </c>
      <c r="BC107" s="62">
        <v>9</v>
      </c>
      <c r="BD107" s="62"/>
      <c r="BE107" s="62">
        <v>39</v>
      </c>
      <c r="BF107" s="62">
        <v>32</v>
      </c>
      <c r="BG107" s="62">
        <v>28</v>
      </c>
      <c r="BH107" s="62">
        <v>51</v>
      </c>
    </row>
    <row r="108" spans="2:60" hidden="1" x14ac:dyDescent="0.2">
      <c r="B108" s="59"/>
      <c r="C108" s="59" t="s">
        <v>665</v>
      </c>
      <c r="D108" s="59" t="s">
        <v>656</v>
      </c>
      <c r="E108" s="63">
        <v>47</v>
      </c>
      <c r="F108" s="63">
        <v>35</v>
      </c>
      <c r="G108" s="63">
        <v>30</v>
      </c>
      <c r="H108" s="63">
        <v>28</v>
      </c>
      <c r="I108" s="63">
        <v>36</v>
      </c>
      <c r="J108" s="63">
        <v>35</v>
      </c>
      <c r="K108" s="63">
        <v>44</v>
      </c>
      <c r="L108" s="63">
        <v>27</v>
      </c>
      <c r="M108" s="63">
        <v>54</v>
      </c>
      <c r="N108" s="63">
        <v>27</v>
      </c>
      <c r="O108" s="63">
        <v>40</v>
      </c>
      <c r="P108" s="63">
        <v>33</v>
      </c>
      <c r="Q108" s="63">
        <v>40</v>
      </c>
      <c r="R108" s="63">
        <v>34</v>
      </c>
      <c r="S108" s="63">
        <v>24</v>
      </c>
      <c r="T108" s="63">
        <v>25</v>
      </c>
      <c r="U108" s="63">
        <v>28</v>
      </c>
      <c r="V108" s="63">
        <v>34</v>
      </c>
      <c r="W108" s="63">
        <v>47</v>
      </c>
      <c r="X108" s="63">
        <v>34</v>
      </c>
      <c r="Y108" s="63">
        <v>28</v>
      </c>
      <c r="Z108" s="63">
        <v>34</v>
      </c>
      <c r="AA108" s="63">
        <v>30</v>
      </c>
      <c r="AB108" s="63">
        <v>34</v>
      </c>
      <c r="AC108" s="63">
        <v>41</v>
      </c>
      <c r="AD108" s="63">
        <v>41</v>
      </c>
      <c r="AE108" s="63">
        <v>22</v>
      </c>
      <c r="AF108" s="63">
        <v>36</v>
      </c>
      <c r="AG108" s="63">
        <v>34</v>
      </c>
      <c r="AH108" s="63">
        <v>25</v>
      </c>
      <c r="AI108" s="63">
        <v>19</v>
      </c>
      <c r="AJ108" s="63">
        <v>30</v>
      </c>
      <c r="AK108" s="63">
        <v>24</v>
      </c>
      <c r="AL108" s="63">
        <v>23</v>
      </c>
      <c r="AM108" s="63">
        <v>16</v>
      </c>
      <c r="AN108" s="63">
        <v>19</v>
      </c>
      <c r="AO108" s="63">
        <v>21</v>
      </c>
      <c r="AP108" s="63">
        <v>20</v>
      </c>
      <c r="AQ108" s="63">
        <v>29</v>
      </c>
      <c r="AR108" s="63">
        <v>14</v>
      </c>
      <c r="AS108" s="63">
        <v>12</v>
      </c>
      <c r="AT108" s="63">
        <v>20</v>
      </c>
      <c r="AU108" s="63">
        <v>16</v>
      </c>
      <c r="AV108" s="63">
        <v>19</v>
      </c>
      <c r="AW108" s="63">
        <v>17</v>
      </c>
      <c r="AX108" s="63">
        <v>24</v>
      </c>
      <c r="AY108" s="63">
        <v>63</v>
      </c>
      <c r="AZ108" s="63">
        <v>13</v>
      </c>
      <c r="BA108" s="63">
        <v>38</v>
      </c>
      <c r="BB108" s="63">
        <v>56</v>
      </c>
      <c r="BC108" s="63">
        <v>23</v>
      </c>
      <c r="BD108" s="63">
        <v>8</v>
      </c>
      <c r="BE108" s="63">
        <v>48</v>
      </c>
      <c r="BF108" s="63">
        <v>44</v>
      </c>
      <c r="BG108" s="63">
        <v>37</v>
      </c>
      <c r="BH108" s="63">
        <v>62</v>
      </c>
    </row>
    <row r="109" spans="2:60" hidden="1" x14ac:dyDescent="0.2">
      <c r="B109" s="57"/>
      <c r="C109" s="57" t="s">
        <v>666</v>
      </c>
      <c r="D109" s="57" t="s">
        <v>648</v>
      </c>
      <c r="E109" s="62">
        <v>22</v>
      </c>
      <c r="F109" s="62">
        <v>42</v>
      </c>
      <c r="G109" s="62">
        <v>37</v>
      </c>
      <c r="H109" s="62">
        <v>31</v>
      </c>
      <c r="I109" s="62">
        <v>42</v>
      </c>
      <c r="J109" s="62">
        <v>37</v>
      </c>
      <c r="K109" s="62">
        <v>33</v>
      </c>
      <c r="L109" s="62">
        <v>43</v>
      </c>
      <c r="M109" s="62">
        <v>44</v>
      </c>
      <c r="N109" s="62">
        <v>31</v>
      </c>
      <c r="O109" s="62">
        <v>33</v>
      </c>
      <c r="P109" s="62">
        <v>32</v>
      </c>
      <c r="Q109" s="62">
        <v>35</v>
      </c>
      <c r="R109" s="62">
        <v>28</v>
      </c>
      <c r="S109" s="62">
        <v>22</v>
      </c>
      <c r="T109" s="62">
        <v>40</v>
      </c>
      <c r="U109" s="62">
        <v>50</v>
      </c>
      <c r="V109" s="62">
        <v>35</v>
      </c>
      <c r="W109" s="62">
        <v>28</v>
      </c>
      <c r="X109" s="62">
        <v>47</v>
      </c>
      <c r="Y109" s="62">
        <v>23</v>
      </c>
      <c r="Z109" s="62">
        <v>32</v>
      </c>
      <c r="AA109" s="62">
        <v>24</v>
      </c>
      <c r="AB109" s="62">
        <v>23</v>
      </c>
      <c r="AC109" s="62">
        <v>24</v>
      </c>
      <c r="AD109" s="62">
        <v>24</v>
      </c>
      <c r="AE109" s="62">
        <v>18</v>
      </c>
      <c r="AF109" s="62">
        <v>26</v>
      </c>
      <c r="AG109" s="62">
        <v>25</v>
      </c>
      <c r="AH109" s="62">
        <v>28</v>
      </c>
      <c r="AI109" s="62">
        <v>28</v>
      </c>
      <c r="AJ109" s="62">
        <v>21</v>
      </c>
      <c r="AK109" s="62">
        <v>16</v>
      </c>
      <c r="AL109" s="62">
        <v>58</v>
      </c>
      <c r="AM109" s="62">
        <v>43</v>
      </c>
      <c r="AN109" s="62">
        <v>29</v>
      </c>
      <c r="AO109" s="62">
        <v>36</v>
      </c>
      <c r="AP109" s="62">
        <v>31</v>
      </c>
      <c r="AQ109" s="62">
        <v>37</v>
      </c>
      <c r="AR109" s="62">
        <v>22</v>
      </c>
      <c r="AS109" s="62">
        <v>20</v>
      </c>
      <c r="AT109" s="62">
        <v>25</v>
      </c>
      <c r="AU109" s="62">
        <v>14</v>
      </c>
      <c r="AV109" s="62">
        <v>23</v>
      </c>
      <c r="AW109" s="62">
        <v>19</v>
      </c>
      <c r="AX109" s="62">
        <v>33</v>
      </c>
      <c r="AY109" s="62">
        <v>24</v>
      </c>
      <c r="AZ109" s="62">
        <v>22</v>
      </c>
      <c r="BA109" s="62">
        <v>41</v>
      </c>
      <c r="BB109" s="62">
        <v>27</v>
      </c>
      <c r="BC109" s="62">
        <v>23</v>
      </c>
      <c r="BD109" s="62">
        <v>32</v>
      </c>
      <c r="BE109" s="62">
        <v>29</v>
      </c>
      <c r="BF109" s="62">
        <v>33</v>
      </c>
      <c r="BG109" s="62">
        <v>20</v>
      </c>
      <c r="BH109" s="62">
        <v>31</v>
      </c>
    </row>
    <row r="110" spans="2:60" hidden="1" x14ac:dyDescent="0.2">
      <c r="B110" s="59"/>
      <c r="C110" s="59" t="s">
        <v>666</v>
      </c>
      <c r="D110" s="59" t="s">
        <v>649</v>
      </c>
      <c r="E110" s="63">
        <v>85</v>
      </c>
      <c r="F110" s="63">
        <v>136</v>
      </c>
      <c r="G110" s="63">
        <v>72</v>
      </c>
      <c r="H110" s="63">
        <v>92</v>
      </c>
      <c r="I110" s="63">
        <v>95</v>
      </c>
      <c r="J110" s="63">
        <v>112</v>
      </c>
      <c r="K110" s="63">
        <v>74</v>
      </c>
      <c r="L110" s="63">
        <v>68</v>
      </c>
      <c r="M110" s="63">
        <v>89</v>
      </c>
      <c r="N110" s="63">
        <v>103</v>
      </c>
      <c r="O110" s="63">
        <v>72</v>
      </c>
      <c r="P110" s="63">
        <v>59</v>
      </c>
      <c r="Q110" s="63">
        <v>88</v>
      </c>
      <c r="R110" s="63">
        <v>84</v>
      </c>
      <c r="S110" s="63">
        <v>67</v>
      </c>
      <c r="T110" s="63">
        <v>54</v>
      </c>
      <c r="U110" s="63">
        <v>69</v>
      </c>
      <c r="V110" s="63">
        <v>110</v>
      </c>
      <c r="W110" s="63">
        <v>55</v>
      </c>
      <c r="X110" s="63">
        <v>73</v>
      </c>
      <c r="Y110" s="63">
        <v>60</v>
      </c>
      <c r="Z110" s="63">
        <v>77</v>
      </c>
      <c r="AA110" s="63">
        <v>58</v>
      </c>
      <c r="AB110" s="63">
        <v>73</v>
      </c>
      <c r="AC110" s="63">
        <v>41</v>
      </c>
      <c r="AD110" s="63">
        <v>59</v>
      </c>
      <c r="AE110" s="63">
        <v>51</v>
      </c>
      <c r="AF110" s="63">
        <v>60</v>
      </c>
      <c r="AG110" s="63">
        <v>49</v>
      </c>
      <c r="AH110" s="63">
        <v>64</v>
      </c>
      <c r="AI110" s="63">
        <v>50</v>
      </c>
      <c r="AJ110" s="63">
        <v>68</v>
      </c>
      <c r="AK110" s="63">
        <v>42</v>
      </c>
      <c r="AL110" s="63">
        <v>55</v>
      </c>
      <c r="AM110" s="63">
        <v>75</v>
      </c>
      <c r="AN110" s="63">
        <v>51</v>
      </c>
      <c r="AO110" s="63">
        <v>52</v>
      </c>
      <c r="AP110" s="63">
        <v>56</v>
      </c>
      <c r="AQ110" s="63">
        <v>43</v>
      </c>
      <c r="AR110" s="63">
        <v>52</v>
      </c>
      <c r="AS110" s="63">
        <v>47</v>
      </c>
      <c r="AT110" s="63">
        <v>39</v>
      </c>
      <c r="AU110" s="63">
        <v>44</v>
      </c>
      <c r="AV110" s="63">
        <v>36</v>
      </c>
      <c r="AW110" s="63">
        <v>42</v>
      </c>
      <c r="AX110" s="63">
        <v>38</v>
      </c>
      <c r="AY110" s="63">
        <v>42</v>
      </c>
      <c r="AZ110" s="63">
        <v>43</v>
      </c>
      <c r="BA110" s="63">
        <v>49</v>
      </c>
      <c r="BB110" s="63">
        <v>43</v>
      </c>
      <c r="BC110" s="63">
        <v>45</v>
      </c>
      <c r="BD110" s="63">
        <v>51</v>
      </c>
      <c r="BE110" s="63">
        <v>46</v>
      </c>
      <c r="BF110" s="63">
        <v>43</v>
      </c>
      <c r="BG110" s="63">
        <v>24</v>
      </c>
      <c r="BH110" s="63">
        <v>53</v>
      </c>
    </row>
    <row r="111" spans="2:60" hidden="1" x14ac:dyDescent="0.2">
      <c r="B111" s="57"/>
      <c r="C111" s="57" t="s">
        <v>666</v>
      </c>
      <c r="D111" s="57" t="s">
        <v>650</v>
      </c>
      <c r="E111" s="62">
        <v>12</v>
      </c>
      <c r="F111" s="62">
        <v>17</v>
      </c>
      <c r="G111" s="62">
        <v>9</v>
      </c>
      <c r="H111" s="62">
        <v>9</v>
      </c>
      <c r="I111" s="62">
        <v>11</v>
      </c>
      <c r="J111" s="62">
        <v>12</v>
      </c>
      <c r="K111" s="62">
        <v>12</v>
      </c>
      <c r="L111" s="62">
        <v>16</v>
      </c>
      <c r="M111" s="62">
        <v>16</v>
      </c>
      <c r="N111" s="62">
        <v>16</v>
      </c>
      <c r="O111" s="62">
        <v>9</v>
      </c>
      <c r="P111" s="62">
        <v>12</v>
      </c>
      <c r="Q111" s="62">
        <v>7</v>
      </c>
      <c r="R111" s="62">
        <v>11</v>
      </c>
      <c r="S111" s="62">
        <v>8</v>
      </c>
      <c r="T111" s="62">
        <v>7</v>
      </c>
      <c r="U111" s="62">
        <v>9</v>
      </c>
      <c r="V111" s="62">
        <v>8</v>
      </c>
      <c r="W111" s="62">
        <v>8</v>
      </c>
      <c r="X111" s="62">
        <v>6</v>
      </c>
      <c r="Y111" s="62">
        <v>6</v>
      </c>
      <c r="Z111" s="62">
        <v>8</v>
      </c>
      <c r="AA111" s="62">
        <v>6</v>
      </c>
      <c r="AB111" s="62">
        <v>7</v>
      </c>
      <c r="AC111" s="62">
        <v>6</v>
      </c>
      <c r="AD111" s="62">
        <v>5</v>
      </c>
      <c r="AE111" s="62">
        <v>4</v>
      </c>
      <c r="AF111" s="62">
        <v>4</v>
      </c>
      <c r="AG111" s="62">
        <v>4</v>
      </c>
      <c r="AH111" s="62">
        <v>7</v>
      </c>
      <c r="AI111" s="62">
        <v>5</v>
      </c>
      <c r="AJ111" s="62">
        <v>9</v>
      </c>
      <c r="AK111" s="62">
        <v>4</v>
      </c>
      <c r="AL111" s="62">
        <v>10</v>
      </c>
      <c r="AM111" s="62">
        <v>10</v>
      </c>
      <c r="AN111" s="62">
        <v>8</v>
      </c>
      <c r="AO111" s="62">
        <v>2</v>
      </c>
      <c r="AP111" s="62">
        <v>10</v>
      </c>
      <c r="AQ111" s="62">
        <v>6</v>
      </c>
      <c r="AR111" s="62">
        <v>9</v>
      </c>
      <c r="AS111" s="62">
        <v>3</v>
      </c>
      <c r="AT111" s="62">
        <v>6</v>
      </c>
      <c r="AU111" s="62">
        <v>7</v>
      </c>
      <c r="AV111" s="62">
        <v>2</v>
      </c>
      <c r="AW111" s="62">
        <v>6</v>
      </c>
      <c r="AX111" s="62">
        <v>4</v>
      </c>
      <c r="AY111" s="62">
        <v>6</v>
      </c>
      <c r="AZ111" s="62">
        <v>7</v>
      </c>
      <c r="BA111" s="62">
        <v>5</v>
      </c>
      <c r="BB111" s="62">
        <v>6</v>
      </c>
      <c r="BC111" s="62">
        <v>4</v>
      </c>
      <c r="BD111" s="62">
        <v>11</v>
      </c>
      <c r="BE111" s="62">
        <v>2</v>
      </c>
      <c r="BF111" s="62">
        <v>6</v>
      </c>
      <c r="BG111" s="62">
        <v>9</v>
      </c>
      <c r="BH111" s="62">
        <v>10</v>
      </c>
    </row>
    <row r="112" spans="2:60" hidden="1" x14ac:dyDescent="0.2">
      <c r="B112" s="59"/>
      <c r="C112" s="59" t="s">
        <v>666</v>
      </c>
      <c r="D112" s="59" t="s">
        <v>651</v>
      </c>
      <c r="E112" s="63">
        <v>14</v>
      </c>
      <c r="F112" s="63">
        <v>15</v>
      </c>
      <c r="G112" s="63">
        <v>10</v>
      </c>
      <c r="H112" s="63">
        <v>8</v>
      </c>
      <c r="I112" s="63">
        <v>12</v>
      </c>
      <c r="J112" s="63">
        <v>11</v>
      </c>
      <c r="K112" s="63">
        <v>8</v>
      </c>
      <c r="L112" s="63">
        <v>10</v>
      </c>
      <c r="M112" s="63">
        <v>13</v>
      </c>
      <c r="N112" s="63">
        <v>7</v>
      </c>
      <c r="O112" s="63">
        <v>2</v>
      </c>
      <c r="P112" s="63">
        <v>11</v>
      </c>
      <c r="Q112" s="63">
        <v>7</v>
      </c>
      <c r="R112" s="63">
        <v>16</v>
      </c>
      <c r="S112" s="63">
        <v>7</v>
      </c>
      <c r="T112" s="63">
        <v>8</v>
      </c>
      <c r="U112" s="63">
        <v>7</v>
      </c>
      <c r="V112" s="63">
        <v>5</v>
      </c>
      <c r="W112" s="63">
        <v>6</v>
      </c>
      <c r="X112" s="63">
        <v>5</v>
      </c>
      <c r="Y112" s="63">
        <v>7</v>
      </c>
      <c r="Z112" s="63">
        <v>8</v>
      </c>
      <c r="AA112" s="63">
        <v>9</v>
      </c>
      <c r="AB112" s="63">
        <v>9</v>
      </c>
      <c r="AC112" s="63">
        <v>3</v>
      </c>
      <c r="AD112" s="63">
        <v>9</v>
      </c>
      <c r="AE112" s="63">
        <v>7</v>
      </c>
      <c r="AF112" s="63">
        <v>4</v>
      </c>
      <c r="AG112" s="63">
        <v>3</v>
      </c>
      <c r="AH112" s="63">
        <v>9</v>
      </c>
      <c r="AI112" s="63">
        <v>8</v>
      </c>
      <c r="AJ112" s="63">
        <v>11</v>
      </c>
      <c r="AK112" s="63">
        <v>1</v>
      </c>
      <c r="AL112" s="63">
        <v>11</v>
      </c>
      <c r="AM112" s="63">
        <v>7</v>
      </c>
      <c r="AN112" s="63">
        <v>6</v>
      </c>
      <c r="AO112" s="63">
        <v>5</v>
      </c>
      <c r="AP112" s="63">
        <v>6</v>
      </c>
      <c r="AQ112" s="63">
        <v>1</v>
      </c>
      <c r="AR112" s="63">
        <v>9</v>
      </c>
      <c r="AS112" s="63">
        <v>4</v>
      </c>
      <c r="AT112" s="63">
        <v>8</v>
      </c>
      <c r="AU112" s="63">
        <v>5</v>
      </c>
      <c r="AV112" s="63">
        <v>5</v>
      </c>
      <c r="AW112" s="63">
        <v>4</v>
      </c>
      <c r="AX112" s="63">
        <v>3</v>
      </c>
      <c r="AY112" s="63">
        <v>10</v>
      </c>
      <c r="AZ112" s="63">
        <v>12</v>
      </c>
      <c r="BA112" s="63">
        <v>5</v>
      </c>
      <c r="BB112" s="63">
        <v>3</v>
      </c>
      <c r="BC112" s="63">
        <v>4</v>
      </c>
      <c r="BD112" s="63">
        <v>1</v>
      </c>
      <c r="BE112" s="63">
        <v>6</v>
      </c>
      <c r="BF112" s="63">
        <v>4</v>
      </c>
      <c r="BG112" s="63">
        <v>6</v>
      </c>
      <c r="BH112" s="63">
        <v>5</v>
      </c>
    </row>
    <row r="113" spans="2:60" hidden="1" x14ac:dyDescent="0.2">
      <c r="B113" s="57"/>
      <c r="C113" s="57" t="s">
        <v>666</v>
      </c>
      <c r="D113" s="57" t="s">
        <v>652</v>
      </c>
      <c r="E113" s="62">
        <v>44</v>
      </c>
      <c r="F113" s="62">
        <v>43</v>
      </c>
      <c r="G113" s="62">
        <v>42</v>
      </c>
      <c r="H113" s="62">
        <v>40</v>
      </c>
      <c r="I113" s="62">
        <v>44</v>
      </c>
      <c r="J113" s="62">
        <v>44</v>
      </c>
      <c r="K113" s="62">
        <v>44</v>
      </c>
      <c r="L113" s="62">
        <v>51</v>
      </c>
      <c r="M113" s="62">
        <v>30</v>
      </c>
      <c r="N113" s="62">
        <v>35</v>
      </c>
      <c r="O113" s="62">
        <v>42</v>
      </c>
      <c r="P113" s="62">
        <v>34</v>
      </c>
      <c r="Q113" s="62">
        <v>34</v>
      </c>
      <c r="R113" s="62">
        <v>35</v>
      </c>
      <c r="S113" s="62">
        <v>25</v>
      </c>
      <c r="T113" s="62">
        <v>30</v>
      </c>
      <c r="U113" s="62">
        <v>37</v>
      </c>
      <c r="V113" s="62">
        <v>42</v>
      </c>
      <c r="W113" s="62">
        <v>31</v>
      </c>
      <c r="X113" s="62">
        <v>29</v>
      </c>
      <c r="Y113" s="62">
        <v>29</v>
      </c>
      <c r="Z113" s="62">
        <v>36</v>
      </c>
      <c r="AA113" s="62">
        <v>24</v>
      </c>
      <c r="AB113" s="62">
        <v>30</v>
      </c>
      <c r="AC113" s="62">
        <v>31</v>
      </c>
      <c r="AD113" s="62">
        <v>27</v>
      </c>
      <c r="AE113" s="62">
        <v>26</v>
      </c>
      <c r="AF113" s="62">
        <v>21</v>
      </c>
      <c r="AG113" s="62">
        <v>36</v>
      </c>
      <c r="AH113" s="62">
        <v>28</v>
      </c>
      <c r="AI113" s="62">
        <v>25</v>
      </c>
      <c r="AJ113" s="62">
        <v>34</v>
      </c>
      <c r="AK113" s="62">
        <v>29</v>
      </c>
      <c r="AL113" s="62">
        <v>42</v>
      </c>
      <c r="AM113" s="62">
        <v>31</v>
      </c>
      <c r="AN113" s="62">
        <v>31</v>
      </c>
      <c r="AO113" s="62">
        <v>22</v>
      </c>
      <c r="AP113" s="62">
        <v>30</v>
      </c>
      <c r="AQ113" s="62">
        <v>19</v>
      </c>
      <c r="AR113" s="62">
        <v>27</v>
      </c>
      <c r="AS113" s="62">
        <v>24</v>
      </c>
      <c r="AT113" s="62">
        <v>22</v>
      </c>
      <c r="AU113" s="62">
        <v>20</v>
      </c>
      <c r="AV113" s="62">
        <v>28</v>
      </c>
      <c r="AW113" s="62">
        <v>17</v>
      </c>
      <c r="AX113" s="62">
        <v>19</v>
      </c>
      <c r="AY113" s="62">
        <v>23</v>
      </c>
      <c r="AZ113" s="62">
        <v>26</v>
      </c>
      <c r="BA113" s="62">
        <v>22</v>
      </c>
      <c r="BB113" s="62">
        <v>17</v>
      </c>
      <c r="BC113" s="62">
        <v>19</v>
      </c>
      <c r="BD113" s="62">
        <v>18</v>
      </c>
      <c r="BE113" s="62">
        <v>16</v>
      </c>
      <c r="BF113" s="62">
        <v>29</v>
      </c>
      <c r="BG113" s="62">
        <v>27</v>
      </c>
      <c r="BH113" s="62">
        <v>21</v>
      </c>
    </row>
    <row r="114" spans="2:60" hidden="1" x14ac:dyDescent="0.2">
      <c r="B114" s="59"/>
      <c r="C114" s="59" t="s">
        <v>666</v>
      </c>
      <c r="D114" s="59" t="s">
        <v>653</v>
      </c>
      <c r="E114" s="63">
        <v>40</v>
      </c>
      <c r="F114" s="63">
        <v>37</v>
      </c>
      <c r="G114" s="63">
        <v>34</v>
      </c>
      <c r="H114" s="63">
        <v>38</v>
      </c>
      <c r="I114" s="63">
        <v>22</v>
      </c>
      <c r="J114" s="63">
        <v>25</v>
      </c>
      <c r="K114" s="63">
        <v>33</v>
      </c>
      <c r="L114" s="63">
        <v>28</v>
      </c>
      <c r="M114" s="63">
        <v>18</v>
      </c>
      <c r="N114" s="63">
        <v>31</v>
      </c>
      <c r="O114" s="63">
        <v>31</v>
      </c>
      <c r="P114" s="63">
        <v>19</v>
      </c>
      <c r="Q114" s="63">
        <v>23</v>
      </c>
      <c r="R114" s="63">
        <v>25</v>
      </c>
      <c r="S114" s="63">
        <v>32</v>
      </c>
      <c r="T114" s="63">
        <v>30</v>
      </c>
      <c r="U114" s="63">
        <v>21</v>
      </c>
      <c r="V114" s="63">
        <v>25</v>
      </c>
      <c r="W114" s="63">
        <v>18</v>
      </c>
      <c r="X114" s="63">
        <v>24</v>
      </c>
      <c r="Y114" s="63">
        <v>18</v>
      </c>
      <c r="Z114" s="63">
        <v>27</v>
      </c>
      <c r="AA114" s="63">
        <v>19</v>
      </c>
      <c r="AB114" s="63">
        <v>21</v>
      </c>
      <c r="AC114" s="63">
        <v>16</v>
      </c>
      <c r="AD114" s="63">
        <v>26</v>
      </c>
      <c r="AE114" s="63">
        <v>22</v>
      </c>
      <c r="AF114" s="63">
        <v>18</v>
      </c>
      <c r="AG114" s="63">
        <v>19</v>
      </c>
      <c r="AH114" s="63">
        <v>27</v>
      </c>
      <c r="AI114" s="63">
        <v>17</v>
      </c>
      <c r="AJ114" s="63">
        <v>27</v>
      </c>
      <c r="AK114" s="63">
        <v>19</v>
      </c>
      <c r="AL114" s="63">
        <v>28</v>
      </c>
      <c r="AM114" s="63">
        <v>21</v>
      </c>
      <c r="AN114" s="63">
        <v>22</v>
      </c>
      <c r="AO114" s="63">
        <v>19</v>
      </c>
      <c r="AP114" s="63">
        <v>17</v>
      </c>
      <c r="AQ114" s="63">
        <v>17</v>
      </c>
      <c r="AR114" s="63">
        <v>16</v>
      </c>
      <c r="AS114" s="63">
        <v>14</v>
      </c>
      <c r="AT114" s="63">
        <v>15</v>
      </c>
      <c r="AU114" s="63">
        <v>8</v>
      </c>
      <c r="AV114" s="63">
        <v>11</v>
      </c>
      <c r="AW114" s="63">
        <v>14</v>
      </c>
      <c r="AX114" s="63">
        <v>20</v>
      </c>
      <c r="AY114" s="63">
        <v>17</v>
      </c>
      <c r="AZ114" s="63">
        <v>10</v>
      </c>
      <c r="BA114" s="63">
        <v>18</v>
      </c>
      <c r="BB114" s="63">
        <v>21</v>
      </c>
      <c r="BC114" s="63">
        <v>23</v>
      </c>
      <c r="BD114" s="63">
        <v>16</v>
      </c>
      <c r="BE114" s="63">
        <v>16</v>
      </c>
      <c r="BF114" s="63">
        <v>15</v>
      </c>
      <c r="BG114" s="63">
        <v>14</v>
      </c>
      <c r="BH114" s="63">
        <v>14</v>
      </c>
    </row>
    <row r="115" spans="2:60" hidden="1" x14ac:dyDescent="0.2">
      <c r="B115" s="57"/>
      <c r="C115" s="57" t="s">
        <v>666</v>
      </c>
      <c r="D115" s="57" t="s">
        <v>654</v>
      </c>
      <c r="E115" s="62">
        <v>11</v>
      </c>
      <c r="F115" s="62">
        <v>19</v>
      </c>
      <c r="G115" s="62">
        <v>10</v>
      </c>
      <c r="H115" s="62">
        <v>8</v>
      </c>
      <c r="I115" s="62">
        <v>13</v>
      </c>
      <c r="J115" s="62">
        <v>19</v>
      </c>
      <c r="K115" s="62">
        <v>19</v>
      </c>
      <c r="L115" s="62">
        <v>10</v>
      </c>
      <c r="M115" s="62">
        <v>21</v>
      </c>
      <c r="N115" s="62">
        <v>23</v>
      </c>
      <c r="O115" s="62">
        <v>20</v>
      </c>
      <c r="P115" s="62">
        <v>23</v>
      </c>
      <c r="Q115" s="62">
        <v>26</v>
      </c>
      <c r="R115" s="62">
        <v>21</v>
      </c>
      <c r="S115" s="62">
        <v>21</v>
      </c>
      <c r="T115" s="62">
        <v>23</v>
      </c>
      <c r="U115" s="62">
        <v>20</v>
      </c>
      <c r="V115" s="62">
        <v>16</v>
      </c>
      <c r="W115" s="62">
        <v>10</v>
      </c>
      <c r="X115" s="62">
        <v>11</v>
      </c>
      <c r="Y115" s="62">
        <v>11</v>
      </c>
      <c r="Z115" s="62">
        <v>12</v>
      </c>
      <c r="AA115" s="62">
        <v>12</v>
      </c>
      <c r="AB115" s="62">
        <v>12</v>
      </c>
      <c r="AC115" s="62">
        <v>15</v>
      </c>
      <c r="AD115" s="62">
        <v>22</v>
      </c>
      <c r="AE115" s="62">
        <v>15</v>
      </c>
      <c r="AF115" s="62">
        <v>11</v>
      </c>
      <c r="AG115" s="62">
        <v>16</v>
      </c>
      <c r="AH115" s="62">
        <v>14</v>
      </c>
      <c r="AI115" s="62">
        <v>12</v>
      </c>
      <c r="AJ115" s="62">
        <v>17</v>
      </c>
      <c r="AK115" s="62">
        <v>15</v>
      </c>
      <c r="AL115" s="62">
        <v>15</v>
      </c>
      <c r="AM115" s="62">
        <v>18</v>
      </c>
      <c r="AN115" s="62">
        <v>20</v>
      </c>
      <c r="AO115" s="62">
        <v>19</v>
      </c>
      <c r="AP115" s="62">
        <v>17</v>
      </c>
      <c r="AQ115" s="62">
        <v>12</v>
      </c>
      <c r="AR115" s="62">
        <v>12</v>
      </c>
      <c r="AS115" s="62">
        <v>11</v>
      </c>
      <c r="AT115" s="62">
        <v>5</v>
      </c>
      <c r="AU115" s="62">
        <v>7</v>
      </c>
      <c r="AV115" s="62">
        <v>11</v>
      </c>
      <c r="AW115" s="62">
        <v>3</v>
      </c>
      <c r="AX115" s="62">
        <v>6</v>
      </c>
      <c r="AY115" s="62">
        <v>8</v>
      </c>
      <c r="AZ115" s="62">
        <v>9</v>
      </c>
      <c r="BA115" s="62">
        <v>11</v>
      </c>
      <c r="BB115" s="62">
        <v>15</v>
      </c>
      <c r="BC115" s="62">
        <v>9</v>
      </c>
      <c r="BD115" s="62">
        <v>12</v>
      </c>
      <c r="BE115" s="62">
        <v>13</v>
      </c>
      <c r="BF115" s="62">
        <v>8</v>
      </c>
      <c r="BG115" s="62">
        <v>9</v>
      </c>
      <c r="BH115" s="62">
        <v>11</v>
      </c>
    </row>
    <row r="116" spans="2:60" hidden="1" x14ac:dyDescent="0.2">
      <c r="B116" s="59"/>
      <c r="C116" s="59" t="s">
        <v>666</v>
      </c>
      <c r="D116" s="59" t="s">
        <v>655</v>
      </c>
      <c r="E116" s="63">
        <v>9</v>
      </c>
      <c r="F116" s="63">
        <v>17</v>
      </c>
      <c r="G116" s="63">
        <v>7</v>
      </c>
      <c r="H116" s="63">
        <v>10</v>
      </c>
      <c r="I116" s="63">
        <v>8</v>
      </c>
      <c r="J116" s="63">
        <v>11</v>
      </c>
      <c r="K116" s="63">
        <v>14</v>
      </c>
      <c r="L116" s="63">
        <v>10</v>
      </c>
      <c r="M116" s="63">
        <v>9</v>
      </c>
      <c r="N116" s="63">
        <v>12</v>
      </c>
      <c r="O116" s="63">
        <v>12</v>
      </c>
      <c r="P116" s="63">
        <v>9</v>
      </c>
      <c r="Q116" s="63">
        <v>4</v>
      </c>
      <c r="R116" s="63">
        <v>20</v>
      </c>
      <c r="S116" s="63">
        <v>14</v>
      </c>
      <c r="T116" s="63">
        <v>18</v>
      </c>
      <c r="U116" s="63">
        <v>8</v>
      </c>
      <c r="V116" s="63">
        <v>16</v>
      </c>
      <c r="W116" s="63">
        <v>6</v>
      </c>
      <c r="X116" s="63">
        <v>3</v>
      </c>
      <c r="Y116" s="63">
        <v>2</v>
      </c>
      <c r="Z116" s="63">
        <v>11</v>
      </c>
      <c r="AA116" s="63">
        <v>7</v>
      </c>
      <c r="AB116" s="63">
        <v>10</v>
      </c>
      <c r="AC116" s="63">
        <v>6</v>
      </c>
      <c r="AD116" s="63">
        <v>19</v>
      </c>
      <c r="AE116" s="63">
        <v>11</v>
      </c>
      <c r="AF116" s="63">
        <v>7</v>
      </c>
      <c r="AG116" s="63">
        <v>8</v>
      </c>
      <c r="AH116" s="63">
        <v>17</v>
      </c>
      <c r="AI116" s="63">
        <v>10</v>
      </c>
      <c r="AJ116" s="63">
        <v>7</v>
      </c>
      <c r="AK116" s="63">
        <v>7</v>
      </c>
      <c r="AL116" s="63">
        <v>7</v>
      </c>
      <c r="AM116" s="63">
        <v>13</v>
      </c>
      <c r="AN116" s="63">
        <v>10</v>
      </c>
      <c r="AO116" s="63">
        <v>8</v>
      </c>
      <c r="AP116" s="63">
        <v>5</v>
      </c>
      <c r="AQ116" s="63">
        <v>5</v>
      </c>
      <c r="AR116" s="63">
        <v>5</v>
      </c>
      <c r="AS116" s="63">
        <v>5</v>
      </c>
      <c r="AT116" s="63">
        <v>4</v>
      </c>
      <c r="AU116" s="63">
        <v>6</v>
      </c>
      <c r="AV116" s="63">
        <v>8</v>
      </c>
      <c r="AW116" s="63">
        <v>3</v>
      </c>
      <c r="AX116" s="63">
        <v>7</v>
      </c>
      <c r="AY116" s="63">
        <v>4</v>
      </c>
      <c r="AZ116" s="63">
        <v>6</v>
      </c>
      <c r="BA116" s="63">
        <v>3</v>
      </c>
      <c r="BB116" s="63">
        <v>6</v>
      </c>
      <c r="BC116" s="63">
        <v>6</v>
      </c>
      <c r="BD116" s="63">
        <v>3</v>
      </c>
      <c r="BE116" s="63">
        <v>9</v>
      </c>
      <c r="BF116" s="63">
        <v>6</v>
      </c>
      <c r="BG116" s="63">
        <v>6</v>
      </c>
      <c r="BH116" s="63">
        <v>4</v>
      </c>
    </row>
    <row r="117" spans="2:60" hidden="1" x14ac:dyDescent="0.2">
      <c r="B117" s="57"/>
      <c r="C117" s="57" t="s">
        <v>666</v>
      </c>
      <c r="D117" s="57" t="s">
        <v>699</v>
      </c>
      <c r="E117" s="62">
        <v>21</v>
      </c>
      <c r="F117" s="62">
        <v>20</v>
      </c>
      <c r="G117" s="62">
        <v>11</v>
      </c>
      <c r="H117" s="62">
        <v>8</v>
      </c>
      <c r="I117" s="62">
        <v>19</v>
      </c>
      <c r="J117" s="62">
        <v>19</v>
      </c>
      <c r="K117" s="62">
        <v>15</v>
      </c>
      <c r="L117" s="62">
        <v>12</v>
      </c>
      <c r="M117" s="62">
        <v>12</v>
      </c>
      <c r="N117" s="62">
        <v>9</v>
      </c>
      <c r="O117" s="62">
        <v>6</v>
      </c>
      <c r="P117" s="62">
        <v>10</v>
      </c>
      <c r="Q117" s="62">
        <v>17</v>
      </c>
      <c r="R117" s="62">
        <v>8</v>
      </c>
      <c r="S117" s="62">
        <v>4</v>
      </c>
      <c r="T117" s="62">
        <v>8</v>
      </c>
      <c r="U117" s="62">
        <v>8</v>
      </c>
      <c r="V117" s="62">
        <v>7</v>
      </c>
      <c r="W117" s="62">
        <v>10</v>
      </c>
      <c r="X117" s="62">
        <v>4</v>
      </c>
      <c r="Y117" s="62">
        <v>7</v>
      </c>
      <c r="Z117" s="62">
        <v>5</v>
      </c>
      <c r="AA117" s="62">
        <v>11</v>
      </c>
      <c r="AB117" s="62">
        <v>4</v>
      </c>
      <c r="AC117" s="62">
        <v>7</v>
      </c>
      <c r="AD117" s="62">
        <v>7</v>
      </c>
      <c r="AE117" s="62">
        <v>4</v>
      </c>
      <c r="AF117" s="62">
        <v>7</v>
      </c>
      <c r="AG117" s="62">
        <v>3</v>
      </c>
      <c r="AH117" s="62">
        <v>10</v>
      </c>
      <c r="AI117" s="62">
        <v>6</v>
      </c>
      <c r="AJ117" s="62">
        <v>4</v>
      </c>
      <c r="AK117" s="62">
        <v>5</v>
      </c>
      <c r="AL117" s="62">
        <v>4</v>
      </c>
      <c r="AM117" s="62">
        <v>8</v>
      </c>
      <c r="AN117" s="62">
        <v>6</v>
      </c>
      <c r="AO117" s="62">
        <v>7</v>
      </c>
      <c r="AP117" s="62">
        <v>13</v>
      </c>
      <c r="AQ117" s="62">
        <v>2</v>
      </c>
      <c r="AR117" s="62">
        <v>7</v>
      </c>
      <c r="AS117" s="62">
        <v>6</v>
      </c>
      <c r="AT117" s="62">
        <v>8</v>
      </c>
      <c r="AU117" s="62">
        <v>13</v>
      </c>
      <c r="AV117" s="62">
        <v>5</v>
      </c>
      <c r="AW117" s="62">
        <v>3</v>
      </c>
      <c r="AX117" s="62">
        <v>5</v>
      </c>
      <c r="AY117" s="62">
        <v>3</v>
      </c>
      <c r="AZ117" s="62">
        <v>3</v>
      </c>
      <c r="BA117" s="62">
        <v>13</v>
      </c>
      <c r="BB117" s="62">
        <v>6</v>
      </c>
      <c r="BC117" s="62">
        <v>7</v>
      </c>
      <c r="BD117" s="62">
        <v>6</v>
      </c>
      <c r="BE117" s="62">
        <v>7</v>
      </c>
      <c r="BF117" s="62">
        <v>0</v>
      </c>
      <c r="BG117" s="62">
        <v>8</v>
      </c>
      <c r="BH117" s="62">
        <v>3</v>
      </c>
    </row>
    <row r="118" spans="2:60" hidden="1" x14ac:dyDescent="0.2">
      <c r="B118" s="59"/>
      <c r="C118" s="59" t="s">
        <v>666</v>
      </c>
      <c r="D118" s="59" t="s">
        <v>656</v>
      </c>
      <c r="E118" s="63">
        <v>258</v>
      </c>
      <c r="F118" s="63">
        <v>346</v>
      </c>
      <c r="G118" s="63">
        <v>232</v>
      </c>
      <c r="H118" s="63">
        <v>244</v>
      </c>
      <c r="I118" s="63">
        <v>266</v>
      </c>
      <c r="J118" s="63">
        <v>290</v>
      </c>
      <c r="K118" s="63">
        <v>252</v>
      </c>
      <c r="L118" s="63">
        <v>248</v>
      </c>
      <c r="M118" s="63">
        <v>252</v>
      </c>
      <c r="N118" s="63">
        <v>267</v>
      </c>
      <c r="O118" s="63">
        <v>227</v>
      </c>
      <c r="P118" s="63">
        <v>209</v>
      </c>
      <c r="Q118" s="63">
        <v>241</v>
      </c>
      <c r="R118" s="63">
        <v>248</v>
      </c>
      <c r="S118" s="63">
        <v>200</v>
      </c>
      <c r="T118" s="63">
        <v>218</v>
      </c>
      <c r="U118" s="63">
        <v>229</v>
      </c>
      <c r="V118" s="63">
        <v>264</v>
      </c>
      <c r="W118" s="63">
        <v>172</v>
      </c>
      <c r="X118" s="63">
        <v>202</v>
      </c>
      <c r="Y118" s="63">
        <v>163</v>
      </c>
      <c r="Z118" s="63">
        <v>216</v>
      </c>
      <c r="AA118" s="63">
        <v>170</v>
      </c>
      <c r="AB118" s="63">
        <v>189</v>
      </c>
      <c r="AC118" s="63">
        <v>149</v>
      </c>
      <c r="AD118" s="63">
        <v>198</v>
      </c>
      <c r="AE118" s="63">
        <v>158</v>
      </c>
      <c r="AF118" s="63">
        <v>158</v>
      </c>
      <c r="AG118" s="63">
        <v>163</v>
      </c>
      <c r="AH118" s="63">
        <v>204</v>
      </c>
      <c r="AI118" s="63">
        <v>161</v>
      </c>
      <c r="AJ118" s="63">
        <v>198</v>
      </c>
      <c r="AK118" s="63">
        <v>138</v>
      </c>
      <c r="AL118" s="63">
        <v>230</v>
      </c>
      <c r="AM118" s="63">
        <v>226</v>
      </c>
      <c r="AN118" s="63">
        <v>183</v>
      </c>
      <c r="AO118" s="63">
        <v>170</v>
      </c>
      <c r="AP118" s="63">
        <v>185</v>
      </c>
      <c r="AQ118" s="63">
        <v>142</v>
      </c>
      <c r="AR118" s="63">
        <v>159</v>
      </c>
      <c r="AS118" s="63">
        <v>134</v>
      </c>
      <c r="AT118" s="63">
        <v>132</v>
      </c>
      <c r="AU118" s="63">
        <v>124</v>
      </c>
      <c r="AV118" s="63">
        <v>129</v>
      </c>
      <c r="AW118" s="63">
        <v>111</v>
      </c>
      <c r="AX118" s="63">
        <v>135</v>
      </c>
      <c r="AY118" s="63">
        <v>137</v>
      </c>
      <c r="AZ118" s="63">
        <v>138</v>
      </c>
      <c r="BA118" s="63">
        <v>167</v>
      </c>
      <c r="BB118" s="63">
        <v>144</v>
      </c>
      <c r="BC118" s="63">
        <v>140</v>
      </c>
      <c r="BD118" s="63">
        <v>150</v>
      </c>
      <c r="BE118" s="63">
        <v>144</v>
      </c>
      <c r="BF118" s="63">
        <v>144</v>
      </c>
      <c r="BG118" s="63">
        <v>123</v>
      </c>
      <c r="BH118" s="63">
        <v>152</v>
      </c>
    </row>
    <row r="119" spans="2:60" hidden="1" x14ac:dyDescent="0.2">
      <c r="B119" s="57"/>
      <c r="C119" s="57" t="s">
        <v>667</v>
      </c>
      <c r="D119" s="57" t="s">
        <v>648</v>
      </c>
      <c r="E119" s="62">
        <v>40</v>
      </c>
      <c r="F119" s="62">
        <v>36</v>
      </c>
      <c r="G119" s="62">
        <v>34</v>
      </c>
      <c r="H119" s="62">
        <v>39</v>
      </c>
      <c r="I119" s="62">
        <v>73</v>
      </c>
      <c r="J119" s="62">
        <v>43</v>
      </c>
      <c r="K119" s="62">
        <v>54</v>
      </c>
      <c r="L119" s="62">
        <v>53</v>
      </c>
      <c r="M119" s="62">
        <v>40</v>
      </c>
      <c r="N119" s="62">
        <v>48</v>
      </c>
      <c r="O119" s="62">
        <v>51</v>
      </c>
      <c r="P119" s="62">
        <v>46</v>
      </c>
      <c r="Q119" s="62">
        <v>49</v>
      </c>
      <c r="R119" s="62">
        <v>46</v>
      </c>
      <c r="S119" s="62">
        <v>47</v>
      </c>
      <c r="T119" s="62">
        <v>39</v>
      </c>
      <c r="U119" s="62">
        <v>46</v>
      </c>
      <c r="V119" s="62">
        <v>60</v>
      </c>
      <c r="W119" s="62">
        <v>53</v>
      </c>
      <c r="X119" s="62">
        <v>44</v>
      </c>
      <c r="Y119" s="62">
        <v>50</v>
      </c>
      <c r="Z119" s="62">
        <v>31</v>
      </c>
      <c r="AA119" s="62">
        <v>54</v>
      </c>
      <c r="AB119" s="62">
        <v>45</v>
      </c>
      <c r="AC119" s="62">
        <v>40</v>
      </c>
      <c r="AD119" s="62">
        <v>48</v>
      </c>
      <c r="AE119" s="62">
        <v>48</v>
      </c>
      <c r="AF119" s="62">
        <v>56</v>
      </c>
      <c r="AG119" s="62">
        <v>36</v>
      </c>
      <c r="AH119" s="62">
        <v>49</v>
      </c>
      <c r="AI119" s="62">
        <v>44</v>
      </c>
      <c r="AJ119" s="62">
        <v>58</v>
      </c>
      <c r="AK119" s="62">
        <v>41</v>
      </c>
      <c r="AL119" s="62">
        <v>63</v>
      </c>
      <c r="AM119" s="62">
        <v>55</v>
      </c>
      <c r="AN119" s="62">
        <v>38</v>
      </c>
      <c r="AO119" s="62">
        <v>47</v>
      </c>
      <c r="AP119" s="62">
        <v>51</v>
      </c>
      <c r="AQ119" s="62">
        <v>44</v>
      </c>
      <c r="AR119" s="62">
        <v>29</v>
      </c>
      <c r="AS119" s="62">
        <v>34</v>
      </c>
      <c r="AT119" s="62">
        <v>36</v>
      </c>
      <c r="AU119" s="62">
        <v>34</v>
      </c>
      <c r="AV119" s="62">
        <v>27</v>
      </c>
      <c r="AW119" s="62">
        <v>41</v>
      </c>
      <c r="AX119" s="62">
        <v>40</v>
      </c>
      <c r="AY119" s="62">
        <v>42</v>
      </c>
      <c r="AZ119" s="62">
        <v>27</v>
      </c>
      <c r="BA119" s="62">
        <v>41</v>
      </c>
      <c r="BB119" s="62">
        <v>38</v>
      </c>
      <c r="BC119" s="62">
        <v>45</v>
      </c>
      <c r="BD119" s="62">
        <v>46</v>
      </c>
      <c r="BE119" s="62">
        <v>27</v>
      </c>
      <c r="BF119" s="62">
        <v>36</v>
      </c>
      <c r="BG119" s="62">
        <v>46</v>
      </c>
      <c r="BH119" s="62">
        <v>48</v>
      </c>
    </row>
    <row r="120" spans="2:60" hidden="1" x14ac:dyDescent="0.2">
      <c r="B120" s="59"/>
      <c r="C120" s="59" t="s">
        <v>667</v>
      </c>
      <c r="D120" s="59" t="s">
        <v>649</v>
      </c>
      <c r="E120" s="63">
        <v>210</v>
      </c>
      <c r="F120" s="63">
        <v>181</v>
      </c>
      <c r="G120" s="63">
        <v>193</v>
      </c>
      <c r="H120" s="63">
        <v>171</v>
      </c>
      <c r="I120" s="63">
        <v>181</v>
      </c>
      <c r="J120" s="63">
        <v>173</v>
      </c>
      <c r="K120" s="63">
        <v>153</v>
      </c>
      <c r="L120" s="63">
        <v>160</v>
      </c>
      <c r="M120" s="63">
        <v>165</v>
      </c>
      <c r="N120" s="63">
        <v>155</v>
      </c>
      <c r="O120" s="63">
        <v>171</v>
      </c>
      <c r="P120" s="63">
        <v>137</v>
      </c>
      <c r="Q120" s="63">
        <v>182</v>
      </c>
      <c r="R120" s="63">
        <v>150</v>
      </c>
      <c r="S120" s="63">
        <v>169</v>
      </c>
      <c r="T120" s="63">
        <v>171</v>
      </c>
      <c r="U120" s="63">
        <v>169</v>
      </c>
      <c r="V120" s="63">
        <v>147</v>
      </c>
      <c r="W120" s="63">
        <v>167</v>
      </c>
      <c r="X120" s="63">
        <v>169</v>
      </c>
      <c r="Y120" s="63">
        <v>185</v>
      </c>
      <c r="Z120" s="63">
        <v>164</v>
      </c>
      <c r="AA120" s="63">
        <v>144</v>
      </c>
      <c r="AB120" s="63">
        <v>157</v>
      </c>
      <c r="AC120" s="63">
        <v>183</v>
      </c>
      <c r="AD120" s="63">
        <v>149</v>
      </c>
      <c r="AE120" s="63">
        <v>183</v>
      </c>
      <c r="AF120" s="63">
        <v>132</v>
      </c>
      <c r="AG120" s="63">
        <v>122</v>
      </c>
      <c r="AH120" s="63">
        <v>127</v>
      </c>
      <c r="AI120" s="63">
        <v>125</v>
      </c>
      <c r="AJ120" s="63">
        <v>140</v>
      </c>
      <c r="AK120" s="63">
        <v>121</v>
      </c>
      <c r="AL120" s="63">
        <v>146</v>
      </c>
      <c r="AM120" s="63">
        <v>121</v>
      </c>
      <c r="AN120" s="63">
        <v>114</v>
      </c>
      <c r="AO120" s="63">
        <v>126</v>
      </c>
      <c r="AP120" s="63">
        <v>102</v>
      </c>
      <c r="AQ120" s="63">
        <v>107</v>
      </c>
      <c r="AR120" s="63">
        <v>112</v>
      </c>
      <c r="AS120" s="63">
        <v>87</v>
      </c>
      <c r="AT120" s="63">
        <v>115</v>
      </c>
      <c r="AU120" s="63">
        <v>93</v>
      </c>
      <c r="AV120" s="63">
        <v>92</v>
      </c>
      <c r="AW120" s="63">
        <v>96</v>
      </c>
      <c r="AX120" s="63">
        <v>111</v>
      </c>
      <c r="AY120" s="63">
        <v>118</v>
      </c>
      <c r="AZ120" s="63">
        <v>112</v>
      </c>
      <c r="BA120" s="63">
        <v>94</v>
      </c>
      <c r="BB120" s="63">
        <v>105</v>
      </c>
      <c r="BC120" s="63">
        <v>101</v>
      </c>
      <c r="BD120" s="63">
        <v>96</v>
      </c>
      <c r="BE120" s="63">
        <v>110</v>
      </c>
      <c r="BF120" s="63">
        <v>87</v>
      </c>
      <c r="BG120" s="63">
        <v>106</v>
      </c>
      <c r="BH120" s="63">
        <v>91</v>
      </c>
    </row>
    <row r="121" spans="2:60" hidden="1" x14ac:dyDescent="0.2">
      <c r="B121" s="57"/>
      <c r="C121" s="57" t="s">
        <v>667</v>
      </c>
      <c r="D121" s="57" t="s">
        <v>650</v>
      </c>
      <c r="E121" s="62">
        <v>54</v>
      </c>
      <c r="F121" s="62">
        <v>53</v>
      </c>
      <c r="G121" s="62">
        <v>34</v>
      </c>
      <c r="H121" s="62">
        <v>40</v>
      </c>
      <c r="I121" s="62">
        <v>58</v>
      </c>
      <c r="J121" s="62">
        <v>49</v>
      </c>
      <c r="K121" s="62">
        <v>51</v>
      </c>
      <c r="L121" s="62">
        <v>36</v>
      </c>
      <c r="M121" s="62">
        <v>38</v>
      </c>
      <c r="N121" s="62">
        <v>50</v>
      </c>
      <c r="O121" s="62">
        <v>49</v>
      </c>
      <c r="P121" s="62">
        <v>39</v>
      </c>
      <c r="Q121" s="62">
        <v>48</v>
      </c>
      <c r="R121" s="62">
        <v>54</v>
      </c>
      <c r="S121" s="62">
        <v>52</v>
      </c>
      <c r="T121" s="62">
        <v>70</v>
      </c>
      <c r="U121" s="62">
        <v>62</v>
      </c>
      <c r="V121" s="62">
        <v>58</v>
      </c>
      <c r="W121" s="62">
        <v>57</v>
      </c>
      <c r="X121" s="62">
        <v>53</v>
      </c>
      <c r="Y121" s="62">
        <v>72</v>
      </c>
      <c r="Z121" s="62">
        <v>38</v>
      </c>
      <c r="AA121" s="62">
        <v>55</v>
      </c>
      <c r="AB121" s="62">
        <v>56</v>
      </c>
      <c r="AC121" s="62">
        <v>55</v>
      </c>
      <c r="AD121" s="62">
        <v>63</v>
      </c>
      <c r="AE121" s="62">
        <v>50</v>
      </c>
      <c r="AF121" s="62">
        <v>67</v>
      </c>
      <c r="AG121" s="62">
        <v>53</v>
      </c>
      <c r="AH121" s="62">
        <v>40</v>
      </c>
      <c r="AI121" s="62">
        <v>43</v>
      </c>
      <c r="AJ121" s="62">
        <v>56</v>
      </c>
      <c r="AK121" s="62">
        <v>36</v>
      </c>
      <c r="AL121" s="62">
        <v>34</v>
      </c>
      <c r="AM121" s="62">
        <v>43</v>
      </c>
      <c r="AN121" s="62">
        <v>40</v>
      </c>
      <c r="AO121" s="62">
        <v>42</v>
      </c>
      <c r="AP121" s="62">
        <v>37</v>
      </c>
      <c r="AQ121" s="62">
        <v>36</v>
      </c>
      <c r="AR121" s="62">
        <v>27</v>
      </c>
      <c r="AS121" s="62">
        <v>32</v>
      </c>
      <c r="AT121" s="62">
        <v>26</v>
      </c>
      <c r="AU121" s="62">
        <v>43</v>
      </c>
      <c r="AV121" s="62">
        <v>30</v>
      </c>
      <c r="AW121" s="62">
        <v>20</v>
      </c>
      <c r="AX121" s="62">
        <v>29</v>
      </c>
      <c r="AY121" s="62">
        <v>30</v>
      </c>
      <c r="AZ121" s="62">
        <v>26</v>
      </c>
      <c r="BA121" s="62">
        <v>34</v>
      </c>
      <c r="BB121" s="62">
        <v>29</v>
      </c>
      <c r="BC121" s="62">
        <v>37</v>
      </c>
      <c r="BD121" s="62">
        <v>36</v>
      </c>
      <c r="BE121" s="62">
        <v>40</v>
      </c>
      <c r="BF121" s="62">
        <v>39</v>
      </c>
      <c r="BG121" s="62">
        <v>33</v>
      </c>
      <c r="BH121" s="62">
        <v>34</v>
      </c>
    </row>
    <row r="122" spans="2:60" hidden="1" x14ac:dyDescent="0.2">
      <c r="B122" s="59"/>
      <c r="C122" s="59" t="s">
        <v>667</v>
      </c>
      <c r="D122" s="59" t="s">
        <v>651</v>
      </c>
      <c r="E122" s="63">
        <v>90</v>
      </c>
      <c r="F122" s="63">
        <v>82</v>
      </c>
      <c r="G122" s="63">
        <v>85</v>
      </c>
      <c r="H122" s="63">
        <v>82</v>
      </c>
      <c r="I122" s="63">
        <v>88</v>
      </c>
      <c r="J122" s="63">
        <v>95</v>
      </c>
      <c r="K122" s="63">
        <v>73</v>
      </c>
      <c r="L122" s="63">
        <v>78</v>
      </c>
      <c r="M122" s="63">
        <v>86</v>
      </c>
      <c r="N122" s="63">
        <v>78</v>
      </c>
      <c r="O122" s="63">
        <v>84</v>
      </c>
      <c r="P122" s="63">
        <v>72</v>
      </c>
      <c r="Q122" s="63">
        <v>78</v>
      </c>
      <c r="R122" s="63">
        <v>66</v>
      </c>
      <c r="S122" s="63">
        <v>84</v>
      </c>
      <c r="T122" s="63">
        <v>82</v>
      </c>
      <c r="U122" s="63">
        <v>72</v>
      </c>
      <c r="V122" s="63">
        <v>74</v>
      </c>
      <c r="W122" s="63">
        <v>77</v>
      </c>
      <c r="X122" s="63">
        <v>79</v>
      </c>
      <c r="Y122" s="63">
        <v>79</v>
      </c>
      <c r="Z122" s="63">
        <v>81</v>
      </c>
      <c r="AA122" s="63">
        <v>84</v>
      </c>
      <c r="AB122" s="63">
        <v>72</v>
      </c>
      <c r="AC122" s="63">
        <v>85</v>
      </c>
      <c r="AD122" s="63">
        <v>75</v>
      </c>
      <c r="AE122" s="63">
        <v>73</v>
      </c>
      <c r="AF122" s="63">
        <v>72</v>
      </c>
      <c r="AG122" s="63">
        <v>78</v>
      </c>
      <c r="AH122" s="63">
        <v>61</v>
      </c>
      <c r="AI122" s="63">
        <v>66</v>
      </c>
      <c r="AJ122" s="63">
        <v>88</v>
      </c>
      <c r="AK122" s="63">
        <v>47</v>
      </c>
      <c r="AL122" s="63">
        <v>63</v>
      </c>
      <c r="AM122" s="63">
        <v>48</v>
      </c>
      <c r="AN122" s="63">
        <v>42</v>
      </c>
      <c r="AO122" s="63">
        <v>47</v>
      </c>
      <c r="AP122" s="63">
        <v>40</v>
      </c>
      <c r="AQ122" s="63">
        <v>43</v>
      </c>
      <c r="AR122" s="63">
        <v>53</v>
      </c>
      <c r="AS122" s="63">
        <v>47</v>
      </c>
      <c r="AT122" s="63">
        <v>56</v>
      </c>
      <c r="AU122" s="63">
        <v>53</v>
      </c>
      <c r="AV122" s="63">
        <v>46</v>
      </c>
      <c r="AW122" s="63">
        <v>27</v>
      </c>
      <c r="AX122" s="63">
        <v>37</v>
      </c>
      <c r="AY122" s="63">
        <v>48</v>
      </c>
      <c r="AZ122" s="63">
        <v>29</v>
      </c>
      <c r="BA122" s="63">
        <v>34</v>
      </c>
      <c r="BB122" s="63">
        <v>53</v>
      </c>
      <c r="BC122" s="63">
        <v>32</v>
      </c>
      <c r="BD122" s="63">
        <v>52</v>
      </c>
      <c r="BE122" s="63">
        <v>43</v>
      </c>
      <c r="BF122" s="63">
        <v>45</v>
      </c>
      <c r="BG122" s="63">
        <v>42</v>
      </c>
      <c r="BH122" s="63">
        <v>60</v>
      </c>
    </row>
    <row r="123" spans="2:60" hidden="1" x14ac:dyDescent="0.2">
      <c r="B123" s="57"/>
      <c r="C123" s="57" t="s">
        <v>667</v>
      </c>
      <c r="D123" s="57" t="s">
        <v>652</v>
      </c>
      <c r="E123" s="62">
        <v>424</v>
      </c>
      <c r="F123" s="62">
        <v>337</v>
      </c>
      <c r="G123" s="62">
        <v>346</v>
      </c>
      <c r="H123" s="62">
        <v>324</v>
      </c>
      <c r="I123" s="62">
        <v>340</v>
      </c>
      <c r="J123" s="62">
        <v>366</v>
      </c>
      <c r="K123" s="62">
        <v>374</v>
      </c>
      <c r="L123" s="62">
        <v>350</v>
      </c>
      <c r="M123" s="62">
        <v>342</v>
      </c>
      <c r="N123" s="62">
        <v>332</v>
      </c>
      <c r="O123" s="62">
        <v>334</v>
      </c>
      <c r="P123" s="62">
        <v>316</v>
      </c>
      <c r="Q123" s="62">
        <v>323</v>
      </c>
      <c r="R123" s="62">
        <v>333</v>
      </c>
      <c r="S123" s="62">
        <v>330</v>
      </c>
      <c r="T123" s="62">
        <v>310</v>
      </c>
      <c r="U123" s="62">
        <v>349</v>
      </c>
      <c r="V123" s="62">
        <v>326</v>
      </c>
      <c r="W123" s="62">
        <v>336</v>
      </c>
      <c r="X123" s="62">
        <v>278</v>
      </c>
      <c r="Y123" s="62">
        <v>379</v>
      </c>
      <c r="Z123" s="62">
        <v>327</v>
      </c>
      <c r="AA123" s="62">
        <v>343</v>
      </c>
      <c r="AB123" s="62">
        <v>269</v>
      </c>
      <c r="AC123" s="62">
        <v>336</v>
      </c>
      <c r="AD123" s="62">
        <v>290</v>
      </c>
      <c r="AE123" s="62">
        <v>278</v>
      </c>
      <c r="AF123" s="62">
        <v>244</v>
      </c>
      <c r="AG123" s="62">
        <v>294</v>
      </c>
      <c r="AH123" s="62">
        <v>275</v>
      </c>
      <c r="AI123" s="62">
        <v>246</v>
      </c>
      <c r="AJ123" s="62">
        <v>271</v>
      </c>
      <c r="AK123" s="62">
        <v>228</v>
      </c>
      <c r="AL123" s="62">
        <v>274</v>
      </c>
      <c r="AM123" s="62">
        <v>210</v>
      </c>
      <c r="AN123" s="62">
        <v>226</v>
      </c>
      <c r="AO123" s="62">
        <v>211</v>
      </c>
      <c r="AP123" s="62">
        <v>193</v>
      </c>
      <c r="AQ123" s="62">
        <v>224</v>
      </c>
      <c r="AR123" s="62">
        <v>218</v>
      </c>
      <c r="AS123" s="62">
        <v>184</v>
      </c>
      <c r="AT123" s="62">
        <v>220</v>
      </c>
      <c r="AU123" s="62">
        <v>213</v>
      </c>
      <c r="AV123" s="62">
        <v>206</v>
      </c>
      <c r="AW123" s="62">
        <v>199</v>
      </c>
      <c r="AX123" s="62">
        <v>204</v>
      </c>
      <c r="AY123" s="62">
        <v>209</v>
      </c>
      <c r="AZ123" s="62">
        <v>194</v>
      </c>
      <c r="BA123" s="62">
        <v>162</v>
      </c>
      <c r="BB123" s="62">
        <v>186</v>
      </c>
      <c r="BC123" s="62">
        <v>195</v>
      </c>
      <c r="BD123" s="62">
        <v>200</v>
      </c>
      <c r="BE123" s="62">
        <v>213</v>
      </c>
      <c r="BF123" s="62">
        <v>190</v>
      </c>
      <c r="BG123" s="62">
        <v>231</v>
      </c>
      <c r="BH123" s="62">
        <v>231</v>
      </c>
    </row>
    <row r="124" spans="2:60" hidden="1" x14ac:dyDescent="0.2">
      <c r="B124" s="59"/>
      <c r="C124" s="59" t="s">
        <v>667</v>
      </c>
      <c r="D124" s="59" t="s">
        <v>653</v>
      </c>
      <c r="E124" s="63">
        <v>305</v>
      </c>
      <c r="F124" s="63">
        <v>257</v>
      </c>
      <c r="G124" s="63">
        <v>287</v>
      </c>
      <c r="H124" s="63">
        <v>257</v>
      </c>
      <c r="I124" s="63">
        <v>288</v>
      </c>
      <c r="J124" s="63">
        <v>282</v>
      </c>
      <c r="K124" s="63">
        <v>282</v>
      </c>
      <c r="L124" s="63">
        <v>290</v>
      </c>
      <c r="M124" s="63">
        <v>278</v>
      </c>
      <c r="N124" s="63">
        <v>274</v>
      </c>
      <c r="O124" s="63">
        <v>282</v>
      </c>
      <c r="P124" s="63">
        <v>279</v>
      </c>
      <c r="Q124" s="63">
        <v>297</v>
      </c>
      <c r="R124" s="63">
        <v>243</v>
      </c>
      <c r="S124" s="63">
        <v>324</v>
      </c>
      <c r="T124" s="63">
        <v>257</v>
      </c>
      <c r="U124" s="63">
        <v>301</v>
      </c>
      <c r="V124" s="63">
        <v>271</v>
      </c>
      <c r="W124" s="63">
        <v>318</v>
      </c>
      <c r="X124" s="63">
        <v>256</v>
      </c>
      <c r="Y124" s="63">
        <v>294</v>
      </c>
      <c r="Z124" s="63">
        <v>267</v>
      </c>
      <c r="AA124" s="63">
        <v>293</v>
      </c>
      <c r="AB124" s="63">
        <v>286</v>
      </c>
      <c r="AC124" s="63">
        <v>274</v>
      </c>
      <c r="AD124" s="63">
        <v>270</v>
      </c>
      <c r="AE124" s="63">
        <v>250</v>
      </c>
      <c r="AF124" s="63">
        <v>241</v>
      </c>
      <c r="AG124" s="63">
        <v>210</v>
      </c>
      <c r="AH124" s="63">
        <v>255</v>
      </c>
      <c r="AI124" s="63">
        <v>224</v>
      </c>
      <c r="AJ124" s="63">
        <v>241</v>
      </c>
      <c r="AK124" s="63">
        <v>252</v>
      </c>
      <c r="AL124" s="63">
        <v>253</v>
      </c>
      <c r="AM124" s="63">
        <v>182</v>
      </c>
      <c r="AN124" s="63">
        <v>198</v>
      </c>
      <c r="AO124" s="63">
        <v>214</v>
      </c>
      <c r="AP124" s="63">
        <v>182</v>
      </c>
      <c r="AQ124" s="63">
        <v>211</v>
      </c>
      <c r="AR124" s="63">
        <v>234</v>
      </c>
      <c r="AS124" s="63">
        <v>190</v>
      </c>
      <c r="AT124" s="63">
        <v>246</v>
      </c>
      <c r="AU124" s="63">
        <v>207</v>
      </c>
      <c r="AV124" s="63">
        <v>192</v>
      </c>
      <c r="AW124" s="63">
        <v>203</v>
      </c>
      <c r="AX124" s="63">
        <v>246</v>
      </c>
      <c r="AY124" s="63">
        <v>222</v>
      </c>
      <c r="AZ124" s="63">
        <v>245</v>
      </c>
      <c r="BA124" s="63">
        <v>235</v>
      </c>
      <c r="BB124" s="63">
        <v>263</v>
      </c>
      <c r="BC124" s="63">
        <v>230</v>
      </c>
      <c r="BD124" s="63">
        <v>299</v>
      </c>
      <c r="BE124" s="63">
        <v>248</v>
      </c>
      <c r="BF124" s="63">
        <v>309</v>
      </c>
      <c r="BG124" s="63">
        <v>317</v>
      </c>
      <c r="BH124" s="63">
        <v>314</v>
      </c>
    </row>
    <row r="125" spans="2:60" hidden="1" x14ac:dyDescent="0.2">
      <c r="B125" s="57"/>
      <c r="C125" s="57" t="s">
        <v>667</v>
      </c>
      <c r="D125" s="57" t="s">
        <v>654</v>
      </c>
      <c r="E125" s="62">
        <v>33</v>
      </c>
      <c r="F125" s="62">
        <v>13</v>
      </c>
      <c r="G125" s="62">
        <v>21</v>
      </c>
      <c r="H125" s="62">
        <v>23</v>
      </c>
      <c r="I125" s="62">
        <v>34</v>
      </c>
      <c r="J125" s="62">
        <v>25</v>
      </c>
      <c r="K125" s="62">
        <v>24</v>
      </c>
      <c r="L125" s="62">
        <v>18</v>
      </c>
      <c r="M125" s="62">
        <v>31</v>
      </c>
      <c r="N125" s="62">
        <v>14</v>
      </c>
      <c r="O125" s="62">
        <v>23</v>
      </c>
      <c r="P125" s="62">
        <v>19</v>
      </c>
      <c r="Q125" s="62">
        <v>44</v>
      </c>
      <c r="R125" s="62">
        <v>25</v>
      </c>
      <c r="S125" s="62">
        <v>32</v>
      </c>
      <c r="T125" s="62">
        <v>25</v>
      </c>
      <c r="U125" s="62">
        <v>35</v>
      </c>
      <c r="V125" s="62">
        <v>20</v>
      </c>
      <c r="W125" s="62">
        <v>25</v>
      </c>
      <c r="X125" s="62">
        <v>23</v>
      </c>
      <c r="Y125" s="62">
        <v>27</v>
      </c>
      <c r="Z125" s="62">
        <v>14</v>
      </c>
      <c r="AA125" s="62">
        <v>25</v>
      </c>
      <c r="AB125" s="62">
        <v>24</v>
      </c>
      <c r="AC125" s="62">
        <v>51</v>
      </c>
      <c r="AD125" s="62">
        <v>25</v>
      </c>
      <c r="AE125" s="62">
        <v>26</v>
      </c>
      <c r="AF125" s="62">
        <v>30</v>
      </c>
      <c r="AG125" s="62">
        <v>25</v>
      </c>
      <c r="AH125" s="62">
        <v>26</v>
      </c>
      <c r="AI125" s="62">
        <v>22</v>
      </c>
      <c r="AJ125" s="62">
        <v>26</v>
      </c>
      <c r="AK125" s="62">
        <v>32</v>
      </c>
      <c r="AL125" s="62">
        <v>29</v>
      </c>
      <c r="AM125" s="62">
        <v>26</v>
      </c>
      <c r="AN125" s="62">
        <v>22</v>
      </c>
      <c r="AO125" s="62">
        <v>17</v>
      </c>
      <c r="AP125" s="62">
        <v>15</v>
      </c>
      <c r="AQ125" s="62">
        <v>21</v>
      </c>
      <c r="AR125" s="62">
        <v>16</v>
      </c>
      <c r="AS125" s="62">
        <v>26</v>
      </c>
      <c r="AT125" s="62">
        <v>12</v>
      </c>
      <c r="AU125" s="62">
        <v>15</v>
      </c>
      <c r="AV125" s="62">
        <v>13</v>
      </c>
      <c r="AW125" s="62">
        <v>19</v>
      </c>
      <c r="AX125" s="62">
        <v>13</v>
      </c>
      <c r="AY125" s="62">
        <v>17</v>
      </c>
      <c r="AZ125" s="62">
        <v>13</v>
      </c>
      <c r="BA125" s="62">
        <v>16</v>
      </c>
      <c r="BB125" s="62">
        <v>14</v>
      </c>
      <c r="BC125" s="62">
        <v>12</v>
      </c>
      <c r="BD125" s="62">
        <v>27</v>
      </c>
      <c r="BE125" s="62">
        <v>17</v>
      </c>
      <c r="BF125" s="62">
        <v>17</v>
      </c>
      <c r="BG125" s="62">
        <v>13</v>
      </c>
      <c r="BH125" s="62">
        <v>16</v>
      </c>
    </row>
    <row r="126" spans="2:60" hidden="1" x14ac:dyDescent="0.2">
      <c r="B126" s="59"/>
      <c r="C126" s="59" t="s">
        <v>667</v>
      </c>
      <c r="D126" s="59" t="s">
        <v>655</v>
      </c>
      <c r="E126" s="63">
        <v>66</v>
      </c>
      <c r="F126" s="63">
        <v>36</v>
      </c>
      <c r="G126" s="63">
        <v>64</v>
      </c>
      <c r="H126" s="63">
        <v>65</v>
      </c>
      <c r="I126" s="63">
        <v>46</v>
      </c>
      <c r="J126" s="63">
        <v>58</v>
      </c>
      <c r="K126" s="63">
        <v>74</v>
      </c>
      <c r="L126" s="63">
        <v>56</v>
      </c>
      <c r="M126" s="63">
        <v>81</v>
      </c>
      <c r="N126" s="63">
        <v>36</v>
      </c>
      <c r="O126" s="63">
        <v>51</v>
      </c>
      <c r="P126" s="63">
        <v>48</v>
      </c>
      <c r="Q126" s="63">
        <v>55</v>
      </c>
      <c r="R126" s="63">
        <v>39</v>
      </c>
      <c r="S126" s="63">
        <v>55</v>
      </c>
      <c r="T126" s="63">
        <v>49</v>
      </c>
      <c r="U126" s="63">
        <v>39</v>
      </c>
      <c r="V126" s="63">
        <v>45</v>
      </c>
      <c r="W126" s="63">
        <v>43</v>
      </c>
      <c r="X126" s="63">
        <v>39</v>
      </c>
      <c r="Y126" s="63">
        <v>59</v>
      </c>
      <c r="Z126" s="63">
        <v>45</v>
      </c>
      <c r="AA126" s="63">
        <v>43</v>
      </c>
      <c r="AB126" s="63">
        <v>54</v>
      </c>
      <c r="AC126" s="63">
        <v>54</v>
      </c>
      <c r="AD126" s="63">
        <v>36</v>
      </c>
      <c r="AE126" s="63">
        <v>31</v>
      </c>
      <c r="AF126" s="63">
        <v>41</v>
      </c>
      <c r="AG126" s="63">
        <v>50</v>
      </c>
      <c r="AH126" s="63">
        <v>29</v>
      </c>
      <c r="AI126" s="63">
        <v>23</v>
      </c>
      <c r="AJ126" s="63">
        <v>42</v>
      </c>
      <c r="AK126" s="63">
        <v>40</v>
      </c>
      <c r="AL126" s="63">
        <v>45</v>
      </c>
      <c r="AM126" s="63">
        <v>33</v>
      </c>
      <c r="AN126" s="63">
        <v>41</v>
      </c>
      <c r="AO126" s="63">
        <v>43</v>
      </c>
      <c r="AP126" s="63">
        <v>32</v>
      </c>
      <c r="AQ126" s="63">
        <v>19</v>
      </c>
      <c r="AR126" s="63">
        <v>30</v>
      </c>
      <c r="AS126" s="63">
        <v>37</v>
      </c>
      <c r="AT126" s="63">
        <v>35</v>
      </c>
      <c r="AU126" s="63">
        <v>21</v>
      </c>
      <c r="AV126" s="63">
        <v>35</v>
      </c>
      <c r="AW126" s="63">
        <v>29</v>
      </c>
      <c r="AX126" s="63">
        <v>30</v>
      </c>
      <c r="AY126" s="63">
        <v>34</v>
      </c>
      <c r="AZ126" s="63">
        <v>24</v>
      </c>
      <c r="BA126" s="63">
        <v>31</v>
      </c>
      <c r="BB126" s="63">
        <v>19</v>
      </c>
      <c r="BC126" s="63">
        <v>21</v>
      </c>
      <c r="BD126" s="63">
        <v>23</v>
      </c>
      <c r="BE126" s="63">
        <v>28</v>
      </c>
      <c r="BF126" s="63">
        <v>28</v>
      </c>
      <c r="BG126" s="63">
        <v>27</v>
      </c>
      <c r="BH126" s="63">
        <v>27</v>
      </c>
    </row>
    <row r="127" spans="2:60" hidden="1" x14ac:dyDescent="0.2">
      <c r="B127" s="57"/>
      <c r="C127" s="57" t="s">
        <v>667</v>
      </c>
      <c r="D127" s="57" t="s">
        <v>699</v>
      </c>
      <c r="E127" s="62">
        <v>141</v>
      </c>
      <c r="F127" s="62">
        <v>114</v>
      </c>
      <c r="G127" s="62">
        <v>128</v>
      </c>
      <c r="H127" s="62">
        <v>130</v>
      </c>
      <c r="I127" s="62">
        <v>174</v>
      </c>
      <c r="J127" s="62">
        <v>128</v>
      </c>
      <c r="K127" s="62">
        <v>124</v>
      </c>
      <c r="L127" s="62">
        <v>124</v>
      </c>
      <c r="M127" s="62">
        <v>133</v>
      </c>
      <c r="N127" s="62">
        <v>125</v>
      </c>
      <c r="O127" s="62">
        <v>134</v>
      </c>
      <c r="P127" s="62">
        <v>115</v>
      </c>
      <c r="Q127" s="62">
        <v>123</v>
      </c>
      <c r="R127" s="62">
        <v>96</v>
      </c>
      <c r="S127" s="62">
        <v>140</v>
      </c>
      <c r="T127" s="62">
        <v>127</v>
      </c>
      <c r="U127" s="62">
        <v>104</v>
      </c>
      <c r="V127" s="62">
        <v>118</v>
      </c>
      <c r="W127" s="62">
        <v>151</v>
      </c>
      <c r="X127" s="62">
        <v>129</v>
      </c>
      <c r="Y127" s="62">
        <v>111</v>
      </c>
      <c r="Z127" s="62">
        <v>93</v>
      </c>
      <c r="AA127" s="62">
        <v>92</v>
      </c>
      <c r="AB127" s="62">
        <v>63</v>
      </c>
      <c r="AC127" s="62">
        <v>142</v>
      </c>
      <c r="AD127" s="62">
        <v>86</v>
      </c>
      <c r="AE127" s="62">
        <v>96</v>
      </c>
      <c r="AF127" s="62">
        <v>87</v>
      </c>
      <c r="AG127" s="62">
        <v>84</v>
      </c>
      <c r="AH127" s="62">
        <v>89</v>
      </c>
      <c r="AI127" s="62">
        <v>81</v>
      </c>
      <c r="AJ127" s="62">
        <v>79</v>
      </c>
      <c r="AK127" s="62">
        <v>84</v>
      </c>
      <c r="AL127" s="62">
        <v>76</v>
      </c>
      <c r="AM127" s="62">
        <v>77</v>
      </c>
      <c r="AN127" s="62">
        <v>87</v>
      </c>
      <c r="AO127" s="62">
        <v>88</v>
      </c>
      <c r="AP127" s="62">
        <v>99</v>
      </c>
      <c r="AQ127" s="62">
        <v>77</v>
      </c>
      <c r="AR127" s="62">
        <v>67</v>
      </c>
      <c r="AS127" s="62">
        <v>66</v>
      </c>
      <c r="AT127" s="62">
        <v>80</v>
      </c>
      <c r="AU127" s="62">
        <v>78</v>
      </c>
      <c r="AV127" s="62">
        <v>63</v>
      </c>
      <c r="AW127" s="62">
        <v>51</v>
      </c>
      <c r="AX127" s="62">
        <v>95</v>
      </c>
      <c r="AY127" s="62">
        <v>63</v>
      </c>
      <c r="AZ127" s="62">
        <v>58</v>
      </c>
      <c r="BA127" s="62">
        <v>89</v>
      </c>
      <c r="BB127" s="62">
        <v>78</v>
      </c>
      <c r="BC127" s="62">
        <v>71</v>
      </c>
      <c r="BD127" s="62">
        <v>79</v>
      </c>
      <c r="BE127" s="62">
        <v>60</v>
      </c>
      <c r="BF127" s="62">
        <v>63</v>
      </c>
      <c r="BG127" s="62">
        <v>75</v>
      </c>
      <c r="BH127" s="62">
        <v>61</v>
      </c>
    </row>
    <row r="128" spans="2:60" hidden="1" x14ac:dyDescent="0.2">
      <c r="B128" s="59"/>
      <c r="C128" s="59" t="s">
        <v>667</v>
      </c>
      <c r="D128" s="59" t="s">
        <v>656</v>
      </c>
      <c r="E128" s="63">
        <v>1363</v>
      </c>
      <c r="F128" s="63">
        <v>1109</v>
      </c>
      <c r="G128" s="63">
        <v>1192</v>
      </c>
      <c r="H128" s="63">
        <v>1131</v>
      </c>
      <c r="I128" s="63">
        <v>1282</v>
      </c>
      <c r="J128" s="63">
        <v>1219</v>
      </c>
      <c r="K128" s="63">
        <v>1209</v>
      </c>
      <c r="L128" s="63">
        <v>1165</v>
      </c>
      <c r="M128" s="63">
        <v>1194</v>
      </c>
      <c r="N128" s="63">
        <v>1112</v>
      </c>
      <c r="O128" s="63">
        <v>1179</v>
      </c>
      <c r="P128" s="63">
        <v>1071</v>
      </c>
      <c r="Q128" s="63">
        <v>1199</v>
      </c>
      <c r="R128" s="63">
        <v>1052</v>
      </c>
      <c r="S128" s="63">
        <v>1233</v>
      </c>
      <c r="T128" s="63">
        <v>1130</v>
      </c>
      <c r="U128" s="63">
        <v>1177</v>
      </c>
      <c r="V128" s="63">
        <v>1119</v>
      </c>
      <c r="W128" s="63">
        <v>1227</v>
      </c>
      <c r="X128" s="63">
        <v>1070</v>
      </c>
      <c r="Y128" s="63">
        <v>1256</v>
      </c>
      <c r="Z128" s="63">
        <v>1060</v>
      </c>
      <c r="AA128" s="63">
        <v>1133</v>
      </c>
      <c r="AB128" s="63">
        <v>1026</v>
      </c>
      <c r="AC128" s="63">
        <v>1220</v>
      </c>
      <c r="AD128" s="63">
        <v>1042</v>
      </c>
      <c r="AE128" s="63">
        <v>1035</v>
      </c>
      <c r="AF128" s="63">
        <v>970</v>
      </c>
      <c r="AG128" s="63">
        <v>952</v>
      </c>
      <c r="AH128" s="63">
        <v>951</v>
      </c>
      <c r="AI128" s="63">
        <v>874</v>
      </c>
      <c r="AJ128" s="63">
        <v>1001</v>
      </c>
      <c r="AK128" s="63">
        <v>881</v>
      </c>
      <c r="AL128" s="63">
        <v>983</v>
      </c>
      <c r="AM128" s="63">
        <v>795</v>
      </c>
      <c r="AN128" s="63">
        <v>808</v>
      </c>
      <c r="AO128" s="63">
        <v>835</v>
      </c>
      <c r="AP128" s="63">
        <v>751</v>
      </c>
      <c r="AQ128" s="63">
        <v>782</v>
      </c>
      <c r="AR128" s="63">
        <v>786</v>
      </c>
      <c r="AS128" s="63">
        <v>703</v>
      </c>
      <c r="AT128" s="63">
        <v>826</v>
      </c>
      <c r="AU128" s="63">
        <v>757</v>
      </c>
      <c r="AV128" s="63">
        <v>704</v>
      </c>
      <c r="AW128" s="63">
        <v>685</v>
      </c>
      <c r="AX128" s="63">
        <v>805</v>
      </c>
      <c r="AY128" s="63">
        <v>783</v>
      </c>
      <c r="AZ128" s="63">
        <v>728</v>
      </c>
      <c r="BA128" s="63">
        <v>736</v>
      </c>
      <c r="BB128" s="63">
        <v>785</v>
      </c>
      <c r="BC128" s="63">
        <v>744</v>
      </c>
      <c r="BD128" s="63">
        <v>858</v>
      </c>
      <c r="BE128" s="63">
        <v>786</v>
      </c>
      <c r="BF128" s="63">
        <v>814</v>
      </c>
      <c r="BG128" s="63">
        <v>890</v>
      </c>
      <c r="BH128" s="63">
        <v>882</v>
      </c>
    </row>
    <row r="129" spans="2:60" hidden="1" x14ac:dyDescent="0.2">
      <c r="B129" s="57"/>
      <c r="C129" s="57" t="s">
        <v>668</v>
      </c>
      <c r="D129" s="57" t="s">
        <v>648</v>
      </c>
      <c r="E129" s="62">
        <v>27</v>
      </c>
      <c r="F129" s="62">
        <v>15</v>
      </c>
      <c r="G129" s="62">
        <v>30</v>
      </c>
      <c r="H129" s="62">
        <v>35</v>
      </c>
      <c r="I129" s="62">
        <v>20</v>
      </c>
      <c r="J129" s="62">
        <v>19</v>
      </c>
      <c r="K129" s="62">
        <v>27</v>
      </c>
      <c r="L129" s="62">
        <v>26</v>
      </c>
      <c r="M129" s="62">
        <v>38</v>
      </c>
      <c r="N129" s="62">
        <v>34</v>
      </c>
      <c r="O129" s="62">
        <v>37</v>
      </c>
      <c r="P129" s="62">
        <v>31</v>
      </c>
      <c r="Q129" s="62">
        <v>28</v>
      </c>
      <c r="R129" s="62">
        <v>49</v>
      </c>
      <c r="S129" s="62">
        <v>38</v>
      </c>
      <c r="T129" s="62">
        <v>35</v>
      </c>
      <c r="U129" s="62">
        <v>34</v>
      </c>
      <c r="V129" s="62">
        <v>35</v>
      </c>
      <c r="W129" s="62">
        <v>35</v>
      </c>
      <c r="X129" s="62">
        <v>39</v>
      </c>
      <c r="Y129" s="62">
        <v>53</v>
      </c>
      <c r="Z129" s="62">
        <v>30</v>
      </c>
      <c r="AA129" s="62">
        <v>32</v>
      </c>
      <c r="AB129" s="62">
        <v>40</v>
      </c>
      <c r="AC129" s="62">
        <v>40</v>
      </c>
      <c r="AD129" s="62">
        <v>30</v>
      </c>
      <c r="AE129" s="62">
        <v>35</v>
      </c>
      <c r="AF129" s="62">
        <v>34</v>
      </c>
      <c r="AG129" s="62">
        <v>40</v>
      </c>
      <c r="AH129" s="62">
        <v>31</v>
      </c>
      <c r="AI129" s="62">
        <v>40</v>
      </c>
      <c r="AJ129" s="62">
        <v>48</v>
      </c>
      <c r="AK129" s="62">
        <v>32</v>
      </c>
      <c r="AL129" s="62">
        <v>36</v>
      </c>
      <c r="AM129" s="62">
        <v>26</v>
      </c>
      <c r="AN129" s="62">
        <v>24</v>
      </c>
      <c r="AO129" s="62">
        <v>35</v>
      </c>
      <c r="AP129" s="62">
        <v>41</v>
      </c>
      <c r="AQ129" s="62">
        <v>33</v>
      </c>
      <c r="AR129" s="62">
        <v>45</v>
      </c>
      <c r="AS129" s="62">
        <v>32</v>
      </c>
      <c r="AT129" s="62">
        <v>34</v>
      </c>
      <c r="AU129" s="62">
        <v>27</v>
      </c>
      <c r="AV129" s="62">
        <v>30</v>
      </c>
      <c r="AW129" s="62">
        <v>22</v>
      </c>
      <c r="AX129" s="62">
        <v>36</v>
      </c>
      <c r="AY129" s="62">
        <v>37</v>
      </c>
      <c r="AZ129" s="62">
        <v>33</v>
      </c>
      <c r="BA129" s="62">
        <v>23</v>
      </c>
      <c r="BB129" s="62">
        <v>27</v>
      </c>
      <c r="BC129" s="62">
        <v>59</v>
      </c>
      <c r="BD129" s="62">
        <v>44</v>
      </c>
      <c r="BE129" s="62">
        <v>44</v>
      </c>
      <c r="BF129" s="62">
        <v>39</v>
      </c>
      <c r="BG129" s="62">
        <v>28</v>
      </c>
      <c r="BH129" s="62">
        <v>55</v>
      </c>
    </row>
    <row r="130" spans="2:60" hidden="1" x14ac:dyDescent="0.2">
      <c r="B130" s="59"/>
      <c r="C130" s="59" t="s">
        <v>668</v>
      </c>
      <c r="D130" s="59" t="s">
        <v>649</v>
      </c>
      <c r="E130" s="63">
        <v>161</v>
      </c>
      <c r="F130" s="63">
        <v>179</v>
      </c>
      <c r="G130" s="63">
        <v>191</v>
      </c>
      <c r="H130" s="63">
        <v>133</v>
      </c>
      <c r="I130" s="63">
        <v>164</v>
      </c>
      <c r="J130" s="63">
        <v>239</v>
      </c>
      <c r="K130" s="63">
        <v>216</v>
      </c>
      <c r="L130" s="63">
        <v>164</v>
      </c>
      <c r="M130" s="63">
        <v>243</v>
      </c>
      <c r="N130" s="63">
        <v>207</v>
      </c>
      <c r="O130" s="63">
        <v>240</v>
      </c>
      <c r="P130" s="63">
        <v>195</v>
      </c>
      <c r="Q130" s="63">
        <v>231</v>
      </c>
      <c r="R130" s="63">
        <v>200</v>
      </c>
      <c r="S130" s="63">
        <v>212</v>
      </c>
      <c r="T130" s="63">
        <v>174</v>
      </c>
      <c r="U130" s="63">
        <v>230</v>
      </c>
      <c r="V130" s="63">
        <v>214</v>
      </c>
      <c r="W130" s="63">
        <v>232</v>
      </c>
      <c r="X130" s="63">
        <v>222</v>
      </c>
      <c r="Y130" s="63">
        <v>264</v>
      </c>
      <c r="Z130" s="63">
        <v>208</v>
      </c>
      <c r="AA130" s="63">
        <v>211</v>
      </c>
      <c r="AB130" s="63">
        <v>179</v>
      </c>
      <c r="AC130" s="63">
        <v>226</v>
      </c>
      <c r="AD130" s="63">
        <v>189</v>
      </c>
      <c r="AE130" s="63">
        <v>167</v>
      </c>
      <c r="AF130" s="63">
        <v>181</v>
      </c>
      <c r="AG130" s="63">
        <v>182</v>
      </c>
      <c r="AH130" s="63">
        <v>172</v>
      </c>
      <c r="AI130" s="63">
        <v>172</v>
      </c>
      <c r="AJ130" s="63">
        <v>205</v>
      </c>
      <c r="AK130" s="63">
        <v>170</v>
      </c>
      <c r="AL130" s="63">
        <v>202</v>
      </c>
      <c r="AM130" s="63">
        <v>156</v>
      </c>
      <c r="AN130" s="63">
        <v>162</v>
      </c>
      <c r="AO130" s="63">
        <v>141</v>
      </c>
      <c r="AP130" s="63">
        <v>137</v>
      </c>
      <c r="AQ130" s="63">
        <v>145</v>
      </c>
      <c r="AR130" s="63">
        <v>162</v>
      </c>
      <c r="AS130" s="63">
        <v>158</v>
      </c>
      <c r="AT130" s="63">
        <v>142</v>
      </c>
      <c r="AU130" s="63">
        <v>142</v>
      </c>
      <c r="AV130" s="63">
        <v>114</v>
      </c>
      <c r="AW130" s="63">
        <v>132</v>
      </c>
      <c r="AX130" s="63">
        <v>141</v>
      </c>
      <c r="AY130" s="63">
        <v>124</v>
      </c>
      <c r="AZ130" s="63">
        <v>144</v>
      </c>
      <c r="BA130" s="63">
        <v>141</v>
      </c>
      <c r="BB130" s="63">
        <v>123</v>
      </c>
      <c r="BC130" s="63">
        <v>107</v>
      </c>
      <c r="BD130" s="63">
        <v>127</v>
      </c>
      <c r="BE130" s="63">
        <v>104</v>
      </c>
      <c r="BF130" s="63">
        <v>112</v>
      </c>
      <c r="BG130" s="63">
        <v>127</v>
      </c>
      <c r="BH130" s="63">
        <v>126</v>
      </c>
    </row>
    <row r="131" spans="2:60" hidden="1" x14ac:dyDescent="0.2">
      <c r="B131" s="57"/>
      <c r="C131" s="57" t="s">
        <v>668</v>
      </c>
      <c r="D131" s="57" t="s">
        <v>650</v>
      </c>
      <c r="E131" s="62">
        <v>47</v>
      </c>
      <c r="F131" s="62">
        <v>64</v>
      </c>
      <c r="G131" s="62">
        <v>64</v>
      </c>
      <c r="H131" s="62">
        <v>46</v>
      </c>
      <c r="I131" s="62">
        <v>44</v>
      </c>
      <c r="J131" s="62">
        <v>44</v>
      </c>
      <c r="K131" s="62">
        <v>64</v>
      </c>
      <c r="L131" s="62">
        <v>54</v>
      </c>
      <c r="M131" s="62">
        <v>61</v>
      </c>
      <c r="N131" s="62">
        <v>55</v>
      </c>
      <c r="O131" s="62">
        <v>49</v>
      </c>
      <c r="P131" s="62">
        <v>44</v>
      </c>
      <c r="Q131" s="62">
        <v>64</v>
      </c>
      <c r="R131" s="62">
        <v>48</v>
      </c>
      <c r="S131" s="62">
        <v>66</v>
      </c>
      <c r="T131" s="62">
        <v>69</v>
      </c>
      <c r="U131" s="62">
        <v>74</v>
      </c>
      <c r="V131" s="62">
        <v>62</v>
      </c>
      <c r="W131" s="62">
        <v>63</v>
      </c>
      <c r="X131" s="62">
        <v>55</v>
      </c>
      <c r="Y131" s="62">
        <v>71</v>
      </c>
      <c r="Z131" s="62">
        <v>56</v>
      </c>
      <c r="AA131" s="62">
        <v>50</v>
      </c>
      <c r="AB131" s="62">
        <v>41</v>
      </c>
      <c r="AC131" s="62">
        <v>50</v>
      </c>
      <c r="AD131" s="62">
        <v>31</v>
      </c>
      <c r="AE131" s="62">
        <v>49</v>
      </c>
      <c r="AF131" s="62">
        <v>45</v>
      </c>
      <c r="AG131" s="62">
        <v>60</v>
      </c>
      <c r="AH131" s="62">
        <v>37</v>
      </c>
      <c r="AI131" s="62">
        <v>47</v>
      </c>
      <c r="AJ131" s="62">
        <v>62</v>
      </c>
      <c r="AK131" s="62">
        <v>52</v>
      </c>
      <c r="AL131" s="62">
        <v>67</v>
      </c>
      <c r="AM131" s="62">
        <v>34</v>
      </c>
      <c r="AN131" s="62">
        <v>50</v>
      </c>
      <c r="AO131" s="62">
        <v>59</v>
      </c>
      <c r="AP131" s="62">
        <v>41</v>
      </c>
      <c r="AQ131" s="62">
        <v>48</v>
      </c>
      <c r="AR131" s="62">
        <v>51</v>
      </c>
      <c r="AS131" s="62">
        <v>49</v>
      </c>
      <c r="AT131" s="62">
        <v>54</v>
      </c>
      <c r="AU131" s="62">
        <v>41</v>
      </c>
      <c r="AV131" s="62">
        <v>31</v>
      </c>
      <c r="AW131" s="62">
        <v>30</v>
      </c>
      <c r="AX131" s="62">
        <v>36</v>
      </c>
      <c r="AY131" s="62">
        <v>34</v>
      </c>
      <c r="AZ131" s="62">
        <v>36</v>
      </c>
      <c r="BA131" s="62">
        <v>46</v>
      </c>
      <c r="BB131" s="62">
        <v>31</v>
      </c>
      <c r="BC131" s="62">
        <v>26</v>
      </c>
      <c r="BD131" s="62">
        <v>31</v>
      </c>
      <c r="BE131" s="62">
        <v>38</v>
      </c>
      <c r="BF131" s="62">
        <v>29</v>
      </c>
      <c r="BG131" s="62">
        <v>28</v>
      </c>
      <c r="BH131" s="62">
        <v>30</v>
      </c>
    </row>
    <row r="132" spans="2:60" hidden="1" x14ac:dyDescent="0.2">
      <c r="B132" s="59"/>
      <c r="C132" s="59" t="s">
        <v>668</v>
      </c>
      <c r="D132" s="59" t="s">
        <v>651</v>
      </c>
      <c r="E132" s="63">
        <v>28</v>
      </c>
      <c r="F132" s="63">
        <v>21</v>
      </c>
      <c r="G132" s="63">
        <v>32</v>
      </c>
      <c r="H132" s="63">
        <v>28</v>
      </c>
      <c r="I132" s="63">
        <v>28</v>
      </c>
      <c r="J132" s="63">
        <v>33</v>
      </c>
      <c r="K132" s="63">
        <v>33</v>
      </c>
      <c r="L132" s="63">
        <v>36</v>
      </c>
      <c r="M132" s="63">
        <v>41</v>
      </c>
      <c r="N132" s="63">
        <v>39</v>
      </c>
      <c r="O132" s="63">
        <v>31</v>
      </c>
      <c r="P132" s="63">
        <v>32</v>
      </c>
      <c r="Q132" s="63">
        <v>28</v>
      </c>
      <c r="R132" s="63">
        <v>26</v>
      </c>
      <c r="S132" s="63">
        <v>27</v>
      </c>
      <c r="T132" s="63">
        <v>29</v>
      </c>
      <c r="U132" s="63">
        <v>24</v>
      </c>
      <c r="V132" s="63">
        <v>31</v>
      </c>
      <c r="W132" s="63">
        <v>24</v>
      </c>
      <c r="X132" s="63">
        <v>30</v>
      </c>
      <c r="Y132" s="63">
        <v>32</v>
      </c>
      <c r="Z132" s="63">
        <v>34</v>
      </c>
      <c r="AA132" s="63">
        <v>26</v>
      </c>
      <c r="AB132" s="63">
        <v>26</v>
      </c>
      <c r="AC132" s="63">
        <v>26</v>
      </c>
      <c r="AD132" s="63">
        <v>25</v>
      </c>
      <c r="AE132" s="63">
        <v>37</v>
      </c>
      <c r="AF132" s="63">
        <v>23</v>
      </c>
      <c r="AG132" s="63">
        <v>25</v>
      </c>
      <c r="AH132" s="63">
        <v>21</v>
      </c>
      <c r="AI132" s="63">
        <v>19</v>
      </c>
      <c r="AJ132" s="63">
        <v>29</v>
      </c>
      <c r="AK132" s="63">
        <v>19</v>
      </c>
      <c r="AL132" s="63">
        <v>24</v>
      </c>
      <c r="AM132" s="63">
        <v>15</v>
      </c>
      <c r="AN132" s="63">
        <v>12</v>
      </c>
      <c r="AO132" s="63">
        <v>12</v>
      </c>
      <c r="AP132" s="63">
        <v>19</v>
      </c>
      <c r="AQ132" s="63">
        <v>16</v>
      </c>
      <c r="AR132" s="63">
        <v>13</v>
      </c>
      <c r="AS132" s="63">
        <v>17</v>
      </c>
      <c r="AT132" s="63">
        <v>12</v>
      </c>
      <c r="AU132" s="63">
        <v>15</v>
      </c>
      <c r="AV132" s="63">
        <v>16</v>
      </c>
      <c r="AW132" s="63">
        <v>16</v>
      </c>
      <c r="AX132" s="63">
        <v>14</v>
      </c>
      <c r="AY132" s="63">
        <v>18</v>
      </c>
      <c r="AZ132" s="63">
        <v>10</v>
      </c>
      <c r="BA132" s="63">
        <v>14</v>
      </c>
      <c r="BB132" s="63">
        <v>14</v>
      </c>
      <c r="BC132" s="63">
        <v>25</v>
      </c>
      <c r="BD132" s="63">
        <v>21</v>
      </c>
      <c r="BE132" s="63">
        <v>27</v>
      </c>
      <c r="BF132" s="63">
        <v>19</v>
      </c>
      <c r="BG132" s="63">
        <v>24</v>
      </c>
      <c r="BH132" s="63">
        <v>26</v>
      </c>
    </row>
    <row r="133" spans="2:60" hidden="1" x14ac:dyDescent="0.2">
      <c r="B133" s="57"/>
      <c r="C133" s="57" t="s">
        <v>668</v>
      </c>
      <c r="D133" s="57" t="s">
        <v>652</v>
      </c>
      <c r="E133" s="62">
        <v>274</v>
      </c>
      <c r="F133" s="62">
        <v>212</v>
      </c>
      <c r="G133" s="62">
        <v>270</v>
      </c>
      <c r="H133" s="62">
        <v>259</v>
      </c>
      <c r="I133" s="62">
        <v>232</v>
      </c>
      <c r="J133" s="62">
        <v>242</v>
      </c>
      <c r="K133" s="62">
        <v>289</v>
      </c>
      <c r="L133" s="62">
        <v>269</v>
      </c>
      <c r="M133" s="62">
        <v>347</v>
      </c>
      <c r="N133" s="62">
        <v>279</v>
      </c>
      <c r="O133" s="62">
        <v>295</v>
      </c>
      <c r="P133" s="62">
        <v>271</v>
      </c>
      <c r="Q133" s="62">
        <v>297</v>
      </c>
      <c r="R133" s="62">
        <v>256</v>
      </c>
      <c r="S133" s="62">
        <v>253</v>
      </c>
      <c r="T133" s="62">
        <v>225</v>
      </c>
      <c r="U133" s="62">
        <v>319</v>
      </c>
      <c r="V133" s="62">
        <v>247</v>
      </c>
      <c r="W133" s="62">
        <v>286</v>
      </c>
      <c r="X133" s="62">
        <v>268</v>
      </c>
      <c r="Y133" s="62">
        <v>292</v>
      </c>
      <c r="Z133" s="62">
        <v>254</v>
      </c>
      <c r="AA133" s="62">
        <v>261</v>
      </c>
      <c r="AB133" s="62">
        <v>219</v>
      </c>
      <c r="AC133" s="62">
        <v>222</v>
      </c>
      <c r="AD133" s="62">
        <v>214</v>
      </c>
      <c r="AE133" s="62">
        <v>202</v>
      </c>
      <c r="AF133" s="62">
        <v>173</v>
      </c>
      <c r="AG133" s="62">
        <v>205</v>
      </c>
      <c r="AH133" s="62">
        <v>205</v>
      </c>
      <c r="AI133" s="62">
        <v>196</v>
      </c>
      <c r="AJ133" s="62">
        <v>217</v>
      </c>
      <c r="AK133" s="62">
        <v>174</v>
      </c>
      <c r="AL133" s="62">
        <v>166</v>
      </c>
      <c r="AM133" s="62">
        <v>154</v>
      </c>
      <c r="AN133" s="62">
        <v>141</v>
      </c>
      <c r="AO133" s="62">
        <v>155</v>
      </c>
      <c r="AP133" s="62">
        <v>158</v>
      </c>
      <c r="AQ133" s="62">
        <v>156</v>
      </c>
      <c r="AR133" s="62">
        <v>167</v>
      </c>
      <c r="AS133" s="62">
        <v>152</v>
      </c>
      <c r="AT133" s="62">
        <v>173</v>
      </c>
      <c r="AU133" s="62">
        <v>143</v>
      </c>
      <c r="AV133" s="62">
        <v>132</v>
      </c>
      <c r="AW133" s="62">
        <v>113</v>
      </c>
      <c r="AX133" s="62">
        <v>128</v>
      </c>
      <c r="AY133" s="62">
        <v>161</v>
      </c>
      <c r="AZ133" s="62">
        <v>154</v>
      </c>
      <c r="BA133" s="62">
        <v>123</v>
      </c>
      <c r="BB133" s="62">
        <v>149</v>
      </c>
      <c r="BC133" s="62">
        <v>169</v>
      </c>
      <c r="BD133" s="62">
        <v>162</v>
      </c>
      <c r="BE133" s="62">
        <v>169</v>
      </c>
      <c r="BF133" s="62">
        <v>187</v>
      </c>
      <c r="BG133" s="62">
        <v>217</v>
      </c>
      <c r="BH133" s="62">
        <v>162</v>
      </c>
    </row>
    <row r="134" spans="2:60" hidden="1" x14ac:dyDescent="0.2">
      <c r="B134" s="59"/>
      <c r="C134" s="59" t="s">
        <v>668</v>
      </c>
      <c r="D134" s="59" t="s">
        <v>653</v>
      </c>
      <c r="E134" s="63">
        <v>297</v>
      </c>
      <c r="F134" s="63">
        <v>271</v>
      </c>
      <c r="G134" s="63">
        <v>332</v>
      </c>
      <c r="H134" s="63">
        <v>333</v>
      </c>
      <c r="I134" s="63">
        <v>346</v>
      </c>
      <c r="J134" s="63">
        <v>372</v>
      </c>
      <c r="K134" s="63">
        <v>460</v>
      </c>
      <c r="L134" s="63">
        <v>432</v>
      </c>
      <c r="M134" s="63">
        <v>495</v>
      </c>
      <c r="N134" s="63">
        <v>479</v>
      </c>
      <c r="O134" s="63">
        <v>436</v>
      </c>
      <c r="P134" s="63">
        <v>388</v>
      </c>
      <c r="Q134" s="63">
        <v>391</v>
      </c>
      <c r="R134" s="63">
        <v>365</v>
      </c>
      <c r="S134" s="63">
        <v>397</v>
      </c>
      <c r="T134" s="63">
        <v>380</v>
      </c>
      <c r="U134" s="63">
        <v>473</v>
      </c>
      <c r="V134" s="63">
        <v>427</v>
      </c>
      <c r="W134" s="63">
        <v>452</v>
      </c>
      <c r="X134" s="63">
        <v>417</v>
      </c>
      <c r="Y134" s="63">
        <v>399</v>
      </c>
      <c r="Z134" s="63">
        <v>357</v>
      </c>
      <c r="AA134" s="63">
        <v>375</v>
      </c>
      <c r="AB134" s="63">
        <v>296</v>
      </c>
      <c r="AC134" s="63">
        <v>348</v>
      </c>
      <c r="AD134" s="63">
        <v>349</v>
      </c>
      <c r="AE134" s="63">
        <v>295</v>
      </c>
      <c r="AF134" s="63">
        <v>317</v>
      </c>
      <c r="AG134" s="63">
        <v>298</v>
      </c>
      <c r="AH134" s="63">
        <v>312</v>
      </c>
      <c r="AI134" s="63">
        <v>285</v>
      </c>
      <c r="AJ134" s="63">
        <v>336</v>
      </c>
      <c r="AK134" s="63">
        <v>264</v>
      </c>
      <c r="AL134" s="63">
        <v>319</v>
      </c>
      <c r="AM134" s="63">
        <v>261</v>
      </c>
      <c r="AN134" s="63">
        <v>250</v>
      </c>
      <c r="AO134" s="63">
        <v>214</v>
      </c>
      <c r="AP134" s="63">
        <v>277</v>
      </c>
      <c r="AQ134" s="63">
        <v>276</v>
      </c>
      <c r="AR134" s="63">
        <v>240</v>
      </c>
      <c r="AS134" s="63">
        <v>206</v>
      </c>
      <c r="AT134" s="63">
        <v>233</v>
      </c>
      <c r="AU134" s="63">
        <v>208</v>
      </c>
      <c r="AV134" s="63">
        <v>210</v>
      </c>
      <c r="AW134" s="63">
        <v>232</v>
      </c>
      <c r="AX134" s="63">
        <v>204</v>
      </c>
      <c r="AY134" s="63">
        <v>188</v>
      </c>
      <c r="AZ134" s="63">
        <v>185</v>
      </c>
      <c r="BA134" s="63">
        <v>196</v>
      </c>
      <c r="BB134" s="63">
        <v>177</v>
      </c>
      <c r="BC134" s="63">
        <v>219</v>
      </c>
      <c r="BD134" s="63">
        <v>223</v>
      </c>
      <c r="BE134" s="63">
        <v>231</v>
      </c>
      <c r="BF134" s="63">
        <v>213</v>
      </c>
      <c r="BG134" s="63">
        <v>229</v>
      </c>
      <c r="BH134" s="63">
        <v>225</v>
      </c>
    </row>
    <row r="135" spans="2:60" hidden="1" x14ac:dyDescent="0.2">
      <c r="B135" s="57"/>
      <c r="C135" s="57" t="s">
        <v>668</v>
      </c>
      <c r="D135" s="57" t="s">
        <v>654</v>
      </c>
      <c r="E135" s="62">
        <v>21</v>
      </c>
      <c r="F135" s="62">
        <v>17</v>
      </c>
      <c r="G135" s="62">
        <v>15</v>
      </c>
      <c r="H135" s="62">
        <v>27</v>
      </c>
      <c r="I135" s="62">
        <v>25</v>
      </c>
      <c r="J135" s="62">
        <v>38</v>
      </c>
      <c r="K135" s="62">
        <v>34</v>
      </c>
      <c r="L135" s="62">
        <v>56</v>
      </c>
      <c r="M135" s="62">
        <v>44</v>
      </c>
      <c r="N135" s="62">
        <v>38</v>
      </c>
      <c r="O135" s="62">
        <v>44</v>
      </c>
      <c r="P135" s="62">
        <v>41</v>
      </c>
      <c r="Q135" s="62">
        <v>42</v>
      </c>
      <c r="R135" s="62">
        <v>36</v>
      </c>
      <c r="S135" s="62">
        <v>33</v>
      </c>
      <c r="T135" s="62">
        <v>25</v>
      </c>
      <c r="U135" s="62">
        <v>33</v>
      </c>
      <c r="V135" s="62">
        <v>30</v>
      </c>
      <c r="W135" s="62">
        <v>32</v>
      </c>
      <c r="X135" s="62">
        <v>35</v>
      </c>
      <c r="Y135" s="62">
        <v>39</v>
      </c>
      <c r="Z135" s="62">
        <v>56</v>
      </c>
      <c r="AA135" s="62">
        <v>54</v>
      </c>
      <c r="AB135" s="62">
        <v>38</v>
      </c>
      <c r="AC135" s="62">
        <v>46</v>
      </c>
      <c r="AD135" s="62">
        <v>46</v>
      </c>
      <c r="AE135" s="62">
        <v>26</v>
      </c>
      <c r="AF135" s="62">
        <v>40</v>
      </c>
      <c r="AG135" s="62">
        <v>40</v>
      </c>
      <c r="AH135" s="62">
        <v>31</v>
      </c>
      <c r="AI135" s="62">
        <v>43</v>
      </c>
      <c r="AJ135" s="62">
        <v>30</v>
      </c>
      <c r="AK135" s="62">
        <v>24</v>
      </c>
      <c r="AL135" s="62">
        <v>26</v>
      </c>
      <c r="AM135" s="62">
        <v>26</v>
      </c>
      <c r="AN135" s="62">
        <v>22</v>
      </c>
      <c r="AO135" s="62">
        <v>35</v>
      </c>
      <c r="AP135" s="62">
        <v>22</v>
      </c>
      <c r="AQ135" s="62">
        <v>21</v>
      </c>
      <c r="AR135" s="62">
        <v>23</v>
      </c>
      <c r="AS135" s="62">
        <v>23</v>
      </c>
      <c r="AT135" s="62">
        <v>32</v>
      </c>
      <c r="AU135" s="62">
        <v>26</v>
      </c>
      <c r="AV135" s="62">
        <v>18</v>
      </c>
      <c r="AW135" s="62">
        <v>29</v>
      </c>
      <c r="AX135" s="62">
        <v>35</v>
      </c>
      <c r="AY135" s="62">
        <v>26</v>
      </c>
      <c r="AZ135" s="62">
        <v>19</v>
      </c>
      <c r="BA135" s="62">
        <v>29</v>
      </c>
      <c r="BB135" s="62">
        <v>24</v>
      </c>
      <c r="BC135" s="62">
        <v>27</v>
      </c>
      <c r="BD135" s="62">
        <v>22</v>
      </c>
      <c r="BE135" s="62">
        <v>24</v>
      </c>
      <c r="BF135" s="62">
        <v>21</v>
      </c>
      <c r="BG135" s="62">
        <v>24</v>
      </c>
      <c r="BH135" s="62">
        <v>15</v>
      </c>
    </row>
    <row r="136" spans="2:60" hidden="1" x14ac:dyDescent="0.2">
      <c r="B136" s="59"/>
      <c r="C136" s="59" t="s">
        <v>668</v>
      </c>
      <c r="D136" s="59" t="s">
        <v>655</v>
      </c>
      <c r="E136" s="63">
        <v>43</v>
      </c>
      <c r="F136" s="63">
        <v>42</v>
      </c>
      <c r="G136" s="63">
        <v>55</v>
      </c>
      <c r="H136" s="63">
        <v>48</v>
      </c>
      <c r="I136" s="63">
        <v>53</v>
      </c>
      <c r="J136" s="63">
        <v>69</v>
      </c>
      <c r="K136" s="63">
        <v>96</v>
      </c>
      <c r="L136" s="63">
        <v>101</v>
      </c>
      <c r="M136" s="63">
        <v>146</v>
      </c>
      <c r="N136" s="63">
        <v>127</v>
      </c>
      <c r="O136" s="63">
        <v>93</v>
      </c>
      <c r="P136" s="63">
        <v>103</v>
      </c>
      <c r="Q136" s="63">
        <v>110</v>
      </c>
      <c r="R136" s="63">
        <v>90</v>
      </c>
      <c r="S136" s="63">
        <v>87</v>
      </c>
      <c r="T136" s="63">
        <v>79</v>
      </c>
      <c r="U136" s="63">
        <v>79</v>
      </c>
      <c r="V136" s="63">
        <v>99</v>
      </c>
      <c r="W136" s="63">
        <v>110</v>
      </c>
      <c r="X136" s="63">
        <v>104</v>
      </c>
      <c r="Y136" s="63">
        <v>111</v>
      </c>
      <c r="Z136" s="63">
        <v>84</v>
      </c>
      <c r="AA136" s="63">
        <v>86</v>
      </c>
      <c r="AB136" s="63">
        <v>88</v>
      </c>
      <c r="AC136" s="63">
        <v>86</v>
      </c>
      <c r="AD136" s="63">
        <v>70</v>
      </c>
      <c r="AE136" s="63">
        <v>74</v>
      </c>
      <c r="AF136" s="63">
        <v>83</v>
      </c>
      <c r="AG136" s="63">
        <v>83</v>
      </c>
      <c r="AH136" s="63">
        <v>76</v>
      </c>
      <c r="AI136" s="63">
        <v>62</v>
      </c>
      <c r="AJ136" s="63">
        <v>94</v>
      </c>
      <c r="AK136" s="63">
        <v>60</v>
      </c>
      <c r="AL136" s="63">
        <v>70</v>
      </c>
      <c r="AM136" s="63">
        <v>55</v>
      </c>
      <c r="AN136" s="63">
        <v>78</v>
      </c>
      <c r="AO136" s="63">
        <v>51</v>
      </c>
      <c r="AP136" s="63">
        <v>49</v>
      </c>
      <c r="AQ136" s="63">
        <v>65</v>
      </c>
      <c r="AR136" s="63">
        <v>61</v>
      </c>
      <c r="AS136" s="63">
        <v>55</v>
      </c>
      <c r="AT136" s="63">
        <v>56</v>
      </c>
      <c r="AU136" s="63">
        <v>53</v>
      </c>
      <c r="AV136" s="63">
        <v>46</v>
      </c>
      <c r="AW136" s="63">
        <v>59</v>
      </c>
      <c r="AX136" s="63">
        <v>52</v>
      </c>
      <c r="AY136" s="63">
        <v>49</v>
      </c>
      <c r="AZ136" s="63">
        <v>41</v>
      </c>
      <c r="BA136" s="63">
        <v>48</v>
      </c>
      <c r="BB136" s="63">
        <v>38</v>
      </c>
      <c r="BC136" s="63">
        <v>34</v>
      </c>
      <c r="BD136" s="63">
        <v>39</v>
      </c>
      <c r="BE136" s="63">
        <v>36</v>
      </c>
      <c r="BF136" s="63">
        <v>52</v>
      </c>
      <c r="BG136" s="63">
        <v>45</v>
      </c>
      <c r="BH136" s="63">
        <v>26</v>
      </c>
    </row>
    <row r="137" spans="2:60" hidden="1" x14ac:dyDescent="0.2">
      <c r="B137" s="57"/>
      <c r="C137" s="57" t="s">
        <v>668</v>
      </c>
      <c r="D137" s="57" t="s">
        <v>699</v>
      </c>
      <c r="E137" s="62">
        <v>95</v>
      </c>
      <c r="F137" s="62">
        <v>86</v>
      </c>
      <c r="G137" s="62">
        <v>96</v>
      </c>
      <c r="H137" s="62">
        <v>70</v>
      </c>
      <c r="I137" s="62">
        <v>86</v>
      </c>
      <c r="J137" s="62">
        <v>90</v>
      </c>
      <c r="K137" s="62">
        <v>84</v>
      </c>
      <c r="L137" s="62">
        <v>82</v>
      </c>
      <c r="M137" s="62">
        <v>107</v>
      </c>
      <c r="N137" s="62">
        <v>93</v>
      </c>
      <c r="O137" s="62">
        <v>108</v>
      </c>
      <c r="P137" s="62">
        <v>87</v>
      </c>
      <c r="Q137" s="62">
        <v>83</v>
      </c>
      <c r="R137" s="62">
        <v>91</v>
      </c>
      <c r="S137" s="62">
        <v>77</v>
      </c>
      <c r="T137" s="62">
        <v>86</v>
      </c>
      <c r="U137" s="62">
        <v>88</v>
      </c>
      <c r="V137" s="62">
        <v>86</v>
      </c>
      <c r="W137" s="62">
        <v>130</v>
      </c>
      <c r="X137" s="62">
        <v>98</v>
      </c>
      <c r="Y137" s="62">
        <v>114</v>
      </c>
      <c r="Z137" s="62">
        <v>93</v>
      </c>
      <c r="AA137" s="62">
        <v>95</v>
      </c>
      <c r="AB137" s="62">
        <v>99</v>
      </c>
      <c r="AC137" s="62">
        <v>93</v>
      </c>
      <c r="AD137" s="62">
        <v>75</v>
      </c>
      <c r="AE137" s="62">
        <v>83</v>
      </c>
      <c r="AF137" s="62">
        <v>57</v>
      </c>
      <c r="AG137" s="62">
        <v>53</v>
      </c>
      <c r="AH137" s="62">
        <v>50</v>
      </c>
      <c r="AI137" s="62">
        <v>56</v>
      </c>
      <c r="AJ137" s="62">
        <v>56</v>
      </c>
      <c r="AK137" s="62">
        <v>41</v>
      </c>
      <c r="AL137" s="62">
        <v>45</v>
      </c>
      <c r="AM137" s="62">
        <v>42</v>
      </c>
      <c r="AN137" s="62">
        <v>26</v>
      </c>
      <c r="AO137" s="62">
        <v>28</v>
      </c>
      <c r="AP137" s="62">
        <v>35</v>
      </c>
      <c r="AQ137" s="62">
        <v>29</v>
      </c>
      <c r="AR137" s="62">
        <v>31</v>
      </c>
      <c r="AS137" s="62">
        <v>27</v>
      </c>
      <c r="AT137" s="62">
        <v>27</v>
      </c>
      <c r="AU137" s="62">
        <v>27</v>
      </c>
      <c r="AV137" s="62">
        <v>23</v>
      </c>
      <c r="AW137" s="62">
        <v>25</v>
      </c>
      <c r="AX137" s="62">
        <v>21</v>
      </c>
      <c r="AY137" s="62">
        <v>22</v>
      </c>
      <c r="AZ137" s="62">
        <v>21</v>
      </c>
      <c r="BA137" s="62">
        <v>31</v>
      </c>
      <c r="BB137" s="62">
        <v>26</v>
      </c>
      <c r="BC137" s="62">
        <v>26</v>
      </c>
      <c r="BD137" s="62">
        <v>22</v>
      </c>
      <c r="BE137" s="62">
        <v>34</v>
      </c>
      <c r="BF137" s="62">
        <v>18</v>
      </c>
      <c r="BG137" s="62">
        <v>35</v>
      </c>
      <c r="BH137" s="62">
        <v>31</v>
      </c>
    </row>
    <row r="138" spans="2:60" hidden="1" x14ac:dyDescent="0.2">
      <c r="B138" s="59"/>
      <c r="C138" s="59" t="s">
        <v>668</v>
      </c>
      <c r="D138" s="59" t="s">
        <v>656</v>
      </c>
      <c r="E138" s="63">
        <v>993</v>
      </c>
      <c r="F138" s="63">
        <v>907</v>
      </c>
      <c r="G138" s="63">
        <v>1085</v>
      </c>
      <c r="H138" s="63">
        <v>979</v>
      </c>
      <c r="I138" s="63">
        <v>998</v>
      </c>
      <c r="J138" s="63">
        <v>1146</v>
      </c>
      <c r="K138" s="63">
        <v>1303</v>
      </c>
      <c r="L138" s="63">
        <v>1220</v>
      </c>
      <c r="M138" s="63">
        <v>1522</v>
      </c>
      <c r="N138" s="63">
        <v>1351</v>
      </c>
      <c r="O138" s="63">
        <v>1333</v>
      </c>
      <c r="P138" s="63">
        <v>1192</v>
      </c>
      <c r="Q138" s="63">
        <v>1274</v>
      </c>
      <c r="R138" s="63">
        <v>1161</v>
      </c>
      <c r="S138" s="63">
        <v>1190</v>
      </c>
      <c r="T138" s="63">
        <v>1102</v>
      </c>
      <c r="U138" s="63">
        <v>1354</v>
      </c>
      <c r="V138" s="63">
        <v>1231</v>
      </c>
      <c r="W138" s="63">
        <v>1364</v>
      </c>
      <c r="X138" s="63">
        <v>1268</v>
      </c>
      <c r="Y138" s="63">
        <v>1375</v>
      </c>
      <c r="Z138" s="63">
        <v>1172</v>
      </c>
      <c r="AA138" s="63">
        <v>1190</v>
      </c>
      <c r="AB138" s="63">
        <v>1026</v>
      </c>
      <c r="AC138" s="63">
        <v>1137</v>
      </c>
      <c r="AD138" s="63">
        <v>1029</v>
      </c>
      <c r="AE138" s="63">
        <v>968</v>
      </c>
      <c r="AF138" s="63">
        <v>953</v>
      </c>
      <c r="AG138" s="63">
        <v>986</v>
      </c>
      <c r="AH138" s="63">
        <v>935</v>
      </c>
      <c r="AI138" s="63">
        <v>920</v>
      </c>
      <c r="AJ138" s="63">
        <v>1077</v>
      </c>
      <c r="AK138" s="63">
        <v>836</v>
      </c>
      <c r="AL138" s="63">
        <v>955</v>
      </c>
      <c r="AM138" s="63">
        <v>769</v>
      </c>
      <c r="AN138" s="63">
        <v>765</v>
      </c>
      <c r="AO138" s="63">
        <v>730</v>
      </c>
      <c r="AP138" s="63">
        <v>779</v>
      </c>
      <c r="AQ138" s="63">
        <v>789</v>
      </c>
      <c r="AR138" s="63">
        <v>793</v>
      </c>
      <c r="AS138" s="63">
        <v>719</v>
      </c>
      <c r="AT138" s="63">
        <v>763</v>
      </c>
      <c r="AU138" s="63">
        <v>682</v>
      </c>
      <c r="AV138" s="63">
        <v>620</v>
      </c>
      <c r="AW138" s="63">
        <v>658</v>
      </c>
      <c r="AX138" s="63">
        <v>667</v>
      </c>
      <c r="AY138" s="63">
        <v>659</v>
      </c>
      <c r="AZ138" s="63">
        <v>643</v>
      </c>
      <c r="BA138" s="63">
        <v>651</v>
      </c>
      <c r="BB138" s="63">
        <v>609</v>
      </c>
      <c r="BC138" s="63">
        <v>692</v>
      </c>
      <c r="BD138" s="63">
        <v>691</v>
      </c>
      <c r="BE138" s="63">
        <v>707</v>
      </c>
      <c r="BF138" s="63">
        <v>690</v>
      </c>
      <c r="BG138" s="63">
        <v>757</v>
      </c>
      <c r="BH138" s="63">
        <v>696</v>
      </c>
    </row>
    <row r="139" spans="2:60" hidden="1" x14ac:dyDescent="0.2">
      <c r="B139" s="57"/>
      <c r="C139" s="57" t="s">
        <v>669</v>
      </c>
      <c r="D139" s="57" t="s">
        <v>648</v>
      </c>
      <c r="E139" s="62">
        <v>1392</v>
      </c>
      <c r="F139" s="62">
        <v>1155</v>
      </c>
      <c r="G139" s="62">
        <v>1378</v>
      </c>
      <c r="H139" s="62">
        <v>1297</v>
      </c>
      <c r="I139" s="62">
        <v>1443</v>
      </c>
      <c r="J139" s="62">
        <v>1292</v>
      </c>
      <c r="K139" s="62">
        <v>1432</v>
      </c>
      <c r="L139" s="62">
        <v>1220</v>
      </c>
      <c r="M139" s="62">
        <v>1459</v>
      </c>
      <c r="N139" s="62">
        <v>1270</v>
      </c>
      <c r="O139" s="62">
        <v>1272</v>
      </c>
      <c r="P139" s="62">
        <v>1203</v>
      </c>
      <c r="Q139" s="62">
        <v>1358</v>
      </c>
      <c r="R139" s="62">
        <v>1225</v>
      </c>
      <c r="S139" s="62">
        <v>1254</v>
      </c>
      <c r="T139" s="62">
        <v>1105</v>
      </c>
      <c r="U139" s="62">
        <v>1236</v>
      </c>
      <c r="V139" s="62">
        <v>1191</v>
      </c>
      <c r="W139" s="62">
        <v>1164</v>
      </c>
      <c r="X139" s="62">
        <v>1012</v>
      </c>
      <c r="Y139" s="62">
        <v>1185</v>
      </c>
      <c r="Z139" s="62">
        <v>1122</v>
      </c>
      <c r="AA139" s="62">
        <v>1135</v>
      </c>
      <c r="AB139" s="62">
        <v>991</v>
      </c>
      <c r="AC139" s="62">
        <v>1086</v>
      </c>
      <c r="AD139" s="62">
        <v>1083</v>
      </c>
      <c r="AE139" s="62">
        <v>1095</v>
      </c>
      <c r="AF139" s="62">
        <v>1067</v>
      </c>
      <c r="AG139" s="62">
        <v>1214</v>
      </c>
      <c r="AH139" s="62">
        <v>1053</v>
      </c>
      <c r="AI139" s="62">
        <v>1046</v>
      </c>
      <c r="AJ139" s="62">
        <v>1183</v>
      </c>
      <c r="AK139" s="62">
        <v>1108</v>
      </c>
      <c r="AL139" s="62">
        <v>1295</v>
      </c>
      <c r="AM139" s="62">
        <v>1419</v>
      </c>
      <c r="AN139" s="62">
        <v>1256</v>
      </c>
      <c r="AO139" s="62">
        <v>1176</v>
      </c>
      <c r="AP139" s="62">
        <v>1008</v>
      </c>
      <c r="AQ139" s="62">
        <v>1153</v>
      </c>
      <c r="AR139" s="62">
        <v>1037</v>
      </c>
      <c r="AS139" s="62">
        <v>956</v>
      </c>
      <c r="AT139" s="62">
        <v>861</v>
      </c>
      <c r="AU139" s="62">
        <v>786</v>
      </c>
      <c r="AV139" s="62">
        <v>649</v>
      </c>
      <c r="AW139" s="62">
        <v>698</v>
      </c>
      <c r="AX139" s="62">
        <v>960</v>
      </c>
      <c r="AY139" s="62">
        <v>1017</v>
      </c>
      <c r="AZ139" s="62">
        <v>769</v>
      </c>
      <c r="BA139" s="62">
        <v>889</v>
      </c>
      <c r="BB139" s="62">
        <v>856</v>
      </c>
      <c r="BC139" s="62">
        <v>965</v>
      </c>
      <c r="BD139" s="62">
        <v>783</v>
      </c>
      <c r="BE139" s="62">
        <v>908</v>
      </c>
      <c r="BF139" s="62">
        <v>944</v>
      </c>
      <c r="BG139" s="62">
        <v>962</v>
      </c>
      <c r="BH139" s="62">
        <v>800</v>
      </c>
    </row>
    <row r="140" spans="2:60" hidden="1" x14ac:dyDescent="0.2">
      <c r="B140" s="59"/>
      <c r="C140" s="59" t="s">
        <v>669</v>
      </c>
      <c r="D140" s="59" t="s">
        <v>649</v>
      </c>
      <c r="E140" s="63">
        <v>2864</v>
      </c>
      <c r="F140" s="63">
        <v>2458</v>
      </c>
      <c r="G140" s="63">
        <v>2713</v>
      </c>
      <c r="H140" s="63">
        <v>2496</v>
      </c>
      <c r="I140" s="63">
        <v>2807</v>
      </c>
      <c r="J140" s="63">
        <v>2469</v>
      </c>
      <c r="K140" s="63">
        <v>2731</v>
      </c>
      <c r="L140" s="63">
        <v>2412</v>
      </c>
      <c r="M140" s="63">
        <v>2860</v>
      </c>
      <c r="N140" s="63">
        <v>2424</v>
      </c>
      <c r="O140" s="63">
        <v>2601</v>
      </c>
      <c r="P140" s="63">
        <v>2232</v>
      </c>
      <c r="Q140" s="63">
        <v>2556</v>
      </c>
      <c r="R140" s="63">
        <v>2338</v>
      </c>
      <c r="S140" s="63">
        <v>2468</v>
      </c>
      <c r="T140" s="63">
        <v>2211</v>
      </c>
      <c r="U140" s="63">
        <v>2511</v>
      </c>
      <c r="V140" s="63">
        <v>2277</v>
      </c>
      <c r="W140" s="63">
        <v>2363</v>
      </c>
      <c r="X140" s="63">
        <v>2202</v>
      </c>
      <c r="Y140" s="63">
        <v>2490</v>
      </c>
      <c r="Z140" s="63">
        <v>2215</v>
      </c>
      <c r="AA140" s="63">
        <v>2173</v>
      </c>
      <c r="AB140" s="63">
        <v>2115</v>
      </c>
      <c r="AC140" s="63">
        <v>2246</v>
      </c>
      <c r="AD140" s="63">
        <v>2210</v>
      </c>
      <c r="AE140" s="63">
        <v>2163</v>
      </c>
      <c r="AF140" s="63">
        <v>2284</v>
      </c>
      <c r="AG140" s="63">
        <v>2345</v>
      </c>
      <c r="AH140" s="63">
        <v>2245</v>
      </c>
      <c r="AI140" s="63">
        <v>2023</v>
      </c>
      <c r="AJ140" s="63">
        <v>2699</v>
      </c>
      <c r="AK140" s="63">
        <v>2270</v>
      </c>
      <c r="AL140" s="63">
        <v>2725</v>
      </c>
      <c r="AM140" s="63">
        <v>2824</v>
      </c>
      <c r="AN140" s="63">
        <v>2421</v>
      </c>
      <c r="AO140" s="63">
        <v>2322</v>
      </c>
      <c r="AP140" s="63">
        <v>2014</v>
      </c>
      <c r="AQ140" s="63">
        <v>2103</v>
      </c>
      <c r="AR140" s="63">
        <v>1986</v>
      </c>
      <c r="AS140" s="63">
        <v>1987</v>
      </c>
      <c r="AT140" s="63">
        <v>1958</v>
      </c>
      <c r="AU140" s="63">
        <v>1692</v>
      </c>
      <c r="AV140" s="63">
        <v>1384</v>
      </c>
      <c r="AW140" s="63">
        <v>1570</v>
      </c>
      <c r="AX140" s="63">
        <v>1897</v>
      </c>
      <c r="AY140" s="63">
        <v>2059</v>
      </c>
      <c r="AZ140" s="63">
        <v>1644</v>
      </c>
      <c r="BA140" s="63">
        <v>1926</v>
      </c>
      <c r="BB140" s="63">
        <v>1934</v>
      </c>
      <c r="BC140" s="63">
        <v>1998</v>
      </c>
      <c r="BD140" s="63">
        <v>1852</v>
      </c>
      <c r="BE140" s="63">
        <v>1969</v>
      </c>
      <c r="BF140" s="63">
        <v>2049</v>
      </c>
      <c r="BG140" s="63">
        <v>1996</v>
      </c>
      <c r="BH140" s="63">
        <v>1933</v>
      </c>
    </row>
    <row r="141" spans="2:60" hidden="1" x14ac:dyDescent="0.2">
      <c r="B141" s="57"/>
      <c r="C141" s="57" t="s">
        <v>669</v>
      </c>
      <c r="D141" s="57" t="s">
        <v>650</v>
      </c>
      <c r="E141" s="62">
        <v>732</v>
      </c>
      <c r="F141" s="62">
        <v>573</v>
      </c>
      <c r="G141" s="62">
        <v>672</v>
      </c>
      <c r="H141" s="62">
        <v>617</v>
      </c>
      <c r="I141" s="62">
        <v>711</v>
      </c>
      <c r="J141" s="62">
        <v>611</v>
      </c>
      <c r="K141" s="62">
        <v>723</v>
      </c>
      <c r="L141" s="62">
        <v>599</v>
      </c>
      <c r="M141" s="62">
        <v>694</v>
      </c>
      <c r="N141" s="62">
        <v>626</v>
      </c>
      <c r="O141" s="62">
        <v>698</v>
      </c>
      <c r="P141" s="62">
        <v>628</v>
      </c>
      <c r="Q141" s="62">
        <v>754</v>
      </c>
      <c r="R141" s="62">
        <v>596</v>
      </c>
      <c r="S141" s="62">
        <v>682</v>
      </c>
      <c r="T141" s="62">
        <v>525</v>
      </c>
      <c r="U141" s="62">
        <v>649</v>
      </c>
      <c r="V141" s="62">
        <v>591</v>
      </c>
      <c r="W141" s="62">
        <v>575</v>
      </c>
      <c r="X141" s="62">
        <v>602</v>
      </c>
      <c r="Y141" s="62">
        <v>650</v>
      </c>
      <c r="Z141" s="62">
        <v>595</v>
      </c>
      <c r="AA141" s="62">
        <v>572</v>
      </c>
      <c r="AB141" s="62">
        <v>505</v>
      </c>
      <c r="AC141" s="62">
        <v>654</v>
      </c>
      <c r="AD141" s="62">
        <v>513</v>
      </c>
      <c r="AE141" s="62">
        <v>567</v>
      </c>
      <c r="AF141" s="62">
        <v>597</v>
      </c>
      <c r="AG141" s="62">
        <v>560</v>
      </c>
      <c r="AH141" s="62">
        <v>528</v>
      </c>
      <c r="AI141" s="62">
        <v>506</v>
      </c>
      <c r="AJ141" s="62">
        <v>611</v>
      </c>
      <c r="AK141" s="62">
        <v>510</v>
      </c>
      <c r="AL141" s="62">
        <v>558</v>
      </c>
      <c r="AM141" s="62">
        <v>609</v>
      </c>
      <c r="AN141" s="62">
        <v>540</v>
      </c>
      <c r="AO141" s="62">
        <v>519</v>
      </c>
      <c r="AP141" s="62">
        <v>458</v>
      </c>
      <c r="AQ141" s="62">
        <v>446</v>
      </c>
      <c r="AR141" s="62">
        <v>450</v>
      </c>
      <c r="AS141" s="62">
        <v>426</v>
      </c>
      <c r="AT141" s="62">
        <v>414</v>
      </c>
      <c r="AU141" s="62">
        <v>393</v>
      </c>
      <c r="AV141" s="62">
        <v>331</v>
      </c>
      <c r="AW141" s="62">
        <v>299</v>
      </c>
      <c r="AX141" s="62">
        <v>441</v>
      </c>
      <c r="AY141" s="62">
        <v>454</v>
      </c>
      <c r="AZ141" s="62">
        <v>371</v>
      </c>
      <c r="BA141" s="62">
        <v>384</v>
      </c>
      <c r="BB141" s="62">
        <v>435</v>
      </c>
      <c r="BC141" s="62">
        <v>468</v>
      </c>
      <c r="BD141" s="62">
        <v>430</v>
      </c>
      <c r="BE141" s="62">
        <v>438</v>
      </c>
      <c r="BF141" s="62">
        <v>459</v>
      </c>
      <c r="BG141" s="62">
        <v>442</v>
      </c>
      <c r="BH141" s="62">
        <v>443</v>
      </c>
    </row>
    <row r="142" spans="2:60" hidden="1" x14ac:dyDescent="0.2">
      <c r="B142" s="59"/>
      <c r="C142" s="59" t="s">
        <v>669</v>
      </c>
      <c r="D142" s="59" t="s">
        <v>651</v>
      </c>
      <c r="E142" s="63">
        <v>112</v>
      </c>
      <c r="F142" s="63">
        <v>112</v>
      </c>
      <c r="G142" s="63">
        <v>101</v>
      </c>
      <c r="H142" s="63">
        <v>132</v>
      </c>
      <c r="I142" s="63">
        <v>117</v>
      </c>
      <c r="J142" s="63">
        <v>116</v>
      </c>
      <c r="K142" s="63">
        <v>129</v>
      </c>
      <c r="L142" s="63">
        <v>113</v>
      </c>
      <c r="M142" s="63">
        <v>118</v>
      </c>
      <c r="N142" s="63">
        <v>113</v>
      </c>
      <c r="O142" s="63">
        <v>102</v>
      </c>
      <c r="P142" s="63">
        <v>97</v>
      </c>
      <c r="Q142" s="63">
        <v>96</v>
      </c>
      <c r="R142" s="63">
        <v>107</v>
      </c>
      <c r="S142" s="63">
        <v>113</v>
      </c>
      <c r="T142" s="63">
        <v>107</v>
      </c>
      <c r="U142" s="63">
        <v>94</v>
      </c>
      <c r="V142" s="63">
        <v>100</v>
      </c>
      <c r="W142" s="63">
        <v>112</v>
      </c>
      <c r="X142" s="63">
        <v>90</v>
      </c>
      <c r="Y142" s="63">
        <v>99</v>
      </c>
      <c r="Z142" s="63">
        <v>104</v>
      </c>
      <c r="AA142" s="63">
        <v>121</v>
      </c>
      <c r="AB142" s="63">
        <v>88</v>
      </c>
      <c r="AC142" s="63">
        <v>101</v>
      </c>
      <c r="AD142" s="63">
        <v>131</v>
      </c>
      <c r="AE142" s="63">
        <v>109</v>
      </c>
      <c r="AF142" s="63">
        <v>105</v>
      </c>
      <c r="AG142" s="63">
        <v>99</v>
      </c>
      <c r="AH142" s="63">
        <v>104</v>
      </c>
      <c r="AI142" s="63">
        <v>86</v>
      </c>
      <c r="AJ142" s="63">
        <v>102</v>
      </c>
      <c r="AK142" s="63">
        <v>96</v>
      </c>
      <c r="AL142" s="63">
        <v>120</v>
      </c>
      <c r="AM142" s="63">
        <v>90</v>
      </c>
      <c r="AN142" s="63">
        <v>93</v>
      </c>
      <c r="AO142" s="63">
        <v>84</v>
      </c>
      <c r="AP142" s="63">
        <v>102</v>
      </c>
      <c r="AQ142" s="63">
        <v>92</v>
      </c>
      <c r="AR142" s="63">
        <v>89</v>
      </c>
      <c r="AS142" s="63">
        <v>81</v>
      </c>
      <c r="AT142" s="63">
        <v>92</v>
      </c>
      <c r="AU142" s="63">
        <v>95</v>
      </c>
      <c r="AV142" s="63">
        <v>94</v>
      </c>
      <c r="AW142" s="63">
        <v>98</v>
      </c>
      <c r="AX142" s="63">
        <v>99</v>
      </c>
      <c r="AY142" s="63">
        <v>97</v>
      </c>
      <c r="AZ142" s="63">
        <v>98</v>
      </c>
      <c r="BA142" s="63">
        <v>112</v>
      </c>
      <c r="BB142" s="63">
        <v>113</v>
      </c>
      <c r="BC142" s="63">
        <v>119</v>
      </c>
      <c r="BD142" s="63">
        <v>103</v>
      </c>
      <c r="BE142" s="63">
        <v>113</v>
      </c>
      <c r="BF142" s="63">
        <v>149</v>
      </c>
      <c r="BG142" s="63">
        <v>146</v>
      </c>
      <c r="BH142" s="63">
        <v>142</v>
      </c>
    </row>
    <row r="143" spans="2:60" hidden="1" x14ac:dyDescent="0.2">
      <c r="B143" s="57"/>
      <c r="C143" s="57" t="s">
        <v>669</v>
      </c>
      <c r="D143" s="57" t="s">
        <v>652</v>
      </c>
      <c r="E143" s="62">
        <v>1122</v>
      </c>
      <c r="F143" s="62">
        <v>985</v>
      </c>
      <c r="G143" s="62">
        <v>1106</v>
      </c>
      <c r="H143" s="62">
        <v>998</v>
      </c>
      <c r="I143" s="62">
        <v>1068</v>
      </c>
      <c r="J143" s="62">
        <v>1014</v>
      </c>
      <c r="K143" s="62">
        <v>1097</v>
      </c>
      <c r="L143" s="62">
        <v>973</v>
      </c>
      <c r="M143" s="62">
        <v>1072</v>
      </c>
      <c r="N143" s="62">
        <v>967</v>
      </c>
      <c r="O143" s="62">
        <v>948</v>
      </c>
      <c r="P143" s="62">
        <v>927</v>
      </c>
      <c r="Q143" s="62">
        <v>970</v>
      </c>
      <c r="R143" s="62">
        <v>919</v>
      </c>
      <c r="S143" s="62">
        <v>998</v>
      </c>
      <c r="T143" s="62">
        <v>911</v>
      </c>
      <c r="U143" s="62">
        <v>887</v>
      </c>
      <c r="V143" s="62">
        <v>905</v>
      </c>
      <c r="W143" s="62">
        <v>1016</v>
      </c>
      <c r="X143" s="62">
        <v>939</v>
      </c>
      <c r="Y143" s="62">
        <v>936</v>
      </c>
      <c r="Z143" s="62">
        <v>853</v>
      </c>
      <c r="AA143" s="62">
        <v>886</v>
      </c>
      <c r="AB143" s="62">
        <v>883</v>
      </c>
      <c r="AC143" s="62">
        <v>900</v>
      </c>
      <c r="AD143" s="62">
        <v>851</v>
      </c>
      <c r="AE143" s="62">
        <v>858</v>
      </c>
      <c r="AF143" s="62">
        <v>935</v>
      </c>
      <c r="AG143" s="62">
        <v>806</v>
      </c>
      <c r="AH143" s="62">
        <v>879</v>
      </c>
      <c r="AI143" s="62">
        <v>784</v>
      </c>
      <c r="AJ143" s="62">
        <v>1015</v>
      </c>
      <c r="AK143" s="62">
        <v>725</v>
      </c>
      <c r="AL143" s="62">
        <v>890</v>
      </c>
      <c r="AM143" s="62">
        <v>792</v>
      </c>
      <c r="AN143" s="62">
        <v>759</v>
      </c>
      <c r="AO143" s="62">
        <v>676</v>
      </c>
      <c r="AP143" s="62">
        <v>703</v>
      </c>
      <c r="AQ143" s="62">
        <v>691</v>
      </c>
      <c r="AR143" s="62">
        <v>729</v>
      </c>
      <c r="AS143" s="62">
        <v>653</v>
      </c>
      <c r="AT143" s="62">
        <v>663</v>
      </c>
      <c r="AU143" s="62">
        <v>743</v>
      </c>
      <c r="AV143" s="62">
        <v>714</v>
      </c>
      <c r="AW143" s="62">
        <v>621</v>
      </c>
      <c r="AX143" s="62">
        <v>718</v>
      </c>
      <c r="AY143" s="62">
        <v>743</v>
      </c>
      <c r="AZ143" s="62">
        <v>703</v>
      </c>
      <c r="BA143" s="62">
        <v>680</v>
      </c>
      <c r="BB143" s="62">
        <v>721</v>
      </c>
      <c r="BC143" s="62">
        <v>767</v>
      </c>
      <c r="BD143" s="62">
        <v>719</v>
      </c>
      <c r="BE143" s="62">
        <v>727</v>
      </c>
      <c r="BF143" s="62">
        <v>719</v>
      </c>
      <c r="BG143" s="62">
        <v>770</v>
      </c>
      <c r="BH143" s="62">
        <v>789</v>
      </c>
    </row>
    <row r="144" spans="2:60" hidden="1" x14ac:dyDescent="0.2">
      <c r="B144" s="59"/>
      <c r="C144" s="59" t="s">
        <v>669</v>
      </c>
      <c r="D144" s="59" t="s">
        <v>653</v>
      </c>
      <c r="E144" s="63">
        <v>1520</v>
      </c>
      <c r="F144" s="63">
        <v>1361</v>
      </c>
      <c r="G144" s="63">
        <v>1546</v>
      </c>
      <c r="H144" s="63">
        <v>1413</v>
      </c>
      <c r="I144" s="63">
        <v>1490</v>
      </c>
      <c r="J144" s="63">
        <v>1327</v>
      </c>
      <c r="K144" s="63">
        <v>1496</v>
      </c>
      <c r="L144" s="63">
        <v>1337</v>
      </c>
      <c r="M144" s="63">
        <v>1346</v>
      </c>
      <c r="N144" s="63">
        <v>1360</v>
      </c>
      <c r="O144" s="63">
        <v>1412</v>
      </c>
      <c r="P144" s="63">
        <v>1423</v>
      </c>
      <c r="Q144" s="63">
        <v>1356</v>
      </c>
      <c r="R144" s="63">
        <v>1414</v>
      </c>
      <c r="S144" s="63">
        <v>1658</v>
      </c>
      <c r="T144" s="63">
        <v>1564</v>
      </c>
      <c r="U144" s="63">
        <v>1558</v>
      </c>
      <c r="V144" s="63">
        <v>1475</v>
      </c>
      <c r="W144" s="63">
        <v>1704</v>
      </c>
      <c r="X144" s="63">
        <v>1670</v>
      </c>
      <c r="Y144" s="63">
        <v>1847</v>
      </c>
      <c r="Z144" s="63">
        <v>1726</v>
      </c>
      <c r="AA144" s="63">
        <v>1721</v>
      </c>
      <c r="AB144" s="63">
        <v>1702</v>
      </c>
      <c r="AC144" s="63">
        <v>1629</v>
      </c>
      <c r="AD144" s="63">
        <v>1595</v>
      </c>
      <c r="AE144" s="63">
        <v>1663</v>
      </c>
      <c r="AF144" s="63">
        <v>1731</v>
      </c>
      <c r="AG144" s="63">
        <v>1603</v>
      </c>
      <c r="AH144" s="63">
        <v>1573</v>
      </c>
      <c r="AI144" s="63">
        <v>1524</v>
      </c>
      <c r="AJ144" s="63">
        <v>1874</v>
      </c>
      <c r="AK144" s="63">
        <v>1562</v>
      </c>
      <c r="AL144" s="63">
        <v>1647</v>
      </c>
      <c r="AM144" s="63">
        <v>1513</v>
      </c>
      <c r="AN144" s="63">
        <v>1372</v>
      </c>
      <c r="AO144" s="63">
        <v>1307</v>
      </c>
      <c r="AP144" s="63">
        <v>1238</v>
      </c>
      <c r="AQ144" s="63">
        <v>1344</v>
      </c>
      <c r="AR144" s="63">
        <v>1339</v>
      </c>
      <c r="AS144" s="63">
        <v>1176</v>
      </c>
      <c r="AT144" s="63">
        <v>1271</v>
      </c>
      <c r="AU144" s="63">
        <v>1287</v>
      </c>
      <c r="AV144" s="63">
        <v>1243</v>
      </c>
      <c r="AW144" s="63">
        <v>1221</v>
      </c>
      <c r="AX144" s="63">
        <v>1341</v>
      </c>
      <c r="AY144" s="63">
        <v>1417</v>
      </c>
      <c r="AZ144" s="63">
        <v>1353</v>
      </c>
      <c r="BA144" s="63">
        <v>1278</v>
      </c>
      <c r="BB144" s="63">
        <v>1335</v>
      </c>
      <c r="BC144" s="63">
        <v>1436</v>
      </c>
      <c r="BD144" s="63">
        <v>1387</v>
      </c>
      <c r="BE144" s="63">
        <v>1357</v>
      </c>
      <c r="BF144" s="63">
        <v>1383</v>
      </c>
      <c r="BG144" s="63">
        <v>1392</v>
      </c>
      <c r="BH144" s="63">
        <v>1476</v>
      </c>
    </row>
    <row r="145" spans="2:60" hidden="1" x14ac:dyDescent="0.2">
      <c r="B145" s="57"/>
      <c r="C145" s="57" t="s">
        <v>669</v>
      </c>
      <c r="D145" s="57" t="s">
        <v>654</v>
      </c>
      <c r="E145" s="62">
        <v>375</v>
      </c>
      <c r="F145" s="62">
        <v>314</v>
      </c>
      <c r="G145" s="62">
        <v>347</v>
      </c>
      <c r="H145" s="62">
        <v>288</v>
      </c>
      <c r="I145" s="62">
        <v>312</v>
      </c>
      <c r="J145" s="62">
        <v>281</v>
      </c>
      <c r="K145" s="62">
        <v>262</v>
      </c>
      <c r="L145" s="62">
        <v>269</v>
      </c>
      <c r="M145" s="62">
        <v>275</v>
      </c>
      <c r="N145" s="62">
        <v>227</v>
      </c>
      <c r="O145" s="62">
        <v>260</v>
      </c>
      <c r="P145" s="62">
        <v>285</v>
      </c>
      <c r="Q145" s="62">
        <v>225</v>
      </c>
      <c r="R145" s="62">
        <v>232</v>
      </c>
      <c r="S145" s="62">
        <v>238</v>
      </c>
      <c r="T145" s="62">
        <v>249</v>
      </c>
      <c r="U145" s="62">
        <v>208</v>
      </c>
      <c r="V145" s="62">
        <v>225</v>
      </c>
      <c r="W145" s="62">
        <v>212</v>
      </c>
      <c r="X145" s="62">
        <v>194</v>
      </c>
      <c r="Y145" s="62">
        <v>262</v>
      </c>
      <c r="Z145" s="62">
        <v>196</v>
      </c>
      <c r="AA145" s="62">
        <v>212</v>
      </c>
      <c r="AB145" s="62">
        <v>232</v>
      </c>
      <c r="AC145" s="62">
        <v>202</v>
      </c>
      <c r="AD145" s="62">
        <v>202</v>
      </c>
      <c r="AE145" s="62">
        <v>202</v>
      </c>
      <c r="AF145" s="62">
        <v>204</v>
      </c>
      <c r="AG145" s="62">
        <v>171</v>
      </c>
      <c r="AH145" s="62">
        <v>200</v>
      </c>
      <c r="AI145" s="62">
        <v>180</v>
      </c>
      <c r="AJ145" s="62">
        <v>255</v>
      </c>
      <c r="AK145" s="62">
        <v>230</v>
      </c>
      <c r="AL145" s="62">
        <v>233</v>
      </c>
      <c r="AM145" s="62">
        <v>220</v>
      </c>
      <c r="AN145" s="62">
        <v>218</v>
      </c>
      <c r="AO145" s="62">
        <v>216</v>
      </c>
      <c r="AP145" s="62">
        <v>179</v>
      </c>
      <c r="AQ145" s="62">
        <v>180</v>
      </c>
      <c r="AR145" s="62">
        <v>200</v>
      </c>
      <c r="AS145" s="62">
        <v>177</v>
      </c>
      <c r="AT145" s="62">
        <v>176</v>
      </c>
      <c r="AU145" s="62">
        <v>165</v>
      </c>
      <c r="AV145" s="62">
        <v>160</v>
      </c>
      <c r="AW145" s="62">
        <v>163</v>
      </c>
      <c r="AX145" s="62">
        <v>204</v>
      </c>
      <c r="AY145" s="62">
        <v>182</v>
      </c>
      <c r="AZ145" s="62">
        <v>184</v>
      </c>
      <c r="BA145" s="62">
        <v>175</v>
      </c>
      <c r="BB145" s="62">
        <v>182</v>
      </c>
      <c r="BC145" s="62">
        <v>212</v>
      </c>
      <c r="BD145" s="62">
        <v>178</v>
      </c>
      <c r="BE145" s="62">
        <v>178</v>
      </c>
      <c r="BF145" s="62">
        <v>177</v>
      </c>
      <c r="BG145" s="62">
        <v>192</v>
      </c>
      <c r="BH145" s="62">
        <v>166</v>
      </c>
    </row>
    <row r="146" spans="2:60" hidden="1" x14ac:dyDescent="0.2">
      <c r="B146" s="59"/>
      <c r="C146" s="59" t="s">
        <v>669</v>
      </c>
      <c r="D146" s="59" t="s">
        <v>655</v>
      </c>
      <c r="E146" s="63">
        <v>1303</v>
      </c>
      <c r="F146" s="63">
        <v>1191</v>
      </c>
      <c r="G146" s="63">
        <v>1289</v>
      </c>
      <c r="H146" s="63">
        <v>1252</v>
      </c>
      <c r="I146" s="63">
        <v>1296</v>
      </c>
      <c r="J146" s="63">
        <v>1158</v>
      </c>
      <c r="K146" s="63">
        <v>1219</v>
      </c>
      <c r="L146" s="63">
        <v>1196</v>
      </c>
      <c r="M146" s="63">
        <v>1157</v>
      </c>
      <c r="N146" s="63">
        <v>1122</v>
      </c>
      <c r="O146" s="63">
        <v>1110</v>
      </c>
      <c r="P146" s="63">
        <v>1048</v>
      </c>
      <c r="Q146" s="63">
        <v>1060</v>
      </c>
      <c r="R146" s="63">
        <v>1150</v>
      </c>
      <c r="S146" s="63">
        <v>1117</v>
      </c>
      <c r="T146" s="63">
        <v>1049</v>
      </c>
      <c r="U146" s="63">
        <v>1128</v>
      </c>
      <c r="V146" s="63">
        <v>1009</v>
      </c>
      <c r="W146" s="63">
        <v>950</v>
      </c>
      <c r="X146" s="63">
        <v>1012</v>
      </c>
      <c r="Y146" s="63">
        <v>1020</v>
      </c>
      <c r="Z146" s="63">
        <v>963</v>
      </c>
      <c r="AA146" s="63">
        <v>998</v>
      </c>
      <c r="AB146" s="63">
        <v>994</v>
      </c>
      <c r="AC146" s="63">
        <v>931</v>
      </c>
      <c r="AD146" s="63">
        <v>919</v>
      </c>
      <c r="AE146" s="63">
        <v>909</v>
      </c>
      <c r="AF146" s="63">
        <v>1000</v>
      </c>
      <c r="AG146" s="63">
        <v>936</v>
      </c>
      <c r="AH146" s="63">
        <v>961</v>
      </c>
      <c r="AI146" s="63">
        <v>966</v>
      </c>
      <c r="AJ146" s="63">
        <v>1072</v>
      </c>
      <c r="AK146" s="63">
        <v>1050</v>
      </c>
      <c r="AL146" s="63">
        <v>1015</v>
      </c>
      <c r="AM146" s="63">
        <v>966</v>
      </c>
      <c r="AN146" s="63">
        <v>915</v>
      </c>
      <c r="AO146" s="63">
        <v>840</v>
      </c>
      <c r="AP146" s="63">
        <v>779</v>
      </c>
      <c r="AQ146" s="63">
        <v>755</v>
      </c>
      <c r="AR146" s="63">
        <v>751</v>
      </c>
      <c r="AS146" s="63">
        <v>647</v>
      </c>
      <c r="AT146" s="63">
        <v>714</v>
      </c>
      <c r="AU146" s="63">
        <v>699</v>
      </c>
      <c r="AV146" s="63">
        <v>615</v>
      </c>
      <c r="AW146" s="63">
        <v>656</v>
      </c>
      <c r="AX146" s="63">
        <v>771</v>
      </c>
      <c r="AY146" s="63">
        <v>770</v>
      </c>
      <c r="AZ146" s="63">
        <v>720</v>
      </c>
      <c r="BA146" s="63">
        <v>747</v>
      </c>
      <c r="BB146" s="63">
        <v>826</v>
      </c>
      <c r="BC146" s="63">
        <v>808</v>
      </c>
      <c r="BD146" s="63">
        <v>767</v>
      </c>
      <c r="BE146" s="63">
        <v>703</v>
      </c>
      <c r="BF146" s="63">
        <v>762</v>
      </c>
      <c r="BG146" s="63">
        <v>814</v>
      </c>
      <c r="BH146" s="63">
        <v>692</v>
      </c>
    </row>
    <row r="147" spans="2:60" hidden="1" x14ac:dyDescent="0.2">
      <c r="B147" s="57"/>
      <c r="C147" s="57" t="s">
        <v>669</v>
      </c>
      <c r="D147" s="57" t="s">
        <v>699</v>
      </c>
      <c r="E147" s="62">
        <v>2252</v>
      </c>
      <c r="F147" s="62">
        <v>1358</v>
      </c>
      <c r="G147" s="62">
        <v>1550</v>
      </c>
      <c r="H147" s="62">
        <v>1063</v>
      </c>
      <c r="I147" s="62">
        <v>1891</v>
      </c>
      <c r="J147" s="62">
        <v>1075</v>
      </c>
      <c r="K147" s="62">
        <v>1353</v>
      </c>
      <c r="L147" s="62">
        <v>902</v>
      </c>
      <c r="M147" s="62">
        <v>1791</v>
      </c>
      <c r="N147" s="62">
        <v>1033</v>
      </c>
      <c r="O147" s="62">
        <v>1372</v>
      </c>
      <c r="P147" s="62">
        <v>938</v>
      </c>
      <c r="Q147" s="62">
        <v>1798</v>
      </c>
      <c r="R147" s="62">
        <v>1024</v>
      </c>
      <c r="S147" s="62">
        <v>1217</v>
      </c>
      <c r="T147" s="62">
        <v>900</v>
      </c>
      <c r="U147" s="62">
        <v>1672</v>
      </c>
      <c r="V147" s="62">
        <v>1012</v>
      </c>
      <c r="W147" s="62">
        <v>1478</v>
      </c>
      <c r="X147" s="62">
        <v>939</v>
      </c>
      <c r="Y147" s="62">
        <v>1816</v>
      </c>
      <c r="Z147" s="62">
        <v>1232</v>
      </c>
      <c r="AA147" s="62">
        <v>1146</v>
      </c>
      <c r="AB147" s="62">
        <v>994</v>
      </c>
      <c r="AC147" s="62">
        <v>1643</v>
      </c>
      <c r="AD147" s="62">
        <v>1042</v>
      </c>
      <c r="AE147" s="62">
        <v>1168</v>
      </c>
      <c r="AF147" s="62">
        <v>1031</v>
      </c>
      <c r="AG147" s="62">
        <v>1528</v>
      </c>
      <c r="AH147" s="62">
        <v>928</v>
      </c>
      <c r="AI147" s="62">
        <v>987</v>
      </c>
      <c r="AJ147" s="62">
        <v>1070</v>
      </c>
      <c r="AK147" s="62">
        <v>1296</v>
      </c>
      <c r="AL147" s="62">
        <v>909</v>
      </c>
      <c r="AM147" s="62">
        <v>816</v>
      </c>
      <c r="AN147" s="62">
        <v>766</v>
      </c>
      <c r="AO147" s="62">
        <v>1080</v>
      </c>
      <c r="AP147" s="62">
        <v>780</v>
      </c>
      <c r="AQ147" s="62">
        <v>687</v>
      </c>
      <c r="AR147" s="62">
        <v>1071</v>
      </c>
      <c r="AS147" s="62">
        <v>1089</v>
      </c>
      <c r="AT147" s="62">
        <v>968</v>
      </c>
      <c r="AU147" s="62">
        <v>768</v>
      </c>
      <c r="AV147" s="62">
        <v>965</v>
      </c>
      <c r="AW147" s="62">
        <v>779</v>
      </c>
      <c r="AX147" s="62">
        <v>966</v>
      </c>
      <c r="AY147" s="62">
        <v>954</v>
      </c>
      <c r="AZ147" s="62">
        <v>858</v>
      </c>
      <c r="BA147" s="62">
        <v>1108</v>
      </c>
      <c r="BB147" s="62">
        <v>993</v>
      </c>
      <c r="BC147" s="62">
        <v>970</v>
      </c>
      <c r="BD147" s="62">
        <v>1013</v>
      </c>
      <c r="BE147" s="62">
        <v>1086</v>
      </c>
      <c r="BF147" s="62">
        <v>981</v>
      </c>
      <c r="BG147" s="62">
        <v>982</v>
      </c>
      <c r="BH147" s="62">
        <v>1142</v>
      </c>
    </row>
    <row r="148" spans="2:60" hidden="1" x14ac:dyDescent="0.2">
      <c r="B148" s="59"/>
      <c r="C148" s="59" t="s">
        <v>669</v>
      </c>
      <c r="D148" s="59" t="s">
        <v>656</v>
      </c>
      <c r="E148" s="63">
        <v>11672</v>
      </c>
      <c r="F148" s="63">
        <v>9507</v>
      </c>
      <c r="G148" s="63">
        <v>10702</v>
      </c>
      <c r="H148" s="63">
        <v>9556</v>
      </c>
      <c r="I148" s="63">
        <v>11135</v>
      </c>
      <c r="J148" s="63">
        <v>9343</v>
      </c>
      <c r="K148" s="63">
        <v>10442</v>
      </c>
      <c r="L148" s="63">
        <v>9021</v>
      </c>
      <c r="M148" s="63">
        <v>10772</v>
      </c>
      <c r="N148" s="63">
        <v>9142</v>
      </c>
      <c r="O148" s="63">
        <v>9775</v>
      </c>
      <c r="P148" s="63">
        <v>8781</v>
      </c>
      <c r="Q148" s="63">
        <v>10173</v>
      </c>
      <c r="R148" s="63">
        <v>9005</v>
      </c>
      <c r="S148" s="63">
        <v>9745</v>
      </c>
      <c r="T148" s="63">
        <v>8621</v>
      </c>
      <c r="U148" s="63">
        <v>9943</v>
      </c>
      <c r="V148" s="63">
        <v>8785</v>
      </c>
      <c r="W148" s="63">
        <v>9574</v>
      </c>
      <c r="X148" s="63">
        <v>8660</v>
      </c>
      <c r="Y148" s="63">
        <v>10305</v>
      </c>
      <c r="Z148" s="63">
        <v>9006</v>
      </c>
      <c r="AA148" s="63">
        <v>8964</v>
      </c>
      <c r="AB148" s="63">
        <v>8504</v>
      </c>
      <c r="AC148" s="63">
        <v>9392</v>
      </c>
      <c r="AD148" s="63">
        <v>8546</v>
      </c>
      <c r="AE148" s="63">
        <v>8734</v>
      </c>
      <c r="AF148" s="63">
        <v>8954</v>
      </c>
      <c r="AG148" s="63">
        <v>9262</v>
      </c>
      <c r="AH148" s="63">
        <v>8471</v>
      </c>
      <c r="AI148" s="63">
        <v>8102</v>
      </c>
      <c r="AJ148" s="63">
        <v>9881</v>
      </c>
      <c r="AK148" s="63">
        <v>8847</v>
      </c>
      <c r="AL148" s="63">
        <v>9392</v>
      </c>
      <c r="AM148" s="63">
        <v>9249</v>
      </c>
      <c r="AN148" s="63">
        <v>8340</v>
      </c>
      <c r="AO148" s="63">
        <v>8220</v>
      </c>
      <c r="AP148" s="63">
        <v>7261</v>
      </c>
      <c r="AQ148" s="63">
        <v>7451</v>
      </c>
      <c r="AR148" s="63">
        <v>7652</v>
      </c>
      <c r="AS148" s="63">
        <v>7192</v>
      </c>
      <c r="AT148" s="63">
        <v>7117</v>
      </c>
      <c r="AU148" s="63">
        <v>6628</v>
      </c>
      <c r="AV148" s="63">
        <v>6155</v>
      </c>
      <c r="AW148" s="63">
        <v>6105</v>
      </c>
      <c r="AX148" s="63">
        <v>7397</v>
      </c>
      <c r="AY148" s="63">
        <v>7693</v>
      </c>
      <c r="AZ148" s="63">
        <v>6700</v>
      </c>
      <c r="BA148" s="63">
        <v>7299</v>
      </c>
      <c r="BB148" s="63">
        <v>7395</v>
      </c>
      <c r="BC148" s="63">
        <v>7743</v>
      </c>
      <c r="BD148" s="63">
        <v>7232</v>
      </c>
      <c r="BE148" s="63">
        <v>7479</v>
      </c>
      <c r="BF148" s="63">
        <v>7623</v>
      </c>
      <c r="BG148" s="63">
        <v>7696</v>
      </c>
      <c r="BH148" s="63">
        <v>7583</v>
      </c>
    </row>
    <row r="149" spans="2:60" hidden="1" x14ac:dyDescent="0.2">
      <c r="B149" s="57"/>
      <c r="C149" s="57" t="s">
        <v>670</v>
      </c>
      <c r="D149" s="57" t="s">
        <v>648</v>
      </c>
      <c r="E149" s="62">
        <v>6</v>
      </c>
      <c r="F149" s="62">
        <v>3</v>
      </c>
      <c r="G149" s="62">
        <v>3</v>
      </c>
      <c r="H149" s="62">
        <v>4</v>
      </c>
      <c r="I149" s="62">
        <v>11</v>
      </c>
      <c r="J149" s="62">
        <v>2</v>
      </c>
      <c r="K149" s="62">
        <v>8</v>
      </c>
      <c r="L149" s="62">
        <v>5</v>
      </c>
      <c r="M149" s="62">
        <v>3</v>
      </c>
      <c r="N149" s="62">
        <v>1</v>
      </c>
      <c r="O149" s="62">
        <v>4</v>
      </c>
      <c r="P149" s="62">
        <v>5</v>
      </c>
      <c r="Q149" s="62">
        <v>3</v>
      </c>
      <c r="R149" s="62">
        <v>2</v>
      </c>
      <c r="S149" s="62">
        <v>5</v>
      </c>
      <c r="T149" s="62">
        <v>6</v>
      </c>
      <c r="U149" s="62">
        <v>5</v>
      </c>
      <c r="V149" s="62">
        <v>3</v>
      </c>
      <c r="W149" s="62">
        <v>4</v>
      </c>
      <c r="X149" s="62">
        <v>6</v>
      </c>
      <c r="Y149" s="62">
        <v>5</v>
      </c>
      <c r="Z149" s="62">
        <v>4</v>
      </c>
      <c r="AA149" s="62">
        <v>4</v>
      </c>
      <c r="AB149" s="62">
        <v>5</v>
      </c>
      <c r="AC149" s="62">
        <v>6</v>
      </c>
      <c r="AD149" s="62">
        <v>4</v>
      </c>
      <c r="AE149" s="62">
        <v>4</v>
      </c>
      <c r="AF149" s="62">
        <v>6</v>
      </c>
      <c r="AG149" s="62">
        <v>5</v>
      </c>
      <c r="AH149" s="62">
        <v>7</v>
      </c>
      <c r="AI149" s="62">
        <v>5</v>
      </c>
      <c r="AJ149" s="62">
        <v>7</v>
      </c>
      <c r="AK149" s="62">
        <v>8</v>
      </c>
      <c r="AL149" s="62">
        <v>6</v>
      </c>
      <c r="AM149" s="62">
        <v>4</v>
      </c>
      <c r="AN149" s="62">
        <v>6</v>
      </c>
      <c r="AO149" s="62">
        <v>6</v>
      </c>
      <c r="AP149" s="62">
        <v>5</v>
      </c>
      <c r="AQ149" s="62">
        <v>9</v>
      </c>
      <c r="AR149" s="62">
        <v>6</v>
      </c>
      <c r="AS149" s="62">
        <v>6</v>
      </c>
      <c r="AT149" s="62">
        <v>5</v>
      </c>
      <c r="AU149" s="62">
        <v>4</v>
      </c>
      <c r="AV149" s="62">
        <v>3</v>
      </c>
      <c r="AW149" s="62">
        <v>8</v>
      </c>
      <c r="AX149" s="62">
        <v>3</v>
      </c>
      <c r="AY149" s="62">
        <v>3</v>
      </c>
      <c r="AZ149" s="62">
        <v>2</v>
      </c>
      <c r="BA149" s="62">
        <v>2</v>
      </c>
      <c r="BB149" s="62">
        <v>2</v>
      </c>
      <c r="BC149" s="62">
        <v>3</v>
      </c>
      <c r="BD149" s="62">
        <v>6</v>
      </c>
      <c r="BE149" s="62">
        <v>6</v>
      </c>
      <c r="BF149" s="62">
        <v>3</v>
      </c>
      <c r="BG149" s="62">
        <v>6</v>
      </c>
      <c r="BH149" s="62">
        <v>3</v>
      </c>
    </row>
    <row r="150" spans="2:60" hidden="1" x14ac:dyDescent="0.2">
      <c r="B150" s="59"/>
      <c r="C150" s="59" t="s">
        <v>670</v>
      </c>
      <c r="D150" s="59" t="s">
        <v>649</v>
      </c>
      <c r="E150" s="63">
        <v>31</v>
      </c>
      <c r="F150" s="63">
        <v>18</v>
      </c>
      <c r="G150" s="63">
        <v>22</v>
      </c>
      <c r="H150" s="63">
        <v>16</v>
      </c>
      <c r="I150" s="63">
        <v>35</v>
      </c>
      <c r="J150" s="63">
        <v>26</v>
      </c>
      <c r="K150" s="63">
        <v>24</v>
      </c>
      <c r="L150" s="63">
        <v>25</v>
      </c>
      <c r="M150" s="63">
        <v>40</v>
      </c>
      <c r="N150" s="63">
        <v>31</v>
      </c>
      <c r="O150" s="63">
        <v>21</v>
      </c>
      <c r="P150" s="63">
        <v>22</v>
      </c>
      <c r="Q150" s="63">
        <v>30</v>
      </c>
      <c r="R150" s="63">
        <v>29</v>
      </c>
      <c r="S150" s="63">
        <v>22</v>
      </c>
      <c r="T150" s="63">
        <v>15</v>
      </c>
      <c r="U150" s="63">
        <v>27</v>
      </c>
      <c r="V150" s="63">
        <v>35</v>
      </c>
      <c r="W150" s="63">
        <v>11</v>
      </c>
      <c r="X150" s="63">
        <v>22</v>
      </c>
      <c r="Y150" s="63">
        <v>39</v>
      </c>
      <c r="Z150" s="63">
        <v>28</v>
      </c>
      <c r="AA150" s="63">
        <v>39</v>
      </c>
      <c r="AB150" s="63">
        <v>22</v>
      </c>
      <c r="AC150" s="63">
        <v>26</v>
      </c>
      <c r="AD150" s="63">
        <v>25</v>
      </c>
      <c r="AE150" s="63">
        <v>24</v>
      </c>
      <c r="AF150" s="63">
        <v>25</v>
      </c>
      <c r="AG150" s="63">
        <v>29</v>
      </c>
      <c r="AH150" s="63">
        <v>22</v>
      </c>
      <c r="AI150" s="63">
        <v>19</v>
      </c>
      <c r="AJ150" s="63">
        <v>27</v>
      </c>
      <c r="AK150" s="63">
        <v>33</v>
      </c>
      <c r="AL150" s="63">
        <v>29</v>
      </c>
      <c r="AM150" s="63">
        <v>26</v>
      </c>
      <c r="AN150" s="63">
        <v>27</v>
      </c>
      <c r="AO150" s="63">
        <v>30</v>
      </c>
      <c r="AP150" s="63">
        <v>31</v>
      </c>
      <c r="AQ150" s="63">
        <v>32</v>
      </c>
      <c r="AR150" s="63">
        <v>29</v>
      </c>
      <c r="AS150" s="63">
        <v>23</v>
      </c>
      <c r="AT150" s="63">
        <v>39</v>
      </c>
      <c r="AU150" s="63">
        <v>24</v>
      </c>
      <c r="AV150" s="63">
        <v>14</v>
      </c>
      <c r="AW150" s="63">
        <v>15</v>
      </c>
      <c r="AX150" s="63">
        <v>25</v>
      </c>
      <c r="AY150" s="63">
        <v>18</v>
      </c>
      <c r="AZ150" s="63">
        <v>17</v>
      </c>
      <c r="BA150" s="63">
        <v>34</v>
      </c>
      <c r="BB150" s="63">
        <v>9</v>
      </c>
      <c r="BC150" s="63">
        <v>15</v>
      </c>
      <c r="BD150" s="63">
        <v>19</v>
      </c>
      <c r="BE150" s="63">
        <v>23</v>
      </c>
      <c r="BF150" s="63">
        <v>28</v>
      </c>
      <c r="BG150" s="63">
        <v>25</v>
      </c>
      <c r="BH150" s="63">
        <v>14</v>
      </c>
    </row>
    <row r="151" spans="2:60" hidden="1" x14ac:dyDescent="0.2">
      <c r="B151" s="57"/>
      <c r="C151" s="57" t="s">
        <v>670</v>
      </c>
      <c r="D151" s="57" t="s">
        <v>650</v>
      </c>
      <c r="E151" s="62">
        <v>2</v>
      </c>
      <c r="F151" s="62">
        <v>3</v>
      </c>
      <c r="G151" s="62">
        <v>3</v>
      </c>
      <c r="H151" s="62">
        <v>4</v>
      </c>
      <c r="I151" s="62">
        <v>8</v>
      </c>
      <c r="J151" s="62">
        <v>2</v>
      </c>
      <c r="K151" s="62">
        <v>3</v>
      </c>
      <c r="L151" s="62">
        <v>4</v>
      </c>
      <c r="M151" s="62">
        <v>6</v>
      </c>
      <c r="N151" s="62">
        <v>3</v>
      </c>
      <c r="O151" s="62">
        <v>1</v>
      </c>
      <c r="P151" s="62">
        <v>2</v>
      </c>
      <c r="Q151" s="62">
        <v>4</v>
      </c>
      <c r="R151" s="62">
        <v>2</v>
      </c>
      <c r="S151" s="62">
        <v>3</v>
      </c>
      <c r="T151" s="62">
        <v>2</v>
      </c>
      <c r="U151" s="62">
        <v>1</v>
      </c>
      <c r="V151" s="62">
        <v>6</v>
      </c>
      <c r="W151" s="62">
        <v>2</v>
      </c>
      <c r="X151" s="62">
        <v>3</v>
      </c>
      <c r="Y151" s="62">
        <v>3</v>
      </c>
      <c r="Z151" s="62">
        <v>5</v>
      </c>
      <c r="AA151" s="62">
        <v>2</v>
      </c>
      <c r="AB151" s="62">
        <v>2</v>
      </c>
      <c r="AC151" s="62">
        <v>3</v>
      </c>
      <c r="AD151" s="62">
        <v>3</v>
      </c>
      <c r="AE151" s="62">
        <v>3</v>
      </c>
      <c r="AF151" s="62">
        <v>1</v>
      </c>
      <c r="AG151" s="62">
        <v>4</v>
      </c>
      <c r="AH151" s="62">
        <v>4</v>
      </c>
      <c r="AI151" s="62">
        <v>5</v>
      </c>
      <c r="AJ151" s="62">
        <v>1</v>
      </c>
      <c r="AK151" s="62">
        <v>1</v>
      </c>
      <c r="AL151" s="62">
        <v>3</v>
      </c>
      <c r="AM151" s="62">
        <v>3</v>
      </c>
      <c r="AN151" s="62">
        <v>1</v>
      </c>
      <c r="AO151" s="62">
        <v>1</v>
      </c>
      <c r="AP151" s="62"/>
      <c r="AQ151" s="62">
        <v>1</v>
      </c>
      <c r="AR151" s="62">
        <v>4</v>
      </c>
      <c r="AS151" s="62">
        <v>2</v>
      </c>
      <c r="AT151" s="62">
        <v>4</v>
      </c>
      <c r="AU151" s="62">
        <v>3</v>
      </c>
      <c r="AV151" s="62">
        <v>2</v>
      </c>
      <c r="AW151" s="62">
        <v>1</v>
      </c>
      <c r="AX151" s="62">
        <v>1</v>
      </c>
      <c r="AY151" s="62">
        <v>3</v>
      </c>
      <c r="AZ151" s="62">
        <v>1</v>
      </c>
      <c r="BA151" s="62">
        <v>2</v>
      </c>
      <c r="BB151" s="62">
        <v>6</v>
      </c>
      <c r="BC151" s="62">
        <v>1</v>
      </c>
      <c r="BD151" s="62">
        <v>1</v>
      </c>
      <c r="BE151" s="62"/>
      <c r="BF151" s="62">
        <v>4</v>
      </c>
      <c r="BG151" s="62">
        <v>4</v>
      </c>
      <c r="BH151" s="62">
        <v>5</v>
      </c>
    </row>
    <row r="152" spans="2:60" hidden="1" x14ac:dyDescent="0.2">
      <c r="B152" s="59"/>
      <c r="C152" s="59" t="s">
        <v>670</v>
      </c>
      <c r="D152" s="59" t="s">
        <v>651</v>
      </c>
      <c r="E152" s="63">
        <v>5</v>
      </c>
      <c r="F152" s="63">
        <v>7</v>
      </c>
      <c r="G152" s="63">
        <v>6</v>
      </c>
      <c r="H152" s="63">
        <v>9</v>
      </c>
      <c r="I152" s="63">
        <v>10</v>
      </c>
      <c r="J152" s="63">
        <v>11</v>
      </c>
      <c r="K152" s="63">
        <v>5</v>
      </c>
      <c r="L152" s="63">
        <v>8</v>
      </c>
      <c r="M152" s="63">
        <v>9</v>
      </c>
      <c r="N152" s="63">
        <v>1</v>
      </c>
      <c r="O152" s="63">
        <v>4</v>
      </c>
      <c r="P152" s="63">
        <v>8</v>
      </c>
      <c r="Q152" s="63">
        <v>12</v>
      </c>
      <c r="R152" s="63">
        <v>8</v>
      </c>
      <c r="S152" s="63">
        <v>4</v>
      </c>
      <c r="T152" s="63">
        <v>5</v>
      </c>
      <c r="U152" s="63">
        <v>10</v>
      </c>
      <c r="V152" s="63">
        <v>6</v>
      </c>
      <c r="W152" s="63">
        <v>10</v>
      </c>
      <c r="X152" s="63">
        <v>5</v>
      </c>
      <c r="Y152" s="63">
        <v>10</v>
      </c>
      <c r="Z152" s="63">
        <v>8</v>
      </c>
      <c r="AA152" s="63">
        <v>11</v>
      </c>
      <c r="AB152" s="63">
        <v>8</v>
      </c>
      <c r="AC152" s="63">
        <v>6</v>
      </c>
      <c r="AD152" s="63">
        <v>12</v>
      </c>
      <c r="AE152" s="63">
        <v>7</v>
      </c>
      <c r="AF152" s="63">
        <v>9</v>
      </c>
      <c r="AG152" s="63">
        <v>7</v>
      </c>
      <c r="AH152" s="63">
        <v>4</v>
      </c>
      <c r="AI152" s="63">
        <v>4</v>
      </c>
      <c r="AJ152" s="63">
        <v>14</v>
      </c>
      <c r="AK152" s="63">
        <v>8</v>
      </c>
      <c r="AL152" s="63">
        <v>7</v>
      </c>
      <c r="AM152" s="63">
        <v>2</v>
      </c>
      <c r="AN152" s="63">
        <v>7</v>
      </c>
      <c r="AO152" s="63">
        <v>8</v>
      </c>
      <c r="AP152" s="63">
        <v>9</v>
      </c>
      <c r="AQ152" s="63">
        <v>6</v>
      </c>
      <c r="AR152" s="63">
        <v>5</v>
      </c>
      <c r="AS152" s="63">
        <v>6</v>
      </c>
      <c r="AT152" s="63">
        <v>6</v>
      </c>
      <c r="AU152" s="63">
        <v>4</v>
      </c>
      <c r="AV152" s="63">
        <v>6</v>
      </c>
      <c r="AW152" s="63">
        <v>3</v>
      </c>
      <c r="AX152" s="63">
        <v>6</v>
      </c>
      <c r="AY152" s="63">
        <v>7</v>
      </c>
      <c r="AZ152" s="63">
        <v>5</v>
      </c>
      <c r="BA152" s="63">
        <v>2</v>
      </c>
      <c r="BB152" s="63">
        <v>7</v>
      </c>
      <c r="BC152" s="63">
        <v>6</v>
      </c>
      <c r="BD152" s="63">
        <v>7</v>
      </c>
      <c r="BE152" s="63">
        <v>5</v>
      </c>
      <c r="BF152" s="63">
        <v>2</v>
      </c>
      <c r="BG152" s="63">
        <v>4</v>
      </c>
      <c r="BH152" s="63">
        <v>3</v>
      </c>
    </row>
    <row r="153" spans="2:60" hidden="1" x14ac:dyDescent="0.2">
      <c r="B153" s="57"/>
      <c r="C153" s="57" t="s">
        <v>670</v>
      </c>
      <c r="D153" s="57" t="s">
        <v>652</v>
      </c>
      <c r="E153" s="62">
        <v>32</v>
      </c>
      <c r="F153" s="62">
        <v>29</v>
      </c>
      <c r="G153" s="62">
        <v>31</v>
      </c>
      <c r="H153" s="62">
        <v>33</v>
      </c>
      <c r="I153" s="62">
        <v>39</v>
      </c>
      <c r="J153" s="62">
        <v>43</v>
      </c>
      <c r="K153" s="62">
        <v>46</v>
      </c>
      <c r="L153" s="62">
        <v>35</v>
      </c>
      <c r="M153" s="62">
        <v>38</v>
      </c>
      <c r="N153" s="62">
        <v>38</v>
      </c>
      <c r="O153" s="62">
        <v>40</v>
      </c>
      <c r="P153" s="62">
        <v>43</v>
      </c>
      <c r="Q153" s="62">
        <v>47</v>
      </c>
      <c r="R153" s="62">
        <v>26</v>
      </c>
      <c r="S153" s="62">
        <v>32</v>
      </c>
      <c r="T153" s="62">
        <v>34</v>
      </c>
      <c r="U153" s="62">
        <v>28</v>
      </c>
      <c r="V153" s="62">
        <v>36</v>
      </c>
      <c r="W153" s="62">
        <v>36</v>
      </c>
      <c r="X153" s="62">
        <v>38</v>
      </c>
      <c r="Y153" s="62">
        <v>42</v>
      </c>
      <c r="Z153" s="62">
        <v>47</v>
      </c>
      <c r="AA153" s="62">
        <v>32</v>
      </c>
      <c r="AB153" s="62">
        <v>40</v>
      </c>
      <c r="AC153" s="62">
        <v>44</v>
      </c>
      <c r="AD153" s="62">
        <v>27</v>
      </c>
      <c r="AE153" s="62">
        <v>31</v>
      </c>
      <c r="AF153" s="62">
        <v>43</v>
      </c>
      <c r="AG153" s="62">
        <v>34</v>
      </c>
      <c r="AH153" s="62">
        <v>31</v>
      </c>
      <c r="AI153" s="62">
        <v>39</v>
      </c>
      <c r="AJ153" s="62">
        <v>40</v>
      </c>
      <c r="AK153" s="62">
        <v>41</v>
      </c>
      <c r="AL153" s="62">
        <v>42</v>
      </c>
      <c r="AM153" s="62">
        <v>47</v>
      </c>
      <c r="AN153" s="62">
        <v>44</v>
      </c>
      <c r="AO153" s="62">
        <v>36</v>
      </c>
      <c r="AP153" s="62">
        <v>39</v>
      </c>
      <c r="AQ153" s="62">
        <v>45</v>
      </c>
      <c r="AR153" s="62">
        <v>39</v>
      </c>
      <c r="AS153" s="62">
        <v>36</v>
      </c>
      <c r="AT153" s="62">
        <v>31</v>
      </c>
      <c r="AU153" s="62">
        <v>32</v>
      </c>
      <c r="AV153" s="62">
        <v>24</v>
      </c>
      <c r="AW153" s="62">
        <v>32</v>
      </c>
      <c r="AX153" s="62">
        <v>23</v>
      </c>
      <c r="AY153" s="62">
        <v>23</v>
      </c>
      <c r="AZ153" s="62">
        <v>25</v>
      </c>
      <c r="BA153" s="62">
        <v>39</v>
      </c>
      <c r="BB153" s="62">
        <v>34</v>
      </c>
      <c r="BC153" s="62">
        <v>29</v>
      </c>
      <c r="BD153" s="62">
        <v>19</v>
      </c>
      <c r="BE153" s="62">
        <v>37</v>
      </c>
      <c r="BF153" s="62">
        <v>18</v>
      </c>
      <c r="BG153" s="62">
        <v>31</v>
      </c>
      <c r="BH153" s="62">
        <v>39</v>
      </c>
    </row>
    <row r="154" spans="2:60" hidden="1" x14ac:dyDescent="0.2">
      <c r="B154" s="59"/>
      <c r="C154" s="59" t="s">
        <v>670</v>
      </c>
      <c r="D154" s="59" t="s">
        <v>653</v>
      </c>
      <c r="E154" s="63">
        <v>33</v>
      </c>
      <c r="F154" s="63">
        <v>14</v>
      </c>
      <c r="G154" s="63">
        <v>20</v>
      </c>
      <c r="H154" s="63">
        <v>20</v>
      </c>
      <c r="I154" s="63">
        <v>25</v>
      </c>
      <c r="J154" s="63">
        <v>18</v>
      </c>
      <c r="K154" s="63">
        <v>22</v>
      </c>
      <c r="L154" s="63">
        <v>19</v>
      </c>
      <c r="M154" s="63">
        <v>19</v>
      </c>
      <c r="N154" s="63">
        <v>13</v>
      </c>
      <c r="O154" s="63">
        <v>25</v>
      </c>
      <c r="P154" s="63">
        <v>16</v>
      </c>
      <c r="Q154" s="63">
        <v>21</v>
      </c>
      <c r="R154" s="63">
        <v>22</v>
      </c>
      <c r="S154" s="63">
        <v>16</v>
      </c>
      <c r="T154" s="63">
        <v>17</v>
      </c>
      <c r="U154" s="63">
        <v>13</v>
      </c>
      <c r="V154" s="63">
        <v>12</v>
      </c>
      <c r="W154" s="63">
        <v>14</v>
      </c>
      <c r="X154" s="63">
        <v>19</v>
      </c>
      <c r="Y154" s="63">
        <v>10</v>
      </c>
      <c r="Z154" s="63">
        <v>15</v>
      </c>
      <c r="AA154" s="63">
        <v>11</v>
      </c>
      <c r="AB154" s="63">
        <v>14</v>
      </c>
      <c r="AC154" s="63">
        <v>18</v>
      </c>
      <c r="AD154" s="63">
        <v>17</v>
      </c>
      <c r="AE154" s="63">
        <v>21</v>
      </c>
      <c r="AF154" s="63">
        <v>16</v>
      </c>
      <c r="AG154" s="63">
        <v>23</v>
      </c>
      <c r="AH154" s="63">
        <v>9</v>
      </c>
      <c r="AI154" s="63">
        <v>17</v>
      </c>
      <c r="AJ154" s="63">
        <v>23</v>
      </c>
      <c r="AK154" s="63">
        <v>27</v>
      </c>
      <c r="AL154" s="63">
        <v>19</v>
      </c>
      <c r="AM154" s="63">
        <v>16</v>
      </c>
      <c r="AN154" s="63">
        <v>19</v>
      </c>
      <c r="AO154" s="63">
        <v>19</v>
      </c>
      <c r="AP154" s="63">
        <v>17</v>
      </c>
      <c r="AQ154" s="63">
        <v>21</v>
      </c>
      <c r="AR154" s="63">
        <v>18</v>
      </c>
      <c r="AS154" s="63">
        <v>24</v>
      </c>
      <c r="AT154" s="63">
        <v>17</v>
      </c>
      <c r="AU154" s="63">
        <v>14</v>
      </c>
      <c r="AV154" s="63">
        <v>10</v>
      </c>
      <c r="AW154" s="63">
        <v>16</v>
      </c>
      <c r="AX154" s="63">
        <v>17</v>
      </c>
      <c r="AY154" s="63">
        <v>16</v>
      </c>
      <c r="AZ154" s="63">
        <v>18</v>
      </c>
      <c r="BA154" s="63">
        <v>12</v>
      </c>
      <c r="BB154" s="63">
        <v>13</v>
      </c>
      <c r="BC154" s="63">
        <v>15</v>
      </c>
      <c r="BD154" s="63">
        <v>15</v>
      </c>
      <c r="BE154" s="63">
        <v>19</v>
      </c>
      <c r="BF154" s="63">
        <v>16</v>
      </c>
      <c r="BG154" s="63">
        <v>17</v>
      </c>
      <c r="BH154" s="63">
        <v>22</v>
      </c>
    </row>
    <row r="155" spans="2:60" hidden="1" x14ac:dyDescent="0.2">
      <c r="B155" s="57"/>
      <c r="C155" s="57" t="s">
        <v>670</v>
      </c>
      <c r="D155" s="57" t="s">
        <v>654</v>
      </c>
      <c r="E155" s="62"/>
      <c r="F155" s="62"/>
      <c r="G155" s="62">
        <v>1</v>
      </c>
      <c r="H155" s="62">
        <v>2</v>
      </c>
      <c r="I155" s="62"/>
      <c r="J155" s="62"/>
      <c r="K155" s="62"/>
      <c r="L155" s="62"/>
      <c r="M155" s="62"/>
      <c r="N155" s="62">
        <v>2</v>
      </c>
      <c r="O155" s="62">
        <v>2</v>
      </c>
      <c r="P155" s="62"/>
      <c r="Q155" s="62"/>
      <c r="R155" s="62"/>
      <c r="S155" s="62"/>
      <c r="T155" s="62"/>
      <c r="U155" s="62"/>
      <c r="V155" s="62">
        <v>1</v>
      </c>
      <c r="W155" s="62"/>
      <c r="X155" s="62">
        <v>1</v>
      </c>
      <c r="Y155" s="62"/>
      <c r="Z155" s="62"/>
      <c r="AA155" s="62">
        <v>1</v>
      </c>
      <c r="AB155" s="62"/>
      <c r="AC155" s="62"/>
      <c r="AD155" s="62"/>
      <c r="AE155" s="62"/>
      <c r="AF155" s="62"/>
      <c r="AG155" s="62">
        <v>1</v>
      </c>
      <c r="AH155" s="62"/>
      <c r="AI155" s="62"/>
      <c r="AJ155" s="62">
        <v>1</v>
      </c>
      <c r="AK155" s="62">
        <v>1</v>
      </c>
      <c r="AL155" s="62">
        <v>1</v>
      </c>
      <c r="AM155" s="62">
        <v>2</v>
      </c>
      <c r="AN155" s="62">
        <v>1</v>
      </c>
      <c r="AO155" s="62"/>
      <c r="AP155" s="62">
        <v>1</v>
      </c>
      <c r="AQ155" s="62"/>
      <c r="AR155" s="62">
        <v>1</v>
      </c>
      <c r="AS155" s="62"/>
      <c r="AT155" s="62"/>
      <c r="AU155" s="62"/>
      <c r="AV155" s="62">
        <v>1</v>
      </c>
      <c r="AW155" s="62">
        <v>2</v>
      </c>
      <c r="AX155" s="62">
        <v>1</v>
      </c>
      <c r="AY155" s="62"/>
      <c r="AZ155" s="62">
        <v>1</v>
      </c>
      <c r="BA155" s="62">
        <v>3</v>
      </c>
      <c r="BB155" s="62"/>
      <c r="BC155" s="62">
        <v>1</v>
      </c>
      <c r="BD155" s="62"/>
      <c r="BE155" s="62"/>
      <c r="BF155" s="62">
        <v>1</v>
      </c>
      <c r="BG155" s="62"/>
      <c r="BH155" s="62"/>
    </row>
    <row r="156" spans="2:60" hidden="1" x14ac:dyDescent="0.2">
      <c r="B156" s="59"/>
      <c r="C156" s="59" t="s">
        <v>670</v>
      </c>
      <c r="D156" s="59" t="s">
        <v>655</v>
      </c>
      <c r="E156" s="63">
        <v>1</v>
      </c>
      <c r="F156" s="63"/>
      <c r="G156" s="63"/>
      <c r="H156" s="63">
        <v>3</v>
      </c>
      <c r="I156" s="63"/>
      <c r="J156" s="63"/>
      <c r="K156" s="63"/>
      <c r="L156" s="63">
        <v>1</v>
      </c>
      <c r="M156" s="63">
        <v>2</v>
      </c>
      <c r="N156" s="63">
        <v>2</v>
      </c>
      <c r="O156" s="63">
        <v>1</v>
      </c>
      <c r="P156" s="63">
        <v>1</v>
      </c>
      <c r="Q156" s="63"/>
      <c r="R156" s="63"/>
      <c r="S156" s="63"/>
      <c r="T156" s="63">
        <v>2</v>
      </c>
      <c r="U156" s="63"/>
      <c r="V156" s="63"/>
      <c r="W156" s="63"/>
      <c r="X156" s="63">
        <v>2</v>
      </c>
      <c r="Y156" s="63"/>
      <c r="Z156" s="63">
        <v>2</v>
      </c>
      <c r="AA156" s="63">
        <v>4</v>
      </c>
      <c r="AB156" s="63">
        <v>2</v>
      </c>
      <c r="AC156" s="63">
        <v>2</v>
      </c>
      <c r="AD156" s="63"/>
      <c r="AE156" s="63">
        <v>1</v>
      </c>
      <c r="AF156" s="63"/>
      <c r="AG156" s="63">
        <v>1</v>
      </c>
      <c r="AH156" s="63">
        <v>1</v>
      </c>
      <c r="AI156" s="63">
        <v>1</v>
      </c>
      <c r="AJ156" s="63">
        <v>3</v>
      </c>
      <c r="AK156" s="63">
        <v>1</v>
      </c>
      <c r="AL156" s="63"/>
      <c r="AM156" s="63"/>
      <c r="AN156" s="63">
        <v>1</v>
      </c>
      <c r="AO156" s="63">
        <v>2</v>
      </c>
      <c r="AP156" s="63">
        <v>2</v>
      </c>
      <c r="AQ156" s="63">
        <v>2</v>
      </c>
      <c r="AR156" s="63">
        <v>1</v>
      </c>
      <c r="AS156" s="63">
        <v>3</v>
      </c>
      <c r="AT156" s="63">
        <v>1</v>
      </c>
      <c r="AU156" s="63">
        <v>1</v>
      </c>
      <c r="AV156" s="63"/>
      <c r="AW156" s="63"/>
      <c r="AX156" s="63">
        <v>1</v>
      </c>
      <c r="AY156" s="63">
        <v>2</v>
      </c>
      <c r="AZ156" s="63">
        <v>2</v>
      </c>
      <c r="BA156" s="63"/>
      <c r="BB156" s="63"/>
      <c r="BC156" s="63"/>
      <c r="BD156" s="63">
        <v>1</v>
      </c>
      <c r="BE156" s="63"/>
      <c r="BF156" s="63"/>
      <c r="BG156" s="63">
        <v>2</v>
      </c>
      <c r="BH156" s="63">
        <v>1</v>
      </c>
    </row>
    <row r="157" spans="2:60" hidden="1" x14ac:dyDescent="0.2">
      <c r="B157" s="57"/>
      <c r="C157" s="57" t="s">
        <v>670</v>
      </c>
      <c r="D157" s="57" t="s">
        <v>699</v>
      </c>
      <c r="E157" s="62">
        <v>11</v>
      </c>
      <c r="F157" s="62">
        <v>12</v>
      </c>
      <c r="G157" s="62">
        <v>10</v>
      </c>
      <c r="H157" s="62">
        <v>15</v>
      </c>
      <c r="I157" s="62">
        <v>13</v>
      </c>
      <c r="J157" s="62">
        <v>6</v>
      </c>
      <c r="K157" s="62">
        <v>7</v>
      </c>
      <c r="L157" s="62">
        <v>9</v>
      </c>
      <c r="M157" s="62">
        <v>11</v>
      </c>
      <c r="N157" s="62">
        <v>2</v>
      </c>
      <c r="O157" s="62">
        <v>9</v>
      </c>
      <c r="P157" s="62">
        <v>8</v>
      </c>
      <c r="Q157" s="62">
        <v>8</v>
      </c>
      <c r="R157" s="62">
        <v>8</v>
      </c>
      <c r="S157" s="62">
        <v>13</v>
      </c>
      <c r="T157" s="62">
        <v>7</v>
      </c>
      <c r="U157" s="62">
        <v>12</v>
      </c>
      <c r="V157" s="62">
        <v>5</v>
      </c>
      <c r="W157" s="62">
        <v>14</v>
      </c>
      <c r="X157" s="62">
        <v>14</v>
      </c>
      <c r="Y157" s="62">
        <v>8</v>
      </c>
      <c r="Z157" s="62">
        <v>3</v>
      </c>
      <c r="AA157" s="62">
        <v>5</v>
      </c>
      <c r="AB157" s="62">
        <v>6</v>
      </c>
      <c r="AC157" s="62">
        <v>5</v>
      </c>
      <c r="AD157" s="62">
        <v>11</v>
      </c>
      <c r="AE157" s="62">
        <v>4</v>
      </c>
      <c r="AF157" s="62">
        <v>9</v>
      </c>
      <c r="AG157" s="62">
        <v>5</v>
      </c>
      <c r="AH157" s="62">
        <v>6</v>
      </c>
      <c r="AI157" s="62">
        <v>6</v>
      </c>
      <c r="AJ157" s="62">
        <v>5</v>
      </c>
      <c r="AK157" s="62">
        <v>8</v>
      </c>
      <c r="AL157" s="62">
        <v>9</v>
      </c>
      <c r="AM157" s="62">
        <v>11</v>
      </c>
      <c r="AN157" s="62">
        <v>3</v>
      </c>
      <c r="AO157" s="62">
        <v>8</v>
      </c>
      <c r="AP157" s="62">
        <v>9</v>
      </c>
      <c r="AQ157" s="62">
        <v>5</v>
      </c>
      <c r="AR157" s="62">
        <v>4</v>
      </c>
      <c r="AS157" s="62">
        <v>1</v>
      </c>
      <c r="AT157" s="62">
        <v>5</v>
      </c>
      <c r="AU157" s="62">
        <v>7</v>
      </c>
      <c r="AV157" s="62">
        <v>1</v>
      </c>
      <c r="AW157" s="62">
        <v>2</v>
      </c>
      <c r="AX157" s="62">
        <v>4</v>
      </c>
      <c r="AY157" s="62">
        <v>4</v>
      </c>
      <c r="AZ157" s="62">
        <v>3</v>
      </c>
      <c r="BA157" s="62">
        <v>3</v>
      </c>
      <c r="BB157" s="62">
        <v>6</v>
      </c>
      <c r="BC157" s="62">
        <v>3</v>
      </c>
      <c r="BD157" s="62">
        <v>2</v>
      </c>
      <c r="BE157" s="62">
        <v>2</v>
      </c>
      <c r="BF157" s="62">
        <v>4</v>
      </c>
      <c r="BG157" s="62">
        <v>2</v>
      </c>
      <c r="BH157" s="62">
        <v>1</v>
      </c>
    </row>
    <row r="158" spans="2:60" hidden="1" x14ac:dyDescent="0.2">
      <c r="B158" s="59"/>
      <c r="C158" s="59" t="s">
        <v>670</v>
      </c>
      <c r="D158" s="59" t="s">
        <v>656</v>
      </c>
      <c r="E158" s="63">
        <v>121</v>
      </c>
      <c r="F158" s="63">
        <v>86</v>
      </c>
      <c r="G158" s="63">
        <v>96</v>
      </c>
      <c r="H158" s="63">
        <v>106</v>
      </c>
      <c r="I158" s="63">
        <v>141</v>
      </c>
      <c r="J158" s="63">
        <v>108</v>
      </c>
      <c r="K158" s="63">
        <v>115</v>
      </c>
      <c r="L158" s="63">
        <v>106</v>
      </c>
      <c r="M158" s="63">
        <v>128</v>
      </c>
      <c r="N158" s="63">
        <v>93</v>
      </c>
      <c r="O158" s="63">
        <v>107</v>
      </c>
      <c r="P158" s="63">
        <v>105</v>
      </c>
      <c r="Q158" s="63">
        <v>125</v>
      </c>
      <c r="R158" s="63">
        <v>97</v>
      </c>
      <c r="S158" s="63">
        <v>95</v>
      </c>
      <c r="T158" s="63">
        <v>88</v>
      </c>
      <c r="U158" s="63">
        <v>96</v>
      </c>
      <c r="V158" s="63">
        <v>104</v>
      </c>
      <c r="W158" s="63">
        <v>91</v>
      </c>
      <c r="X158" s="63">
        <v>110</v>
      </c>
      <c r="Y158" s="63">
        <v>117</v>
      </c>
      <c r="Z158" s="63">
        <v>112</v>
      </c>
      <c r="AA158" s="63">
        <v>109</v>
      </c>
      <c r="AB158" s="63">
        <v>99</v>
      </c>
      <c r="AC158" s="63">
        <v>110</v>
      </c>
      <c r="AD158" s="63">
        <v>99</v>
      </c>
      <c r="AE158" s="63">
        <v>95</v>
      </c>
      <c r="AF158" s="63">
        <v>109</v>
      </c>
      <c r="AG158" s="63">
        <v>109</v>
      </c>
      <c r="AH158" s="63">
        <v>84</v>
      </c>
      <c r="AI158" s="63">
        <v>96</v>
      </c>
      <c r="AJ158" s="63">
        <v>121</v>
      </c>
      <c r="AK158" s="63">
        <v>128</v>
      </c>
      <c r="AL158" s="63">
        <v>116</v>
      </c>
      <c r="AM158" s="63">
        <v>111</v>
      </c>
      <c r="AN158" s="63">
        <v>109</v>
      </c>
      <c r="AO158" s="63">
        <v>110</v>
      </c>
      <c r="AP158" s="63">
        <v>113</v>
      </c>
      <c r="AQ158" s="63">
        <v>121</v>
      </c>
      <c r="AR158" s="63">
        <v>107</v>
      </c>
      <c r="AS158" s="63">
        <v>101</v>
      </c>
      <c r="AT158" s="63">
        <v>108</v>
      </c>
      <c r="AU158" s="63">
        <v>89</v>
      </c>
      <c r="AV158" s="63">
        <v>61</v>
      </c>
      <c r="AW158" s="63">
        <v>79</v>
      </c>
      <c r="AX158" s="63">
        <v>81</v>
      </c>
      <c r="AY158" s="63">
        <v>76</v>
      </c>
      <c r="AZ158" s="63">
        <v>74</v>
      </c>
      <c r="BA158" s="63">
        <v>97</v>
      </c>
      <c r="BB158" s="63">
        <v>77</v>
      </c>
      <c r="BC158" s="63">
        <v>73</v>
      </c>
      <c r="BD158" s="63">
        <v>70</v>
      </c>
      <c r="BE158" s="63">
        <v>92</v>
      </c>
      <c r="BF158" s="63">
        <v>76</v>
      </c>
      <c r="BG158" s="63">
        <v>91</v>
      </c>
      <c r="BH158" s="63">
        <v>88</v>
      </c>
    </row>
    <row r="159" spans="2:60" hidden="1" x14ac:dyDescent="0.2">
      <c r="B159" s="57"/>
      <c r="C159" s="57" t="s">
        <v>671</v>
      </c>
      <c r="D159" s="57" t="s">
        <v>648</v>
      </c>
      <c r="E159" s="62">
        <v>19</v>
      </c>
      <c r="F159" s="62">
        <v>21</v>
      </c>
      <c r="G159" s="62">
        <v>20</v>
      </c>
      <c r="H159" s="62">
        <v>29</v>
      </c>
      <c r="I159" s="62">
        <v>22</v>
      </c>
      <c r="J159" s="62">
        <v>20</v>
      </c>
      <c r="K159" s="62">
        <v>20</v>
      </c>
      <c r="L159" s="62">
        <v>22</v>
      </c>
      <c r="M159" s="62">
        <v>29</v>
      </c>
      <c r="N159" s="62">
        <v>20</v>
      </c>
      <c r="O159" s="62">
        <v>27</v>
      </c>
      <c r="P159" s="62">
        <v>30</v>
      </c>
      <c r="Q159" s="62">
        <v>29</v>
      </c>
      <c r="R159" s="62">
        <v>27</v>
      </c>
      <c r="S159" s="62">
        <v>27</v>
      </c>
      <c r="T159" s="62">
        <v>32</v>
      </c>
      <c r="U159" s="62">
        <v>35</v>
      </c>
      <c r="V159" s="62">
        <v>32</v>
      </c>
      <c r="W159" s="62">
        <v>29</v>
      </c>
      <c r="X159" s="62">
        <v>21</v>
      </c>
      <c r="Y159" s="62">
        <v>35</v>
      </c>
      <c r="Z159" s="62">
        <v>33</v>
      </c>
      <c r="AA159" s="62">
        <v>40</v>
      </c>
      <c r="AB159" s="62">
        <v>23</v>
      </c>
      <c r="AC159" s="62">
        <v>39</v>
      </c>
      <c r="AD159" s="62">
        <v>27</v>
      </c>
      <c r="AE159" s="62">
        <v>32</v>
      </c>
      <c r="AF159" s="62">
        <v>36</v>
      </c>
      <c r="AG159" s="62">
        <v>36</v>
      </c>
      <c r="AH159" s="62">
        <v>40</v>
      </c>
      <c r="AI159" s="62">
        <v>44</v>
      </c>
      <c r="AJ159" s="62">
        <v>43</v>
      </c>
      <c r="AK159" s="62">
        <v>43</v>
      </c>
      <c r="AL159" s="62">
        <v>41</v>
      </c>
      <c r="AM159" s="62">
        <v>48</v>
      </c>
      <c r="AN159" s="62">
        <v>40</v>
      </c>
      <c r="AO159" s="62">
        <v>52</v>
      </c>
      <c r="AP159" s="62">
        <v>61</v>
      </c>
      <c r="AQ159" s="62">
        <v>40</v>
      </c>
      <c r="AR159" s="62">
        <v>46</v>
      </c>
      <c r="AS159" s="62">
        <v>35</v>
      </c>
      <c r="AT159" s="62">
        <v>36</v>
      </c>
      <c r="AU159" s="62">
        <v>34</v>
      </c>
      <c r="AV159" s="62">
        <v>24</v>
      </c>
      <c r="AW159" s="62">
        <v>17</v>
      </c>
      <c r="AX159" s="62">
        <v>24</v>
      </c>
      <c r="AY159" s="62">
        <v>22</v>
      </c>
      <c r="AZ159" s="62">
        <v>20</v>
      </c>
      <c r="BA159" s="62">
        <v>20</v>
      </c>
      <c r="BB159" s="62">
        <v>25</v>
      </c>
      <c r="BC159" s="62">
        <v>37</v>
      </c>
      <c r="BD159" s="62">
        <v>37</v>
      </c>
      <c r="BE159" s="62">
        <v>38</v>
      </c>
      <c r="BF159" s="62">
        <v>19</v>
      </c>
      <c r="BG159" s="62">
        <v>27</v>
      </c>
      <c r="BH159" s="62">
        <v>21</v>
      </c>
    </row>
    <row r="160" spans="2:60" hidden="1" x14ac:dyDescent="0.2">
      <c r="B160" s="59"/>
      <c r="C160" s="59" t="s">
        <v>671</v>
      </c>
      <c r="D160" s="59" t="s">
        <v>649</v>
      </c>
      <c r="E160" s="63">
        <v>68</v>
      </c>
      <c r="F160" s="63">
        <v>46</v>
      </c>
      <c r="G160" s="63">
        <v>48</v>
      </c>
      <c r="H160" s="63">
        <v>50</v>
      </c>
      <c r="I160" s="63">
        <v>45</v>
      </c>
      <c r="J160" s="63">
        <v>50</v>
      </c>
      <c r="K160" s="63">
        <v>59</v>
      </c>
      <c r="L160" s="63">
        <v>66</v>
      </c>
      <c r="M160" s="63">
        <v>69</v>
      </c>
      <c r="N160" s="63">
        <v>57</v>
      </c>
      <c r="O160" s="63">
        <v>66</v>
      </c>
      <c r="P160" s="63">
        <v>47</v>
      </c>
      <c r="Q160" s="63">
        <v>42</v>
      </c>
      <c r="R160" s="63">
        <v>42</v>
      </c>
      <c r="S160" s="63">
        <v>44</v>
      </c>
      <c r="T160" s="63">
        <v>48</v>
      </c>
      <c r="U160" s="63">
        <v>42</v>
      </c>
      <c r="V160" s="63">
        <v>46</v>
      </c>
      <c r="W160" s="63">
        <v>51</v>
      </c>
      <c r="X160" s="63">
        <v>45</v>
      </c>
      <c r="Y160" s="63">
        <v>50</v>
      </c>
      <c r="Z160" s="63">
        <v>43</v>
      </c>
      <c r="AA160" s="63">
        <v>41</v>
      </c>
      <c r="AB160" s="63">
        <v>50</v>
      </c>
      <c r="AC160" s="63">
        <v>48</v>
      </c>
      <c r="AD160" s="63">
        <v>47</v>
      </c>
      <c r="AE160" s="63">
        <v>49</v>
      </c>
      <c r="AF160" s="63">
        <v>46</v>
      </c>
      <c r="AG160" s="63">
        <v>46</v>
      </c>
      <c r="AH160" s="63">
        <v>43</v>
      </c>
      <c r="AI160" s="63">
        <v>34</v>
      </c>
      <c r="AJ160" s="63">
        <v>47</v>
      </c>
      <c r="AK160" s="63">
        <v>49</v>
      </c>
      <c r="AL160" s="63">
        <v>46</v>
      </c>
      <c r="AM160" s="63">
        <v>42</v>
      </c>
      <c r="AN160" s="63">
        <v>33</v>
      </c>
      <c r="AO160" s="63">
        <v>43</v>
      </c>
      <c r="AP160" s="63">
        <v>41</v>
      </c>
      <c r="AQ160" s="63">
        <v>30</v>
      </c>
      <c r="AR160" s="63">
        <v>34</v>
      </c>
      <c r="AS160" s="63">
        <v>27</v>
      </c>
      <c r="AT160" s="63">
        <v>40</v>
      </c>
      <c r="AU160" s="63">
        <v>37</v>
      </c>
      <c r="AV160" s="63">
        <v>28</v>
      </c>
      <c r="AW160" s="63">
        <v>32</v>
      </c>
      <c r="AX160" s="63">
        <v>26</v>
      </c>
      <c r="AY160" s="63">
        <v>44</v>
      </c>
      <c r="AZ160" s="63">
        <v>36</v>
      </c>
      <c r="BA160" s="63">
        <v>30</v>
      </c>
      <c r="BB160" s="63">
        <v>34</v>
      </c>
      <c r="BC160" s="63">
        <v>46</v>
      </c>
      <c r="BD160" s="63">
        <v>51</v>
      </c>
      <c r="BE160" s="63">
        <v>31</v>
      </c>
      <c r="BF160" s="63">
        <v>37</v>
      </c>
      <c r="BG160" s="63">
        <v>40</v>
      </c>
      <c r="BH160" s="63">
        <v>39</v>
      </c>
    </row>
    <row r="161" spans="2:60" hidden="1" x14ac:dyDescent="0.2">
      <c r="B161" s="57"/>
      <c r="C161" s="57" t="s">
        <v>671</v>
      </c>
      <c r="D161" s="57" t="s">
        <v>650</v>
      </c>
      <c r="E161" s="62">
        <v>16</v>
      </c>
      <c r="F161" s="62">
        <v>20</v>
      </c>
      <c r="G161" s="62">
        <v>12</v>
      </c>
      <c r="H161" s="62">
        <v>18</v>
      </c>
      <c r="I161" s="62">
        <v>10</v>
      </c>
      <c r="J161" s="62">
        <v>12</v>
      </c>
      <c r="K161" s="62">
        <v>15</v>
      </c>
      <c r="L161" s="62">
        <v>16</v>
      </c>
      <c r="M161" s="62">
        <v>16</v>
      </c>
      <c r="N161" s="62">
        <v>14</v>
      </c>
      <c r="O161" s="62">
        <v>14</v>
      </c>
      <c r="P161" s="62">
        <v>10</v>
      </c>
      <c r="Q161" s="62">
        <v>10</v>
      </c>
      <c r="R161" s="62">
        <v>14</v>
      </c>
      <c r="S161" s="62">
        <v>20</v>
      </c>
      <c r="T161" s="62">
        <v>13</v>
      </c>
      <c r="U161" s="62">
        <v>17</v>
      </c>
      <c r="V161" s="62">
        <v>25</v>
      </c>
      <c r="W161" s="62">
        <v>15</v>
      </c>
      <c r="X161" s="62">
        <v>14</v>
      </c>
      <c r="Y161" s="62">
        <v>12</v>
      </c>
      <c r="Z161" s="62">
        <v>19</v>
      </c>
      <c r="AA161" s="62">
        <v>16</v>
      </c>
      <c r="AB161" s="62">
        <v>24</v>
      </c>
      <c r="AC161" s="62">
        <v>23</v>
      </c>
      <c r="AD161" s="62">
        <v>14</v>
      </c>
      <c r="AE161" s="62">
        <v>20</v>
      </c>
      <c r="AF161" s="62">
        <v>12</v>
      </c>
      <c r="AG161" s="62">
        <v>19</v>
      </c>
      <c r="AH161" s="62">
        <v>14</v>
      </c>
      <c r="AI161" s="62">
        <v>9</v>
      </c>
      <c r="AJ161" s="62">
        <v>24</v>
      </c>
      <c r="AK161" s="62">
        <v>15</v>
      </c>
      <c r="AL161" s="62">
        <v>21</v>
      </c>
      <c r="AM161" s="62">
        <v>6</v>
      </c>
      <c r="AN161" s="62">
        <v>10</v>
      </c>
      <c r="AO161" s="62">
        <v>10</v>
      </c>
      <c r="AP161" s="62">
        <v>21</v>
      </c>
      <c r="AQ161" s="62">
        <v>11</v>
      </c>
      <c r="AR161" s="62">
        <v>10</v>
      </c>
      <c r="AS161" s="62">
        <v>9</v>
      </c>
      <c r="AT161" s="62">
        <v>14</v>
      </c>
      <c r="AU161" s="62">
        <v>7</v>
      </c>
      <c r="AV161" s="62">
        <v>14</v>
      </c>
      <c r="AW161" s="62">
        <v>10</v>
      </c>
      <c r="AX161" s="62">
        <v>7</v>
      </c>
      <c r="AY161" s="62">
        <v>14</v>
      </c>
      <c r="AZ161" s="62">
        <v>10</v>
      </c>
      <c r="BA161" s="62">
        <v>17</v>
      </c>
      <c r="BB161" s="62">
        <v>13</v>
      </c>
      <c r="BC161" s="62">
        <v>19</v>
      </c>
      <c r="BD161" s="62">
        <v>14</v>
      </c>
      <c r="BE161" s="62">
        <v>14</v>
      </c>
      <c r="BF161" s="62">
        <v>16</v>
      </c>
      <c r="BG161" s="62">
        <v>19</v>
      </c>
      <c r="BH161" s="62">
        <v>17</v>
      </c>
    </row>
    <row r="162" spans="2:60" hidden="1" x14ac:dyDescent="0.2">
      <c r="B162" s="59"/>
      <c r="C162" s="59" t="s">
        <v>671</v>
      </c>
      <c r="D162" s="59" t="s">
        <v>651</v>
      </c>
      <c r="E162" s="63">
        <v>39</v>
      </c>
      <c r="F162" s="63">
        <v>30</v>
      </c>
      <c r="G162" s="63">
        <v>36</v>
      </c>
      <c r="H162" s="63">
        <v>30</v>
      </c>
      <c r="I162" s="63">
        <v>41</v>
      </c>
      <c r="J162" s="63">
        <v>31</v>
      </c>
      <c r="K162" s="63">
        <v>41</v>
      </c>
      <c r="L162" s="63">
        <v>31</v>
      </c>
      <c r="M162" s="63">
        <v>38</v>
      </c>
      <c r="N162" s="63">
        <v>29</v>
      </c>
      <c r="O162" s="63">
        <v>35</v>
      </c>
      <c r="P162" s="63">
        <v>34</v>
      </c>
      <c r="Q162" s="63">
        <v>32</v>
      </c>
      <c r="R162" s="63">
        <v>17</v>
      </c>
      <c r="S162" s="63">
        <v>23</v>
      </c>
      <c r="T162" s="63">
        <v>23</v>
      </c>
      <c r="U162" s="63">
        <v>24</v>
      </c>
      <c r="V162" s="63">
        <v>27</v>
      </c>
      <c r="W162" s="63">
        <v>32</v>
      </c>
      <c r="X162" s="63">
        <v>29</v>
      </c>
      <c r="Y162" s="63">
        <v>30</v>
      </c>
      <c r="Z162" s="63">
        <v>26</v>
      </c>
      <c r="AA162" s="63">
        <v>28</v>
      </c>
      <c r="AB162" s="63">
        <v>28</v>
      </c>
      <c r="AC162" s="63">
        <v>21</v>
      </c>
      <c r="AD162" s="63">
        <v>30</v>
      </c>
      <c r="AE162" s="63">
        <v>34</v>
      </c>
      <c r="AF162" s="63">
        <v>36</v>
      </c>
      <c r="AG162" s="63">
        <v>26</v>
      </c>
      <c r="AH162" s="63">
        <v>21</v>
      </c>
      <c r="AI162" s="63">
        <v>31</v>
      </c>
      <c r="AJ162" s="63">
        <v>33</v>
      </c>
      <c r="AK162" s="63">
        <v>19</v>
      </c>
      <c r="AL162" s="63">
        <v>37</v>
      </c>
      <c r="AM162" s="63">
        <v>32</v>
      </c>
      <c r="AN162" s="63">
        <v>29</v>
      </c>
      <c r="AO162" s="63">
        <v>30</v>
      </c>
      <c r="AP162" s="63">
        <v>29</v>
      </c>
      <c r="AQ162" s="63">
        <v>18</v>
      </c>
      <c r="AR162" s="63">
        <v>17</v>
      </c>
      <c r="AS162" s="63">
        <v>33</v>
      </c>
      <c r="AT162" s="63">
        <v>29</v>
      </c>
      <c r="AU162" s="63">
        <v>17</v>
      </c>
      <c r="AV162" s="63">
        <v>15</v>
      </c>
      <c r="AW162" s="63">
        <v>21</v>
      </c>
      <c r="AX162" s="63">
        <v>16</v>
      </c>
      <c r="AY162" s="63">
        <v>19</v>
      </c>
      <c r="AZ162" s="63">
        <v>24</v>
      </c>
      <c r="BA162" s="63">
        <v>22</v>
      </c>
      <c r="BB162" s="63">
        <v>12</v>
      </c>
      <c r="BC162" s="63">
        <v>21</v>
      </c>
      <c r="BD162" s="63">
        <v>28</v>
      </c>
      <c r="BE162" s="63">
        <v>33</v>
      </c>
      <c r="BF162" s="63">
        <v>22</v>
      </c>
      <c r="BG162" s="63">
        <v>20</v>
      </c>
      <c r="BH162" s="63">
        <v>23</v>
      </c>
    </row>
    <row r="163" spans="2:60" hidden="1" x14ac:dyDescent="0.2">
      <c r="B163" s="57"/>
      <c r="C163" s="57" t="s">
        <v>671</v>
      </c>
      <c r="D163" s="57" t="s">
        <v>652</v>
      </c>
      <c r="E163" s="62">
        <v>195</v>
      </c>
      <c r="F163" s="62">
        <v>205</v>
      </c>
      <c r="G163" s="62">
        <v>198</v>
      </c>
      <c r="H163" s="62">
        <v>167</v>
      </c>
      <c r="I163" s="62">
        <v>256</v>
      </c>
      <c r="J163" s="62">
        <v>194</v>
      </c>
      <c r="K163" s="62">
        <v>171</v>
      </c>
      <c r="L163" s="62">
        <v>178</v>
      </c>
      <c r="M163" s="62">
        <v>207</v>
      </c>
      <c r="N163" s="62">
        <v>192</v>
      </c>
      <c r="O163" s="62">
        <v>164</v>
      </c>
      <c r="P163" s="62">
        <v>149</v>
      </c>
      <c r="Q163" s="62">
        <v>160</v>
      </c>
      <c r="R163" s="62">
        <v>159</v>
      </c>
      <c r="S163" s="62">
        <v>163</v>
      </c>
      <c r="T163" s="62">
        <v>141</v>
      </c>
      <c r="U163" s="62">
        <v>153</v>
      </c>
      <c r="V163" s="62">
        <v>155</v>
      </c>
      <c r="W163" s="62">
        <v>155</v>
      </c>
      <c r="X163" s="62">
        <v>149</v>
      </c>
      <c r="Y163" s="62">
        <v>147</v>
      </c>
      <c r="Z163" s="62">
        <v>140</v>
      </c>
      <c r="AA163" s="62">
        <v>138</v>
      </c>
      <c r="AB163" s="62">
        <v>129</v>
      </c>
      <c r="AC163" s="62">
        <v>122</v>
      </c>
      <c r="AD163" s="62">
        <v>122</v>
      </c>
      <c r="AE163" s="62">
        <v>135</v>
      </c>
      <c r="AF163" s="62">
        <v>120</v>
      </c>
      <c r="AG163" s="62">
        <v>142</v>
      </c>
      <c r="AH163" s="62">
        <v>109</v>
      </c>
      <c r="AI163" s="62">
        <v>108</v>
      </c>
      <c r="AJ163" s="62">
        <v>152</v>
      </c>
      <c r="AK163" s="62">
        <v>110</v>
      </c>
      <c r="AL163" s="62">
        <v>151</v>
      </c>
      <c r="AM163" s="62">
        <v>108</v>
      </c>
      <c r="AN163" s="62">
        <v>85</v>
      </c>
      <c r="AO163" s="62">
        <v>104</v>
      </c>
      <c r="AP163" s="62">
        <v>107</v>
      </c>
      <c r="AQ163" s="62">
        <v>120</v>
      </c>
      <c r="AR163" s="62">
        <v>106</v>
      </c>
      <c r="AS163" s="62">
        <v>99</v>
      </c>
      <c r="AT163" s="62">
        <v>107</v>
      </c>
      <c r="AU163" s="62">
        <v>94</v>
      </c>
      <c r="AV163" s="62">
        <v>95</v>
      </c>
      <c r="AW163" s="62">
        <v>95</v>
      </c>
      <c r="AX163" s="62">
        <v>93</v>
      </c>
      <c r="AY163" s="62">
        <v>120</v>
      </c>
      <c r="AZ163" s="62">
        <v>122</v>
      </c>
      <c r="BA163" s="62">
        <v>106</v>
      </c>
      <c r="BB163" s="62">
        <v>108</v>
      </c>
      <c r="BC163" s="62">
        <v>116</v>
      </c>
      <c r="BD163" s="62">
        <v>96</v>
      </c>
      <c r="BE163" s="62">
        <v>117</v>
      </c>
      <c r="BF163" s="62">
        <v>105</v>
      </c>
      <c r="BG163" s="62">
        <v>125</v>
      </c>
      <c r="BH163" s="62">
        <v>97</v>
      </c>
    </row>
    <row r="164" spans="2:60" hidden="1" x14ac:dyDescent="0.2">
      <c r="B164" s="59"/>
      <c r="C164" s="59" t="s">
        <v>671</v>
      </c>
      <c r="D164" s="59" t="s">
        <v>653</v>
      </c>
      <c r="E164" s="63">
        <v>155</v>
      </c>
      <c r="F164" s="63">
        <v>109</v>
      </c>
      <c r="G164" s="63">
        <v>127</v>
      </c>
      <c r="H164" s="63">
        <v>129</v>
      </c>
      <c r="I164" s="63">
        <v>123</v>
      </c>
      <c r="J164" s="63">
        <v>105</v>
      </c>
      <c r="K164" s="63">
        <v>121</v>
      </c>
      <c r="L164" s="63">
        <v>121</v>
      </c>
      <c r="M164" s="63">
        <v>124</v>
      </c>
      <c r="N164" s="63">
        <v>121</v>
      </c>
      <c r="O164" s="63">
        <v>124</v>
      </c>
      <c r="P164" s="63">
        <v>99</v>
      </c>
      <c r="Q164" s="63">
        <v>110</v>
      </c>
      <c r="R164" s="63">
        <v>105</v>
      </c>
      <c r="S164" s="63">
        <v>115</v>
      </c>
      <c r="T164" s="63">
        <v>95</v>
      </c>
      <c r="U164" s="63">
        <v>92</v>
      </c>
      <c r="V164" s="63">
        <v>98</v>
      </c>
      <c r="W164" s="63">
        <v>102</v>
      </c>
      <c r="X164" s="63">
        <v>108</v>
      </c>
      <c r="Y164" s="63">
        <v>100</v>
      </c>
      <c r="Z164" s="63">
        <v>95</v>
      </c>
      <c r="AA164" s="63">
        <v>111</v>
      </c>
      <c r="AB164" s="63">
        <v>120</v>
      </c>
      <c r="AC164" s="63">
        <v>117</v>
      </c>
      <c r="AD164" s="63">
        <v>96</v>
      </c>
      <c r="AE164" s="63">
        <v>97</v>
      </c>
      <c r="AF164" s="63">
        <v>113</v>
      </c>
      <c r="AG164" s="63">
        <v>96</v>
      </c>
      <c r="AH164" s="63">
        <v>93</v>
      </c>
      <c r="AI164" s="63">
        <v>94</v>
      </c>
      <c r="AJ164" s="63">
        <v>92</v>
      </c>
      <c r="AK164" s="63">
        <v>96</v>
      </c>
      <c r="AL164" s="63">
        <v>96</v>
      </c>
      <c r="AM164" s="63">
        <v>79</v>
      </c>
      <c r="AN164" s="63">
        <v>81</v>
      </c>
      <c r="AO164" s="63">
        <v>69</v>
      </c>
      <c r="AP164" s="63">
        <v>82</v>
      </c>
      <c r="AQ164" s="63">
        <v>83</v>
      </c>
      <c r="AR164" s="63">
        <v>83</v>
      </c>
      <c r="AS164" s="63">
        <v>71</v>
      </c>
      <c r="AT164" s="63">
        <v>75</v>
      </c>
      <c r="AU164" s="63">
        <v>81</v>
      </c>
      <c r="AV164" s="63">
        <v>69</v>
      </c>
      <c r="AW164" s="63">
        <v>83</v>
      </c>
      <c r="AX164" s="63">
        <v>83</v>
      </c>
      <c r="AY164" s="63">
        <v>97</v>
      </c>
      <c r="AZ164" s="63">
        <v>91</v>
      </c>
      <c r="BA164" s="63">
        <v>106</v>
      </c>
      <c r="BB164" s="63">
        <v>140</v>
      </c>
      <c r="BC164" s="63">
        <v>105</v>
      </c>
      <c r="BD164" s="63">
        <v>102</v>
      </c>
      <c r="BE164" s="63">
        <v>100</v>
      </c>
      <c r="BF164" s="63">
        <v>111</v>
      </c>
      <c r="BG164" s="63">
        <v>120</v>
      </c>
      <c r="BH164" s="63">
        <v>117</v>
      </c>
    </row>
    <row r="165" spans="2:60" hidden="1" x14ac:dyDescent="0.2">
      <c r="B165" s="57"/>
      <c r="C165" s="57" t="s">
        <v>671</v>
      </c>
      <c r="D165" s="57" t="s">
        <v>654</v>
      </c>
      <c r="E165" s="62">
        <v>8</v>
      </c>
      <c r="F165" s="62">
        <v>4</v>
      </c>
      <c r="G165" s="62">
        <v>6</v>
      </c>
      <c r="H165" s="62">
        <v>6</v>
      </c>
      <c r="I165" s="62">
        <v>7</v>
      </c>
      <c r="J165" s="62">
        <v>6</v>
      </c>
      <c r="K165" s="62">
        <v>7</v>
      </c>
      <c r="L165" s="62">
        <v>3</v>
      </c>
      <c r="M165" s="62">
        <v>12</v>
      </c>
      <c r="N165" s="62">
        <v>4</v>
      </c>
      <c r="O165" s="62">
        <v>6</v>
      </c>
      <c r="P165" s="62">
        <v>4</v>
      </c>
      <c r="Q165" s="62">
        <v>6</v>
      </c>
      <c r="R165" s="62">
        <v>6</v>
      </c>
      <c r="S165" s="62">
        <v>7</v>
      </c>
      <c r="T165" s="62">
        <v>5</v>
      </c>
      <c r="U165" s="62">
        <v>15</v>
      </c>
      <c r="V165" s="62">
        <v>10</v>
      </c>
      <c r="W165" s="62">
        <v>5</v>
      </c>
      <c r="X165" s="62">
        <v>9</v>
      </c>
      <c r="Y165" s="62">
        <v>11</v>
      </c>
      <c r="Z165" s="62">
        <v>3</v>
      </c>
      <c r="AA165" s="62">
        <v>5</v>
      </c>
      <c r="AB165" s="62">
        <v>6</v>
      </c>
      <c r="AC165" s="62">
        <v>12</v>
      </c>
      <c r="AD165" s="62">
        <v>5</v>
      </c>
      <c r="AE165" s="62">
        <v>8</v>
      </c>
      <c r="AF165" s="62">
        <v>5</v>
      </c>
      <c r="AG165" s="62">
        <v>8</v>
      </c>
      <c r="AH165" s="62">
        <v>3</v>
      </c>
      <c r="AI165" s="62">
        <v>5</v>
      </c>
      <c r="AJ165" s="62">
        <v>12</v>
      </c>
      <c r="AK165" s="62">
        <v>4</v>
      </c>
      <c r="AL165" s="62">
        <v>9</v>
      </c>
      <c r="AM165" s="62">
        <v>2</v>
      </c>
      <c r="AN165" s="62">
        <v>9</v>
      </c>
      <c r="AO165" s="62">
        <v>7</v>
      </c>
      <c r="AP165" s="62">
        <v>7</v>
      </c>
      <c r="AQ165" s="62">
        <v>7</v>
      </c>
      <c r="AR165" s="62">
        <v>6</v>
      </c>
      <c r="AS165" s="62">
        <v>2</v>
      </c>
      <c r="AT165" s="62">
        <v>3</v>
      </c>
      <c r="AU165" s="62">
        <v>6</v>
      </c>
      <c r="AV165" s="62">
        <v>3</v>
      </c>
      <c r="AW165" s="62">
        <v>5</v>
      </c>
      <c r="AX165" s="62">
        <v>5</v>
      </c>
      <c r="AY165" s="62">
        <v>3</v>
      </c>
      <c r="AZ165" s="62">
        <v>12</v>
      </c>
      <c r="BA165" s="62">
        <v>2</v>
      </c>
      <c r="BB165" s="62">
        <v>1</v>
      </c>
      <c r="BC165" s="62">
        <v>3</v>
      </c>
      <c r="BD165" s="62">
        <v>5</v>
      </c>
      <c r="BE165" s="62">
        <v>5</v>
      </c>
      <c r="BF165" s="62">
        <v>6</v>
      </c>
      <c r="BG165" s="62">
        <v>2</v>
      </c>
      <c r="BH165" s="62">
        <v>1</v>
      </c>
    </row>
    <row r="166" spans="2:60" hidden="1" x14ac:dyDescent="0.2">
      <c r="B166" s="59"/>
      <c r="C166" s="59" t="s">
        <v>671</v>
      </c>
      <c r="D166" s="59" t="s">
        <v>655</v>
      </c>
      <c r="E166" s="63">
        <v>6</v>
      </c>
      <c r="F166" s="63">
        <v>5</v>
      </c>
      <c r="G166" s="63">
        <v>3</v>
      </c>
      <c r="H166" s="63">
        <v>4</v>
      </c>
      <c r="I166" s="63">
        <v>11</v>
      </c>
      <c r="J166" s="63">
        <v>6</v>
      </c>
      <c r="K166" s="63">
        <v>10</v>
      </c>
      <c r="L166" s="63">
        <v>9</v>
      </c>
      <c r="M166" s="63">
        <v>5</v>
      </c>
      <c r="N166" s="63">
        <v>8</v>
      </c>
      <c r="O166" s="63">
        <v>11</v>
      </c>
      <c r="P166" s="63">
        <v>12</v>
      </c>
      <c r="Q166" s="63">
        <v>10</v>
      </c>
      <c r="R166" s="63">
        <v>9</v>
      </c>
      <c r="S166" s="63">
        <v>9</v>
      </c>
      <c r="T166" s="63">
        <v>6</v>
      </c>
      <c r="U166" s="63">
        <v>16</v>
      </c>
      <c r="V166" s="63">
        <v>4</v>
      </c>
      <c r="W166" s="63">
        <v>4</v>
      </c>
      <c r="X166" s="63">
        <v>7</v>
      </c>
      <c r="Y166" s="63">
        <v>7</v>
      </c>
      <c r="Z166" s="63">
        <v>6</v>
      </c>
      <c r="AA166" s="63">
        <v>8</v>
      </c>
      <c r="AB166" s="63">
        <v>10</v>
      </c>
      <c r="AC166" s="63">
        <v>2</v>
      </c>
      <c r="AD166" s="63">
        <v>7</v>
      </c>
      <c r="AE166" s="63">
        <v>9</v>
      </c>
      <c r="AF166" s="63">
        <v>15</v>
      </c>
      <c r="AG166" s="63">
        <v>4</v>
      </c>
      <c r="AH166" s="63">
        <v>4</v>
      </c>
      <c r="AI166" s="63">
        <v>4</v>
      </c>
      <c r="AJ166" s="63">
        <v>11</v>
      </c>
      <c r="AK166" s="63">
        <v>5</v>
      </c>
      <c r="AL166" s="63">
        <v>10</v>
      </c>
      <c r="AM166" s="63">
        <v>4</v>
      </c>
      <c r="AN166" s="63">
        <v>9</v>
      </c>
      <c r="AO166" s="63">
        <v>6</v>
      </c>
      <c r="AP166" s="63">
        <v>3</v>
      </c>
      <c r="AQ166" s="63">
        <v>4</v>
      </c>
      <c r="AR166" s="63">
        <v>8</v>
      </c>
      <c r="AS166" s="63">
        <v>3</v>
      </c>
      <c r="AT166" s="63">
        <v>5</v>
      </c>
      <c r="AU166" s="63">
        <v>4</v>
      </c>
      <c r="AV166" s="63">
        <v>5</v>
      </c>
      <c r="AW166" s="63">
        <v>7</v>
      </c>
      <c r="AX166" s="63">
        <v>4</v>
      </c>
      <c r="AY166" s="63">
        <v>6</v>
      </c>
      <c r="AZ166" s="63">
        <v>6</v>
      </c>
      <c r="BA166" s="63">
        <v>9</v>
      </c>
      <c r="BB166" s="63">
        <v>10</v>
      </c>
      <c r="BC166" s="63">
        <v>6</v>
      </c>
      <c r="BD166" s="63">
        <v>3</v>
      </c>
      <c r="BE166" s="63">
        <v>11</v>
      </c>
      <c r="BF166" s="63">
        <v>10</v>
      </c>
      <c r="BG166" s="63">
        <v>2</v>
      </c>
      <c r="BH166" s="63">
        <v>6</v>
      </c>
    </row>
    <row r="167" spans="2:60" hidden="1" x14ac:dyDescent="0.2">
      <c r="B167" s="57"/>
      <c r="C167" s="57" t="s">
        <v>671</v>
      </c>
      <c r="D167" s="57" t="s">
        <v>699</v>
      </c>
      <c r="E167" s="62">
        <v>54</v>
      </c>
      <c r="F167" s="62">
        <v>65</v>
      </c>
      <c r="G167" s="62">
        <v>77</v>
      </c>
      <c r="H167" s="62">
        <v>51</v>
      </c>
      <c r="I167" s="62">
        <v>54</v>
      </c>
      <c r="J167" s="62">
        <v>61</v>
      </c>
      <c r="K167" s="62">
        <v>62</v>
      </c>
      <c r="L167" s="62">
        <v>56</v>
      </c>
      <c r="M167" s="62">
        <v>86</v>
      </c>
      <c r="N167" s="62">
        <v>64</v>
      </c>
      <c r="O167" s="62">
        <v>84</v>
      </c>
      <c r="P167" s="62">
        <v>80</v>
      </c>
      <c r="Q167" s="62">
        <v>101</v>
      </c>
      <c r="R167" s="62">
        <v>84</v>
      </c>
      <c r="S167" s="62">
        <v>83</v>
      </c>
      <c r="T167" s="62">
        <v>82</v>
      </c>
      <c r="U167" s="62">
        <v>96</v>
      </c>
      <c r="V167" s="62">
        <v>97</v>
      </c>
      <c r="W167" s="62">
        <v>119</v>
      </c>
      <c r="X167" s="62">
        <v>77</v>
      </c>
      <c r="Y167" s="62">
        <v>93</v>
      </c>
      <c r="Z167" s="62">
        <v>92</v>
      </c>
      <c r="AA167" s="62">
        <v>97</v>
      </c>
      <c r="AB167" s="62">
        <v>89</v>
      </c>
      <c r="AC167" s="62">
        <v>80</v>
      </c>
      <c r="AD167" s="62">
        <v>68</v>
      </c>
      <c r="AE167" s="62">
        <v>84</v>
      </c>
      <c r="AF167" s="62">
        <v>59</v>
      </c>
      <c r="AG167" s="62">
        <v>66</v>
      </c>
      <c r="AH167" s="62">
        <v>61</v>
      </c>
      <c r="AI167" s="62">
        <v>39</v>
      </c>
      <c r="AJ167" s="62">
        <v>56</v>
      </c>
      <c r="AK167" s="62">
        <v>21</v>
      </c>
      <c r="AL167" s="62">
        <v>27</v>
      </c>
      <c r="AM167" s="62">
        <v>23</v>
      </c>
      <c r="AN167" s="62">
        <v>25</v>
      </c>
      <c r="AO167" s="62">
        <v>28</v>
      </c>
      <c r="AP167" s="62">
        <v>16</v>
      </c>
      <c r="AQ167" s="62">
        <v>19</v>
      </c>
      <c r="AR167" s="62">
        <v>27</v>
      </c>
      <c r="AS167" s="62">
        <v>15</v>
      </c>
      <c r="AT167" s="62">
        <v>30</v>
      </c>
      <c r="AU167" s="62">
        <v>32</v>
      </c>
      <c r="AV167" s="62">
        <v>21</v>
      </c>
      <c r="AW167" s="62">
        <v>29</v>
      </c>
      <c r="AX167" s="62">
        <v>23</v>
      </c>
      <c r="AY167" s="62">
        <v>29</v>
      </c>
      <c r="AZ167" s="62">
        <v>39</v>
      </c>
      <c r="BA167" s="62">
        <v>34</v>
      </c>
      <c r="BB167" s="62">
        <v>35</v>
      </c>
      <c r="BC167" s="62">
        <v>31</v>
      </c>
      <c r="BD167" s="62">
        <v>33</v>
      </c>
      <c r="BE167" s="62">
        <v>27</v>
      </c>
      <c r="BF167" s="62">
        <v>25</v>
      </c>
      <c r="BG167" s="62">
        <v>29</v>
      </c>
      <c r="BH167" s="62">
        <v>35</v>
      </c>
    </row>
    <row r="168" spans="2:60" hidden="1" x14ac:dyDescent="0.2">
      <c r="B168" s="59"/>
      <c r="C168" s="59" t="s">
        <v>671</v>
      </c>
      <c r="D168" s="59" t="s">
        <v>656</v>
      </c>
      <c r="E168" s="63">
        <v>560</v>
      </c>
      <c r="F168" s="63">
        <v>505</v>
      </c>
      <c r="G168" s="63">
        <v>527</v>
      </c>
      <c r="H168" s="63">
        <v>484</v>
      </c>
      <c r="I168" s="63">
        <v>569</v>
      </c>
      <c r="J168" s="63">
        <v>485</v>
      </c>
      <c r="K168" s="63">
        <v>506</v>
      </c>
      <c r="L168" s="63">
        <v>502</v>
      </c>
      <c r="M168" s="63">
        <v>586</v>
      </c>
      <c r="N168" s="63">
        <v>509</v>
      </c>
      <c r="O168" s="63">
        <v>531</v>
      </c>
      <c r="P168" s="63">
        <v>465</v>
      </c>
      <c r="Q168" s="63">
        <v>500</v>
      </c>
      <c r="R168" s="63">
        <v>463</v>
      </c>
      <c r="S168" s="63">
        <v>491</v>
      </c>
      <c r="T168" s="63">
        <v>445</v>
      </c>
      <c r="U168" s="63">
        <v>490</v>
      </c>
      <c r="V168" s="63">
        <v>494</v>
      </c>
      <c r="W168" s="63">
        <v>512</v>
      </c>
      <c r="X168" s="63">
        <v>459</v>
      </c>
      <c r="Y168" s="63">
        <v>485</v>
      </c>
      <c r="Z168" s="63">
        <v>457</v>
      </c>
      <c r="AA168" s="63">
        <v>484</v>
      </c>
      <c r="AB168" s="63">
        <v>479</v>
      </c>
      <c r="AC168" s="63">
        <v>464</v>
      </c>
      <c r="AD168" s="63">
        <v>416</v>
      </c>
      <c r="AE168" s="63">
        <v>468</v>
      </c>
      <c r="AF168" s="63">
        <v>442</v>
      </c>
      <c r="AG168" s="63">
        <v>443</v>
      </c>
      <c r="AH168" s="63">
        <v>388</v>
      </c>
      <c r="AI168" s="63">
        <v>368</v>
      </c>
      <c r="AJ168" s="63">
        <v>470</v>
      </c>
      <c r="AK168" s="63">
        <v>362</v>
      </c>
      <c r="AL168" s="63">
        <v>438</v>
      </c>
      <c r="AM168" s="63">
        <v>344</v>
      </c>
      <c r="AN168" s="63">
        <v>321</v>
      </c>
      <c r="AO168" s="63">
        <v>349</v>
      </c>
      <c r="AP168" s="63">
        <v>367</v>
      </c>
      <c r="AQ168" s="63">
        <v>332</v>
      </c>
      <c r="AR168" s="63">
        <v>337</v>
      </c>
      <c r="AS168" s="63">
        <v>294</v>
      </c>
      <c r="AT168" s="63">
        <v>339</v>
      </c>
      <c r="AU168" s="63">
        <v>312</v>
      </c>
      <c r="AV168" s="63">
        <v>274</v>
      </c>
      <c r="AW168" s="63">
        <v>299</v>
      </c>
      <c r="AX168" s="63">
        <v>281</v>
      </c>
      <c r="AY168" s="63">
        <v>354</v>
      </c>
      <c r="AZ168" s="63">
        <v>360</v>
      </c>
      <c r="BA168" s="63">
        <v>346</v>
      </c>
      <c r="BB168" s="63">
        <v>378</v>
      </c>
      <c r="BC168" s="63">
        <v>384</v>
      </c>
      <c r="BD168" s="63">
        <v>369</v>
      </c>
      <c r="BE168" s="63">
        <v>376</v>
      </c>
      <c r="BF168" s="63">
        <v>351</v>
      </c>
      <c r="BG168" s="63">
        <v>384</v>
      </c>
      <c r="BH168" s="63">
        <v>356</v>
      </c>
    </row>
    <row r="169" spans="2:60" hidden="1" x14ac:dyDescent="0.2">
      <c r="B169" s="57"/>
      <c r="C169" s="57" t="s">
        <v>672</v>
      </c>
      <c r="D169" s="57" t="s">
        <v>648</v>
      </c>
      <c r="E169" s="62">
        <v>2</v>
      </c>
      <c r="F169" s="62">
        <v>2</v>
      </c>
      <c r="G169" s="62">
        <v>5</v>
      </c>
      <c r="H169" s="62">
        <v>3</v>
      </c>
      <c r="I169" s="62">
        <v>3</v>
      </c>
      <c r="J169" s="62"/>
      <c r="K169" s="62">
        <v>3</v>
      </c>
      <c r="L169" s="62"/>
      <c r="M169" s="62">
        <v>1</v>
      </c>
      <c r="N169" s="62">
        <v>2</v>
      </c>
      <c r="O169" s="62">
        <v>2</v>
      </c>
      <c r="P169" s="62"/>
      <c r="Q169" s="62">
        <v>2</v>
      </c>
      <c r="R169" s="62">
        <v>4</v>
      </c>
      <c r="S169" s="62">
        <v>5</v>
      </c>
      <c r="T169" s="62">
        <v>3</v>
      </c>
      <c r="U169" s="62">
        <v>3</v>
      </c>
      <c r="V169" s="62">
        <v>5</v>
      </c>
      <c r="W169" s="62">
        <v>2</v>
      </c>
      <c r="X169" s="62">
        <v>3</v>
      </c>
      <c r="Y169" s="62">
        <v>4</v>
      </c>
      <c r="Z169" s="62">
        <v>3</v>
      </c>
      <c r="AA169" s="62">
        <v>4</v>
      </c>
      <c r="AB169" s="62">
        <v>5</v>
      </c>
      <c r="AC169" s="62">
        <v>3</v>
      </c>
      <c r="AD169" s="62">
        <v>4</v>
      </c>
      <c r="AE169" s="62">
        <v>1</v>
      </c>
      <c r="AF169" s="62">
        <v>3</v>
      </c>
      <c r="AG169" s="62">
        <v>1</v>
      </c>
      <c r="AH169" s="62"/>
      <c r="AI169" s="62">
        <v>3</v>
      </c>
      <c r="AJ169" s="62">
        <v>3</v>
      </c>
      <c r="AK169" s="62">
        <v>1</v>
      </c>
      <c r="AL169" s="62">
        <v>8</v>
      </c>
      <c r="AM169" s="62">
        <v>4</v>
      </c>
      <c r="AN169" s="62">
        <v>4</v>
      </c>
      <c r="AO169" s="62">
        <v>6</v>
      </c>
      <c r="AP169" s="62">
        <v>1</v>
      </c>
      <c r="AQ169" s="62">
        <v>2</v>
      </c>
      <c r="AR169" s="62">
        <v>2</v>
      </c>
      <c r="AS169" s="62">
        <v>1</v>
      </c>
      <c r="AT169" s="62">
        <v>2</v>
      </c>
      <c r="AU169" s="62">
        <v>6</v>
      </c>
      <c r="AV169" s="62">
        <v>2</v>
      </c>
      <c r="AW169" s="62">
        <v>7</v>
      </c>
      <c r="AX169" s="62">
        <v>2</v>
      </c>
      <c r="AY169" s="62">
        <v>3</v>
      </c>
      <c r="AZ169" s="62">
        <v>5</v>
      </c>
      <c r="BA169" s="62">
        <v>1</v>
      </c>
      <c r="BB169" s="62">
        <v>3</v>
      </c>
      <c r="BC169" s="62">
        <v>4</v>
      </c>
      <c r="BD169" s="62">
        <v>2</v>
      </c>
      <c r="BE169" s="62"/>
      <c r="BF169" s="62">
        <v>1</v>
      </c>
      <c r="BG169" s="62">
        <v>6</v>
      </c>
      <c r="BH169" s="62">
        <v>6</v>
      </c>
    </row>
    <row r="170" spans="2:60" hidden="1" x14ac:dyDescent="0.2">
      <c r="B170" s="59"/>
      <c r="C170" s="59" t="s">
        <v>672</v>
      </c>
      <c r="D170" s="59" t="s">
        <v>649</v>
      </c>
      <c r="E170" s="63">
        <v>28</v>
      </c>
      <c r="F170" s="63">
        <v>33</v>
      </c>
      <c r="G170" s="63">
        <v>18</v>
      </c>
      <c r="H170" s="63">
        <v>14</v>
      </c>
      <c r="I170" s="63">
        <v>29</v>
      </c>
      <c r="J170" s="63">
        <v>22</v>
      </c>
      <c r="K170" s="63">
        <v>29</v>
      </c>
      <c r="L170" s="63">
        <v>13</v>
      </c>
      <c r="M170" s="63">
        <v>11</v>
      </c>
      <c r="N170" s="63">
        <v>26</v>
      </c>
      <c r="O170" s="63">
        <v>21</v>
      </c>
      <c r="P170" s="63">
        <v>10</v>
      </c>
      <c r="Q170" s="63">
        <v>26</v>
      </c>
      <c r="R170" s="63">
        <v>21</v>
      </c>
      <c r="S170" s="63">
        <v>19</v>
      </c>
      <c r="T170" s="63">
        <v>14</v>
      </c>
      <c r="U170" s="63">
        <v>14</v>
      </c>
      <c r="V170" s="63">
        <v>19</v>
      </c>
      <c r="W170" s="63">
        <v>17</v>
      </c>
      <c r="X170" s="63">
        <v>11</v>
      </c>
      <c r="Y170" s="63">
        <v>25</v>
      </c>
      <c r="Z170" s="63">
        <v>19</v>
      </c>
      <c r="AA170" s="63">
        <v>12</v>
      </c>
      <c r="AB170" s="63">
        <v>13</v>
      </c>
      <c r="AC170" s="63">
        <v>18</v>
      </c>
      <c r="AD170" s="63">
        <v>17</v>
      </c>
      <c r="AE170" s="63">
        <v>18</v>
      </c>
      <c r="AF170" s="63">
        <v>19</v>
      </c>
      <c r="AG170" s="63">
        <v>13</v>
      </c>
      <c r="AH170" s="63">
        <v>32</v>
      </c>
      <c r="AI170" s="63">
        <v>20</v>
      </c>
      <c r="AJ170" s="63">
        <v>18</v>
      </c>
      <c r="AK170" s="63">
        <v>22</v>
      </c>
      <c r="AL170" s="63">
        <v>20</v>
      </c>
      <c r="AM170" s="63">
        <v>26</v>
      </c>
      <c r="AN170" s="63">
        <v>28</v>
      </c>
      <c r="AO170" s="63">
        <v>29</v>
      </c>
      <c r="AP170" s="63">
        <v>33</v>
      </c>
      <c r="AQ170" s="63">
        <v>24</v>
      </c>
      <c r="AR170" s="63">
        <v>23</v>
      </c>
      <c r="AS170" s="63">
        <v>24</v>
      </c>
      <c r="AT170" s="63">
        <v>26</v>
      </c>
      <c r="AU170" s="63">
        <v>13</v>
      </c>
      <c r="AV170" s="63">
        <v>24</v>
      </c>
      <c r="AW170" s="63">
        <v>17</v>
      </c>
      <c r="AX170" s="63">
        <v>25</v>
      </c>
      <c r="AY170" s="63">
        <v>22</v>
      </c>
      <c r="AZ170" s="63">
        <v>27</v>
      </c>
      <c r="BA170" s="63">
        <v>25</v>
      </c>
      <c r="BB170" s="63">
        <v>19</v>
      </c>
      <c r="BC170" s="63">
        <v>15</v>
      </c>
      <c r="BD170" s="63">
        <v>28</v>
      </c>
      <c r="BE170" s="63">
        <v>10</v>
      </c>
      <c r="BF170" s="63">
        <v>15</v>
      </c>
      <c r="BG170" s="63">
        <v>14</v>
      </c>
      <c r="BH170" s="63">
        <v>10</v>
      </c>
    </row>
    <row r="171" spans="2:60" hidden="1" x14ac:dyDescent="0.2">
      <c r="B171" s="57"/>
      <c r="C171" s="57" t="s">
        <v>672</v>
      </c>
      <c r="D171" s="57" t="s">
        <v>650</v>
      </c>
      <c r="E171" s="62">
        <v>5</v>
      </c>
      <c r="F171" s="62">
        <v>2</v>
      </c>
      <c r="G171" s="62">
        <v>4</v>
      </c>
      <c r="H171" s="62">
        <v>5</v>
      </c>
      <c r="I171" s="62">
        <v>2</v>
      </c>
      <c r="J171" s="62">
        <v>4</v>
      </c>
      <c r="K171" s="62">
        <v>1</v>
      </c>
      <c r="L171" s="62">
        <v>1</v>
      </c>
      <c r="M171" s="62">
        <v>3</v>
      </c>
      <c r="N171" s="62">
        <v>2</v>
      </c>
      <c r="O171" s="62">
        <v>1</v>
      </c>
      <c r="P171" s="62">
        <v>3</v>
      </c>
      <c r="Q171" s="62">
        <v>4</v>
      </c>
      <c r="R171" s="62">
        <v>9</v>
      </c>
      <c r="S171" s="62">
        <v>2</v>
      </c>
      <c r="T171" s="62">
        <v>1</v>
      </c>
      <c r="U171" s="62">
        <v>3</v>
      </c>
      <c r="V171" s="62">
        <v>3</v>
      </c>
      <c r="W171" s="62">
        <v>2</v>
      </c>
      <c r="X171" s="62">
        <v>3</v>
      </c>
      <c r="Y171" s="62">
        <v>3</v>
      </c>
      <c r="Z171" s="62">
        <v>3</v>
      </c>
      <c r="AA171" s="62">
        <v>5</v>
      </c>
      <c r="AB171" s="62">
        <v>3</v>
      </c>
      <c r="AC171" s="62">
        <v>4</v>
      </c>
      <c r="AD171" s="62">
        <v>2</v>
      </c>
      <c r="AE171" s="62">
        <v>3</v>
      </c>
      <c r="AF171" s="62">
        <v>1</v>
      </c>
      <c r="AG171" s="62"/>
      <c r="AH171" s="62">
        <v>3</v>
      </c>
      <c r="AI171" s="62">
        <v>3</v>
      </c>
      <c r="AJ171" s="62"/>
      <c r="AK171" s="62">
        <v>6</v>
      </c>
      <c r="AL171" s="62">
        <v>4</v>
      </c>
      <c r="AM171" s="62">
        <v>5</v>
      </c>
      <c r="AN171" s="62">
        <v>5</v>
      </c>
      <c r="AO171" s="62">
        <v>3</v>
      </c>
      <c r="AP171" s="62">
        <v>2</v>
      </c>
      <c r="AQ171" s="62">
        <v>2</v>
      </c>
      <c r="AR171" s="62">
        <v>3</v>
      </c>
      <c r="AS171" s="62">
        <v>2</v>
      </c>
      <c r="AT171" s="62">
        <v>1</v>
      </c>
      <c r="AU171" s="62">
        <v>5</v>
      </c>
      <c r="AV171" s="62">
        <v>2</v>
      </c>
      <c r="AW171" s="62">
        <v>4</v>
      </c>
      <c r="AX171" s="62">
        <v>2</v>
      </c>
      <c r="AY171" s="62">
        <v>5</v>
      </c>
      <c r="AZ171" s="62">
        <v>3</v>
      </c>
      <c r="BA171" s="62">
        <v>1</v>
      </c>
      <c r="BB171" s="62">
        <v>3</v>
      </c>
      <c r="BC171" s="62">
        <v>6</v>
      </c>
      <c r="BD171" s="62"/>
      <c r="BE171" s="62">
        <v>2</v>
      </c>
      <c r="BF171" s="62">
        <v>2</v>
      </c>
      <c r="BG171" s="62">
        <v>3</v>
      </c>
      <c r="BH171" s="62">
        <v>2</v>
      </c>
    </row>
    <row r="172" spans="2:60" hidden="1" x14ac:dyDescent="0.2">
      <c r="B172" s="59"/>
      <c r="C172" s="59" t="s">
        <v>672</v>
      </c>
      <c r="D172" s="59" t="s">
        <v>651</v>
      </c>
      <c r="E172" s="63">
        <v>8</v>
      </c>
      <c r="F172" s="63">
        <v>18</v>
      </c>
      <c r="G172" s="63">
        <v>10</v>
      </c>
      <c r="H172" s="63">
        <v>12</v>
      </c>
      <c r="I172" s="63">
        <v>11</v>
      </c>
      <c r="J172" s="63">
        <v>7</v>
      </c>
      <c r="K172" s="63">
        <v>13</v>
      </c>
      <c r="L172" s="63">
        <v>11</v>
      </c>
      <c r="M172" s="63">
        <v>9</v>
      </c>
      <c r="N172" s="63">
        <v>8</v>
      </c>
      <c r="O172" s="63">
        <v>11</v>
      </c>
      <c r="P172" s="63">
        <v>4</v>
      </c>
      <c r="Q172" s="63">
        <v>7</v>
      </c>
      <c r="R172" s="63">
        <v>5</v>
      </c>
      <c r="S172" s="63">
        <v>4</v>
      </c>
      <c r="T172" s="63">
        <v>9</v>
      </c>
      <c r="U172" s="63">
        <v>7</v>
      </c>
      <c r="V172" s="63">
        <v>12</v>
      </c>
      <c r="W172" s="63">
        <v>8</v>
      </c>
      <c r="X172" s="63">
        <v>11</v>
      </c>
      <c r="Y172" s="63">
        <v>10</v>
      </c>
      <c r="Z172" s="63">
        <v>10</v>
      </c>
      <c r="AA172" s="63">
        <v>10</v>
      </c>
      <c r="AB172" s="63">
        <v>6</v>
      </c>
      <c r="AC172" s="63">
        <v>6</v>
      </c>
      <c r="AD172" s="63">
        <v>7</v>
      </c>
      <c r="AE172" s="63">
        <v>2</v>
      </c>
      <c r="AF172" s="63">
        <v>7</v>
      </c>
      <c r="AG172" s="63">
        <v>4</v>
      </c>
      <c r="AH172" s="63">
        <v>16</v>
      </c>
      <c r="AI172" s="63">
        <v>7</v>
      </c>
      <c r="AJ172" s="63">
        <v>5</v>
      </c>
      <c r="AK172" s="63">
        <v>4</v>
      </c>
      <c r="AL172" s="63">
        <v>16</v>
      </c>
      <c r="AM172" s="63">
        <v>8</v>
      </c>
      <c r="AN172" s="63">
        <v>1</v>
      </c>
      <c r="AO172" s="63">
        <v>7</v>
      </c>
      <c r="AP172" s="63">
        <v>6</v>
      </c>
      <c r="AQ172" s="63">
        <v>6</v>
      </c>
      <c r="AR172" s="63">
        <v>3</v>
      </c>
      <c r="AS172" s="63">
        <v>3</v>
      </c>
      <c r="AT172" s="63">
        <v>4</v>
      </c>
      <c r="AU172" s="63">
        <v>6</v>
      </c>
      <c r="AV172" s="63">
        <v>7</v>
      </c>
      <c r="AW172" s="63">
        <v>2</v>
      </c>
      <c r="AX172" s="63">
        <v>10</v>
      </c>
      <c r="AY172" s="63">
        <v>6</v>
      </c>
      <c r="AZ172" s="63">
        <v>2</v>
      </c>
      <c r="BA172" s="63">
        <v>3</v>
      </c>
      <c r="BB172" s="63">
        <v>7</v>
      </c>
      <c r="BC172" s="63">
        <v>3</v>
      </c>
      <c r="BD172" s="63">
        <v>7</v>
      </c>
      <c r="BE172" s="63">
        <v>2</v>
      </c>
      <c r="BF172" s="63">
        <v>3</v>
      </c>
      <c r="BG172" s="63">
        <v>5</v>
      </c>
      <c r="BH172" s="63">
        <v>8</v>
      </c>
    </row>
    <row r="173" spans="2:60" hidden="1" x14ac:dyDescent="0.2">
      <c r="B173" s="57"/>
      <c r="C173" s="57" t="s">
        <v>672</v>
      </c>
      <c r="D173" s="57" t="s">
        <v>652</v>
      </c>
      <c r="E173" s="62">
        <v>39</v>
      </c>
      <c r="F173" s="62">
        <v>28</v>
      </c>
      <c r="G173" s="62">
        <v>33</v>
      </c>
      <c r="H173" s="62">
        <v>22</v>
      </c>
      <c r="I173" s="62">
        <v>37</v>
      </c>
      <c r="J173" s="62">
        <v>31</v>
      </c>
      <c r="K173" s="62">
        <v>35</v>
      </c>
      <c r="L173" s="62">
        <v>25</v>
      </c>
      <c r="M173" s="62">
        <v>38</v>
      </c>
      <c r="N173" s="62">
        <v>35</v>
      </c>
      <c r="O173" s="62">
        <v>31</v>
      </c>
      <c r="P173" s="62">
        <v>30</v>
      </c>
      <c r="Q173" s="62">
        <v>30</v>
      </c>
      <c r="R173" s="62">
        <v>38</v>
      </c>
      <c r="S173" s="62">
        <v>23</v>
      </c>
      <c r="T173" s="62">
        <v>24</v>
      </c>
      <c r="U173" s="62">
        <v>35</v>
      </c>
      <c r="V173" s="62">
        <v>26</v>
      </c>
      <c r="W173" s="62">
        <v>30</v>
      </c>
      <c r="X173" s="62">
        <v>30</v>
      </c>
      <c r="Y173" s="62">
        <v>33</v>
      </c>
      <c r="Z173" s="62">
        <v>18</v>
      </c>
      <c r="AA173" s="62">
        <v>28</v>
      </c>
      <c r="AB173" s="62">
        <v>29</v>
      </c>
      <c r="AC173" s="62">
        <v>31</v>
      </c>
      <c r="AD173" s="62">
        <v>20</v>
      </c>
      <c r="AE173" s="62">
        <v>19</v>
      </c>
      <c r="AF173" s="62">
        <v>22</v>
      </c>
      <c r="AG173" s="62">
        <v>34</v>
      </c>
      <c r="AH173" s="62">
        <v>28</v>
      </c>
      <c r="AI173" s="62">
        <v>25</v>
      </c>
      <c r="AJ173" s="62">
        <v>27</v>
      </c>
      <c r="AK173" s="62">
        <v>26</v>
      </c>
      <c r="AL173" s="62">
        <v>28</v>
      </c>
      <c r="AM173" s="62">
        <v>25</v>
      </c>
      <c r="AN173" s="62">
        <v>20</v>
      </c>
      <c r="AO173" s="62">
        <v>26</v>
      </c>
      <c r="AP173" s="62">
        <v>17</v>
      </c>
      <c r="AQ173" s="62">
        <v>24</v>
      </c>
      <c r="AR173" s="62">
        <v>17</v>
      </c>
      <c r="AS173" s="62">
        <v>26</v>
      </c>
      <c r="AT173" s="62">
        <v>19</v>
      </c>
      <c r="AU173" s="62">
        <v>16</v>
      </c>
      <c r="AV173" s="62">
        <v>18</v>
      </c>
      <c r="AW173" s="62">
        <v>16</v>
      </c>
      <c r="AX173" s="62">
        <v>23</v>
      </c>
      <c r="AY173" s="62">
        <v>19</v>
      </c>
      <c r="AZ173" s="62">
        <v>20</v>
      </c>
      <c r="BA173" s="62">
        <v>17</v>
      </c>
      <c r="BB173" s="62">
        <v>20</v>
      </c>
      <c r="BC173" s="62">
        <v>16</v>
      </c>
      <c r="BD173" s="62">
        <v>22</v>
      </c>
      <c r="BE173" s="62">
        <v>11</v>
      </c>
      <c r="BF173" s="62">
        <v>22</v>
      </c>
      <c r="BG173" s="62">
        <v>16</v>
      </c>
      <c r="BH173" s="62">
        <v>14</v>
      </c>
    </row>
    <row r="174" spans="2:60" hidden="1" x14ac:dyDescent="0.2">
      <c r="B174" s="59"/>
      <c r="C174" s="59" t="s">
        <v>672</v>
      </c>
      <c r="D174" s="59" t="s">
        <v>653</v>
      </c>
      <c r="E174" s="63">
        <v>8</v>
      </c>
      <c r="F174" s="63">
        <v>5</v>
      </c>
      <c r="G174" s="63">
        <v>11</v>
      </c>
      <c r="H174" s="63">
        <v>7</v>
      </c>
      <c r="I174" s="63">
        <v>9</v>
      </c>
      <c r="J174" s="63">
        <v>8</v>
      </c>
      <c r="K174" s="63">
        <v>6</v>
      </c>
      <c r="L174" s="63">
        <v>12</v>
      </c>
      <c r="M174" s="63">
        <v>6</v>
      </c>
      <c r="N174" s="63">
        <v>9</v>
      </c>
      <c r="O174" s="63">
        <v>11</v>
      </c>
      <c r="P174" s="63">
        <v>6</v>
      </c>
      <c r="Q174" s="63">
        <v>11</v>
      </c>
      <c r="R174" s="63">
        <v>9</v>
      </c>
      <c r="S174" s="63">
        <v>10</v>
      </c>
      <c r="T174" s="63">
        <v>5</v>
      </c>
      <c r="U174" s="63">
        <v>10</v>
      </c>
      <c r="V174" s="63">
        <v>8</v>
      </c>
      <c r="W174" s="63">
        <v>10</v>
      </c>
      <c r="X174" s="63">
        <v>8</v>
      </c>
      <c r="Y174" s="63">
        <v>16</v>
      </c>
      <c r="Z174" s="63">
        <v>8</v>
      </c>
      <c r="AA174" s="63">
        <v>5</v>
      </c>
      <c r="AB174" s="63">
        <v>9</v>
      </c>
      <c r="AC174" s="63">
        <v>10</v>
      </c>
      <c r="AD174" s="63">
        <v>6</v>
      </c>
      <c r="AE174" s="63">
        <v>8</v>
      </c>
      <c r="AF174" s="63">
        <v>7</v>
      </c>
      <c r="AG174" s="63">
        <v>12</v>
      </c>
      <c r="AH174" s="63">
        <v>11</v>
      </c>
      <c r="AI174" s="63">
        <v>9</v>
      </c>
      <c r="AJ174" s="63">
        <v>5</v>
      </c>
      <c r="AK174" s="63">
        <v>9</v>
      </c>
      <c r="AL174" s="63">
        <v>13</v>
      </c>
      <c r="AM174" s="63">
        <v>5</v>
      </c>
      <c r="AN174" s="63">
        <v>6</v>
      </c>
      <c r="AO174" s="63">
        <v>4</v>
      </c>
      <c r="AP174" s="63">
        <v>6</v>
      </c>
      <c r="AQ174" s="63">
        <v>3</v>
      </c>
      <c r="AR174" s="63">
        <v>1</v>
      </c>
      <c r="AS174" s="63">
        <v>8</v>
      </c>
      <c r="AT174" s="63">
        <v>10</v>
      </c>
      <c r="AU174" s="63">
        <v>3</v>
      </c>
      <c r="AV174" s="63">
        <v>4</v>
      </c>
      <c r="AW174" s="63">
        <v>5</v>
      </c>
      <c r="AX174" s="63">
        <v>6</v>
      </c>
      <c r="AY174" s="63">
        <v>4</v>
      </c>
      <c r="AZ174" s="63">
        <v>6</v>
      </c>
      <c r="BA174" s="63">
        <v>2</v>
      </c>
      <c r="BB174" s="63">
        <v>4</v>
      </c>
      <c r="BC174" s="63">
        <v>5</v>
      </c>
      <c r="BD174" s="63">
        <v>1</v>
      </c>
      <c r="BE174" s="63">
        <v>6</v>
      </c>
      <c r="BF174" s="63">
        <v>1</v>
      </c>
      <c r="BG174" s="63">
        <v>4</v>
      </c>
      <c r="BH174" s="63">
        <v>4</v>
      </c>
    </row>
    <row r="175" spans="2:60" hidden="1" x14ac:dyDescent="0.2">
      <c r="B175" s="57"/>
      <c r="C175" s="57" t="s">
        <v>672</v>
      </c>
      <c r="D175" s="57" t="s">
        <v>654</v>
      </c>
      <c r="E175" s="62"/>
      <c r="F175" s="62"/>
      <c r="G175" s="62"/>
      <c r="H175" s="62"/>
      <c r="I175" s="62"/>
      <c r="J175" s="62"/>
      <c r="K175" s="62"/>
      <c r="L175" s="62"/>
      <c r="M175" s="62">
        <v>1</v>
      </c>
      <c r="N175" s="62"/>
      <c r="O175" s="62">
        <v>1</v>
      </c>
      <c r="P175" s="62"/>
      <c r="Q175" s="62"/>
      <c r="R175" s="62"/>
      <c r="S175" s="62"/>
      <c r="T175" s="62">
        <v>1</v>
      </c>
      <c r="U175" s="62">
        <v>1</v>
      </c>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v>1</v>
      </c>
      <c r="AW175" s="62"/>
      <c r="AX175" s="62">
        <v>1</v>
      </c>
      <c r="AY175" s="62"/>
      <c r="AZ175" s="62">
        <v>1</v>
      </c>
      <c r="BA175" s="62">
        <v>2</v>
      </c>
      <c r="BB175" s="62"/>
      <c r="BC175" s="62"/>
      <c r="BD175" s="62"/>
      <c r="BE175" s="62"/>
      <c r="BF175" s="62">
        <v>1</v>
      </c>
      <c r="BG175" s="62"/>
      <c r="BH175" s="62"/>
    </row>
    <row r="176" spans="2:60" hidden="1" x14ac:dyDescent="0.2">
      <c r="B176" s="59"/>
      <c r="C176" s="59" t="s">
        <v>672</v>
      </c>
      <c r="D176" s="59" t="s">
        <v>655</v>
      </c>
      <c r="E176" s="63"/>
      <c r="F176" s="63"/>
      <c r="G176" s="63"/>
      <c r="H176" s="63"/>
      <c r="I176" s="63"/>
      <c r="J176" s="63"/>
      <c r="K176" s="63"/>
      <c r="L176" s="63"/>
      <c r="M176" s="63"/>
      <c r="N176" s="63"/>
      <c r="O176" s="63"/>
      <c r="P176" s="63">
        <v>1</v>
      </c>
      <c r="Q176" s="63"/>
      <c r="R176" s="63"/>
      <c r="S176" s="63"/>
      <c r="T176" s="63"/>
      <c r="U176" s="63"/>
      <c r="V176" s="63"/>
      <c r="W176" s="63"/>
      <c r="X176" s="63"/>
      <c r="Y176" s="63"/>
      <c r="Z176" s="63"/>
      <c r="AA176" s="63"/>
      <c r="AB176" s="63"/>
      <c r="AC176" s="63"/>
      <c r="AD176" s="63"/>
      <c r="AE176" s="63"/>
      <c r="AF176" s="63"/>
      <c r="AG176" s="63"/>
      <c r="AH176" s="63"/>
      <c r="AI176" s="63">
        <v>1</v>
      </c>
      <c r="AJ176" s="63"/>
      <c r="AK176" s="63">
        <v>1</v>
      </c>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row>
    <row r="177" spans="2:60" hidden="1" x14ac:dyDescent="0.2">
      <c r="B177" s="57"/>
      <c r="C177" s="57" t="s">
        <v>672</v>
      </c>
      <c r="D177" s="57" t="s">
        <v>699</v>
      </c>
      <c r="E177" s="62">
        <v>4</v>
      </c>
      <c r="F177" s="62">
        <v>12</v>
      </c>
      <c r="G177" s="62">
        <v>16</v>
      </c>
      <c r="H177" s="62">
        <v>7</v>
      </c>
      <c r="I177" s="62">
        <v>7</v>
      </c>
      <c r="J177" s="62">
        <v>10</v>
      </c>
      <c r="K177" s="62">
        <v>4</v>
      </c>
      <c r="L177" s="62">
        <v>9</v>
      </c>
      <c r="M177" s="62">
        <v>14</v>
      </c>
      <c r="N177" s="62">
        <v>5</v>
      </c>
      <c r="O177" s="62">
        <v>9</v>
      </c>
      <c r="P177" s="62">
        <v>6</v>
      </c>
      <c r="Q177" s="62">
        <v>3</v>
      </c>
      <c r="R177" s="62">
        <v>5</v>
      </c>
      <c r="S177" s="62">
        <v>7</v>
      </c>
      <c r="T177" s="62">
        <v>4</v>
      </c>
      <c r="U177" s="62">
        <v>5</v>
      </c>
      <c r="V177" s="62">
        <v>6</v>
      </c>
      <c r="W177" s="62">
        <v>4</v>
      </c>
      <c r="X177" s="62">
        <v>4</v>
      </c>
      <c r="Y177" s="62">
        <v>3</v>
      </c>
      <c r="Z177" s="62">
        <v>7</v>
      </c>
      <c r="AA177" s="62">
        <v>3</v>
      </c>
      <c r="AB177" s="62">
        <v>4</v>
      </c>
      <c r="AC177" s="62">
        <v>4</v>
      </c>
      <c r="AD177" s="62">
        <v>3</v>
      </c>
      <c r="AE177" s="62">
        <v>1</v>
      </c>
      <c r="AF177" s="62"/>
      <c r="AG177" s="62"/>
      <c r="AH177" s="62">
        <v>2</v>
      </c>
      <c r="AI177" s="62">
        <v>2</v>
      </c>
      <c r="AJ177" s="62">
        <v>2</v>
      </c>
      <c r="AK177" s="62">
        <v>3</v>
      </c>
      <c r="AL177" s="62">
        <v>3</v>
      </c>
      <c r="AM177" s="62"/>
      <c r="AN177" s="62">
        <v>2</v>
      </c>
      <c r="AO177" s="62">
        <v>3</v>
      </c>
      <c r="AP177" s="62">
        <v>2</v>
      </c>
      <c r="AQ177" s="62">
        <v>2</v>
      </c>
      <c r="AR177" s="62">
        <v>1</v>
      </c>
      <c r="AS177" s="62">
        <v>5</v>
      </c>
      <c r="AT177" s="62">
        <v>3</v>
      </c>
      <c r="AU177" s="62">
        <v>4</v>
      </c>
      <c r="AV177" s="62">
        <v>2</v>
      </c>
      <c r="AW177" s="62"/>
      <c r="AX177" s="62">
        <v>1</v>
      </c>
      <c r="AY177" s="62">
        <v>2</v>
      </c>
      <c r="AZ177" s="62"/>
      <c r="BA177" s="62">
        <v>1</v>
      </c>
      <c r="BB177" s="62">
        <v>2</v>
      </c>
      <c r="BC177" s="62">
        <v>1</v>
      </c>
      <c r="BD177" s="62"/>
      <c r="BE177" s="62">
        <v>1</v>
      </c>
      <c r="BF177" s="62">
        <v>0</v>
      </c>
      <c r="BG177" s="62">
        <v>2</v>
      </c>
      <c r="BH177" s="62">
        <v>0</v>
      </c>
    </row>
    <row r="178" spans="2:60" hidden="1" x14ac:dyDescent="0.2">
      <c r="B178" s="59"/>
      <c r="C178" s="59" t="s">
        <v>672</v>
      </c>
      <c r="D178" s="59" t="s">
        <v>656</v>
      </c>
      <c r="E178" s="63">
        <v>94</v>
      </c>
      <c r="F178" s="63">
        <v>100</v>
      </c>
      <c r="G178" s="63">
        <v>97</v>
      </c>
      <c r="H178" s="63">
        <v>70</v>
      </c>
      <c r="I178" s="63">
        <v>98</v>
      </c>
      <c r="J178" s="63">
        <v>82</v>
      </c>
      <c r="K178" s="63">
        <v>91</v>
      </c>
      <c r="L178" s="63">
        <v>71</v>
      </c>
      <c r="M178" s="63">
        <v>83</v>
      </c>
      <c r="N178" s="63">
        <v>87</v>
      </c>
      <c r="O178" s="63">
        <v>87</v>
      </c>
      <c r="P178" s="63">
        <v>60</v>
      </c>
      <c r="Q178" s="63">
        <v>83</v>
      </c>
      <c r="R178" s="63">
        <v>91</v>
      </c>
      <c r="S178" s="63">
        <v>70</v>
      </c>
      <c r="T178" s="63">
        <v>61</v>
      </c>
      <c r="U178" s="63">
        <v>78</v>
      </c>
      <c r="V178" s="63">
        <v>79</v>
      </c>
      <c r="W178" s="63">
        <v>73</v>
      </c>
      <c r="X178" s="63">
        <v>70</v>
      </c>
      <c r="Y178" s="63">
        <v>94</v>
      </c>
      <c r="Z178" s="63">
        <v>68</v>
      </c>
      <c r="AA178" s="63">
        <v>67</v>
      </c>
      <c r="AB178" s="63">
        <v>69</v>
      </c>
      <c r="AC178" s="63">
        <v>76</v>
      </c>
      <c r="AD178" s="63">
        <v>59</v>
      </c>
      <c r="AE178" s="63">
        <v>52</v>
      </c>
      <c r="AF178" s="63">
        <v>59</v>
      </c>
      <c r="AG178" s="63">
        <v>64</v>
      </c>
      <c r="AH178" s="63">
        <v>92</v>
      </c>
      <c r="AI178" s="63">
        <v>70</v>
      </c>
      <c r="AJ178" s="63">
        <v>60</v>
      </c>
      <c r="AK178" s="63">
        <v>72</v>
      </c>
      <c r="AL178" s="63">
        <v>92</v>
      </c>
      <c r="AM178" s="63">
        <v>73</v>
      </c>
      <c r="AN178" s="63">
        <v>66</v>
      </c>
      <c r="AO178" s="63">
        <v>78</v>
      </c>
      <c r="AP178" s="63">
        <v>67</v>
      </c>
      <c r="AQ178" s="63">
        <v>63</v>
      </c>
      <c r="AR178" s="63">
        <v>50</v>
      </c>
      <c r="AS178" s="63">
        <v>69</v>
      </c>
      <c r="AT178" s="63">
        <v>65</v>
      </c>
      <c r="AU178" s="63">
        <v>53</v>
      </c>
      <c r="AV178" s="63">
        <v>60</v>
      </c>
      <c r="AW178" s="63">
        <v>51</v>
      </c>
      <c r="AX178" s="63">
        <v>70</v>
      </c>
      <c r="AY178" s="63">
        <v>61</v>
      </c>
      <c r="AZ178" s="63">
        <v>64</v>
      </c>
      <c r="BA178" s="63">
        <v>52</v>
      </c>
      <c r="BB178" s="63">
        <v>58</v>
      </c>
      <c r="BC178" s="63">
        <v>50</v>
      </c>
      <c r="BD178" s="63">
        <v>60</v>
      </c>
      <c r="BE178" s="63">
        <v>32</v>
      </c>
      <c r="BF178" s="63">
        <v>45</v>
      </c>
      <c r="BG178" s="63">
        <v>50</v>
      </c>
      <c r="BH178" s="63">
        <v>44</v>
      </c>
    </row>
    <row r="179" spans="2:60" hidden="1" x14ac:dyDescent="0.2">
      <c r="B179" s="57"/>
      <c r="C179" s="57" t="s">
        <v>673</v>
      </c>
      <c r="D179" s="57" t="s">
        <v>648</v>
      </c>
      <c r="E179" s="62">
        <v>104</v>
      </c>
      <c r="F179" s="62">
        <v>51</v>
      </c>
      <c r="G179" s="62">
        <v>56</v>
      </c>
      <c r="H179" s="62">
        <v>56</v>
      </c>
      <c r="I179" s="62">
        <v>103</v>
      </c>
      <c r="J179" s="62">
        <v>61</v>
      </c>
      <c r="K179" s="62">
        <v>56</v>
      </c>
      <c r="L179" s="62">
        <v>57</v>
      </c>
      <c r="M179" s="62">
        <v>97</v>
      </c>
      <c r="N179" s="62">
        <v>68</v>
      </c>
      <c r="O179" s="62">
        <v>66</v>
      </c>
      <c r="P179" s="62">
        <v>57</v>
      </c>
      <c r="Q179" s="62">
        <v>93</v>
      </c>
      <c r="R179" s="62">
        <v>77</v>
      </c>
      <c r="S179" s="62">
        <v>113</v>
      </c>
      <c r="T179" s="62">
        <v>98</v>
      </c>
      <c r="U179" s="62">
        <v>151</v>
      </c>
      <c r="V179" s="62">
        <v>101</v>
      </c>
      <c r="W179" s="62">
        <v>128</v>
      </c>
      <c r="X179" s="62">
        <v>122</v>
      </c>
      <c r="Y179" s="62">
        <v>148</v>
      </c>
      <c r="Z179" s="62">
        <v>126</v>
      </c>
      <c r="AA179" s="62">
        <v>174</v>
      </c>
      <c r="AB179" s="62">
        <v>131</v>
      </c>
      <c r="AC179" s="62">
        <v>161</v>
      </c>
      <c r="AD179" s="62">
        <v>152</v>
      </c>
      <c r="AE179" s="62">
        <v>182</v>
      </c>
      <c r="AF179" s="62">
        <v>189</v>
      </c>
      <c r="AG179" s="62">
        <v>233</v>
      </c>
      <c r="AH179" s="62">
        <v>173</v>
      </c>
      <c r="AI179" s="62">
        <v>157</v>
      </c>
      <c r="AJ179" s="62">
        <v>215</v>
      </c>
      <c r="AK179" s="62">
        <v>200</v>
      </c>
      <c r="AL179" s="62">
        <v>236</v>
      </c>
      <c r="AM179" s="62">
        <v>185</v>
      </c>
      <c r="AN179" s="62">
        <v>188</v>
      </c>
      <c r="AO179" s="62">
        <v>207</v>
      </c>
      <c r="AP179" s="62">
        <v>148</v>
      </c>
      <c r="AQ179" s="62">
        <v>180</v>
      </c>
      <c r="AR179" s="62">
        <v>150</v>
      </c>
      <c r="AS179" s="62">
        <v>126</v>
      </c>
      <c r="AT179" s="62">
        <v>147</v>
      </c>
      <c r="AU179" s="62">
        <v>128</v>
      </c>
      <c r="AV179" s="62">
        <v>109</v>
      </c>
      <c r="AW179" s="62">
        <v>108</v>
      </c>
      <c r="AX179" s="62">
        <v>142</v>
      </c>
      <c r="AY179" s="62">
        <v>159</v>
      </c>
      <c r="AZ179" s="62">
        <v>129</v>
      </c>
      <c r="BA179" s="62">
        <v>160</v>
      </c>
      <c r="BB179" s="62">
        <v>128</v>
      </c>
      <c r="BC179" s="62">
        <v>132</v>
      </c>
      <c r="BD179" s="62">
        <v>123</v>
      </c>
      <c r="BE179" s="62">
        <v>132</v>
      </c>
      <c r="BF179" s="62">
        <v>188</v>
      </c>
      <c r="BG179" s="62">
        <v>150</v>
      </c>
      <c r="BH179" s="62">
        <v>168</v>
      </c>
    </row>
    <row r="180" spans="2:60" x14ac:dyDescent="0.2">
      <c r="B180" s="59"/>
      <c r="C180" s="59" t="s">
        <v>673</v>
      </c>
      <c r="D180" s="59" t="s">
        <v>649</v>
      </c>
      <c r="E180" s="63">
        <v>149</v>
      </c>
      <c r="F180" s="63">
        <v>121</v>
      </c>
      <c r="G180" s="63">
        <v>111</v>
      </c>
      <c r="H180" s="63">
        <v>121</v>
      </c>
      <c r="I180" s="63">
        <v>128</v>
      </c>
      <c r="J180" s="63">
        <v>132</v>
      </c>
      <c r="K180" s="63">
        <v>156</v>
      </c>
      <c r="L180" s="63">
        <v>123</v>
      </c>
      <c r="M180" s="63">
        <v>162</v>
      </c>
      <c r="N180" s="63">
        <v>139</v>
      </c>
      <c r="O180" s="63">
        <v>162</v>
      </c>
      <c r="P180" s="63">
        <v>142</v>
      </c>
      <c r="Q180" s="63">
        <v>168</v>
      </c>
      <c r="R180" s="63">
        <v>162</v>
      </c>
      <c r="S180" s="63">
        <v>181</v>
      </c>
      <c r="T180" s="63">
        <v>199</v>
      </c>
      <c r="U180" s="63">
        <v>204</v>
      </c>
      <c r="V180" s="63">
        <v>157</v>
      </c>
      <c r="W180" s="63">
        <v>167</v>
      </c>
      <c r="X180" s="63">
        <v>134</v>
      </c>
      <c r="Y180" s="63">
        <v>190</v>
      </c>
      <c r="Z180" s="63">
        <v>172</v>
      </c>
      <c r="AA180" s="63">
        <v>194</v>
      </c>
      <c r="AB180" s="63">
        <v>143</v>
      </c>
      <c r="AC180" s="63">
        <v>154</v>
      </c>
      <c r="AD180" s="63">
        <v>145</v>
      </c>
      <c r="AE180" s="63">
        <v>156</v>
      </c>
      <c r="AF180" s="63">
        <v>149</v>
      </c>
      <c r="AG180" s="63">
        <v>148</v>
      </c>
      <c r="AH180" s="63">
        <v>161</v>
      </c>
      <c r="AI180" s="63">
        <v>140</v>
      </c>
      <c r="AJ180" s="63">
        <v>164</v>
      </c>
      <c r="AK180" s="63">
        <v>138</v>
      </c>
      <c r="AL180" s="63">
        <v>157</v>
      </c>
      <c r="AM180" s="63">
        <v>147</v>
      </c>
      <c r="AN180" s="63">
        <v>125</v>
      </c>
      <c r="AO180" s="63">
        <v>135</v>
      </c>
      <c r="AP180" s="63">
        <v>131</v>
      </c>
      <c r="AQ180" s="63">
        <v>129</v>
      </c>
      <c r="AR180" s="63">
        <v>116</v>
      </c>
      <c r="AS180" s="63">
        <v>94</v>
      </c>
      <c r="AT180" s="63">
        <v>109</v>
      </c>
      <c r="AU180" s="63">
        <v>75</v>
      </c>
      <c r="AV180" s="63">
        <v>86</v>
      </c>
      <c r="AW180" s="63">
        <v>84</v>
      </c>
      <c r="AX180" s="63">
        <v>93</v>
      </c>
      <c r="AY180" s="63">
        <v>97</v>
      </c>
      <c r="AZ180" s="63">
        <v>91</v>
      </c>
      <c r="BA180" s="63">
        <v>91</v>
      </c>
      <c r="BB180" s="63">
        <v>67</v>
      </c>
      <c r="BC180" s="63">
        <v>92</v>
      </c>
      <c r="BD180" s="63">
        <v>86</v>
      </c>
      <c r="BE180" s="63">
        <v>102</v>
      </c>
      <c r="BF180" s="63">
        <v>86</v>
      </c>
      <c r="BG180" s="63">
        <v>92</v>
      </c>
      <c r="BH180" s="63">
        <v>90</v>
      </c>
    </row>
    <row r="181" spans="2:60" hidden="1" x14ac:dyDescent="0.2">
      <c r="B181" s="57"/>
      <c r="C181" s="57" t="s">
        <v>673</v>
      </c>
      <c r="D181" s="57" t="s">
        <v>650</v>
      </c>
      <c r="E181" s="62">
        <v>54</v>
      </c>
      <c r="F181" s="62">
        <v>63</v>
      </c>
      <c r="G181" s="62">
        <v>62</v>
      </c>
      <c r="H181" s="62">
        <v>36</v>
      </c>
      <c r="I181" s="62">
        <v>51</v>
      </c>
      <c r="J181" s="62">
        <v>71</v>
      </c>
      <c r="K181" s="62">
        <v>61</v>
      </c>
      <c r="L181" s="62">
        <v>37</v>
      </c>
      <c r="M181" s="62">
        <v>57</v>
      </c>
      <c r="N181" s="62">
        <v>52</v>
      </c>
      <c r="O181" s="62">
        <v>61</v>
      </c>
      <c r="P181" s="62">
        <v>53</v>
      </c>
      <c r="Q181" s="62">
        <v>89</v>
      </c>
      <c r="R181" s="62">
        <v>101</v>
      </c>
      <c r="S181" s="62">
        <v>107</v>
      </c>
      <c r="T181" s="62">
        <v>100</v>
      </c>
      <c r="U181" s="62">
        <v>124</v>
      </c>
      <c r="V181" s="62">
        <v>106</v>
      </c>
      <c r="W181" s="62">
        <v>123</v>
      </c>
      <c r="X181" s="62">
        <v>109</v>
      </c>
      <c r="Y181" s="62">
        <v>95</v>
      </c>
      <c r="Z181" s="62">
        <v>108</v>
      </c>
      <c r="AA181" s="62">
        <v>142</v>
      </c>
      <c r="AB181" s="62">
        <v>112</v>
      </c>
      <c r="AC181" s="62">
        <v>144</v>
      </c>
      <c r="AD181" s="62">
        <v>115</v>
      </c>
      <c r="AE181" s="62">
        <v>141</v>
      </c>
      <c r="AF181" s="62">
        <v>153</v>
      </c>
      <c r="AG181" s="62">
        <v>136</v>
      </c>
      <c r="AH181" s="62">
        <v>133</v>
      </c>
      <c r="AI181" s="62">
        <v>142</v>
      </c>
      <c r="AJ181" s="62">
        <v>184</v>
      </c>
      <c r="AK181" s="62">
        <v>120</v>
      </c>
      <c r="AL181" s="62">
        <v>183</v>
      </c>
      <c r="AM181" s="62">
        <v>149</v>
      </c>
      <c r="AN181" s="62">
        <v>116</v>
      </c>
      <c r="AO181" s="62">
        <v>117</v>
      </c>
      <c r="AP181" s="62">
        <v>146</v>
      </c>
      <c r="AQ181" s="62">
        <v>92</v>
      </c>
      <c r="AR181" s="62">
        <v>108</v>
      </c>
      <c r="AS181" s="62">
        <v>78</v>
      </c>
      <c r="AT181" s="62">
        <v>70</v>
      </c>
      <c r="AU181" s="62">
        <v>73</v>
      </c>
      <c r="AV181" s="62">
        <v>84</v>
      </c>
      <c r="AW181" s="62">
        <v>76</v>
      </c>
      <c r="AX181" s="62">
        <v>93</v>
      </c>
      <c r="AY181" s="62">
        <v>97</v>
      </c>
      <c r="AZ181" s="62">
        <v>85</v>
      </c>
      <c r="BA181" s="62">
        <v>90</v>
      </c>
      <c r="BB181" s="62">
        <v>88</v>
      </c>
      <c r="BC181" s="62">
        <v>94</v>
      </c>
      <c r="BD181" s="62">
        <v>76</v>
      </c>
      <c r="BE181" s="62">
        <v>105</v>
      </c>
      <c r="BF181" s="62">
        <v>109</v>
      </c>
      <c r="BG181" s="62">
        <v>105</v>
      </c>
      <c r="BH181" s="62">
        <v>94</v>
      </c>
    </row>
    <row r="182" spans="2:60" hidden="1" x14ac:dyDescent="0.2">
      <c r="B182" s="59"/>
      <c r="C182" s="59" t="s">
        <v>673</v>
      </c>
      <c r="D182" s="59" t="s">
        <v>651</v>
      </c>
      <c r="E182" s="63">
        <v>103</v>
      </c>
      <c r="F182" s="63">
        <v>82</v>
      </c>
      <c r="G182" s="63">
        <v>93</v>
      </c>
      <c r="H182" s="63">
        <v>87</v>
      </c>
      <c r="I182" s="63">
        <v>98</v>
      </c>
      <c r="J182" s="63">
        <v>84</v>
      </c>
      <c r="K182" s="63">
        <v>105</v>
      </c>
      <c r="L182" s="63">
        <v>68</v>
      </c>
      <c r="M182" s="63">
        <v>82</v>
      </c>
      <c r="N182" s="63">
        <v>95</v>
      </c>
      <c r="O182" s="63">
        <v>98</v>
      </c>
      <c r="P182" s="63">
        <v>98</v>
      </c>
      <c r="Q182" s="63">
        <v>119</v>
      </c>
      <c r="R182" s="63">
        <v>94</v>
      </c>
      <c r="S182" s="63">
        <v>94</v>
      </c>
      <c r="T182" s="63">
        <v>79</v>
      </c>
      <c r="U182" s="63">
        <v>106</v>
      </c>
      <c r="V182" s="63">
        <v>91</v>
      </c>
      <c r="W182" s="63">
        <v>99</v>
      </c>
      <c r="X182" s="63">
        <v>70</v>
      </c>
      <c r="Y182" s="63">
        <v>89</v>
      </c>
      <c r="Z182" s="63">
        <v>76</v>
      </c>
      <c r="AA182" s="63">
        <v>60</v>
      </c>
      <c r="AB182" s="63">
        <v>59</v>
      </c>
      <c r="AC182" s="63">
        <v>97</v>
      </c>
      <c r="AD182" s="63">
        <v>80</v>
      </c>
      <c r="AE182" s="63">
        <v>81</v>
      </c>
      <c r="AF182" s="63">
        <v>85</v>
      </c>
      <c r="AG182" s="63">
        <v>71</v>
      </c>
      <c r="AH182" s="63">
        <v>83</v>
      </c>
      <c r="AI182" s="63">
        <v>91</v>
      </c>
      <c r="AJ182" s="63">
        <v>72</v>
      </c>
      <c r="AK182" s="63">
        <v>87</v>
      </c>
      <c r="AL182" s="63">
        <v>83</v>
      </c>
      <c r="AM182" s="63">
        <v>64</v>
      </c>
      <c r="AN182" s="63">
        <v>50</v>
      </c>
      <c r="AO182" s="63">
        <v>60</v>
      </c>
      <c r="AP182" s="63">
        <v>72</v>
      </c>
      <c r="AQ182" s="63">
        <v>68</v>
      </c>
      <c r="AR182" s="63">
        <v>64</v>
      </c>
      <c r="AS182" s="63">
        <v>60</v>
      </c>
      <c r="AT182" s="63">
        <v>60</v>
      </c>
      <c r="AU182" s="63">
        <v>53</v>
      </c>
      <c r="AV182" s="63">
        <v>46</v>
      </c>
      <c r="AW182" s="63">
        <v>60</v>
      </c>
      <c r="AX182" s="63">
        <v>73</v>
      </c>
      <c r="AY182" s="63">
        <v>53</v>
      </c>
      <c r="AZ182" s="63">
        <v>61</v>
      </c>
      <c r="BA182" s="63">
        <v>57</v>
      </c>
      <c r="BB182" s="63">
        <v>66</v>
      </c>
      <c r="BC182" s="63">
        <v>63</v>
      </c>
      <c r="BD182" s="63">
        <v>67</v>
      </c>
      <c r="BE182" s="63">
        <v>69</v>
      </c>
      <c r="BF182" s="63">
        <v>67</v>
      </c>
      <c r="BG182" s="63">
        <v>63</v>
      </c>
      <c r="BH182" s="63">
        <v>64</v>
      </c>
    </row>
    <row r="183" spans="2:60" x14ac:dyDescent="0.2">
      <c r="B183" s="57"/>
      <c r="C183" s="57" t="s">
        <v>673</v>
      </c>
      <c r="D183" s="57" t="s">
        <v>652</v>
      </c>
      <c r="E183" s="62">
        <v>848</v>
      </c>
      <c r="F183" s="62">
        <v>759</v>
      </c>
      <c r="G183" s="62">
        <v>838</v>
      </c>
      <c r="H183" s="62">
        <v>725</v>
      </c>
      <c r="I183" s="62">
        <v>783</v>
      </c>
      <c r="J183" s="62">
        <v>793</v>
      </c>
      <c r="K183" s="62">
        <v>762</v>
      </c>
      <c r="L183" s="62">
        <v>723</v>
      </c>
      <c r="M183" s="62">
        <v>786</v>
      </c>
      <c r="N183" s="62">
        <v>691</v>
      </c>
      <c r="O183" s="62">
        <v>771</v>
      </c>
      <c r="P183" s="62">
        <v>662</v>
      </c>
      <c r="Q183" s="62">
        <v>789</v>
      </c>
      <c r="R183" s="62">
        <v>717</v>
      </c>
      <c r="S183" s="62">
        <v>784</v>
      </c>
      <c r="T183" s="62">
        <v>685</v>
      </c>
      <c r="U183" s="62">
        <v>723</v>
      </c>
      <c r="V183" s="62">
        <v>692</v>
      </c>
      <c r="W183" s="62">
        <v>739</v>
      </c>
      <c r="X183" s="62">
        <v>655</v>
      </c>
      <c r="Y183" s="62">
        <v>766</v>
      </c>
      <c r="Z183" s="62">
        <v>706</v>
      </c>
      <c r="AA183" s="62">
        <v>684</v>
      </c>
      <c r="AB183" s="62">
        <v>661</v>
      </c>
      <c r="AC183" s="62">
        <v>688</v>
      </c>
      <c r="AD183" s="62">
        <v>699</v>
      </c>
      <c r="AE183" s="62">
        <v>713</v>
      </c>
      <c r="AF183" s="62">
        <v>677</v>
      </c>
      <c r="AG183" s="62">
        <v>705</v>
      </c>
      <c r="AH183" s="62">
        <v>684</v>
      </c>
      <c r="AI183" s="62">
        <v>662</v>
      </c>
      <c r="AJ183" s="62">
        <v>696</v>
      </c>
      <c r="AK183" s="62">
        <v>617</v>
      </c>
      <c r="AL183" s="62">
        <v>729</v>
      </c>
      <c r="AM183" s="62">
        <v>613</v>
      </c>
      <c r="AN183" s="62">
        <v>600</v>
      </c>
      <c r="AO183" s="62">
        <v>568</v>
      </c>
      <c r="AP183" s="62">
        <v>587</v>
      </c>
      <c r="AQ183" s="62">
        <v>602</v>
      </c>
      <c r="AR183" s="62">
        <v>537</v>
      </c>
      <c r="AS183" s="62">
        <v>545</v>
      </c>
      <c r="AT183" s="62">
        <v>498</v>
      </c>
      <c r="AU183" s="62">
        <v>512</v>
      </c>
      <c r="AV183" s="62">
        <v>500</v>
      </c>
      <c r="AW183" s="62">
        <v>452</v>
      </c>
      <c r="AX183" s="62">
        <v>529</v>
      </c>
      <c r="AY183" s="62">
        <v>619</v>
      </c>
      <c r="AZ183" s="62">
        <v>566</v>
      </c>
      <c r="BA183" s="62">
        <v>526</v>
      </c>
      <c r="BB183" s="62">
        <v>544</v>
      </c>
      <c r="BC183" s="62">
        <v>581</v>
      </c>
      <c r="BD183" s="62">
        <v>592</v>
      </c>
      <c r="BE183" s="62">
        <v>554</v>
      </c>
      <c r="BF183" s="62">
        <v>553</v>
      </c>
      <c r="BG183" s="62">
        <v>594</v>
      </c>
      <c r="BH183" s="62">
        <v>636</v>
      </c>
    </row>
    <row r="184" spans="2:60" hidden="1" x14ac:dyDescent="0.2">
      <c r="B184" s="59"/>
      <c r="C184" s="59" t="s">
        <v>673</v>
      </c>
      <c r="D184" s="59" t="s">
        <v>653</v>
      </c>
      <c r="E184" s="63">
        <v>993</v>
      </c>
      <c r="F184" s="63">
        <v>862</v>
      </c>
      <c r="G184" s="63">
        <v>951</v>
      </c>
      <c r="H184" s="63">
        <v>861</v>
      </c>
      <c r="I184" s="63">
        <v>880</v>
      </c>
      <c r="J184" s="63">
        <v>841</v>
      </c>
      <c r="K184" s="63">
        <v>942</v>
      </c>
      <c r="L184" s="63">
        <v>896</v>
      </c>
      <c r="M184" s="63">
        <v>949</v>
      </c>
      <c r="N184" s="63">
        <v>870</v>
      </c>
      <c r="O184" s="63">
        <v>896</v>
      </c>
      <c r="P184" s="63">
        <v>863</v>
      </c>
      <c r="Q184" s="63">
        <v>901</v>
      </c>
      <c r="R184" s="63">
        <v>813</v>
      </c>
      <c r="S184" s="63">
        <v>942</v>
      </c>
      <c r="T184" s="63">
        <v>914</v>
      </c>
      <c r="U184" s="63">
        <v>972</v>
      </c>
      <c r="V184" s="63">
        <v>864</v>
      </c>
      <c r="W184" s="63">
        <v>973</v>
      </c>
      <c r="X184" s="63">
        <v>971</v>
      </c>
      <c r="Y184" s="63">
        <v>1036</v>
      </c>
      <c r="Z184" s="63">
        <v>1019</v>
      </c>
      <c r="AA184" s="63">
        <v>1063</v>
      </c>
      <c r="AB184" s="63">
        <v>993</v>
      </c>
      <c r="AC184" s="63">
        <v>1127</v>
      </c>
      <c r="AD184" s="63">
        <v>1106</v>
      </c>
      <c r="AE184" s="63">
        <v>1267</v>
      </c>
      <c r="AF184" s="63">
        <v>1138</v>
      </c>
      <c r="AG184" s="63">
        <v>1121</v>
      </c>
      <c r="AH184" s="63">
        <v>990</v>
      </c>
      <c r="AI184" s="63">
        <v>1076</v>
      </c>
      <c r="AJ184" s="63">
        <v>1264</v>
      </c>
      <c r="AK184" s="63">
        <v>1049</v>
      </c>
      <c r="AL184" s="63">
        <v>1016</v>
      </c>
      <c r="AM184" s="63">
        <v>921</v>
      </c>
      <c r="AN184" s="63">
        <v>837</v>
      </c>
      <c r="AO184" s="63">
        <v>830</v>
      </c>
      <c r="AP184" s="63">
        <v>874</v>
      </c>
      <c r="AQ184" s="63">
        <v>959</v>
      </c>
      <c r="AR184" s="63">
        <v>966</v>
      </c>
      <c r="AS184" s="63">
        <v>799</v>
      </c>
      <c r="AT184" s="63">
        <v>875</v>
      </c>
      <c r="AU184" s="63">
        <v>862</v>
      </c>
      <c r="AV184" s="63">
        <v>815</v>
      </c>
      <c r="AW184" s="63">
        <v>787</v>
      </c>
      <c r="AX184" s="63">
        <v>1081</v>
      </c>
      <c r="AY184" s="63">
        <v>1151</v>
      </c>
      <c r="AZ184" s="63">
        <v>1145</v>
      </c>
      <c r="BA184" s="63">
        <v>1168</v>
      </c>
      <c r="BB184" s="63">
        <v>1182</v>
      </c>
      <c r="BC184" s="63">
        <v>1338</v>
      </c>
      <c r="BD184" s="63">
        <v>1342</v>
      </c>
      <c r="BE184" s="63">
        <v>1235</v>
      </c>
      <c r="BF184" s="63">
        <v>1268</v>
      </c>
      <c r="BG184" s="63">
        <v>1305</v>
      </c>
      <c r="BH184" s="63">
        <v>1326</v>
      </c>
    </row>
    <row r="185" spans="2:60" x14ac:dyDescent="0.2">
      <c r="B185" s="57"/>
      <c r="C185" s="57" t="s">
        <v>673</v>
      </c>
      <c r="D185" s="57" t="s">
        <v>654</v>
      </c>
      <c r="E185" s="62">
        <v>36</v>
      </c>
      <c r="F185" s="62">
        <v>27</v>
      </c>
      <c r="G185" s="62">
        <v>34</v>
      </c>
      <c r="H185" s="62">
        <v>38</v>
      </c>
      <c r="I185" s="62">
        <v>33</v>
      </c>
      <c r="J185" s="62">
        <v>26</v>
      </c>
      <c r="K185" s="62">
        <v>39</v>
      </c>
      <c r="L185" s="62">
        <v>33</v>
      </c>
      <c r="M185" s="62">
        <v>33</v>
      </c>
      <c r="N185" s="62">
        <v>32</v>
      </c>
      <c r="O185" s="62">
        <v>41</v>
      </c>
      <c r="P185" s="62">
        <v>31</v>
      </c>
      <c r="Q185" s="62">
        <v>43</v>
      </c>
      <c r="R185" s="62">
        <v>39</v>
      </c>
      <c r="S185" s="62">
        <v>45</v>
      </c>
      <c r="T185" s="62">
        <v>39</v>
      </c>
      <c r="U185" s="62">
        <v>40</v>
      </c>
      <c r="V185" s="62">
        <v>32</v>
      </c>
      <c r="W185" s="62">
        <v>31</v>
      </c>
      <c r="X185" s="62">
        <v>36</v>
      </c>
      <c r="Y185" s="62">
        <v>36</v>
      </c>
      <c r="Z185" s="62">
        <v>38</v>
      </c>
      <c r="AA185" s="62">
        <v>34</v>
      </c>
      <c r="AB185" s="62">
        <v>33</v>
      </c>
      <c r="AC185" s="62">
        <v>41</v>
      </c>
      <c r="AD185" s="62">
        <v>57</v>
      </c>
      <c r="AE185" s="62">
        <v>36</v>
      </c>
      <c r="AF185" s="62">
        <v>37</v>
      </c>
      <c r="AG185" s="62">
        <v>40</v>
      </c>
      <c r="AH185" s="62">
        <v>35</v>
      </c>
      <c r="AI185" s="62">
        <v>31</v>
      </c>
      <c r="AJ185" s="62">
        <v>31</v>
      </c>
      <c r="AK185" s="62">
        <v>37</v>
      </c>
      <c r="AL185" s="62">
        <v>31</v>
      </c>
      <c r="AM185" s="62">
        <v>30</v>
      </c>
      <c r="AN185" s="62">
        <v>36</v>
      </c>
      <c r="AO185" s="62">
        <v>26</v>
      </c>
      <c r="AP185" s="62">
        <v>26</v>
      </c>
      <c r="AQ185" s="62">
        <v>29</v>
      </c>
      <c r="AR185" s="62">
        <v>25</v>
      </c>
      <c r="AS185" s="62">
        <v>27</v>
      </c>
      <c r="AT185" s="62">
        <v>27</v>
      </c>
      <c r="AU185" s="62">
        <v>26</v>
      </c>
      <c r="AV185" s="62">
        <v>34</v>
      </c>
      <c r="AW185" s="62">
        <v>30</v>
      </c>
      <c r="AX185" s="62">
        <v>36</v>
      </c>
      <c r="AY185" s="62">
        <v>29</v>
      </c>
      <c r="AZ185" s="62">
        <v>18</v>
      </c>
      <c r="BA185" s="62">
        <v>24</v>
      </c>
      <c r="BB185" s="62">
        <v>30</v>
      </c>
      <c r="BC185" s="62">
        <v>25</v>
      </c>
      <c r="BD185" s="62">
        <v>21</v>
      </c>
      <c r="BE185" s="62">
        <v>23</v>
      </c>
      <c r="BF185" s="62">
        <v>29</v>
      </c>
      <c r="BG185" s="62">
        <v>25</v>
      </c>
      <c r="BH185" s="62">
        <v>23</v>
      </c>
    </row>
    <row r="186" spans="2:60" x14ac:dyDescent="0.2">
      <c r="B186" s="59"/>
      <c r="C186" s="59" t="s">
        <v>673</v>
      </c>
      <c r="D186" s="59" t="s">
        <v>655</v>
      </c>
      <c r="E186" s="63">
        <v>125</v>
      </c>
      <c r="F186" s="63">
        <v>81</v>
      </c>
      <c r="G186" s="63">
        <v>108</v>
      </c>
      <c r="H186" s="63">
        <v>96</v>
      </c>
      <c r="I186" s="63">
        <v>115</v>
      </c>
      <c r="J186" s="63">
        <v>83</v>
      </c>
      <c r="K186" s="63">
        <v>105</v>
      </c>
      <c r="L186" s="63">
        <v>111</v>
      </c>
      <c r="M186" s="63">
        <v>140</v>
      </c>
      <c r="N186" s="63">
        <v>101</v>
      </c>
      <c r="O186" s="63">
        <v>127</v>
      </c>
      <c r="P186" s="63">
        <v>148</v>
      </c>
      <c r="Q186" s="63">
        <v>122</v>
      </c>
      <c r="R186" s="63">
        <v>122</v>
      </c>
      <c r="S186" s="63">
        <v>166</v>
      </c>
      <c r="T186" s="63">
        <v>163</v>
      </c>
      <c r="U186" s="63">
        <v>192</v>
      </c>
      <c r="V186" s="63">
        <v>174</v>
      </c>
      <c r="W186" s="63">
        <v>148</v>
      </c>
      <c r="X186" s="63">
        <v>153</v>
      </c>
      <c r="Y186" s="63">
        <v>191</v>
      </c>
      <c r="Z186" s="63">
        <v>173</v>
      </c>
      <c r="AA186" s="63">
        <v>188</v>
      </c>
      <c r="AB186" s="63">
        <v>203</v>
      </c>
      <c r="AC186" s="63">
        <v>192</v>
      </c>
      <c r="AD186" s="63">
        <v>185</v>
      </c>
      <c r="AE186" s="63">
        <v>204</v>
      </c>
      <c r="AF186" s="63">
        <v>241</v>
      </c>
      <c r="AG186" s="63">
        <v>231</v>
      </c>
      <c r="AH186" s="63">
        <v>201</v>
      </c>
      <c r="AI186" s="63">
        <v>198</v>
      </c>
      <c r="AJ186" s="63">
        <v>231</v>
      </c>
      <c r="AK186" s="63">
        <v>282</v>
      </c>
      <c r="AL186" s="63">
        <v>269</v>
      </c>
      <c r="AM186" s="63">
        <v>249</v>
      </c>
      <c r="AN186" s="63">
        <v>197</v>
      </c>
      <c r="AO186" s="63">
        <v>230</v>
      </c>
      <c r="AP186" s="63">
        <v>193</v>
      </c>
      <c r="AQ186" s="63">
        <v>193</v>
      </c>
      <c r="AR186" s="63">
        <v>178</v>
      </c>
      <c r="AS186" s="63">
        <v>156</v>
      </c>
      <c r="AT186" s="63">
        <v>110</v>
      </c>
      <c r="AU186" s="63">
        <v>150</v>
      </c>
      <c r="AV186" s="63">
        <v>138</v>
      </c>
      <c r="AW186" s="63">
        <v>156</v>
      </c>
      <c r="AX186" s="63">
        <v>218</v>
      </c>
      <c r="AY186" s="63">
        <v>275</v>
      </c>
      <c r="AZ186" s="63">
        <v>168</v>
      </c>
      <c r="BA186" s="63">
        <v>218</v>
      </c>
      <c r="BB186" s="63">
        <v>195</v>
      </c>
      <c r="BC186" s="63">
        <v>202</v>
      </c>
      <c r="BD186" s="63">
        <v>205</v>
      </c>
      <c r="BE186" s="63">
        <v>233</v>
      </c>
      <c r="BF186" s="63">
        <v>198</v>
      </c>
      <c r="BG186" s="63">
        <v>235</v>
      </c>
      <c r="BH186" s="63">
        <v>284</v>
      </c>
    </row>
    <row r="187" spans="2:60" hidden="1" x14ac:dyDescent="0.2">
      <c r="B187" s="57"/>
      <c r="C187" s="57" t="s">
        <v>673</v>
      </c>
      <c r="D187" s="57" t="s">
        <v>699</v>
      </c>
      <c r="E187" s="62">
        <v>414</v>
      </c>
      <c r="F187" s="62">
        <v>297</v>
      </c>
      <c r="G187" s="62">
        <v>284</v>
      </c>
      <c r="H187" s="62">
        <v>229</v>
      </c>
      <c r="I187" s="62">
        <v>355</v>
      </c>
      <c r="J187" s="62">
        <v>237</v>
      </c>
      <c r="K187" s="62">
        <v>251</v>
      </c>
      <c r="L187" s="62">
        <v>223</v>
      </c>
      <c r="M187" s="62">
        <v>392</v>
      </c>
      <c r="N187" s="62">
        <v>234</v>
      </c>
      <c r="O187" s="62">
        <v>248</v>
      </c>
      <c r="P187" s="62">
        <v>243</v>
      </c>
      <c r="Q187" s="62">
        <v>315</v>
      </c>
      <c r="R187" s="62">
        <v>256</v>
      </c>
      <c r="S187" s="62">
        <v>285</v>
      </c>
      <c r="T187" s="62">
        <v>276</v>
      </c>
      <c r="U187" s="62">
        <v>359</v>
      </c>
      <c r="V187" s="62">
        <v>310</v>
      </c>
      <c r="W187" s="62">
        <v>405</v>
      </c>
      <c r="X187" s="62">
        <v>320</v>
      </c>
      <c r="Y187" s="62">
        <v>412</v>
      </c>
      <c r="Z187" s="62">
        <v>308</v>
      </c>
      <c r="AA187" s="62">
        <v>391</v>
      </c>
      <c r="AB187" s="62">
        <v>352</v>
      </c>
      <c r="AC187" s="62">
        <v>404</v>
      </c>
      <c r="AD187" s="62">
        <v>365</v>
      </c>
      <c r="AE187" s="62">
        <v>391</v>
      </c>
      <c r="AF187" s="62">
        <v>360</v>
      </c>
      <c r="AG187" s="62">
        <v>351</v>
      </c>
      <c r="AH187" s="62">
        <v>298</v>
      </c>
      <c r="AI187" s="62">
        <v>295</v>
      </c>
      <c r="AJ187" s="62">
        <v>305</v>
      </c>
      <c r="AK187" s="62">
        <v>323</v>
      </c>
      <c r="AL187" s="62">
        <v>295</v>
      </c>
      <c r="AM187" s="62">
        <v>261</v>
      </c>
      <c r="AN187" s="62">
        <v>301</v>
      </c>
      <c r="AO187" s="62">
        <v>264</v>
      </c>
      <c r="AP187" s="62">
        <v>285</v>
      </c>
      <c r="AQ187" s="62">
        <v>265</v>
      </c>
      <c r="AR187" s="62">
        <v>294</v>
      </c>
      <c r="AS187" s="62">
        <v>295</v>
      </c>
      <c r="AT187" s="62">
        <v>287</v>
      </c>
      <c r="AU187" s="62">
        <v>236</v>
      </c>
      <c r="AV187" s="62">
        <v>225</v>
      </c>
      <c r="AW187" s="62">
        <v>257</v>
      </c>
      <c r="AX187" s="62">
        <v>345</v>
      </c>
      <c r="AY187" s="62">
        <v>337</v>
      </c>
      <c r="AZ187" s="62">
        <v>256</v>
      </c>
      <c r="BA187" s="62">
        <v>374</v>
      </c>
      <c r="BB187" s="62">
        <v>323</v>
      </c>
      <c r="BC187" s="62">
        <v>281</v>
      </c>
      <c r="BD187" s="62">
        <v>342</v>
      </c>
      <c r="BE187" s="62">
        <v>333</v>
      </c>
      <c r="BF187" s="62">
        <v>305</v>
      </c>
      <c r="BG187" s="62">
        <v>338</v>
      </c>
      <c r="BH187" s="62">
        <v>333</v>
      </c>
    </row>
    <row r="188" spans="2:60" hidden="1" x14ac:dyDescent="0.2">
      <c r="B188" s="59"/>
      <c r="C188" s="59" t="s">
        <v>673</v>
      </c>
      <c r="D188" s="59" t="s">
        <v>656</v>
      </c>
      <c r="E188" s="63">
        <v>2826</v>
      </c>
      <c r="F188" s="63">
        <v>2343</v>
      </c>
      <c r="G188" s="63">
        <v>2537</v>
      </c>
      <c r="H188" s="63">
        <v>2249</v>
      </c>
      <c r="I188" s="63">
        <v>2546</v>
      </c>
      <c r="J188" s="63">
        <v>2328</v>
      </c>
      <c r="K188" s="63">
        <v>2477</v>
      </c>
      <c r="L188" s="63">
        <v>2271</v>
      </c>
      <c r="M188" s="63">
        <v>2698</v>
      </c>
      <c r="N188" s="63">
        <v>2282</v>
      </c>
      <c r="O188" s="63">
        <v>2470</v>
      </c>
      <c r="P188" s="63">
        <v>2297</v>
      </c>
      <c r="Q188" s="63">
        <v>2639</v>
      </c>
      <c r="R188" s="63">
        <v>2381</v>
      </c>
      <c r="S188" s="63">
        <v>2717</v>
      </c>
      <c r="T188" s="63">
        <v>2553</v>
      </c>
      <c r="U188" s="63">
        <v>2871</v>
      </c>
      <c r="V188" s="63">
        <v>2527</v>
      </c>
      <c r="W188" s="63">
        <v>2813</v>
      </c>
      <c r="X188" s="63">
        <v>2570</v>
      </c>
      <c r="Y188" s="63">
        <v>2963</v>
      </c>
      <c r="Z188" s="63">
        <v>2726</v>
      </c>
      <c r="AA188" s="63">
        <v>2930</v>
      </c>
      <c r="AB188" s="63">
        <v>2687</v>
      </c>
      <c r="AC188" s="63">
        <v>3008</v>
      </c>
      <c r="AD188" s="63">
        <v>2904</v>
      </c>
      <c r="AE188" s="63">
        <v>3171</v>
      </c>
      <c r="AF188" s="63">
        <v>3029</v>
      </c>
      <c r="AG188" s="63">
        <v>3036</v>
      </c>
      <c r="AH188" s="63">
        <v>2758</v>
      </c>
      <c r="AI188" s="63">
        <v>2792</v>
      </c>
      <c r="AJ188" s="63">
        <v>3162</v>
      </c>
      <c r="AK188" s="63">
        <v>2853</v>
      </c>
      <c r="AL188" s="63">
        <v>2999</v>
      </c>
      <c r="AM188" s="63">
        <v>2619</v>
      </c>
      <c r="AN188" s="63">
        <v>2450</v>
      </c>
      <c r="AO188" s="63">
        <v>2437</v>
      </c>
      <c r="AP188" s="63">
        <v>2462</v>
      </c>
      <c r="AQ188" s="63">
        <v>2517</v>
      </c>
      <c r="AR188" s="63">
        <v>2438</v>
      </c>
      <c r="AS188" s="63">
        <v>2180</v>
      </c>
      <c r="AT188" s="63">
        <v>2183</v>
      </c>
      <c r="AU188" s="63">
        <v>2115</v>
      </c>
      <c r="AV188" s="63">
        <v>2037</v>
      </c>
      <c r="AW188" s="63">
        <v>2010</v>
      </c>
      <c r="AX188" s="63">
        <v>2610</v>
      </c>
      <c r="AY188" s="63">
        <v>2817</v>
      </c>
      <c r="AZ188" s="63">
        <v>2519</v>
      </c>
      <c r="BA188" s="63">
        <v>2708</v>
      </c>
      <c r="BB188" s="63">
        <v>2623</v>
      </c>
      <c r="BC188" s="63">
        <v>2808</v>
      </c>
      <c r="BD188" s="63">
        <v>2854</v>
      </c>
      <c r="BE188" s="63">
        <v>2786</v>
      </c>
      <c r="BF188" s="63">
        <v>2803</v>
      </c>
      <c r="BG188" s="63">
        <v>2907</v>
      </c>
      <c r="BH188" s="63">
        <v>3018</v>
      </c>
    </row>
    <row r="189" spans="2:60" hidden="1" x14ac:dyDescent="0.2">
      <c r="B189" s="57"/>
      <c r="C189" s="57" t="s">
        <v>674</v>
      </c>
      <c r="D189" s="57" t="s">
        <v>648</v>
      </c>
      <c r="E189" s="62">
        <v>4</v>
      </c>
      <c r="F189" s="62">
        <v>4</v>
      </c>
      <c r="G189" s="62">
        <v>3</v>
      </c>
      <c r="H189" s="62">
        <v>4</v>
      </c>
      <c r="I189" s="62">
        <v>22</v>
      </c>
      <c r="J189" s="62">
        <v>2</v>
      </c>
      <c r="K189" s="62">
        <v>3</v>
      </c>
      <c r="L189" s="62">
        <v>1</v>
      </c>
      <c r="M189" s="62">
        <v>9</v>
      </c>
      <c r="N189" s="62">
        <v>5</v>
      </c>
      <c r="O189" s="62">
        <v>3</v>
      </c>
      <c r="P189" s="62">
        <v>2</v>
      </c>
      <c r="Q189" s="62">
        <v>17</v>
      </c>
      <c r="R189" s="62">
        <v>18</v>
      </c>
      <c r="S189" s="62">
        <v>15</v>
      </c>
      <c r="T189" s="62">
        <v>9</v>
      </c>
      <c r="U189" s="62">
        <v>14</v>
      </c>
      <c r="V189" s="62">
        <v>8</v>
      </c>
      <c r="W189" s="62">
        <v>5</v>
      </c>
      <c r="X189" s="62">
        <v>8</v>
      </c>
      <c r="Y189" s="62">
        <v>13</v>
      </c>
      <c r="Z189" s="62">
        <v>6</v>
      </c>
      <c r="AA189" s="62">
        <v>6</v>
      </c>
      <c r="AB189" s="62">
        <v>10</v>
      </c>
      <c r="AC189" s="62">
        <v>7</v>
      </c>
      <c r="AD189" s="62">
        <v>10</v>
      </c>
      <c r="AE189" s="62">
        <v>10</v>
      </c>
      <c r="AF189" s="62">
        <v>9</v>
      </c>
      <c r="AG189" s="62">
        <v>8</v>
      </c>
      <c r="AH189" s="62">
        <v>4</v>
      </c>
      <c r="AI189" s="62">
        <v>5</v>
      </c>
      <c r="AJ189" s="62">
        <v>4</v>
      </c>
      <c r="AK189" s="62">
        <v>5</v>
      </c>
      <c r="AL189" s="62">
        <v>5</v>
      </c>
      <c r="AM189" s="62">
        <v>5</v>
      </c>
      <c r="AN189" s="62">
        <v>6</v>
      </c>
      <c r="AO189" s="62">
        <v>6</v>
      </c>
      <c r="AP189" s="62">
        <v>10</v>
      </c>
      <c r="AQ189" s="62">
        <v>5</v>
      </c>
      <c r="AR189" s="62">
        <v>1</v>
      </c>
      <c r="AS189" s="62">
        <v>15</v>
      </c>
      <c r="AT189" s="62">
        <v>6</v>
      </c>
      <c r="AU189" s="62">
        <v>7</v>
      </c>
      <c r="AV189" s="62">
        <v>5</v>
      </c>
      <c r="AW189" s="62">
        <v>8</v>
      </c>
      <c r="AX189" s="62">
        <v>5</v>
      </c>
      <c r="AY189" s="62">
        <v>10</v>
      </c>
      <c r="AZ189" s="62">
        <v>9</v>
      </c>
      <c r="BA189" s="62">
        <v>8</v>
      </c>
      <c r="BB189" s="62">
        <v>6</v>
      </c>
      <c r="BC189" s="62">
        <v>4</v>
      </c>
      <c r="BD189" s="62">
        <v>4</v>
      </c>
      <c r="BE189" s="62">
        <v>11</v>
      </c>
      <c r="BF189" s="62">
        <v>8</v>
      </c>
      <c r="BG189" s="62">
        <v>11</v>
      </c>
      <c r="BH189" s="62">
        <v>4</v>
      </c>
    </row>
    <row r="190" spans="2:60" hidden="1" x14ac:dyDescent="0.2">
      <c r="B190" s="59"/>
      <c r="C190" s="59" t="s">
        <v>674</v>
      </c>
      <c r="D190" s="59" t="s">
        <v>649</v>
      </c>
      <c r="E190" s="63">
        <v>14</v>
      </c>
      <c r="F190" s="63">
        <v>24</v>
      </c>
      <c r="G190" s="63">
        <v>31</v>
      </c>
      <c r="H190" s="63">
        <v>18</v>
      </c>
      <c r="I190" s="63">
        <v>50</v>
      </c>
      <c r="J190" s="63">
        <v>65</v>
      </c>
      <c r="K190" s="63">
        <v>60</v>
      </c>
      <c r="L190" s="63">
        <v>59</v>
      </c>
      <c r="M190" s="63">
        <v>56</v>
      </c>
      <c r="N190" s="63">
        <v>34</v>
      </c>
      <c r="O190" s="63">
        <v>53</v>
      </c>
      <c r="P190" s="63">
        <v>36</v>
      </c>
      <c r="Q190" s="63">
        <v>31</v>
      </c>
      <c r="R190" s="63">
        <v>31</v>
      </c>
      <c r="S190" s="63">
        <v>39</v>
      </c>
      <c r="T190" s="63">
        <v>41</v>
      </c>
      <c r="U190" s="63">
        <v>48</v>
      </c>
      <c r="V190" s="63">
        <v>40</v>
      </c>
      <c r="W190" s="63">
        <v>30</v>
      </c>
      <c r="X190" s="63">
        <v>26</v>
      </c>
      <c r="Y190" s="63">
        <v>47</v>
      </c>
      <c r="Z190" s="63">
        <v>33</v>
      </c>
      <c r="AA190" s="63">
        <v>49</v>
      </c>
      <c r="AB190" s="63">
        <v>43</v>
      </c>
      <c r="AC190" s="63">
        <v>45</v>
      </c>
      <c r="AD190" s="63">
        <v>59</v>
      </c>
      <c r="AE190" s="63">
        <v>55</v>
      </c>
      <c r="AF190" s="63">
        <v>48</v>
      </c>
      <c r="AG190" s="63">
        <v>52</v>
      </c>
      <c r="AH190" s="63">
        <v>55</v>
      </c>
      <c r="AI190" s="63">
        <v>29</v>
      </c>
      <c r="AJ190" s="63">
        <v>38</v>
      </c>
      <c r="AK190" s="63">
        <v>28</v>
      </c>
      <c r="AL190" s="63">
        <v>55</v>
      </c>
      <c r="AM190" s="63">
        <v>38</v>
      </c>
      <c r="AN190" s="63">
        <v>39</v>
      </c>
      <c r="AO190" s="63">
        <v>35</v>
      </c>
      <c r="AP190" s="63">
        <v>55</v>
      </c>
      <c r="AQ190" s="63">
        <v>40</v>
      </c>
      <c r="AR190" s="63">
        <v>32</v>
      </c>
      <c r="AS190" s="63">
        <v>39</v>
      </c>
      <c r="AT190" s="63">
        <v>30</v>
      </c>
      <c r="AU190" s="63">
        <v>37</v>
      </c>
      <c r="AV190" s="63">
        <v>26</v>
      </c>
      <c r="AW190" s="63">
        <v>40</v>
      </c>
      <c r="AX190" s="63">
        <v>26</v>
      </c>
      <c r="AY190" s="63">
        <v>30</v>
      </c>
      <c r="AZ190" s="63">
        <v>26</v>
      </c>
      <c r="BA190" s="63">
        <v>34</v>
      </c>
      <c r="BB190" s="63">
        <v>27</v>
      </c>
      <c r="BC190" s="63">
        <v>29</v>
      </c>
      <c r="BD190" s="63">
        <v>36</v>
      </c>
      <c r="BE190" s="63">
        <v>35</v>
      </c>
      <c r="BF190" s="63">
        <v>40</v>
      </c>
      <c r="BG190" s="63">
        <v>33</v>
      </c>
      <c r="BH190" s="63">
        <v>34</v>
      </c>
    </row>
    <row r="191" spans="2:60" hidden="1" x14ac:dyDescent="0.2">
      <c r="B191" s="57"/>
      <c r="C191" s="57" t="s">
        <v>674</v>
      </c>
      <c r="D191" s="57" t="s">
        <v>650</v>
      </c>
      <c r="E191" s="62">
        <v>32</v>
      </c>
      <c r="F191" s="62">
        <v>19</v>
      </c>
      <c r="G191" s="62">
        <v>24</v>
      </c>
      <c r="H191" s="62">
        <v>9</v>
      </c>
      <c r="I191" s="62">
        <v>31</v>
      </c>
      <c r="J191" s="62">
        <v>27</v>
      </c>
      <c r="K191" s="62">
        <v>34</v>
      </c>
      <c r="L191" s="62">
        <v>33</v>
      </c>
      <c r="M191" s="62">
        <v>24</v>
      </c>
      <c r="N191" s="62">
        <v>32</v>
      </c>
      <c r="O191" s="62">
        <v>45</v>
      </c>
      <c r="P191" s="62">
        <v>15</v>
      </c>
      <c r="Q191" s="62">
        <v>29</v>
      </c>
      <c r="R191" s="62">
        <v>22</v>
      </c>
      <c r="S191" s="62">
        <v>31</v>
      </c>
      <c r="T191" s="62">
        <v>38</v>
      </c>
      <c r="U191" s="62">
        <v>24</v>
      </c>
      <c r="V191" s="62">
        <v>22</v>
      </c>
      <c r="W191" s="62">
        <v>22</v>
      </c>
      <c r="X191" s="62">
        <v>29</v>
      </c>
      <c r="Y191" s="62">
        <v>36</v>
      </c>
      <c r="Z191" s="62">
        <v>27</v>
      </c>
      <c r="AA191" s="62">
        <v>22</v>
      </c>
      <c r="AB191" s="62">
        <v>28</v>
      </c>
      <c r="AC191" s="62">
        <v>30</v>
      </c>
      <c r="AD191" s="62">
        <v>28</v>
      </c>
      <c r="AE191" s="62">
        <v>21</v>
      </c>
      <c r="AF191" s="62">
        <v>28</v>
      </c>
      <c r="AG191" s="62">
        <v>28</v>
      </c>
      <c r="AH191" s="62">
        <v>28</v>
      </c>
      <c r="AI191" s="62">
        <v>32</v>
      </c>
      <c r="AJ191" s="62">
        <v>28</v>
      </c>
      <c r="AK191" s="62">
        <v>17</v>
      </c>
      <c r="AL191" s="62">
        <v>25</v>
      </c>
      <c r="AM191" s="62">
        <v>25</v>
      </c>
      <c r="AN191" s="62">
        <v>24</v>
      </c>
      <c r="AO191" s="62">
        <v>20</v>
      </c>
      <c r="AP191" s="62">
        <v>20</v>
      </c>
      <c r="AQ191" s="62">
        <v>27</v>
      </c>
      <c r="AR191" s="62">
        <v>21</v>
      </c>
      <c r="AS191" s="62">
        <v>22</v>
      </c>
      <c r="AT191" s="62">
        <v>18</v>
      </c>
      <c r="AU191" s="62">
        <v>16</v>
      </c>
      <c r="AV191" s="62">
        <v>13</v>
      </c>
      <c r="AW191" s="62">
        <v>26</v>
      </c>
      <c r="AX191" s="62">
        <v>20</v>
      </c>
      <c r="AY191" s="62">
        <v>17</v>
      </c>
      <c r="AZ191" s="62">
        <v>16</v>
      </c>
      <c r="BA191" s="62">
        <v>18</v>
      </c>
      <c r="BB191" s="62">
        <v>18</v>
      </c>
      <c r="BC191" s="62">
        <v>21</v>
      </c>
      <c r="BD191" s="62">
        <v>13</v>
      </c>
      <c r="BE191" s="62">
        <v>18</v>
      </c>
      <c r="BF191" s="62">
        <v>13</v>
      </c>
      <c r="BG191" s="62">
        <v>17</v>
      </c>
      <c r="BH191" s="62">
        <v>19</v>
      </c>
    </row>
    <row r="192" spans="2:60" hidden="1" x14ac:dyDescent="0.2">
      <c r="B192" s="59"/>
      <c r="C192" s="59" t="s">
        <v>674</v>
      </c>
      <c r="D192" s="59" t="s">
        <v>651</v>
      </c>
      <c r="E192" s="63">
        <v>5</v>
      </c>
      <c r="F192" s="63">
        <v>7</v>
      </c>
      <c r="G192" s="63">
        <v>5</v>
      </c>
      <c r="H192" s="63">
        <v>7</v>
      </c>
      <c r="I192" s="63">
        <v>5</v>
      </c>
      <c r="J192" s="63">
        <v>6</v>
      </c>
      <c r="K192" s="63">
        <v>6</v>
      </c>
      <c r="L192" s="63">
        <v>6</v>
      </c>
      <c r="M192" s="63">
        <v>13</v>
      </c>
      <c r="N192" s="63">
        <v>8</v>
      </c>
      <c r="O192" s="63">
        <v>5</v>
      </c>
      <c r="P192" s="63">
        <v>5</v>
      </c>
      <c r="Q192" s="63">
        <v>2</v>
      </c>
      <c r="R192" s="63">
        <v>6</v>
      </c>
      <c r="S192" s="63">
        <v>4</v>
      </c>
      <c r="T192" s="63">
        <v>1</v>
      </c>
      <c r="U192" s="63">
        <v>6</v>
      </c>
      <c r="V192" s="63">
        <v>5</v>
      </c>
      <c r="W192" s="63">
        <v>7</v>
      </c>
      <c r="X192" s="63">
        <v>1</v>
      </c>
      <c r="Y192" s="63">
        <v>3</v>
      </c>
      <c r="Z192" s="63">
        <v>3</v>
      </c>
      <c r="AA192" s="63">
        <v>7</v>
      </c>
      <c r="AB192" s="63">
        <v>4</v>
      </c>
      <c r="AC192" s="63">
        <v>8</v>
      </c>
      <c r="AD192" s="63">
        <v>8</v>
      </c>
      <c r="AE192" s="63">
        <v>9</v>
      </c>
      <c r="AF192" s="63">
        <v>4</v>
      </c>
      <c r="AG192" s="63">
        <v>6</v>
      </c>
      <c r="AH192" s="63">
        <v>5</v>
      </c>
      <c r="AI192" s="63">
        <v>7</v>
      </c>
      <c r="AJ192" s="63">
        <v>8</v>
      </c>
      <c r="AK192" s="63">
        <v>3</v>
      </c>
      <c r="AL192" s="63">
        <v>4</v>
      </c>
      <c r="AM192" s="63">
        <v>8</v>
      </c>
      <c r="AN192" s="63">
        <v>3</v>
      </c>
      <c r="AO192" s="63">
        <v>7</v>
      </c>
      <c r="AP192" s="63">
        <v>6</v>
      </c>
      <c r="AQ192" s="63">
        <v>6</v>
      </c>
      <c r="AR192" s="63">
        <v>10</v>
      </c>
      <c r="AS192" s="63">
        <v>1</v>
      </c>
      <c r="AT192" s="63">
        <v>8</v>
      </c>
      <c r="AU192" s="63">
        <v>6</v>
      </c>
      <c r="AV192" s="63">
        <v>4</v>
      </c>
      <c r="AW192" s="63">
        <v>5</v>
      </c>
      <c r="AX192" s="63">
        <v>6</v>
      </c>
      <c r="AY192" s="63">
        <v>3</v>
      </c>
      <c r="AZ192" s="63">
        <v>3</v>
      </c>
      <c r="BA192" s="63">
        <v>7</v>
      </c>
      <c r="BB192" s="63">
        <v>1</v>
      </c>
      <c r="BC192" s="63">
        <v>6</v>
      </c>
      <c r="BD192" s="63">
        <v>1</v>
      </c>
      <c r="BE192" s="63">
        <v>6</v>
      </c>
      <c r="BF192" s="63">
        <v>3</v>
      </c>
      <c r="BG192" s="63">
        <v>6</v>
      </c>
      <c r="BH192" s="63"/>
    </row>
    <row r="193" spans="2:60" hidden="1" x14ac:dyDescent="0.2">
      <c r="B193" s="57"/>
      <c r="C193" s="57" t="s">
        <v>674</v>
      </c>
      <c r="D193" s="57" t="s">
        <v>652</v>
      </c>
      <c r="E193" s="62">
        <v>109</v>
      </c>
      <c r="F193" s="62">
        <v>91</v>
      </c>
      <c r="G193" s="62">
        <v>159</v>
      </c>
      <c r="H193" s="62">
        <v>165</v>
      </c>
      <c r="I193" s="62">
        <v>184</v>
      </c>
      <c r="J193" s="62">
        <v>186</v>
      </c>
      <c r="K193" s="62">
        <v>189</v>
      </c>
      <c r="L193" s="62">
        <v>189</v>
      </c>
      <c r="M193" s="62">
        <v>166</v>
      </c>
      <c r="N193" s="62">
        <v>195</v>
      </c>
      <c r="O193" s="62">
        <v>175</v>
      </c>
      <c r="P193" s="62">
        <v>145</v>
      </c>
      <c r="Q193" s="62">
        <v>169</v>
      </c>
      <c r="R193" s="62">
        <v>166</v>
      </c>
      <c r="S193" s="62">
        <v>154</v>
      </c>
      <c r="T193" s="62">
        <v>144</v>
      </c>
      <c r="U193" s="62">
        <v>185</v>
      </c>
      <c r="V193" s="62">
        <v>151</v>
      </c>
      <c r="W193" s="62">
        <v>132</v>
      </c>
      <c r="X193" s="62">
        <v>128</v>
      </c>
      <c r="Y193" s="62">
        <v>157</v>
      </c>
      <c r="Z193" s="62">
        <v>132</v>
      </c>
      <c r="AA193" s="62">
        <v>120</v>
      </c>
      <c r="AB193" s="62">
        <v>149</v>
      </c>
      <c r="AC193" s="62">
        <v>172</v>
      </c>
      <c r="AD193" s="62">
        <v>167</v>
      </c>
      <c r="AE193" s="62">
        <v>158</v>
      </c>
      <c r="AF193" s="62">
        <v>155</v>
      </c>
      <c r="AG193" s="62">
        <v>156</v>
      </c>
      <c r="AH193" s="62">
        <v>140</v>
      </c>
      <c r="AI193" s="62">
        <v>156</v>
      </c>
      <c r="AJ193" s="62">
        <v>160</v>
      </c>
      <c r="AK193" s="62">
        <v>129</v>
      </c>
      <c r="AL193" s="62">
        <v>203</v>
      </c>
      <c r="AM193" s="62">
        <v>131</v>
      </c>
      <c r="AN193" s="62">
        <v>117</v>
      </c>
      <c r="AO193" s="62">
        <v>133</v>
      </c>
      <c r="AP193" s="62">
        <v>130</v>
      </c>
      <c r="AQ193" s="62">
        <v>144</v>
      </c>
      <c r="AR193" s="62">
        <v>153</v>
      </c>
      <c r="AS193" s="62">
        <v>158</v>
      </c>
      <c r="AT193" s="62">
        <v>166</v>
      </c>
      <c r="AU193" s="62">
        <v>123</v>
      </c>
      <c r="AV193" s="62">
        <v>142</v>
      </c>
      <c r="AW193" s="62">
        <v>150</v>
      </c>
      <c r="AX193" s="62">
        <v>123</v>
      </c>
      <c r="AY193" s="62">
        <v>119</v>
      </c>
      <c r="AZ193" s="62">
        <v>99</v>
      </c>
      <c r="BA193" s="62">
        <v>131</v>
      </c>
      <c r="BB193" s="62">
        <v>117</v>
      </c>
      <c r="BC193" s="62">
        <v>129</v>
      </c>
      <c r="BD193" s="62">
        <v>106</v>
      </c>
      <c r="BE193" s="62">
        <v>124</v>
      </c>
      <c r="BF193" s="62">
        <v>104</v>
      </c>
      <c r="BG193" s="62">
        <v>83</v>
      </c>
      <c r="BH193" s="62">
        <v>91</v>
      </c>
    </row>
    <row r="194" spans="2:60" hidden="1" x14ac:dyDescent="0.2">
      <c r="B194" s="59"/>
      <c r="C194" s="59" t="s">
        <v>674</v>
      </c>
      <c r="D194" s="59" t="s">
        <v>653</v>
      </c>
      <c r="E194" s="63">
        <v>88</v>
      </c>
      <c r="F194" s="63">
        <v>69</v>
      </c>
      <c r="G194" s="63">
        <v>102</v>
      </c>
      <c r="H194" s="63">
        <v>106</v>
      </c>
      <c r="I194" s="63">
        <v>101</v>
      </c>
      <c r="J194" s="63">
        <v>110</v>
      </c>
      <c r="K194" s="63">
        <v>141</v>
      </c>
      <c r="L194" s="63">
        <v>88</v>
      </c>
      <c r="M194" s="63">
        <v>102</v>
      </c>
      <c r="N194" s="63">
        <v>137</v>
      </c>
      <c r="O194" s="63">
        <v>102</v>
      </c>
      <c r="P194" s="63">
        <v>82</v>
      </c>
      <c r="Q194" s="63">
        <v>107</v>
      </c>
      <c r="R194" s="63">
        <v>96</v>
      </c>
      <c r="S194" s="63">
        <v>104</v>
      </c>
      <c r="T194" s="63">
        <v>90</v>
      </c>
      <c r="U194" s="63">
        <v>85</v>
      </c>
      <c r="V194" s="63">
        <v>71</v>
      </c>
      <c r="W194" s="63">
        <v>88</v>
      </c>
      <c r="X194" s="63">
        <v>77</v>
      </c>
      <c r="Y194" s="63">
        <v>82</v>
      </c>
      <c r="Z194" s="63">
        <v>83</v>
      </c>
      <c r="AA194" s="63">
        <v>80</v>
      </c>
      <c r="AB194" s="63">
        <v>85</v>
      </c>
      <c r="AC194" s="63">
        <v>94</v>
      </c>
      <c r="AD194" s="63">
        <v>73</v>
      </c>
      <c r="AE194" s="63">
        <v>97</v>
      </c>
      <c r="AF194" s="63">
        <v>88</v>
      </c>
      <c r="AG194" s="63">
        <v>75</v>
      </c>
      <c r="AH194" s="63">
        <v>91</v>
      </c>
      <c r="AI194" s="63">
        <v>64</v>
      </c>
      <c r="AJ194" s="63">
        <v>80</v>
      </c>
      <c r="AK194" s="63">
        <v>75</v>
      </c>
      <c r="AL194" s="63">
        <v>106</v>
      </c>
      <c r="AM194" s="63">
        <v>96</v>
      </c>
      <c r="AN194" s="63">
        <v>79</v>
      </c>
      <c r="AO194" s="63">
        <v>87</v>
      </c>
      <c r="AP194" s="63">
        <v>79</v>
      </c>
      <c r="AQ194" s="63">
        <v>79</v>
      </c>
      <c r="AR194" s="63">
        <v>81</v>
      </c>
      <c r="AS194" s="63">
        <v>92</v>
      </c>
      <c r="AT194" s="63">
        <v>88</v>
      </c>
      <c r="AU194" s="63">
        <v>75</v>
      </c>
      <c r="AV194" s="63">
        <v>67</v>
      </c>
      <c r="AW194" s="63">
        <v>82</v>
      </c>
      <c r="AX194" s="63">
        <v>69</v>
      </c>
      <c r="AY194" s="63">
        <v>78</v>
      </c>
      <c r="AZ194" s="63">
        <v>68</v>
      </c>
      <c r="BA194" s="63">
        <v>69</v>
      </c>
      <c r="BB194" s="63">
        <v>64</v>
      </c>
      <c r="BC194" s="63">
        <v>52</v>
      </c>
      <c r="BD194" s="63">
        <v>59</v>
      </c>
      <c r="BE194" s="63">
        <v>82</v>
      </c>
      <c r="BF194" s="63">
        <v>55</v>
      </c>
      <c r="BG194" s="63">
        <v>59</v>
      </c>
      <c r="BH194" s="63">
        <v>49</v>
      </c>
    </row>
    <row r="195" spans="2:60" hidden="1" x14ac:dyDescent="0.2">
      <c r="B195" s="57"/>
      <c r="C195" s="57" t="s">
        <v>674</v>
      </c>
      <c r="D195" s="57" t="s">
        <v>654</v>
      </c>
      <c r="E195" s="62">
        <v>1</v>
      </c>
      <c r="F195" s="62">
        <v>1</v>
      </c>
      <c r="G195" s="62">
        <v>8</v>
      </c>
      <c r="H195" s="62">
        <v>4</v>
      </c>
      <c r="I195" s="62">
        <v>4</v>
      </c>
      <c r="J195" s="62">
        <v>11</v>
      </c>
      <c r="K195" s="62">
        <v>16</v>
      </c>
      <c r="L195" s="62">
        <v>8</v>
      </c>
      <c r="M195" s="62">
        <v>3</v>
      </c>
      <c r="N195" s="62">
        <v>5</v>
      </c>
      <c r="O195" s="62">
        <v>2</v>
      </c>
      <c r="P195" s="62">
        <v>7</v>
      </c>
      <c r="Q195" s="62">
        <v>11</v>
      </c>
      <c r="R195" s="62">
        <v>6</v>
      </c>
      <c r="S195" s="62">
        <v>4</v>
      </c>
      <c r="T195" s="62">
        <v>9</v>
      </c>
      <c r="U195" s="62">
        <v>6</v>
      </c>
      <c r="V195" s="62">
        <v>5</v>
      </c>
      <c r="W195" s="62">
        <v>5</v>
      </c>
      <c r="X195" s="62">
        <v>6</v>
      </c>
      <c r="Y195" s="62">
        <v>11</v>
      </c>
      <c r="Z195" s="62">
        <v>5</v>
      </c>
      <c r="AA195" s="62">
        <v>6</v>
      </c>
      <c r="AB195" s="62">
        <v>8</v>
      </c>
      <c r="AC195" s="62">
        <v>12</v>
      </c>
      <c r="AD195" s="62">
        <v>4</v>
      </c>
      <c r="AE195" s="62">
        <v>8</v>
      </c>
      <c r="AF195" s="62">
        <v>8</v>
      </c>
      <c r="AG195" s="62">
        <v>4</v>
      </c>
      <c r="AH195" s="62">
        <v>6</v>
      </c>
      <c r="AI195" s="62">
        <v>4</v>
      </c>
      <c r="AJ195" s="62">
        <v>7</v>
      </c>
      <c r="AK195" s="62">
        <v>7</v>
      </c>
      <c r="AL195" s="62">
        <v>11</v>
      </c>
      <c r="AM195" s="62">
        <v>8</v>
      </c>
      <c r="AN195" s="62"/>
      <c r="AO195" s="62">
        <v>9</v>
      </c>
      <c r="AP195" s="62">
        <v>6</v>
      </c>
      <c r="AQ195" s="62">
        <v>4</v>
      </c>
      <c r="AR195" s="62">
        <v>7</v>
      </c>
      <c r="AS195" s="62">
        <v>4</v>
      </c>
      <c r="AT195" s="62">
        <v>11</v>
      </c>
      <c r="AU195" s="62">
        <v>9</v>
      </c>
      <c r="AV195" s="62">
        <v>2</v>
      </c>
      <c r="AW195" s="62">
        <v>10</v>
      </c>
      <c r="AX195" s="62">
        <v>8</v>
      </c>
      <c r="AY195" s="62">
        <v>7</v>
      </c>
      <c r="AZ195" s="62">
        <v>5</v>
      </c>
      <c r="BA195" s="62">
        <v>9</v>
      </c>
      <c r="BB195" s="62">
        <v>5</v>
      </c>
      <c r="BC195" s="62">
        <v>4</v>
      </c>
      <c r="BD195" s="62">
        <v>2</v>
      </c>
      <c r="BE195" s="62">
        <v>9</v>
      </c>
      <c r="BF195" s="62">
        <v>4</v>
      </c>
      <c r="BG195" s="62">
        <v>6</v>
      </c>
      <c r="BH195" s="62">
        <v>5</v>
      </c>
    </row>
    <row r="196" spans="2:60" hidden="1" x14ac:dyDescent="0.2">
      <c r="B196" s="59"/>
      <c r="C196" s="59" t="s">
        <v>674</v>
      </c>
      <c r="D196" s="59" t="s">
        <v>655</v>
      </c>
      <c r="E196" s="63">
        <v>1</v>
      </c>
      <c r="F196" s="63">
        <v>6</v>
      </c>
      <c r="G196" s="63">
        <v>6</v>
      </c>
      <c r="H196" s="63">
        <v>31</v>
      </c>
      <c r="I196" s="63">
        <v>32</v>
      </c>
      <c r="J196" s="63">
        <v>44</v>
      </c>
      <c r="K196" s="63">
        <v>47</v>
      </c>
      <c r="L196" s="63">
        <v>25</v>
      </c>
      <c r="M196" s="63">
        <v>37</v>
      </c>
      <c r="N196" s="63">
        <v>33</v>
      </c>
      <c r="O196" s="63">
        <v>23</v>
      </c>
      <c r="P196" s="63">
        <v>17</v>
      </c>
      <c r="Q196" s="63">
        <v>27</v>
      </c>
      <c r="R196" s="63">
        <v>21</v>
      </c>
      <c r="S196" s="63">
        <v>16</v>
      </c>
      <c r="T196" s="63">
        <v>16</v>
      </c>
      <c r="U196" s="63">
        <v>39</v>
      </c>
      <c r="V196" s="63">
        <v>29</v>
      </c>
      <c r="W196" s="63">
        <v>25</v>
      </c>
      <c r="X196" s="63">
        <v>18</v>
      </c>
      <c r="Y196" s="63">
        <v>38</v>
      </c>
      <c r="Z196" s="63">
        <v>17</v>
      </c>
      <c r="AA196" s="63">
        <v>22</v>
      </c>
      <c r="AB196" s="63">
        <v>26</v>
      </c>
      <c r="AC196" s="63">
        <v>44</v>
      </c>
      <c r="AD196" s="63">
        <v>29</v>
      </c>
      <c r="AE196" s="63">
        <v>27</v>
      </c>
      <c r="AF196" s="63">
        <v>26</v>
      </c>
      <c r="AG196" s="63">
        <v>33</v>
      </c>
      <c r="AH196" s="63">
        <v>27</v>
      </c>
      <c r="AI196" s="63">
        <v>18</v>
      </c>
      <c r="AJ196" s="63">
        <v>23</v>
      </c>
      <c r="AK196" s="63">
        <v>20</v>
      </c>
      <c r="AL196" s="63">
        <v>11</v>
      </c>
      <c r="AM196" s="63">
        <v>21</v>
      </c>
      <c r="AN196" s="63">
        <v>14</v>
      </c>
      <c r="AO196" s="63">
        <v>15</v>
      </c>
      <c r="AP196" s="63">
        <v>24</v>
      </c>
      <c r="AQ196" s="63">
        <v>14</v>
      </c>
      <c r="AR196" s="63">
        <v>17</v>
      </c>
      <c r="AS196" s="63">
        <v>26</v>
      </c>
      <c r="AT196" s="63">
        <v>21</v>
      </c>
      <c r="AU196" s="63">
        <v>32</v>
      </c>
      <c r="AV196" s="63">
        <v>31</v>
      </c>
      <c r="AW196" s="63">
        <v>23</v>
      </c>
      <c r="AX196" s="63">
        <v>21</v>
      </c>
      <c r="AY196" s="63">
        <v>19</v>
      </c>
      <c r="AZ196" s="63">
        <v>19</v>
      </c>
      <c r="BA196" s="63">
        <v>14</v>
      </c>
      <c r="BB196" s="63">
        <v>23</v>
      </c>
      <c r="BC196" s="63">
        <v>19</v>
      </c>
      <c r="BD196" s="63">
        <v>19</v>
      </c>
      <c r="BE196" s="63">
        <v>21</v>
      </c>
      <c r="BF196" s="63">
        <v>10</v>
      </c>
      <c r="BG196" s="63">
        <v>5</v>
      </c>
      <c r="BH196" s="63">
        <v>21</v>
      </c>
    </row>
    <row r="197" spans="2:60" hidden="1" x14ac:dyDescent="0.2">
      <c r="B197" s="57"/>
      <c r="C197" s="57" t="s">
        <v>674</v>
      </c>
      <c r="D197" s="57" t="s">
        <v>699</v>
      </c>
      <c r="E197" s="62">
        <v>49</v>
      </c>
      <c r="F197" s="62">
        <v>40</v>
      </c>
      <c r="G197" s="62">
        <v>42</v>
      </c>
      <c r="H197" s="62">
        <v>71</v>
      </c>
      <c r="I197" s="62">
        <v>41</v>
      </c>
      <c r="J197" s="62">
        <v>59</v>
      </c>
      <c r="K197" s="62">
        <v>42</v>
      </c>
      <c r="L197" s="62">
        <v>47</v>
      </c>
      <c r="M197" s="62">
        <v>55</v>
      </c>
      <c r="N197" s="62">
        <v>42</v>
      </c>
      <c r="O197" s="62">
        <v>51</v>
      </c>
      <c r="P197" s="62">
        <v>46</v>
      </c>
      <c r="Q197" s="62">
        <v>59</v>
      </c>
      <c r="R197" s="62">
        <v>44</v>
      </c>
      <c r="S197" s="62">
        <v>50</v>
      </c>
      <c r="T197" s="62">
        <v>40</v>
      </c>
      <c r="U197" s="62">
        <v>34</v>
      </c>
      <c r="V197" s="62">
        <v>36</v>
      </c>
      <c r="W197" s="62">
        <v>44</v>
      </c>
      <c r="X197" s="62">
        <v>32</v>
      </c>
      <c r="Y197" s="62">
        <v>41</v>
      </c>
      <c r="Z197" s="62">
        <v>35</v>
      </c>
      <c r="AA197" s="62">
        <v>31</v>
      </c>
      <c r="AB197" s="62">
        <v>35</v>
      </c>
      <c r="AC197" s="62">
        <v>43</v>
      </c>
      <c r="AD197" s="62">
        <v>40</v>
      </c>
      <c r="AE197" s="62">
        <v>27</v>
      </c>
      <c r="AF197" s="62">
        <v>30</v>
      </c>
      <c r="AG197" s="62">
        <v>28</v>
      </c>
      <c r="AH197" s="62">
        <v>27</v>
      </c>
      <c r="AI197" s="62">
        <v>19</v>
      </c>
      <c r="AJ197" s="62">
        <v>24</v>
      </c>
      <c r="AK197" s="62">
        <v>22</v>
      </c>
      <c r="AL197" s="62">
        <v>39</v>
      </c>
      <c r="AM197" s="62">
        <v>25</v>
      </c>
      <c r="AN197" s="62">
        <v>16</v>
      </c>
      <c r="AO197" s="62">
        <v>30</v>
      </c>
      <c r="AP197" s="62">
        <v>20</v>
      </c>
      <c r="AQ197" s="62">
        <v>26</v>
      </c>
      <c r="AR197" s="62">
        <v>20</v>
      </c>
      <c r="AS197" s="62">
        <v>22</v>
      </c>
      <c r="AT197" s="62">
        <v>29</v>
      </c>
      <c r="AU197" s="62">
        <v>20</v>
      </c>
      <c r="AV197" s="62">
        <v>11</v>
      </c>
      <c r="AW197" s="62">
        <v>12</v>
      </c>
      <c r="AX197" s="62">
        <v>26</v>
      </c>
      <c r="AY197" s="62">
        <v>17</v>
      </c>
      <c r="AZ197" s="62">
        <v>11</v>
      </c>
      <c r="BA197" s="62">
        <v>23</v>
      </c>
      <c r="BB197" s="62">
        <v>24</v>
      </c>
      <c r="BC197" s="62">
        <v>23</v>
      </c>
      <c r="BD197" s="62">
        <v>19</v>
      </c>
      <c r="BE197" s="62">
        <v>25</v>
      </c>
      <c r="BF197" s="62">
        <v>19</v>
      </c>
      <c r="BG197" s="62">
        <v>19</v>
      </c>
      <c r="BH197" s="62">
        <v>15</v>
      </c>
    </row>
    <row r="198" spans="2:60" hidden="1" x14ac:dyDescent="0.2">
      <c r="B198" s="59"/>
      <c r="C198" s="59" t="s">
        <v>674</v>
      </c>
      <c r="D198" s="59" t="s">
        <v>656</v>
      </c>
      <c r="E198" s="63">
        <v>303</v>
      </c>
      <c r="F198" s="63">
        <v>261</v>
      </c>
      <c r="G198" s="63">
        <v>380</v>
      </c>
      <c r="H198" s="63">
        <v>415</v>
      </c>
      <c r="I198" s="63">
        <v>470</v>
      </c>
      <c r="J198" s="63">
        <v>510</v>
      </c>
      <c r="K198" s="63">
        <v>538</v>
      </c>
      <c r="L198" s="63">
        <v>456</v>
      </c>
      <c r="M198" s="63">
        <v>465</v>
      </c>
      <c r="N198" s="63">
        <v>491</v>
      </c>
      <c r="O198" s="63">
        <v>459</v>
      </c>
      <c r="P198" s="63">
        <v>355</v>
      </c>
      <c r="Q198" s="63">
        <v>452</v>
      </c>
      <c r="R198" s="63">
        <v>410</v>
      </c>
      <c r="S198" s="63">
        <v>417</v>
      </c>
      <c r="T198" s="63">
        <v>388</v>
      </c>
      <c r="U198" s="63">
        <v>441</v>
      </c>
      <c r="V198" s="63">
        <v>367</v>
      </c>
      <c r="W198" s="63">
        <v>358</v>
      </c>
      <c r="X198" s="63">
        <v>325</v>
      </c>
      <c r="Y198" s="63">
        <v>428</v>
      </c>
      <c r="Z198" s="63">
        <v>341</v>
      </c>
      <c r="AA198" s="63">
        <v>343</v>
      </c>
      <c r="AB198" s="63">
        <v>388</v>
      </c>
      <c r="AC198" s="63">
        <v>455</v>
      </c>
      <c r="AD198" s="63">
        <v>418</v>
      </c>
      <c r="AE198" s="63">
        <v>412</v>
      </c>
      <c r="AF198" s="63">
        <v>396</v>
      </c>
      <c r="AG198" s="63">
        <v>390</v>
      </c>
      <c r="AH198" s="63">
        <v>383</v>
      </c>
      <c r="AI198" s="63">
        <v>334</v>
      </c>
      <c r="AJ198" s="63">
        <v>372</v>
      </c>
      <c r="AK198" s="63">
        <v>306</v>
      </c>
      <c r="AL198" s="63">
        <v>459</v>
      </c>
      <c r="AM198" s="63">
        <v>357</v>
      </c>
      <c r="AN198" s="63">
        <v>298</v>
      </c>
      <c r="AO198" s="63">
        <v>342</v>
      </c>
      <c r="AP198" s="63">
        <v>350</v>
      </c>
      <c r="AQ198" s="63">
        <v>345</v>
      </c>
      <c r="AR198" s="63">
        <v>342</v>
      </c>
      <c r="AS198" s="63">
        <v>379</v>
      </c>
      <c r="AT198" s="63">
        <v>377</v>
      </c>
      <c r="AU198" s="63">
        <v>325</v>
      </c>
      <c r="AV198" s="63">
        <v>301</v>
      </c>
      <c r="AW198" s="63">
        <v>356</v>
      </c>
      <c r="AX198" s="63">
        <v>304</v>
      </c>
      <c r="AY198" s="63">
        <v>300</v>
      </c>
      <c r="AZ198" s="63">
        <v>256</v>
      </c>
      <c r="BA198" s="63">
        <v>313</v>
      </c>
      <c r="BB198" s="63">
        <v>285</v>
      </c>
      <c r="BC198" s="63">
        <v>287</v>
      </c>
      <c r="BD198" s="63">
        <v>259</v>
      </c>
      <c r="BE198" s="63">
        <v>331</v>
      </c>
      <c r="BF198" s="63">
        <v>256</v>
      </c>
      <c r="BG198" s="63">
        <v>239</v>
      </c>
      <c r="BH198" s="63">
        <v>238</v>
      </c>
    </row>
    <row r="199" spans="2:60" hidden="1" x14ac:dyDescent="0.2">
      <c r="B199" s="57"/>
      <c r="C199" s="57" t="s">
        <v>675</v>
      </c>
      <c r="D199" s="57" t="s">
        <v>648</v>
      </c>
      <c r="E199" s="62">
        <v>34</v>
      </c>
      <c r="F199" s="62">
        <v>19</v>
      </c>
      <c r="G199" s="62">
        <v>26</v>
      </c>
      <c r="H199" s="62">
        <v>30</v>
      </c>
      <c r="I199" s="62">
        <v>23</v>
      </c>
      <c r="J199" s="62">
        <v>16</v>
      </c>
      <c r="K199" s="62">
        <v>23</v>
      </c>
      <c r="L199" s="62">
        <v>31</v>
      </c>
      <c r="M199" s="62">
        <v>34</v>
      </c>
      <c r="N199" s="62">
        <v>32</v>
      </c>
      <c r="O199" s="62">
        <v>30</v>
      </c>
      <c r="P199" s="62">
        <v>21</v>
      </c>
      <c r="Q199" s="62">
        <v>22</v>
      </c>
      <c r="R199" s="62">
        <v>30</v>
      </c>
      <c r="S199" s="62">
        <v>33</v>
      </c>
      <c r="T199" s="62">
        <v>31</v>
      </c>
      <c r="U199" s="62">
        <v>25</v>
      </c>
      <c r="V199" s="62">
        <v>21</v>
      </c>
      <c r="W199" s="62">
        <v>33</v>
      </c>
      <c r="X199" s="62">
        <v>30</v>
      </c>
      <c r="Y199" s="62">
        <v>26</v>
      </c>
      <c r="Z199" s="62">
        <v>25</v>
      </c>
      <c r="AA199" s="62">
        <v>29</v>
      </c>
      <c r="AB199" s="62">
        <v>25</v>
      </c>
      <c r="AC199" s="62">
        <v>20</v>
      </c>
      <c r="AD199" s="62">
        <v>27</v>
      </c>
      <c r="AE199" s="62">
        <v>34</v>
      </c>
      <c r="AF199" s="62">
        <v>16</v>
      </c>
      <c r="AG199" s="62">
        <v>26</v>
      </c>
      <c r="AH199" s="62">
        <v>24</v>
      </c>
      <c r="AI199" s="62">
        <v>20</v>
      </c>
      <c r="AJ199" s="62">
        <v>27</v>
      </c>
      <c r="AK199" s="62">
        <v>34</v>
      </c>
      <c r="AL199" s="62">
        <v>34</v>
      </c>
      <c r="AM199" s="62">
        <v>30</v>
      </c>
      <c r="AN199" s="62">
        <v>21</v>
      </c>
      <c r="AO199" s="62">
        <v>22</v>
      </c>
      <c r="AP199" s="62">
        <v>21</v>
      </c>
      <c r="AQ199" s="62">
        <v>30</v>
      </c>
      <c r="AR199" s="62">
        <v>18</v>
      </c>
      <c r="AS199" s="62">
        <v>19</v>
      </c>
      <c r="AT199" s="62">
        <v>31</v>
      </c>
      <c r="AU199" s="62">
        <v>15</v>
      </c>
      <c r="AV199" s="62">
        <v>12</v>
      </c>
      <c r="AW199" s="62">
        <v>14</v>
      </c>
      <c r="AX199" s="62">
        <v>23</v>
      </c>
      <c r="AY199" s="62">
        <v>19</v>
      </c>
      <c r="AZ199" s="62">
        <v>15</v>
      </c>
      <c r="BA199" s="62">
        <v>23</v>
      </c>
      <c r="BB199" s="62">
        <v>23</v>
      </c>
      <c r="BC199" s="62">
        <v>11</v>
      </c>
      <c r="BD199" s="62">
        <v>12</v>
      </c>
      <c r="BE199" s="62">
        <v>26</v>
      </c>
      <c r="BF199" s="62">
        <v>15</v>
      </c>
      <c r="BG199" s="62">
        <v>18</v>
      </c>
      <c r="BH199" s="62">
        <v>18</v>
      </c>
    </row>
    <row r="200" spans="2:60" hidden="1" x14ac:dyDescent="0.2">
      <c r="B200" s="59"/>
      <c r="C200" s="59" t="s">
        <v>675</v>
      </c>
      <c r="D200" s="59" t="s">
        <v>649</v>
      </c>
      <c r="E200" s="63">
        <v>85</v>
      </c>
      <c r="F200" s="63">
        <v>63</v>
      </c>
      <c r="G200" s="63">
        <v>58</v>
      </c>
      <c r="H200" s="63">
        <v>69</v>
      </c>
      <c r="I200" s="63">
        <v>71</v>
      </c>
      <c r="J200" s="63">
        <v>63</v>
      </c>
      <c r="K200" s="63">
        <v>73</v>
      </c>
      <c r="L200" s="63">
        <v>55</v>
      </c>
      <c r="M200" s="63">
        <v>67</v>
      </c>
      <c r="N200" s="63">
        <v>53</v>
      </c>
      <c r="O200" s="63">
        <v>71</v>
      </c>
      <c r="P200" s="63">
        <v>61</v>
      </c>
      <c r="Q200" s="63">
        <v>82</v>
      </c>
      <c r="R200" s="63">
        <v>65</v>
      </c>
      <c r="S200" s="63">
        <v>61</v>
      </c>
      <c r="T200" s="63">
        <v>64</v>
      </c>
      <c r="U200" s="63">
        <v>61</v>
      </c>
      <c r="V200" s="63">
        <v>60</v>
      </c>
      <c r="W200" s="63">
        <v>72</v>
      </c>
      <c r="X200" s="63">
        <v>53</v>
      </c>
      <c r="Y200" s="63">
        <v>79</v>
      </c>
      <c r="Z200" s="63">
        <v>45</v>
      </c>
      <c r="AA200" s="63">
        <v>44</v>
      </c>
      <c r="AB200" s="63">
        <v>60</v>
      </c>
      <c r="AC200" s="63">
        <v>61</v>
      </c>
      <c r="AD200" s="63">
        <v>58</v>
      </c>
      <c r="AE200" s="63">
        <v>59</v>
      </c>
      <c r="AF200" s="63">
        <v>58</v>
      </c>
      <c r="AG200" s="63">
        <v>64</v>
      </c>
      <c r="AH200" s="63">
        <v>49</v>
      </c>
      <c r="AI200" s="63">
        <v>43</v>
      </c>
      <c r="AJ200" s="63">
        <v>70</v>
      </c>
      <c r="AK200" s="63">
        <v>54</v>
      </c>
      <c r="AL200" s="63">
        <v>61</v>
      </c>
      <c r="AM200" s="63">
        <v>51</v>
      </c>
      <c r="AN200" s="63">
        <v>30</v>
      </c>
      <c r="AO200" s="63">
        <v>50</v>
      </c>
      <c r="AP200" s="63">
        <v>50</v>
      </c>
      <c r="AQ200" s="63">
        <v>38</v>
      </c>
      <c r="AR200" s="63">
        <v>36</v>
      </c>
      <c r="AS200" s="63">
        <v>40</v>
      </c>
      <c r="AT200" s="63">
        <v>29</v>
      </c>
      <c r="AU200" s="63">
        <v>32</v>
      </c>
      <c r="AV200" s="63">
        <v>20</v>
      </c>
      <c r="AW200" s="63">
        <v>28</v>
      </c>
      <c r="AX200" s="63">
        <v>28</v>
      </c>
      <c r="AY200" s="63">
        <v>25</v>
      </c>
      <c r="AZ200" s="63">
        <v>24</v>
      </c>
      <c r="BA200" s="63">
        <v>25</v>
      </c>
      <c r="BB200" s="63">
        <v>36</v>
      </c>
      <c r="BC200" s="63">
        <v>27</v>
      </c>
      <c r="BD200" s="63">
        <v>35</v>
      </c>
      <c r="BE200" s="63">
        <v>19</v>
      </c>
      <c r="BF200" s="63">
        <v>37</v>
      </c>
      <c r="BG200" s="63">
        <v>36</v>
      </c>
      <c r="BH200" s="63">
        <v>27</v>
      </c>
    </row>
    <row r="201" spans="2:60" hidden="1" x14ac:dyDescent="0.2">
      <c r="B201" s="57"/>
      <c r="C201" s="57" t="s">
        <v>675</v>
      </c>
      <c r="D201" s="57" t="s">
        <v>650</v>
      </c>
      <c r="E201" s="62">
        <v>25</v>
      </c>
      <c r="F201" s="62">
        <v>19</v>
      </c>
      <c r="G201" s="62">
        <v>15</v>
      </c>
      <c r="H201" s="62">
        <v>18</v>
      </c>
      <c r="I201" s="62">
        <v>21</v>
      </c>
      <c r="J201" s="62">
        <v>14</v>
      </c>
      <c r="K201" s="62">
        <v>18</v>
      </c>
      <c r="L201" s="62">
        <v>15</v>
      </c>
      <c r="M201" s="62">
        <v>20</v>
      </c>
      <c r="N201" s="62">
        <v>22</v>
      </c>
      <c r="O201" s="62">
        <v>19</v>
      </c>
      <c r="P201" s="62">
        <v>12</v>
      </c>
      <c r="Q201" s="62">
        <v>32</v>
      </c>
      <c r="R201" s="62">
        <v>19</v>
      </c>
      <c r="S201" s="62">
        <v>12</v>
      </c>
      <c r="T201" s="62">
        <v>21</v>
      </c>
      <c r="U201" s="62">
        <v>19</v>
      </c>
      <c r="V201" s="62">
        <v>10</v>
      </c>
      <c r="W201" s="62">
        <v>20</v>
      </c>
      <c r="X201" s="62">
        <v>16</v>
      </c>
      <c r="Y201" s="62">
        <v>24</v>
      </c>
      <c r="Z201" s="62">
        <v>20</v>
      </c>
      <c r="AA201" s="62">
        <v>14</v>
      </c>
      <c r="AB201" s="62">
        <v>27</v>
      </c>
      <c r="AC201" s="62">
        <v>17</v>
      </c>
      <c r="AD201" s="62">
        <v>27</v>
      </c>
      <c r="AE201" s="62">
        <v>22</v>
      </c>
      <c r="AF201" s="62">
        <v>17</v>
      </c>
      <c r="AG201" s="62">
        <v>21</v>
      </c>
      <c r="AH201" s="62">
        <v>12</v>
      </c>
      <c r="AI201" s="62">
        <v>9</v>
      </c>
      <c r="AJ201" s="62">
        <v>18</v>
      </c>
      <c r="AK201" s="62">
        <v>17</v>
      </c>
      <c r="AL201" s="62">
        <v>19</v>
      </c>
      <c r="AM201" s="62">
        <v>14</v>
      </c>
      <c r="AN201" s="62">
        <v>11</v>
      </c>
      <c r="AO201" s="62">
        <v>13</v>
      </c>
      <c r="AP201" s="62">
        <v>13</v>
      </c>
      <c r="AQ201" s="62">
        <v>19</v>
      </c>
      <c r="AR201" s="62">
        <v>16</v>
      </c>
      <c r="AS201" s="62">
        <v>13</v>
      </c>
      <c r="AT201" s="62">
        <v>11</v>
      </c>
      <c r="AU201" s="62">
        <v>12</v>
      </c>
      <c r="AV201" s="62">
        <v>9</v>
      </c>
      <c r="AW201" s="62">
        <v>18</v>
      </c>
      <c r="AX201" s="62">
        <v>16</v>
      </c>
      <c r="AY201" s="62">
        <v>12</v>
      </c>
      <c r="AZ201" s="62">
        <v>13</v>
      </c>
      <c r="BA201" s="62">
        <v>16</v>
      </c>
      <c r="BB201" s="62">
        <v>19</v>
      </c>
      <c r="BC201" s="62">
        <v>17</v>
      </c>
      <c r="BD201" s="62">
        <v>22</v>
      </c>
      <c r="BE201" s="62">
        <v>11</v>
      </c>
      <c r="BF201" s="62">
        <v>13</v>
      </c>
      <c r="BG201" s="62">
        <v>12</v>
      </c>
      <c r="BH201" s="62">
        <v>23</v>
      </c>
    </row>
    <row r="202" spans="2:60" hidden="1" x14ac:dyDescent="0.2">
      <c r="B202" s="59"/>
      <c r="C202" s="59" t="s">
        <v>675</v>
      </c>
      <c r="D202" s="59" t="s">
        <v>651</v>
      </c>
      <c r="E202" s="63">
        <v>32</v>
      </c>
      <c r="F202" s="63">
        <v>18</v>
      </c>
      <c r="G202" s="63">
        <v>22</v>
      </c>
      <c r="H202" s="63">
        <v>21</v>
      </c>
      <c r="I202" s="63">
        <v>27</v>
      </c>
      <c r="J202" s="63">
        <v>19</v>
      </c>
      <c r="K202" s="63">
        <v>35</v>
      </c>
      <c r="L202" s="63">
        <v>29</v>
      </c>
      <c r="M202" s="63">
        <v>32</v>
      </c>
      <c r="N202" s="63">
        <v>26</v>
      </c>
      <c r="O202" s="63">
        <v>27</v>
      </c>
      <c r="P202" s="63">
        <v>19</v>
      </c>
      <c r="Q202" s="63">
        <v>24</v>
      </c>
      <c r="R202" s="63">
        <v>24</v>
      </c>
      <c r="S202" s="63">
        <v>23</v>
      </c>
      <c r="T202" s="63">
        <v>19</v>
      </c>
      <c r="U202" s="63">
        <v>20</v>
      </c>
      <c r="V202" s="63">
        <v>29</v>
      </c>
      <c r="W202" s="63">
        <v>20</v>
      </c>
      <c r="X202" s="63">
        <v>19</v>
      </c>
      <c r="Y202" s="63">
        <v>23</v>
      </c>
      <c r="Z202" s="63">
        <v>16</v>
      </c>
      <c r="AA202" s="63">
        <v>26</v>
      </c>
      <c r="AB202" s="63">
        <v>22</v>
      </c>
      <c r="AC202" s="63">
        <v>21</v>
      </c>
      <c r="AD202" s="63">
        <v>27</v>
      </c>
      <c r="AE202" s="63">
        <v>24</v>
      </c>
      <c r="AF202" s="63">
        <v>20</v>
      </c>
      <c r="AG202" s="63">
        <v>21</v>
      </c>
      <c r="AH202" s="63">
        <v>22</v>
      </c>
      <c r="AI202" s="63">
        <v>13</v>
      </c>
      <c r="AJ202" s="63">
        <v>22</v>
      </c>
      <c r="AK202" s="63">
        <v>18</v>
      </c>
      <c r="AL202" s="63">
        <v>17</v>
      </c>
      <c r="AM202" s="63">
        <v>11</v>
      </c>
      <c r="AN202" s="63">
        <v>16</v>
      </c>
      <c r="AO202" s="63">
        <v>13</v>
      </c>
      <c r="AP202" s="63">
        <v>13</v>
      </c>
      <c r="AQ202" s="63">
        <v>12</v>
      </c>
      <c r="AR202" s="63">
        <v>10</v>
      </c>
      <c r="AS202" s="63">
        <v>13</v>
      </c>
      <c r="AT202" s="63">
        <v>7</v>
      </c>
      <c r="AU202" s="63">
        <v>13</v>
      </c>
      <c r="AV202" s="63">
        <v>15</v>
      </c>
      <c r="AW202" s="63">
        <v>16</v>
      </c>
      <c r="AX202" s="63">
        <v>16</v>
      </c>
      <c r="AY202" s="63">
        <v>11</v>
      </c>
      <c r="AZ202" s="63">
        <v>11</v>
      </c>
      <c r="BA202" s="63">
        <v>15</v>
      </c>
      <c r="BB202" s="63">
        <v>14</v>
      </c>
      <c r="BC202" s="63">
        <v>14</v>
      </c>
      <c r="BD202" s="63">
        <v>20</v>
      </c>
      <c r="BE202" s="63">
        <v>17</v>
      </c>
      <c r="BF202" s="63">
        <v>17</v>
      </c>
      <c r="BG202" s="63">
        <v>14</v>
      </c>
      <c r="BH202" s="63">
        <v>19</v>
      </c>
    </row>
    <row r="203" spans="2:60" hidden="1" x14ac:dyDescent="0.2">
      <c r="B203" s="57"/>
      <c r="C203" s="57" t="s">
        <v>675</v>
      </c>
      <c r="D203" s="57" t="s">
        <v>652</v>
      </c>
      <c r="E203" s="62">
        <v>93</v>
      </c>
      <c r="F203" s="62">
        <v>91</v>
      </c>
      <c r="G203" s="62">
        <v>90</v>
      </c>
      <c r="H203" s="62">
        <v>97</v>
      </c>
      <c r="I203" s="62">
        <v>117</v>
      </c>
      <c r="J203" s="62">
        <v>91</v>
      </c>
      <c r="K203" s="62">
        <v>101</v>
      </c>
      <c r="L203" s="62">
        <v>86</v>
      </c>
      <c r="M203" s="62">
        <v>99</v>
      </c>
      <c r="N203" s="62">
        <v>103</v>
      </c>
      <c r="O203" s="62">
        <v>106</v>
      </c>
      <c r="P203" s="62">
        <v>90</v>
      </c>
      <c r="Q203" s="62">
        <v>114</v>
      </c>
      <c r="R203" s="62">
        <v>79</v>
      </c>
      <c r="S203" s="62">
        <v>118</v>
      </c>
      <c r="T203" s="62">
        <v>95</v>
      </c>
      <c r="U203" s="62">
        <v>102</v>
      </c>
      <c r="V203" s="62">
        <v>102</v>
      </c>
      <c r="W203" s="62">
        <v>97</v>
      </c>
      <c r="X203" s="62">
        <v>102</v>
      </c>
      <c r="Y203" s="62">
        <v>92</v>
      </c>
      <c r="Z203" s="62">
        <v>92</v>
      </c>
      <c r="AA203" s="62">
        <v>116</v>
      </c>
      <c r="AB203" s="62">
        <v>78</v>
      </c>
      <c r="AC203" s="62">
        <v>85</v>
      </c>
      <c r="AD203" s="62">
        <v>84</v>
      </c>
      <c r="AE203" s="62">
        <v>89</v>
      </c>
      <c r="AF203" s="62">
        <v>82</v>
      </c>
      <c r="AG203" s="62">
        <v>75</v>
      </c>
      <c r="AH203" s="62">
        <v>70</v>
      </c>
      <c r="AI203" s="62">
        <v>68</v>
      </c>
      <c r="AJ203" s="62">
        <v>79</v>
      </c>
      <c r="AK203" s="62">
        <v>55</v>
      </c>
      <c r="AL203" s="62">
        <v>66</v>
      </c>
      <c r="AM203" s="62">
        <v>52</v>
      </c>
      <c r="AN203" s="62">
        <v>52</v>
      </c>
      <c r="AO203" s="62">
        <v>51</v>
      </c>
      <c r="AP203" s="62">
        <v>50</v>
      </c>
      <c r="AQ203" s="62">
        <v>38</v>
      </c>
      <c r="AR203" s="62">
        <v>29</v>
      </c>
      <c r="AS203" s="62">
        <v>38</v>
      </c>
      <c r="AT203" s="62">
        <v>58</v>
      </c>
      <c r="AU203" s="62">
        <v>45</v>
      </c>
      <c r="AV203" s="62">
        <v>51</v>
      </c>
      <c r="AW203" s="62">
        <v>54</v>
      </c>
      <c r="AX203" s="62">
        <v>54</v>
      </c>
      <c r="AY203" s="62">
        <v>45</v>
      </c>
      <c r="AZ203" s="62">
        <v>49</v>
      </c>
      <c r="BA203" s="62">
        <v>49</v>
      </c>
      <c r="BB203" s="62">
        <v>55</v>
      </c>
      <c r="BC203" s="62">
        <v>70</v>
      </c>
      <c r="BD203" s="62">
        <v>60</v>
      </c>
      <c r="BE203" s="62">
        <v>71</v>
      </c>
      <c r="BF203" s="62">
        <v>54</v>
      </c>
      <c r="BG203" s="62">
        <v>53</v>
      </c>
      <c r="BH203" s="62">
        <v>60</v>
      </c>
    </row>
    <row r="204" spans="2:60" hidden="1" x14ac:dyDescent="0.2">
      <c r="B204" s="59"/>
      <c r="C204" s="59" t="s">
        <v>675</v>
      </c>
      <c r="D204" s="59" t="s">
        <v>653</v>
      </c>
      <c r="E204" s="63">
        <v>110</v>
      </c>
      <c r="F204" s="63">
        <v>98</v>
      </c>
      <c r="G204" s="63">
        <v>120</v>
      </c>
      <c r="H204" s="63">
        <v>117</v>
      </c>
      <c r="I204" s="63">
        <v>111</v>
      </c>
      <c r="J204" s="63">
        <v>128</v>
      </c>
      <c r="K204" s="63">
        <v>132</v>
      </c>
      <c r="L204" s="63">
        <v>118</v>
      </c>
      <c r="M204" s="63">
        <v>157</v>
      </c>
      <c r="N204" s="63">
        <v>123</v>
      </c>
      <c r="O204" s="63">
        <v>146</v>
      </c>
      <c r="P204" s="63">
        <v>140</v>
      </c>
      <c r="Q204" s="63">
        <v>162</v>
      </c>
      <c r="R204" s="63">
        <v>119</v>
      </c>
      <c r="S204" s="63">
        <v>150</v>
      </c>
      <c r="T204" s="63">
        <v>125</v>
      </c>
      <c r="U204" s="63">
        <v>149</v>
      </c>
      <c r="V204" s="63">
        <v>125</v>
      </c>
      <c r="W204" s="63">
        <v>162</v>
      </c>
      <c r="X204" s="63">
        <v>145</v>
      </c>
      <c r="Y204" s="63">
        <v>142</v>
      </c>
      <c r="Z204" s="63">
        <v>111</v>
      </c>
      <c r="AA204" s="63">
        <v>151</v>
      </c>
      <c r="AB204" s="63">
        <v>150</v>
      </c>
      <c r="AC204" s="63">
        <v>133</v>
      </c>
      <c r="AD204" s="63">
        <v>137</v>
      </c>
      <c r="AE204" s="63">
        <v>123</v>
      </c>
      <c r="AF204" s="63">
        <v>140</v>
      </c>
      <c r="AG204" s="63">
        <v>111</v>
      </c>
      <c r="AH204" s="63">
        <v>120</v>
      </c>
      <c r="AI204" s="63">
        <v>111</v>
      </c>
      <c r="AJ204" s="63">
        <v>155</v>
      </c>
      <c r="AK204" s="63">
        <v>82</v>
      </c>
      <c r="AL204" s="63">
        <v>105</v>
      </c>
      <c r="AM204" s="63">
        <v>92</v>
      </c>
      <c r="AN204" s="63">
        <v>102</v>
      </c>
      <c r="AO204" s="63">
        <v>67</v>
      </c>
      <c r="AP204" s="63">
        <v>92</v>
      </c>
      <c r="AQ204" s="63">
        <v>84</v>
      </c>
      <c r="AR204" s="63">
        <v>100</v>
      </c>
      <c r="AS204" s="63">
        <v>79</v>
      </c>
      <c r="AT204" s="63">
        <v>86</v>
      </c>
      <c r="AU204" s="63">
        <v>77</v>
      </c>
      <c r="AV204" s="63">
        <v>80</v>
      </c>
      <c r="AW204" s="63">
        <v>76</v>
      </c>
      <c r="AX204" s="63">
        <v>78</v>
      </c>
      <c r="AY204" s="63">
        <v>72</v>
      </c>
      <c r="AZ204" s="63">
        <v>74</v>
      </c>
      <c r="BA204" s="63">
        <v>99</v>
      </c>
      <c r="BB204" s="63">
        <v>83</v>
      </c>
      <c r="BC204" s="63">
        <v>81</v>
      </c>
      <c r="BD204" s="63">
        <v>83</v>
      </c>
      <c r="BE204" s="63">
        <v>72</v>
      </c>
      <c r="BF204" s="63">
        <v>69</v>
      </c>
      <c r="BG204" s="63">
        <v>83</v>
      </c>
      <c r="BH204" s="63">
        <v>71</v>
      </c>
    </row>
    <row r="205" spans="2:60" hidden="1" x14ac:dyDescent="0.2">
      <c r="B205" s="57"/>
      <c r="C205" s="57" t="s">
        <v>675</v>
      </c>
      <c r="D205" s="57" t="s">
        <v>654</v>
      </c>
      <c r="E205" s="62">
        <v>1</v>
      </c>
      <c r="F205" s="62">
        <v>2</v>
      </c>
      <c r="G205" s="62">
        <v>1</v>
      </c>
      <c r="H205" s="62">
        <v>5</v>
      </c>
      <c r="I205" s="62">
        <v>3</v>
      </c>
      <c r="J205" s="62">
        <v>1</v>
      </c>
      <c r="K205" s="62">
        <v>1</v>
      </c>
      <c r="L205" s="62">
        <v>1</v>
      </c>
      <c r="M205" s="62">
        <v>3</v>
      </c>
      <c r="N205" s="62">
        <v>6</v>
      </c>
      <c r="O205" s="62">
        <v>3</v>
      </c>
      <c r="P205" s="62">
        <v>3</v>
      </c>
      <c r="Q205" s="62">
        <v>6</v>
      </c>
      <c r="R205" s="62">
        <v>9</v>
      </c>
      <c r="S205" s="62">
        <v>6</v>
      </c>
      <c r="T205" s="62">
        <v>4</v>
      </c>
      <c r="U205" s="62">
        <v>11</v>
      </c>
      <c r="V205" s="62">
        <v>3</v>
      </c>
      <c r="W205" s="62">
        <v>4</v>
      </c>
      <c r="X205" s="62">
        <v>6</v>
      </c>
      <c r="Y205" s="62">
        <v>3</v>
      </c>
      <c r="Z205" s="62">
        <v>3</v>
      </c>
      <c r="AA205" s="62">
        <v>4</v>
      </c>
      <c r="AB205" s="62">
        <v>2</v>
      </c>
      <c r="AC205" s="62">
        <v>2</v>
      </c>
      <c r="AD205" s="62">
        <v>5</v>
      </c>
      <c r="AE205" s="62">
        <v>8</v>
      </c>
      <c r="AF205" s="62">
        <v>5</v>
      </c>
      <c r="AG205" s="62">
        <v>1</v>
      </c>
      <c r="AH205" s="62">
        <v>6</v>
      </c>
      <c r="AI205" s="62">
        <v>4</v>
      </c>
      <c r="AJ205" s="62">
        <v>4</v>
      </c>
      <c r="AK205" s="62">
        <v>2</v>
      </c>
      <c r="AL205" s="62">
        <v>3</v>
      </c>
      <c r="AM205" s="62">
        <v>1</v>
      </c>
      <c r="AN205" s="62">
        <v>4</v>
      </c>
      <c r="AO205" s="62">
        <v>3</v>
      </c>
      <c r="AP205" s="62">
        <v>6</v>
      </c>
      <c r="AQ205" s="62">
        <v>1</v>
      </c>
      <c r="AR205" s="62">
        <v>3</v>
      </c>
      <c r="AS205" s="62">
        <v>4</v>
      </c>
      <c r="AT205" s="62"/>
      <c r="AU205" s="62">
        <v>3</v>
      </c>
      <c r="AV205" s="62">
        <v>2</v>
      </c>
      <c r="AW205" s="62">
        <v>3</v>
      </c>
      <c r="AX205" s="62">
        <v>3</v>
      </c>
      <c r="AY205" s="62">
        <v>3</v>
      </c>
      <c r="AZ205" s="62">
        <v>1</v>
      </c>
      <c r="BA205" s="62">
        <v>2</v>
      </c>
      <c r="BB205" s="62">
        <v>1</v>
      </c>
      <c r="BC205" s="62">
        <v>3</v>
      </c>
      <c r="BD205" s="62"/>
      <c r="BE205" s="62">
        <v>5</v>
      </c>
      <c r="BF205" s="62">
        <v>5</v>
      </c>
      <c r="BG205" s="62">
        <v>1</v>
      </c>
      <c r="BH205" s="62">
        <v>2</v>
      </c>
    </row>
    <row r="206" spans="2:60" hidden="1" x14ac:dyDescent="0.2">
      <c r="B206" s="59"/>
      <c r="C206" s="59" t="s">
        <v>675</v>
      </c>
      <c r="D206" s="59" t="s">
        <v>655</v>
      </c>
      <c r="E206" s="63">
        <v>1</v>
      </c>
      <c r="F206" s="63">
        <v>1</v>
      </c>
      <c r="G206" s="63">
        <v>4</v>
      </c>
      <c r="H206" s="63">
        <v>3</v>
      </c>
      <c r="I206" s="63">
        <v>6</v>
      </c>
      <c r="J206" s="63">
        <v>5</v>
      </c>
      <c r="K206" s="63">
        <v>2</v>
      </c>
      <c r="L206" s="63">
        <v>3</v>
      </c>
      <c r="M206" s="63">
        <v>7</v>
      </c>
      <c r="N206" s="63">
        <v>1</v>
      </c>
      <c r="O206" s="63">
        <v>5</v>
      </c>
      <c r="P206" s="63">
        <v>1</v>
      </c>
      <c r="Q206" s="63">
        <v>8</v>
      </c>
      <c r="R206" s="63">
        <v>8</v>
      </c>
      <c r="S206" s="63">
        <v>6</v>
      </c>
      <c r="T206" s="63">
        <v>1</v>
      </c>
      <c r="U206" s="63">
        <v>11</v>
      </c>
      <c r="V206" s="63">
        <v>3</v>
      </c>
      <c r="W206" s="63">
        <v>4</v>
      </c>
      <c r="X206" s="63">
        <v>4</v>
      </c>
      <c r="Y206" s="63">
        <v>12</v>
      </c>
      <c r="Z206" s="63">
        <v>4</v>
      </c>
      <c r="AA206" s="63">
        <v>5</v>
      </c>
      <c r="AB206" s="63">
        <v>13</v>
      </c>
      <c r="AC206" s="63">
        <v>7</v>
      </c>
      <c r="AD206" s="63">
        <v>4</v>
      </c>
      <c r="AE206" s="63">
        <v>5</v>
      </c>
      <c r="AF206" s="63">
        <v>3</v>
      </c>
      <c r="AG206" s="63">
        <v>13</v>
      </c>
      <c r="AH206" s="63">
        <v>2</v>
      </c>
      <c r="AI206" s="63">
        <v>5</v>
      </c>
      <c r="AJ206" s="63">
        <v>4</v>
      </c>
      <c r="AK206" s="63">
        <v>5</v>
      </c>
      <c r="AL206" s="63">
        <v>12</v>
      </c>
      <c r="AM206" s="63">
        <v>4</v>
      </c>
      <c r="AN206" s="63">
        <v>10</v>
      </c>
      <c r="AO206" s="63">
        <v>3</v>
      </c>
      <c r="AP206" s="63">
        <v>5</v>
      </c>
      <c r="AQ206" s="63">
        <v>7</v>
      </c>
      <c r="AR206" s="63">
        <v>3</v>
      </c>
      <c r="AS206" s="63">
        <v>6</v>
      </c>
      <c r="AT206" s="63">
        <v>2</v>
      </c>
      <c r="AU206" s="63">
        <v>4</v>
      </c>
      <c r="AV206" s="63">
        <v>3</v>
      </c>
      <c r="AW206" s="63">
        <v>6</v>
      </c>
      <c r="AX206" s="63">
        <v>1</v>
      </c>
      <c r="AY206" s="63">
        <v>5</v>
      </c>
      <c r="AZ206" s="63">
        <v>4</v>
      </c>
      <c r="BA206" s="63">
        <v>4</v>
      </c>
      <c r="BB206" s="63">
        <v>1</v>
      </c>
      <c r="BC206" s="63">
        <v>3</v>
      </c>
      <c r="BD206" s="63">
        <v>4</v>
      </c>
      <c r="BE206" s="63">
        <v>5</v>
      </c>
      <c r="BF206" s="63">
        <v>4</v>
      </c>
      <c r="BG206" s="63">
        <v>3</v>
      </c>
      <c r="BH206" s="63">
        <v>2</v>
      </c>
    </row>
    <row r="207" spans="2:60" hidden="1" x14ac:dyDescent="0.2">
      <c r="B207" s="57"/>
      <c r="C207" s="57" t="s">
        <v>675</v>
      </c>
      <c r="D207" s="57" t="s">
        <v>699</v>
      </c>
      <c r="E207" s="62">
        <v>49</v>
      </c>
      <c r="F207" s="62">
        <v>40</v>
      </c>
      <c r="G207" s="62">
        <v>29</v>
      </c>
      <c r="H207" s="62">
        <v>29</v>
      </c>
      <c r="I207" s="62">
        <v>40</v>
      </c>
      <c r="J207" s="62">
        <v>34</v>
      </c>
      <c r="K207" s="62">
        <v>41</v>
      </c>
      <c r="L207" s="62">
        <v>29</v>
      </c>
      <c r="M207" s="62">
        <v>50</v>
      </c>
      <c r="N207" s="62">
        <v>38</v>
      </c>
      <c r="O207" s="62">
        <v>52</v>
      </c>
      <c r="P207" s="62">
        <v>51</v>
      </c>
      <c r="Q207" s="62">
        <v>51</v>
      </c>
      <c r="R207" s="62">
        <v>32</v>
      </c>
      <c r="S207" s="62">
        <v>37</v>
      </c>
      <c r="T207" s="62">
        <v>35</v>
      </c>
      <c r="U207" s="62">
        <v>42</v>
      </c>
      <c r="V207" s="62">
        <v>31</v>
      </c>
      <c r="W207" s="62">
        <v>45</v>
      </c>
      <c r="X207" s="62">
        <v>35</v>
      </c>
      <c r="Y207" s="62">
        <v>42</v>
      </c>
      <c r="Z207" s="62">
        <v>36</v>
      </c>
      <c r="AA207" s="62">
        <v>43</v>
      </c>
      <c r="AB207" s="62">
        <v>40</v>
      </c>
      <c r="AC207" s="62">
        <v>34</v>
      </c>
      <c r="AD207" s="62">
        <v>26</v>
      </c>
      <c r="AE207" s="62">
        <v>21</v>
      </c>
      <c r="AF207" s="62">
        <v>32</v>
      </c>
      <c r="AG207" s="62">
        <v>27</v>
      </c>
      <c r="AH207" s="62">
        <v>16</v>
      </c>
      <c r="AI207" s="62">
        <v>19</v>
      </c>
      <c r="AJ207" s="62">
        <v>24</v>
      </c>
      <c r="AK207" s="62">
        <v>20</v>
      </c>
      <c r="AL207" s="62">
        <v>21</v>
      </c>
      <c r="AM207" s="62">
        <v>22</v>
      </c>
      <c r="AN207" s="62">
        <v>12</v>
      </c>
      <c r="AO207" s="62">
        <v>17</v>
      </c>
      <c r="AP207" s="62">
        <v>16</v>
      </c>
      <c r="AQ207" s="62">
        <v>20</v>
      </c>
      <c r="AR207" s="62">
        <v>10</v>
      </c>
      <c r="AS207" s="62">
        <v>28</v>
      </c>
      <c r="AT207" s="62">
        <v>20</v>
      </c>
      <c r="AU207" s="62">
        <v>17</v>
      </c>
      <c r="AV207" s="62">
        <v>16</v>
      </c>
      <c r="AW207" s="62">
        <v>9</v>
      </c>
      <c r="AX207" s="62">
        <v>12</v>
      </c>
      <c r="AY207" s="62">
        <v>17</v>
      </c>
      <c r="AZ207" s="62">
        <v>10</v>
      </c>
      <c r="BA207" s="62">
        <v>15</v>
      </c>
      <c r="BB207" s="62">
        <v>9</v>
      </c>
      <c r="BC207" s="62">
        <v>23</v>
      </c>
      <c r="BD207" s="62">
        <v>22</v>
      </c>
      <c r="BE207" s="62">
        <v>14</v>
      </c>
      <c r="BF207" s="62">
        <v>20</v>
      </c>
      <c r="BG207" s="62">
        <v>26</v>
      </c>
      <c r="BH207" s="62">
        <v>26</v>
      </c>
    </row>
    <row r="208" spans="2:60" hidden="1" x14ac:dyDescent="0.2">
      <c r="B208" s="59"/>
      <c r="C208" s="59" t="s">
        <v>675</v>
      </c>
      <c r="D208" s="59" t="s">
        <v>656</v>
      </c>
      <c r="E208" s="63">
        <v>430</v>
      </c>
      <c r="F208" s="63">
        <v>351</v>
      </c>
      <c r="G208" s="63">
        <v>365</v>
      </c>
      <c r="H208" s="63">
        <v>389</v>
      </c>
      <c r="I208" s="63">
        <v>419</v>
      </c>
      <c r="J208" s="63">
        <v>371</v>
      </c>
      <c r="K208" s="63">
        <v>426</v>
      </c>
      <c r="L208" s="63">
        <v>367</v>
      </c>
      <c r="M208" s="63">
        <v>469</v>
      </c>
      <c r="N208" s="63">
        <v>404</v>
      </c>
      <c r="O208" s="63">
        <v>459</v>
      </c>
      <c r="P208" s="63">
        <v>398</v>
      </c>
      <c r="Q208" s="63">
        <v>501</v>
      </c>
      <c r="R208" s="63">
        <v>385</v>
      </c>
      <c r="S208" s="63">
        <v>446</v>
      </c>
      <c r="T208" s="63">
        <v>395</v>
      </c>
      <c r="U208" s="63">
        <v>440</v>
      </c>
      <c r="V208" s="63">
        <v>384</v>
      </c>
      <c r="W208" s="63">
        <v>457</v>
      </c>
      <c r="X208" s="63">
        <v>410</v>
      </c>
      <c r="Y208" s="63">
        <v>443</v>
      </c>
      <c r="Z208" s="63">
        <v>352</v>
      </c>
      <c r="AA208" s="63">
        <v>432</v>
      </c>
      <c r="AB208" s="63">
        <v>417</v>
      </c>
      <c r="AC208" s="63">
        <v>380</v>
      </c>
      <c r="AD208" s="63">
        <v>395</v>
      </c>
      <c r="AE208" s="63">
        <v>385</v>
      </c>
      <c r="AF208" s="63">
        <v>373</v>
      </c>
      <c r="AG208" s="63">
        <v>359</v>
      </c>
      <c r="AH208" s="63">
        <v>321</v>
      </c>
      <c r="AI208" s="63">
        <v>292</v>
      </c>
      <c r="AJ208" s="63">
        <v>403</v>
      </c>
      <c r="AK208" s="63">
        <v>287</v>
      </c>
      <c r="AL208" s="63">
        <v>338</v>
      </c>
      <c r="AM208" s="63">
        <v>277</v>
      </c>
      <c r="AN208" s="63">
        <v>258</v>
      </c>
      <c r="AO208" s="63">
        <v>239</v>
      </c>
      <c r="AP208" s="63">
        <v>266</v>
      </c>
      <c r="AQ208" s="63">
        <v>249</v>
      </c>
      <c r="AR208" s="63">
        <v>225</v>
      </c>
      <c r="AS208" s="63">
        <v>240</v>
      </c>
      <c r="AT208" s="63">
        <v>244</v>
      </c>
      <c r="AU208" s="63">
        <v>218</v>
      </c>
      <c r="AV208" s="63">
        <v>208</v>
      </c>
      <c r="AW208" s="63">
        <v>224</v>
      </c>
      <c r="AX208" s="63">
        <v>231</v>
      </c>
      <c r="AY208" s="63">
        <v>209</v>
      </c>
      <c r="AZ208" s="63">
        <v>201</v>
      </c>
      <c r="BA208" s="63">
        <v>248</v>
      </c>
      <c r="BB208" s="63">
        <v>241</v>
      </c>
      <c r="BC208" s="63">
        <v>249</v>
      </c>
      <c r="BD208" s="63">
        <v>258</v>
      </c>
      <c r="BE208" s="63">
        <v>240</v>
      </c>
      <c r="BF208" s="63">
        <v>234</v>
      </c>
      <c r="BG208" s="63">
        <v>246</v>
      </c>
      <c r="BH208" s="63">
        <v>248</v>
      </c>
    </row>
    <row r="209" spans="2:60" hidden="1" x14ac:dyDescent="0.2">
      <c r="B209" s="57"/>
      <c r="C209" s="57" t="s">
        <v>676</v>
      </c>
      <c r="D209" s="57" t="s">
        <v>648</v>
      </c>
      <c r="E209" s="62">
        <v>6</v>
      </c>
      <c r="F209" s="62">
        <v>2</v>
      </c>
      <c r="G209" s="62">
        <v>2</v>
      </c>
      <c r="H209" s="62">
        <v>3</v>
      </c>
      <c r="I209" s="62">
        <v>4</v>
      </c>
      <c r="J209" s="62">
        <v>4</v>
      </c>
      <c r="K209" s="62"/>
      <c r="L209" s="62">
        <v>1</v>
      </c>
      <c r="M209" s="62">
        <v>7</v>
      </c>
      <c r="N209" s="62">
        <v>2</v>
      </c>
      <c r="O209" s="62">
        <v>5</v>
      </c>
      <c r="P209" s="62">
        <v>2</v>
      </c>
      <c r="Q209" s="62"/>
      <c r="R209" s="62">
        <v>7</v>
      </c>
      <c r="S209" s="62">
        <v>4</v>
      </c>
      <c r="T209" s="62">
        <v>8</v>
      </c>
      <c r="U209" s="62">
        <v>8</v>
      </c>
      <c r="V209" s="62">
        <v>4</v>
      </c>
      <c r="W209" s="62">
        <v>3</v>
      </c>
      <c r="X209" s="62">
        <v>6</v>
      </c>
      <c r="Y209" s="62">
        <v>9</v>
      </c>
      <c r="Z209" s="62">
        <v>9</v>
      </c>
      <c r="AA209" s="62">
        <v>2</v>
      </c>
      <c r="AB209" s="62">
        <v>4</v>
      </c>
      <c r="AC209" s="62">
        <v>7</v>
      </c>
      <c r="AD209" s="62">
        <v>4</v>
      </c>
      <c r="AE209" s="62">
        <v>5</v>
      </c>
      <c r="AF209" s="62">
        <v>2</v>
      </c>
      <c r="AG209" s="62">
        <v>5</v>
      </c>
      <c r="AH209" s="62">
        <v>5</v>
      </c>
      <c r="AI209" s="62">
        <v>4</v>
      </c>
      <c r="AJ209" s="62">
        <v>3</v>
      </c>
      <c r="AK209" s="62">
        <v>4</v>
      </c>
      <c r="AL209" s="62">
        <v>4</v>
      </c>
      <c r="AM209" s="62">
        <v>3</v>
      </c>
      <c r="AN209" s="62">
        <v>4</v>
      </c>
      <c r="AO209" s="62">
        <v>4</v>
      </c>
      <c r="AP209" s="62">
        <v>4</v>
      </c>
      <c r="AQ209" s="62">
        <v>5</v>
      </c>
      <c r="AR209" s="62">
        <v>8</v>
      </c>
      <c r="AS209" s="62">
        <v>13</v>
      </c>
      <c r="AT209" s="62">
        <v>6</v>
      </c>
      <c r="AU209" s="62">
        <v>3</v>
      </c>
      <c r="AV209" s="62">
        <v>2</v>
      </c>
      <c r="AW209" s="62">
        <v>3</v>
      </c>
      <c r="AX209" s="62">
        <v>8</v>
      </c>
      <c r="AY209" s="62">
        <v>3</v>
      </c>
      <c r="AZ209" s="62">
        <v>2</v>
      </c>
      <c r="BA209" s="62">
        <v>3</v>
      </c>
      <c r="BB209" s="62">
        <v>3</v>
      </c>
      <c r="BC209" s="62">
        <v>3</v>
      </c>
      <c r="BD209" s="62">
        <v>1</v>
      </c>
      <c r="BE209" s="62">
        <v>4</v>
      </c>
      <c r="BF209" s="62">
        <v>3</v>
      </c>
      <c r="BG209" s="62">
        <v>1</v>
      </c>
      <c r="BH209" s="62">
        <v>2</v>
      </c>
    </row>
    <row r="210" spans="2:60" hidden="1" x14ac:dyDescent="0.2">
      <c r="B210" s="59"/>
      <c r="C210" s="59" t="s">
        <v>676</v>
      </c>
      <c r="D210" s="59" t="s">
        <v>649</v>
      </c>
      <c r="E210" s="63">
        <v>16</v>
      </c>
      <c r="F210" s="63">
        <v>23</v>
      </c>
      <c r="G210" s="63">
        <v>25</v>
      </c>
      <c r="H210" s="63">
        <v>16</v>
      </c>
      <c r="I210" s="63">
        <v>26</v>
      </c>
      <c r="J210" s="63">
        <v>18</v>
      </c>
      <c r="K210" s="63">
        <v>21</v>
      </c>
      <c r="L210" s="63">
        <v>25</v>
      </c>
      <c r="M210" s="63">
        <v>18</v>
      </c>
      <c r="N210" s="63">
        <v>16</v>
      </c>
      <c r="O210" s="63">
        <v>12</v>
      </c>
      <c r="P210" s="63">
        <v>17</v>
      </c>
      <c r="Q210" s="63">
        <v>17</v>
      </c>
      <c r="R210" s="63">
        <v>15</v>
      </c>
      <c r="S210" s="63">
        <v>19</v>
      </c>
      <c r="T210" s="63">
        <v>11</v>
      </c>
      <c r="U210" s="63">
        <v>22</v>
      </c>
      <c r="V210" s="63">
        <v>20</v>
      </c>
      <c r="W210" s="63">
        <v>21</v>
      </c>
      <c r="X210" s="63">
        <v>13</v>
      </c>
      <c r="Y210" s="63">
        <v>22</v>
      </c>
      <c r="Z210" s="63">
        <v>21</v>
      </c>
      <c r="AA210" s="63">
        <v>17</v>
      </c>
      <c r="AB210" s="63">
        <v>23</v>
      </c>
      <c r="AC210" s="63">
        <v>26</v>
      </c>
      <c r="AD210" s="63">
        <v>19</v>
      </c>
      <c r="AE210" s="63">
        <v>21</v>
      </c>
      <c r="AF210" s="63">
        <v>22</v>
      </c>
      <c r="AG210" s="63">
        <v>19</v>
      </c>
      <c r="AH210" s="63">
        <v>17</v>
      </c>
      <c r="AI210" s="63">
        <v>11</v>
      </c>
      <c r="AJ210" s="63">
        <v>28</v>
      </c>
      <c r="AK210" s="63">
        <v>26</v>
      </c>
      <c r="AL210" s="63">
        <v>17</v>
      </c>
      <c r="AM210" s="63">
        <v>18</v>
      </c>
      <c r="AN210" s="63">
        <v>14</v>
      </c>
      <c r="AO210" s="63">
        <v>23</v>
      </c>
      <c r="AP210" s="63">
        <v>8</v>
      </c>
      <c r="AQ210" s="63">
        <v>10</v>
      </c>
      <c r="AR210" s="63">
        <v>17</v>
      </c>
      <c r="AS210" s="63">
        <v>14</v>
      </c>
      <c r="AT210" s="63">
        <v>11</v>
      </c>
      <c r="AU210" s="63">
        <v>19</v>
      </c>
      <c r="AV210" s="63">
        <v>17</v>
      </c>
      <c r="AW210" s="63">
        <v>11</v>
      </c>
      <c r="AX210" s="63">
        <v>20</v>
      </c>
      <c r="AY210" s="63">
        <v>10</v>
      </c>
      <c r="AZ210" s="63">
        <v>18</v>
      </c>
      <c r="BA210" s="63">
        <v>19</v>
      </c>
      <c r="BB210" s="63">
        <v>12</v>
      </c>
      <c r="BC210" s="63">
        <v>17</v>
      </c>
      <c r="BD210" s="63">
        <v>5</v>
      </c>
      <c r="BE210" s="63">
        <v>11</v>
      </c>
      <c r="BF210" s="63">
        <v>10</v>
      </c>
      <c r="BG210" s="63">
        <v>12</v>
      </c>
      <c r="BH210" s="63">
        <v>12</v>
      </c>
    </row>
    <row r="211" spans="2:60" hidden="1" x14ac:dyDescent="0.2">
      <c r="B211" s="57"/>
      <c r="C211" s="57" t="s">
        <v>676</v>
      </c>
      <c r="D211" s="57" t="s">
        <v>650</v>
      </c>
      <c r="E211" s="62">
        <v>28</v>
      </c>
      <c r="F211" s="62">
        <v>16</v>
      </c>
      <c r="G211" s="62">
        <v>15</v>
      </c>
      <c r="H211" s="62">
        <v>15</v>
      </c>
      <c r="I211" s="62">
        <v>15</v>
      </c>
      <c r="J211" s="62">
        <v>14</v>
      </c>
      <c r="K211" s="62">
        <v>14</v>
      </c>
      <c r="L211" s="62">
        <v>15</v>
      </c>
      <c r="M211" s="62">
        <v>13</v>
      </c>
      <c r="N211" s="62">
        <v>13</v>
      </c>
      <c r="O211" s="62">
        <v>10</v>
      </c>
      <c r="P211" s="62">
        <v>9</v>
      </c>
      <c r="Q211" s="62">
        <v>17</v>
      </c>
      <c r="R211" s="62">
        <v>12</v>
      </c>
      <c r="S211" s="62">
        <v>8</v>
      </c>
      <c r="T211" s="62">
        <v>17</v>
      </c>
      <c r="U211" s="62">
        <v>11</v>
      </c>
      <c r="V211" s="62">
        <v>17</v>
      </c>
      <c r="W211" s="62">
        <v>4</v>
      </c>
      <c r="X211" s="62">
        <v>10</v>
      </c>
      <c r="Y211" s="62">
        <v>16</v>
      </c>
      <c r="Z211" s="62">
        <v>13</v>
      </c>
      <c r="AA211" s="62">
        <v>13</v>
      </c>
      <c r="AB211" s="62">
        <v>9</v>
      </c>
      <c r="AC211" s="62">
        <v>6</v>
      </c>
      <c r="AD211" s="62">
        <v>16</v>
      </c>
      <c r="AE211" s="62">
        <v>14</v>
      </c>
      <c r="AF211" s="62">
        <v>15</v>
      </c>
      <c r="AG211" s="62">
        <v>13</v>
      </c>
      <c r="AH211" s="62">
        <v>14</v>
      </c>
      <c r="AI211" s="62">
        <v>12</v>
      </c>
      <c r="AJ211" s="62">
        <v>8</v>
      </c>
      <c r="AK211" s="62">
        <v>15</v>
      </c>
      <c r="AL211" s="62">
        <v>19</v>
      </c>
      <c r="AM211" s="62">
        <v>15</v>
      </c>
      <c r="AN211" s="62">
        <v>7</v>
      </c>
      <c r="AO211" s="62">
        <v>19</v>
      </c>
      <c r="AP211" s="62">
        <v>10</v>
      </c>
      <c r="AQ211" s="62">
        <v>11</v>
      </c>
      <c r="AR211" s="62">
        <v>11</v>
      </c>
      <c r="AS211" s="62">
        <v>7</v>
      </c>
      <c r="AT211" s="62">
        <v>4</v>
      </c>
      <c r="AU211" s="62">
        <v>18</v>
      </c>
      <c r="AV211" s="62">
        <v>5</v>
      </c>
      <c r="AW211" s="62">
        <v>7</v>
      </c>
      <c r="AX211" s="62">
        <v>3</v>
      </c>
      <c r="AY211" s="62">
        <v>10</v>
      </c>
      <c r="AZ211" s="62">
        <v>5</v>
      </c>
      <c r="BA211" s="62">
        <v>11</v>
      </c>
      <c r="BB211" s="62">
        <v>9</v>
      </c>
      <c r="BC211" s="62">
        <v>5</v>
      </c>
      <c r="BD211" s="62">
        <v>6</v>
      </c>
      <c r="BE211" s="62">
        <v>8</v>
      </c>
      <c r="BF211" s="62">
        <v>19</v>
      </c>
      <c r="BG211" s="62">
        <v>8</v>
      </c>
      <c r="BH211" s="62">
        <v>11</v>
      </c>
    </row>
    <row r="212" spans="2:60" hidden="1" x14ac:dyDescent="0.2">
      <c r="B212" s="59"/>
      <c r="C212" s="59" t="s">
        <v>676</v>
      </c>
      <c r="D212" s="59" t="s">
        <v>651</v>
      </c>
      <c r="E212" s="63">
        <v>28</v>
      </c>
      <c r="F212" s="63">
        <v>20</v>
      </c>
      <c r="G212" s="63">
        <v>17</v>
      </c>
      <c r="H212" s="63">
        <v>27</v>
      </c>
      <c r="I212" s="63">
        <v>25</v>
      </c>
      <c r="J212" s="63">
        <v>11</v>
      </c>
      <c r="K212" s="63">
        <v>15</v>
      </c>
      <c r="L212" s="63">
        <v>30</v>
      </c>
      <c r="M212" s="63">
        <v>18</v>
      </c>
      <c r="N212" s="63">
        <v>18</v>
      </c>
      <c r="O212" s="63">
        <v>16</v>
      </c>
      <c r="P212" s="63">
        <v>12</v>
      </c>
      <c r="Q212" s="63">
        <v>22</v>
      </c>
      <c r="R212" s="63">
        <v>13</v>
      </c>
      <c r="S212" s="63">
        <v>19</v>
      </c>
      <c r="T212" s="63">
        <v>15</v>
      </c>
      <c r="U212" s="63">
        <v>16</v>
      </c>
      <c r="V212" s="63">
        <v>21</v>
      </c>
      <c r="W212" s="63">
        <v>10</v>
      </c>
      <c r="X212" s="63">
        <v>10</v>
      </c>
      <c r="Y212" s="63">
        <v>16</v>
      </c>
      <c r="Z212" s="63">
        <v>14</v>
      </c>
      <c r="AA212" s="63">
        <v>16</v>
      </c>
      <c r="AB212" s="63">
        <v>16</v>
      </c>
      <c r="AC212" s="63">
        <v>10</v>
      </c>
      <c r="AD212" s="63">
        <v>14</v>
      </c>
      <c r="AE212" s="63">
        <v>13</v>
      </c>
      <c r="AF212" s="63">
        <v>15</v>
      </c>
      <c r="AG212" s="63">
        <v>11</v>
      </c>
      <c r="AH212" s="63">
        <v>15</v>
      </c>
      <c r="AI212" s="63">
        <v>17</v>
      </c>
      <c r="AJ212" s="63">
        <v>15</v>
      </c>
      <c r="AK212" s="63">
        <v>17</v>
      </c>
      <c r="AL212" s="63">
        <v>14</v>
      </c>
      <c r="AM212" s="63">
        <v>16</v>
      </c>
      <c r="AN212" s="63">
        <v>5</v>
      </c>
      <c r="AO212" s="63">
        <v>8</v>
      </c>
      <c r="AP212" s="63">
        <v>10</v>
      </c>
      <c r="AQ212" s="63">
        <v>3</v>
      </c>
      <c r="AR212" s="63">
        <v>6</v>
      </c>
      <c r="AS212" s="63">
        <v>11</v>
      </c>
      <c r="AT212" s="63">
        <v>8</v>
      </c>
      <c r="AU212" s="63">
        <v>11</v>
      </c>
      <c r="AV212" s="63">
        <v>5</v>
      </c>
      <c r="AW212" s="63">
        <v>8</v>
      </c>
      <c r="AX212" s="63">
        <v>7</v>
      </c>
      <c r="AY212" s="63">
        <v>5</v>
      </c>
      <c r="AZ212" s="63">
        <v>9</v>
      </c>
      <c r="BA212" s="63">
        <v>6</v>
      </c>
      <c r="BB212" s="63">
        <v>6</v>
      </c>
      <c r="BC212" s="63">
        <v>7</v>
      </c>
      <c r="BD212" s="63">
        <v>9</v>
      </c>
      <c r="BE212" s="63">
        <v>9</v>
      </c>
      <c r="BF212" s="63">
        <v>6</v>
      </c>
      <c r="BG212" s="63">
        <v>11</v>
      </c>
      <c r="BH212" s="63">
        <v>11</v>
      </c>
    </row>
    <row r="213" spans="2:60" hidden="1" x14ac:dyDescent="0.2">
      <c r="B213" s="57"/>
      <c r="C213" s="57" t="s">
        <v>676</v>
      </c>
      <c r="D213" s="57" t="s">
        <v>652</v>
      </c>
      <c r="E213" s="62">
        <v>143</v>
      </c>
      <c r="F213" s="62">
        <v>104</v>
      </c>
      <c r="G213" s="62">
        <v>131</v>
      </c>
      <c r="H213" s="62">
        <v>113</v>
      </c>
      <c r="I213" s="62">
        <v>148</v>
      </c>
      <c r="J213" s="62">
        <v>129</v>
      </c>
      <c r="K213" s="62">
        <v>102</v>
      </c>
      <c r="L213" s="62">
        <v>117</v>
      </c>
      <c r="M213" s="62">
        <v>141</v>
      </c>
      <c r="N213" s="62">
        <v>102</v>
      </c>
      <c r="O213" s="62">
        <v>110</v>
      </c>
      <c r="P213" s="62">
        <v>89</v>
      </c>
      <c r="Q213" s="62">
        <v>118</v>
      </c>
      <c r="R213" s="62">
        <v>94</v>
      </c>
      <c r="S213" s="62">
        <v>110</v>
      </c>
      <c r="T213" s="62">
        <v>78</v>
      </c>
      <c r="U213" s="62">
        <v>100</v>
      </c>
      <c r="V213" s="62">
        <v>80</v>
      </c>
      <c r="W213" s="62">
        <v>94</v>
      </c>
      <c r="X213" s="62">
        <v>84</v>
      </c>
      <c r="Y213" s="62">
        <v>101</v>
      </c>
      <c r="Z213" s="62">
        <v>84</v>
      </c>
      <c r="AA213" s="62">
        <v>89</v>
      </c>
      <c r="AB213" s="62">
        <v>88</v>
      </c>
      <c r="AC213" s="62">
        <v>105</v>
      </c>
      <c r="AD213" s="62">
        <v>82</v>
      </c>
      <c r="AE213" s="62">
        <v>86</v>
      </c>
      <c r="AF213" s="62">
        <v>92</v>
      </c>
      <c r="AG213" s="62">
        <v>73</v>
      </c>
      <c r="AH213" s="62">
        <v>80</v>
      </c>
      <c r="AI213" s="62">
        <v>67</v>
      </c>
      <c r="AJ213" s="62">
        <v>84</v>
      </c>
      <c r="AK213" s="62">
        <v>71</v>
      </c>
      <c r="AL213" s="62">
        <v>93</v>
      </c>
      <c r="AM213" s="62">
        <v>68</v>
      </c>
      <c r="AN213" s="62">
        <v>63</v>
      </c>
      <c r="AO213" s="62">
        <v>66</v>
      </c>
      <c r="AP213" s="62">
        <v>75</v>
      </c>
      <c r="AQ213" s="62">
        <v>71</v>
      </c>
      <c r="AR213" s="62">
        <v>62</v>
      </c>
      <c r="AS213" s="62">
        <v>74</v>
      </c>
      <c r="AT213" s="62">
        <v>68</v>
      </c>
      <c r="AU213" s="62">
        <v>57</v>
      </c>
      <c r="AV213" s="62">
        <v>57</v>
      </c>
      <c r="AW213" s="62">
        <v>67</v>
      </c>
      <c r="AX213" s="62">
        <v>64</v>
      </c>
      <c r="AY213" s="62">
        <v>52</v>
      </c>
      <c r="AZ213" s="62">
        <v>50</v>
      </c>
      <c r="BA213" s="62">
        <v>52</v>
      </c>
      <c r="BB213" s="62">
        <v>58</v>
      </c>
      <c r="BC213" s="62">
        <v>49</v>
      </c>
      <c r="BD213" s="62">
        <v>49</v>
      </c>
      <c r="BE213" s="62">
        <v>55</v>
      </c>
      <c r="BF213" s="62">
        <v>50</v>
      </c>
      <c r="BG213" s="62">
        <v>52</v>
      </c>
      <c r="BH213" s="62">
        <v>57</v>
      </c>
    </row>
    <row r="214" spans="2:60" hidden="1" x14ac:dyDescent="0.2">
      <c r="B214" s="59"/>
      <c r="C214" s="59" t="s">
        <v>676</v>
      </c>
      <c r="D214" s="59" t="s">
        <v>653</v>
      </c>
      <c r="E214" s="63">
        <v>154</v>
      </c>
      <c r="F214" s="63">
        <v>122</v>
      </c>
      <c r="G214" s="63">
        <v>128</v>
      </c>
      <c r="H214" s="63">
        <v>136</v>
      </c>
      <c r="I214" s="63">
        <v>164</v>
      </c>
      <c r="J214" s="63">
        <v>138</v>
      </c>
      <c r="K214" s="63">
        <v>135</v>
      </c>
      <c r="L214" s="63">
        <v>127</v>
      </c>
      <c r="M214" s="63">
        <v>144</v>
      </c>
      <c r="N214" s="63">
        <v>129</v>
      </c>
      <c r="O214" s="63">
        <v>137</v>
      </c>
      <c r="P214" s="63">
        <v>109</v>
      </c>
      <c r="Q214" s="63">
        <v>116</v>
      </c>
      <c r="R214" s="63">
        <v>113</v>
      </c>
      <c r="S214" s="63">
        <v>119</v>
      </c>
      <c r="T214" s="63">
        <v>120</v>
      </c>
      <c r="U214" s="63">
        <v>134</v>
      </c>
      <c r="V214" s="63">
        <v>118</v>
      </c>
      <c r="W214" s="63">
        <v>119</v>
      </c>
      <c r="X214" s="63">
        <v>116</v>
      </c>
      <c r="Y214" s="63">
        <v>139</v>
      </c>
      <c r="Z214" s="63">
        <v>105</v>
      </c>
      <c r="AA214" s="63">
        <v>101</v>
      </c>
      <c r="AB214" s="63">
        <v>94</v>
      </c>
      <c r="AC214" s="63">
        <v>104</v>
      </c>
      <c r="AD214" s="63">
        <v>111</v>
      </c>
      <c r="AE214" s="63">
        <v>90</v>
      </c>
      <c r="AF214" s="63">
        <v>95</v>
      </c>
      <c r="AG214" s="63">
        <v>126</v>
      </c>
      <c r="AH214" s="63">
        <v>101</v>
      </c>
      <c r="AI214" s="63">
        <v>94</v>
      </c>
      <c r="AJ214" s="63">
        <v>113</v>
      </c>
      <c r="AK214" s="63">
        <v>121</v>
      </c>
      <c r="AL214" s="63">
        <v>108</v>
      </c>
      <c r="AM214" s="63">
        <v>100</v>
      </c>
      <c r="AN214" s="63">
        <v>82</v>
      </c>
      <c r="AO214" s="63">
        <v>98</v>
      </c>
      <c r="AP214" s="63">
        <v>73</v>
      </c>
      <c r="AQ214" s="63">
        <v>95</v>
      </c>
      <c r="AR214" s="63">
        <v>95</v>
      </c>
      <c r="AS214" s="63">
        <v>77</v>
      </c>
      <c r="AT214" s="63">
        <v>85</v>
      </c>
      <c r="AU214" s="63">
        <v>79</v>
      </c>
      <c r="AV214" s="63">
        <v>67</v>
      </c>
      <c r="AW214" s="63">
        <v>76</v>
      </c>
      <c r="AX214" s="63">
        <v>74</v>
      </c>
      <c r="AY214" s="63">
        <v>77</v>
      </c>
      <c r="AZ214" s="63">
        <v>74</v>
      </c>
      <c r="BA214" s="63">
        <v>93</v>
      </c>
      <c r="BB214" s="63">
        <v>111</v>
      </c>
      <c r="BC214" s="63">
        <v>94</v>
      </c>
      <c r="BD214" s="63">
        <v>89</v>
      </c>
      <c r="BE214" s="63">
        <v>112</v>
      </c>
      <c r="BF214" s="63">
        <v>87</v>
      </c>
      <c r="BG214" s="63">
        <v>87</v>
      </c>
      <c r="BH214" s="63">
        <v>88</v>
      </c>
    </row>
    <row r="215" spans="2:60" hidden="1" x14ac:dyDescent="0.2">
      <c r="B215" s="57"/>
      <c r="C215" s="57" t="s">
        <v>676</v>
      </c>
      <c r="D215" s="57" t="s">
        <v>654</v>
      </c>
      <c r="E215" s="62">
        <v>1</v>
      </c>
      <c r="F215" s="62"/>
      <c r="G215" s="62">
        <v>4</v>
      </c>
      <c r="H215" s="62">
        <v>1</v>
      </c>
      <c r="I215" s="62">
        <v>2</v>
      </c>
      <c r="J215" s="62">
        <v>3</v>
      </c>
      <c r="K215" s="62">
        <v>5</v>
      </c>
      <c r="L215" s="62">
        <v>2</v>
      </c>
      <c r="M215" s="62">
        <v>4</v>
      </c>
      <c r="N215" s="62">
        <v>4</v>
      </c>
      <c r="O215" s="62">
        <v>3</v>
      </c>
      <c r="P215" s="62">
        <v>2</v>
      </c>
      <c r="Q215" s="62">
        <v>2</v>
      </c>
      <c r="R215" s="62">
        <v>2</v>
      </c>
      <c r="S215" s="62">
        <v>1</v>
      </c>
      <c r="T215" s="62">
        <v>3</v>
      </c>
      <c r="U215" s="62">
        <v>5</v>
      </c>
      <c r="V215" s="62">
        <v>9</v>
      </c>
      <c r="W215" s="62">
        <v>4</v>
      </c>
      <c r="X215" s="62">
        <v>4</v>
      </c>
      <c r="Y215" s="62">
        <v>9</v>
      </c>
      <c r="Z215" s="62">
        <v>2</v>
      </c>
      <c r="AA215" s="62">
        <v>4</v>
      </c>
      <c r="AB215" s="62">
        <v>3</v>
      </c>
      <c r="AC215" s="62">
        <v>8</v>
      </c>
      <c r="AD215" s="62">
        <v>3</v>
      </c>
      <c r="AE215" s="62">
        <v>3</v>
      </c>
      <c r="AF215" s="62">
        <v>2</v>
      </c>
      <c r="AG215" s="62">
        <v>7</v>
      </c>
      <c r="AH215" s="62"/>
      <c r="AI215" s="62">
        <v>1</v>
      </c>
      <c r="AJ215" s="62">
        <v>7</v>
      </c>
      <c r="AK215" s="62">
        <v>5</v>
      </c>
      <c r="AL215" s="62">
        <v>2</v>
      </c>
      <c r="AM215" s="62">
        <v>2</v>
      </c>
      <c r="AN215" s="62">
        <v>4</v>
      </c>
      <c r="AO215" s="62">
        <v>2</v>
      </c>
      <c r="AP215" s="62">
        <v>1</v>
      </c>
      <c r="AQ215" s="62">
        <v>3</v>
      </c>
      <c r="AR215" s="62">
        <v>4</v>
      </c>
      <c r="AS215" s="62">
        <v>2</v>
      </c>
      <c r="AT215" s="62">
        <v>7</v>
      </c>
      <c r="AU215" s="62">
        <v>1</v>
      </c>
      <c r="AV215" s="62">
        <v>3</v>
      </c>
      <c r="AW215" s="62">
        <v>3</v>
      </c>
      <c r="AX215" s="62">
        <v>2</v>
      </c>
      <c r="AY215" s="62">
        <v>3</v>
      </c>
      <c r="AZ215" s="62">
        <v>3</v>
      </c>
      <c r="BA215" s="62">
        <v>2</v>
      </c>
      <c r="BB215" s="62"/>
      <c r="BC215" s="62">
        <v>2</v>
      </c>
      <c r="BD215" s="62">
        <v>3</v>
      </c>
      <c r="BE215" s="62">
        <v>2</v>
      </c>
      <c r="BF215" s="62"/>
      <c r="BG215" s="62">
        <v>1</v>
      </c>
      <c r="BH215" s="62">
        <v>4</v>
      </c>
    </row>
    <row r="216" spans="2:60" hidden="1" x14ac:dyDescent="0.2">
      <c r="B216" s="59"/>
      <c r="C216" s="59" t="s">
        <v>676</v>
      </c>
      <c r="D216" s="59" t="s">
        <v>655</v>
      </c>
      <c r="E216" s="63">
        <v>3</v>
      </c>
      <c r="F216" s="63">
        <v>1</v>
      </c>
      <c r="G216" s="63">
        <v>2</v>
      </c>
      <c r="H216" s="63">
        <v>3</v>
      </c>
      <c r="I216" s="63">
        <v>10</v>
      </c>
      <c r="J216" s="63">
        <v>4</v>
      </c>
      <c r="K216" s="63">
        <v>5</v>
      </c>
      <c r="L216" s="63">
        <v>2</v>
      </c>
      <c r="M216" s="63">
        <v>7</v>
      </c>
      <c r="N216" s="63">
        <v>3</v>
      </c>
      <c r="O216" s="63">
        <v>8</v>
      </c>
      <c r="P216" s="63">
        <v>6</v>
      </c>
      <c r="Q216" s="63">
        <v>1</v>
      </c>
      <c r="R216" s="63">
        <v>3</v>
      </c>
      <c r="S216" s="63">
        <v>1</v>
      </c>
      <c r="T216" s="63"/>
      <c r="U216" s="63">
        <v>4</v>
      </c>
      <c r="V216" s="63">
        <v>2</v>
      </c>
      <c r="W216" s="63">
        <v>2</v>
      </c>
      <c r="X216" s="63">
        <v>3</v>
      </c>
      <c r="Y216" s="63">
        <v>2</v>
      </c>
      <c r="Z216" s="63">
        <v>3</v>
      </c>
      <c r="AA216" s="63"/>
      <c r="AB216" s="63">
        <v>3</v>
      </c>
      <c r="AC216" s="63">
        <v>3</v>
      </c>
      <c r="AD216" s="63">
        <v>7</v>
      </c>
      <c r="AE216" s="63">
        <v>2</v>
      </c>
      <c r="AF216" s="63">
        <v>2</v>
      </c>
      <c r="AG216" s="63">
        <v>3</v>
      </c>
      <c r="AH216" s="63">
        <v>2</v>
      </c>
      <c r="AI216" s="63">
        <v>2</v>
      </c>
      <c r="AJ216" s="63">
        <v>1</v>
      </c>
      <c r="AK216" s="63">
        <v>5</v>
      </c>
      <c r="AL216" s="63">
        <v>6</v>
      </c>
      <c r="AM216" s="63">
        <v>2</v>
      </c>
      <c r="AN216" s="63">
        <v>1</v>
      </c>
      <c r="AO216" s="63">
        <v>4</v>
      </c>
      <c r="AP216" s="63">
        <v>7</v>
      </c>
      <c r="AQ216" s="63">
        <v>2</v>
      </c>
      <c r="AR216" s="63">
        <v>3</v>
      </c>
      <c r="AS216" s="63">
        <v>4</v>
      </c>
      <c r="AT216" s="63">
        <v>3</v>
      </c>
      <c r="AU216" s="63">
        <v>2</v>
      </c>
      <c r="AV216" s="63">
        <v>3</v>
      </c>
      <c r="AW216" s="63">
        <v>1</v>
      </c>
      <c r="AX216" s="63">
        <v>4</v>
      </c>
      <c r="AY216" s="63">
        <v>1</v>
      </c>
      <c r="AZ216" s="63">
        <v>2</v>
      </c>
      <c r="BA216" s="63">
        <v>5</v>
      </c>
      <c r="BB216" s="63">
        <v>4</v>
      </c>
      <c r="BC216" s="63">
        <v>1</v>
      </c>
      <c r="BD216" s="63">
        <v>3</v>
      </c>
      <c r="BE216" s="63">
        <v>6</v>
      </c>
      <c r="BF216" s="63"/>
      <c r="BG216" s="63">
        <v>10</v>
      </c>
      <c r="BH216" s="63">
        <v>2</v>
      </c>
    </row>
    <row r="217" spans="2:60" hidden="1" x14ac:dyDescent="0.2">
      <c r="B217" s="57"/>
      <c r="C217" s="57" t="s">
        <v>676</v>
      </c>
      <c r="D217" s="57" t="s">
        <v>699</v>
      </c>
      <c r="E217" s="62">
        <v>106</v>
      </c>
      <c r="F217" s="62">
        <v>37</v>
      </c>
      <c r="G217" s="62">
        <v>46</v>
      </c>
      <c r="H217" s="62">
        <v>37</v>
      </c>
      <c r="I217" s="62">
        <v>77</v>
      </c>
      <c r="J217" s="62">
        <v>35</v>
      </c>
      <c r="K217" s="62">
        <v>36</v>
      </c>
      <c r="L217" s="62">
        <v>35</v>
      </c>
      <c r="M217" s="62">
        <v>105</v>
      </c>
      <c r="N217" s="62">
        <v>32</v>
      </c>
      <c r="O217" s="62">
        <v>59</v>
      </c>
      <c r="P217" s="62">
        <v>28</v>
      </c>
      <c r="Q217" s="62">
        <v>149</v>
      </c>
      <c r="R217" s="62">
        <v>48</v>
      </c>
      <c r="S217" s="62">
        <v>56</v>
      </c>
      <c r="T217" s="62">
        <v>32</v>
      </c>
      <c r="U217" s="62">
        <v>134</v>
      </c>
      <c r="V217" s="62">
        <v>53</v>
      </c>
      <c r="W217" s="62">
        <v>60</v>
      </c>
      <c r="X217" s="62">
        <v>48</v>
      </c>
      <c r="Y217" s="62">
        <v>124</v>
      </c>
      <c r="Z217" s="62">
        <v>41</v>
      </c>
      <c r="AA217" s="62">
        <v>55</v>
      </c>
      <c r="AB217" s="62">
        <v>38</v>
      </c>
      <c r="AC217" s="62">
        <v>143</v>
      </c>
      <c r="AD217" s="62">
        <v>70</v>
      </c>
      <c r="AE217" s="62">
        <v>54</v>
      </c>
      <c r="AF217" s="62">
        <v>61</v>
      </c>
      <c r="AG217" s="62">
        <v>127</v>
      </c>
      <c r="AH217" s="62">
        <v>36</v>
      </c>
      <c r="AI217" s="62">
        <v>47</v>
      </c>
      <c r="AJ217" s="62">
        <v>39</v>
      </c>
      <c r="AK217" s="62">
        <v>91</v>
      </c>
      <c r="AL217" s="62">
        <v>56</v>
      </c>
      <c r="AM217" s="62">
        <v>33</v>
      </c>
      <c r="AN217" s="62">
        <v>22</v>
      </c>
      <c r="AO217" s="62">
        <v>75</v>
      </c>
      <c r="AP217" s="62">
        <v>31</v>
      </c>
      <c r="AQ217" s="62">
        <v>27</v>
      </c>
      <c r="AR217" s="62">
        <v>28</v>
      </c>
      <c r="AS217" s="62">
        <v>73</v>
      </c>
      <c r="AT217" s="62">
        <v>31</v>
      </c>
      <c r="AU217" s="62">
        <v>26</v>
      </c>
      <c r="AV217" s="62">
        <v>41</v>
      </c>
      <c r="AW217" s="62">
        <v>45</v>
      </c>
      <c r="AX217" s="62">
        <v>60</v>
      </c>
      <c r="AY217" s="62">
        <v>63</v>
      </c>
      <c r="AZ217" s="62">
        <v>34</v>
      </c>
      <c r="BA217" s="62">
        <v>77</v>
      </c>
      <c r="BB217" s="62">
        <v>48</v>
      </c>
      <c r="BC217" s="62">
        <v>56</v>
      </c>
      <c r="BD217" s="62">
        <v>28</v>
      </c>
      <c r="BE217" s="62">
        <v>104</v>
      </c>
      <c r="BF217" s="62">
        <v>35</v>
      </c>
      <c r="BG217" s="62">
        <v>46</v>
      </c>
      <c r="BH217" s="62">
        <v>37</v>
      </c>
    </row>
    <row r="218" spans="2:60" hidden="1" x14ac:dyDescent="0.2">
      <c r="B218" s="59"/>
      <c r="C218" s="59" t="s">
        <v>676</v>
      </c>
      <c r="D218" s="59" t="s">
        <v>656</v>
      </c>
      <c r="E218" s="63">
        <v>485</v>
      </c>
      <c r="F218" s="63">
        <v>325</v>
      </c>
      <c r="G218" s="63">
        <v>370</v>
      </c>
      <c r="H218" s="63">
        <v>351</v>
      </c>
      <c r="I218" s="63">
        <v>471</v>
      </c>
      <c r="J218" s="63">
        <v>356</v>
      </c>
      <c r="K218" s="63">
        <v>333</v>
      </c>
      <c r="L218" s="63">
        <v>354</v>
      </c>
      <c r="M218" s="63">
        <v>457</v>
      </c>
      <c r="N218" s="63">
        <v>319</v>
      </c>
      <c r="O218" s="63">
        <v>360</v>
      </c>
      <c r="P218" s="63">
        <v>274</v>
      </c>
      <c r="Q218" s="63">
        <v>442</v>
      </c>
      <c r="R218" s="63">
        <v>307</v>
      </c>
      <c r="S218" s="63">
        <v>337</v>
      </c>
      <c r="T218" s="63">
        <v>284</v>
      </c>
      <c r="U218" s="63">
        <v>434</v>
      </c>
      <c r="V218" s="63">
        <v>324</v>
      </c>
      <c r="W218" s="63">
        <v>317</v>
      </c>
      <c r="X218" s="63">
        <v>294</v>
      </c>
      <c r="Y218" s="63">
        <v>438</v>
      </c>
      <c r="Z218" s="63">
        <v>292</v>
      </c>
      <c r="AA218" s="63">
        <v>297</v>
      </c>
      <c r="AB218" s="63">
        <v>278</v>
      </c>
      <c r="AC218" s="63">
        <v>412</v>
      </c>
      <c r="AD218" s="63">
        <v>326</v>
      </c>
      <c r="AE218" s="63">
        <v>288</v>
      </c>
      <c r="AF218" s="63">
        <v>306</v>
      </c>
      <c r="AG218" s="63">
        <v>384</v>
      </c>
      <c r="AH218" s="63">
        <v>270</v>
      </c>
      <c r="AI218" s="63">
        <v>255</v>
      </c>
      <c r="AJ218" s="63">
        <v>298</v>
      </c>
      <c r="AK218" s="63">
        <v>355</v>
      </c>
      <c r="AL218" s="63">
        <v>319</v>
      </c>
      <c r="AM218" s="63">
        <v>257</v>
      </c>
      <c r="AN218" s="63">
        <v>202</v>
      </c>
      <c r="AO218" s="63">
        <v>299</v>
      </c>
      <c r="AP218" s="63">
        <v>219</v>
      </c>
      <c r="AQ218" s="63">
        <v>227</v>
      </c>
      <c r="AR218" s="63">
        <v>234</v>
      </c>
      <c r="AS218" s="63">
        <v>275</v>
      </c>
      <c r="AT218" s="63">
        <v>223</v>
      </c>
      <c r="AU218" s="63">
        <v>216</v>
      </c>
      <c r="AV218" s="63">
        <v>200</v>
      </c>
      <c r="AW218" s="63">
        <v>221</v>
      </c>
      <c r="AX218" s="63">
        <v>242</v>
      </c>
      <c r="AY218" s="63">
        <v>224</v>
      </c>
      <c r="AZ218" s="63">
        <v>197</v>
      </c>
      <c r="BA218" s="63">
        <v>268</v>
      </c>
      <c r="BB218" s="63">
        <v>251</v>
      </c>
      <c r="BC218" s="63">
        <v>234</v>
      </c>
      <c r="BD218" s="63">
        <v>193</v>
      </c>
      <c r="BE218" s="63">
        <v>311</v>
      </c>
      <c r="BF218" s="63">
        <v>210</v>
      </c>
      <c r="BG218" s="63">
        <v>228</v>
      </c>
      <c r="BH218" s="63">
        <v>224</v>
      </c>
    </row>
    <row r="219" spans="2:60" hidden="1" x14ac:dyDescent="0.2">
      <c r="B219" s="57"/>
      <c r="C219" s="57" t="s">
        <v>677</v>
      </c>
      <c r="D219" s="57" t="s">
        <v>648</v>
      </c>
      <c r="E219" s="62">
        <v>89</v>
      </c>
      <c r="F219" s="62">
        <v>66</v>
      </c>
      <c r="G219" s="62">
        <v>63</v>
      </c>
      <c r="H219" s="62">
        <v>83</v>
      </c>
      <c r="I219" s="62">
        <v>71</v>
      </c>
      <c r="J219" s="62">
        <v>69</v>
      </c>
      <c r="K219" s="62">
        <v>74</v>
      </c>
      <c r="L219" s="62">
        <v>85</v>
      </c>
      <c r="M219" s="62">
        <v>96</v>
      </c>
      <c r="N219" s="62">
        <v>95</v>
      </c>
      <c r="O219" s="62">
        <v>114</v>
      </c>
      <c r="P219" s="62">
        <v>112</v>
      </c>
      <c r="Q219" s="62">
        <v>96</v>
      </c>
      <c r="R219" s="62">
        <v>106</v>
      </c>
      <c r="S219" s="62">
        <v>84</v>
      </c>
      <c r="T219" s="62">
        <v>100</v>
      </c>
      <c r="U219" s="62">
        <v>106</v>
      </c>
      <c r="V219" s="62">
        <v>97</v>
      </c>
      <c r="W219" s="62">
        <v>103</v>
      </c>
      <c r="X219" s="62">
        <v>108</v>
      </c>
      <c r="Y219" s="62">
        <v>94</v>
      </c>
      <c r="Z219" s="62">
        <v>129</v>
      </c>
      <c r="AA219" s="62">
        <v>124</v>
      </c>
      <c r="AB219" s="62">
        <v>94</v>
      </c>
      <c r="AC219" s="62">
        <v>101</v>
      </c>
      <c r="AD219" s="62">
        <v>106</v>
      </c>
      <c r="AE219" s="62">
        <v>108</v>
      </c>
      <c r="AF219" s="62">
        <v>100</v>
      </c>
      <c r="AG219" s="62">
        <v>116</v>
      </c>
      <c r="AH219" s="62">
        <v>157</v>
      </c>
      <c r="AI219" s="62">
        <v>107</v>
      </c>
      <c r="AJ219" s="62">
        <v>118</v>
      </c>
      <c r="AK219" s="62">
        <v>110</v>
      </c>
      <c r="AL219" s="62">
        <v>136</v>
      </c>
      <c r="AM219" s="62">
        <v>136</v>
      </c>
      <c r="AN219" s="62">
        <v>96</v>
      </c>
      <c r="AO219" s="62">
        <v>145</v>
      </c>
      <c r="AP219" s="62">
        <v>154</v>
      </c>
      <c r="AQ219" s="62">
        <v>128</v>
      </c>
      <c r="AR219" s="62">
        <v>110</v>
      </c>
      <c r="AS219" s="62">
        <v>91</v>
      </c>
      <c r="AT219" s="62">
        <v>136</v>
      </c>
      <c r="AU219" s="62">
        <v>102</v>
      </c>
      <c r="AV219" s="62">
        <v>99</v>
      </c>
      <c r="AW219" s="62">
        <v>75</v>
      </c>
      <c r="AX219" s="62">
        <v>138</v>
      </c>
      <c r="AY219" s="62">
        <v>130</v>
      </c>
      <c r="AZ219" s="62">
        <v>79</v>
      </c>
      <c r="BA219" s="62">
        <v>90</v>
      </c>
      <c r="BB219" s="62">
        <v>106</v>
      </c>
      <c r="BC219" s="62">
        <v>106</v>
      </c>
      <c r="BD219" s="62">
        <v>144</v>
      </c>
      <c r="BE219" s="62">
        <v>113</v>
      </c>
      <c r="BF219" s="62">
        <v>141</v>
      </c>
      <c r="BG219" s="62">
        <v>129</v>
      </c>
      <c r="BH219" s="62">
        <v>121</v>
      </c>
    </row>
    <row r="220" spans="2:60" x14ac:dyDescent="0.2">
      <c r="B220" s="59"/>
      <c r="C220" s="59" t="s">
        <v>677</v>
      </c>
      <c r="D220" s="59" t="s">
        <v>649</v>
      </c>
      <c r="E220" s="63">
        <v>234</v>
      </c>
      <c r="F220" s="63">
        <v>269</v>
      </c>
      <c r="G220" s="63">
        <v>228</v>
      </c>
      <c r="H220" s="63">
        <v>197</v>
      </c>
      <c r="I220" s="63">
        <v>202</v>
      </c>
      <c r="J220" s="63">
        <v>202</v>
      </c>
      <c r="K220" s="63">
        <v>201</v>
      </c>
      <c r="L220" s="63">
        <v>176</v>
      </c>
      <c r="M220" s="63">
        <v>192</v>
      </c>
      <c r="N220" s="63">
        <v>184</v>
      </c>
      <c r="O220" s="63">
        <v>199</v>
      </c>
      <c r="P220" s="63">
        <v>184</v>
      </c>
      <c r="Q220" s="63">
        <v>248</v>
      </c>
      <c r="R220" s="63">
        <v>204</v>
      </c>
      <c r="S220" s="63">
        <v>198</v>
      </c>
      <c r="T220" s="63">
        <v>179</v>
      </c>
      <c r="U220" s="63">
        <v>222</v>
      </c>
      <c r="V220" s="63">
        <v>205</v>
      </c>
      <c r="W220" s="63">
        <v>253</v>
      </c>
      <c r="X220" s="63">
        <v>228</v>
      </c>
      <c r="Y220" s="63">
        <v>310</v>
      </c>
      <c r="Z220" s="63">
        <v>228</v>
      </c>
      <c r="AA220" s="63">
        <v>273</v>
      </c>
      <c r="AB220" s="63">
        <v>259</v>
      </c>
      <c r="AC220" s="63">
        <v>268</v>
      </c>
      <c r="AD220" s="63">
        <v>329</v>
      </c>
      <c r="AE220" s="63">
        <v>296</v>
      </c>
      <c r="AF220" s="63">
        <v>332</v>
      </c>
      <c r="AG220" s="63">
        <v>318</v>
      </c>
      <c r="AH220" s="63">
        <v>318</v>
      </c>
      <c r="AI220" s="63">
        <v>319</v>
      </c>
      <c r="AJ220" s="63">
        <v>339</v>
      </c>
      <c r="AK220" s="63">
        <v>327</v>
      </c>
      <c r="AL220" s="63">
        <v>317</v>
      </c>
      <c r="AM220" s="63">
        <v>293</v>
      </c>
      <c r="AN220" s="63">
        <v>294</v>
      </c>
      <c r="AO220" s="63">
        <v>272</v>
      </c>
      <c r="AP220" s="63">
        <v>268</v>
      </c>
      <c r="AQ220" s="63">
        <v>265</v>
      </c>
      <c r="AR220" s="63">
        <v>243</v>
      </c>
      <c r="AS220" s="63">
        <v>242</v>
      </c>
      <c r="AT220" s="63">
        <v>240</v>
      </c>
      <c r="AU220" s="63">
        <v>203</v>
      </c>
      <c r="AV220" s="63">
        <v>205</v>
      </c>
      <c r="AW220" s="63">
        <v>201</v>
      </c>
      <c r="AX220" s="63">
        <v>292</v>
      </c>
      <c r="AY220" s="63">
        <v>322</v>
      </c>
      <c r="AZ220" s="63">
        <v>250</v>
      </c>
      <c r="BA220" s="63">
        <v>265</v>
      </c>
      <c r="BB220" s="63">
        <v>290</v>
      </c>
      <c r="BC220" s="63">
        <v>256</v>
      </c>
      <c r="BD220" s="63">
        <v>248</v>
      </c>
      <c r="BE220" s="63">
        <v>239</v>
      </c>
      <c r="BF220" s="63">
        <v>301</v>
      </c>
      <c r="BG220" s="63">
        <v>260</v>
      </c>
      <c r="BH220" s="63">
        <v>234</v>
      </c>
    </row>
    <row r="221" spans="2:60" hidden="1" x14ac:dyDescent="0.2">
      <c r="B221" s="57"/>
      <c r="C221" s="57" t="s">
        <v>677</v>
      </c>
      <c r="D221" s="57" t="s">
        <v>650</v>
      </c>
      <c r="E221" s="62">
        <v>143</v>
      </c>
      <c r="F221" s="62">
        <v>118</v>
      </c>
      <c r="G221" s="62">
        <v>128</v>
      </c>
      <c r="H221" s="62">
        <v>96</v>
      </c>
      <c r="I221" s="62">
        <v>117</v>
      </c>
      <c r="J221" s="62">
        <v>78</v>
      </c>
      <c r="K221" s="62">
        <v>88</v>
      </c>
      <c r="L221" s="62">
        <v>87</v>
      </c>
      <c r="M221" s="62">
        <v>75</v>
      </c>
      <c r="N221" s="62">
        <v>74</v>
      </c>
      <c r="O221" s="62">
        <v>82</v>
      </c>
      <c r="P221" s="62">
        <v>78</v>
      </c>
      <c r="Q221" s="62">
        <v>93</v>
      </c>
      <c r="R221" s="62">
        <v>57</v>
      </c>
      <c r="S221" s="62">
        <v>107</v>
      </c>
      <c r="T221" s="62">
        <v>86</v>
      </c>
      <c r="U221" s="62">
        <v>115</v>
      </c>
      <c r="V221" s="62">
        <v>105</v>
      </c>
      <c r="W221" s="62">
        <v>125</v>
      </c>
      <c r="X221" s="62">
        <v>108</v>
      </c>
      <c r="Y221" s="62">
        <v>119</v>
      </c>
      <c r="Z221" s="62">
        <v>117</v>
      </c>
      <c r="AA221" s="62">
        <v>118</v>
      </c>
      <c r="AB221" s="62">
        <v>126</v>
      </c>
      <c r="AC221" s="62">
        <v>151</v>
      </c>
      <c r="AD221" s="62">
        <v>128</v>
      </c>
      <c r="AE221" s="62">
        <v>137</v>
      </c>
      <c r="AF221" s="62">
        <v>148</v>
      </c>
      <c r="AG221" s="62">
        <v>146</v>
      </c>
      <c r="AH221" s="62">
        <v>150</v>
      </c>
      <c r="AI221" s="62">
        <v>181</v>
      </c>
      <c r="AJ221" s="62">
        <v>161</v>
      </c>
      <c r="AK221" s="62">
        <v>147</v>
      </c>
      <c r="AL221" s="62">
        <v>159</v>
      </c>
      <c r="AM221" s="62">
        <v>136</v>
      </c>
      <c r="AN221" s="62">
        <v>128</v>
      </c>
      <c r="AO221" s="62">
        <v>114</v>
      </c>
      <c r="AP221" s="62">
        <v>111</v>
      </c>
      <c r="AQ221" s="62">
        <v>131</v>
      </c>
      <c r="AR221" s="62">
        <v>118</v>
      </c>
      <c r="AS221" s="62">
        <v>98</v>
      </c>
      <c r="AT221" s="62">
        <v>110</v>
      </c>
      <c r="AU221" s="62">
        <v>100</v>
      </c>
      <c r="AV221" s="62">
        <v>74</v>
      </c>
      <c r="AW221" s="62">
        <v>90</v>
      </c>
      <c r="AX221" s="62">
        <v>139</v>
      </c>
      <c r="AY221" s="62">
        <v>182</v>
      </c>
      <c r="AZ221" s="62">
        <v>110</v>
      </c>
      <c r="BA221" s="62">
        <v>142</v>
      </c>
      <c r="BB221" s="62">
        <v>145</v>
      </c>
      <c r="BC221" s="62">
        <v>151</v>
      </c>
      <c r="BD221" s="62">
        <v>130</v>
      </c>
      <c r="BE221" s="62">
        <v>121</v>
      </c>
      <c r="BF221" s="62">
        <v>134</v>
      </c>
      <c r="BG221" s="62">
        <v>119</v>
      </c>
      <c r="BH221" s="62">
        <v>102</v>
      </c>
    </row>
    <row r="222" spans="2:60" hidden="1" x14ac:dyDescent="0.2">
      <c r="B222" s="59"/>
      <c r="C222" s="59" t="s">
        <v>677</v>
      </c>
      <c r="D222" s="59" t="s">
        <v>651</v>
      </c>
      <c r="E222" s="63">
        <v>36</v>
      </c>
      <c r="F222" s="63">
        <v>35</v>
      </c>
      <c r="G222" s="63">
        <v>36</v>
      </c>
      <c r="H222" s="63">
        <v>34</v>
      </c>
      <c r="I222" s="63">
        <v>41</v>
      </c>
      <c r="J222" s="63">
        <v>44</v>
      </c>
      <c r="K222" s="63">
        <v>30</v>
      </c>
      <c r="L222" s="63">
        <v>43</v>
      </c>
      <c r="M222" s="63">
        <v>26</v>
      </c>
      <c r="N222" s="63">
        <v>41</v>
      </c>
      <c r="O222" s="63">
        <v>45</v>
      </c>
      <c r="P222" s="63">
        <v>38</v>
      </c>
      <c r="Q222" s="63">
        <v>42</v>
      </c>
      <c r="R222" s="63">
        <v>44</v>
      </c>
      <c r="S222" s="63">
        <v>38</v>
      </c>
      <c r="T222" s="63">
        <v>53</v>
      </c>
      <c r="U222" s="63">
        <v>58</v>
      </c>
      <c r="V222" s="63">
        <v>72</v>
      </c>
      <c r="W222" s="63">
        <v>48</v>
      </c>
      <c r="X222" s="63">
        <v>58</v>
      </c>
      <c r="Y222" s="63">
        <v>65</v>
      </c>
      <c r="Z222" s="63">
        <v>64</v>
      </c>
      <c r="AA222" s="63">
        <v>70</v>
      </c>
      <c r="AB222" s="63">
        <v>80</v>
      </c>
      <c r="AC222" s="63">
        <v>89</v>
      </c>
      <c r="AD222" s="63">
        <v>79</v>
      </c>
      <c r="AE222" s="63">
        <v>99</v>
      </c>
      <c r="AF222" s="63">
        <v>98</v>
      </c>
      <c r="AG222" s="63">
        <v>104</v>
      </c>
      <c r="AH222" s="63">
        <v>97</v>
      </c>
      <c r="AI222" s="63">
        <v>109</v>
      </c>
      <c r="AJ222" s="63">
        <v>117</v>
      </c>
      <c r="AK222" s="63">
        <v>105</v>
      </c>
      <c r="AL222" s="63">
        <v>128</v>
      </c>
      <c r="AM222" s="63">
        <v>116</v>
      </c>
      <c r="AN222" s="63">
        <v>96</v>
      </c>
      <c r="AO222" s="63">
        <v>119</v>
      </c>
      <c r="AP222" s="63">
        <v>96</v>
      </c>
      <c r="AQ222" s="63">
        <v>114</v>
      </c>
      <c r="AR222" s="63">
        <v>82</v>
      </c>
      <c r="AS222" s="63">
        <v>85</v>
      </c>
      <c r="AT222" s="63">
        <v>123</v>
      </c>
      <c r="AU222" s="63">
        <v>69</v>
      </c>
      <c r="AV222" s="63">
        <v>62</v>
      </c>
      <c r="AW222" s="63">
        <v>76</v>
      </c>
      <c r="AX222" s="63">
        <v>151</v>
      </c>
      <c r="AY222" s="63">
        <v>174</v>
      </c>
      <c r="AZ222" s="63">
        <v>98</v>
      </c>
      <c r="BA222" s="63">
        <v>154</v>
      </c>
      <c r="BB222" s="63">
        <v>157</v>
      </c>
      <c r="BC222" s="63">
        <v>151</v>
      </c>
      <c r="BD222" s="63">
        <v>126</v>
      </c>
      <c r="BE222" s="63">
        <v>139</v>
      </c>
      <c r="BF222" s="63">
        <v>138</v>
      </c>
      <c r="BG222" s="63">
        <v>130</v>
      </c>
      <c r="BH222" s="63">
        <v>158</v>
      </c>
    </row>
    <row r="223" spans="2:60" x14ac:dyDescent="0.2">
      <c r="B223" s="57"/>
      <c r="C223" s="57" t="s">
        <v>677</v>
      </c>
      <c r="D223" s="57" t="s">
        <v>652</v>
      </c>
      <c r="E223" s="62">
        <v>963</v>
      </c>
      <c r="F223" s="62">
        <v>919</v>
      </c>
      <c r="G223" s="62">
        <v>992</v>
      </c>
      <c r="H223" s="62">
        <v>861</v>
      </c>
      <c r="I223" s="62">
        <v>964</v>
      </c>
      <c r="J223" s="62">
        <v>906</v>
      </c>
      <c r="K223" s="62">
        <v>923</v>
      </c>
      <c r="L223" s="62">
        <v>835</v>
      </c>
      <c r="M223" s="62">
        <v>957</v>
      </c>
      <c r="N223" s="62">
        <v>884</v>
      </c>
      <c r="O223" s="62">
        <v>980</v>
      </c>
      <c r="P223" s="62">
        <v>811</v>
      </c>
      <c r="Q223" s="62">
        <v>910</v>
      </c>
      <c r="R223" s="62">
        <v>901</v>
      </c>
      <c r="S223" s="62">
        <v>979</v>
      </c>
      <c r="T223" s="62">
        <v>919</v>
      </c>
      <c r="U223" s="62">
        <v>917</v>
      </c>
      <c r="V223" s="62">
        <v>953</v>
      </c>
      <c r="W223" s="62">
        <v>952</v>
      </c>
      <c r="X223" s="62">
        <v>872</v>
      </c>
      <c r="Y223" s="62">
        <v>1001</v>
      </c>
      <c r="Z223" s="62">
        <v>1002</v>
      </c>
      <c r="AA223" s="62">
        <v>966</v>
      </c>
      <c r="AB223" s="62">
        <v>916</v>
      </c>
      <c r="AC223" s="62">
        <v>987</v>
      </c>
      <c r="AD223" s="62">
        <v>974</v>
      </c>
      <c r="AE223" s="62">
        <v>982</v>
      </c>
      <c r="AF223" s="62">
        <v>963</v>
      </c>
      <c r="AG223" s="62">
        <v>954</v>
      </c>
      <c r="AH223" s="62">
        <v>929</v>
      </c>
      <c r="AI223" s="62">
        <v>873</v>
      </c>
      <c r="AJ223" s="62">
        <v>1075</v>
      </c>
      <c r="AK223" s="62">
        <v>797</v>
      </c>
      <c r="AL223" s="62">
        <v>1107</v>
      </c>
      <c r="AM223" s="62">
        <v>914</v>
      </c>
      <c r="AN223" s="62">
        <v>807</v>
      </c>
      <c r="AO223" s="62">
        <v>805</v>
      </c>
      <c r="AP223" s="62">
        <v>791</v>
      </c>
      <c r="AQ223" s="62">
        <v>794</v>
      </c>
      <c r="AR223" s="62">
        <v>767</v>
      </c>
      <c r="AS223" s="62">
        <v>690</v>
      </c>
      <c r="AT223" s="62">
        <v>838</v>
      </c>
      <c r="AU223" s="62">
        <v>728</v>
      </c>
      <c r="AV223" s="62">
        <v>700</v>
      </c>
      <c r="AW223" s="62">
        <v>708</v>
      </c>
      <c r="AX223" s="62">
        <v>848</v>
      </c>
      <c r="AY223" s="62">
        <v>900</v>
      </c>
      <c r="AZ223" s="62">
        <v>777</v>
      </c>
      <c r="BA223" s="62">
        <v>800</v>
      </c>
      <c r="BB223" s="62">
        <v>847</v>
      </c>
      <c r="BC223" s="62">
        <v>929</v>
      </c>
      <c r="BD223" s="62">
        <v>902</v>
      </c>
      <c r="BE223" s="62">
        <v>890</v>
      </c>
      <c r="BF223" s="62">
        <v>924</v>
      </c>
      <c r="BG223" s="62">
        <v>919</v>
      </c>
      <c r="BH223" s="62">
        <v>901</v>
      </c>
    </row>
    <row r="224" spans="2:60" hidden="1" x14ac:dyDescent="0.2">
      <c r="B224" s="59"/>
      <c r="C224" s="59" t="s">
        <v>677</v>
      </c>
      <c r="D224" s="59" t="s">
        <v>653</v>
      </c>
      <c r="E224" s="63">
        <v>824</v>
      </c>
      <c r="F224" s="63">
        <v>750</v>
      </c>
      <c r="G224" s="63">
        <v>868</v>
      </c>
      <c r="H224" s="63">
        <v>754</v>
      </c>
      <c r="I224" s="63">
        <v>747</v>
      </c>
      <c r="J224" s="63">
        <v>748</v>
      </c>
      <c r="K224" s="63">
        <v>753</v>
      </c>
      <c r="L224" s="63">
        <v>669</v>
      </c>
      <c r="M224" s="63">
        <v>765</v>
      </c>
      <c r="N224" s="63">
        <v>712</v>
      </c>
      <c r="O224" s="63">
        <v>817</v>
      </c>
      <c r="P224" s="63">
        <v>725</v>
      </c>
      <c r="Q224" s="63">
        <v>761</v>
      </c>
      <c r="R224" s="63">
        <v>764</v>
      </c>
      <c r="S224" s="63">
        <v>888</v>
      </c>
      <c r="T224" s="63">
        <v>813</v>
      </c>
      <c r="U224" s="63">
        <v>953</v>
      </c>
      <c r="V224" s="63">
        <v>892</v>
      </c>
      <c r="W224" s="63">
        <v>993</v>
      </c>
      <c r="X224" s="63">
        <v>917</v>
      </c>
      <c r="Y224" s="63">
        <v>975</v>
      </c>
      <c r="Z224" s="63">
        <v>939</v>
      </c>
      <c r="AA224" s="63">
        <v>933</v>
      </c>
      <c r="AB224" s="63">
        <v>895</v>
      </c>
      <c r="AC224" s="63">
        <v>1015</v>
      </c>
      <c r="AD224" s="63">
        <v>992</v>
      </c>
      <c r="AE224" s="63">
        <v>1073</v>
      </c>
      <c r="AF224" s="63">
        <v>1012</v>
      </c>
      <c r="AG224" s="63">
        <v>1045</v>
      </c>
      <c r="AH224" s="63">
        <v>1041</v>
      </c>
      <c r="AI224" s="63">
        <v>1031</v>
      </c>
      <c r="AJ224" s="63">
        <v>1120</v>
      </c>
      <c r="AK224" s="63">
        <v>976</v>
      </c>
      <c r="AL224" s="63">
        <v>1070</v>
      </c>
      <c r="AM224" s="63">
        <v>873</v>
      </c>
      <c r="AN224" s="63">
        <v>825</v>
      </c>
      <c r="AO224" s="63">
        <v>780</v>
      </c>
      <c r="AP224" s="63">
        <v>797</v>
      </c>
      <c r="AQ224" s="63">
        <v>856</v>
      </c>
      <c r="AR224" s="63">
        <v>824</v>
      </c>
      <c r="AS224" s="63">
        <v>807</v>
      </c>
      <c r="AT224" s="63">
        <v>918</v>
      </c>
      <c r="AU224" s="63">
        <v>786</v>
      </c>
      <c r="AV224" s="63">
        <v>782</v>
      </c>
      <c r="AW224" s="63">
        <v>778</v>
      </c>
      <c r="AX224" s="63">
        <v>1152</v>
      </c>
      <c r="AY224" s="63">
        <v>1319</v>
      </c>
      <c r="AZ224" s="63">
        <v>1332</v>
      </c>
      <c r="BA224" s="63">
        <v>1330</v>
      </c>
      <c r="BB224" s="63">
        <v>1378</v>
      </c>
      <c r="BC224" s="63">
        <v>1455</v>
      </c>
      <c r="BD224" s="63">
        <v>1325</v>
      </c>
      <c r="BE224" s="63">
        <v>1234</v>
      </c>
      <c r="BF224" s="63">
        <v>1271</v>
      </c>
      <c r="BG224" s="63">
        <v>1414</v>
      </c>
      <c r="BH224" s="63">
        <v>1397</v>
      </c>
    </row>
    <row r="225" spans="2:60" x14ac:dyDescent="0.2">
      <c r="B225" s="57"/>
      <c r="C225" s="57" t="s">
        <v>677</v>
      </c>
      <c r="D225" s="57" t="s">
        <v>654</v>
      </c>
      <c r="E225" s="62">
        <v>198</v>
      </c>
      <c r="F225" s="62">
        <v>179</v>
      </c>
      <c r="G225" s="62">
        <v>173</v>
      </c>
      <c r="H225" s="62">
        <v>158</v>
      </c>
      <c r="I225" s="62">
        <v>187</v>
      </c>
      <c r="J225" s="62">
        <v>220</v>
      </c>
      <c r="K225" s="62">
        <v>248</v>
      </c>
      <c r="L225" s="62">
        <v>221</v>
      </c>
      <c r="M225" s="62">
        <v>253</v>
      </c>
      <c r="N225" s="62">
        <v>214</v>
      </c>
      <c r="O225" s="62">
        <v>238</v>
      </c>
      <c r="P225" s="62">
        <v>217</v>
      </c>
      <c r="Q225" s="62">
        <v>207</v>
      </c>
      <c r="R225" s="62">
        <v>218</v>
      </c>
      <c r="S225" s="62">
        <v>247</v>
      </c>
      <c r="T225" s="62">
        <v>237</v>
      </c>
      <c r="U225" s="62">
        <v>221</v>
      </c>
      <c r="V225" s="62">
        <v>255</v>
      </c>
      <c r="W225" s="62">
        <v>204</v>
      </c>
      <c r="X225" s="62">
        <v>195</v>
      </c>
      <c r="Y225" s="62">
        <v>230</v>
      </c>
      <c r="Z225" s="62">
        <v>219</v>
      </c>
      <c r="AA225" s="62">
        <v>216</v>
      </c>
      <c r="AB225" s="62">
        <v>188</v>
      </c>
      <c r="AC225" s="62">
        <v>197</v>
      </c>
      <c r="AD225" s="62">
        <v>235</v>
      </c>
      <c r="AE225" s="62">
        <v>208</v>
      </c>
      <c r="AF225" s="62">
        <v>219</v>
      </c>
      <c r="AG225" s="62">
        <v>193</v>
      </c>
      <c r="AH225" s="62">
        <v>214</v>
      </c>
      <c r="AI225" s="62">
        <v>204</v>
      </c>
      <c r="AJ225" s="62">
        <v>250</v>
      </c>
      <c r="AK225" s="62">
        <v>215</v>
      </c>
      <c r="AL225" s="62">
        <v>203</v>
      </c>
      <c r="AM225" s="62">
        <v>231</v>
      </c>
      <c r="AN225" s="62">
        <v>186</v>
      </c>
      <c r="AO225" s="62">
        <v>193</v>
      </c>
      <c r="AP225" s="62">
        <v>183</v>
      </c>
      <c r="AQ225" s="62">
        <v>181</v>
      </c>
      <c r="AR225" s="62">
        <v>129</v>
      </c>
      <c r="AS225" s="62">
        <v>134</v>
      </c>
      <c r="AT225" s="62">
        <v>155</v>
      </c>
      <c r="AU225" s="62">
        <v>139</v>
      </c>
      <c r="AV225" s="62">
        <v>119</v>
      </c>
      <c r="AW225" s="62">
        <v>143</v>
      </c>
      <c r="AX225" s="62">
        <v>143</v>
      </c>
      <c r="AY225" s="62">
        <v>136</v>
      </c>
      <c r="AZ225" s="62">
        <v>108</v>
      </c>
      <c r="BA225" s="62">
        <v>126</v>
      </c>
      <c r="BB225" s="62">
        <v>119</v>
      </c>
      <c r="BC225" s="62">
        <v>121</v>
      </c>
      <c r="BD225" s="62">
        <v>117</v>
      </c>
      <c r="BE225" s="62">
        <v>122</v>
      </c>
      <c r="BF225" s="62">
        <v>133</v>
      </c>
      <c r="BG225" s="62">
        <v>139</v>
      </c>
      <c r="BH225" s="62">
        <v>133</v>
      </c>
    </row>
    <row r="226" spans="2:60" x14ac:dyDescent="0.2">
      <c r="B226" s="59"/>
      <c r="C226" s="59" t="s">
        <v>677</v>
      </c>
      <c r="D226" s="59" t="s">
        <v>655</v>
      </c>
      <c r="E226" s="63">
        <v>342</v>
      </c>
      <c r="F226" s="63">
        <v>354</v>
      </c>
      <c r="G226" s="63">
        <v>394</v>
      </c>
      <c r="H226" s="63">
        <v>323</v>
      </c>
      <c r="I226" s="63">
        <v>418</v>
      </c>
      <c r="J226" s="63">
        <v>353</v>
      </c>
      <c r="K226" s="63">
        <v>450</v>
      </c>
      <c r="L226" s="63">
        <v>390</v>
      </c>
      <c r="M226" s="63">
        <v>457</v>
      </c>
      <c r="N226" s="63">
        <v>381</v>
      </c>
      <c r="O226" s="63">
        <v>460</v>
      </c>
      <c r="P226" s="63">
        <v>356</v>
      </c>
      <c r="Q226" s="63">
        <v>447</v>
      </c>
      <c r="R226" s="63">
        <v>391</v>
      </c>
      <c r="S226" s="63">
        <v>479</v>
      </c>
      <c r="T226" s="63">
        <v>387</v>
      </c>
      <c r="U226" s="63">
        <v>388</v>
      </c>
      <c r="V226" s="63">
        <v>369</v>
      </c>
      <c r="W226" s="63">
        <v>371</v>
      </c>
      <c r="X226" s="63">
        <v>335</v>
      </c>
      <c r="Y226" s="63">
        <v>431</v>
      </c>
      <c r="Z226" s="63">
        <v>336</v>
      </c>
      <c r="AA226" s="63">
        <v>372</v>
      </c>
      <c r="AB226" s="63">
        <v>396</v>
      </c>
      <c r="AC226" s="63">
        <v>427</v>
      </c>
      <c r="AD226" s="63">
        <v>367</v>
      </c>
      <c r="AE226" s="63">
        <v>367</v>
      </c>
      <c r="AF226" s="63">
        <v>396</v>
      </c>
      <c r="AG226" s="63">
        <v>361</v>
      </c>
      <c r="AH226" s="63">
        <v>372</v>
      </c>
      <c r="AI226" s="63">
        <v>378</v>
      </c>
      <c r="AJ226" s="63">
        <v>443</v>
      </c>
      <c r="AK226" s="63">
        <v>472</v>
      </c>
      <c r="AL226" s="63">
        <v>443</v>
      </c>
      <c r="AM226" s="63">
        <v>411</v>
      </c>
      <c r="AN226" s="63">
        <v>327</v>
      </c>
      <c r="AO226" s="63">
        <v>348</v>
      </c>
      <c r="AP226" s="63">
        <v>312</v>
      </c>
      <c r="AQ226" s="63">
        <v>281</v>
      </c>
      <c r="AR226" s="63">
        <v>246</v>
      </c>
      <c r="AS226" s="63">
        <v>284</v>
      </c>
      <c r="AT226" s="63">
        <v>202</v>
      </c>
      <c r="AU226" s="63">
        <v>229</v>
      </c>
      <c r="AV226" s="63">
        <v>198</v>
      </c>
      <c r="AW226" s="63">
        <v>191</v>
      </c>
      <c r="AX226" s="63">
        <v>258</v>
      </c>
      <c r="AY226" s="63">
        <v>302</v>
      </c>
      <c r="AZ226" s="63">
        <v>231</v>
      </c>
      <c r="BA226" s="63">
        <v>221</v>
      </c>
      <c r="BB226" s="63">
        <v>234</v>
      </c>
      <c r="BC226" s="63">
        <v>274</v>
      </c>
      <c r="BD226" s="63">
        <v>232</v>
      </c>
      <c r="BE226" s="63">
        <v>223</v>
      </c>
      <c r="BF226" s="63">
        <v>236</v>
      </c>
      <c r="BG226" s="63">
        <v>257</v>
      </c>
      <c r="BH226" s="63">
        <v>208</v>
      </c>
    </row>
    <row r="227" spans="2:60" hidden="1" x14ac:dyDescent="0.2">
      <c r="B227" s="57"/>
      <c r="C227" s="57" t="s">
        <v>677</v>
      </c>
      <c r="D227" s="57" t="s">
        <v>699</v>
      </c>
      <c r="E227" s="62">
        <v>409</v>
      </c>
      <c r="F227" s="62">
        <v>334</v>
      </c>
      <c r="G227" s="62">
        <v>321</v>
      </c>
      <c r="H227" s="62">
        <v>296</v>
      </c>
      <c r="I227" s="62">
        <v>315</v>
      </c>
      <c r="J227" s="62">
        <v>291</v>
      </c>
      <c r="K227" s="62">
        <v>319</v>
      </c>
      <c r="L227" s="62">
        <v>279</v>
      </c>
      <c r="M227" s="62">
        <v>347</v>
      </c>
      <c r="N227" s="62">
        <v>337</v>
      </c>
      <c r="O227" s="62">
        <v>379</v>
      </c>
      <c r="P227" s="62">
        <v>331</v>
      </c>
      <c r="Q227" s="62">
        <v>412</v>
      </c>
      <c r="R227" s="62">
        <v>377</v>
      </c>
      <c r="S227" s="62">
        <v>385</v>
      </c>
      <c r="T227" s="62">
        <v>340</v>
      </c>
      <c r="U227" s="62">
        <v>428</v>
      </c>
      <c r="V227" s="62">
        <v>381</v>
      </c>
      <c r="W227" s="62">
        <v>519</v>
      </c>
      <c r="X227" s="62">
        <v>385</v>
      </c>
      <c r="Y227" s="62">
        <v>377</v>
      </c>
      <c r="Z227" s="62">
        <v>361</v>
      </c>
      <c r="AA227" s="62">
        <v>406</v>
      </c>
      <c r="AB227" s="62">
        <v>358</v>
      </c>
      <c r="AC227" s="62">
        <v>383</v>
      </c>
      <c r="AD227" s="62">
        <v>399</v>
      </c>
      <c r="AE227" s="62">
        <v>379</v>
      </c>
      <c r="AF227" s="62">
        <v>330</v>
      </c>
      <c r="AG227" s="62">
        <v>359</v>
      </c>
      <c r="AH227" s="62">
        <v>335</v>
      </c>
      <c r="AI227" s="62">
        <v>354</v>
      </c>
      <c r="AJ227" s="62">
        <v>338</v>
      </c>
      <c r="AK227" s="62">
        <v>322</v>
      </c>
      <c r="AL227" s="62">
        <v>296</v>
      </c>
      <c r="AM227" s="62">
        <v>236</v>
      </c>
      <c r="AN227" s="62">
        <v>242</v>
      </c>
      <c r="AO227" s="62">
        <v>228</v>
      </c>
      <c r="AP227" s="62">
        <v>232</v>
      </c>
      <c r="AQ227" s="62">
        <v>277</v>
      </c>
      <c r="AR227" s="62">
        <v>247</v>
      </c>
      <c r="AS227" s="62">
        <v>246</v>
      </c>
      <c r="AT227" s="62">
        <v>324</v>
      </c>
      <c r="AU227" s="62">
        <v>252</v>
      </c>
      <c r="AV227" s="62">
        <v>201</v>
      </c>
      <c r="AW227" s="62">
        <v>213</v>
      </c>
      <c r="AX227" s="62">
        <v>322</v>
      </c>
      <c r="AY227" s="62">
        <v>357</v>
      </c>
      <c r="AZ227" s="62">
        <v>263</v>
      </c>
      <c r="BA227" s="62">
        <v>304</v>
      </c>
      <c r="BB227" s="62">
        <v>318</v>
      </c>
      <c r="BC227" s="62">
        <v>412</v>
      </c>
      <c r="BD227" s="62">
        <v>357</v>
      </c>
      <c r="BE227" s="62">
        <v>372</v>
      </c>
      <c r="BF227" s="62">
        <v>372</v>
      </c>
      <c r="BG227" s="62">
        <v>362</v>
      </c>
      <c r="BH227" s="62">
        <v>374</v>
      </c>
    </row>
    <row r="228" spans="2:60" hidden="1" x14ac:dyDescent="0.2">
      <c r="B228" s="59"/>
      <c r="C228" s="59" t="s">
        <v>677</v>
      </c>
      <c r="D228" s="59" t="s">
        <v>656</v>
      </c>
      <c r="E228" s="63">
        <v>3238</v>
      </c>
      <c r="F228" s="63">
        <v>3024</v>
      </c>
      <c r="G228" s="63">
        <v>3203</v>
      </c>
      <c r="H228" s="63">
        <v>2802</v>
      </c>
      <c r="I228" s="63">
        <v>3062</v>
      </c>
      <c r="J228" s="63">
        <v>2911</v>
      </c>
      <c r="K228" s="63">
        <v>3086</v>
      </c>
      <c r="L228" s="63">
        <v>2785</v>
      </c>
      <c r="M228" s="63">
        <v>3168</v>
      </c>
      <c r="N228" s="63">
        <v>2922</v>
      </c>
      <c r="O228" s="63">
        <v>3314</v>
      </c>
      <c r="P228" s="63">
        <v>2852</v>
      </c>
      <c r="Q228" s="63">
        <v>3216</v>
      </c>
      <c r="R228" s="63">
        <v>3062</v>
      </c>
      <c r="S228" s="63">
        <v>3405</v>
      </c>
      <c r="T228" s="63">
        <v>3114</v>
      </c>
      <c r="U228" s="63">
        <v>3408</v>
      </c>
      <c r="V228" s="63">
        <v>3329</v>
      </c>
      <c r="W228" s="63">
        <v>3568</v>
      </c>
      <c r="X228" s="63">
        <v>3206</v>
      </c>
      <c r="Y228" s="63">
        <v>3602</v>
      </c>
      <c r="Z228" s="63">
        <v>3395</v>
      </c>
      <c r="AA228" s="63">
        <v>3478</v>
      </c>
      <c r="AB228" s="63">
        <v>3312</v>
      </c>
      <c r="AC228" s="63">
        <v>3618</v>
      </c>
      <c r="AD228" s="63">
        <v>3609</v>
      </c>
      <c r="AE228" s="63">
        <v>3649</v>
      </c>
      <c r="AF228" s="63">
        <v>3598</v>
      </c>
      <c r="AG228" s="63">
        <v>3596</v>
      </c>
      <c r="AH228" s="63">
        <v>3613</v>
      </c>
      <c r="AI228" s="63">
        <v>3556</v>
      </c>
      <c r="AJ228" s="63">
        <v>3961</v>
      </c>
      <c r="AK228" s="63">
        <v>3471</v>
      </c>
      <c r="AL228" s="63">
        <v>3859</v>
      </c>
      <c r="AM228" s="63">
        <v>3346</v>
      </c>
      <c r="AN228" s="63">
        <v>3001</v>
      </c>
      <c r="AO228" s="63">
        <v>3004</v>
      </c>
      <c r="AP228" s="63">
        <v>2944</v>
      </c>
      <c r="AQ228" s="63">
        <v>3027</v>
      </c>
      <c r="AR228" s="63">
        <v>2766</v>
      </c>
      <c r="AS228" s="63">
        <v>2677</v>
      </c>
      <c r="AT228" s="63">
        <v>3046</v>
      </c>
      <c r="AU228" s="63">
        <v>2608</v>
      </c>
      <c r="AV228" s="63">
        <v>2440</v>
      </c>
      <c r="AW228" s="63">
        <v>2475</v>
      </c>
      <c r="AX228" s="63">
        <v>3443</v>
      </c>
      <c r="AY228" s="63">
        <v>3822</v>
      </c>
      <c r="AZ228" s="63">
        <v>3248</v>
      </c>
      <c r="BA228" s="63">
        <v>3432</v>
      </c>
      <c r="BB228" s="63">
        <v>3594</v>
      </c>
      <c r="BC228" s="63">
        <v>3855</v>
      </c>
      <c r="BD228" s="63">
        <v>3581</v>
      </c>
      <c r="BE228" s="63">
        <v>3453</v>
      </c>
      <c r="BF228" s="63">
        <v>3650</v>
      </c>
      <c r="BG228" s="63">
        <v>3729</v>
      </c>
      <c r="BH228" s="63">
        <v>3628</v>
      </c>
    </row>
    <row r="229" spans="2:60" hidden="1" x14ac:dyDescent="0.2">
      <c r="B229" s="57"/>
      <c r="C229" s="57" t="s">
        <v>678</v>
      </c>
      <c r="D229" s="57" t="s">
        <v>648</v>
      </c>
      <c r="E229" s="62">
        <v>5</v>
      </c>
      <c r="F229" s="62">
        <v>1</v>
      </c>
      <c r="G229" s="62">
        <v>4</v>
      </c>
      <c r="H229" s="62">
        <v>4</v>
      </c>
      <c r="I229" s="62">
        <v>4</v>
      </c>
      <c r="J229" s="62">
        <v>5</v>
      </c>
      <c r="K229" s="62">
        <v>5</v>
      </c>
      <c r="L229" s="62">
        <v>3</v>
      </c>
      <c r="M229" s="62">
        <v>6</v>
      </c>
      <c r="N229" s="62">
        <v>8</v>
      </c>
      <c r="O229" s="62">
        <v>10</v>
      </c>
      <c r="P229" s="62"/>
      <c r="Q229" s="62">
        <v>3</v>
      </c>
      <c r="R229" s="62">
        <v>8</v>
      </c>
      <c r="S229" s="62">
        <v>7</v>
      </c>
      <c r="T229" s="62">
        <v>4</v>
      </c>
      <c r="U229" s="62">
        <v>3</v>
      </c>
      <c r="V229" s="62">
        <v>4</v>
      </c>
      <c r="W229" s="62">
        <v>6</v>
      </c>
      <c r="X229" s="62">
        <v>7</v>
      </c>
      <c r="Y229" s="62">
        <v>8</v>
      </c>
      <c r="Z229" s="62">
        <v>4</v>
      </c>
      <c r="AA229" s="62">
        <v>8</v>
      </c>
      <c r="AB229" s="62">
        <v>1</v>
      </c>
      <c r="AC229" s="62">
        <v>3</v>
      </c>
      <c r="AD229" s="62">
        <v>4</v>
      </c>
      <c r="AE229" s="62">
        <v>5</v>
      </c>
      <c r="AF229" s="62">
        <v>3</v>
      </c>
      <c r="AG229" s="62">
        <v>3</v>
      </c>
      <c r="AH229" s="62">
        <v>3</v>
      </c>
      <c r="AI229" s="62">
        <v>4</v>
      </c>
      <c r="AJ229" s="62">
        <v>2</v>
      </c>
      <c r="AK229" s="62">
        <v>1</v>
      </c>
      <c r="AL229" s="62">
        <v>6</v>
      </c>
      <c r="AM229" s="62">
        <v>6</v>
      </c>
      <c r="AN229" s="62">
        <v>3</v>
      </c>
      <c r="AO229" s="62">
        <v>3</v>
      </c>
      <c r="AP229" s="62">
        <v>4</v>
      </c>
      <c r="AQ229" s="62">
        <v>6</v>
      </c>
      <c r="AR229" s="62">
        <v>3</v>
      </c>
      <c r="AS229" s="62">
        <v>5</v>
      </c>
      <c r="AT229" s="62">
        <v>6</v>
      </c>
      <c r="AU229" s="62">
        <v>1</v>
      </c>
      <c r="AV229" s="62">
        <v>1</v>
      </c>
      <c r="AW229" s="62">
        <v>2</v>
      </c>
      <c r="AX229" s="62">
        <v>2</v>
      </c>
      <c r="AY229" s="62">
        <v>5</v>
      </c>
      <c r="AZ229" s="62">
        <v>2</v>
      </c>
      <c r="BA229" s="62">
        <v>4</v>
      </c>
      <c r="BB229" s="62">
        <v>4</v>
      </c>
      <c r="BC229" s="62"/>
      <c r="BD229" s="62">
        <v>2</v>
      </c>
      <c r="BE229" s="62">
        <v>5</v>
      </c>
      <c r="BF229" s="62">
        <v>1</v>
      </c>
      <c r="BG229" s="62">
        <v>1</v>
      </c>
      <c r="BH229" s="62">
        <v>5</v>
      </c>
    </row>
    <row r="230" spans="2:60" hidden="1" x14ac:dyDescent="0.2">
      <c r="B230" s="59"/>
      <c r="C230" s="59" t="s">
        <v>678</v>
      </c>
      <c r="D230" s="59" t="s">
        <v>649</v>
      </c>
      <c r="E230" s="63">
        <v>11</v>
      </c>
      <c r="F230" s="63">
        <v>7</v>
      </c>
      <c r="G230" s="63">
        <v>12</v>
      </c>
      <c r="H230" s="63">
        <v>9</v>
      </c>
      <c r="I230" s="63">
        <v>12</v>
      </c>
      <c r="J230" s="63">
        <v>7</v>
      </c>
      <c r="K230" s="63">
        <v>11</v>
      </c>
      <c r="L230" s="63">
        <v>7</v>
      </c>
      <c r="M230" s="63">
        <v>10</v>
      </c>
      <c r="N230" s="63">
        <v>10</v>
      </c>
      <c r="O230" s="63">
        <v>6</v>
      </c>
      <c r="P230" s="63">
        <v>3</v>
      </c>
      <c r="Q230" s="63">
        <v>7</v>
      </c>
      <c r="R230" s="63">
        <v>8</v>
      </c>
      <c r="S230" s="63">
        <v>8</v>
      </c>
      <c r="T230" s="63">
        <v>3</v>
      </c>
      <c r="U230" s="63">
        <v>9</v>
      </c>
      <c r="V230" s="63">
        <v>11</v>
      </c>
      <c r="W230" s="63">
        <v>13</v>
      </c>
      <c r="X230" s="63">
        <v>7</v>
      </c>
      <c r="Y230" s="63">
        <v>11</v>
      </c>
      <c r="Z230" s="63">
        <v>6</v>
      </c>
      <c r="AA230" s="63">
        <v>9</v>
      </c>
      <c r="AB230" s="63">
        <v>5</v>
      </c>
      <c r="AC230" s="63">
        <v>12</v>
      </c>
      <c r="AD230" s="63">
        <v>4</v>
      </c>
      <c r="AE230" s="63">
        <v>8</v>
      </c>
      <c r="AF230" s="63">
        <v>7</v>
      </c>
      <c r="AG230" s="63">
        <v>16</v>
      </c>
      <c r="AH230" s="63">
        <v>7</v>
      </c>
      <c r="AI230" s="63">
        <v>7</v>
      </c>
      <c r="AJ230" s="63">
        <v>10</v>
      </c>
      <c r="AK230" s="63">
        <v>10</v>
      </c>
      <c r="AL230" s="63">
        <v>8</v>
      </c>
      <c r="AM230" s="63">
        <v>11</v>
      </c>
      <c r="AN230" s="63">
        <v>7</v>
      </c>
      <c r="AO230" s="63">
        <v>9</v>
      </c>
      <c r="AP230" s="63">
        <v>8</v>
      </c>
      <c r="AQ230" s="63">
        <v>7</v>
      </c>
      <c r="AR230" s="63">
        <v>4</v>
      </c>
      <c r="AS230" s="63">
        <v>10</v>
      </c>
      <c r="AT230" s="63">
        <v>3</v>
      </c>
      <c r="AU230" s="63">
        <v>3</v>
      </c>
      <c r="AV230" s="63">
        <v>5</v>
      </c>
      <c r="AW230" s="63">
        <v>7</v>
      </c>
      <c r="AX230" s="63">
        <v>5</v>
      </c>
      <c r="AY230" s="63">
        <v>6</v>
      </c>
      <c r="AZ230" s="63">
        <v>4</v>
      </c>
      <c r="BA230" s="63">
        <v>12</v>
      </c>
      <c r="BB230" s="63">
        <v>7</v>
      </c>
      <c r="BC230" s="63">
        <v>6</v>
      </c>
      <c r="BD230" s="63">
        <v>6</v>
      </c>
      <c r="BE230" s="63">
        <v>6</v>
      </c>
      <c r="BF230" s="63">
        <v>7</v>
      </c>
      <c r="BG230" s="63">
        <v>5</v>
      </c>
      <c r="BH230" s="63">
        <v>3</v>
      </c>
    </row>
    <row r="231" spans="2:60" hidden="1" x14ac:dyDescent="0.2">
      <c r="B231" s="57"/>
      <c r="C231" s="57" t="s">
        <v>678</v>
      </c>
      <c r="D231" s="57" t="s">
        <v>650</v>
      </c>
      <c r="E231" s="62">
        <v>1</v>
      </c>
      <c r="F231" s="62"/>
      <c r="G231" s="62">
        <v>4</v>
      </c>
      <c r="H231" s="62">
        <v>2</v>
      </c>
      <c r="I231" s="62"/>
      <c r="J231" s="62">
        <v>1</v>
      </c>
      <c r="K231" s="62"/>
      <c r="L231" s="62">
        <v>2</v>
      </c>
      <c r="M231" s="62">
        <v>2</v>
      </c>
      <c r="N231" s="62">
        <v>1</v>
      </c>
      <c r="O231" s="62">
        <v>1</v>
      </c>
      <c r="P231" s="62"/>
      <c r="Q231" s="62">
        <v>2</v>
      </c>
      <c r="R231" s="62">
        <v>1</v>
      </c>
      <c r="S231" s="62"/>
      <c r="T231" s="62"/>
      <c r="U231" s="62"/>
      <c r="V231" s="62"/>
      <c r="W231" s="62"/>
      <c r="X231" s="62"/>
      <c r="Y231" s="62">
        <v>1</v>
      </c>
      <c r="Z231" s="62"/>
      <c r="AA231" s="62"/>
      <c r="AB231" s="62">
        <v>2</v>
      </c>
      <c r="AC231" s="62"/>
      <c r="AD231" s="62">
        <v>1</v>
      </c>
      <c r="AE231" s="62"/>
      <c r="AF231" s="62">
        <v>1</v>
      </c>
      <c r="AG231" s="62"/>
      <c r="AH231" s="62">
        <v>1</v>
      </c>
      <c r="AI231" s="62"/>
      <c r="AJ231" s="62"/>
      <c r="AK231" s="62"/>
      <c r="AL231" s="62"/>
      <c r="AM231" s="62"/>
      <c r="AN231" s="62">
        <v>3</v>
      </c>
      <c r="AO231" s="62">
        <v>1</v>
      </c>
      <c r="AP231" s="62">
        <v>1</v>
      </c>
      <c r="AQ231" s="62"/>
      <c r="AR231" s="62">
        <v>1</v>
      </c>
      <c r="AS231" s="62">
        <v>1</v>
      </c>
      <c r="AT231" s="62"/>
      <c r="AU231" s="62"/>
      <c r="AV231" s="62"/>
      <c r="AW231" s="62"/>
      <c r="AX231" s="62"/>
      <c r="AY231" s="62">
        <v>1</v>
      </c>
      <c r="AZ231" s="62">
        <v>1</v>
      </c>
      <c r="BA231" s="62">
        <v>2</v>
      </c>
      <c r="BB231" s="62"/>
      <c r="BC231" s="62"/>
      <c r="BD231" s="62"/>
      <c r="BE231" s="62"/>
      <c r="BF231" s="62"/>
      <c r="BG231" s="62">
        <v>1</v>
      </c>
      <c r="BH231" s="62"/>
    </row>
    <row r="232" spans="2:60" hidden="1" x14ac:dyDescent="0.2">
      <c r="B232" s="59"/>
      <c r="C232" s="59" t="s">
        <v>678</v>
      </c>
      <c r="D232" s="59" t="s">
        <v>651</v>
      </c>
      <c r="E232" s="63">
        <v>2</v>
      </c>
      <c r="F232" s="63">
        <v>6</v>
      </c>
      <c r="G232" s="63">
        <v>5</v>
      </c>
      <c r="H232" s="63">
        <v>7</v>
      </c>
      <c r="I232" s="63">
        <v>8</v>
      </c>
      <c r="J232" s="63">
        <v>7</v>
      </c>
      <c r="K232" s="63">
        <v>6</v>
      </c>
      <c r="L232" s="63">
        <v>5</v>
      </c>
      <c r="M232" s="63">
        <v>8</v>
      </c>
      <c r="N232" s="63">
        <v>7</v>
      </c>
      <c r="O232" s="63">
        <v>7</v>
      </c>
      <c r="P232" s="63">
        <v>11</v>
      </c>
      <c r="Q232" s="63">
        <v>8</v>
      </c>
      <c r="R232" s="63">
        <v>10</v>
      </c>
      <c r="S232" s="63">
        <v>6</v>
      </c>
      <c r="T232" s="63">
        <v>5</v>
      </c>
      <c r="U232" s="63">
        <v>6</v>
      </c>
      <c r="V232" s="63">
        <v>10</v>
      </c>
      <c r="W232" s="63">
        <v>7</v>
      </c>
      <c r="X232" s="63">
        <v>6</v>
      </c>
      <c r="Y232" s="63">
        <v>5</v>
      </c>
      <c r="Z232" s="63">
        <v>7</v>
      </c>
      <c r="AA232" s="63">
        <v>5</v>
      </c>
      <c r="AB232" s="63">
        <v>5</v>
      </c>
      <c r="AC232" s="63">
        <v>7</v>
      </c>
      <c r="AD232" s="63">
        <v>5</v>
      </c>
      <c r="AE232" s="63">
        <v>5</v>
      </c>
      <c r="AF232" s="63">
        <v>8</v>
      </c>
      <c r="AG232" s="63">
        <v>4</v>
      </c>
      <c r="AH232" s="63">
        <v>6</v>
      </c>
      <c r="AI232" s="63">
        <v>8</v>
      </c>
      <c r="AJ232" s="63">
        <v>2</v>
      </c>
      <c r="AK232" s="63">
        <v>7</v>
      </c>
      <c r="AL232" s="63">
        <v>6</v>
      </c>
      <c r="AM232" s="63">
        <v>5</v>
      </c>
      <c r="AN232" s="63">
        <v>5</v>
      </c>
      <c r="AO232" s="63">
        <v>8</v>
      </c>
      <c r="AP232" s="63">
        <v>6</v>
      </c>
      <c r="AQ232" s="63">
        <v>4</v>
      </c>
      <c r="AR232" s="63">
        <v>10</v>
      </c>
      <c r="AS232" s="63">
        <v>5</v>
      </c>
      <c r="AT232" s="63">
        <v>6</v>
      </c>
      <c r="AU232" s="63">
        <v>3</v>
      </c>
      <c r="AV232" s="63">
        <v>2</v>
      </c>
      <c r="AW232" s="63">
        <v>6</v>
      </c>
      <c r="AX232" s="63">
        <v>2</v>
      </c>
      <c r="AY232" s="63">
        <v>6</v>
      </c>
      <c r="AZ232" s="63">
        <v>2</v>
      </c>
      <c r="BA232" s="63">
        <v>3</v>
      </c>
      <c r="BB232" s="63">
        <v>6</v>
      </c>
      <c r="BC232" s="63">
        <v>3</v>
      </c>
      <c r="BD232" s="63">
        <v>4</v>
      </c>
      <c r="BE232" s="63">
        <v>4</v>
      </c>
      <c r="BF232" s="63">
        <v>3</v>
      </c>
      <c r="BG232" s="63">
        <v>3</v>
      </c>
      <c r="BH232" s="63">
        <v>3</v>
      </c>
    </row>
    <row r="233" spans="2:60" hidden="1" x14ac:dyDescent="0.2">
      <c r="B233" s="57"/>
      <c r="C233" s="57" t="s">
        <v>678</v>
      </c>
      <c r="D233" s="57" t="s">
        <v>652</v>
      </c>
      <c r="E233" s="62">
        <v>14</v>
      </c>
      <c r="F233" s="62">
        <v>13</v>
      </c>
      <c r="G233" s="62">
        <v>16</v>
      </c>
      <c r="H233" s="62">
        <v>24</v>
      </c>
      <c r="I233" s="62">
        <v>21</v>
      </c>
      <c r="J233" s="62">
        <v>19</v>
      </c>
      <c r="K233" s="62">
        <v>23</v>
      </c>
      <c r="L233" s="62">
        <v>18</v>
      </c>
      <c r="M233" s="62">
        <v>18</v>
      </c>
      <c r="N233" s="62">
        <v>17</v>
      </c>
      <c r="O233" s="62">
        <v>27</v>
      </c>
      <c r="P233" s="62">
        <v>15</v>
      </c>
      <c r="Q233" s="62">
        <v>21</v>
      </c>
      <c r="R233" s="62">
        <v>19</v>
      </c>
      <c r="S233" s="62">
        <v>23</v>
      </c>
      <c r="T233" s="62">
        <v>18</v>
      </c>
      <c r="U233" s="62">
        <v>28</v>
      </c>
      <c r="V233" s="62">
        <v>23</v>
      </c>
      <c r="W233" s="62">
        <v>16</v>
      </c>
      <c r="X233" s="62">
        <v>22</v>
      </c>
      <c r="Y233" s="62">
        <v>24</v>
      </c>
      <c r="Z233" s="62">
        <v>16</v>
      </c>
      <c r="AA233" s="62">
        <v>17</v>
      </c>
      <c r="AB233" s="62">
        <v>12</v>
      </c>
      <c r="AC233" s="62">
        <v>24</v>
      </c>
      <c r="AD233" s="62">
        <v>16</v>
      </c>
      <c r="AE233" s="62">
        <v>15</v>
      </c>
      <c r="AF233" s="62">
        <v>8</v>
      </c>
      <c r="AG233" s="62">
        <v>14</v>
      </c>
      <c r="AH233" s="62">
        <v>19</v>
      </c>
      <c r="AI233" s="62">
        <v>12</v>
      </c>
      <c r="AJ233" s="62">
        <v>21</v>
      </c>
      <c r="AK233" s="62">
        <v>16</v>
      </c>
      <c r="AL233" s="62">
        <v>23</v>
      </c>
      <c r="AM233" s="62">
        <v>14</v>
      </c>
      <c r="AN233" s="62">
        <v>11</v>
      </c>
      <c r="AO233" s="62">
        <v>18</v>
      </c>
      <c r="AP233" s="62">
        <v>17</v>
      </c>
      <c r="AQ233" s="62">
        <v>14</v>
      </c>
      <c r="AR233" s="62">
        <v>15</v>
      </c>
      <c r="AS233" s="62">
        <v>10</v>
      </c>
      <c r="AT233" s="62">
        <v>11</v>
      </c>
      <c r="AU233" s="62">
        <v>19</v>
      </c>
      <c r="AV233" s="62">
        <v>13</v>
      </c>
      <c r="AW233" s="62">
        <v>7</v>
      </c>
      <c r="AX233" s="62">
        <v>16</v>
      </c>
      <c r="AY233" s="62">
        <v>11</v>
      </c>
      <c r="AZ233" s="62">
        <v>13</v>
      </c>
      <c r="BA233" s="62">
        <v>13</v>
      </c>
      <c r="BB233" s="62">
        <v>17</v>
      </c>
      <c r="BC233" s="62">
        <v>9</v>
      </c>
      <c r="BD233" s="62">
        <v>12</v>
      </c>
      <c r="BE233" s="62">
        <v>13</v>
      </c>
      <c r="BF233" s="62">
        <v>8</v>
      </c>
      <c r="BG233" s="62">
        <v>7</v>
      </c>
      <c r="BH233" s="62">
        <v>6</v>
      </c>
    </row>
    <row r="234" spans="2:60" hidden="1" x14ac:dyDescent="0.2">
      <c r="B234" s="59"/>
      <c r="C234" s="59" t="s">
        <v>678</v>
      </c>
      <c r="D234" s="59" t="s">
        <v>653</v>
      </c>
      <c r="E234" s="63">
        <v>14</v>
      </c>
      <c r="F234" s="63">
        <v>13</v>
      </c>
      <c r="G234" s="63">
        <v>5</v>
      </c>
      <c r="H234" s="63">
        <v>11</v>
      </c>
      <c r="I234" s="63">
        <v>15</v>
      </c>
      <c r="J234" s="63">
        <v>11</v>
      </c>
      <c r="K234" s="63">
        <v>8</v>
      </c>
      <c r="L234" s="63">
        <v>7</v>
      </c>
      <c r="M234" s="63">
        <v>12</v>
      </c>
      <c r="N234" s="63">
        <v>16</v>
      </c>
      <c r="O234" s="63">
        <v>12</v>
      </c>
      <c r="P234" s="63">
        <v>5</v>
      </c>
      <c r="Q234" s="63">
        <v>16</v>
      </c>
      <c r="R234" s="63">
        <v>10</v>
      </c>
      <c r="S234" s="63">
        <v>8</v>
      </c>
      <c r="T234" s="63">
        <v>16</v>
      </c>
      <c r="U234" s="63">
        <v>7</v>
      </c>
      <c r="V234" s="63">
        <v>10</v>
      </c>
      <c r="W234" s="63">
        <v>10</v>
      </c>
      <c r="X234" s="63">
        <v>7</v>
      </c>
      <c r="Y234" s="63">
        <v>9</v>
      </c>
      <c r="Z234" s="63">
        <v>8</v>
      </c>
      <c r="AA234" s="63">
        <v>6</v>
      </c>
      <c r="AB234" s="63">
        <v>9</v>
      </c>
      <c r="AC234" s="63">
        <v>9</v>
      </c>
      <c r="AD234" s="63">
        <v>10</v>
      </c>
      <c r="AE234" s="63">
        <v>9</v>
      </c>
      <c r="AF234" s="63">
        <v>8</v>
      </c>
      <c r="AG234" s="63">
        <v>17</v>
      </c>
      <c r="AH234" s="63">
        <v>7</v>
      </c>
      <c r="AI234" s="63">
        <v>4</v>
      </c>
      <c r="AJ234" s="63">
        <v>7</v>
      </c>
      <c r="AK234" s="63">
        <v>12</v>
      </c>
      <c r="AL234" s="63">
        <v>3</v>
      </c>
      <c r="AM234" s="63">
        <v>5</v>
      </c>
      <c r="AN234" s="63">
        <v>10</v>
      </c>
      <c r="AO234" s="63">
        <v>13</v>
      </c>
      <c r="AP234" s="63">
        <v>3</v>
      </c>
      <c r="AQ234" s="63">
        <v>6</v>
      </c>
      <c r="AR234" s="63">
        <v>9</v>
      </c>
      <c r="AS234" s="63">
        <v>9</v>
      </c>
      <c r="AT234" s="63">
        <v>6</v>
      </c>
      <c r="AU234" s="63">
        <v>9</v>
      </c>
      <c r="AV234" s="63">
        <v>1</v>
      </c>
      <c r="AW234" s="63">
        <v>6</v>
      </c>
      <c r="AX234" s="63">
        <v>5</v>
      </c>
      <c r="AY234" s="63">
        <v>6</v>
      </c>
      <c r="AZ234" s="63">
        <v>4</v>
      </c>
      <c r="BA234" s="63">
        <v>2</v>
      </c>
      <c r="BB234" s="63">
        <v>5</v>
      </c>
      <c r="BC234" s="63">
        <v>8</v>
      </c>
      <c r="BD234" s="63">
        <v>3</v>
      </c>
      <c r="BE234" s="63">
        <v>7</v>
      </c>
      <c r="BF234" s="63">
        <v>6</v>
      </c>
      <c r="BG234" s="63">
        <v>5</v>
      </c>
      <c r="BH234" s="63">
        <v>2</v>
      </c>
    </row>
    <row r="235" spans="2:60" hidden="1" x14ac:dyDescent="0.2">
      <c r="B235" s="57"/>
      <c r="C235" s="57" t="s">
        <v>678</v>
      </c>
      <c r="D235" s="57" t="s">
        <v>654</v>
      </c>
      <c r="E235" s="62"/>
      <c r="F235" s="62"/>
      <c r="G235" s="62"/>
      <c r="H235" s="62"/>
      <c r="I235" s="62"/>
      <c r="J235" s="62"/>
      <c r="K235" s="62"/>
      <c r="L235" s="62"/>
      <c r="M235" s="62"/>
      <c r="N235" s="62"/>
      <c r="O235" s="62"/>
      <c r="P235" s="62"/>
      <c r="Q235" s="62"/>
      <c r="R235" s="62"/>
      <c r="S235" s="62">
        <v>2</v>
      </c>
      <c r="T235" s="62"/>
      <c r="U235" s="62"/>
      <c r="V235" s="62">
        <v>1</v>
      </c>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v>1</v>
      </c>
      <c r="AZ235" s="62"/>
      <c r="BA235" s="62"/>
      <c r="BB235" s="62"/>
      <c r="BC235" s="62"/>
      <c r="BD235" s="62"/>
      <c r="BE235" s="62"/>
      <c r="BF235" s="62"/>
      <c r="BG235" s="62"/>
      <c r="BH235" s="62"/>
    </row>
    <row r="236" spans="2:60" hidden="1" x14ac:dyDescent="0.2">
      <c r="B236" s="59"/>
      <c r="C236" s="59" t="s">
        <v>678</v>
      </c>
      <c r="D236" s="59" t="s">
        <v>655</v>
      </c>
      <c r="E236" s="63"/>
      <c r="F236" s="63"/>
      <c r="G236" s="63"/>
      <c r="H236" s="63">
        <v>1</v>
      </c>
      <c r="I236" s="63"/>
      <c r="J236" s="63"/>
      <c r="K236" s="63"/>
      <c r="L236" s="63">
        <v>1</v>
      </c>
      <c r="M236" s="63">
        <v>1</v>
      </c>
      <c r="N236" s="63">
        <v>1</v>
      </c>
      <c r="O236" s="63"/>
      <c r="P236" s="63"/>
      <c r="Q236" s="63"/>
      <c r="R236" s="63">
        <v>1</v>
      </c>
      <c r="S236" s="63"/>
      <c r="T236" s="63"/>
      <c r="U236" s="63">
        <v>2</v>
      </c>
      <c r="V236" s="63"/>
      <c r="W236" s="63"/>
      <c r="X236" s="63"/>
      <c r="Y236" s="63">
        <v>1</v>
      </c>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v>1</v>
      </c>
      <c r="BF236" s="63"/>
      <c r="BG236" s="63"/>
      <c r="BH236" s="63"/>
    </row>
    <row r="237" spans="2:60" hidden="1" x14ac:dyDescent="0.2">
      <c r="B237" s="57"/>
      <c r="C237" s="57" t="s">
        <v>678</v>
      </c>
      <c r="D237" s="57" t="s">
        <v>699</v>
      </c>
      <c r="E237" s="62">
        <v>14</v>
      </c>
      <c r="F237" s="62">
        <v>8</v>
      </c>
      <c r="G237" s="62">
        <v>7</v>
      </c>
      <c r="H237" s="62">
        <v>3</v>
      </c>
      <c r="I237" s="62">
        <v>33</v>
      </c>
      <c r="J237" s="62">
        <v>6</v>
      </c>
      <c r="K237" s="62">
        <v>6</v>
      </c>
      <c r="L237" s="62">
        <v>5</v>
      </c>
      <c r="M237" s="62">
        <v>2</v>
      </c>
      <c r="N237" s="62">
        <v>2</v>
      </c>
      <c r="O237" s="62">
        <v>2</v>
      </c>
      <c r="P237" s="62">
        <v>5</v>
      </c>
      <c r="Q237" s="62">
        <v>6</v>
      </c>
      <c r="R237" s="62">
        <v>5</v>
      </c>
      <c r="S237" s="62">
        <v>1</v>
      </c>
      <c r="T237" s="62">
        <v>2</v>
      </c>
      <c r="U237" s="62">
        <v>10</v>
      </c>
      <c r="V237" s="62">
        <v>2</v>
      </c>
      <c r="W237" s="62">
        <v>4</v>
      </c>
      <c r="X237" s="62">
        <v>1</v>
      </c>
      <c r="Y237" s="62">
        <v>7</v>
      </c>
      <c r="Z237" s="62">
        <v>4</v>
      </c>
      <c r="AA237" s="62">
        <v>4</v>
      </c>
      <c r="AB237" s="62">
        <v>2</v>
      </c>
      <c r="AC237" s="62">
        <v>4</v>
      </c>
      <c r="AD237" s="62">
        <v>2</v>
      </c>
      <c r="AE237" s="62">
        <v>2</v>
      </c>
      <c r="AF237" s="62">
        <v>5</v>
      </c>
      <c r="AG237" s="62">
        <v>5</v>
      </c>
      <c r="AH237" s="62">
        <v>2</v>
      </c>
      <c r="AI237" s="62">
        <v>4</v>
      </c>
      <c r="AJ237" s="62">
        <v>5</v>
      </c>
      <c r="AK237" s="62">
        <v>2</v>
      </c>
      <c r="AL237" s="62">
        <v>1</v>
      </c>
      <c r="AM237" s="62">
        <v>1</v>
      </c>
      <c r="AN237" s="62">
        <v>2</v>
      </c>
      <c r="AO237" s="62"/>
      <c r="AP237" s="62">
        <v>2</v>
      </c>
      <c r="AQ237" s="62">
        <v>2</v>
      </c>
      <c r="AR237" s="62">
        <v>1</v>
      </c>
      <c r="AS237" s="62">
        <v>3</v>
      </c>
      <c r="AT237" s="62">
        <v>2</v>
      </c>
      <c r="AU237" s="62">
        <v>1</v>
      </c>
      <c r="AV237" s="62"/>
      <c r="AW237" s="62">
        <v>3</v>
      </c>
      <c r="AX237" s="62">
        <v>6</v>
      </c>
      <c r="AY237" s="62">
        <v>1</v>
      </c>
      <c r="AZ237" s="62">
        <v>4</v>
      </c>
      <c r="BA237" s="62">
        <v>7</v>
      </c>
      <c r="BB237" s="62">
        <v>2</v>
      </c>
      <c r="BC237" s="62">
        <v>3</v>
      </c>
      <c r="BD237" s="62">
        <v>4</v>
      </c>
      <c r="BE237" s="62">
        <v>5</v>
      </c>
      <c r="BF237" s="62">
        <v>4</v>
      </c>
      <c r="BG237" s="62">
        <v>3</v>
      </c>
      <c r="BH237" s="62">
        <v>6</v>
      </c>
    </row>
    <row r="238" spans="2:60" hidden="1" x14ac:dyDescent="0.2">
      <c r="B238" s="59"/>
      <c r="C238" s="59" t="s">
        <v>678</v>
      </c>
      <c r="D238" s="59" t="s">
        <v>656</v>
      </c>
      <c r="E238" s="63">
        <v>61</v>
      </c>
      <c r="F238" s="63">
        <v>48</v>
      </c>
      <c r="G238" s="63">
        <v>53</v>
      </c>
      <c r="H238" s="63">
        <v>61</v>
      </c>
      <c r="I238" s="63">
        <v>93</v>
      </c>
      <c r="J238" s="63">
        <v>56</v>
      </c>
      <c r="K238" s="63">
        <v>59</v>
      </c>
      <c r="L238" s="63">
        <v>48</v>
      </c>
      <c r="M238" s="63">
        <v>59</v>
      </c>
      <c r="N238" s="63">
        <v>62</v>
      </c>
      <c r="O238" s="63">
        <v>65</v>
      </c>
      <c r="P238" s="63">
        <v>39</v>
      </c>
      <c r="Q238" s="63">
        <v>63</v>
      </c>
      <c r="R238" s="63">
        <v>62</v>
      </c>
      <c r="S238" s="63">
        <v>55</v>
      </c>
      <c r="T238" s="63">
        <v>48</v>
      </c>
      <c r="U238" s="63">
        <v>65</v>
      </c>
      <c r="V238" s="63">
        <v>61</v>
      </c>
      <c r="W238" s="63">
        <v>56</v>
      </c>
      <c r="X238" s="63">
        <v>50</v>
      </c>
      <c r="Y238" s="63">
        <v>66</v>
      </c>
      <c r="Z238" s="63">
        <v>45</v>
      </c>
      <c r="AA238" s="63">
        <v>49</v>
      </c>
      <c r="AB238" s="63">
        <v>36</v>
      </c>
      <c r="AC238" s="63">
        <v>59</v>
      </c>
      <c r="AD238" s="63">
        <v>42</v>
      </c>
      <c r="AE238" s="63">
        <v>44</v>
      </c>
      <c r="AF238" s="63">
        <v>40</v>
      </c>
      <c r="AG238" s="63">
        <v>59</v>
      </c>
      <c r="AH238" s="63">
        <v>45</v>
      </c>
      <c r="AI238" s="63">
        <v>39</v>
      </c>
      <c r="AJ238" s="63">
        <v>47</v>
      </c>
      <c r="AK238" s="63">
        <v>48</v>
      </c>
      <c r="AL238" s="63">
        <v>47</v>
      </c>
      <c r="AM238" s="63">
        <v>42</v>
      </c>
      <c r="AN238" s="63">
        <v>41</v>
      </c>
      <c r="AO238" s="63">
        <v>52</v>
      </c>
      <c r="AP238" s="63">
        <v>41</v>
      </c>
      <c r="AQ238" s="63">
        <v>39</v>
      </c>
      <c r="AR238" s="63">
        <v>43</v>
      </c>
      <c r="AS238" s="63">
        <v>43</v>
      </c>
      <c r="AT238" s="63">
        <v>34</v>
      </c>
      <c r="AU238" s="63">
        <v>36</v>
      </c>
      <c r="AV238" s="63">
        <v>22</v>
      </c>
      <c r="AW238" s="63">
        <v>31</v>
      </c>
      <c r="AX238" s="63">
        <v>36</v>
      </c>
      <c r="AY238" s="63">
        <v>37</v>
      </c>
      <c r="AZ238" s="63">
        <v>30</v>
      </c>
      <c r="BA238" s="63">
        <v>43</v>
      </c>
      <c r="BB238" s="63">
        <v>41</v>
      </c>
      <c r="BC238" s="63">
        <v>29</v>
      </c>
      <c r="BD238" s="63">
        <v>31</v>
      </c>
      <c r="BE238" s="63">
        <v>41</v>
      </c>
      <c r="BF238" s="63">
        <v>29</v>
      </c>
      <c r="BG238" s="63">
        <v>25</v>
      </c>
      <c r="BH238" s="63">
        <v>25</v>
      </c>
    </row>
    <row r="239" spans="2:60" hidden="1" x14ac:dyDescent="0.2">
      <c r="B239" s="57"/>
      <c r="C239" s="57" t="s">
        <v>679</v>
      </c>
      <c r="D239" s="57" t="s">
        <v>648</v>
      </c>
      <c r="E239" s="62">
        <v>72</v>
      </c>
      <c r="F239" s="62">
        <v>106</v>
      </c>
      <c r="G239" s="62">
        <v>71</v>
      </c>
      <c r="H239" s="62">
        <v>65</v>
      </c>
      <c r="I239" s="62">
        <v>68</v>
      </c>
      <c r="J239" s="62">
        <v>76</v>
      </c>
      <c r="K239" s="62">
        <v>69</v>
      </c>
      <c r="L239" s="62">
        <v>65</v>
      </c>
      <c r="M239" s="62">
        <v>97</v>
      </c>
      <c r="N239" s="62">
        <v>77</v>
      </c>
      <c r="O239" s="62">
        <v>81</v>
      </c>
      <c r="P239" s="62">
        <v>108</v>
      </c>
      <c r="Q239" s="62">
        <v>117</v>
      </c>
      <c r="R239" s="62">
        <v>97</v>
      </c>
      <c r="S239" s="62">
        <v>112</v>
      </c>
      <c r="T239" s="62">
        <v>81</v>
      </c>
      <c r="U239" s="62">
        <v>131</v>
      </c>
      <c r="V239" s="62">
        <v>101</v>
      </c>
      <c r="W239" s="62">
        <v>77</v>
      </c>
      <c r="X239" s="62">
        <v>93</v>
      </c>
      <c r="Y239" s="62">
        <v>101</v>
      </c>
      <c r="Z239" s="62">
        <v>91</v>
      </c>
      <c r="AA239" s="62">
        <v>124</v>
      </c>
      <c r="AB239" s="62">
        <v>124</v>
      </c>
      <c r="AC239" s="62">
        <v>131</v>
      </c>
      <c r="AD239" s="62">
        <v>104</v>
      </c>
      <c r="AE239" s="62">
        <v>100</v>
      </c>
      <c r="AF239" s="62">
        <v>103</v>
      </c>
      <c r="AG239" s="62">
        <v>85</v>
      </c>
      <c r="AH239" s="62">
        <v>98</v>
      </c>
      <c r="AI239" s="62">
        <v>115</v>
      </c>
      <c r="AJ239" s="62">
        <v>113</v>
      </c>
      <c r="AK239" s="62">
        <v>104</v>
      </c>
      <c r="AL239" s="62">
        <v>118</v>
      </c>
      <c r="AM239" s="62">
        <v>85</v>
      </c>
      <c r="AN239" s="62">
        <v>84</v>
      </c>
      <c r="AO239" s="62">
        <v>102</v>
      </c>
      <c r="AP239" s="62">
        <v>124</v>
      </c>
      <c r="AQ239" s="62">
        <v>102</v>
      </c>
      <c r="AR239" s="62">
        <v>93</v>
      </c>
      <c r="AS239" s="62">
        <v>97</v>
      </c>
      <c r="AT239" s="62">
        <v>106</v>
      </c>
      <c r="AU239" s="62">
        <v>77</v>
      </c>
      <c r="AV239" s="62">
        <v>66</v>
      </c>
      <c r="AW239" s="62">
        <v>76</v>
      </c>
      <c r="AX239" s="62">
        <v>59</v>
      </c>
      <c r="AY239" s="62">
        <v>91</v>
      </c>
      <c r="AZ239" s="62">
        <v>60</v>
      </c>
      <c r="BA239" s="62">
        <v>87</v>
      </c>
      <c r="BB239" s="62">
        <v>85</v>
      </c>
      <c r="BC239" s="62">
        <v>83</v>
      </c>
      <c r="BD239" s="62">
        <v>70</v>
      </c>
      <c r="BE239" s="62">
        <v>71</v>
      </c>
      <c r="BF239" s="62">
        <v>58</v>
      </c>
      <c r="BG239" s="62">
        <v>96</v>
      </c>
      <c r="BH239" s="62">
        <v>70</v>
      </c>
    </row>
    <row r="240" spans="2:60" hidden="1" x14ac:dyDescent="0.2">
      <c r="B240" s="59"/>
      <c r="C240" s="59" t="s">
        <v>679</v>
      </c>
      <c r="D240" s="59" t="s">
        <v>649</v>
      </c>
      <c r="E240" s="63">
        <v>239</v>
      </c>
      <c r="F240" s="63">
        <v>217</v>
      </c>
      <c r="G240" s="63">
        <v>276</v>
      </c>
      <c r="H240" s="63">
        <v>230</v>
      </c>
      <c r="I240" s="63">
        <v>257</v>
      </c>
      <c r="J240" s="63">
        <v>257</v>
      </c>
      <c r="K240" s="63">
        <v>294</v>
      </c>
      <c r="L240" s="63">
        <v>268</v>
      </c>
      <c r="M240" s="63">
        <v>345</v>
      </c>
      <c r="N240" s="63">
        <v>293</v>
      </c>
      <c r="O240" s="63">
        <v>310</v>
      </c>
      <c r="P240" s="63">
        <v>291</v>
      </c>
      <c r="Q240" s="63">
        <v>346</v>
      </c>
      <c r="R240" s="63">
        <v>311</v>
      </c>
      <c r="S240" s="63">
        <v>319</v>
      </c>
      <c r="T240" s="63">
        <v>283</v>
      </c>
      <c r="U240" s="63">
        <v>335</v>
      </c>
      <c r="V240" s="63">
        <v>247</v>
      </c>
      <c r="W240" s="63">
        <v>298</v>
      </c>
      <c r="X240" s="63">
        <v>269</v>
      </c>
      <c r="Y240" s="63">
        <v>350</v>
      </c>
      <c r="Z240" s="63">
        <v>313</v>
      </c>
      <c r="AA240" s="63">
        <v>302</v>
      </c>
      <c r="AB240" s="63">
        <v>283</v>
      </c>
      <c r="AC240" s="63">
        <v>304</v>
      </c>
      <c r="AD240" s="63">
        <v>256</v>
      </c>
      <c r="AE240" s="63">
        <v>272</v>
      </c>
      <c r="AF240" s="63">
        <v>249</v>
      </c>
      <c r="AG240" s="63">
        <v>314</v>
      </c>
      <c r="AH240" s="63">
        <v>254</v>
      </c>
      <c r="AI240" s="63">
        <v>224</v>
      </c>
      <c r="AJ240" s="63">
        <v>245</v>
      </c>
      <c r="AK240" s="63">
        <v>271</v>
      </c>
      <c r="AL240" s="63">
        <v>285</v>
      </c>
      <c r="AM240" s="63">
        <v>229</v>
      </c>
      <c r="AN240" s="63">
        <v>214</v>
      </c>
      <c r="AO240" s="63">
        <v>247</v>
      </c>
      <c r="AP240" s="63">
        <v>211</v>
      </c>
      <c r="AQ240" s="63">
        <v>268</v>
      </c>
      <c r="AR240" s="63">
        <v>217</v>
      </c>
      <c r="AS240" s="63">
        <v>189</v>
      </c>
      <c r="AT240" s="63">
        <v>215</v>
      </c>
      <c r="AU240" s="63">
        <v>203</v>
      </c>
      <c r="AV240" s="63">
        <v>196</v>
      </c>
      <c r="AW240" s="63">
        <v>197</v>
      </c>
      <c r="AX240" s="63">
        <v>191</v>
      </c>
      <c r="AY240" s="63">
        <v>201</v>
      </c>
      <c r="AZ240" s="63">
        <v>181</v>
      </c>
      <c r="BA240" s="63">
        <v>184</v>
      </c>
      <c r="BB240" s="63">
        <v>171</v>
      </c>
      <c r="BC240" s="63">
        <v>174</v>
      </c>
      <c r="BD240" s="63">
        <v>171</v>
      </c>
      <c r="BE240" s="63">
        <v>186</v>
      </c>
      <c r="BF240" s="63">
        <v>163</v>
      </c>
      <c r="BG240" s="63">
        <v>173</v>
      </c>
      <c r="BH240" s="63">
        <v>165</v>
      </c>
    </row>
    <row r="241" spans="2:60" hidden="1" x14ac:dyDescent="0.2">
      <c r="B241" s="57"/>
      <c r="C241" s="57" t="s">
        <v>679</v>
      </c>
      <c r="D241" s="57" t="s">
        <v>650</v>
      </c>
      <c r="E241" s="62">
        <v>96</v>
      </c>
      <c r="F241" s="62">
        <v>80</v>
      </c>
      <c r="G241" s="62">
        <v>105</v>
      </c>
      <c r="H241" s="62">
        <v>96</v>
      </c>
      <c r="I241" s="62">
        <v>100</v>
      </c>
      <c r="J241" s="62">
        <v>85</v>
      </c>
      <c r="K241" s="62">
        <v>121</v>
      </c>
      <c r="L241" s="62">
        <v>100</v>
      </c>
      <c r="M241" s="62">
        <v>121</v>
      </c>
      <c r="N241" s="62">
        <v>108</v>
      </c>
      <c r="O241" s="62">
        <v>140</v>
      </c>
      <c r="P241" s="62">
        <v>143</v>
      </c>
      <c r="Q241" s="62">
        <v>153</v>
      </c>
      <c r="R241" s="62">
        <v>109</v>
      </c>
      <c r="S241" s="62">
        <v>119</v>
      </c>
      <c r="T241" s="62">
        <v>119</v>
      </c>
      <c r="U241" s="62">
        <v>149</v>
      </c>
      <c r="V241" s="62">
        <v>120</v>
      </c>
      <c r="W241" s="62">
        <v>110</v>
      </c>
      <c r="X241" s="62">
        <v>118</v>
      </c>
      <c r="Y241" s="62">
        <v>146</v>
      </c>
      <c r="Z241" s="62">
        <v>136</v>
      </c>
      <c r="AA241" s="62">
        <v>124</v>
      </c>
      <c r="AB241" s="62">
        <v>110</v>
      </c>
      <c r="AC241" s="62">
        <v>116</v>
      </c>
      <c r="AD241" s="62">
        <v>111</v>
      </c>
      <c r="AE241" s="62">
        <v>95</v>
      </c>
      <c r="AF241" s="62">
        <v>99</v>
      </c>
      <c r="AG241" s="62">
        <v>106</v>
      </c>
      <c r="AH241" s="62">
        <v>110</v>
      </c>
      <c r="AI241" s="62">
        <v>81</v>
      </c>
      <c r="AJ241" s="62">
        <v>107</v>
      </c>
      <c r="AK241" s="62">
        <v>114</v>
      </c>
      <c r="AL241" s="62">
        <v>107</v>
      </c>
      <c r="AM241" s="62">
        <v>109</v>
      </c>
      <c r="AN241" s="62">
        <v>88</v>
      </c>
      <c r="AO241" s="62">
        <v>108</v>
      </c>
      <c r="AP241" s="62">
        <v>89</v>
      </c>
      <c r="AQ241" s="62">
        <v>104</v>
      </c>
      <c r="AR241" s="62">
        <v>99</v>
      </c>
      <c r="AS241" s="62">
        <v>77</v>
      </c>
      <c r="AT241" s="62">
        <v>76</v>
      </c>
      <c r="AU241" s="62">
        <v>66</v>
      </c>
      <c r="AV241" s="62">
        <v>84</v>
      </c>
      <c r="AW241" s="62">
        <v>75</v>
      </c>
      <c r="AX241" s="62">
        <v>70</v>
      </c>
      <c r="AY241" s="62">
        <v>61</v>
      </c>
      <c r="AZ241" s="62">
        <v>67</v>
      </c>
      <c r="BA241" s="62">
        <v>54</v>
      </c>
      <c r="BB241" s="62">
        <v>69</v>
      </c>
      <c r="BC241" s="62">
        <v>54</v>
      </c>
      <c r="BD241" s="62">
        <v>64</v>
      </c>
      <c r="BE241" s="62">
        <v>56</v>
      </c>
      <c r="BF241" s="62">
        <v>49</v>
      </c>
      <c r="BG241" s="62">
        <v>57</v>
      </c>
      <c r="BH241" s="62">
        <v>39</v>
      </c>
    </row>
    <row r="242" spans="2:60" hidden="1" x14ac:dyDescent="0.2">
      <c r="B242" s="59"/>
      <c r="C242" s="59" t="s">
        <v>679</v>
      </c>
      <c r="D242" s="59" t="s">
        <v>651</v>
      </c>
      <c r="E242" s="63">
        <v>64</v>
      </c>
      <c r="F242" s="63">
        <v>62</v>
      </c>
      <c r="G242" s="63">
        <v>51</v>
      </c>
      <c r="H242" s="63">
        <v>56</v>
      </c>
      <c r="I242" s="63">
        <v>59</v>
      </c>
      <c r="J242" s="63">
        <v>75</v>
      </c>
      <c r="K242" s="63">
        <v>60</v>
      </c>
      <c r="L242" s="63">
        <v>64</v>
      </c>
      <c r="M242" s="63">
        <v>75</v>
      </c>
      <c r="N242" s="63">
        <v>72</v>
      </c>
      <c r="O242" s="63">
        <v>64</v>
      </c>
      <c r="P242" s="63">
        <v>49</v>
      </c>
      <c r="Q242" s="63">
        <v>67</v>
      </c>
      <c r="R242" s="63">
        <v>55</v>
      </c>
      <c r="S242" s="63">
        <v>75</v>
      </c>
      <c r="T242" s="63">
        <v>64</v>
      </c>
      <c r="U242" s="63">
        <v>54</v>
      </c>
      <c r="V242" s="63">
        <v>63</v>
      </c>
      <c r="W242" s="63">
        <v>74</v>
      </c>
      <c r="X242" s="63">
        <v>72</v>
      </c>
      <c r="Y242" s="63">
        <v>80</v>
      </c>
      <c r="Z242" s="63">
        <v>72</v>
      </c>
      <c r="AA242" s="63">
        <v>68</v>
      </c>
      <c r="AB242" s="63">
        <v>56</v>
      </c>
      <c r="AC242" s="63">
        <v>68</v>
      </c>
      <c r="AD242" s="63">
        <v>73</v>
      </c>
      <c r="AE242" s="63">
        <v>45</v>
      </c>
      <c r="AF242" s="63">
        <v>63</v>
      </c>
      <c r="AG242" s="63">
        <v>42</v>
      </c>
      <c r="AH242" s="63">
        <v>40</v>
      </c>
      <c r="AI242" s="63">
        <v>59</v>
      </c>
      <c r="AJ242" s="63">
        <v>44</v>
      </c>
      <c r="AK242" s="63">
        <v>45</v>
      </c>
      <c r="AL242" s="63">
        <v>63</v>
      </c>
      <c r="AM242" s="63">
        <v>46</v>
      </c>
      <c r="AN242" s="63">
        <v>35</v>
      </c>
      <c r="AO242" s="63">
        <v>48</v>
      </c>
      <c r="AP242" s="63">
        <v>39</v>
      </c>
      <c r="AQ242" s="63">
        <v>36</v>
      </c>
      <c r="AR242" s="63">
        <v>50</v>
      </c>
      <c r="AS242" s="63">
        <v>42</v>
      </c>
      <c r="AT242" s="63">
        <v>47</v>
      </c>
      <c r="AU242" s="63">
        <v>45</v>
      </c>
      <c r="AV242" s="63">
        <v>26</v>
      </c>
      <c r="AW242" s="63">
        <v>43</v>
      </c>
      <c r="AX242" s="63">
        <v>46</v>
      </c>
      <c r="AY242" s="63">
        <v>41</v>
      </c>
      <c r="AZ242" s="63">
        <v>36</v>
      </c>
      <c r="BA242" s="63">
        <v>43</v>
      </c>
      <c r="BB242" s="63">
        <v>34</v>
      </c>
      <c r="BC242" s="63">
        <v>36</v>
      </c>
      <c r="BD242" s="63">
        <v>39</v>
      </c>
      <c r="BE242" s="63">
        <v>40</v>
      </c>
      <c r="BF242" s="63">
        <v>45</v>
      </c>
      <c r="BG242" s="63">
        <v>35</v>
      </c>
      <c r="BH242" s="63">
        <v>33</v>
      </c>
    </row>
    <row r="243" spans="2:60" hidden="1" x14ac:dyDescent="0.2">
      <c r="B243" s="57"/>
      <c r="C243" s="57" t="s">
        <v>679</v>
      </c>
      <c r="D243" s="57" t="s">
        <v>652</v>
      </c>
      <c r="E243" s="62">
        <v>360</v>
      </c>
      <c r="F243" s="62">
        <v>349</v>
      </c>
      <c r="G243" s="62">
        <v>337</v>
      </c>
      <c r="H243" s="62">
        <v>322</v>
      </c>
      <c r="I243" s="62">
        <v>376</v>
      </c>
      <c r="J243" s="62">
        <v>381</v>
      </c>
      <c r="K243" s="62">
        <v>465</v>
      </c>
      <c r="L243" s="62">
        <v>402</v>
      </c>
      <c r="M243" s="62">
        <v>402</v>
      </c>
      <c r="N243" s="62">
        <v>355</v>
      </c>
      <c r="O243" s="62">
        <v>428</v>
      </c>
      <c r="P243" s="62">
        <v>373</v>
      </c>
      <c r="Q243" s="62">
        <v>423</v>
      </c>
      <c r="R243" s="62">
        <v>411</v>
      </c>
      <c r="S243" s="62">
        <v>448</v>
      </c>
      <c r="T243" s="62">
        <v>356</v>
      </c>
      <c r="U243" s="62">
        <v>403</v>
      </c>
      <c r="V243" s="62">
        <v>387</v>
      </c>
      <c r="W243" s="62">
        <v>419</v>
      </c>
      <c r="X243" s="62">
        <v>370</v>
      </c>
      <c r="Y243" s="62">
        <v>387</v>
      </c>
      <c r="Z243" s="62">
        <v>342</v>
      </c>
      <c r="AA243" s="62">
        <v>356</v>
      </c>
      <c r="AB243" s="62">
        <v>305</v>
      </c>
      <c r="AC243" s="62">
        <v>322</v>
      </c>
      <c r="AD243" s="62">
        <v>350</v>
      </c>
      <c r="AE243" s="62">
        <v>329</v>
      </c>
      <c r="AF243" s="62">
        <v>312</v>
      </c>
      <c r="AG243" s="62">
        <v>285</v>
      </c>
      <c r="AH243" s="62">
        <v>350</v>
      </c>
      <c r="AI243" s="62">
        <v>287</v>
      </c>
      <c r="AJ243" s="62">
        <v>341</v>
      </c>
      <c r="AK243" s="62">
        <v>279</v>
      </c>
      <c r="AL243" s="62">
        <v>327</v>
      </c>
      <c r="AM243" s="62">
        <v>239</v>
      </c>
      <c r="AN243" s="62">
        <v>222</v>
      </c>
      <c r="AO243" s="62">
        <v>241</v>
      </c>
      <c r="AP243" s="62">
        <v>231</v>
      </c>
      <c r="AQ243" s="62">
        <v>253</v>
      </c>
      <c r="AR243" s="62">
        <v>252</v>
      </c>
      <c r="AS243" s="62">
        <v>207</v>
      </c>
      <c r="AT243" s="62">
        <v>220</v>
      </c>
      <c r="AU243" s="62">
        <v>247</v>
      </c>
      <c r="AV243" s="62">
        <v>208</v>
      </c>
      <c r="AW243" s="62">
        <v>215</v>
      </c>
      <c r="AX243" s="62">
        <v>189</v>
      </c>
      <c r="AY243" s="62">
        <v>219</v>
      </c>
      <c r="AZ243" s="62">
        <v>159</v>
      </c>
      <c r="BA243" s="62">
        <v>180</v>
      </c>
      <c r="BB243" s="62">
        <v>185</v>
      </c>
      <c r="BC243" s="62">
        <v>237</v>
      </c>
      <c r="BD243" s="62">
        <v>258</v>
      </c>
      <c r="BE243" s="62">
        <v>264</v>
      </c>
      <c r="BF243" s="62">
        <v>235</v>
      </c>
      <c r="BG243" s="62">
        <v>215</v>
      </c>
      <c r="BH243" s="62">
        <v>275</v>
      </c>
    </row>
    <row r="244" spans="2:60" hidden="1" x14ac:dyDescent="0.2">
      <c r="B244" s="59"/>
      <c r="C244" s="59" t="s">
        <v>679</v>
      </c>
      <c r="D244" s="59" t="s">
        <v>653</v>
      </c>
      <c r="E244" s="63">
        <v>340</v>
      </c>
      <c r="F244" s="63">
        <v>358</v>
      </c>
      <c r="G244" s="63">
        <v>439</v>
      </c>
      <c r="H244" s="63">
        <v>388</v>
      </c>
      <c r="I244" s="63">
        <v>476</v>
      </c>
      <c r="J244" s="63">
        <v>506</v>
      </c>
      <c r="K244" s="63">
        <v>569</v>
      </c>
      <c r="L244" s="63">
        <v>499</v>
      </c>
      <c r="M244" s="63">
        <v>509</v>
      </c>
      <c r="N244" s="63">
        <v>461</v>
      </c>
      <c r="O244" s="63">
        <v>561</v>
      </c>
      <c r="P244" s="63">
        <v>482</v>
      </c>
      <c r="Q244" s="63">
        <v>535</v>
      </c>
      <c r="R244" s="63">
        <v>418</v>
      </c>
      <c r="S244" s="63">
        <v>491</v>
      </c>
      <c r="T244" s="63">
        <v>454</v>
      </c>
      <c r="U244" s="63">
        <v>475</v>
      </c>
      <c r="V244" s="63">
        <v>436</v>
      </c>
      <c r="W244" s="63">
        <v>474</v>
      </c>
      <c r="X244" s="63">
        <v>384</v>
      </c>
      <c r="Y244" s="63">
        <v>519</v>
      </c>
      <c r="Z244" s="63">
        <v>394</v>
      </c>
      <c r="AA244" s="63">
        <v>422</v>
      </c>
      <c r="AB244" s="63">
        <v>365</v>
      </c>
      <c r="AC244" s="63">
        <v>418</v>
      </c>
      <c r="AD244" s="63">
        <v>379</v>
      </c>
      <c r="AE244" s="63">
        <v>380</v>
      </c>
      <c r="AF244" s="63">
        <v>377</v>
      </c>
      <c r="AG244" s="63">
        <v>357</v>
      </c>
      <c r="AH244" s="63">
        <v>386</v>
      </c>
      <c r="AI244" s="63">
        <v>330</v>
      </c>
      <c r="AJ244" s="63">
        <v>447</v>
      </c>
      <c r="AK244" s="63">
        <v>359</v>
      </c>
      <c r="AL244" s="63">
        <v>380</v>
      </c>
      <c r="AM244" s="63">
        <v>267</v>
      </c>
      <c r="AN244" s="63">
        <v>284</v>
      </c>
      <c r="AO244" s="63">
        <v>291</v>
      </c>
      <c r="AP244" s="63">
        <v>289</v>
      </c>
      <c r="AQ244" s="63">
        <v>324</v>
      </c>
      <c r="AR244" s="63">
        <v>276</v>
      </c>
      <c r="AS244" s="63">
        <v>234</v>
      </c>
      <c r="AT244" s="63">
        <v>242</v>
      </c>
      <c r="AU244" s="63">
        <v>256</v>
      </c>
      <c r="AV244" s="63">
        <v>202</v>
      </c>
      <c r="AW244" s="63">
        <v>202</v>
      </c>
      <c r="AX244" s="63">
        <v>179</v>
      </c>
      <c r="AY244" s="63">
        <v>228</v>
      </c>
      <c r="AZ244" s="63">
        <v>196</v>
      </c>
      <c r="BA244" s="63">
        <v>201</v>
      </c>
      <c r="BB244" s="63">
        <v>206</v>
      </c>
      <c r="BC244" s="63">
        <v>255</v>
      </c>
      <c r="BD244" s="63">
        <v>249</v>
      </c>
      <c r="BE244" s="63">
        <v>256</v>
      </c>
      <c r="BF244" s="63">
        <v>237</v>
      </c>
      <c r="BG244" s="63">
        <v>278</v>
      </c>
      <c r="BH244" s="63">
        <v>266</v>
      </c>
    </row>
    <row r="245" spans="2:60" hidden="1" x14ac:dyDescent="0.2">
      <c r="B245" s="57"/>
      <c r="C245" s="57" t="s">
        <v>679</v>
      </c>
      <c r="D245" s="57" t="s">
        <v>654</v>
      </c>
      <c r="E245" s="62">
        <v>14</v>
      </c>
      <c r="F245" s="62">
        <v>11</v>
      </c>
      <c r="G245" s="62">
        <v>16</v>
      </c>
      <c r="H245" s="62">
        <v>13</v>
      </c>
      <c r="I245" s="62">
        <v>19</v>
      </c>
      <c r="J245" s="62">
        <v>18</v>
      </c>
      <c r="K245" s="62">
        <v>15</v>
      </c>
      <c r="L245" s="62">
        <v>14</v>
      </c>
      <c r="M245" s="62">
        <v>24</v>
      </c>
      <c r="N245" s="62">
        <v>14</v>
      </c>
      <c r="O245" s="62">
        <v>11</v>
      </c>
      <c r="P245" s="62">
        <v>29</v>
      </c>
      <c r="Q245" s="62">
        <v>28</v>
      </c>
      <c r="R245" s="62">
        <v>18</v>
      </c>
      <c r="S245" s="62">
        <v>22</v>
      </c>
      <c r="T245" s="62">
        <v>31</v>
      </c>
      <c r="U245" s="62">
        <v>23</v>
      </c>
      <c r="V245" s="62">
        <v>16</v>
      </c>
      <c r="W245" s="62">
        <v>29</v>
      </c>
      <c r="X245" s="62">
        <v>13</v>
      </c>
      <c r="Y245" s="62">
        <v>18</v>
      </c>
      <c r="Z245" s="62">
        <v>18</v>
      </c>
      <c r="AA245" s="62">
        <v>15</v>
      </c>
      <c r="AB245" s="62">
        <v>15</v>
      </c>
      <c r="AC245" s="62">
        <v>18</v>
      </c>
      <c r="AD245" s="62">
        <v>16</v>
      </c>
      <c r="AE245" s="62">
        <v>12</v>
      </c>
      <c r="AF245" s="62">
        <v>21</v>
      </c>
      <c r="AG245" s="62">
        <v>13</v>
      </c>
      <c r="AH245" s="62">
        <v>13</v>
      </c>
      <c r="AI245" s="62">
        <v>9</v>
      </c>
      <c r="AJ245" s="62">
        <v>23</v>
      </c>
      <c r="AK245" s="62">
        <v>22</v>
      </c>
      <c r="AL245" s="62">
        <v>21</v>
      </c>
      <c r="AM245" s="62">
        <v>9</v>
      </c>
      <c r="AN245" s="62">
        <v>10</v>
      </c>
      <c r="AO245" s="62">
        <v>12</v>
      </c>
      <c r="AP245" s="62">
        <v>15</v>
      </c>
      <c r="AQ245" s="62">
        <v>18</v>
      </c>
      <c r="AR245" s="62">
        <v>28</v>
      </c>
      <c r="AS245" s="62">
        <v>17</v>
      </c>
      <c r="AT245" s="62">
        <v>11</v>
      </c>
      <c r="AU245" s="62">
        <v>21</v>
      </c>
      <c r="AV245" s="62">
        <v>12</v>
      </c>
      <c r="AW245" s="62">
        <v>13</v>
      </c>
      <c r="AX245" s="62">
        <v>11</v>
      </c>
      <c r="AY245" s="62">
        <v>21</v>
      </c>
      <c r="AZ245" s="62">
        <v>14</v>
      </c>
      <c r="BA245" s="62">
        <v>15</v>
      </c>
      <c r="BB245" s="62">
        <v>9</v>
      </c>
      <c r="BC245" s="62">
        <v>21</v>
      </c>
      <c r="BD245" s="62">
        <v>13</v>
      </c>
      <c r="BE245" s="62">
        <v>17</v>
      </c>
      <c r="BF245" s="62">
        <v>8</v>
      </c>
      <c r="BG245" s="62">
        <v>13</v>
      </c>
      <c r="BH245" s="62">
        <v>13</v>
      </c>
    </row>
    <row r="246" spans="2:60" hidden="1" x14ac:dyDescent="0.2">
      <c r="B246" s="59"/>
      <c r="C246" s="59" t="s">
        <v>679</v>
      </c>
      <c r="D246" s="59" t="s">
        <v>655</v>
      </c>
      <c r="E246" s="63">
        <v>28</v>
      </c>
      <c r="F246" s="63">
        <v>28</v>
      </c>
      <c r="G246" s="63">
        <v>29</v>
      </c>
      <c r="H246" s="63">
        <v>34</v>
      </c>
      <c r="I246" s="63">
        <v>49</v>
      </c>
      <c r="J246" s="63">
        <v>28</v>
      </c>
      <c r="K246" s="63">
        <v>45</v>
      </c>
      <c r="L246" s="63">
        <v>44</v>
      </c>
      <c r="M246" s="63">
        <v>70</v>
      </c>
      <c r="N246" s="63">
        <v>53</v>
      </c>
      <c r="O246" s="63">
        <v>51</v>
      </c>
      <c r="P246" s="63">
        <v>48</v>
      </c>
      <c r="Q246" s="63">
        <v>57</v>
      </c>
      <c r="R246" s="63">
        <v>39</v>
      </c>
      <c r="S246" s="63">
        <v>56</v>
      </c>
      <c r="T246" s="63">
        <v>48</v>
      </c>
      <c r="U246" s="63">
        <v>35</v>
      </c>
      <c r="V246" s="63">
        <v>32</v>
      </c>
      <c r="W246" s="63">
        <v>42</v>
      </c>
      <c r="X246" s="63">
        <v>39</v>
      </c>
      <c r="Y246" s="63">
        <v>43</v>
      </c>
      <c r="Z246" s="63">
        <v>38</v>
      </c>
      <c r="AA246" s="63">
        <v>33</v>
      </c>
      <c r="AB246" s="63">
        <v>40</v>
      </c>
      <c r="AC246" s="63">
        <v>36</v>
      </c>
      <c r="AD246" s="63">
        <v>30</v>
      </c>
      <c r="AE246" s="63">
        <v>31</v>
      </c>
      <c r="AF246" s="63">
        <v>44</v>
      </c>
      <c r="AG246" s="63">
        <v>35</v>
      </c>
      <c r="AH246" s="63">
        <v>36</v>
      </c>
      <c r="AI246" s="63">
        <v>38</v>
      </c>
      <c r="AJ246" s="63">
        <v>34</v>
      </c>
      <c r="AK246" s="63">
        <v>35</v>
      </c>
      <c r="AL246" s="63">
        <v>46</v>
      </c>
      <c r="AM246" s="63">
        <v>18</v>
      </c>
      <c r="AN246" s="63">
        <v>21</v>
      </c>
      <c r="AO246" s="63">
        <v>38</v>
      </c>
      <c r="AP246" s="63">
        <v>22</v>
      </c>
      <c r="AQ246" s="63">
        <v>26</v>
      </c>
      <c r="AR246" s="63">
        <v>25</v>
      </c>
      <c r="AS246" s="63">
        <v>32</v>
      </c>
      <c r="AT246" s="63">
        <v>27</v>
      </c>
      <c r="AU246" s="63">
        <v>30</v>
      </c>
      <c r="AV246" s="63">
        <v>19</v>
      </c>
      <c r="AW246" s="63">
        <v>19</v>
      </c>
      <c r="AX246" s="63">
        <v>23</v>
      </c>
      <c r="AY246" s="63">
        <v>27</v>
      </c>
      <c r="AZ246" s="63">
        <v>23</v>
      </c>
      <c r="BA246" s="63">
        <v>25</v>
      </c>
      <c r="BB246" s="63">
        <v>16</v>
      </c>
      <c r="BC246" s="63">
        <v>17</v>
      </c>
      <c r="BD246" s="63">
        <v>15</v>
      </c>
      <c r="BE246" s="63">
        <v>17</v>
      </c>
      <c r="BF246" s="63">
        <v>13</v>
      </c>
      <c r="BG246" s="63">
        <v>10</v>
      </c>
      <c r="BH246" s="63">
        <v>23</v>
      </c>
    </row>
    <row r="247" spans="2:60" hidden="1" x14ac:dyDescent="0.2">
      <c r="B247" s="57"/>
      <c r="C247" s="57" t="s">
        <v>679</v>
      </c>
      <c r="D247" s="57" t="s">
        <v>699</v>
      </c>
      <c r="E247" s="62">
        <v>178</v>
      </c>
      <c r="F247" s="62">
        <v>144</v>
      </c>
      <c r="G247" s="62">
        <v>176</v>
      </c>
      <c r="H247" s="62">
        <v>125</v>
      </c>
      <c r="I247" s="62">
        <v>196</v>
      </c>
      <c r="J247" s="62">
        <v>134</v>
      </c>
      <c r="K247" s="62">
        <v>165</v>
      </c>
      <c r="L247" s="62">
        <v>143</v>
      </c>
      <c r="M247" s="62">
        <v>181</v>
      </c>
      <c r="N247" s="62">
        <v>150</v>
      </c>
      <c r="O247" s="62">
        <v>161</v>
      </c>
      <c r="P247" s="62">
        <v>155</v>
      </c>
      <c r="Q247" s="62">
        <v>169</v>
      </c>
      <c r="R247" s="62">
        <v>145</v>
      </c>
      <c r="S247" s="62">
        <v>168</v>
      </c>
      <c r="T247" s="62">
        <v>118</v>
      </c>
      <c r="U247" s="62">
        <v>144</v>
      </c>
      <c r="V247" s="62">
        <v>143</v>
      </c>
      <c r="W247" s="62">
        <v>194</v>
      </c>
      <c r="X247" s="62">
        <v>140</v>
      </c>
      <c r="Y247" s="62">
        <v>139</v>
      </c>
      <c r="Z247" s="62">
        <v>130</v>
      </c>
      <c r="AA247" s="62">
        <v>98</v>
      </c>
      <c r="AB247" s="62">
        <v>106</v>
      </c>
      <c r="AC247" s="62">
        <v>118</v>
      </c>
      <c r="AD247" s="62">
        <v>103</v>
      </c>
      <c r="AE247" s="62">
        <v>82</v>
      </c>
      <c r="AF247" s="62">
        <v>79</v>
      </c>
      <c r="AG247" s="62">
        <v>78</v>
      </c>
      <c r="AH247" s="62">
        <v>85</v>
      </c>
      <c r="AI247" s="62">
        <v>88</v>
      </c>
      <c r="AJ247" s="62">
        <v>85</v>
      </c>
      <c r="AK247" s="62">
        <v>88</v>
      </c>
      <c r="AL247" s="62">
        <v>84</v>
      </c>
      <c r="AM247" s="62">
        <v>67</v>
      </c>
      <c r="AN247" s="62">
        <v>81</v>
      </c>
      <c r="AO247" s="62">
        <v>91</v>
      </c>
      <c r="AP247" s="62">
        <v>89</v>
      </c>
      <c r="AQ247" s="62">
        <v>76</v>
      </c>
      <c r="AR247" s="62">
        <v>69</v>
      </c>
      <c r="AS247" s="62">
        <v>66</v>
      </c>
      <c r="AT247" s="62">
        <v>68</v>
      </c>
      <c r="AU247" s="62">
        <v>48</v>
      </c>
      <c r="AV247" s="62">
        <v>39</v>
      </c>
      <c r="AW247" s="62">
        <v>69</v>
      </c>
      <c r="AX247" s="62">
        <v>77</v>
      </c>
      <c r="AY247" s="62">
        <v>74</v>
      </c>
      <c r="AZ247" s="62">
        <v>33</v>
      </c>
      <c r="BA247" s="62">
        <v>71</v>
      </c>
      <c r="BB247" s="62">
        <v>59</v>
      </c>
      <c r="BC247" s="62">
        <v>71</v>
      </c>
      <c r="BD247" s="62">
        <v>79</v>
      </c>
      <c r="BE247" s="62">
        <v>67</v>
      </c>
      <c r="BF247" s="62">
        <v>41</v>
      </c>
      <c r="BG247" s="62">
        <v>64</v>
      </c>
      <c r="BH247" s="62">
        <v>71</v>
      </c>
    </row>
    <row r="248" spans="2:60" hidden="1" x14ac:dyDescent="0.2">
      <c r="B248" s="59"/>
      <c r="C248" s="59" t="s">
        <v>679</v>
      </c>
      <c r="D248" s="59" t="s">
        <v>656</v>
      </c>
      <c r="E248" s="63">
        <v>1391</v>
      </c>
      <c r="F248" s="63">
        <v>1355</v>
      </c>
      <c r="G248" s="63">
        <v>1500</v>
      </c>
      <c r="H248" s="63">
        <v>1329</v>
      </c>
      <c r="I248" s="63">
        <v>1600</v>
      </c>
      <c r="J248" s="63">
        <v>1560</v>
      </c>
      <c r="K248" s="63">
        <v>1803</v>
      </c>
      <c r="L248" s="63">
        <v>1599</v>
      </c>
      <c r="M248" s="63">
        <v>1824</v>
      </c>
      <c r="N248" s="63">
        <v>1583</v>
      </c>
      <c r="O248" s="63">
        <v>1807</v>
      </c>
      <c r="P248" s="63">
        <v>1678</v>
      </c>
      <c r="Q248" s="63">
        <v>1895</v>
      </c>
      <c r="R248" s="63">
        <v>1603</v>
      </c>
      <c r="S248" s="63">
        <v>1810</v>
      </c>
      <c r="T248" s="63">
        <v>1554</v>
      </c>
      <c r="U248" s="63">
        <v>1749</v>
      </c>
      <c r="V248" s="63">
        <v>1545</v>
      </c>
      <c r="W248" s="63">
        <v>1717</v>
      </c>
      <c r="X248" s="63">
        <v>1498</v>
      </c>
      <c r="Y248" s="63">
        <v>1783</v>
      </c>
      <c r="Z248" s="63">
        <v>1534</v>
      </c>
      <c r="AA248" s="63">
        <v>1542</v>
      </c>
      <c r="AB248" s="63">
        <v>1404</v>
      </c>
      <c r="AC248" s="63">
        <v>1531</v>
      </c>
      <c r="AD248" s="63">
        <v>1422</v>
      </c>
      <c r="AE248" s="63">
        <v>1346</v>
      </c>
      <c r="AF248" s="63">
        <v>1347</v>
      </c>
      <c r="AG248" s="63">
        <v>1315</v>
      </c>
      <c r="AH248" s="63">
        <v>1372</v>
      </c>
      <c r="AI248" s="63">
        <v>1231</v>
      </c>
      <c r="AJ248" s="63">
        <v>1439</v>
      </c>
      <c r="AK248" s="63">
        <v>1317</v>
      </c>
      <c r="AL248" s="63">
        <v>1431</v>
      </c>
      <c r="AM248" s="63">
        <v>1069</v>
      </c>
      <c r="AN248" s="63">
        <v>1039</v>
      </c>
      <c r="AO248" s="63">
        <v>1178</v>
      </c>
      <c r="AP248" s="63">
        <v>1109</v>
      </c>
      <c r="AQ248" s="63">
        <v>1207</v>
      </c>
      <c r="AR248" s="63">
        <v>1109</v>
      </c>
      <c r="AS248" s="63">
        <v>961</v>
      </c>
      <c r="AT248" s="63">
        <v>1012</v>
      </c>
      <c r="AU248" s="63">
        <v>993</v>
      </c>
      <c r="AV248" s="63">
        <v>852</v>
      </c>
      <c r="AW248" s="63">
        <v>909</v>
      </c>
      <c r="AX248" s="63">
        <v>845</v>
      </c>
      <c r="AY248" s="63">
        <v>963</v>
      </c>
      <c r="AZ248" s="63">
        <v>769</v>
      </c>
      <c r="BA248" s="63">
        <v>860</v>
      </c>
      <c r="BB248" s="63">
        <v>834</v>
      </c>
      <c r="BC248" s="63">
        <v>948</v>
      </c>
      <c r="BD248" s="63">
        <v>958</v>
      </c>
      <c r="BE248" s="63">
        <v>974</v>
      </c>
      <c r="BF248" s="63">
        <v>849</v>
      </c>
      <c r="BG248" s="63">
        <v>941</v>
      </c>
      <c r="BH248" s="63">
        <v>955</v>
      </c>
    </row>
    <row r="249" spans="2:60" hidden="1" x14ac:dyDescent="0.2">
      <c r="B249" s="57"/>
      <c r="C249" s="57" t="s">
        <v>680</v>
      </c>
      <c r="D249" s="57" t="s">
        <v>648</v>
      </c>
      <c r="E249" s="62">
        <v>6</v>
      </c>
      <c r="F249" s="62">
        <v>2</v>
      </c>
      <c r="G249" s="62">
        <v>1</v>
      </c>
      <c r="H249" s="62">
        <v>3</v>
      </c>
      <c r="I249" s="62">
        <v>2</v>
      </c>
      <c r="J249" s="62">
        <v>1</v>
      </c>
      <c r="K249" s="62">
        <v>1</v>
      </c>
      <c r="L249" s="62">
        <v>4</v>
      </c>
      <c r="M249" s="62">
        <v>5</v>
      </c>
      <c r="N249" s="62">
        <v>6</v>
      </c>
      <c r="O249" s="62">
        <v>6</v>
      </c>
      <c r="P249" s="62">
        <v>4</v>
      </c>
      <c r="Q249" s="62">
        <v>9</v>
      </c>
      <c r="R249" s="62">
        <v>6</v>
      </c>
      <c r="S249" s="62">
        <v>5</v>
      </c>
      <c r="T249" s="62">
        <v>3</v>
      </c>
      <c r="U249" s="62">
        <v>4</v>
      </c>
      <c r="V249" s="62">
        <v>5</v>
      </c>
      <c r="W249" s="62">
        <v>2</v>
      </c>
      <c r="X249" s="62">
        <v>5</v>
      </c>
      <c r="Y249" s="62">
        <v>7</v>
      </c>
      <c r="Z249" s="62">
        <v>1</v>
      </c>
      <c r="AA249" s="62">
        <v>3</v>
      </c>
      <c r="AB249" s="62">
        <v>2</v>
      </c>
      <c r="AC249" s="62">
        <v>2</v>
      </c>
      <c r="AD249" s="62">
        <v>5</v>
      </c>
      <c r="AE249" s="62">
        <v>6</v>
      </c>
      <c r="AF249" s="62">
        <v>3</v>
      </c>
      <c r="AG249" s="62">
        <v>1</v>
      </c>
      <c r="AH249" s="62">
        <v>2</v>
      </c>
      <c r="AI249" s="62">
        <v>4</v>
      </c>
      <c r="AJ249" s="62">
        <v>3</v>
      </c>
      <c r="AK249" s="62">
        <v>3</v>
      </c>
      <c r="AL249" s="62">
        <v>1</v>
      </c>
      <c r="AM249" s="62">
        <v>3</v>
      </c>
      <c r="AN249" s="62">
        <v>1</v>
      </c>
      <c r="AO249" s="62">
        <v>4</v>
      </c>
      <c r="AP249" s="62">
        <v>4</v>
      </c>
      <c r="AQ249" s="62">
        <v>2</v>
      </c>
      <c r="AR249" s="62">
        <v>3</v>
      </c>
      <c r="AS249" s="62">
        <v>5</v>
      </c>
      <c r="AT249" s="62">
        <v>2</v>
      </c>
      <c r="AU249" s="62">
        <v>5</v>
      </c>
      <c r="AV249" s="62">
        <v>1</v>
      </c>
      <c r="AW249" s="62">
        <v>1</v>
      </c>
      <c r="AX249" s="62">
        <v>5</v>
      </c>
      <c r="AY249" s="62">
        <v>1</v>
      </c>
      <c r="AZ249" s="62">
        <v>1</v>
      </c>
      <c r="BA249" s="62">
        <v>2</v>
      </c>
      <c r="BB249" s="62">
        <v>2</v>
      </c>
      <c r="BC249" s="62">
        <v>3</v>
      </c>
      <c r="BD249" s="62">
        <v>2</v>
      </c>
      <c r="BE249" s="62">
        <v>3</v>
      </c>
      <c r="BF249" s="62">
        <v>2</v>
      </c>
      <c r="BG249" s="62">
        <v>2</v>
      </c>
      <c r="BH249" s="62"/>
    </row>
    <row r="250" spans="2:60" hidden="1" x14ac:dyDescent="0.2">
      <c r="B250" s="59"/>
      <c r="C250" s="59" t="s">
        <v>680</v>
      </c>
      <c r="D250" s="59" t="s">
        <v>649</v>
      </c>
      <c r="E250" s="63">
        <v>18</v>
      </c>
      <c r="F250" s="63">
        <v>25</v>
      </c>
      <c r="G250" s="63">
        <v>25</v>
      </c>
      <c r="H250" s="63">
        <v>23</v>
      </c>
      <c r="I250" s="63">
        <v>13</v>
      </c>
      <c r="J250" s="63">
        <v>26</v>
      </c>
      <c r="K250" s="63">
        <v>29</v>
      </c>
      <c r="L250" s="63">
        <v>34</v>
      </c>
      <c r="M250" s="63">
        <v>16</v>
      </c>
      <c r="N250" s="63">
        <v>24</v>
      </c>
      <c r="O250" s="63">
        <v>19</v>
      </c>
      <c r="P250" s="63">
        <v>31</v>
      </c>
      <c r="Q250" s="63">
        <v>21</v>
      </c>
      <c r="R250" s="63">
        <v>30</v>
      </c>
      <c r="S250" s="63">
        <v>19</v>
      </c>
      <c r="T250" s="63">
        <v>24</v>
      </c>
      <c r="U250" s="63">
        <v>30</v>
      </c>
      <c r="V250" s="63">
        <v>22</v>
      </c>
      <c r="W250" s="63">
        <v>33</v>
      </c>
      <c r="X250" s="63">
        <v>20</v>
      </c>
      <c r="Y250" s="63">
        <v>26</v>
      </c>
      <c r="Z250" s="63">
        <v>17</v>
      </c>
      <c r="AA250" s="63">
        <v>25</v>
      </c>
      <c r="AB250" s="63">
        <v>24</v>
      </c>
      <c r="AC250" s="63">
        <v>33</v>
      </c>
      <c r="AD250" s="63">
        <v>20</v>
      </c>
      <c r="AE250" s="63">
        <v>26</v>
      </c>
      <c r="AF250" s="63">
        <v>29</v>
      </c>
      <c r="AG250" s="63">
        <v>20</v>
      </c>
      <c r="AH250" s="63">
        <v>24</v>
      </c>
      <c r="AI250" s="63">
        <v>10</v>
      </c>
      <c r="AJ250" s="63">
        <v>19</v>
      </c>
      <c r="AK250" s="63">
        <v>24</v>
      </c>
      <c r="AL250" s="63">
        <v>30</v>
      </c>
      <c r="AM250" s="63">
        <v>16</v>
      </c>
      <c r="AN250" s="63">
        <v>14</v>
      </c>
      <c r="AO250" s="63">
        <v>28</v>
      </c>
      <c r="AP250" s="63">
        <v>24</v>
      </c>
      <c r="AQ250" s="63">
        <v>25</v>
      </c>
      <c r="AR250" s="63">
        <v>14</v>
      </c>
      <c r="AS250" s="63">
        <v>29</v>
      </c>
      <c r="AT250" s="63">
        <v>21</v>
      </c>
      <c r="AU250" s="63">
        <v>30</v>
      </c>
      <c r="AV250" s="63">
        <v>24</v>
      </c>
      <c r="AW250" s="63">
        <v>19</v>
      </c>
      <c r="AX250" s="63">
        <v>20</v>
      </c>
      <c r="AY250" s="63">
        <v>20</v>
      </c>
      <c r="AZ250" s="63">
        <v>24</v>
      </c>
      <c r="BA250" s="63">
        <v>23</v>
      </c>
      <c r="BB250" s="63">
        <v>21</v>
      </c>
      <c r="BC250" s="63">
        <v>17</v>
      </c>
      <c r="BD250" s="63">
        <v>14</v>
      </c>
      <c r="BE250" s="63">
        <v>25</v>
      </c>
      <c r="BF250" s="63">
        <v>25</v>
      </c>
      <c r="BG250" s="63">
        <v>18</v>
      </c>
      <c r="BH250" s="63">
        <v>16</v>
      </c>
    </row>
    <row r="251" spans="2:60" hidden="1" x14ac:dyDescent="0.2">
      <c r="B251" s="57"/>
      <c r="C251" s="57" t="s">
        <v>680</v>
      </c>
      <c r="D251" s="57" t="s">
        <v>650</v>
      </c>
      <c r="E251" s="62">
        <v>1</v>
      </c>
      <c r="F251" s="62">
        <v>4</v>
      </c>
      <c r="G251" s="62">
        <v>3</v>
      </c>
      <c r="H251" s="62">
        <v>6</v>
      </c>
      <c r="I251" s="62">
        <v>3</v>
      </c>
      <c r="J251" s="62">
        <v>2</v>
      </c>
      <c r="K251" s="62">
        <v>5</v>
      </c>
      <c r="L251" s="62">
        <v>2</v>
      </c>
      <c r="M251" s="62">
        <v>4</v>
      </c>
      <c r="N251" s="62">
        <v>11</v>
      </c>
      <c r="O251" s="62">
        <v>6</v>
      </c>
      <c r="P251" s="62">
        <v>5</v>
      </c>
      <c r="Q251" s="62">
        <v>12</v>
      </c>
      <c r="R251" s="62">
        <v>12</v>
      </c>
      <c r="S251" s="62">
        <v>6</v>
      </c>
      <c r="T251" s="62">
        <v>6</v>
      </c>
      <c r="U251" s="62">
        <v>12</v>
      </c>
      <c r="V251" s="62">
        <v>5</v>
      </c>
      <c r="W251" s="62">
        <v>9</v>
      </c>
      <c r="X251" s="62">
        <v>4</v>
      </c>
      <c r="Y251" s="62">
        <v>10</v>
      </c>
      <c r="Z251" s="62">
        <v>3</v>
      </c>
      <c r="AA251" s="62">
        <v>9</v>
      </c>
      <c r="AB251" s="62">
        <v>6</v>
      </c>
      <c r="AC251" s="62">
        <v>6</v>
      </c>
      <c r="AD251" s="62">
        <v>8</v>
      </c>
      <c r="AE251" s="62">
        <v>5</v>
      </c>
      <c r="AF251" s="62">
        <v>8</v>
      </c>
      <c r="AG251" s="62">
        <v>12</v>
      </c>
      <c r="AH251" s="62">
        <v>3</v>
      </c>
      <c r="AI251" s="62">
        <v>6</v>
      </c>
      <c r="AJ251" s="62">
        <v>7</v>
      </c>
      <c r="AK251" s="62">
        <v>8</v>
      </c>
      <c r="AL251" s="62">
        <v>4</v>
      </c>
      <c r="AM251" s="62">
        <v>10</v>
      </c>
      <c r="AN251" s="62">
        <v>4</v>
      </c>
      <c r="AO251" s="62">
        <v>6</v>
      </c>
      <c r="AP251" s="62">
        <v>12</v>
      </c>
      <c r="AQ251" s="62">
        <v>7</v>
      </c>
      <c r="AR251" s="62">
        <v>3</v>
      </c>
      <c r="AS251" s="62">
        <v>5</v>
      </c>
      <c r="AT251" s="62">
        <v>3</v>
      </c>
      <c r="AU251" s="62">
        <v>6</v>
      </c>
      <c r="AV251" s="62">
        <v>3</v>
      </c>
      <c r="AW251" s="62">
        <v>8</v>
      </c>
      <c r="AX251" s="62">
        <v>6</v>
      </c>
      <c r="AY251" s="62">
        <v>5</v>
      </c>
      <c r="AZ251" s="62">
        <v>2</v>
      </c>
      <c r="BA251" s="62">
        <v>4</v>
      </c>
      <c r="BB251" s="62">
        <v>5</v>
      </c>
      <c r="BC251" s="62">
        <v>4</v>
      </c>
      <c r="BD251" s="62">
        <v>2</v>
      </c>
      <c r="BE251" s="62">
        <v>2</v>
      </c>
      <c r="BF251" s="62">
        <v>6</v>
      </c>
      <c r="BG251" s="62">
        <v>2</v>
      </c>
      <c r="BH251" s="62">
        <v>2</v>
      </c>
    </row>
    <row r="252" spans="2:60" hidden="1" x14ac:dyDescent="0.2">
      <c r="B252" s="59"/>
      <c r="C252" s="59" t="s">
        <v>680</v>
      </c>
      <c r="D252" s="59" t="s">
        <v>651</v>
      </c>
      <c r="E252" s="63">
        <v>8</v>
      </c>
      <c r="F252" s="63">
        <v>19</v>
      </c>
      <c r="G252" s="63">
        <v>12</v>
      </c>
      <c r="H252" s="63">
        <v>12</v>
      </c>
      <c r="I252" s="63">
        <v>21</v>
      </c>
      <c r="J252" s="63">
        <v>9</v>
      </c>
      <c r="K252" s="63">
        <v>20</v>
      </c>
      <c r="L252" s="63">
        <v>14</v>
      </c>
      <c r="M252" s="63">
        <v>21</v>
      </c>
      <c r="N252" s="63">
        <v>7</v>
      </c>
      <c r="O252" s="63">
        <v>14</v>
      </c>
      <c r="P252" s="63">
        <v>6</v>
      </c>
      <c r="Q252" s="63">
        <v>17</v>
      </c>
      <c r="R252" s="63">
        <v>10</v>
      </c>
      <c r="S252" s="63">
        <v>16</v>
      </c>
      <c r="T252" s="63">
        <v>5</v>
      </c>
      <c r="U252" s="63">
        <v>15</v>
      </c>
      <c r="V252" s="63">
        <v>13</v>
      </c>
      <c r="W252" s="63">
        <v>8</v>
      </c>
      <c r="X252" s="63">
        <v>8</v>
      </c>
      <c r="Y252" s="63">
        <v>12</v>
      </c>
      <c r="Z252" s="63">
        <v>15</v>
      </c>
      <c r="AA252" s="63">
        <v>10</v>
      </c>
      <c r="AB252" s="63">
        <v>13</v>
      </c>
      <c r="AC252" s="63">
        <v>8</v>
      </c>
      <c r="AD252" s="63">
        <v>6</v>
      </c>
      <c r="AE252" s="63">
        <v>12</v>
      </c>
      <c r="AF252" s="63">
        <v>4</v>
      </c>
      <c r="AG252" s="63">
        <v>14</v>
      </c>
      <c r="AH252" s="63">
        <v>11</v>
      </c>
      <c r="AI252" s="63">
        <v>6</v>
      </c>
      <c r="AJ252" s="63">
        <v>10</v>
      </c>
      <c r="AK252" s="63">
        <v>8</v>
      </c>
      <c r="AL252" s="63">
        <v>8</v>
      </c>
      <c r="AM252" s="63">
        <v>7</v>
      </c>
      <c r="AN252" s="63">
        <v>9</v>
      </c>
      <c r="AO252" s="63">
        <v>4</v>
      </c>
      <c r="AP252" s="63">
        <v>6</v>
      </c>
      <c r="AQ252" s="63">
        <v>8</v>
      </c>
      <c r="AR252" s="63">
        <v>5</v>
      </c>
      <c r="AS252" s="63">
        <v>9</v>
      </c>
      <c r="AT252" s="63">
        <v>8</v>
      </c>
      <c r="AU252" s="63">
        <v>7</v>
      </c>
      <c r="AV252" s="63">
        <v>5</v>
      </c>
      <c r="AW252" s="63">
        <v>3</v>
      </c>
      <c r="AX252" s="63">
        <v>7</v>
      </c>
      <c r="AY252" s="63">
        <v>6</v>
      </c>
      <c r="AZ252" s="63">
        <v>2</v>
      </c>
      <c r="BA252" s="63">
        <v>1</v>
      </c>
      <c r="BB252" s="63">
        <v>4</v>
      </c>
      <c r="BC252" s="63">
        <v>12</v>
      </c>
      <c r="BD252" s="63">
        <v>2</v>
      </c>
      <c r="BE252" s="63">
        <v>7</v>
      </c>
      <c r="BF252" s="63">
        <v>7</v>
      </c>
      <c r="BG252" s="63">
        <v>4</v>
      </c>
      <c r="BH252" s="63">
        <v>2</v>
      </c>
    </row>
    <row r="253" spans="2:60" hidden="1" x14ac:dyDescent="0.2">
      <c r="B253" s="57"/>
      <c r="C253" s="57" t="s">
        <v>680</v>
      </c>
      <c r="D253" s="57" t="s">
        <v>652</v>
      </c>
      <c r="E253" s="62">
        <v>59</v>
      </c>
      <c r="F253" s="62">
        <v>66</v>
      </c>
      <c r="G253" s="62">
        <v>73</v>
      </c>
      <c r="H253" s="62">
        <v>73</v>
      </c>
      <c r="I253" s="62">
        <v>70</v>
      </c>
      <c r="J253" s="62">
        <v>64</v>
      </c>
      <c r="K253" s="62">
        <v>66</v>
      </c>
      <c r="L253" s="62">
        <v>42</v>
      </c>
      <c r="M253" s="62">
        <v>58</v>
      </c>
      <c r="N253" s="62">
        <v>64</v>
      </c>
      <c r="O253" s="62">
        <v>66</v>
      </c>
      <c r="P253" s="62">
        <v>52</v>
      </c>
      <c r="Q253" s="62">
        <v>54</v>
      </c>
      <c r="R253" s="62">
        <v>61</v>
      </c>
      <c r="S253" s="62">
        <v>68</v>
      </c>
      <c r="T253" s="62">
        <v>53</v>
      </c>
      <c r="U253" s="62">
        <v>70</v>
      </c>
      <c r="V253" s="62">
        <v>58</v>
      </c>
      <c r="W253" s="62">
        <v>54</v>
      </c>
      <c r="X253" s="62">
        <v>39</v>
      </c>
      <c r="Y253" s="62">
        <v>59</v>
      </c>
      <c r="Z253" s="62">
        <v>40</v>
      </c>
      <c r="AA253" s="62">
        <v>65</v>
      </c>
      <c r="AB253" s="62">
        <v>49</v>
      </c>
      <c r="AC253" s="62">
        <v>64</v>
      </c>
      <c r="AD253" s="62">
        <v>56</v>
      </c>
      <c r="AE253" s="62">
        <v>73</v>
      </c>
      <c r="AF253" s="62">
        <v>63</v>
      </c>
      <c r="AG253" s="62">
        <v>61</v>
      </c>
      <c r="AH253" s="62">
        <v>54</v>
      </c>
      <c r="AI253" s="62">
        <v>52</v>
      </c>
      <c r="AJ253" s="62">
        <v>55</v>
      </c>
      <c r="AK253" s="62">
        <v>63</v>
      </c>
      <c r="AL253" s="62">
        <v>62</v>
      </c>
      <c r="AM253" s="62">
        <v>59</v>
      </c>
      <c r="AN253" s="62">
        <v>42</v>
      </c>
      <c r="AO253" s="62">
        <v>34</v>
      </c>
      <c r="AP253" s="62">
        <v>42</v>
      </c>
      <c r="AQ253" s="62">
        <v>46</v>
      </c>
      <c r="AR253" s="62">
        <v>51</v>
      </c>
      <c r="AS253" s="62">
        <v>34</v>
      </c>
      <c r="AT253" s="62">
        <v>52</v>
      </c>
      <c r="AU253" s="62">
        <v>40</v>
      </c>
      <c r="AV253" s="62">
        <v>38</v>
      </c>
      <c r="AW253" s="62">
        <v>49</v>
      </c>
      <c r="AX253" s="62">
        <v>43</v>
      </c>
      <c r="AY253" s="62">
        <v>29</v>
      </c>
      <c r="AZ253" s="62">
        <v>24</v>
      </c>
      <c r="BA253" s="62">
        <v>41</v>
      </c>
      <c r="BB253" s="62">
        <v>26</v>
      </c>
      <c r="BC253" s="62">
        <v>36</v>
      </c>
      <c r="BD253" s="62">
        <v>33</v>
      </c>
      <c r="BE253" s="62">
        <v>21</v>
      </c>
      <c r="BF253" s="62">
        <v>32</v>
      </c>
      <c r="BG253" s="62">
        <v>34</v>
      </c>
      <c r="BH253" s="62">
        <v>37</v>
      </c>
    </row>
    <row r="254" spans="2:60" hidden="1" x14ac:dyDescent="0.2">
      <c r="B254" s="59"/>
      <c r="C254" s="59" t="s">
        <v>680</v>
      </c>
      <c r="D254" s="59" t="s">
        <v>653</v>
      </c>
      <c r="E254" s="63">
        <v>30</v>
      </c>
      <c r="F254" s="63">
        <v>41</v>
      </c>
      <c r="G254" s="63">
        <v>41</v>
      </c>
      <c r="H254" s="63">
        <v>45</v>
      </c>
      <c r="I254" s="63">
        <v>47</v>
      </c>
      <c r="J254" s="63">
        <v>48</v>
      </c>
      <c r="K254" s="63">
        <v>66</v>
      </c>
      <c r="L254" s="63">
        <v>56</v>
      </c>
      <c r="M254" s="63">
        <v>37</v>
      </c>
      <c r="N254" s="63">
        <v>45</v>
      </c>
      <c r="O254" s="63">
        <v>53</v>
      </c>
      <c r="P254" s="63">
        <v>39</v>
      </c>
      <c r="Q254" s="63">
        <v>49</v>
      </c>
      <c r="R254" s="63">
        <v>66</v>
      </c>
      <c r="S254" s="63">
        <v>73</v>
      </c>
      <c r="T254" s="63">
        <v>59</v>
      </c>
      <c r="U254" s="63">
        <v>65</v>
      </c>
      <c r="V254" s="63">
        <v>54</v>
      </c>
      <c r="W254" s="63">
        <v>51</v>
      </c>
      <c r="X254" s="63">
        <v>51</v>
      </c>
      <c r="Y254" s="63">
        <v>57</v>
      </c>
      <c r="Z254" s="63">
        <v>39</v>
      </c>
      <c r="AA254" s="63">
        <v>39</v>
      </c>
      <c r="AB254" s="63">
        <v>43</v>
      </c>
      <c r="AC254" s="63">
        <v>54</v>
      </c>
      <c r="AD254" s="63">
        <v>39</v>
      </c>
      <c r="AE254" s="63">
        <v>39</v>
      </c>
      <c r="AF254" s="63">
        <v>44</v>
      </c>
      <c r="AG254" s="63">
        <v>43</v>
      </c>
      <c r="AH254" s="63">
        <v>43</v>
      </c>
      <c r="AI254" s="63">
        <v>34</v>
      </c>
      <c r="AJ254" s="63">
        <v>47</v>
      </c>
      <c r="AK254" s="63">
        <v>44</v>
      </c>
      <c r="AL254" s="63">
        <v>38</v>
      </c>
      <c r="AM254" s="63">
        <v>29</v>
      </c>
      <c r="AN254" s="63">
        <v>25</v>
      </c>
      <c r="AO254" s="63">
        <v>45</v>
      </c>
      <c r="AP254" s="63">
        <v>39</v>
      </c>
      <c r="AQ254" s="63">
        <v>24</v>
      </c>
      <c r="AR254" s="63">
        <v>42</v>
      </c>
      <c r="AS254" s="63">
        <v>36</v>
      </c>
      <c r="AT254" s="63">
        <v>26</v>
      </c>
      <c r="AU254" s="63">
        <v>25</v>
      </c>
      <c r="AV254" s="63">
        <v>18</v>
      </c>
      <c r="AW254" s="63">
        <v>21</v>
      </c>
      <c r="AX254" s="63">
        <v>32</v>
      </c>
      <c r="AY254" s="63">
        <v>22</v>
      </c>
      <c r="AZ254" s="63">
        <v>18</v>
      </c>
      <c r="BA254" s="63">
        <v>26</v>
      </c>
      <c r="BB254" s="63">
        <v>27</v>
      </c>
      <c r="BC254" s="63">
        <v>26</v>
      </c>
      <c r="BD254" s="63">
        <v>23</v>
      </c>
      <c r="BE254" s="63">
        <v>24</v>
      </c>
      <c r="BF254" s="63">
        <v>21</v>
      </c>
      <c r="BG254" s="63">
        <v>17</v>
      </c>
      <c r="BH254" s="63">
        <v>21</v>
      </c>
    </row>
    <row r="255" spans="2:60" hidden="1" x14ac:dyDescent="0.2">
      <c r="B255" s="57"/>
      <c r="C255" s="57" t="s">
        <v>680</v>
      </c>
      <c r="D255" s="57" t="s">
        <v>654</v>
      </c>
      <c r="E255" s="62">
        <v>1</v>
      </c>
      <c r="F255" s="62"/>
      <c r="G255" s="62"/>
      <c r="H255" s="62"/>
      <c r="I255" s="62"/>
      <c r="J255" s="62"/>
      <c r="K255" s="62">
        <v>1</v>
      </c>
      <c r="L255" s="62">
        <v>1</v>
      </c>
      <c r="M255" s="62"/>
      <c r="N255" s="62">
        <v>1</v>
      </c>
      <c r="O255" s="62"/>
      <c r="P255" s="62"/>
      <c r="Q255" s="62">
        <v>1</v>
      </c>
      <c r="R255" s="62"/>
      <c r="S255" s="62"/>
      <c r="T255" s="62">
        <v>1</v>
      </c>
      <c r="U255" s="62"/>
      <c r="V255" s="62"/>
      <c r="W255" s="62"/>
      <c r="X255" s="62"/>
      <c r="Y255" s="62"/>
      <c r="Z255" s="62"/>
      <c r="AA255" s="62"/>
      <c r="AB255" s="62"/>
      <c r="AC255" s="62"/>
      <c r="AD255" s="62"/>
      <c r="AE255" s="62">
        <v>4</v>
      </c>
      <c r="AF255" s="62"/>
      <c r="AG255" s="62">
        <v>1</v>
      </c>
      <c r="AH255" s="62"/>
      <c r="AI255" s="62"/>
      <c r="AJ255" s="62">
        <v>2</v>
      </c>
      <c r="AK255" s="62">
        <v>1</v>
      </c>
      <c r="AL255" s="62">
        <v>2</v>
      </c>
      <c r="AM255" s="62">
        <v>1</v>
      </c>
      <c r="AN255" s="62">
        <v>3</v>
      </c>
      <c r="AO255" s="62">
        <v>2</v>
      </c>
      <c r="AP255" s="62"/>
      <c r="AQ255" s="62"/>
      <c r="AR255" s="62">
        <v>2</v>
      </c>
      <c r="AS255" s="62">
        <v>1</v>
      </c>
      <c r="AT255" s="62">
        <v>3</v>
      </c>
      <c r="AU255" s="62">
        <v>1</v>
      </c>
      <c r="AV255" s="62"/>
      <c r="AW255" s="62">
        <v>1</v>
      </c>
      <c r="AX255" s="62">
        <v>1</v>
      </c>
      <c r="AY255" s="62"/>
      <c r="AZ255" s="62">
        <v>1</v>
      </c>
      <c r="BA255" s="62">
        <v>1</v>
      </c>
      <c r="BB255" s="62">
        <v>3</v>
      </c>
      <c r="BC255" s="62">
        <v>1</v>
      </c>
      <c r="BD255" s="62"/>
      <c r="BE255" s="62"/>
      <c r="BF255" s="62"/>
      <c r="BG255" s="62"/>
      <c r="BH255" s="62"/>
    </row>
    <row r="256" spans="2:60" hidden="1" x14ac:dyDescent="0.2">
      <c r="B256" s="59"/>
      <c r="C256" s="59" t="s">
        <v>680</v>
      </c>
      <c r="D256" s="59" t="s">
        <v>655</v>
      </c>
      <c r="E256" s="63"/>
      <c r="F256" s="63"/>
      <c r="G256" s="63"/>
      <c r="H256" s="63"/>
      <c r="I256" s="63">
        <v>2</v>
      </c>
      <c r="J256" s="63">
        <v>1</v>
      </c>
      <c r="K256" s="63"/>
      <c r="L256" s="63"/>
      <c r="M256" s="63"/>
      <c r="N256" s="63"/>
      <c r="O256" s="63">
        <v>1</v>
      </c>
      <c r="P256" s="63"/>
      <c r="Q256" s="63">
        <v>2</v>
      </c>
      <c r="R256" s="63">
        <v>1</v>
      </c>
      <c r="S256" s="63"/>
      <c r="T256" s="63">
        <v>1</v>
      </c>
      <c r="U256" s="63">
        <v>1</v>
      </c>
      <c r="V256" s="63"/>
      <c r="W256" s="63"/>
      <c r="X256" s="63">
        <v>1</v>
      </c>
      <c r="Y256" s="63"/>
      <c r="Z256" s="63">
        <v>1</v>
      </c>
      <c r="AA256" s="63">
        <v>2</v>
      </c>
      <c r="AB256" s="63"/>
      <c r="AC256" s="63"/>
      <c r="AD256" s="63">
        <v>1</v>
      </c>
      <c r="AE256" s="63">
        <v>2</v>
      </c>
      <c r="AF256" s="63"/>
      <c r="AG256" s="63">
        <v>1</v>
      </c>
      <c r="AH256" s="63">
        <v>1</v>
      </c>
      <c r="AI256" s="63"/>
      <c r="AJ256" s="63">
        <v>1</v>
      </c>
      <c r="AK256" s="63"/>
      <c r="AL256" s="63">
        <v>1</v>
      </c>
      <c r="AM256" s="63">
        <v>1</v>
      </c>
      <c r="AN256" s="63">
        <v>1</v>
      </c>
      <c r="AO256" s="63"/>
      <c r="AP256" s="63"/>
      <c r="AQ256" s="63">
        <v>1</v>
      </c>
      <c r="AR256" s="63">
        <v>2</v>
      </c>
      <c r="AS256" s="63">
        <v>4</v>
      </c>
      <c r="AT256" s="63"/>
      <c r="AU256" s="63"/>
      <c r="AV256" s="63"/>
      <c r="AW256" s="63">
        <v>1</v>
      </c>
      <c r="AX256" s="63">
        <v>1</v>
      </c>
      <c r="AY256" s="63"/>
      <c r="AZ256" s="63"/>
      <c r="BA256" s="63">
        <v>1</v>
      </c>
      <c r="BB256" s="63">
        <v>1</v>
      </c>
      <c r="BC256" s="63">
        <v>2</v>
      </c>
      <c r="BD256" s="63">
        <v>2</v>
      </c>
      <c r="BE256" s="63">
        <v>1</v>
      </c>
      <c r="BF256" s="63">
        <v>3</v>
      </c>
      <c r="BG256" s="63"/>
      <c r="BH256" s="63"/>
    </row>
    <row r="257" spans="2:60" hidden="1" x14ac:dyDescent="0.2">
      <c r="B257" s="57"/>
      <c r="C257" s="57" t="s">
        <v>680</v>
      </c>
      <c r="D257" s="57" t="s">
        <v>699</v>
      </c>
      <c r="E257" s="62">
        <v>19</v>
      </c>
      <c r="F257" s="62">
        <v>18</v>
      </c>
      <c r="G257" s="62">
        <v>21</v>
      </c>
      <c r="H257" s="62">
        <v>25</v>
      </c>
      <c r="I257" s="62">
        <v>23</v>
      </c>
      <c r="J257" s="62">
        <v>20</v>
      </c>
      <c r="K257" s="62">
        <v>24</v>
      </c>
      <c r="L257" s="62">
        <v>26</v>
      </c>
      <c r="M257" s="62">
        <v>18</v>
      </c>
      <c r="N257" s="62">
        <v>16</v>
      </c>
      <c r="O257" s="62">
        <v>27</v>
      </c>
      <c r="P257" s="62">
        <v>22</v>
      </c>
      <c r="Q257" s="62">
        <v>27</v>
      </c>
      <c r="R257" s="62">
        <v>35</v>
      </c>
      <c r="S257" s="62">
        <v>25</v>
      </c>
      <c r="T257" s="62">
        <v>24</v>
      </c>
      <c r="U257" s="62">
        <v>22</v>
      </c>
      <c r="V257" s="62">
        <v>22</v>
      </c>
      <c r="W257" s="62">
        <v>31</v>
      </c>
      <c r="X257" s="62">
        <v>19</v>
      </c>
      <c r="Y257" s="62">
        <v>24</v>
      </c>
      <c r="Z257" s="62">
        <v>13</v>
      </c>
      <c r="AA257" s="62">
        <v>21</v>
      </c>
      <c r="AB257" s="62">
        <v>16</v>
      </c>
      <c r="AC257" s="62">
        <v>14</v>
      </c>
      <c r="AD257" s="62">
        <v>15</v>
      </c>
      <c r="AE257" s="62">
        <v>12</v>
      </c>
      <c r="AF257" s="62">
        <v>9</v>
      </c>
      <c r="AG257" s="62">
        <v>9</v>
      </c>
      <c r="AH257" s="62">
        <v>6</v>
      </c>
      <c r="AI257" s="62">
        <v>4</v>
      </c>
      <c r="AJ257" s="62">
        <v>7</v>
      </c>
      <c r="AK257" s="62">
        <v>9</v>
      </c>
      <c r="AL257" s="62">
        <v>20</v>
      </c>
      <c r="AM257" s="62">
        <v>13</v>
      </c>
      <c r="AN257" s="62">
        <v>7</v>
      </c>
      <c r="AO257" s="62">
        <v>18</v>
      </c>
      <c r="AP257" s="62">
        <v>6</v>
      </c>
      <c r="AQ257" s="62">
        <v>9</v>
      </c>
      <c r="AR257" s="62">
        <v>5</v>
      </c>
      <c r="AS257" s="62">
        <v>6</v>
      </c>
      <c r="AT257" s="62">
        <v>8</v>
      </c>
      <c r="AU257" s="62">
        <v>11</v>
      </c>
      <c r="AV257" s="62">
        <v>7</v>
      </c>
      <c r="AW257" s="62">
        <v>13</v>
      </c>
      <c r="AX257" s="62">
        <v>7</v>
      </c>
      <c r="AY257" s="62">
        <v>8</v>
      </c>
      <c r="AZ257" s="62">
        <v>7</v>
      </c>
      <c r="BA257" s="62">
        <v>11</v>
      </c>
      <c r="BB257" s="62">
        <v>12</v>
      </c>
      <c r="BC257" s="62">
        <v>4</v>
      </c>
      <c r="BD257" s="62">
        <v>11</v>
      </c>
      <c r="BE257" s="62">
        <v>9</v>
      </c>
      <c r="BF257" s="62">
        <v>6</v>
      </c>
      <c r="BG257" s="62">
        <v>12</v>
      </c>
      <c r="BH257" s="62">
        <v>5</v>
      </c>
    </row>
    <row r="258" spans="2:60" hidden="1" x14ac:dyDescent="0.2">
      <c r="B258" s="59"/>
      <c r="C258" s="59" t="s">
        <v>680</v>
      </c>
      <c r="D258" s="59" t="s">
        <v>656</v>
      </c>
      <c r="E258" s="63">
        <v>142</v>
      </c>
      <c r="F258" s="63">
        <v>175</v>
      </c>
      <c r="G258" s="63">
        <v>176</v>
      </c>
      <c r="H258" s="63">
        <v>187</v>
      </c>
      <c r="I258" s="63">
        <v>181</v>
      </c>
      <c r="J258" s="63">
        <v>171</v>
      </c>
      <c r="K258" s="63">
        <v>212</v>
      </c>
      <c r="L258" s="63">
        <v>179</v>
      </c>
      <c r="M258" s="63">
        <v>159</v>
      </c>
      <c r="N258" s="63">
        <v>174</v>
      </c>
      <c r="O258" s="63">
        <v>192</v>
      </c>
      <c r="P258" s="63">
        <v>159</v>
      </c>
      <c r="Q258" s="63">
        <v>192</v>
      </c>
      <c r="R258" s="63">
        <v>221</v>
      </c>
      <c r="S258" s="63">
        <v>212</v>
      </c>
      <c r="T258" s="63">
        <v>176</v>
      </c>
      <c r="U258" s="63">
        <v>219</v>
      </c>
      <c r="V258" s="63">
        <v>179</v>
      </c>
      <c r="W258" s="63">
        <v>188</v>
      </c>
      <c r="X258" s="63">
        <v>147</v>
      </c>
      <c r="Y258" s="63">
        <v>195</v>
      </c>
      <c r="Z258" s="63">
        <v>129</v>
      </c>
      <c r="AA258" s="63">
        <v>174</v>
      </c>
      <c r="AB258" s="63">
        <v>153</v>
      </c>
      <c r="AC258" s="63">
        <v>181</v>
      </c>
      <c r="AD258" s="63">
        <v>150</v>
      </c>
      <c r="AE258" s="63">
        <v>179</v>
      </c>
      <c r="AF258" s="63">
        <v>160</v>
      </c>
      <c r="AG258" s="63">
        <v>162</v>
      </c>
      <c r="AH258" s="63">
        <v>144</v>
      </c>
      <c r="AI258" s="63">
        <v>116</v>
      </c>
      <c r="AJ258" s="63">
        <v>151</v>
      </c>
      <c r="AK258" s="63">
        <v>160</v>
      </c>
      <c r="AL258" s="63">
        <v>166</v>
      </c>
      <c r="AM258" s="63">
        <v>139</v>
      </c>
      <c r="AN258" s="63">
        <v>106</v>
      </c>
      <c r="AO258" s="63">
        <v>141</v>
      </c>
      <c r="AP258" s="63">
        <v>133</v>
      </c>
      <c r="AQ258" s="63">
        <v>122</v>
      </c>
      <c r="AR258" s="63">
        <v>127</v>
      </c>
      <c r="AS258" s="63">
        <v>129</v>
      </c>
      <c r="AT258" s="63">
        <v>123</v>
      </c>
      <c r="AU258" s="63">
        <v>125</v>
      </c>
      <c r="AV258" s="63">
        <v>96</v>
      </c>
      <c r="AW258" s="63">
        <v>116</v>
      </c>
      <c r="AX258" s="63">
        <v>122</v>
      </c>
      <c r="AY258" s="63">
        <v>91</v>
      </c>
      <c r="AZ258" s="63">
        <v>79</v>
      </c>
      <c r="BA258" s="63">
        <v>110</v>
      </c>
      <c r="BB258" s="63">
        <v>101</v>
      </c>
      <c r="BC258" s="63">
        <v>105</v>
      </c>
      <c r="BD258" s="63">
        <v>89</v>
      </c>
      <c r="BE258" s="63">
        <v>92</v>
      </c>
      <c r="BF258" s="63">
        <v>102</v>
      </c>
      <c r="BG258" s="63">
        <v>89</v>
      </c>
      <c r="BH258" s="63">
        <v>83</v>
      </c>
    </row>
    <row r="259" spans="2:60" hidden="1" x14ac:dyDescent="0.2">
      <c r="B259" s="57"/>
      <c r="C259" s="57" t="s">
        <v>681</v>
      </c>
      <c r="D259" s="57" t="s">
        <v>648</v>
      </c>
      <c r="E259" s="62">
        <v>23</v>
      </c>
      <c r="F259" s="62">
        <v>13</v>
      </c>
      <c r="G259" s="62">
        <v>17</v>
      </c>
      <c r="H259" s="62">
        <v>19</v>
      </c>
      <c r="I259" s="62">
        <v>16</v>
      </c>
      <c r="J259" s="62">
        <v>14</v>
      </c>
      <c r="K259" s="62">
        <v>13</v>
      </c>
      <c r="L259" s="62">
        <v>11</v>
      </c>
      <c r="M259" s="62">
        <v>15</v>
      </c>
      <c r="N259" s="62">
        <v>8</v>
      </c>
      <c r="O259" s="62">
        <v>15</v>
      </c>
      <c r="P259" s="62">
        <v>12</v>
      </c>
      <c r="Q259" s="62">
        <v>20</v>
      </c>
      <c r="R259" s="62">
        <v>10</v>
      </c>
      <c r="S259" s="62">
        <v>7</v>
      </c>
      <c r="T259" s="62">
        <v>13</v>
      </c>
      <c r="U259" s="62">
        <v>7</v>
      </c>
      <c r="V259" s="62">
        <v>16</v>
      </c>
      <c r="W259" s="62">
        <v>14</v>
      </c>
      <c r="X259" s="62">
        <v>15</v>
      </c>
      <c r="Y259" s="62">
        <v>17</v>
      </c>
      <c r="Z259" s="62">
        <v>13</v>
      </c>
      <c r="AA259" s="62">
        <v>8</v>
      </c>
      <c r="AB259" s="62">
        <v>13</v>
      </c>
      <c r="AC259" s="62">
        <v>18</v>
      </c>
      <c r="AD259" s="62">
        <v>11</v>
      </c>
      <c r="AE259" s="62">
        <v>16</v>
      </c>
      <c r="AF259" s="62">
        <v>8</v>
      </c>
      <c r="AG259" s="62">
        <v>20</v>
      </c>
      <c r="AH259" s="62">
        <v>13</v>
      </c>
      <c r="AI259" s="62">
        <v>12</v>
      </c>
      <c r="AJ259" s="62">
        <v>13</v>
      </c>
      <c r="AK259" s="62">
        <v>12</v>
      </c>
      <c r="AL259" s="62">
        <v>12</v>
      </c>
      <c r="AM259" s="62">
        <v>12</v>
      </c>
      <c r="AN259" s="62">
        <v>13</v>
      </c>
      <c r="AO259" s="62">
        <v>11</v>
      </c>
      <c r="AP259" s="62">
        <v>18</v>
      </c>
      <c r="AQ259" s="62">
        <v>9</v>
      </c>
      <c r="AR259" s="62">
        <v>11</v>
      </c>
      <c r="AS259" s="62">
        <v>6</v>
      </c>
      <c r="AT259" s="62">
        <v>13</v>
      </c>
      <c r="AU259" s="62">
        <v>11</v>
      </c>
      <c r="AV259" s="62">
        <v>13</v>
      </c>
      <c r="AW259" s="62">
        <v>5</v>
      </c>
      <c r="AX259" s="62">
        <v>5</v>
      </c>
      <c r="AY259" s="62">
        <v>10</v>
      </c>
      <c r="AZ259" s="62">
        <v>9</v>
      </c>
      <c r="BA259" s="62">
        <v>9</v>
      </c>
      <c r="BB259" s="62">
        <v>19</v>
      </c>
      <c r="BC259" s="62">
        <v>13</v>
      </c>
      <c r="BD259" s="62">
        <v>16</v>
      </c>
      <c r="BE259" s="62">
        <v>12</v>
      </c>
      <c r="BF259" s="62">
        <v>9</v>
      </c>
      <c r="BG259" s="62">
        <v>7</v>
      </c>
      <c r="BH259" s="62">
        <v>12</v>
      </c>
    </row>
    <row r="260" spans="2:60" hidden="1" x14ac:dyDescent="0.2">
      <c r="B260" s="59"/>
      <c r="C260" s="59" t="s">
        <v>681</v>
      </c>
      <c r="D260" s="59" t="s">
        <v>649</v>
      </c>
      <c r="E260" s="63">
        <v>37</v>
      </c>
      <c r="F260" s="63">
        <v>26</v>
      </c>
      <c r="G260" s="63">
        <v>35</v>
      </c>
      <c r="H260" s="63">
        <v>28</v>
      </c>
      <c r="I260" s="63">
        <v>38</v>
      </c>
      <c r="J260" s="63">
        <v>34</v>
      </c>
      <c r="K260" s="63">
        <v>31</v>
      </c>
      <c r="L260" s="63">
        <v>26</v>
      </c>
      <c r="M260" s="63">
        <v>33</v>
      </c>
      <c r="N260" s="63">
        <v>30</v>
      </c>
      <c r="O260" s="63">
        <v>33</v>
      </c>
      <c r="P260" s="63">
        <v>25</v>
      </c>
      <c r="Q260" s="63">
        <v>29</v>
      </c>
      <c r="R260" s="63">
        <v>30</v>
      </c>
      <c r="S260" s="63">
        <v>26</v>
      </c>
      <c r="T260" s="63">
        <v>33</v>
      </c>
      <c r="U260" s="63">
        <v>27</v>
      </c>
      <c r="V260" s="63">
        <v>39</v>
      </c>
      <c r="W260" s="63">
        <v>43</v>
      </c>
      <c r="X260" s="63">
        <v>35</v>
      </c>
      <c r="Y260" s="63">
        <v>57</v>
      </c>
      <c r="Z260" s="63">
        <v>32</v>
      </c>
      <c r="AA260" s="63">
        <v>33</v>
      </c>
      <c r="AB260" s="63">
        <v>31</v>
      </c>
      <c r="AC260" s="63">
        <v>34</v>
      </c>
      <c r="AD260" s="63">
        <v>38</v>
      </c>
      <c r="AE260" s="63">
        <v>24</v>
      </c>
      <c r="AF260" s="63">
        <v>36</v>
      </c>
      <c r="AG260" s="63">
        <v>27</v>
      </c>
      <c r="AH260" s="63">
        <v>24</v>
      </c>
      <c r="AI260" s="63">
        <v>30</v>
      </c>
      <c r="AJ260" s="63">
        <v>41</v>
      </c>
      <c r="AK260" s="63">
        <v>23</v>
      </c>
      <c r="AL260" s="63">
        <v>39</v>
      </c>
      <c r="AM260" s="63">
        <v>24</v>
      </c>
      <c r="AN260" s="63">
        <v>27</v>
      </c>
      <c r="AO260" s="63">
        <v>28</v>
      </c>
      <c r="AP260" s="63">
        <v>21</v>
      </c>
      <c r="AQ260" s="63">
        <v>25</v>
      </c>
      <c r="AR260" s="63">
        <v>28</v>
      </c>
      <c r="AS260" s="63">
        <v>20</v>
      </c>
      <c r="AT260" s="63">
        <v>32</v>
      </c>
      <c r="AU260" s="63">
        <v>20</v>
      </c>
      <c r="AV260" s="63">
        <v>21</v>
      </c>
      <c r="AW260" s="63">
        <v>31</v>
      </c>
      <c r="AX260" s="63">
        <v>33</v>
      </c>
      <c r="AY260" s="63">
        <v>29</v>
      </c>
      <c r="AZ260" s="63">
        <v>16</v>
      </c>
      <c r="BA260" s="63">
        <v>23</v>
      </c>
      <c r="BB260" s="63">
        <v>22</v>
      </c>
      <c r="BC260" s="63">
        <v>22</v>
      </c>
      <c r="BD260" s="63">
        <v>27</v>
      </c>
      <c r="BE260" s="63">
        <v>23</v>
      </c>
      <c r="BF260" s="63">
        <v>27</v>
      </c>
      <c r="BG260" s="63">
        <v>14</v>
      </c>
      <c r="BH260" s="63">
        <v>26</v>
      </c>
    </row>
    <row r="261" spans="2:60" hidden="1" x14ac:dyDescent="0.2">
      <c r="B261" s="57"/>
      <c r="C261" s="57" t="s">
        <v>681</v>
      </c>
      <c r="D261" s="57" t="s">
        <v>650</v>
      </c>
      <c r="E261" s="62">
        <v>3</v>
      </c>
      <c r="F261" s="62">
        <v>6</v>
      </c>
      <c r="G261" s="62">
        <v>5</v>
      </c>
      <c r="H261" s="62">
        <v>3</v>
      </c>
      <c r="I261" s="62">
        <v>5</v>
      </c>
      <c r="J261" s="62">
        <v>4</v>
      </c>
      <c r="K261" s="62">
        <v>11</v>
      </c>
      <c r="L261" s="62">
        <v>5</v>
      </c>
      <c r="M261" s="62">
        <v>6</v>
      </c>
      <c r="N261" s="62">
        <v>4</v>
      </c>
      <c r="O261" s="62">
        <v>7</v>
      </c>
      <c r="P261" s="62">
        <v>2</v>
      </c>
      <c r="Q261" s="62">
        <v>5</v>
      </c>
      <c r="R261" s="62">
        <v>5</v>
      </c>
      <c r="S261" s="62">
        <v>5</v>
      </c>
      <c r="T261" s="62">
        <v>7</v>
      </c>
      <c r="U261" s="62">
        <v>5</v>
      </c>
      <c r="V261" s="62">
        <v>4</v>
      </c>
      <c r="W261" s="62">
        <v>4</v>
      </c>
      <c r="X261" s="62">
        <v>5</v>
      </c>
      <c r="Y261" s="62">
        <v>4</v>
      </c>
      <c r="Z261" s="62">
        <v>4</v>
      </c>
      <c r="AA261" s="62">
        <v>7</v>
      </c>
      <c r="AB261" s="62">
        <v>7</v>
      </c>
      <c r="AC261" s="62">
        <v>2</v>
      </c>
      <c r="AD261" s="62">
        <v>6</v>
      </c>
      <c r="AE261" s="62">
        <v>4</v>
      </c>
      <c r="AF261" s="62">
        <v>8</v>
      </c>
      <c r="AG261" s="62">
        <v>8</v>
      </c>
      <c r="AH261" s="62">
        <v>8</v>
      </c>
      <c r="AI261" s="62">
        <v>6</v>
      </c>
      <c r="AJ261" s="62">
        <v>10</v>
      </c>
      <c r="AK261" s="62">
        <v>7</v>
      </c>
      <c r="AL261" s="62">
        <v>7</v>
      </c>
      <c r="AM261" s="62">
        <v>2</v>
      </c>
      <c r="AN261" s="62">
        <v>7</v>
      </c>
      <c r="AO261" s="62">
        <v>10</v>
      </c>
      <c r="AP261" s="62">
        <v>2</v>
      </c>
      <c r="AQ261" s="62">
        <v>5</v>
      </c>
      <c r="AR261" s="62">
        <v>6</v>
      </c>
      <c r="AS261" s="62">
        <v>6</v>
      </c>
      <c r="AT261" s="62">
        <v>11</v>
      </c>
      <c r="AU261" s="62">
        <v>7</v>
      </c>
      <c r="AV261" s="62">
        <v>6</v>
      </c>
      <c r="AW261" s="62">
        <v>1</v>
      </c>
      <c r="AX261" s="62">
        <v>1</v>
      </c>
      <c r="AY261" s="62">
        <v>12</v>
      </c>
      <c r="AZ261" s="62">
        <v>2</v>
      </c>
      <c r="BA261" s="62">
        <v>8</v>
      </c>
      <c r="BB261" s="62">
        <v>3</v>
      </c>
      <c r="BC261" s="62">
        <v>5</v>
      </c>
      <c r="BD261" s="62">
        <v>7</v>
      </c>
      <c r="BE261" s="62">
        <v>1</v>
      </c>
      <c r="BF261" s="62">
        <v>4</v>
      </c>
      <c r="BG261" s="62">
        <v>5</v>
      </c>
      <c r="BH261" s="62">
        <v>4</v>
      </c>
    </row>
    <row r="262" spans="2:60" hidden="1" x14ac:dyDescent="0.2">
      <c r="B262" s="59"/>
      <c r="C262" s="59" t="s">
        <v>681</v>
      </c>
      <c r="D262" s="59" t="s">
        <v>651</v>
      </c>
      <c r="E262" s="63">
        <v>19</v>
      </c>
      <c r="F262" s="63">
        <v>22</v>
      </c>
      <c r="G262" s="63">
        <v>21</v>
      </c>
      <c r="H262" s="63">
        <v>18</v>
      </c>
      <c r="I262" s="63">
        <v>13</v>
      </c>
      <c r="J262" s="63">
        <v>19</v>
      </c>
      <c r="K262" s="63">
        <v>22</v>
      </c>
      <c r="L262" s="63">
        <v>15</v>
      </c>
      <c r="M262" s="63">
        <v>10</v>
      </c>
      <c r="N262" s="63">
        <v>15</v>
      </c>
      <c r="O262" s="63">
        <v>10</v>
      </c>
      <c r="P262" s="63">
        <v>18</v>
      </c>
      <c r="Q262" s="63">
        <v>11</v>
      </c>
      <c r="R262" s="63">
        <v>17</v>
      </c>
      <c r="S262" s="63">
        <v>16</v>
      </c>
      <c r="T262" s="63">
        <v>13</v>
      </c>
      <c r="U262" s="63">
        <v>12</v>
      </c>
      <c r="V262" s="63">
        <v>18</v>
      </c>
      <c r="W262" s="63">
        <v>20</v>
      </c>
      <c r="X262" s="63">
        <v>13</v>
      </c>
      <c r="Y262" s="63">
        <v>15</v>
      </c>
      <c r="Z262" s="63">
        <v>21</v>
      </c>
      <c r="AA262" s="63">
        <v>18</v>
      </c>
      <c r="AB262" s="63">
        <v>18</v>
      </c>
      <c r="AC262" s="63">
        <v>13</v>
      </c>
      <c r="AD262" s="63">
        <v>14</v>
      </c>
      <c r="AE262" s="63">
        <v>15</v>
      </c>
      <c r="AF262" s="63">
        <v>18</v>
      </c>
      <c r="AG262" s="63">
        <v>17</v>
      </c>
      <c r="AH262" s="63">
        <v>20</v>
      </c>
      <c r="AI262" s="63">
        <v>18</v>
      </c>
      <c r="AJ262" s="63">
        <v>16</v>
      </c>
      <c r="AK262" s="63">
        <v>17</v>
      </c>
      <c r="AL262" s="63">
        <v>16</v>
      </c>
      <c r="AM262" s="63">
        <v>17</v>
      </c>
      <c r="AN262" s="63">
        <v>13</v>
      </c>
      <c r="AO262" s="63">
        <v>5</v>
      </c>
      <c r="AP262" s="63">
        <v>9</v>
      </c>
      <c r="AQ262" s="63">
        <v>9</v>
      </c>
      <c r="AR262" s="63">
        <v>11</v>
      </c>
      <c r="AS262" s="63">
        <v>13</v>
      </c>
      <c r="AT262" s="63">
        <v>11</v>
      </c>
      <c r="AU262" s="63">
        <v>13</v>
      </c>
      <c r="AV262" s="63">
        <v>15</v>
      </c>
      <c r="AW262" s="63">
        <v>7</v>
      </c>
      <c r="AX262" s="63">
        <v>7</v>
      </c>
      <c r="AY262" s="63">
        <v>5</v>
      </c>
      <c r="AZ262" s="63">
        <v>11</v>
      </c>
      <c r="BA262" s="63">
        <v>9</v>
      </c>
      <c r="BB262" s="63">
        <v>12</v>
      </c>
      <c r="BC262" s="63">
        <v>9</v>
      </c>
      <c r="BD262" s="63">
        <v>8</v>
      </c>
      <c r="BE262" s="63">
        <v>5</v>
      </c>
      <c r="BF262" s="63">
        <v>11</v>
      </c>
      <c r="BG262" s="63">
        <v>14</v>
      </c>
      <c r="BH262" s="63">
        <v>17</v>
      </c>
    </row>
    <row r="263" spans="2:60" hidden="1" x14ac:dyDescent="0.2">
      <c r="B263" s="57"/>
      <c r="C263" s="57" t="s">
        <v>681</v>
      </c>
      <c r="D263" s="57" t="s">
        <v>652</v>
      </c>
      <c r="E263" s="62">
        <v>67</v>
      </c>
      <c r="F263" s="62">
        <v>55</v>
      </c>
      <c r="G263" s="62">
        <v>65</v>
      </c>
      <c r="H263" s="62">
        <v>64</v>
      </c>
      <c r="I263" s="62">
        <v>62</v>
      </c>
      <c r="J263" s="62">
        <v>61</v>
      </c>
      <c r="K263" s="62">
        <v>78</v>
      </c>
      <c r="L263" s="62">
        <v>54</v>
      </c>
      <c r="M263" s="62">
        <v>65</v>
      </c>
      <c r="N263" s="62">
        <v>52</v>
      </c>
      <c r="O263" s="62">
        <v>56</v>
      </c>
      <c r="P263" s="62">
        <v>64</v>
      </c>
      <c r="Q263" s="62">
        <v>59</v>
      </c>
      <c r="R263" s="62">
        <v>64</v>
      </c>
      <c r="S263" s="62">
        <v>57</v>
      </c>
      <c r="T263" s="62">
        <v>47</v>
      </c>
      <c r="U263" s="62">
        <v>62</v>
      </c>
      <c r="V263" s="62">
        <v>47</v>
      </c>
      <c r="W263" s="62">
        <v>56</v>
      </c>
      <c r="X263" s="62">
        <v>58</v>
      </c>
      <c r="Y263" s="62">
        <v>69</v>
      </c>
      <c r="Z263" s="62">
        <v>57</v>
      </c>
      <c r="AA263" s="62">
        <v>58</v>
      </c>
      <c r="AB263" s="62">
        <v>62</v>
      </c>
      <c r="AC263" s="62">
        <v>51</v>
      </c>
      <c r="AD263" s="62">
        <v>60</v>
      </c>
      <c r="AE263" s="62">
        <v>49</v>
      </c>
      <c r="AF263" s="62">
        <v>54</v>
      </c>
      <c r="AG263" s="62">
        <v>64</v>
      </c>
      <c r="AH263" s="62">
        <v>63</v>
      </c>
      <c r="AI263" s="62">
        <v>59</v>
      </c>
      <c r="AJ263" s="62">
        <v>55</v>
      </c>
      <c r="AK263" s="62">
        <v>55</v>
      </c>
      <c r="AL263" s="62">
        <v>41</v>
      </c>
      <c r="AM263" s="62">
        <v>33</v>
      </c>
      <c r="AN263" s="62">
        <v>47</v>
      </c>
      <c r="AO263" s="62">
        <v>56</v>
      </c>
      <c r="AP263" s="62">
        <v>47</v>
      </c>
      <c r="AQ263" s="62">
        <v>45</v>
      </c>
      <c r="AR263" s="62">
        <v>41</v>
      </c>
      <c r="AS263" s="62">
        <v>43</v>
      </c>
      <c r="AT263" s="62">
        <v>45</v>
      </c>
      <c r="AU263" s="62">
        <v>31</v>
      </c>
      <c r="AV263" s="62">
        <v>37</v>
      </c>
      <c r="AW263" s="62">
        <v>34</v>
      </c>
      <c r="AX263" s="62">
        <v>39</v>
      </c>
      <c r="AY263" s="62">
        <v>35</v>
      </c>
      <c r="AZ263" s="62">
        <v>40</v>
      </c>
      <c r="BA263" s="62">
        <v>23</v>
      </c>
      <c r="BB263" s="62">
        <v>40</v>
      </c>
      <c r="BC263" s="62">
        <v>43</v>
      </c>
      <c r="BD263" s="62">
        <v>38</v>
      </c>
      <c r="BE263" s="62">
        <v>33</v>
      </c>
      <c r="BF263" s="62">
        <v>38</v>
      </c>
      <c r="BG263" s="62">
        <v>34</v>
      </c>
      <c r="BH263" s="62">
        <v>46</v>
      </c>
    </row>
    <row r="264" spans="2:60" hidden="1" x14ac:dyDescent="0.2">
      <c r="B264" s="59"/>
      <c r="C264" s="59" t="s">
        <v>681</v>
      </c>
      <c r="D264" s="59" t="s">
        <v>653</v>
      </c>
      <c r="E264" s="63">
        <v>32</v>
      </c>
      <c r="F264" s="63">
        <v>33</v>
      </c>
      <c r="G264" s="63">
        <v>38</v>
      </c>
      <c r="H264" s="63">
        <v>18</v>
      </c>
      <c r="I264" s="63">
        <v>29</v>
      </c>
      <c r="J264" s="63">
        <v>41</v>
      </c>
      <c r="K264" s="63">
        <v>41</v>
      </c>
      <c r="L264" s="63">
        <v>22</v>
      </c>
      <c r="M264" s="63">
        <v>31</v>
      </c>
      <c r="N264" s="63">
        <v>41</v>
      </c>
      <c r="O264" s="63">
        <v>35</v>
      </c>
      <c r="P264" s="63">
        <v>37</v>
      </c>
      <c r="Q264" s="63">
        <v>31</v>
      </c>
      <c r="R264" s="63">
        <v>21</v>
      </c>
      <c r="S264" s="63">
        <v>25</v>
      </c>
      <c r="T264" s="63">
        <v>34</v>
      </c>
      <c r="U264" s="63">
        <v>40</v>
      </c>
      <c r="V264" s="63">
        <v>43</v>
      </c>
      <c r="W264" s="63">
        <v>39</v>
      </c>
      <c r="X264" s="63">
        <v>33</v>
      </c>
      <c r="Y264" s="63">
        <v>46</v>
      </c>
      <c r="Z264" s="63">
        <v>30</v>
      </c>
      <c r="AA264" s="63">
        <v>39</v>
      </c>
      <c r="AB264" s="63">
        <v>37</v>
      </c>
      <c r="AC264" s="63">
        <v>38</v>
      </c>
      <c r="AD264" s="63">
        <v>23</v>
      </c>
      <c r="AE264" s="63">
        <v>38</v>
      </c>
      <c r="AF264" s="63">
        <v>33</v>
      </c>
      <c r="AG264" s="63">
        <v>31</v>
      </c>
      <c r="AH264" s="63">
        <v>37</v>
      </c>
      <c r="AI264" s="63">
        <v>20</v>
      </c>
      <c r="AJ264" s="63">
        <v>45</v>
      </c>
      <c r="AK264" s="63">
        <v>25</v>
      </c>
      <c r="AL264" s="63">
        <v>28</v>
      </c>
      <c r="AM264" s="63">
        <v>22</v>
      </c>
      <c r="AN264" s="63">
        <v>30</v>
      </c>
      <c r="AO264" s="63">
        <v>30</v>
      </c>
      <c r="AP264" s="63">
        <v>23</v>
      </c>
      <c r="AQ264" s="63">
        <v>26</v>
      </c>
      <c r="AR264" s="63">
        <v>16</v>
      </c>
      <c r="AS264" s="63">
        <v>28</v>
      </c>
      <c r="AT264" s="63">
        <v>28</v>
      </c>
      <c r="AU264" s="63">
        <v>16</v>
      </c>
      <c r="AV264" s="63">
        <v>25</v>
      </c>
      <c r="AW264" s="63">
        <v>14</v>
      </c>
      <c r="AX264" s="63">
        <v>33</v>
      </c>
      <c r="AY264" s="63">
        <v>28</v>
      </c>
      <c r="AZ264" s="63">
        <v>25</v>
      </c>
      <c r="BA264" s="63">
        <v>25</v>
      </c>
      <c r="BB264" s="63">
        <v>21</v>
      </c>
      <c r="BC264" s="63">
        <v>23</v>
      </c>
      <c r="BD264" s="63">
        <v>22</v>
      </c>
      <c r="BE264" s="63">
        <v>17</v>
      </c>
      <c r="BF264" s="63">
        <v>17</v>
      </c>
      <c r="BG264" s="63">
        <v>18</v>
      </c>
      <c r="BH264" s="63">
        <v>32</v>
      </c>
    </row>
    <row r="265" spans="2:60" hidden="1" x14ac:dyDescent="0.2">
      <c r="B265" s="57"/>
      <c r="C265" s="57" t="s">
        <v>681</v>
      </c>
      <c r="D265" s="57" t="s">
        <v>654</v>
      </c>
      <c r="E265" s="62"/>
      <c r="F265" s="62"/>
      <c r="G265" s="62"/>
      <c r="H265" s="62">
        <v>1</v>
      </c>
      <c r="I265" s="62"/>
      <c r="J265" s="62">
        <v>1</v>
      </c>
      <c r="K265" s="62">
        <v>1</v>
      </c>
      <c r="L265" s="62"/>
      <c r="M265" s="62">
        <v>1</v>
      </c>
      <c r="N265" s="62">
        <v>2</v>
      </c>
      <c r="O265" s="62"/>
      <c r="P265" s="62"/>
      <c r="Q265" s="62"/>
      <c r="R265" s="62"/>
      <c r="S265" s="62"/>
      <c r="T265" s="62">
        <v>1</v>
      </c>
      <c r="U265" s="62"/>
      <c r="V265" s="62">
        <v>2</v>
      </c>
      <c r="W265" s="62"/>
      <c r="X265" s="62"/>
      <c r="Y265" s="62"/>
      <c r="Z265" s="62">
        <v>1</v>
      </c>
      <c r="AA265" s="62">
        <v>4</v>
      </c>
      <c r="AB265" s="62">
        <v>3</v>
      </c>
      <c r="AC265" s="62">
        <v>3</v>
      </c>
      <c r="AD265" s="62">
        <v>1</v>
      </c>
      <c r="AE265" s="62">
        <v>1</v>
      </c>
      <c r="AF265" s="62">
        <v>1</v>
      </c>
      <c r="AG265" s="62"/>
      <c r="AH265" s="62"/>
      <c r="AI265" s="62">
        <v>1</v>
      </c>
      <c r="AJ265" s="62">
        <v>1</v>
      </c>
      <c r="AK265" s="62">
        <v>1</v>
      </c>
      <c r="AL265" s="62">
        <v>1</v>
      </c>
      <c r="AM265" s="62"/>
      <c r="AN265" s="62"/>
      <c r="AO265" s="62">
        <v>1</v>
      </c>
      <c r="AP265" s="62">
        <v>1</v>
      </c>
      <c r="AQ265" s="62"/>
      <c r="AR265" s="62"/>
      <c r="AS265" s="62">
        <v>1</v>
      </c>
      <c r="AT265" s="62"/>
      <c r="AU265" s="62">
        <v>2</v>
      </c>
      <c r="AV265" s="62"/>
      <c r="AW265" s="62"/>
      <c r="AX265" s="62"/>
      <c r="AY265" s="62">
        <v>1</v>
      </c>
      <c r="AZ265" s="62">
        <v>1</v>
      </c>
      <c r="BA265" s="62"/>
      <c r="BB265" s="62"/>
      <c r="BC265" s="62"/>
      <c r="BD265" s="62"/>
      <c r="BE265" s="62"/>
      <c r="BF265" s="62">
        <v>2</v>
      </c>
      <c r="BG265" s="62"/>
      <c r="BH265" s="62"/>
    </row>
    <row r="266" spans="2:60" hidden="1" x14ac:dyDescent="0.2">
      <c r="B266" s="59"/>
      <c r="C266" s="59" t="s">
        <v>681</v>
      </c>
      <c r="D266" s="59" t="s">
        <v>655</v>
      </c>
      <c r="E266" s="63"/>
      <c r="F266" s="63"/>
      <c r="G266" s="63"/>
      <c r="H266" s="63"/>
      <c r="I266" s="63"/>
      <c r="J266" s="63"/>
      <c r="K266" s="63"/>
      <c r="L266" s="63">
        <v>1</v>
      </c>
      <c r="M266" s="63"/>
      <c r="N266" s="63"/>
      <c r="O266" s="63"/>
      <c r="P266" s="63"/>
      <c r="Q266" s="63"/>
      <c r="R266" s="63"/>
      <c r="S266" s="63">
        <v>1</v>
      </c>
      <c r="T266" s="63">
        <v>2</v>
      </c>
      <c r="U266" s="63">
        <v>1</v>
      </c>
      <c r="V266" s="63"/>
      <c r="W266" s="63">
        <v>1</v>
      </c>
      <c r="X266" s="63">
        <v>2</v>
      </c>
      <c r="Y266" s="63"/>
      <c r="Z266" s="63">
        <v>2</v>
      </c>
      <c r="AA266" s="63"/>
      <c r="AB266" s="63"/>
      <c r="AC266" s="63">
        <v>1</v>
      </c>
      <c r="AD266" s="63"/>
      <c r="AE266" s="63"/>
      <c r="AF266" s="63"/>
      <c r="AG266" s="63"/>
      <c r="AH266" s="63"/>
      <c r="AI266" s="63">
        <v>2</v>
      </c>
      <c r="AJ266" s="63"/>
      <c r="AK266" s="63"/>
      <c r="AL266" s="63"/>
      <c r="AM266" s="63"/>
      <c r="AN266" s="63"/>
      <c r="AO266" s="63"/>
      <c r="AP266" s="63"/>
      <c r="AQ266" s="63"/>
      <c r="AR266" s="63"/>
      <c r="AS266" s="63"/>
      <c r="AT266" s="63"/>
      <c r="AU266" s="63">
        <v>1</v>
      </c>
      <c r="AV266" s="63"/>
      <c r="AW266" s="63"/>
      <c r="AX266" s="63">
        <v>2</v>
      </c>
      <c r="AY266" s="63">
        <v>1</v>
      </c>
      <c r="AZ266" s="63"/>
      <c r="BA266" s="63">
        <v>1</v>
      </c>
      <c r="BB266" s="63">
        <v>1</v>
      </c>
      <c r="BC266" s="63">
        <v>1</v>
      </c>
      <c r="BD266" s="63">
        <v>1</v>
      </c>
      <c r="BE266" s="63">
        <v>1</v>
      </c>
      <c r="BF266" s="63">
        <v>2</v>
      </c>
      <c r="BG266" s="63"/>
      <c r="BH266" s="63"/>
    </row>
    <row r="267" spans="2:60" hidden="1" x14ac:dyDescent="0.2">
      <c r="B267" s="57"/>
      <c r="C267" s="57" t="s">
        <v>681</v>
      </c>
      <c r="D267" s="57" t="s">
        <v>699</v>
      </c>
      <c r="E267" s="62">
        <v>27</v>
      </c>
      <c r="F267" s="62">
        <v>23</v>
      </c>
      <c r="G267" s="62">
        <v>27</v>
      </c>
      <c r="H267" s="62">
        <v>21</v>
      </c>
      <c r="I267" s="62">
        <v>19</v>
      </c>
      <c r="J267" s="62">
        <v>20</v>
      </c>
      <c r="K267" s="62">
        <v>23</v>
      </c>
      <c r="L267" s="62">
        <v>14</v>
      </c>
      <c r="M267" s="62">
        <v>26</v>
      </c>
      <c r="N267" s="62">
        <v>26</v>
      </c>
      <c r="O267" s="62">
        <v>22</v>
      </c>
      <c r="P267" s="62">
        <v>29</v>
      </c>
      <c r="Q267" s="62">
        <v>29</v>
      </c>
      <c r="R267" s="62">
        <v>26</v>
      </c>
      <c r="S267" s="62">
        <v>28</v>
      </c>
      <c r="T267" s="62">
        <v>33</v>
      </c>
      <c r="U267" s="62">
        <v>29</v>
      </c>
      <c r="V267" s="62">
        <v>20</v>
      </c>
      <c r="W267" s="62">
        <v>27</v>
      </c>
      <c r="X267" s="62">
        <v>7</v>
      </c>
      <c r="Y267" s="62">
        <v>15</v>
      </c>
      <c r="Z267" s="62">
        <v>25</v>
      </c>
      <c r="AA267" s="62">
        <v>17</v>
      </c>
      <c r="AB267" s="62">
        <v>20</v>
      </c>
      <c r="AC267" s="62">
        <v>23</v>
      </c>
      <c r="AD267" s="62">
        <v>10</v>
      </c>
      <c r="AE267" s="62">
        <v>15</v>
      </c>
      <c r="AF267" s="62">
        <v>15</v>
      </c>
      <c r="AG267" s="62">
        <v>15</v>
      </c>
      <c r="AH267" s="62">
        <v>17</v>
      </c>
      <c r="AI267" s="62">
        <v>8</v>
      </c>
      <c r="AJ267" s="62">
        <v>15</v>
      </c>
      <c r="AK267" s="62">
        <v>10</v>
      </c>
      <c r="AL267" s="62">
        <v>13</v>
      </c>
      <c r="AM267" s="62">
        <v>11</v>
      </c>
      <c r="AN267" s="62">
        <v>9</v>
      </c>
      <c r="AO267" s="62">
        <v>13</v>
      </c>
      <c r="AP267" s="62">
        <v>12</v>
      </c>
      <c r="AQ267" s="62">
        <v>32</v>
      </c>
      <c r="AR267" s="62">
        <v>13</v>
      </c>
      <c r="AS267" s="62">
        <v>17</v>
      </c>
      <c r="AT267" s="62">
        <v>10</v>
      </c>
      <c r="AU267" s="62">
        <v>17</v>
      </c>
      <c r="AV267" s="62">
        <v>14</v>
      </c>
      <c r="AW267" s="62">
        <v>18</v>
      </c>
      <c r="AX267" s="62">
        <v>9</v>
      </c>
      <c r="AY267" s="62">
        <v>10</v>
      </c>
      <c r="AZ267" s="62">
        <v>5</v>
      </c>
      <c r="BA267" s="62">
        <v>8</v>
      </c>
      <c r="BB267" s="62">
        <v>5</v>
      </c>
      <c r="BC267" s="62">
        <v>6</v>
      </c>
      <c r="BD267" s="62">
        <v>6</v>
      </c>
      <c r="BE267" s="62">
        <v>7</v>
      </c>
      <c r="BF267" s="62">
        <v>9</v>
      </c>
      <c r="BG267" s="62">
        <v>7</v>
      </c>
      <c r="BH267" s="62">
        <v>8</v>
      </c>
    </row>
    <row r="268" spans="2:60" hidden="1" x14ac:dyDescent="0.2">
      <c r="B268" s="59"/>
      <c r="C268" s="59" t="s">
        <v>681</v>
      </c>
      <c r="D268" s="59" t="s">
        <v>656</v>
      </c>
      <c r="E268" s="63">
        <v>208</v>
      </c>
      <c r="F268" s="63">
        <v>178</v>
      </c>
      <c r="G268" s="63">
        <v>208</v>
      </c>
      <c r="H268" s="63">
        <v>172</v>
      </c>
      <c r="I268" s="63">
        <v>182</v>
      </c>
      <c r="J268" s="63">
        <v>194</v>
      </c>
      <c r="K268" s="63">
        <v>220</v>
      </c>
      <c r="L268" s="63">
        <v>148</v>
      </c>
      <c r="M268" s="63">
        <v>187</v>
      </c>
      <c r="N268" s="63">
        <v>178</v>
      </c>
      <c r="O268" s="63">
        <v>178</v>
      </c>
      <c r="P268" s="63">
        <v>187</v>
      </c>
      <c r="Q268" s="63">
        <v>184</v>
      </c>
      <c r="R268" s="63">
        <v>173</v>
      </c>
      <c r="S268" s="63">
        <v>165</v>
      </c>
      <c r="T268" s="63">
        <v>183</v>
      </c>
      <c r="U268" s="63">
        <v>183</v>
      </c>
      <c r="V268" s="63">
        <v>189</v>
      </c>
      <c r="W268" s="63">
        <v>204</v>
      </c>
      <c r="X268" s="63">
        <v>168</v>
      </c>
      <c r="Y268" s="63">
        <v>223</v>
      </c>
      <c r="Z268" s="63">
        <v>185</v>
      </c>
      <c r="AA268" s="63">
        <v>184</v>
      </c>
      <c r="AB268" s="63">
        <v>191</v>
      </c>
      <c r="AC268" s="63">
        <v>183</v>
      </c>
      <c r="AD268" s="63">
        <v>163</v>
      </c>
      <c r="AE268" s="63">
        <v>162</v>
      </c>
      <c r="AF268" s="63">
        <v>173</v>
      </c>
      <c r="AG268" s="63">
        <v>182</v>
      </c>
      <c r="AH268" s="63">
        <v>182</v>
      </c>
      <c r="AI268" s="63">
        <v>156</v>
      </c>
      <c r="AJ268" s="63">
        <v>196</v>
      </c>
      <c r="AK268" s="63">
        <v>150</v>
      </c>
      <c r="AL268" s="63">
        <v>157</v>
      </c>
      <c r="AM268" s="63">
        <v>121</v>
      </c>
      <c r="AN268" s="63">
        <v>146</v>
      </c>
      <c r="AO268" s="63">
        <v>154</v>
      </c>
      <c r="AP268" s="63">
        <v>133</v>
      </c>
      <c r="AQ268" s="63">
        <v>151</v>
      </c>
      <c r="AR268" s="63">
        <v>126</v>
      </c>
      <c r="AS268" s="63">
        <v>134</v>
      </c>
      <c r="AT268" s="63">
        <v>150</v>
      </c>
      <c r="AU268" s="63">
        <v>118</v>
      </c>
      <c r="AV268" s="63">
        <v>131</v>
      </c>
      <c r="AW268" s="63">
        <v>110</v>
      </c>
      <c r="AX268" s="63">
        <v>129</v>
      </c>
      <c r="AY268" s="63">
        <v>131</v>
      </c>
      <c r="AZ268" s="63">
        <v>109</v>
      </c>
      <c r="BA268" s="63">
        <v>106</v>
      </c>
      <c r="BB268" s="63">
        <v>123</v>
      </c>
      <c r="BC268" s="63">
        <v>122</v>
      </c>
      <c r="BD268" s="63">
        <v>125</v>
      </c>
      <c r="BE268" s="63">
        <v>99</v>
      </c>
      <c r="BF268" s="63">
        <v>119</v>
      </c>
      <c r="BG268" s="63">
        <v>99</v>
      </c>
      <c r="BH268" s="63">
        <v>145</v>
      </c>
    </row>
    <row r="269" spans="2:60" hidden="1" x14ac:dyDescent="0.2">
      <c r="B269" s="57"/>
      <c r="C269" s="57" t="s">
        <v>682</v>
      </c>
      <c r="D269" s="57" t="s">
        <v>648</v>
      </c>
      <c r="E269" s="62">
        <v>120</v>
      </c>
      <c r="F269" s="62">
        <v>105</v>
      </c>
      <c r="G269" s="62">
        <v>110</v>
      </c>
      <c r="H269" s="62">
        <v>188</v>
      </c>
      <c r="I269" s="62">
        <v>138</v>
      </c>
      <c r="J269" s="62">
        <v>143</v>
      </c>
      <c r="K269" s="62">
        <v>150</v>
      </c>
      <c r="L269" s="62">
        <v>144</v>
      </c>
      <c r="M269" s="62">
        <v>141</v>
      </c>
      <c r="N269" s="62">
        <v>148</v>
      </c>
      <c r="O269" s="62">
        <v>155</v>
      </c>
      <c r="P269" s="62">
        <v>147</v>
      </c>
      <c r="Q269" s="62">
        <v>175</v>
      </c>
      <c r="R269" s="62">
        <v>141</v>
      </c>
      <c r="S269" s="62">
        <v>114</v>
      </c>
      <c r="T269" s="62">
        <v>147</v>
      </c>
      <c r="U269" s="62">
        <v>151</v>
      </c>
      <c r="V269" s="62">
        <v>122</v>
      </c>
      <c r="W269" s="62">
        <v>170</v>
      </c>
      <c r="X269" s="62">
        <v>133</v>
      </c>
      <c r="Y269" s="62">
        <v>160</v>
      </c>
      <c r="Z269" s="62">
        <v>133</v>
      </c>
      <c r="AA269" s="62">
        <v>159</v>
      </c>
      <c r="AB269" s="62">
        <v>136</v>
      </c>
      <c r="AC269" s="62">
        <v>138</v>
      </c>
      <c r="AD269" s="62">
        <v>163</v>
      </c>
      <c r="AE269" s="62">
        <v>137</v>
      </c>
      <c r="AF269" s="62">
        <v>158</v>
      </c>
      <c r="AG269" s="62">
        <v>143</v>
      </c>
      <c r="AH269" s="62">
        <v>152</v>
      </c>
      <c r="AI269" s="62">
        <v>149</v>
      </c>
      <c r="AJ269" s="62">
        <v>178</v>
      </c>
      <c r="AK269" s="62">
        <v>158</v>
      </c>
      <c r="AL269" s="62">
        <v>172</v>
      </c>
      <c r="AM269" s="62">
        <v>149</v>
      </c>
      <c r="AN269" s="62">
        <v>126</v>
      </c>
      <c r="AO269" s="62">
        <v>145</v>
      </c>
      <c r="AP269" s="62">
        <v>187</v>
      </c>
      <c r="AQ269" s="62">
        <v>186</v>
      </c>
      <c r="AR269" s="62">
        <v>145</v>
      </c>
      <c r="AS269" s="62">
        <v>113</v>
      </c>
      <c r="AT269" s="62">
        <v>179</v>
      </c>
      <c r="AU269" s="62">
        <v>101</v>
      </c>
      <c r="AV269" s="62">
        <v>103</v>
      </c>
      <c r="AW269" s="62">
        <v>92</v>
      </c>
      <c r="AX269" s="62">
        <v>145</v>
      </c>
      <c r="AY269" s="62">
        <v>147</v>
      </c>
      <c r="AZ269" s="62">
        <v>125</v>
      </c>
      <c r="BA269" s="62">
        <v>123</v>
      </c>
      <c r="BB269" s="62">
        <v>133</v>
      </c>
      <c r="BC269" s="62">
        <v>139</v>
      </c>
      <c r="BD269" s="62">
        <v>124</v>
      </c>
      <c r="BE269" s="62">
        <v>138</v>
      </c>
      <c r="BF269" s="62">
        <v>182</v>
      </c>
      <c r="BG269" s="62">
        <v>154</v>
      </c>
      <c r="BH269" s="62">
        <v>261</v>
      </c>
    </row>
    <row r="270" spans="2:60" x14ac:dyDescent="0.2">
      <c r="B270" s="59"/>
      <c r="C270" s="59" t="s">
        <v>682</v>
      </c>
      <c r="D270" s="59" t="s">
        <v>649</v>
      </c>
      <c r="E270" s="63">
        <v>506</v>
      </c>
      <c r="F270" s="63">
        <v>420</v>
      </c>
      <c r="G270" s="63">
        <v>451</v>
      </c>
      <c r="H270" s="63">
        <v>444</v>
      </c>
      <c r="I270" s="63">
        <v>479</v>
      </c>
      <c r="J270" s="63">
        <v>432</v>
      </c>
      <c r="K270" s="63">
        <v>448</v>
      </c>
      <c r="L270" s="63">
        <v>408</v>
      </c>
      <c r="M270" s="63">
        <v>477</v>
      </c>
      <c r="N270" s="63">
        <v>460</v>
      </c>
      <c r="O270" s="63">
        <v>548</v>
      </c>
      <c r="P270" s="63">
        <v>454</v>
      </c>
      <c r="Q270" s="63">
        <v>454</v>
      </c>
      <c r="R270" s="63">
        <v>445</v>
      </c>
      <c r="S270" s="63">
        <v>491</v>
      </c>
      <c r="T270" s="63">
        <v>429</v>
      </c>
      <c r="U270" s="63">
        <v>482</v>
      </c>
      <c r="V270" s="63">
        <v>485</v>
      </c>
      <c r="W270" s="63">
        <v>494</v>
      </c>
      <c r="X270" s="63">
        <v>411</v>
      </c>
      <c r="Y270" s="63">
        <v>512</v>
      </c>
      <c r="Z270" s="63">
        <v>421</v>
      </c>
      <c r="AA270" s="63">
        <v>444</v>
      </c>
      <c r="AB270" s="63">
        <v>447</v>
      </c>
      <c r="AC270" s="63">
        <v>505</v>
      </c>
      <c r="AD270" s="63">
        <v>450</v>
      </c>
      <c r="AE270" s="63">
        <v>428</v>
      </c>
      <c r="AF270" s="63">
        <v>510</v>
      </c>
      <c r="AG270" s="63">
        <v>408</v>
      </c>
      <c r="AH270" s="63">
        <v>421</v>
      </c>
      <c r="AI270" s="63">
        <v>450</v>
      </c>
      <c r="AJ270" s="63">
        <v>532</v>
      </c>
      <c r="AK270" s="63">
        <v>450</v>
      </c>
      <c r="AL270" s="63">
        <v>523</v>
      </c>
      <c r="AM270" s="63">
        <v>456</v>
      </c>
      <c r="AN270" s="63">
        <v>425</v>
      </c>
      <c r="AO270" s="63">
        <v>374</v>
      </c>
      <c r="AP270" s="63">
        <v>379</v>
      </c>
      <c r="AQ270" s="63">
        <v>400</v>
      </c>
      <c r="AR270" s="63">
        <v>403</v>
      </c>
      <c r="AS270" s="63">
        <v>361</v>
      </c>
      <c r="AT270" s="63">
        <v>329</v>
      </c>
      <c r="AU270" s="63">
        <v>303</v>
      </c>
      <c r="AV270" s="63">
        <v>288</v>
      </c>
      <c r="AW270" s="63">
        <v>290</v>
      </c>
      <c r="AX270" s="63">
        <v>354</v>
      </c>
      <c r="AY270" s="63">
        <v>335</v>
      </c>
      <c r="AZ270" s="63">
        <v>296</v>
      </c>
      <c r="BA270" s="63">
        <v>299</v>
      </c>
      <c r="BB270" s="63">
        <v>342</v>
      </c>
      <c r="BC270" s="63">
        <v>314</v>
      </c>
      <c r="BD270" s="63">
        <v>296</v>
      </c>
      <c r="BE270" s="63">
        <v>320</v>
      </c>
      <c r="BF270" s="63">
        <v>338</v>
      </c>
      <c r="BG270" s="63">
        <v>364</v>
      </c>
      <c r="BH270" s="63">
        <v>403</v>
      </c>
    </row>
    <row r="271" spans="2:60" hidden="1" x14ac:dyDescent="0.2">
      <c r="B271" s="57"/>
      <c r="C271" s="57" t="s">
        <v>682</v>
      </c>
      <c r="D271" s="57" t="s">
        <v>650</v>
      </c>
      <c r="E271" s="62">
        <v>292</v>
      </c>
      <c r="F271" s="62">
        <v>232</v>
      </c>
      <c r="G271" s="62">
        <v>208</v>
      </c>
      <c r="H271" s="62">
        <v>246</v>
      </c>
      <c r="I271" s="62">
        <v>290</v>
      </c>
      <c r="J271" s="62">
        <v>239</v>
      </c>
      <c r="K271" s="62">
        <v>256</v>
      </c>
      <c r="L271" s="62">
        <v>291</v>
      </c>
      <c r="M271" s="62">
        <v>254</v>
      </c>
      <c r="N271" s="62">
        <v>245</v>
      </c>
      <c r="O271" s="62">
        <v>323</v>
      </c>
      <c r="P271" s="62">
        <v>284</v>
      </c>
      <c r="Q271" s="62">
        <v>262</v>
      </c>
      <c r="R271" s="62">
        <v>255</v>
      </c>
      <c r="S271" s="62">
        <v>337</v>
      </c>
      <c r="T271" s="62">
        <v>277</v>
      </c>
      <c r="U271" s="62">
        <v>274</v>
      </c>
      <c r="V271" s="62">
        <v>265</v>
      </c>
      <c r="W271" s="62">
        <v>272</v>
      </c>
      <c r="X271" s="62">
        <v>244</v>
      </c>
      <c r="Y271" s="62">
        <v>311</v>
      </c>
      <c r="Z271" s="62">
        <v>254</v>
      </c>
      <c r="AA271" s="62">
        <v>249</v>
      </c>
      <c r="AB271" s="62">
        <v>245</v>
      </c>
      <c r="AC271" s="62">
        <v>254</v>
      </c>
      <c r="AD271" s="62">
        <v>320</v>
      </c>
      <c r="AE271" s="62">
        <v>258</v>
      </c>
      <c r="AF271" s="62">
        <v>285</v>
      </c>
      <c r="AG271" s="62">
        <v>237</v>
      </c>
      <c r="AH271" s="62">
        <v>275</v>
      </c>
      <c r="AI271" s="62">
        <v>267</v>
      </c>
      <c r="AJ271" s="62">
        <v>332</v>
      </c>
      <c r="AK271" s="62">
        <v>278</v>
      </c>
      <c r="AL271" s="62">
        <v>270</v>
      </c>
      <c r="AM271" s="62">
        <v>285</v>
      </c>
      <c r="AN271" s="62">
        <v>279</v>
      </c>
      <c r="AO271" s="62">
        <v>217</v>
      </c>
      <c r="AP271" s="62">
        <v>211</v>
      </c>
      <c r="AQ271" s="62">
        <v>213</v>
      </c>
      <c r="AR271" s="62">
        <v>202</v>
      </c>
      <c r="AS271" s="62">
        <v>173</v>
      </c>
      <c r="AT271" s="62">
        <v>169</v>
      </c>
      <c r="AU271" s="62">
        <v>168</v>
      </c>
      <c r="AV271" s="62">
        <v>156</v>
      </c>
      <c r="AW271" s="62">
        <v>176</v>
      </c>
      <c r="AX271" s="62">
        <v>189</v>
      </c>
      <c r="AY271" s="62">
        <v>206</v>
      </c>
      <c r="AZ271" s="62">
        <v>188</v>
      </c>
      <c r="BA271" s="62">
        <v>219</v>
      </c>
      <c r="BB271" s="62">
        <v>197</v>
      </c>
      <c r="BC271" s="62">
        <v>205</v>
      </c>
      <c r="BD271" s="62">
        <v>197</v>
      </c>
      <c r="BE271" s="62">
        <v>227</v>
      </c>
      <c r="BF271" s="62">
        <v>208</v>
      </c>
      <c r="BG271" s="62">
        <v>234</v>
      </c>
      <c r="BH271" s="62">
        <v>250</v>
      </c>
    </row>
    <row r="272" spans="2:60" hidden="1" x14ac:dyDescent="0.2">
      <c r="B272" s="59"/>
      <c r="C272" s="59" t="s">
        <v>682</v>
      </c>
      <c r="D272" s="59" t="s">
        <v>651</v>
      </c>
      <c r="E272" s="63">
        <v>163</v>
      </c>
      <c r="F272" s="63">
        <v>137</v>
      </c>
      <c r="G272" s="63">
        <v>132</v>
      </c>
      <c r="H272" s="63">
        <v>146</v>
      </c>
      <c r="I272" s="63">
        <v>149</v>
      </c>
      <c r="J272" s="63">
        <v>147</v>
      </c>
      <c r="K272" s="63">
        <v>168</v>
      </c>
      <c r="L272" s="63">
        <v>126</v>
      </c>
      <c r="M272" s="63">
        <v>152</v>
      </c>
      <c r="N272" s="63">
        <v>178</v>
      </c>
      <c r="O272" s="63">
        <v>142</v>
      </c>
      <c r="P272" s="63">
        <v>147</v>
      </c>
      <c r="Q272" s="63">
        <v>142</v>
      </c>
      <c r="R272" s="63">
        <v>158</v>
      </c>
      <c r="S272" s="63">
        <v>165</v>
      </c>
      <c r="T272" s="63">
        <v>153</v>
      </c>
      <c r="U272" s="63">
        <v>161</v>
      </c>
      <c r="V272" s="63">
        <v>140</v>
      </c>
      <c r="W272" s="63">
        <v>141</v>
      </c>
      <c r="X272" s="63">
        <v>138</v>
      </c>
      <c r="Y272" s="63">
        <v>171</v>
      </c>
      <c r="Z272" s="63">
        <v>132</v>
      </c>
      <c r="AA272" s="63">
        <v>166</v>
      </c>
      <c r="AB272" s="63">
        <v>149</v>
      </c>
      <c r="AC272" s="63">
        <v>155</v>
      </c>
      <c r="AD272" s="63">
        <v>164</v>
      </c>
      <c r="AE272" s="63">
        <v>153</v>
      </c>
      <c r="AF272" s="63">
        <v>160</v>
      </c>
      <c r="AG272" s="63">
        <v>151</v>
      </c>
      <c r="AH272" s="63">
        <v>146</v>
      </c>
      <c r="AI272" s="63">
        <v>142</v>
      </c>
      <c r="AJ272" s="63">
        <v>191</v>
      </c>
      <c r="AK272" s="63">
        <v>137</v>
      </c>
      <c r="AL272" s="63">
        <v>155</v>
      </c>
      <c r="AM272" s="63">
        <v>120</v>
      </c>
      <c r="AN272" s="63">
        <v>127</v>
      </c>
      <c r="AO272" s="63">
        <v>133</v>
      </c>
      <c r="AP272" s="63">
        <v>123</v>
      </c>
      <c r="AQ272" s="63">
        <v>144</v>
      </c>
      <c r="AR272" s="63">
        <v>125</v>
      </c>
      <c r="AS272" s="63">
        <v>111</v>
      </c>
      <c r="AT272" s="63">
        <v>119</v>
      </c>
      <c r="AU272" s="63">
        <v>92</v>
      </c>
      <c r="AV272" s="63">
        <v>92</v>
      </c>
      <c r="AW272" s="63">
        <v>93</v>
      </c>
      <c r="AX272" s="63">
        <v>135</v>
      </c>
      <c r="AY272" s="63">
        <v>117</v>
      </c>
      <c r="AZ272" s="63">
        <v>97</v>
      </c>
      <c r="BA272" s="63">
        <v>142</v>
      </c>
      <c r="BB272" s="63">
        <v>126</v>
      </c>
      <c r="BC272" s="63">
        <v>129</v>
      </c>
      <c r="BD272" s="63">
        <v>129</v>
      </c>
      <c r="BE272" s="63">
        <v>147</v>
      </c>
      <c r="BF272" s="63">
        <v>171</v>
      </c>
      <c r="BG272" s="63">
        <v>171</v>
      </c>
      <c r="BH272" s="63">
        <v>162</v>
      </c>
    </row>
    <row r="273" spans="2:60" x14ac:dyDescent="0.2">
      <c r="B273" s="57"/>
      <c r="C273" s="57" t="s">
        <v>682</v>
      </c>
      <c r="D273" s="57" t="s">
        <v>652</v>
      </c>
      <c r="E273" s="62">
        <v>1219</v>
      </c>
      <c r="F273" s="62">
        <v>1076</v>
      </c>
      <c r="G273" s="62">
        <v>1139</v>
      </c>
      <c r="H273" s="62">
        <v>1048</v>
      </c>
      <c r="I273" s="62">
        <v>1166</v>
      </c>
      <c r="J273" s="62">
        <v>1053</v>
      </c>
      <c r="K273" s="62">
        <v>1145</v>
      </c>
      <c r="L273" s="62">
        <v>1016</v>
      </c>
      <c r="M273" s="62">
        <v>1121</v>
      </c>
      <c r="N273" s="62">
        <v>1022</v>
      </c>
      <c r="O273" s="62">
        <v>1087</v>
      </c>
      <c r="P273" s="62">
        <v>1062</v>
      </c>
      <c r="Q273" s="62">
        <v>1090</v>
      </c>
      <c r="R273" s="62">
        <v>1000</v>
      </c>
      <c r="S273" s="62">
        <v>1084</v>
      </c>
      <c r="T273" s="62">
        <v>982</v>
      </c>
      <c r="U273" s="62">
        <v>1063</v>
      </c>
      <c r="V273" s="62">
        <v>1041</v>
      </c>
      <c r="W273" s="62">
        <v>1038</v>
      </c>
      <c r="X273" s="62">
        <v>927</v>
      </c>
      <c r="Y273" s="62">
        <v>1134</v>
      </c>
      <c r="Z273" s="62">
        <v>1053</v>
      </c>
      <c r="AA273" s="62">
        <v>1126</v>
      </c>
      <c r="AB273" s="62">
        <v>965</v>
      </c>
      <c r="AC273" s="62">
        <v>1065</v>
      </c>
      <c r="AD273" s="62">
        <v>1072</v>
      </c>
      <c r="AE273" s="62">
        <v>1054</v>
      </c>
      <c r="AF273" s="62">
        <v>1089</v>
      </c>
      <c r="AG273" s="62">
        <v>1039</v>
      </c>
      <c r="AH273" s="62">
        <v>1010</v>
      </c>
      <c r="AI273" s="62">
        <v>979</v>
      </c>
      <c r="AJ273" s="62">
        <v>1178</v>
      </c>
      <c r="AK273" s="62">
        <v>930</v>
      </c>
      <c r="AL273" s="62">
        <v>1154</v>
      </c>
      <c r="AM273" s="62">
        <v>931</v>
      </c>
      <c r="AN273" s="62">
        <v>902</v>
      </c>
      <c r="AO273" s="62">
        <v>906</v>
      </c>
      <c r="AP273" s="62">
        <v>881</v>
      </c>
      <c r="AQ273" s="62">
        <v>856</v>
      </c>
      <c r="AR273" s="62">
        <v>866</v>
      </c>
      <c r="AS273" s="62">
        <v>808</v>
      </c>
      <c r="AT273" s="62">
        <v>834</v>
      </c>
      <c r="AU273" s="62">
        <v>840</v>
      </c>
      <c r="AV273" s="62">
        <v>819</v>
      </c>
      <c r="AW273" s="62">
        <v>764</v>
      </c>
      <c r="AX273" s="62">
        <v>954</v>
      </c>
      <c r="AY273" s="62">
        <v>926</v>
      </c>
      <c r="AZ273" s="62">
        <v>820</v>
      </c>
      <c r="BA273" s="62">
        <v>871</v>
      </c>
      <c r="BB273" s="62">
        <v>957</v>
      </c>
      <c r="BC273" s="62">
        <v>927</v>
      </c>
      <c r="BD273" s="62">
        <v>883</v>
      </c>
      <c r="BE273" s="62">
        <v>915</v>
      </c>
      <c r="BF273" s="62">
        <v>963</v>
      </c>
      <c r="BG273" s="62">
        <v>959</v>
      </c>
      <c r="BH273" s="62">
        <v>992</v>
      </c>
    </row>
    <row r="274" spans="2:60" hidden="1" x14ac:dyDescent="0.2">
      <c r="B274" s="59"/>
      <c r="C274" s="59" t="s">
        <v>682</v>
      </c>
      <c r="D274" s="59" t="s">
        <v>653</v>
      </c>
      <c r="E274" s="63">
        <v>1453</v>
      </c>
      <c r="F274" s="63">
        <v>1363</v>
      </c>
      <c r="G274" s="63">
        <v>1475</v>
      </c>
      <c r="H274" s="63">
        <v>1418</v>
      </c>
      <c r="I274" s="63">
        <v>1532</v>
      </c>
      <c r="J274" s="63">
        <v>1268</v>
      </c>
      <c r="K274" s="63">
        <v>1394</v>
      </c>
      <c r="L274" s="63">
        <v>1395</v>
      </c>
      <c r="M274" s="63">
        <v>1474</v>
      </c>
      <c r="N274" s="63">
        <v>1280</v>
      </c>
      <c r="O274" s="63">
        <v>1404</v>
      </c>
      <c r="P274" s="63">
        <v>1347</v>
      </c>
      <c r="Q274" s="63">
        <v>1340</v>
      </c>
      <c r="R274" s="63">
        <v>1346</v>
      </c>
      <c r="S274" s="63">
        <v>1446</v>
      </c>
      <c r="T274" s="63">
        <v>1466</v>
      </c>
      <c r="U274" s="63">
        <v>1389</v>
      </c>
      <c r="V274" s="63">
        <v>1405</v>
      </c>
      <c r="W274" s="63">
        <v>1429</v>
      </c>
      <c r="X274" s="63">
        <v>1389</v>
      </c>
      <c r="Y274" s="63">
        <v>1507</v>
      </c>
      <c r="Z274" s="63">
        <v>1387</v>
      </c>
      <c r="AA274" s="63">
        <v>1488</v>
      </c>
      <c r="AB274" s="63">
        <v>1450</v>
      </c>
      <c r="AC274" s="63">
        <v>1554</v>
      </c>
      <c r="AD274" s="63">
        <v>1477</v>
      </c>
      <c r="AE274" s="63">
        <v>1486</v>
      </c>
      <c r="AF274" s="63">
        <v>1467</v>
      </c>
      <c r="AG274" s="63">
        <v>1463</v>
      </c>
      <c r="AH274" s="63">
        <v>1363</v>
      </c>
      <c r="AI274" s="63">
        <v>1318</v>
      </c>
      <c r="AJ274" s="63">
        <v>1582</v>
      </c>
      <c r="AK274" s="63">
        <v>1310</v>
      </c>
      <c r="AL274" s="63">
        <v>1395</v>
      </c>
      <c r="AM274" s="63">
        <v>1099</v>
      </c>
      <c r="AN274" s="63">
        <v>1091</v>
      </c>
      <c r="AO274" s="63">
        <v>1083</v>
      </c>
      <c r="AP274" s="63">
        <v>1036</v>
      </c>
      <c r="AQ274" s="63">
        <v>1106</v>
      </c>
      <c r="AR274" s="63">
        <v>1151</v>
      </c>
      <c r="AS274" s="63">
        <v>1082</v>
      </c>
      <c r="AT274" s="63">
        <v>1141</v>
      </c>
      <c r="AU274" s="63">
        <v>1087</v>
      </c>
      <c r="AV274" s="63">
        <v>1055</v>
      </c>
      <c r="AW274" s="63">
        <v>1027</v>
      </c>
      <c r="AX274" s="63">
        <v>1173</v>
      </c>
      <c r="AY274" s="63">
        <v>1416</v>
      </c>
      <c r="AZ274" s="63">
        <v>1381</v>
      </c>
      <c r="BA274" s="63">
        <v>1340</v>
      </c>
      <c r="BB274" s="63">
        <v>1262</v>
      </c>
      <c r="BC274" s="63">
        <v>1406</v>
      </c>
      <c r="BD274" s="63">
        <v>1379</v>
      </c>
      <c r="BE274" s="63">
        <v>1326</v>
      </c>
      <c r="BF274" s="63">
        <v>1363</v>
      </c>
      <c r="BG274" s="63">
        <v>1501</v>
      </c>
      <c r="BH274" s="63">
        <v>1441</v>
      </c>
    </row>
    <row r="275" spans="2:60" x14ac:dyDescent="0.2">
      <c r="B275" s="57"/>
      <c r="C275" s="57" t="s">
        <v>682</v>
      </c>
      <c r="D275" s="57" t="s">
        <v>654</v>
      </c>
      <c r="E275" s="62">
        <v>71</v>
      </c>
      <c r="F275" s="62">
        <v>100</v>
      </c>
      <c r="G275" s="62">
        <v>115</v>
      </c>
      <c r="H275" s="62">
        <v>93</v>
      </c>
      <c r="I275" s="62">
        <v>77</v>
      </c>
      <c r="J275" s="62">
        <v>83</v>
      </c>
      <c r="K275" s="62">
        <v>74</v>
      </c>
      <c r="L275" s="62">
        <v>82</v>
      </c>
      <c r="M275" s="62">
        <v>76</v>
      </c>
      <c r="N275" s="62">
        <v>84</v>
      </c>
      <c r="O275" s="62">
        <v>79</v>
      </c>
      <c r="P275" s="62">
        <v>76</v>
      </c>
      <c r="Q275" s="62">
        <v>71</v>
      </c>
      <c r="R275" s="62">
        <v>68</v>
      </c>
      <c r="S275" s="62">
        <v>64</v>
      </c>
      <c r="T275" s="62">
        <v>71</v>
      </c>
      <c r="U275" s="62">
        <v>72</v>
      </c>
      <c r="V275" s="62">
        <v>73</v>
      </c>
      <c r="W275" s="62">
        <v>82</v>
      </c>
      <c r="X275" s="62">
        <v>73</v>
      </c>
      <c r="Y275" s="62">
        <v>86</v>
      </c>
      <c r="Z275" s="62">
        <v>74</v>
      </c>
      <c r="AA275" s="62">
        <v>92</v>
      </c>
      <c r="AB275" s="62">
        <v>89</v>
      </c>
      <c r="AC275" s="62">
        <v>90</v>
      </c>
      <c r="AD275" s="62">
        <v>74</v>
      </c>
      <c r="AE275" s="62">
        <v>69</v>
      </c>
      <c r="AF275" s="62">
        <v>75</v>
      </c>
      <c r="AG275" s="62">
        <v>76</v>
      </c>
      <c r="AH275" s="62">
        <v>76</v>
      </c>
      <c r="AI275" s="62">
        <v>93</v>
      </c>
      <c r="AJ275" s="62">
        <v>85</v>
      </c>
      <c r="AK275" s="62">
        <v>73</v>
      </c>
      <c r="AL275" s="62">
        <v>76</v>
      </c>
      <c r="AM275" s="62">
        <v>86</v>
      </c>
      <c r="AN275" s="62">
        <v>71</v>
      </c>
      <c r="AO275" s="62">
        <v>82</v>
      </c>
      <c r="AP275" s="62">
        <v>61</v>
      </c>
      <c r="AQ275" s="62">
        <v>87</v>
      </c>
      <c r="AR275" s="62">
        <v>59</v>
      </c>
      <c r="AS275" s="62">
        <v>58</v>
      </c>
      <c r="AT275" s="62">
        <v>73</v>
      </c>
      <c r="AU275" s="62">
        <v>64</v>
      </c>
      <c r="AV275" s="62">
        <v>49</v>
      </c>
      <c r="AW275" s="62">
        <v>60</v>
      </c>
      <c r="AX275" s="62">
        <v>41</v>
      </c>
      <c r="AY275" s="62">
        <v>48</v>
      </c>
      <c r="AZ275" s="62">
        <v>53</v>
      </c>
      <c r="BA275" s="62">
        <v>63</v>
      </c>
      <c r="BB275" s="62">
        <v>51</v>
      </c>
      <c r="BC275" s="62">
        <v>60</v>
      </c>
      <c r="BD275" s="62">
        <v>60</v>
      </c>
      <c r="BE275" s="62">
        <v>59</v>
      </c>
      <c r="BF275" s="62">
        <v>61</v>
      </c>
      <c r="BG275" s="62">
        <v>63</v>
      </c>
      <c r="BH275" s="62">
        <v>73</v>
      </c>
    </row>
    <row r="276" spans="2:60" x14ac:dyDescent="0.2">
      <c r="B276" s="59"/>
      <c r="C276" s="59" t="s">
        <v>682</v>
      </c>
      <c r="D276" s="59" t="s">
        <v>655</v>
      </c>
      <c r="E276" s="63">
        <v>523</v>
      </c>
      <c r="F276" s="63">
        <v>505</v>
      </c>
      <c r="G276" s="63">
        <v>654</v>
      </c>
      <c r="H276" s="63">
        <v>487</v>
      </c>
      <c r="I276" s="63">
        <v>541</v>
      </c>
      <c r="J276" s="63">
        <v>475</v>
      </c>
      <c r="K276" s="63">
        <v>537</v>
      </c>
      <c r="L276" s="63">
        <v>505</v>
      </c>
      <c r="M276" s="63">
        <v>605</v>
      </c>
      <c r="N276" s="63">
        <v>476</v>
      </c>
      <c r="O276" s="63">
        <v>528</v>
      </c>
      <c r="P276" s="63">
        <v>578</v>
      </c>
      <c r="Q276" s="63">
        <v>639</v>
      </c>
      <c r="R276" s="63">
        <v>528</v>
      </c>
      <c r="S276" s="63">
        <v>623</v>
      </c>
      <c r="T276" s="63">
        <v>552</v>
      </c>
      <c r="U276" s="63">
        <v>700</v>
      </c>
      <c r="V276" s="63">
        <v>626</v>
      </c>
      <c r="W276" s="63">
        <v>705</v>
      </c>
      <c r="X276" s="63">
        <v>687</v>
      </c>
      <c r="Y276" s="63">
        <v>767</v>
      </c>
      <c r="Z276" s="63">
        <v>688</v>
      </c>
      <c r="AA276" s="63">
        <v>694</v>
      </c>
      <c r="AB276" s="63">
        <v>730</v>
      </c>
      <c r="AC276" s="63">
        <v>868</v>
      </c>
      <c r="AD276" s="63">
        <v>754</v>
      </c>
      <c r="AE276" s="63">
        <v>686</v>
      </c>
      <c r="AF276" s="63">
        <v>797</v>
      </c>
      <c r="AG276" s="63">
        <v>801</v>
      </c>
      <c r="AH276" s="63">
        <v>719</v>
      </c>
      <c r="AI276" s="63">
        <v>672</v>
      </c>
      <c r="AJ276" s="63">
        <v>832</v>
      </c>
      <c r="AK276" s="63">
        <v>879</v>
      </c>
      <c r="AL276" s="63">
        <v>743</v>
      </c>
      <c r="AM276" s="63">
        <v>834</v>
      </c>
      <c r="AN276" s="63">
        <v>704</v>
      </c>
      <c r="AO276" s="63">
        <v>669</v>
      </c>
      <c r="AP276" s="63">
        <v>597</v>
      </c>
      <c r="AQ276" s="63">
        <v>584</v>
      </c>
      <c r="AR276" s="63">
        <v>609</v>
      </c>
      <c r="AS276" s="63">
        <v>605</v>
      </c>
      <c r="AT276" s="63">
        <v>500</v>
      </c>
      <c r="AU276" s="63">
        <v>502</v>
      </c>
      <c r="AV276" s="63">
        <v>503</v>
      </c>
      <c r="AW276" s="63">
        <v>497</v>
      </c>
      <c r="AX276" s="63">
        <v>544</v>
      </c>
      <c r="AY276" s="63">
        <v>582</v>
      </c>
      <c r="AZ276" s="63">
        <v>469</v>
      </c>
      <c r="BA276" s="63">
        <v>631</v>
      </c>
      <c r="BB276" s="63">
        <v>581</v>
      </c>
      <c r="BC276" s="63">
        <v>522</v>
      </c>
      <c r="BD276" s="63">
        <v>506</v>
      </c>
      <c r="BE276" s="63">
        <v>491</v>
      </c>
      <c r="BF276" s="63">
        <v>473</v>
      </c>
      <c r="BG276" s="63">
        <v>559</v>
      </c>
      <c r="BH276" s="63">
        <v>535</v>
      </c>
    </row>
    <row r="277" spans="2:60" hidden="1" x14ac:dyDescent="0.2">
      <c r="B277" s="57"/>
      <c r="C277" s="57" t="s">
        <v>682</v>
      </c>
      <c r="D277" s="57" t="s">
        <v>699</v>
      </c>
      <c r="E277" s="62">
        <v>526</v>
      </c>
      <c r="F277" s="62">
        <v>450</v>
      </c>
      <c r="G277" s="62">
        <v>492</v>
      </c>
      <c r="H277" s="62">
        <v>466</v>
      </c>
      <c r="I277" s="62">
        <v>492</v>
      </c>
      <c r="J277" s="62">
        <v>471</v>
      </c>
      <c r="K277" s="62">
        <v>464</v>
      </c>
      <c r="L277" s="62">
        <v>432</v>
      </c>
      <c r="M277" s="62">
        <v>523</v>
      </c>
      <c r="N277" s="62">
        <v>491</v>
      </c>
      <c r="O277" s="62">
        <v>528</v>
      </c>
      <c r="P277" s="62">
        <v>473</v>
      </c>
      <c r="Q277" s="62">
        <v>622</v>
      </c>
      <c r="R277" s="62">
        <v>528</v>
      </c>
      <c r="S277" s="62">
        <v>592</v>
      </c>
      <c r="T277" s="62">
        <v>524</v>
      </c>
      <c r="U277" s="62">
        <v>584</v>
      </c>
      <c r="V277" s="62">
        <v>512</v>
      </c>
      <c r="W277" s="62">
        <v>789</v>
      </c>
      <c r="X277" s="62">
        <v>542</v>
      </c>
      <c r="Y277" s="62">
        <v>508</v>
      </c>
      <c r="Z277" s="62">
        <v>492</v>
      </c>
      <c r="AA277" s="62">
        <v>507</v>
      </c>
      <c r="AB277" s="62">
        <v>520</v>
      </c>
      <c r="AC277" s="62">
        <v>523</v>
      </c>
      <c r="AD277" s="62">
        <v>490</v>
      </c>
      <c r="AE277" s="62">
        <v>450</v>
      </c>
      <c r="AF277" s="62">
        <v>479</v>
      </c>
      <c r="AG277" s="62">
        <v>484</v>
      </c>
      <c r="AH277" s="62">
        <v>394</v>
      </c>
      <c r="AI277" s="62">
        <v>415</v>
      </c>
      <c r="AJ277" s="62">
        <v>472</v>
      </c>
      <c r="AK277" s="62">
        <v>398</v>
      </c>
      <c r="AL277" s="62">
        <v>431</v>
      </c>
      <c r="AM277" s="62">
        <v>365</v>
      </c>
      <c r="AN277" s="62">
        <v>371</v>
      </c>
      <c r="AO277" s="62">
        <v>355</v>
      </c>
      <c r="AP277" s="62">
        <v>385</v>
      </c>
      <c r="AQ277" s="62">
        <v>350</v>
      </c>
      <c r="AR277" s="62">
        <v>365</v>
      </c>
      <c r="AS277" s="62">
        <v>356</v>
      </c>
      <c r="AT277" s="62">
        <v>391</v>
      </c>
      <c r="AU277" s="62">
        <v>257</v>
      </c>
      <c r="AV277" s="62">
        <v>334</v>
      </c>
      <c r="AW277" s="62">
        <v>322</v>
      </c>
      <c r="AX277" s="62">
        <v>362</v>
      </c>
      <c r="AY277" s="62">
        <v>384</v>
      </c>
      <c r="AZ277" s="62">
        <v>298</v>
      </c>
      <c r="BA277" s="62">
        <v>426</v>
      </c>
      <c r="BB277" s="62">
        <v>524</v>
      </c>
      <c r="BC277" s="62">
        <v>412</v>
      </c>
      <c r="BD277" s="62">
        <v>461</v>
      </c>
      <c r="BE277" s="62">
        <v>454</v>
      </c>
      <c r="BF277" s="62">
        <v>478</v>
      </c>
      <c r="BG277" s="62">
        <v>489</v>
      </c>
      <c r="BH277" s="62">
        <v>531</v>
      </c>
    </row>
    <row r="278" spans="2:60" hidden="1" x14ac:dyDescent="0.2">
      <c r="B278" s="59"/>
      <c r="C278" s="59" t="s">
        <v>682</v>
      </c>
      <c r="D278" s="59" t="s">
        <v>656</v>
      </c>
      <c r="E278" s="63">
        <v>4873</v>
      </c>
      <c r="F278" s="63">
        <v>4388</v>
      </c>
      <c r="G278" s="63">
        <v>4776</v>
      </c>
      <c r="H278" s="63">
        <v>4536</v>
      </c>
      <c r="I278" s="63">
        <v>4864</v>
      </c>
      <c r="J278" s="63">
        <v>4311</v>
      </c>
      <c r="K278" s="63">
        <v>4636</v>
      </c>
      <c r="L278" s="63">
        <v>4399</v>
      </c>
      <c r="M278" s="63">
        <v>4823</v>
      </c>
      <c r="N278" s="63">
        <v>4384</v>
      </c>
      <c r="O278" s="63">
        <v>4794</v>
      </c>
      <c r="P278" s="63">
        <v>4568</v>
      </c>
      <c r="Q278" s="63">
        <v>4795</v>
      </c>
      <c r="R278" s="63">
        <v>4469</v>
      </c>
      <c r="S278" s="63">
        <v>4916</v>
      </c>
      <c r="T278" s="63">
        <v>4601</v>
      </c>
      <c r="U278" s="63">
        <v>4876</v>
      </c>
      <c r="V278" s="63">
        <v>4669</v>
      </c>
      <c r="W278" s="63">
        <v>5120</v>
      </c>
      <c r="X278" s="63">
        <v>4544</v>
      </c>
      <c r="Y278" s="63">
        <v>5156</v>
      </c>
      <c r="Z278" s="63">
        <v>4634</v>
      </c>
      <c r="AA278" s="63">
        <v>4925</v>
      </c>
      <c r="AB278" s="63">
        <v>4731</v>
      </c>
      <c r="AC278" s="63">
        <v>5152</v>
      </c>
      <c r="AD278" s="63">
        <v>4964</v>
      </c>
      <c r="AE278" s="63">
        <v>4721</v>
      </c>
      <c r="AF278" s="63">
        <v>5020</v>
      </c>
      <c r="AG278" s="63">
        <v>4802</v>
      </c>
      <c r="AH278" s="63">
        <v>4556</v>
      </c>
      <c r="AI278" s="63">
        <v>4485</v>
      </c>
      <c r="AJ278" s="63">
        <v>5382</v>
      </c>
      <c r="AK278" s="63">
        <v>4613</v>
      </c>
      <c r="AL278" s="63">
        <v>4919</v>
      </c>
      <c r="AM278" s="63">
        <v>4325</v>
      </c>
      <c r="AN278" s="63">
        <v>4096</v>
      </c>
      <c r="AO278" s="63">
        <v>3964</v>
      </c>
      <c r="AP278" s="63">
        <v>3860</v>
      </c>
      <c r="AQ278" s="63">
        <v>3926</v>
      </c>
      <c r="AR278" s="63">
        <v>3925</v>
      </c>
      <c r="AS278" s="63">
        <v>3667</v>
      </c>
      <c r="AT278" s="63">
        <v>3735</v>
      </c>
      <c r="AU278" s="63">
        <v>3414</v>
      </c>
      <c r="AV278" s="63">
        <v>3399</v>
      </c>
      <c r="AW278" s="63">
        <v>3321</v>
      </c>
      <c r="AX278" s="63">
        <v>3897</v>
      </c>
      <c r="AY278" s="63">
        <v>4161</v>
      </c>
      <c r="AZ278" s="63">
        <v>3727</v>
      </c>
      <c r="BA278" s="63">
        <v>4114</v>
      </c>
      <c r="BB278" s="63">
        <v>4173</v>
      </c>
      <c r="BC278" s="63">
        <v>4114</v>
      </c>
      <c r="BD278" s="63">
        <v>4035</v>
      </c>
      <c r="BE278" s="63">
        <v>4077</v>
      </c>
      <c r="BF278" s="63">
        <v>4237</v>
      </c>
      <c r="BG278" s="63">
        <v>4494</v>
      </c>
      <c r="BH278" s="63">
        <v>4648</v>
      </c>
    </row>
    <row r="279" spans="2:60" hidden="1" x14ac:dyDescent="0.2">
      <c r="B279" s="57"/>
      <c r="C279" s="57" t="s">
        <v>683</v>
      </c>
      <c r="D279" s="57" t="s">
        <v>648</v>
      </c>
      <c r="E279" s="62">
        <v>35</v>
      </c>
      <c r="F279" s="62">
        <v>34</v>
      </c>
      <c r="G279" s="62">
        <v>39</v>
      </c>
      <c r="H279" s="62">
        <v>47</v>
      </c>
      <c r="I279" s="62">
        <v>53</v>
      </c>
      <c r="J279" s="62">
        <v>49</v>
      </c>
      <c r="K279" s="62">
        <v>50</v>
      </c>
      <c r="L279" s="62">
        <v>45</v>
      </c>
      <c r="M279" s="62">
        <v>44</v>
      </c>
      <c r="N279" s="62">
        <v>57</v>
      </c>
      <c r="O279" s="62">
        <v>52</v>
      </c>
      <c r="P279" s="62">
        <v>33</v>
      </c>
      <c r="Q279" s="62">
        <v>45</v>
      </c>
      <c r="R279" s="62">
        <v>40</v>
      </c>
      <c r="S279" s="62">
        <v>63</v>
      </c>
      <c r="T279" s="62">
        <v>40</v>
      </c>
      <c r="U279" s="62">
        <v>53</v>
      </c>
      <c r="V279" s="62">
        <v>36</v>
      </c>
      <c r="W279" s="62">
        <v>41</v>
      </c>
      <c r="X279" s="62">
        <v>51</v>
      </c>
      <c r="Y279" s="62">
        <v>55</v>
      </c>
      <c r="Z279" s="62">
        <v>36</v>
      </c>
      <c r="AA279" s="62">
        <v>45</v>
      </c>
      <c r="AB279" s="62">
        <v>39</v>
      </c>
      <c r="AC279" s="62">
        <v>46</v>
      </c>
      <c r="AD279" s="62">
        <v>44</v>
      </c>
      <c r="AE279" s="62">
        <v>36</v>
      </c>
      <c r="AF279" s="62">
        <v>35</v>
      </c>
      <c r="AG279" s="62">
        <v>33</v>
      </c>
      <c r="AH279" s="62">
        <v>44</v>
      </c>
      <c r="AI279" s="62">
        <v>27</v>
      </c>
      <c r="AJ279" s="62">
        <v>45</v>
      </c>
      <c r="AK279" s="62">
        <v>22</v>
      </c>
      <c r="AL279" s="62">
        <v>53</v>
      </c>
      <c r="AM279" s="62">
        <v>35</v>
      </c>
      <c r="AN279" s="62">
        <v>45</v>
      </c>
      <c r="AO279" s="62">
        <v>37</v>
      </c>
      <c r="AP279" s="62">
        <v>33</v>
      </c>
      <c r="AQ279" s="62">
        <v>39</v>
      </c>
      <c r="AR279" s="62">
        <v>45</v>
      </c>
      <c r="AS279" s="62">
        <v>41</v>
      </c>
      <c r="AT279" s="62">
        <v>45</v>
      </c>
      <c r="AU279" s="62">
        <v>37</v>
      </c>
      <c r="AV279" s="62">
        <v>37</v>
      </c>
      <c r="AW279" s="62">
        <v>37</v>
      </c>
      <c r="AX279" s="62">
        <v>39</v>
      </c>
      <c r="AY279" s="62">
        <v>39</v>
      </c>
      <c r="AZ279" s="62">
        <v>31</v>
      </c>
      <c r="BA279" s="62">
        <v>35</v>
      </c>
      <c r="BB279" s="62">
        <v>35</v>
      </c>
      <c r="BC279" s="62">
        <v>40</v>
      </c>
      <c r="BD279" s="62">
        <v>30</v>
      </c>
      <c r="BE279" s="62">
        <v>20</v>
      </c>
      <c r="BF279" s="62">
        <v>28</v>
      </c>
      <c r="BG279" s="62">
        <v>37</v>
      </c>
      <c r="BH279" s="62">
        <v>28</v>
      </c>
    </row>
    <row r="280" spans="2:60" hidden="1" x14ac:dyDescent="0.2">
      <c r="B280" s="59"/>
      <c r="C280" s="59" t="s">
        <v>683</v>
      </c>
      <c r="D280" s="59" t="s">
        <v>649</v>
      </c>
      <c r="E280" s="63">
        <v>81</v>
      </c>
      <c r="F280" s="63">
        <v>73</v>
      </c>
      <c r="G280" s="63">
        <v>71</v>
      </c>
      <c r="H280" s="63">
        <v>65</v>
      </c>
      <c r="I280" s="63">
        <v>78</v>
      </c>
      <c r="J280" s="63">
        <v>76</v>
      </c>
      <c r="K280" s="63">
        <v>98</v>
      </c>
      <c r="L280" s="63">
        <v>75</v>
      </c>
      <c r="M280" s="63">
        <v>80</v>
      </c>
      <c r="N280" s="63">
        <v>80</v>
      </c>
      <c r="O280" s="63">
        <v>78</v>
      </c>
      <c r="P280" s="63">
        <v>70</v>
      </c>
      <c r="Q280" s="63">
        <v>94</v>
      </c>
      <c r="R280" s="63">
        <v>102</v>
      </c>
      <c r="S280" s="63">
        <v>89</v>
      </c>
      <c r="T280" s="63">
        <v>69</v>
      </c>
      <c r="U280" s="63">
        <v>77</v>
      </c>
      <c r="V280" s="63">
        <v>76</v>
      </c>
      <c r="W280" s="63">
        <v>69</v>
      </c>
      <c r="X280" s="63">
        <v>73</v>
      </c>
      <c r="Y280" s="63">
        <v>64</v>
      </c>
      <c r="Z280" s="63">
        <v>82</v>
      </c>
      <c r="AA280" s="63">
        <v>60</v>
      </c>
      <c r="AB280" s="63">
        <v>78</v>
      </c>
      <c r="AC280" s="63">
        <v>89</v>
      </c>
      <c r="AD280" s="63">
        <v>68</v>
      </c>
      <c r="AE280" s="63">
        <v>62</v>
      </c>
      <c r="AF280" s="63">
        <v>75</v>
      </c>
      <c r="AG280" s="63">
        <v>49</v>
      </c>
      <c r="AH280" s="63">
        <v>56</v>
      </c>
      <c r="AI280" s="63">
        <v>81</v>
      </c>
      <c r="AJ280" s="63">
        <v>72</v>
      </c>
      <c r="AK280" s="63">
        <v>54</v>
      </c>
      <c r="AL280" s="63">
        <v>70</v>
      </c>
      <c r="AM280" s="63">
        <v>34</v>
      </c>
      <c r="AN280" s="63">
        <v>54</v>
      </c>
      <c r="AO280" s="63">
        <v>50</v>
      </c>
      <c r="AP280" s="63">
        <v>65</v>
      </c>
      <c r="AQ280" s="63">
        <v>76</v>
      </c>
      <c r="AR280" s="63">
        <v>81</v>
      </c>
      <c r="AS280" s="63">
        <v>71</v>
      </c>
      <c r="AT280" s="63">
        <v>77</v>
      </c>
      <c r="AU280" s="63">
        <v>60</v>
      </c>
      <c r="AV280" s="63">
        <v>58</v>
      </c>
      <c r="AW280" s="63">
        <v>60</v>
      </c>
      <c r="AX280" s="63">
        <v>69</v>
      </c>
      <c r="AY280" s="63">
        <v>64</v>
      </c>
      <c r="AZ280" s="63">
        <v>50</v>
      </c>
      <c r="BA280" s="63">
        <v>56</v>
      </c>
      <c r="BB280" s="63">
        <v>69</v>
      </c>
      <c r="BC280" s="63">
        <v>67</v>
      </c>
      <c r="BD280" s="63">
        <v>50</v>
      </c>
      <c r="BE280" s="63">
        <v>57</v>
      </c>
      <c r="BF280" s="63">
        <v>51</v>
      </c>
      <c r="BG280" s="63">
        <v>55</v>
      </c>
      <c r="BH280" s="63">
        <v>61</v>
      </c>
    </row>
    <row r="281" spans="2:60" hidden="1" x14ac:dyDescent="0.2">
      <c r="B281" s="57"/>
      <c r="C281" s="57" t="s">
        <v>683</v>
      </c>
      <c r="D281" s="57" t="s">
        <v>650</v>
      </c>
      <c r="E281" s="62">
        <v>10</v>
      </c>
      <c r="F281" s="62">
        <v>13</v>
      </c>
      <c r="G281" s="62">
        <v>6</v>
      </c>
      <c r="H281" s="62">
        <v>12</v>
      </c>
      <c r="I281" s="62">
        <v>11</v>
      </c>
      <c r="J281" s="62">
        <v>12</v>
      </c>
      <c r="K281" s="62">
        <v>25</v>
      </c>
      <c r="L281" s="62">
        <v>12</v>
      </c>
      <c r="M281" s="62">
        <v>13</v>
      </c>
      <c r="N281" s="62">
        <v>16</v>
      </c>
      <c r="O281" s="62">
        <v>13</v>
      </c>
      <c r="P281" s="62">
        <v>21</v>
      </c>
      <c r="Q281" s="62">
        <v>18</v>
      </c>
      <c r="R281" s="62">
        <v>13</v>
      </c>
      <c r="S281" s="62">
        <v>11</v>
      </c>
      <c r="T281" s="62">
        <v>15</v>
      </c>
      <c r="U281" s="62">
        <v>24</v>
      </c>
      <c r="V281" s="62">
        <v>9</v>
      </c>
      <c r="W281" s="62">
        <v>13</v>
      </c>
      <c r="X281" s="62">
        <v>12</v>
      </c>
      <c r="Y281" s="62">
        <v>8</v>
      </c>
      <c r="Z281" s="62">
        <v>11</v>
      </c>
      <c r="AA281" s="62">
        <v>13</v>
      </c>
      <c r="AB281" s="62">
        <v>14</v>
      </c>
      <c r="AC281" s="62">
        <v>16</v>
      </c>
      <c r="AD281" s="62">
        <v>6</v>
      </c>
      <c r="AE281" s="62">
        <v>12</v>
      </c>
      <c r="AF281" s="62">
        <v>11</v>
      </c>
      <c r="AG281" s="62">
        <v>11</v>
      </c>
      <c r="AH281" s="62">
        <v>9</v>
      </c>
      <c r="AI281" s="62">
        <v>14</v>
      </c>
      <c r="AJ281" s="62">
        <v>16</v>
      </c>
      <c r="AK281" s="62">
        <v>10</v>
      </c>
      <c r="AL281" s="62">
        <v>13</v>
      </c>
      <c r="AM281" s="62">
        <v>11</v>
      </c>
      <c r="AN281" s="62">
        <v>7</v>
      </c>
      <c r="AO281" s="62">
        <v>9</v>
      </c>
      <c r="AP281" s="62">
        <v>11</v>
      </c>
      <c r="AQ281" s="62">
        <v>5</v>
      </c>
      <c r="AR281" s="62">
        <v>4</v>
      </c>
      <c r="AS281" s="62">
        <v>16</v>
      </c>
      <c r="AT281" s="62">
        <v>8</v>
      </c>
      <c r="AU281" s="62">
        <v>8</v>
      </c>
      <c r="AV281" s="62">
        <v>9</v>
      </c>
      <c r="AW281" s="62">
        <v>6</v>
      </c>
      <c r="AX281" s="62">
        <v>7</v>
      </c>
      <c r="AY281" s="62">
        <v>14</v>
      </c>
      <c r="AZ281" s="62">
        <v>13</v>
      </c>
      <c r="BA281" s="62">
        <v>9</v>
      </c>
      <c r="BB281" s="62">
        <v>17</v>
      </c>
      <c r="BC281" s="62">
        <v>8</v>
      </c>
      <c r="BD281" s="62">
        <v>6</v>
      </c>
      <c r="BE281" s="62">
        <v>14</v>
      </c>
      <c r="BF281" s="62">
        <v>9</v>
      </c>
      <c r="BG281" s="62">
        <v>6</v>
      </c>
      <c r="BH281" s="62">
        <v>5</v>
      </c>
    </row>
    <row r="282" spans="2:60" hidden="1" x14ac:dyDescent="0.2">
      <c r="B282" s="59"/>
      <c r="C282" s="59" t="s">
        <v>683</v>
      </c>
      <c r="D282" s="59" t="s">
        <v>651</v>
      </c>
      <c r="E282" s="63">
        <v>14</v>
      </c>
      <c r="F282" s="63">
        <v>10</v>
      </c>
      <c r="G282" s="63">
        <v>9</v>
      </c>
      <c r="H282" s="63">
        <v>12</v>
      </c>
      <c r="I282" s="63">
        <v>7</v>
      </c>
      <c r="J282" s="63">
        <v>12</v>
      </c>
      <c r="K282" s="63">
        <v>9</v>
      </c>
      <c r="L282" s="63">
        <v>10</v>
      </c>
      <c r="M282" s="63">
        <v>10</v>
      </c>
      <c r="N282" s="63">
        <v>13</v>
      </c>
      <c r="O282" s="63">
        <v>13</v>
      </c>
      <c r="P282" s="63">
        <v>8</v>
      </c>
      <c r="Q282" s="63">
        <v>13</v>
      </c>
      <c r="R282" s="63">
        <v>11</v>
      </c>
      <c r="S282" s="63">
        <v>20</v>
      </c>
      <c r="T282" s="63">
        <v>9</v>
      </c>
      <c r="U282" s="63">
        <v>12</v>
      </c>
      <c r="V282" s="63">
        <v>13</v>
      </c>
      <c r="W282" s="63">
        <v>18</v>
      </c>
      <c r="X282" s="63">
        <v>9</v>
      </c>
      <c r="Y282" s="63">
        <v>12</v>
      </c>
      <c r="Z282" s="63">
        <v>21</v>
      </c>
      <c r="AA282" s="63">
        <v>15</v>
      </c>
      <c r="AB282" s="63">
        <v>10</v>
      </c>
      <c r="AC282" s="63">
        <v>15</v>
      </c>
      <c r="AD282" s="63">
        <v>10</v>
      </c>
      <c r="AE282" s="63">
        <v>12</v>
      </c>
      <c r="AF282" s="63">
        <v>5</v>
      </c>
      <c r="AG282" s="63">
        <v>7</v>
      </c>
      <c r="AH282" s="63">
        <v>12</v>
      </c>
      <c r="AI282" s="63">
        <v>12</v>
      </c>
      <c r="AJ282" s="63">
        <v>14</v>
      </c>
      <c r="AK282" s="63">
        <v>11</v>
      </c>
      <c r="AL282" s="63">
        <v>10</v>
      </c>
      <c r="AM282" s="63">
        <v>7</v>
      </c>
      <c r="AN282" s="63">
        <v>9</v>
      </c>
      <c r="AO282" s="63">
        <v>14</v>
      </c>
      <c r="AP282" s="63">
        <v>14</v>
      </c>
      <c r="AQ282" s="63">
        <v>9</v>
      </c>
      <c r="AR282" s="63">
        <v>11</v>
      </c>
      <c r="AS282" s="63">
        <v>6</v>
      </c>
      <c r="AT282" s="63">
        <v>10</v>
      </c>
      <c r="AU282" s="63">
        <v>13</v>
      </c>
      <c r="AV282" s="63">
        <v>12</v>
      </c>
      <c r="AW282" s="63">
        <v>9</v>
      </c>
      <c r="AX282" s="63">
        <v>13</v>
      </c>
      <c r="AY282" s="63">
        <v>14</v>
      </c>
      <c r="AZ282" s="63">
        <v>14</v>
      </c>
      <c r="BA282" s="63">
        <v>11</v>
      </c>
      <c r="BB282" s="63">
        <v>10</v>
      </c>
      <c r="BC282" s="63">
        <v>8</v>
      </c>
      <c r="BD282" s="63">
        <v>11</v>
      </c>
      <c r="BE282" s="63">
        <v>6</v>
      </c>
      <c r="BF282" s="63">
        <v>11</v>
      </c>
      <c r="BG282" s="63">
        <v>7</v>
      </c>
      <c r="BH282" s="63">
        <v>11</v>
      </c>
    </row>
    <row r="283" spans="2:60" hidden="1" x14ac:dyDescent="0.2">
      <c r="B283" s="57"/>
      <c r="C283" s="57" t="s">
        <v>683</v>
      </c>
      <c r="D283" s="57" t="s">
        <v>652</v>
      </c>
      <c r="E283" s="62">
        <v>101</v>
      </c>
      <c r="F283" s="62">
        <v>90</v>
      </c>
      <c r="G283" s="62">
        <v>74</v>
      </c>
      <c r="H283" s="62">
        <v>61</v>
      </c>
      <c r="I283" s="62">
        <v>88</v>
      </c>
      <c r="J283" s="62">
        <v>80</v>
      </c>
      <c r="K283" s="62">
        <v>69</v>
      </c>
      <c r="L283" s="62">
        <v>87</v>
      </c>
      <c r="M283" s="62">
        <v>99</v>
      </c>
      <c r="N283" s="62">
        <v>87</v>
      </c>
      <c r="O283" s="62">
        <v>92</v>
      </c>
      <c r="P283" s="62">
        <v>98</v>
      </c>
      <c r="Q283" s="62">
        <v>107</v>
      </c>
      <c r="R283" s="62">
        <v>110</v>
      </c>
      <c r="S283" s="62">
        <v>93</v>
      </c>
      <c r="T283" s="62">
        <v>76</v>
      </c>
      <c r="U283" s="62">
        <v>116</v>
      </c>
      <c r="V283" s="62">
        <v>112</v>
      </c>
      <c r="W283" s="62">
        <v>109</v>
      </c>
      <c r="X283" s="62">
        <v>96</v>
      </c>
      <c r="Y283" s="62">
        <v>103</v>
      </c>
      <c r="Z283" s="62">
        <v>82</v>
      </c>
      <c r="AA283" s="62">
        <v>96</v>
      </c>
      <c r="AB283" s="62">
        <v>90</v>
      </c>
      <c r="AC283" s="62">
        <v>96</v>
      </c>
      <c r="AD283" s="62">
        <v>87</v>
      </c>
      <c r="AE283" s="62">
        <v>79</v>
      </c>
      <c r="AF283" s="62">
        <v>94</v>
      </c>
      <c r="AG283" s="62">
        <v>89</v>
      </c>
      <c r="AH283" s="62">
        <v>84</v>
      </c>
      <c r="AI283" s="62">
        <v>101</v>
      </c>
      <c r="AJ283" s="62">
        <v>119</v>
      </c>
      <c r="AK283" s="62">
        <v>90</v>
      </c>
      <c r="AL283" s="62">
        <v>122</v>
      </c>
      <c r="AM283" s="62">
        <v>66</v>
      </c>
      <c r="AN283" s="62">
        <v>71</v>
      </c>
      <c r="AO283" s="62">
        <v>88</v>
      </c>
      <c r="AP283" s="62">
        <v>90</v>
      </c>
      <c r="AQ283" s="62">
        <v>84</v>
      </c>
      <c r="AR283" s="62">
        <v>72</v>
      </c>
      <c r="AS283" s="62">
        <v>73</v>
      </c>
      <c r="AT283" s="62">
        <v>89</v>
      </c>
      <c r="AU283" s="62">
        <v>87</v>
      </c>
      <c r="AV283" s="62">
        <v>76</v>
      </c>
      <c r="AW283" s="62">
        <v>103</v>
      </c>
      <c r="AX283" s="62">
        <v>79</v>
      </c>
      <c r="AY283" s="62">
        <v>79</v>
      </c>
      <c r="AZ283" s="62">
        <v>70</v>
      </c>
      <c r="BA283" s="62">
        <v>112</v>
      </c>
      <c r="BB283" s="62">
        <v>86</v>
      </c>
      <c r="BC283" s="62">
        <v>83</v>
      </c>
      <c r="BD283" s="62">
        <v>76</v>
      </c>
      <c r="BE283" s="62">
        <v>83</v>
      </c>
      <c r="BF283" s="62">
        <v>82</v>
      </c>
      <c r="BG283" s="62">
        <v>92</v>
      </c>
      <c r="BH283" s="62">
        <v>77</v>
      </c>
    </row>
    <row r="284" spans="2:60" hidden="1" x14ac:dyDescent="0.2">
      <c r="B284" s="59"/>
      <c r="C284" s="59" t="s">
        <v>683</v>
      </c>
      <c r="D284" s="59" t="s">
        <v>653</v>
      </c>
      <c r="E284" s="63">
        <v>38</v>
      </c>
      <c r="F284" s="63">
        <v>16</v>
      </c>
      <c r="G284" s="63">
        <v>24</v>
      </c>
      <c r="H284" s="63">
        <v>21</v>
      </c>
      <c r="I284" s="63">
        <v>27</v>
      </c>
      <c r="J284" s="63">
        <v>35</v>
      </c>
      <c r="K284" s="63">
        <v>23</v>
      </c>
      <c r="L284" s="63">
        <v>23</v>
      </c>
      <c r="M284" s="63">
        <v>38</v>
      </c>
      <c r="N284" s="63">
        <v>42</v>
      </c>
      <c r="O284" s="63">
        <v>36</v>
      </c>
      <c r="P284" s="63">
        <v>31</v>
      </c>
      <c r="Q284" s="63">
        <v>33</v>
      </c>
      <c r="R284" s="63">
        <v>29</v>
      </c>
      <c r="S284" s="63">
        <v>29</v>
      </c>
      <c r="T284" s="63">
        <v>44</v>
      </c>
      <c r="U284" s="63">
        <v>33</v>
      </c>
      <c r="V284" s="63">
        <v>36</v>
      </c>
      <c r="W284" s="63">
        <v>32</v>
      </c>
      <c r="X284" s="63">
        <v>33</v>
      </c>
      <c r="Y284" s="63">
        <v>54</v>
      </c>
      <c r="Z284" s="63">
        <v>29</v>
      </c>
      <c r="AA284" s="63">
        <v>33</v>
      </c>
      <c r="AB284" s="63">
        <v>21</v>
      </c>
      <c r="AC284" s="63">
        <v>43</v>
      </c>
      <c r="AD284" s="63">
        <v>32</v>
      </c>
      <c r="AE284" s="63">
        <v>24</v>
      </c>
      <c r="AF284" s="63">
        <v>29</v>
      </c>
      <c r="AG284" s="63">
        <v>39</v>
      </c>
      <c r="AH284" s="63">
        <v>35</v>
      </c>
      <c r="AI284" s="63">
        <v>32</v>
      </c>
      <c r="AJ284" s="63">
        <v>38</v>
      </c>
      <c r="AK284" s="63">
        <v>32</v>
      </c>
      <c r="AL284" s="63">
        <v>34</v>
      </c>
      <c r="AM284" s="63">
        <v>18</v>
      </c>
      <c r="AN284" s="63">
        <v>20</v>
      </c>
      <c r="AO284" s="63">
        <v>24</v>
      </c>
      <c r="AP284" s="63">
        <v>38</v>
      </c>
      <c r="AQ284" s="63">
        <v>28</v>
      </c>
      <c r="AR284" s="63">
        <v>36</v>
      </c>
      <c r="AS284" s="63">
        <v>16</v>
      </c>
      <c r="AT284" s="63">
        <v>35</v>
      </c>
      <c r="AU284" s="63">
        <v>31</v>
      </c>
      <c r="AV284" s="63">
        <v>24</v>
      </c>
      <c r="AW284" s="63">
        <v>26</v>
      </c>
      <c r="AX284" s="63">
        <v>18</v>
      </c>
      <c r="AY284" s="63">
        <v>27</v>
      </c>
      <c r="AZ284" s="63">
        <v>20</v>
      </c>
      <c r="BA284" s="63">
        <v>43</v>
      </c>
      <c r="BB284" s="63">
        <v>28</v>
      </c>
      <c r="BC284" s="63">
        <v>26</v>
      </c>
      <c r="BD284" s="63">
        <v>32</v>
      </c>
      <c r="BE284" s="63">
        <v>19</v>
      </c>
      <c r="BF284" s="63">
        <v>20</v>
      </c>
      <c r="BG284" s="63">
        <v>26</v>
      </c>
      <c r="BH284" s="63">
        <v>31</v>
      </c>
    </row>
    <row r="285" spans="2:60" hidden="1" x14ac:dyDescent="0.2">
      <c r="B285" s="57"/>
      <c r="C285" s="57" t="s">
        <v>683</v>
      </c>
      <c r="D285" s="57" t="s">
        <v>654</v>
      </c>
      <c r="E285" s="62"/>
      <c r="F285" s="62"/>
      <c r="G285" s="62">
        <v>2</v>
      </c>
      <c r="H285" s="62">
        <v>1</v>
      </c>
      <c r="I285" s="62">
        <v>1</v>
      </c>
      <c r="J285" s="62">
        <v>2</v>
      </c>
      <c r="K285" s="62">
        <v>1</v>
      </c>
      <c r="L285" s="62"/>
      <c r="M285" s="62">
        <v>2</v>
      </c>
      <c r="N285" s="62"/>
      <c r="O285" s="62"/>
      <c r="P285" s="62">
        <v>1</v>
      </c>
      <c r="Q285" s="62">
        <v>5</v>
      </c>
      <c r="R285" s="62">
        <v>2</v>
      </c>
      <c r="S285" s="62">
        <v>1</v>
      </c>
      <c r="T285" s="62">
        <v>3</v>
      </c>
      <c r="U285" s="62">
        <v>1</v>
      </c>
      <c r="V285" s="62"/>
      <c r="W285" s="62">
        <v>1</v>
      </c>
      <c r="X285" s="62">
        <v>2</v>
      </c>
      <c r="Y285" s="62">
        <v>2</v>
      </c>
      <c r="Z285" s="62"/>
      <c r="AA285" s="62"/>
      <c r="AB285" s="62"/>
      <c r="AC285" s="62">
        <v>2</v>
      </c>
      <c r="AD285" s="62"/>
      <c r="AE285" s="62"/>
      <c r="AF285" s="62"/>
      <c r="AG285" s="62"/>
      <c r="AH285" s="62">
        <v>1</v>
      </c>
      <c r="AI285" s="62"/>
      <c r="AJ285" s="62">
        <v>1</v>
      </c>
      <c r="AK285" s="62">
        <v>2</v>
      </c>
      <c r="AL285" s="62">
        <v>1</v>
      </c>
      <c r="AM285" s="62">
        <v>1</v>
      </c>
      <c r="AN285" s="62">
        <v>1</v>
      </c>
      <c r="AO285" s="62"/>
      <c r="AP285" s="62">
        <v>1</v>
      </c>
      <c r="AQ285" s="62"/>
      <c r="AR285" s="62">
        <v>2</v>
      </c>
      <c r="AS285" s="62">
        <v>2</v>
      </c>
      <c r="AT285" s="62">
        <v>5</v>
      </c>
      <c r="AU285" s="62">
        <v>1</v>
      </c>
      <c r="AV285" s="62"/>
      <c r="AW285" s="62">
        <v>1</v>
      </c>
      <c r="AX285" s="62">
        <v>3</v>
      </c>
      <c r="AY285" s="62"/>
      <c r="AZ285" s="62"/>
      <c r="BA285" s="62">
        <v>1</v>
      </c>
      <c r="BB285" s="62">
        <v>2</v>
      </c>
      <c r="BC285" s="62">
        <v>1</v>
      </c>
      <c r="BD285" s="62">
        <v>3</v>
      </c>
      <c r="BE285" s="62">
        <v>2</v>
      </c>
      <c r="BF285" s="62">
        <v>1</v>
      </c>
      <c r="BG285" s="62">
        <v>1</v>
      </c>
      <c r="BH285" s="62"/>
    </row>
    <row r="286" spans="2:60" hidden="1" x14ac:dyDescent="0.2">
      <c r="B286" s="59"/>
      <c r="C286" s="59" t="s">
        <v>683</v>
      </c>
      <c r="D286" s="59" t="s">
        <v>655</v>
      </c>
      <c r="E286" s="63">
        <v>1</v>
      </c>
      <c r="F286" s="63">
        <v>2</v>
      </c>
      <c r="G286" s="63">
        <v>1</v>
      </c>
      <c r="H286" s="63">
        <v>5</v>
      </c>
      <c r="I286" s="63"/>
      <c r="J286" s="63">
        <v>2</v>
      </c>
      <c r="K286" s="63">
        <v>5</v>
      </c>
      <c r="L286" s="63">
        <v>5</v>
      </c>
      <c r="M286" s="63">
        <v>2</v>
      </c>
      <c r="N286" s="63">
        <v>10</v>
      </c>
      <c r="O286" s="63">
        <v>2</v>
      </c>
      <c r="P286" s="63">
        <v>12</v>
      </c>
      <c r="Q286" s="63">
        <v>2</v>
      </c>
      <c r="R286" s="63">
        <v>2</v>
      </c>
      <c r="S286" s="63">
        <v>5</v>
      </c>
      <c r="T286" s="63">
        <v>11</v>
      </c>
      <c r="U286" s="63">
        <v>2</v>
      </c>
      <c r="V286" s="63">
        <v>3</v>
      </c>
      <c r="W286" s="63">
        <v>2</v>
      </c>
      <c r="X286" s="63">
        <v>9</v>
      </c>
      <c r="Y286" s="63">
        <v>3</v>
      </c>
      <c r="Z286" s="63">
        <v>3</v>
      </c>
      <c r="AA286" s="63">
        <v>4</v>
      </c>
      <c r="AB286" s="63">
        <v>1</v>
      </c>
      <c r="AC286" s="63">
        <v>2</v>
      </c>
      <c r="AD286" s="63">
        <v>5</v>
      </c>
      <c r="AE286" s="63">
        <v>2</v>
      </c>
      <c r="AF286" s="63">
        <v>2</v>
      </c>
      <c r="AG286" s="63"/>
      <c r="AH286" s="63">
        <v>6</v>
      </c>
      <c r="AI286" s="63"/>
      <c r="AJ286" s="63">
        <v>3</v>
      </c>
      <c r="AK286" s="63">
        <v>2</v>
      </c>
      <c r="AL286" s="63">
        <v>1</v>
      </c>
      <c r="AM286" s="63">
        <v>1</v>
      </c>
      <c r="AN286" s="63">
        <v>6</v>
      </c>
      <c r="AO286" s="63">
        <v>7</v>
      </c>
      <c r="AP286" s="63">
        <v>2</v>
      </c>
      <c r="AQ286" s="63">
        <v>4</v>
      </c>
      <c r="AR286" s="63">
        <v>3</v>
      </c>
      <c r="AS286" s="63">
        <v>4</v>
      </c>
      <c r="AT286" s="63">
        <v>2</v>
      </c>
      <c r="AU286" s="63"/>
      <c r="AV286" s="63">
        <v>2</v>
      </c>
      <c r="AW286" s="63">
        <v>2</v>
      </c>
      <c r="AX286" s="63">
        <v>4</v>
      </c>
      <c r="AY286" s="63">
        <v>2</v>
      </c>
      <c r="AZ286" s="63">
        <v>2</v>
      </c>
      <c r="BA286" s="63">
        <v>3</v>
      </c>
      <c r="BB286" s="63">
        <v>1</v>
      </c>
      <c r="BC286" s="63">
        <v>1</v>
      </c>
      <c r="BD286" s="63"/>
      <c r="BE286" s="63">
        <v>4</v>
      </c>
      <c r="BF286" s="63">
        <v>2</v>
      </c>
      <c r="BG286" s="63"/>
      <c r="BH286" s="63">
        <v>1</v>
      </c>
    </row>
    <row r="287" spans="2:60" hidden="1" x14ac:dyDescent="0.2">
      <c r="B287" s="57"/>
      <c r="C287" s="57" t="s">
        <v>683</v>
      </c>
      <c r="D287" s="57" t="s">
        <v>699</v>
      </c>
      <c r="E287" s="62">
        <v>44</v>
      </c>
      <c r="F287" s="62">
        <v>19</v>
      </c>
      <c r="G287" s="62">
        <v>18</v>
      </c>
      <c r="H287" s="62">
        <v>17</v>
      </c>
      <c r="I287" s="62">
        <v>18</v>
      </c>
      <c r="J287" s="62">
        <v>21</v>
      </c>
      <c r="K287" s="62">
        <v>10</v>
      </c>
      <c r="L287" s="62">
        <v>15</v>
      </c>
      <c r="M287" s="62">
        <v>13</v>
      </c>
      <c r="N287" s="62">
        <v>23</v>
      </c>
      <c r="O287" s="62">
        <v>19</v>
      </c>
      <c r="P287" s="62">
        <v>15</v>
      </c>
      <c r="Q287" s="62">
        <v>21</v>
      </c>
      <c r="R287" s="62">
        <v>22</v>
      </c>
      <c r="S287" s="62">
        <v>18</v>
      </c>
      <c r="T287" s="62">
        <v>18</v>
      </c>
      <c r="U287" s="62">
        <v>23</v>
      </c>
      <c r="V287" s="62">
        <v>20</v>
      </c>
      <c r="W287" s="62">
        <v>24</v>
      </c>
      <c r="X287" s="62">
        <v>23</v>
      </c>
      <c r="Y287" s="62">
        <v>28</v>
      </c>
      <c r="Z287" s="62">
        <v>27</v>
      </c>
      <c r="AA287" s="62">
        <v>23</v>
      </c>
      <c r="AB287" s="62">
        <v>28</v>
      </c>
      <c r="AC287" s="62">
        <v>32</v>
      </c>
      <c r="AD287" s="62">
        <v>23</v>
      </c>
      <c r="AE287" s="62">
        <v>23</v>
      </c>
      <c r="AF287" s="62">
        <v>23</v>
      </c>
      <c r="AG287" s="62">
        <v>19</v>
      </c>
      <c r="AH287" s="62">
        <v>25</v>
      </c>
      <c r="AI287" s="62">
        <v>22</v>
      </c>
      <c r="AJ287" s="62">
        <v>19</v>
      </c>
      <c r="AK287" s="62">
        <v>17</v>
      </c>
      <c r="AL287" s="62">
        <v>25</v>
      </c>
      <c r="AM287" s="62">
        <v>10</v>
      </c>
      <c r="AN287" s="62">
        <v>15</v>
      </c>
      <c r="AO287" s="62">
        <v>16</v>
      </c>
      <c r="AP287" s="62">
        <v>24</v>
      </c>
      <c r="AQ287" s="62">
        <v>11</v>
      </c>
      <c r="AR287" s="62">
        <v>11</v>
      </c>
      <c r="AS287" s="62">
        <v>10</v>
      </c>
      <c r="AT287" s="62">
        <v>14</v>
      </c>
      <c r="AU287" s="62">
        <v>9</v>
      </c>
      <c r="AV287" s="62">
        <v>7</v>
      </c>
      <c r="AW287" s="62">
        <v>5</v>
      </c>
      <c r="AX287" s="62">
        <v>16</v>
      </c>
      <c r="AY287" s="62">
        <v>10</v>
      </c>
      <c r="AZ287" s="62">
        <v>8</v>
      </c>
      <c r="BA287" s="62">
        <v>21</v>
      </c>
      <c r="BB287" s="62">
        <v>6</v>
      </c>
      <c r="BC287" s="62">
        <v>21</v>
      </c>
      <c r="BD287" s="62">
        <v>8</v>
      </c>
      <c r="BE287" s="62">
        <v>12</v>
      </c>
      <c r="BF287" s="62">
        <v>9</v>
      </c>
      <c r="BG287" s="62">
        <v>5</v>
      </c>
      <c r="BH287" s="62">
        <v>6</v>
      </c>
    </row>
    <row r="288" spans="2:60" hidden="1" x14ac:dyDescent="0.2">
      <c r="B288" s="59"/>
      <c r="C288" s="59" t="s">
        <v>683</v>
      </c>
      <c r="D288" s="59" t="s">
        <v>656</v>
      </c>
      <c r="E288" s="63">
        <v>324</v>
      </c>
      <c r="F288" s="63">
        <v>257</v>
      </c>
      <c r="G288" s="63">
        <v>244</v>
      </c>
      <c r="H288" s="63">
        <v>241</v>
      </c>
      <c r="I288" s="63">
        <v>283</v>
      </c>
      <c r="J288" s="63">
        <v>289</v>
      </c>
      <c r="K288" s="63">
        <v>290</v>
      </c>
      <c r="L288" s="63">
        <v>272</v>
      </c>
      <c r="M288" s="63">
        <v>301</v>
      </c>
      <c r="N288" s="63">
        <v>328</v>
      </c>
      <c r="O288" s="63">
        <v>305</v>
      </c>
      <c r="P288" s="63">
        <v>289</v>
      </c>
      <c r="Q288" s="63">
        <v>338</v>
      </c>
      <c r="R288" s="63">
        <v>331</v>
      </c>
      <c r="S288" s="63">
        <v>329</v>
      </c>
      <c r="T288" s="63">
        <v>285</v>
      </c>
      <c r="U288" s="63">
        <v>341</v>
      </c>
      <c r="V288" s="63">
        <v>305</v>
      </c>
      <c r="W288" s="63">
        <v>309</v>
      </c>
      <c r="X288" s="63">
        <v>308</v>
      </c>
      <c r="Y288" s="63">
        <v>329</v>
      </c>
      <c r="Z288" s="63">
        <v>291</v>
      </c>
      <c r="AA288" s="63">
        <v>289</v>
      </c>
      <c r="AB288" s="63">
        <v>281</v>
      </c>
      <c r="AC288" s="63">
        <v>341</v>
      </c>
      <c r="AD288" s="63">
        <v>275</v>
      </c>
      <c r="AE288" s="63">
        <v>250</v>
      </c>
      <c r="AF288" s="63">
        <v>274</v>
      </c>
      <c r="AG288" s="63">
        <v>247</v>
      </c>
      <c r="AH288" s="63">
        <v>272</v>
      </c>
      <c r="AI288" s="63">
        <v>289</v>
      </c>
      <c r="AJ288" s="63">
        <v>327</v>
      </c>
      <c r="AK288" s="63">
        <v>240</v>
      </c>
      <c r="AL288" s="63">
        <v>329</v>
      </c>
      <c r="AM288" s="63">
        <v>183</v>
      </c>
      <c r="AN288" s="63">
        <v>228</v>
      </c>
      <c r="AO288" s="63">
        <v>245</v>
      </c>
      <c r="AP288" s="63">
        <v>278</v>
      </c>
      <c r="AQ288" s="63">
        <v>256</v>
      </c>
      <c r="AR288" s="63">
        <v>265</v>
      </c>
      <c r="AS288" s="63">
        <v>239</v>
      </c>
      <c r="AT288" s="63">
        <v>285</v>
      </c>
      <c r="AU288" s="63">
        <v>246</v>
      </c>
      <c r="AV288" s="63">
        <v>225</v>
      </c>
      <c r="AW288" s="63">
        <v>249</v>
      </c>
      <c r="AX288" s="63">
        <v>248</v>
      </c>
      <c r="AY288" s="63">
        <v>249</v>
      </c>
      <c r="AZ288" s="63">
        <v>208</v>
      </c>
      <c r="BA288" s="63">
        <v>291</v>
      </c>
      <c r="BB288" s="63">
        <v>254</v>
      </c>
      <c r="BC288" s="63">
        <v>255</v>
      </c>
      <c r="BD288" s="63">
        <v>216</v>
      </c>
      <c r="BE288" s="63">
        <v>217</v>
      </c>
      <c r="BF288" s="63">
        <v>213</v>
      </c>
      <c r="BG288" s="63">
        <v>229</v>
      </c>
      <c r="BH288" s="63">
        <v>220</v>
      </c>
    </row>
    <row r="289" spans="2:60" hidden="1" x14ac:dyDescent="0.2">
      <c r="B289" s="57"/>
      <c r="C289" s="57" t="s">
        <v>684</v>
      </c>
      <c r="D289" s="57" t="s">
        <v>648</v>
      </c>
      <c r="E289" s="62">
        <v>43</v>
      </c>
      <c r="F289" s="62">
        <v>37</v>
      </c>
      <c r="G289" s="62">
        <v>39</v>
      </c>
      <c r="H289" s="62">
        <v>30</v>
      </c>
      <c r="I289" s="62">
        <v>34</v>
      </c>
      <c r="J289" s="62">
        <v>44</v>
      </c>
      <c r="K289" s="62">
        <v>33</v>
      </c>
      <c r="L289" s="62">
        <v>26</v>
      </c>
      <c r="M289" s="62">
        <v>34</v>
      </c>
      <c r="N289" s="62">
        <v>38</v>
      </c>
      <c r="O289" s="62">
        <v>41</v>
      </c>
      <c r="P289" s="62">
        <v>31</v>
      </c>
      <c r="Q289" s="62">
        <v>33</v>
      </c>
      <c r="R289" s="62">
        <v>46</v>
      </c>
      <c r="S289" s="62">
        <v>39</v>
      </c>
      <c r="T289" s="62">
        <v>33</v>
      </c>
      <c r="U289" s="62">
        <v>35</v>
      </c>
      <c r="V289" s="62">
        <v>34</v>
      </c>
      <c r="W289" s="62">
        <v>30</v>
      </c>
      <c r="X289" s="62">
        <v>33</v>
      </c>
      <c r="Y289" s="62">
        <v>39</v>
      </c>
      <c r="Z289" s="62">
        <v>32</v>
      </c>
      <c r="AA289" s="62">
        <v>33</v>
      </c>
      <c r="AB289" s="62">
        <v>38</v>
      </c>
      <c r="AC289" s="62">
        <v>32</v>
      </c>
      <c r="AD289" s="62">
        <v>42</v>
      </c>
      <c r="AE289" s="62">
        <v>42</v>
      </c>
      <c r="AF289" s="62">
        <v>39</v>
      </c>
      <c r="AG289" s="62">
        <v>36</v>
      </c>
      <c r="AH289" s="62">
        <v>50</v>
      </c>
      <c r="AI289" s="62">
        <v>24</v>
      </c>
      <c r="AJ289" s="62">
        <v>46</v>
      </c>
      <c r="AK289" s="62">
        <v>47</v>
      </c>
      <c r="AL289" s="62">
        <v>56</v>
      </c>
      <c r="AM289" s="62">
        <v>58</v>
      </c>
      <c r="AN289" s="62">
        <v>41</v>
      </c>
      <c r="AO289" s="62">
        <v>40</v>
      </c>
      <c r="AP289" s="62">
        <v>31</v>
      </c>
      <c r="AQ289" s="62">
        <v>41</v>
      </c>
      <c r="AR289" s="62">
        <v>26</v>
      </c>
      <c r="AS289" s="62">
        <v>35</v>
      </c>
      <c r="AT289" s="62">
        <v>29</v>
      </c>
      <c r="AU289" s="62">
        <v>26</v>
      </c>
      <c r="AV289" s="62">
        <v>27</v>
      </c>
      <c r="AW289" s="62">
        <v>23</v>
      </c>
      <c r="AX289" s="62">
        <v>28</v>
      </c>
      <c r="AY289" s="62">
        <v>33</v>
      </c>
      <c r="AZ289" s="62">
        <v>14</v>
      </c>
      <c r="BA289" s="62">
        <v>22</v>
      </c>
      <c r="BB289" s="62">
        <v>27</v>
      </c>
      <c r="BC289" s="62">
        <v>27</v>
      </c>
      <c r="BD289" s="62">
        <v>21</v>
      </c>
      <c r="BE289" s="62">
        <v>18</v>
      </c>
      <c r="BF289" s="62">
        <v>25</v>
      </c>
      <c r="BG289" s="62">
        <v>35</v>
      </c>
      <c r="BH289" s="62">
        <v>23</v>
      </c>
    </row>
    <row r="290" spans="2:60" hidden="1" x14ac:dyDescent="0.2">
      <c r="B290" s="59"/>
      <c r="C290" s="59" t="s">
        <v>684</v>
      </c>
      <c r="D290" s="59" t="s">
        <v>649</v>
      </c>
      <c r="E290" s="63">
        <v>129</v>
      </c>
      <c r="F290" s="63">
        <v>137</v>
      </c>
      <c r="G290" s="63">
        <v>147</v>
      </c>
      <c r="H290" s="63">
        <v>148</v>
      </c>
      <c r="I290" s="63">
        <v>138</v>
      </c>
      <c r="J290" s="63">
        <v>131</v>
      </c>
      <c r="K290" s="63">
        <v>138</v>
      </c>
      <c r="L290" s="63">
        <v>137</v>
      </c>
      <c r="M290" s="63">
        <v>131</v>
      </c>
      <c r="N290" s="63">
        <v>93</v>
      </c>
      <c r="O290" s="63">
        <v>114</v>
      </c>
      <c r="P290" s="63">
        <v>103</v>
      </c>
      <c r="Q290" s="63">
        <v>123</v>
      </c>
      <c r="R290" s="63">
        <v>125</v>
      </c>
      <c r="S290" s="63">
        <v>129</v>
      </c>
      <c r="T290" s="63">
        <v>122</v>
      </c>
      <c r="U290" s="63">
        <v>83</v>
      </c>
      <c r="V290" s="63">
        <v>102</v>
      </c>
      <c r="W290" s="63">
        <v>105</v>
      </c>
      <c r="X290" s="63">
        <v>92</v>
      </c>
      <c r="Y290" s="63">
        <v>112</v>
      </c>
      <c r="Z290" s="63">
        <v>100</v>
      </c>
      <c r="AA290" s="63">
        <v>78</v>
      </c>
      <c r="AB290" s="63">
        <v>95</v>
      </c>
      <c r="AC290" s="63">
        <v>92</v>
      </c>
      <c r="AD290" s="63">
        <v>105</v>
      </c>
      <c r="AE290" s="63">
        <v>86</v>
      </c>
      <c r="AF290" s="63">
        <v>76</v>
      </c>
      <c r="AG290" s="63">
        <v>95</v>
      </c>
      <c r="AH290" s="63">
        <v>90</v>
      </c>
      <c r="AI290" s="63">
        <v>81</v>
      </c>
      <c r="AJ290" s="63">
        <v>96</v>
      </c>
      <c r="AK290" s="63">
        <v>80</v>
      </c>
      <c r="AL290" s="63">
        <v>126</v>
      </c>
      <c r="AM290" s="63">
        <v>103</v>
      </c>
      <c r="AN290" s="63">
        <v>77</v>
      </c>
      <c r="AO290" s="63">
        <v>71</v>
      </c>
      <c r="AP290" s="63">
        <v>73</v>
      </c>
      <c r="AQ290" s="63">
        <v>71</v>
      </c>
      <c r="AR290" s="63">
        <v>80</v>
      </c>
      <c r="AS290" s="63">
        <v>65</v>
      </c>
      <c r="AT290" s="63">
        <v>96</v>
      </c>
      <c r="AU290" s="63">
        <v>81</v>
      </c>
      <c r="AV290" s="63">
        <v>58</v>
      </c>
      <c r="AW290" s="63">
        <v>72</v>
      </c>
      <c r="AX290" s="63">
        <v>88</v>
      </c>
      <c r="AY290" s="63">
        <v>94</v>
      </c>
      <c r="AZ290" s="63">
        <v>76</v>
      </c>
      <c r="BA290" s="63">
        <v>84</v>
      </c>
      <c r="BB290" s="63">
        <v>85</v>
      </c>
      <c r="BC290" s="63">
        <v>88</v>
      </c>
      <c r="BD290" s="63">
        <v>61</v>
      </c>
      <c r="BE290" s="63">
        <v>74</v>
      </c>
      <c r="BF290" s="63">
        <v>91</v>
      </c>
      <c r="BG290" s="63">
        <v>92</v>
      </c>
      <c r="BH290" s="63">
        <v>83</v>
      </c>
    </row>
    <row r="291" spans="2:60" hidden="1" x14ac:dyDescent="0.2">
      <c r="B291" s="57"/>
      <c r="C291" s="57" t="s">
        <v>684</v>
      </c>
      <c r="D291" s="57" t="s">
        <v>650</v>
      </c>
      <c r="E291" s="62">
        <v>32</v>
      </c>
      <c r="F291" s="62">
        <v>38</v>
      </c>
      <c r="G291" s="62">
        <v>33</v>
      </c>
      <c r="H291" s="62">
        <v>45</v>
      </c>
      <c r="I291" s="62">
        <v>30</v>
      </c>
      <c r="J291" s="62">
        <v>37</v>
      </c>
      <c r="K291" s="62">
        <v>32</v>
      </c>
      <c r="L291" s="62">
        <v>35</v>
      </c>
      <c r="M291" s="62">
        <v>28</v>
      </c>
      <c r="N291" s="62">
        <v>39</v>
      </c>
      <c r="O291" s="62">
        <v>37</v>
      </c>
      <c r="P291" s="62">
        <v>26</v>
      </c>
      <c r="Q291" s="62">
        <v>30</v>
      </c>
      <c r="R291" s="62">
        <v>36</v>
      </c>
      <c r="S291" s="62">
        <v>30</v>
      </c>
      <c r="T291" s="62">
        <v>23</v>
      </c>
      <c r="U291" s="62">
        <v>18</v>
      </c>
      <c r="V291" s="62">
        <v>35</v>
      </c>
      <c r="W291" s="62">
        <v>29</v>
      </c>
      <c r="X291" s="62">
        <v>30</v>
      </c>
      <c r="Y291" s="62">
        <v>23</v>
      </c>
      <c r="Z291" s="62">
        <v>25</v>
      </c>
      <c r="AA291" s="62">
        <v>33</v>
      </c>
      <c r="AB291" s="62">
        <v>20</v>
      </c>
      <c r="AC291" s="62">
        <v>27</v>
      </c>
      <c r="AD291" s="62">
        <v>36</v>
      </c>
      <c r="AE291" s="62">
        <v>21</v>
      </c>
      <c r="AF291" s="62">
        <v>18</v>
      </c>
      <c r="AG291" s="62">
        <v>22</v>
      </c>
      <c r="AH291" s="62">
        <v>26</v>
      </c>
      <c r="AI291" s="62">
        <v>25</v>
      </c>
      <c r="AJ291" s="62">
        <v>22</v>
      </c>
      <c r="AK291" s="62">
        <v>27</v>
      </c>
      <c r="AL291" s="62">
        <v>32</v>
      </c>
      <c r="AM291" s="62">
        <v>27</v>
      </c>
      <c r="AN291" s="62">
        <v>19</v>
      </c>
      <c r="AO291" s="62">
        <v>24</v>
      </c>
      <c r="AP291" s="62">
        <v>20</v>
      </c>
      <c r="AQ291" s="62">
        <v>25</v>
      </c>
      <c r="AR291" s="62">
        <v>20</v>
      </c>
      <c r="AS291" s="62">
        <v>31</v>
      </c>
      <c r="AT291" s="62">
        <v>34</v>
      </c>
      <c r="AU291" s="62">
        <v>16</v>
      </c>
      <c r="AV291" s="62">
        <v>18</v>
      </c>
      <c r="AW291" s="62">
        <v>20</v>
      </c>
      <c r="AX291" s="62">
        <v>30</v>
      </c>
      <c r="AY291" s="62">
        <v>25</v>
      </c>
      <c r="AZ291" s="62">
        <v>22</v>
      </c>
      <c r="BA291" s="62">
        <v>25</v>
      </c>
      <c r="BB291" s="62">
        <v>24</v>
      </c>
      <c r="BC291" s="62">
        <v>16</v>
      </c>
      <c r="BD291" s="62">
        <v>28</v>
      </c>
      <c r="BE291" s="62">
        <v>21</v>
      </c>
      <c r="BF291" s="62">
        <v>23</v>
      </c>
      <c r="BG291" s="62">
        <v>24</v>
      </c>
      <c r="BH291" s="62">
        <v>28</v>
      </c>
    </row>
    <row r="292" spans="2:60" hidden="1" x14ac:dyDescent="0.2">
      <c r="B292" s="59"/>
      <c r="C292" s="59" t="s">
        <v>684</v>
      </c>
      <c r="D292" s="59" t="s">
        <v>651</v>
      </c>
      <c r="E292" s="63">
        <v>36</v>
      </c>
      <c r="F292" s="63">
        <v>32</v>
      </c>
      <c r="G292" s="63">
        <v>34</v>
      </c>
      <c r="H292" s="63">
        <v>34</v>
      </c>
      <c r="I292" s="63">
        <v>44</v>
      </c>
      <c r="J292" s="63">
        <v>29</v>
      </c>
      <c r="K292" s="63">
        <v>24</v>
      </c>
      <c r="L292" s="63">
        <v>33</v>
      </c>
      <c r="M292" s="63">
        <v>35</v>
      </c>
      <c r="N292" s="63">
        <v>21</v>
      </c>
      <c r="O292" s="63">
        <v>32</v>
      </c>
      <c r="P292" s="63">
        <v>33</v>
      </c>
      <c r="Q292" s="63">
        <v>29</v>
      </c>
      <c r="R292" s="63">
        <v>18</v>
      </c>
      <c r="S292" s="63">
        <v>27</v>
      </c>
      <c r="T292" s="63">
        <v>28</v>
      </c>
      <c r="U292" s="63">
        <v>25</v>
      </c>
      <c r="V292" s="63">
        <v>26</v>
      </c>
      <c r="W292" s="63">
        <v>36</v>
      </c>
      <c r="X292" s="63">
        <v>28</v>
      </c>
      <c r="Y292" s="63">
        <v>30</v>
      </c>
      <c r="Z292" s="63">
        <v>22</v>
      </c>
      <c r="AA292" s="63">
        <v>30</v>
      </c>
      <c r="AB292" s="63">
        <v>22</v>
      </c>
      <c r="AC292" s="63">
        <v>26</v>
      </c>
      <c r="AD292" s="63">
        <v>24</v>
      </c>
      <c r="AE292" s="63">
        <v>15</v>
      </c>
      <c r="AF292" s="63">
        <v>28</v>
      </c>
      <c r="AG292" s="63">
        <v>28</v>
      </c>
      <c r="AH292" s="63">
        <v>22</v>
      </c>
      <c r="AI292" s="63">
        <v>19</v>
      </c>
      <c r="AJ292" s="63">
        <v>20</v>
      </c>
      <c r="AK292" s="63">
        <v>19</v>
      </c>
      <c r="AL292" s="63">
        <v>29</v>
      </c>
      <c r="AM292" s="63">
        <v>21</v>
      </c>
      <c r="AN292" s="63">
        <v>16</v>
      </c>
      <c r="AO292" s="63">
        <v>16</v>
      </c>
      <c r="AP292" s="63">
        <v>15</v>
      </c>
      <c r="AQ292" s="63">
        <v>13</v>
      </c>
      <c r="AR292" s="63">
        <v>14</v>
      </c>
      <c r="AS292" s="63">
        <v>19</v>
      </c>
      <c r="AT292" s="63">
        <v>17</v>
      </c>
      <c r="AU292" s="63">
        <v>13</v>
      </c>
      <c r="AV292" s="63">
        <v>16</v>
      </c>
      <c r="AW292" s="63">
        <v>17</v>
      </c>
      <c r="AX292" s="63">
        <v>17</v>
      </c>
      <c r="AY292" s="63">
        <v>22</v>
      </c>
      <c r="AZ292" s="63">
        <v>16</v>
      </c>
      <c r="BA292" s="63">
        <v>13</v>
      </c>
      <c r="BB292" s="63">
        <v>17</v>
      </c>
      <c r="BC292" s="63">
        <v>11</v>
      </c>
      <c r="BD292" s="63">
        <v>16</v>
      </c>
      <c r="BE292" s="63">
        <v>24</v>
      </c>
      <c r="BF292" s="63">
        <v>13</v>
      </c>
      <c r="BG292" s="63">
        <v>19</v>
      </c>
      <c r="BH292" s="63">
        <v>17</v>
      </c>
    </row>
    <row r="293" spans="2:60" hidden="1" x14ac:dyDescent="0.2">
      <c r="B293" s="57"/>
      <c r="C293" s="57" t="s">
        <v>684</v>
      </c>
      <c r="D293" s="57" t="s">
        <v>652</v>
      </c>
      <c r="E293" s="62">
        <v>177</v>
      </c>
      <c r="F293" s="62">
        <v>160</v>
      </c>
      <c r="G293" s="62">
        <v>192</v>
      </c>
      <c r="H293" s="62">
        <v>180</v>
      </c>
      <c r="I293" s="62">
        <v>145</v>
      </c>
      <c r="J293" s="62">
        <v>160</v>
      </c>
      <c r="K293" s="62">
        <v>184</v>
      </c>
      <c r="L293" s="62">
        <v>137</v>
      </c>
      <c r="M293" s="62">
        <v>156</v>
      </c>
      <c r="N293" s="62">
        <v>155</v>
      </c>
      <c r="O293" s="62">
        <v>156</v>
      </c>
      <c r="P293" s="62">
        <v>147</v>
      </c>
      <c r="Q293" s="62">
        <v>115</v>
      </c>
      <c r="R293" s="62">
        <v>137</v>
      </c>
      <c r="S293" s="62">
        <v>152</v>
      </c>
      <c r="T293" s="62">
        <v>151</v>
      </c>
      <c r="U293" s="62">
        <v>114</v>
      </c>
      <c r="V293" s="62">
        <v>141</v>
      </c>
      <c r="W293" s="62">
        <v>137</v>
      </c>
      <c r="X293" s="62">
        <v>142</v>
      </c>
      <c r="Y293" s="62">
        <v>117</v>
      </c>
      <c r="Z293" s="62">
        <v>111</v>
      </c>
      <c r="AA293" s="62">
        <v>129</v>
      </c>
      <c r="AB293" s="62">
        <v>126</v>
      </c>
      <c r="AC293" s="62">
        <v>113</v>
      </c>
      <c r="AD293" s="62">
        <v>112</v>
      </c>
      <c r="AE293" s="62">
        <v>109</v>
      </c>
      <c r="AF293" s="62">
        <v>139</v>
      </c>
      <c r="AG293" s="62">
        <v>113</v>
      </c>
      <c r="AH293" s="62">
        <v>118</v>
      </c>
      <c r="AI293" s="62">
        <v>88</v>
      </c>
      <c r="AJ293" s="62">
        <v>146</v>
      </c>
      <c r="AK293" s="62">
        <v>101</v>
      </c>
      <c r="AL293" s="62">
        <v>118</v>
      </c>
      <c r="AM293" s="62">
        <v>90</v>
      </c>
      <c r="AN293" s="62">
        <v>90</v>
      </c>
      <c r="AO293" s="62">
        <v>106</v>
      </c>
      <c r="AP293" s="62">
        <v>96</v>
      </c>
      <c r="AQ293" s="62">
        <v>94</v>
      </c>
      <c r="AR293" s="62">
        <v>95</v>
      </c>
      <c r="AS293" s="62">
        <v>114</v>
      </c>
      <c r="AT293" s="62">
        <v>105</v>
      </c>
      <c r="AU293" s="62">
        <v>112</v>
      </c>
      <c r="AV293" s="62">
        <v>107</v>
      </c>
      <c r="AW293" s="62">
        <v>101</v>
      </c>
      <c r="AX293" s="62">
        <v>109</v>
      </c>
      <c r="AY293" s="62">
        <v>95</v>
      </c>
      <c r="AZ293" s="62">
        <v>89</v>
      </c>
      <c r="BA293" s="62">
        <v>94</v>
      </c>
      <c r="BB293" s="62">
        <v>99</v>
      </c>
      <c r="BC293" s="62">
        <v>106</v>
      </c>
      <c r="BD293" s="62">
        <v>93</v>
      </c>
      <c r="BE293" s="62">
        <v>101</v>
      </c>
      <c r="BF293" s="62">
        <v>105</v>
      </c>
      <c r="BG293" s="62">
        <v>95</v>
      </c>
      <c r="BH293" s="62">
        <v>102</v>
      </c>
    </row>
    <row r="294" spans="2:60" hidden="1" x14ac:dyDescent="0.2">
      <c r="B294" s="59"/>
      <c r="C294" s="59" t="s">
        <v>684</v>
      </c>
      <c r="D294" s="59" t="s">
        <v>653</v>
      </c>
      <c r="E294" s="63">
        <v>130</v>
      </c>
      <c r="F294" s="63">
        <v>113</v>
      </c>
      <c r="G294" s="63">
        <v>160</v>
      </c>
      <c r="H294" s="63">
        <v>114</v>
      </c>
      <c r="I294" s="63">
        <v>108</v>
      </c>
      <c r="J294" s="63">
        <v>112</v>
      </c>
      <c r="K294" s="63">
        <v>110</v>
      </c>
      <c r="L294" s="63">
        <v>141</v>
      </c>
      <c r="M294" s="63">
        <v>122</v>
      </c>
      <c r="N294" s="63">
        <v>119</v>
      </c>
      <c r="O294" s="63">
        <v>139</v>
      </c>
      <c r="P294" s="63">
        <v>124</v>
      </c>
      <c r="Q294" s="63">
        <v>117</v>
      </c>
      <c r="R294" s="63">
        <v>104</v>
      </c>
      <c r="S294" s="63">
        <v>149</v>
      </c>
      <c r="T294" s="63">
        <v>130</v>
      </c>
      <c r="U294" s="63">
        <v>106</v>
      </c>
      <c r="V294" s="63">
        <v>122</v>
      </c>
      <c r="W294" s="63">
        <v>130</v>
      </c>
      <c r="X294" s="63">
        <v>121</v>
      </c>
      <c r="Y294" s="63">
        <v>113</v>
      </c>
      <c r="Z294" s="63">
        <v>119</v>
      </c>
      <c r="AA294" s="63">
        <v>111</v>
      </c>
      <c r="AB294" s="63">
        <v>96</v>
      </c>
      <c r="AC294" s="63">
        <v>111</v>
      </c>
      <c r="AD294" s="63">
        <v>94</v>
      </c>
      <c r="AE294" s="63">
        <v>107</v>
      </c>
      <c r="AF294" s="63">
        <v>138</v>
      </c>
      <c r="AG294" s="63">
        <v>110</v>
      </c>
      <c r="AH294" s="63">
        <v>121</v>
      </c>
      <c r="AI294" s="63">
        <v>86</v>
      </c>
      <c r="AJ294" s="63">
        <v>124</v>
      </c>
      <c r="AK294" s="63">
        <v>104</v>
      </c>
      <c r="AL294" s="63">
        <v>108</v>
      </c>
      <c r="AM294" s="63">
        <v>99</v>
      </c>
      <c r="AN294" s="63">
        <v>89</v>
      </c>
      <c r="AO294" s="63">
        <v>112</v>
      </c>
      <c r="AP294" s="63">
        <v>110</v>
      </c>
      <c r="AQ294" s="63">
        <v>97</v>
      </c>
      <c r="AR294" s="63">
        <v>104</v>
      </c>
      <c r="AS294" s="63">
        <v>99</v>
      </c>
      <c r="AT294" s="63">
        <v>100</v>
      </c>
      <c r="AU294" s="63">
        <v>121</v>
      </c>
      <c r="AV294" s="63">
        <v>80</v>
      </c>
      <c r="AW294" s="63">
        <v>116</v>
      </c>
      <c r="AX294" s="63">
        <v>109</v>
      </c>
      <c r="AY294" s="63">
        <v>104</v>
      </c>
      <c r="AZ294" s="63">
        <v>112</v>
      </c>
      <c r="BA294" s="63">
        <v>88</v>
      </c>
      <c r="BB294" s="63">
        <v>92</v>
      </c>
      <c r="BC294" s="63">
        <v>107</v>
      </c>
      <c r="BD294" s="63">
        <v>91</v>
      </c>
      <c r="BE294" s="63">
        <v>90</v>
      </c>
      <c r="BF294" s="63">
        <v>84</v>
      </c>
      <c r="BG294" s="63">
        <v>94</v>
      </c>
      <c r="BH294" s="63">
        <v>110</v>
      </c>
    </row>
    <row r="295" spans="2:60" hidden="1" x14ac:dyDescent="0.2">
      <c r="B295" s="57"/>
      <c r="C295" s="57" t="s">
        <v>684</v>
      </c>
      <c r="D295" s="57" t="s">
        <v>654</v>
      </c>
      <c r="E295" s="62">
        <v>37</v>
      </c>
      <c r="F295" s="62">
        <v>34</v>
      </c>
      <c r="G295" s="62">
        <v>34</v>
      </c>
      <c r="H295" s="62">
        <v>36</v>
      </c>
      <c r="I295" s="62">
        <v>36</v>
      </c>
      <c r="J295" s="62">
        <v>40</v>
      </c>
      <c r="K295" s="62">
        <v>39</v>
      </c>
      <c r="L295" s="62">
        <v>51</v>
      </c>
      <c r="M295" s="62">
        <v>47</v>
      </c>
      <c r="N295" s="62">
        <v>44</v>
      </c>
      <c r="O295" s="62">
        <v>26</v>
      </c>
      <c r="P295" s="62">
        <v>43</v>
      </c>
      <c r="Q295" s="62">
        <v>30</v>
      </c>
      <c r="R295" s="62">
        <v>43</v>
      </c>
      <c r="S295" s="62">
        <v>35</v>
      </c>
      <c r="T295" s="62">
        <v>36</v>
      </c>
      <c r="U295" s="62">
        <v>32</v>
      </c>
      <c r="V295" s="62">
        <v>33</v>
      </c>
      <c r="W295" s="62">
        <v>40</v>
      </c>
      <c r="X295" s="62">
        <v>40</v>
      </c>
      <c r="Y295" s="62">
        <v>34</v>
      </c>
      <c r="Z295" s="62">
        <v>36</v>
      </c>
      <c r="AA295" s="62">
        <v>37</v>
      </c>
      <c r="AB295" s="62">
        <v>32</v>
      </c>
      <c r="AC295" s="62">
        <v>36</v>
      </c>
      <c r="AD295" s="62">
        <v>33</v>
      </c>
      <c r="AE295" s="62">
        <v>35</v>
      </c>
      <c r="AF295" s="62">
        <v>49</v>
      </c>
      <c r="AG295" s="62">
        <v>35</v>
      </c>
      <c r="AH295" s="62">
        <v>29</v>
      </c>
      <c r="AI295" s="62">
        <v>25</v>
      </c>
      <c r="AJ295" s="62">
        <v>29</v>
      </c>
      <c r="AK295" s="62">
        <v>41</v>
      </c>
      <c r="AL295" s="62">
        <v>48</v>
      </c>
      <c r="AM295" s="62">
        <v>30</v>
      </c>
      <c r="AN295" s="62">
        <v>24</v>
      </c>
      <c r="AO295" s="62">
        <v>43</v>
      </c>
      <c r="AP295" s="62">
        <v>32</v>
      </c>
      <c r="AQ295" s="62">
        <v>42</v>
      </c>
      <c r="AR295" s="62">
        <v>30</v>
      </c>
      <c r="AS295" s="62">
        <v>41</v>
      </c>
      <c r="AT295" s="62">
        <v>27</v>
      </c>
      <c r="AU295" s="62">
        <v>25</v>
      </c>
      <c r="AV295" s="62">
        <v>22</v>
      </c>
      <c r="AW295" s="62">
        <v>33</v>
      </c>
      <c r="AX295" s="62">
        <v>38</v>
      </c>
      <c r="AY295" s="62">
        <v>32</v>
      </c>
      <c r="AZ295" s="62">
        <v>29</v>
      </c>
      <c r="BA295" s="62">
        <v>33</v>
      </c>
      <c r="BB295" s="62">
        <v>39</v>
      </c>
      <c r="BC295" s="62">
        <v>38</v>
      </c>
      <c r="BD295" s="62">
        <v>39</v>
      </c>
      <c r="BE295" s="62">
        <v>47</v>
      </c>
      <c r="BF295" s="62">
        <v>47</v>
      </c>
      <c r="BG295" s="62">
        <v>48</v>
      </c>
      <c r="BH295" s="62">
        <v>36</v>
      </c>
    </row>
    <row r="296" spans="2:60" hidden="1" x14ac:dyDescent="0.2">
      <c r="B296" s="59"/>
      <c r="C296" s="59" t="s">
        <v>684</v>
      </c>
      <c r="D296" s="59" t="s">
        <v>655</v>
      </c>
      <c r="E296" s="63">
        <v>19</v>
      </c>
      <c r="F296" s="63">
        <v>27</v>
      </c>
      <c r="G296" s="63">
        <v>22</v>
      </c>
      <c r="H296" s="63">
        <v>24</v>
      </c>
      <c r="I296" s="63">
        <v>27</v>
      </c>
      <c r="J296" s="63">
        <v>20</v>
      </c>
      <c r="K296" s="63">
        <v>36</v>
      </c>
      <c r="L296" s="63">
        <v>25</v>
      </c>
      <c r="M296" s="63">
        <v>23</v>
      </c>
      <c r="N296" s="63">
        <v>27</v>
      </c>
      <c r="O296" s="63">
        <v>37</v>
      </c>
      <c r="P296" s="63">
        <v>21</v>
      </c>
      <c r="Q296" s="63">
        <v>29</v>
      </c>
      <c r="R296" s="63">
        <v>18</v>
      </c>
      <c r="S296" s="63">
        <v>28</v>
      </c>
      <c r="T296" s="63">
        <v>15</v>
      </c>
      <c r="U296" s="63">
        <v>31</v>
      </c>
      <c r="V296" s="63">
        <v>21</v>
      </c>
      <c r="W296" s="63">
        <v>31</v>
      </c>
      <c r="X296" s="63">
        <v>24</v>
      </c>
      <c r="Y296" s="63">
        <v>30</v>
      </c>
      <c r="Z296" s="63">
        <v>28</v>
      </c>
      <c r="AA296" s="63">
        <v>25</v>
      </c>
      <c r="AB296" s="63">
        <v>26</v>
      </c>
      <c r="AC296" s="63">
        <v>17</v>
      </c>
      <c r="AD296" s="63">
        <v>22</v>
      </c>
      <c r="AE296" s="63">
        <v>18</v>
      </c>
      <c r="AF296" s="63">
        <v>21</v>
      </c>
      <c r="AG296" s="63">
        <v>21</v>
      </c>
      <c r="AH296" s="63">
        <v>18</v>
      </c>
      <c r="AI296" s="63">
        <v>21</v>
      </c>
      <c r="AJ296" s="63">
        <v>21</v>
      </c>
      <c r="AK296" s="63">
        <v>14</v>
      </c>
      <c r="AL296" s="63">
        <v>41</v>
      </c>
      <c r="AM296" s="63">
        <v>20</v>
      </c>
      <c r="AN296" s="63">
        <v>13</v>
      </c>
      <c r="AO296" s="63">
        <v>18</v>
      </c>
      <c r="AP296" s="63">
        <v>17</v>
      </c>
      <c r="AQ296" s="63">
        <v>16</v>
      </c>
      <c r="AR296" s="63">
        <v>23</v>
      </c>
      <c r="AS296" s="63">
        <v>27</v>
      </c>
      <c r="AT296" s="63">
        <v>24</v>
      </c>
      <c r="AU296" s="63">
        <v>13</v>
      </c>
      <c r="AV296" s="63">
        <v>22</v>
      </c>
      <c r="AW296" s="63">
        <v>18</v>
      </c>
      <c r="AX296" s="63">
        <v>15</v>
      </c>
      <c r="AY296" s="63">
        <v>17</v>
      </c>
      <c r="AZ296" s="63">
        <v>28</v>
      </c>
      <c r="BA296" s="63">
        <v>22</v>
      </c>
      <c r="BB296" s="63">
        <v>32</v>
      </c>
      <c r="BC296" s="63">
        <v>35</v>
      </c>
      <c r="BD296" s="63">
        <v>26</v>
      </c>
      <c r="BE296" s="63">
        <v>26</v>
      </c>
      <c r="BF296" s="63">
        <v>31</v>
      </c>
      <c r="BG296" s="63">
        <v>37</v>
      </c>
      <c r="BH296" s="63">
        <v>25</v>
      </c>
    </row>
    <row r="297" spans="2:60" hidden="1" x14ac:dyDescent="0.2">
      <c r="B297" s="57"/>
      <c r="C297" s="57" t="s">
        <v>684</v>
      </c>
      <c r="D297" s="57" t="s">
        <v>699</v>
      </c>
      <c r="E297" s="62">
        <v>67</v>
      </c>
      <c r="F297" s="62">
        <v>67</v>
      </c>
      <c r="G297" s="62">
        <v>77</v>
      </c>
      <c r="H297" s="62">
        <v>78</v>
      </c>
      <c r="I297" s="62">
        <v>76</v>
      </c>
      <c r="J297" s="62">
        <v>47</v>
      </c>
      <c r="K297" s="62">
        <v>69</v>
      </c>
      <c r="L297" s="62">
        <v>63</v>
      </c>
      <c r="M297" s="62">
        <v>63</v>
      </c>
      <c r="N297" s="62">
        <v>56</v>
      </c>
      <c r="O297" s="62">
        <v>53</v>
      </c>
      <c r="P297" s="62">
        <v>58</v>
      </c>
      <c r="Q297" s="62">
        <v>56</v>
      </c>
      <c r="R297" s="62">
        <v>45</v>
      </c>
      <c r="S297" s="62">
        <v>47</v>
      </c>
      <c r="T297" s="62">
        <v>48</v>
      </c>
      <c r="U297" s="62">
        <v>49</v>
      </c>
      <c r="V297" s="62">
        <v>52</v>
      </c>
      <c r="W297" s="62">
        <v>60</v>
      </c>
      <c r="X297" s="62">
        <v>45</v>
      </c>
      <c r="Y297" s="62">
        <v>47</v>
      </c>
      <c r="Z297" s="62">
        <v>52</v>
      </c>
      <c r="AA297" s="62">
        <v>60</v>
      </c>
      <c r="AB297" s="62">
        <v>36</v>
      </c>
      <c r="AC297" s="62">
        <v>36</v>
      </c>
      <c r="AD297" s="62">
        <v>40</v>
      </c>
      <c r="AE297" s="62">
        <v>32</v>
      </c>
      <c r="AF297" s="62">
        <v>42</v>
      </c>
      <c r="AG297" s="62">
        <v>42</v>
      </c>
      <c r="AH297" s="62">
        <v>39</v>
      </c>
      <c r="AI297" s="62">
        <v>30</v>
      </c>
      <c r="AJ297" s="62">
        <v>42</v>
      </c>
      <c r="AK297" s="62">
        <v>28</v>
      </c>
      <c r="AL297" s="62">
        <v>46</v>
      </c>
      <c r="AM297" s="62">
        <v>41</v>
      </c>
      <c r="AN297" s="62">
        <v>44</v>
      </c>
      <c r="AO297" s="62">
        <v>40</v>
      </c>
      <c r="AP297" s="62">
        <v>31</v>
      </c>
      <c r="AQ297" s="62">
        <v>56</v>
      </c>
      <c r="AR297" s="62">
        <v>39</v>
      </c>
      <c r="AS297" s="62">
        <v>39</v>
      </c>
      <c r="AT297" s="62">
        <v>39</v>
      </c>
      <c r="AU297" s="62">
        <v>35</v>
      </c>
      <c r="AV297" s="62">
        <v>33</v>
      </c>
      <c r="AW297" s="62">
        <v>49</v>
      </c>
      <c r="AX297" s="62">
        <v>58</v>
      </c>
      <c r="AY297" s="62">
        <v>59</v>
      </c>
      <c r="AZ297" s="62">
        <v>50</v>
      </c>
      <c r="BA297" s="62">
        <v>51</v>
      </c>
      <c r="BB297" s="62">
        <v>41</v>
      </c>
      <c r="BC297" s="62">
        <v>45</v>
      </c>
      <c r="BD297" s="62">
        <v>45</v>
      </c>
      <c r="BE297" s="62">
        <v>50</v>
      </c>
      <c r="BF297" s="62">
        <v>55</v>
      </c>
      <c r="BG297" s="62">
        <v>50</v>
      </c>
      <c r="BH297" s="62">
        <v>41</v>
      </c>
    </row>
    <row r="298" spans="2:60" hidden="1" x14ac:dyDescent="0.2">
      <c r="B298" s="59"/>
      <c r="C298" s="59" t="s">
        <v>684</v>
      </c>
      <c r="D298" s="59" t="s">
        <v>656</v>
      </c>
      <c r="E298" s="63">
        <v>670</v>
      </c>
      <c r="F298" s="63">
        <v>645</v>
      </c>
      <c r="G298" s="63">
        <v>738</v>
      </c>
      <c r="H298" s="63">
        <v>689</v>
      </c>
      <c r="I298" s="63">
        <v>638</v>
      </c>
      <c r="J298" s="63">
        <v>620</v>
      </c>
      <c r="K298" s="63">
        <v>665</v>
      </c>
      <c r="L298" s="63">
        <v>648</v>
      </c>
      <c r="M298" s="63">
        <v>639</v>
      </c>
      <c r="N298" s="63">
        <v>592</v>
      </c>
      <c r="O298" s="63">
        <v>635</v>
      </c>
      <c r="P298" s="63">
        <v>586</v>
      </c>
      <c r="Q298" s="63">
        <v>562</v>
      </c>
      <c r="R298" s="63">
        <v>572</v>
      </c>
      <c r="S298" s="63">
        <v>636</v>
      </c>
      <c r="T298" s="63">
        <v>586</v>
      </c>
      <c r="U298" s="63">
        <v>493</v>
      </c>
      <c r="V298" s="63">
        <v>566</v>
      </c>
      <c r="W298" s="63">
        <v>598</v>
      </c>
      <c r="X298" s="63">
        <v>555</v>
      </c>
      <c r="Y298" s="63">
        <v>545</v>
      </c>
      <c r="Z298" s="63">
        <v>525</v>
      </c>
      <c r="AA298" s="63">
        <v>536</v>
      </c>
      <c r="AB298" s="63">
        <v>491</v>
      </c>
      <c r="AC298" s="63">
        <v>490</v>
      </c>
      <c r="AD298" s="63">
        <v>508</v>
      </c>
      <c r="AE298" s="63">
        <v>465</v>
      </c>
      <c r="AF298" s="63">
        <v>550</v>
      </c>
      <c r="AG298" s="63">
        <v>502</v>
      </c>
      <c r="AH298" s="63">
        <v>513</v>
      </c>
      <c r="AI298" s="63">
        <v>399</v>
      </c>
      <c r="AJ298" s="63">
        <v>546</v>
      </c>
      <c r="AK298" s="63">
        <v>461</v>
      </c>
      <c r="AL298" s="63">
        <v>604</v>
      </c>
      <c r="AM298" s="63">
        <v>489</v>
      </c>
      <c r="AN298" s="63">
        <v>413</v>
      </c>
      <c r="AO298" s="63">
        <v>470</v>
      </c>
      <c r="AP298" s="63">
        <v>425</v>
      </c>
      <c r="AQ298" s="63">
        <v>455</v>
      </c>
      <c r="AR298" s="63">
        <v>431</v>
      </c>
      <c r="AS298" s="63">
        <v>470</v>
      </c>
      <c r="AT298" s="63">
        <v>471</v>
      </c>
      <c r="AU298" s="63">
        <v>442</v>
      </c>
      <c r="AV298" s="63">
        <v>383</v>
      </c>
      <c r="AW298" s="63">
        <v>449</v>
      </c>
      <c r="AX298" s="63">
        <v>492</v>
      </c>
      <c r="AY298" s="63">
        <v>481</v>
      </c>
      <c r="AZ298" s="63">
        <v>436</v>
      </c>
      <c r="BA298" s="63">
        <v>432</v>
      </c>
      <c r="BB298" s="63">
        <v>456</v>
      </c>
      <c r="BC298" s="63">
        <v>473</v>
      </c>
      <c r="BD298" s="63">
        <v>420</v>
      </c>
      <c r="BE298" s="63">
        <v>451</v>
      </c>
      <c r="BF298" s="63">
        <v>474</v>
      </c>
      <c r="BG298" s="63">
        <v>494</v>
      </c>
      <c r="BH298" s="63">
        <v>465</v>
      </c>
    </row>
    <row r="299" spans="2:60" hidden="1" x14ac:dyDescent="0.2">
      <c r="B299" s="57"/>
      <c r="C299" s="57" t="s">
        <v>685</v>
      </c>
      <c r="D299" s="57" t="s">
        <v>648</v>
      </c>
      <c r="E299" s="62">
        <v>1</v>
      </c>
      <c r="F299" s="62"/>
      <c r="G299" s="62">
        <v>1</v>
      </c>
      <c r="H299" s="62">
        <v>1</v>
      </c>
      <c r="I299" s="62"/>
      <c r="J299" s="62"/>
      <c r="K299" s="62">
        <v>1</v>
      </c>
      <c r="L299" s="62"/>
      <c r="M299" s="62">
        <v>2</v>
      </c>
      <c r="N299" s="62"/>
      <c r="O299" s="62">
        <v>2</v>
      </c>
      <c r="P299" s="62"/>
      <c r="Q299" s="62">
        <v>1</v>
      </c>
      <c r="R299" s="62">
        <v>2</v>
      </c>
      <c r="S299" s="62"/>
      <c r="T299" s="62">
        <v>4</v>
      </c>
      <c r="U299" s="62">
        <v>1</v>
      </c>
      <c r="V299" s="62">
        <v>3</v>
      </c>
      <c r="W299" s="62">
        <v>1</v>
      </c>
      <c r="X299" s="62"/>
      <c r="Y299" s="62">
        <v>1</v>
      </c>
      <c r="Z299" s="62">
        <v>2</v>
      </c>
      <c r="AA299" s="62">
        <v>4</v>
      </c>
      <c r="AB299" s="62">
        <v>1</v>
      </c>
      <c r="AC299" s="62">
        <v>3</v>
      </c>
      <c r="AD299" s="62">
        <v>1</v>
      </c>
      <c r="AE299" s="62"/>
      <c r="AF299" s="62">
        <v>1</v>
      </c>
      <c r="AG299" s="62">
        <v>2</v>
      </c>
      <c r="AH299" s="62"/>
      <c r="AI299" s="62"/>
      <c r="AJ299" s="62"/>
      <c r="AK299" s="62"/>
      <c r="AL299" s="62"/>
      <c r="AM299" s="62">
        <v>1</v>
      </c>
      <c r="AN299" s="62">
        <v>2</v>
      </c>
      <c r="AO299" s="62">
        <v>3</v>
      </c>
      <c r="AP299" s="62"/>
      <c r="AQ299" s="62">
        <v>1</v>
      </c>
      <c r="AR299" s="62"/>
      <c r="AS299" s="62"/>
      <c r="AT299" s="62">
        <v>2</v>
      </c>
      <c r="AU299" s="62">
        <v>3</v>
      </c>
      <c r="AV299" s="62"/>
      <c r="AW299" s="62">
        <v>1</v>
      </c>
      <c r="AX299" s="62">
        <v>1</v>
      </c>
      <c r="AY299" s="62"/>
      <c r="AZ299" s="62"/>
      <c r="BA299" s="62"/>
      <c r="BB299" s="62">
        <v>1</v>
      </c>
      <c r="BC299" s="62">
        <v>2</v>
      </c>
      <c r="BD299" s="62"/>
      <c r="BE299" s="62">
        <v>1</v>
      </c>
      <c r="BF299" s="62">
        <v>3</v>
      </c>
      <c r="BG299" s="62"/>
      <c r="BH299" s="62">
        <v>3</v>
      </c>
    </row>
    <row r="300" spans="2:60" hidden="1" x14ac:dyDescent="0.2">
      <c r="B300" s="59"/>
      <c r="C300" s="59" t="s">
        <v>685</v>
      </c>
      <c r="D300" s="59" t="s">
        <v>649</v>
      </c>
      <c r="E300" s="63">
        <v>15</v>
      </c>
      <c r="F300" s="63">
        <v>4</v>
      </c>
      <c r="G300" s="63">
        <v>10</v>
      </c>
      <c r="H300" s="63">
        <v>10</v>
      </c>
      <c r="I300" s="63">
        <v>3</v>
      </c>
      <c r="J300" s="63">
        <v>4</v>
      </c>
      <c r="K300" s="63">
        <v>6</v>
      </c>
      <c r="L300" s="63">
        <v>10</v>
      </c>
      <c r="M300" s="63">
        <v>12</v>
      </c>
      <c r="N300" s="63">
        <v>7</v>
      </c>
      <c r="O300" s="63">
        <v>13</v>
      </c>
      <c r="P300" s="63">
        <v>8</v>
      </c>
      <c r="Q300" s="63">
        <v>12</v>
      </c>
      <c r="R300" s="63">
        <v>6</v>
      </c>
      <c r="S300" s="63">
        <v>12</v>
      </c>
      <c r="T300" s="63">
        <v>4</v>
      </c>
      <c r="U300" s="63">
        <v>19</v>
      </c>
      <c r="V300" s="63">
        <v>6</v>
      </c>
      <c r="W300" s="63">
        <v>8</v>
      </c>
      <c r="X300" s="63">
        <v>6</v>
      </c>
      <c r="Y300" s="63">
        <v>9</v>
      </c>
      <c r="Z300" s="63">
        <v>10</v>
      </c>
      <c r="AA300" s="63">
        <v>10</v>
      </c>
      <c r="AB300" s="63">
        <v>5</v>
      </c>
      <c r="AC300" s="63">
        <v>8</v>
      </c>
      <c r="AD300" s="63">
        <v>11</v>
      </c>
      <c r="AE300" s="63">
        <v>10</v>
      </c>
      <c r="AF300" s="63">
        <v>5</v>
      </c>
      <c r="AG300" s="63">
        <v>9</v>
      </c>
      <c r="AH300" s="63">
        <v>11</v>
      </c>
      <c r="AI300" s="63">
        <v>3</v>
      </c>
      <c r="AJ300" s="63">
        <v>5</v>
      </c>
      <c r="AK300" s="63">
        <v>14</v>
      </c>
      <c r="AL300" s="63">
        <v>5</v>
      </c>
      <c r="AM300" s="63">
        <v>10</v>
      </c>
      <c r="AN300" s="63">
        <v>9</v>
      </c>
      <c r="AO300" s="63">
        <v>10</v>
      </c>
      <c r="AP300" s="63">
        <v>11</v>
      </c>
      <c r="AQ300" s="63">
        <v>3</v>
      </c>
      <c r="AR300" s="63">
        <v>5</v>
      </c>
      <c r="AS300" s="63">
        <v>3</v>
      </c>
      <c r="AT300" s="63">
        <v>4</v>
      </c>
      <c r="AU300" s="63">
        <v>5</v>
      </c>
      <c r="AV300" s="63">
        <v>1</v>
      </c>
      <c r="AW300" s="63">
        <v>1</v>
      </c>
      <c r="AX300" s="63">
        <v>7</v>
      </c>
      <c r="AY300" s="63">
        <v>8</v>
      </c>
      <c r="AZ300" s="63">
        <v>8</v>
      </c>
      <c r="BA300" s="63">
        <v>6</v>
      </c>
      <c r="BB300" s="63">
        <v>3</v>
      </c>
      <c r="BC300" s="63">
        <v>9</v>
      </c>
      <c r="BD300" s="63">
        <v>6</v>
      </c>
      <c r="BE300" s="63">
        <v>7</v>
      </c>
      <c r="BF300" s="63">
        <v>8</v>
      </c>
      <c r="BG300" s="63">
        <v>7</v>
      </c>
      <c r="BH300" s="63">
        <v>6</v>
      </c>
    </row>
    <row r="301" spans="2:60" hidden="1" x14ac:dyDescent="0.2">
      <c r="B301" s="57"/>
      <c r="C301" s="57" t="s">
        <v>685</v>
      </c>
      <c r="D301" s="57" t="s">
        <v>650</v>
      </c>
      <c r="E301" s="62"/>
      <c r="F301" s="62"/>
      <c r="G301" s="62">
        <v>1</v>
      </c>
      <c r="H301" s="62">
        <v>4</v>
      </c>
      <c r="I301" s="62">
        <v>1</v>
      </c>
      <c r="J301" s="62">
        <v>4</v>
      </c>
      <c r="K301" s="62">
        <v>2</v>
      </c>
      <c r="L301" s="62">
        <v>1</v>
      </c>
      <c r="M301" s="62"/>
      <c r="N301" s="62">
        <v>2</v>
      </c>
      <c r="O301" s="62">
        <v>1</v>
      </c>
      <c r="P301" s="62"/>
      <c r="Q301" s="62">
        <v>4</v>
      </c>
      <c r="R301" s="62">
        <v>1</v>
      </c>
      <c r="S301" s="62">
        <v>1</v>
      </c>
      <c r="T301" s="62"/>
      <c r="U301" s="62">
        <v>3</v>
      </c>
      <c r="V301" s="62"/>
      <c r="W301" s="62">
        <v>1</v>
      </c>
      <c r="X301" s="62">
        <v>1</v>
      </c>
      <c r="Y301" s="62">
        <v>2</v>
      </c>
      <c r="Z301" s="62">
        <v>1</v>
      </c>
      <c r="AA301" s="62">
        <v>1</v>
      </c>
      <c r="AB301" s="62">
        <v>2</v>
      </c>
      <c r="AC301" s="62">
        <v>1</v>
      </c>
      <c r="AD301" s="62">
        <v>2</v>
      </c>
      <c r="AE301" s="62">
        <v>2</v>
      </c>
      <c r="AF301" s="62"/>
      <c r="AG301" s="62">
        <v>1</v>
      </c>
      <c r="AH301" s="62"/>
      <c r="AI301" s="62">
        <v>2</v>
      </c>
      <c r="AJ301" s="62"/>
      <c r="AK301" s="62">
        <v>1</v>
      </c>
      <c r="AL301" s="62"/>
      <c r="AM301" s="62">
        <v>1</v>
      </c>
      <c r="AN301" s="62"/>
      <c r="AO301" s="62"/>
      <c r="AP301" s="62"/>
      <c r="AQ301" s="62"/>
      <c r="AR301" s="62">
        <v>1</v>
      </c>
      <c r="AS301" s="62"/>
      <c r="AT301" s="62"/>
      <c r="AU301" s="62"/>
      <c r="AV301" s="62"/>
      <c r="AW301" s="62"/>
      <c r="AX301" s="62"/>
      <c r="AY301" s="62"/>
      <c r="AZ301" s="62">
        <v>2</v>
      </c>
      <c r="BA301" s="62"/>
      <c r="BB301" s="62"/>
      <c r="BC301" s="62"/>
      <c r="BD301" s="62">
        <v>2</v>
      </c>
      <c r="BE301" s="62"/>
      <c r="BF301" s="62">
        <v>1</v>
      </c>
      <c r="BG301" s="62">
        <v>1</v>
      </c>
      <c r="BH301" s="62">
        <v>1</v>
      </c>
    </row>
    <row r="302" spans="2:60" hidden="1" x14ac:dyDescent="0.2">
      <c r="B302" s="59"/>
      <c r="C302" s="59" t="s">
        <v>685</v>
      </c>
      <c r="D302" s="59" t="s">
        <v>651</v>
      </c>
      <c r="E302" s="63">
        <v>10</v>
      </c>
      <c r="F302" s="63">
        <v>11</v>
      </c>
      <c r="G302" s="63">
        <v>16</v>
      </c>
      <c r="H302" s="63">
        <v>15</v>
      </c>
      <c r="I302" s="63">
        <v>11</v>
      </c>
      <c r="J302" s="63">
        <v>12</v>
      </c>
      <c r="K302" s="63">
        <v>12</v>
      </c>
      <c r="L302" s="63">
        <v>13</v>
      </c>
      <c r="M302" s="63">
        <v>15</v>
      </c>
      <c r="N302" s="63">
        <v>10</v>
      </c>
      <c r="O302" s="63">
        <v>11</v>
      </c>
      <c r="P302" s="63">
        <v>10</v>
      </c>
      <c r="Q302" s="63">
        <v>7</v>
      </c>
      <c r="R302" s="63">
        <v>8</v>
      </c>
      <c r="S302" s="63">
        <v>10</v>
      </c>
      <c r="T302" s="63">
        <v>11</v>
      </c>
      <c r="U302" s="63">
        <v>12</v>
      </c>
      <c r="V302" s="63">
        <v>9</v>
      </c>
      <c r="W302" s="63">
        <v>8</v>
      </c>
      <c r="X302" s="63">
        <v>9</v>
      </c>
      <c r="Y302" s="63">
        <v>9</v>
      </c>
      <c r="Z302" s="63">
        <v>8</v>
      </c>
      <c r="AA302" s="63">
        <v>5</v>
      </c>
      <c r="AB302" s="63">
        <v>7</v>
      </c>
      <c r="AC302" s="63">
        <v>4</v>
      </c>
      <c r="AD302" s="63">
        <v>13</v>
      </c>
      <c r="AE302" s="63">
        <v>11</v>
      </c>
      <c r="AF302" s="63">
        <v>9</v>
      </c>
      <c r="AG302" s="63">
        <v>11</v>
      </c>
      <c r="AH302" s="63">
        <v>6</v>
      </c>
      <c r="AI302" s="63">
        <v>8</v>
      </c>
      <c r="AJ302" s="63">
        <v>10</v>
      </c>
      <c r="AK302" s="63">
        <v>8</v>
      </c>
      <c r="AL302" s="63">
        <v>14</v>
      </c>
      <c r="AM302" s="63">
        <v>8</v>
      </c>
      <c r="AN302" s="63">
        <v>9</v>
      </c>
      <c r="AO302" s="63">
        <v>6</v>
      </c>
      <c r="AP302" s="63">
        <v>6</v>
      </c>
      <c r="AQ302" s="63">
        <v>11</v>
      </c>
      <c r="AR302" s="63">
        <v>8</v>
      </c>
      <c r="AS302" s="63">
        <v>7</v>
      </c>
      <c r="AT302" s="63">
        <v>3</v>
      </c>
      <c r="AU302" s="63">
        <v>5</v>
      </c>
      <c r="AV302" s="63">
        <v>6</v>
      </c>
      <c r="AW302" s="63">
        <v>6</v>
      </c>
      <c r="AX302" s="63">
        <v>3</v>
      </c>
      <c r="AY302" s="63">
        <v>8</v>
      </c>
      <c r="AZ302" s="63">
        <v>5</v>
      </c>
      <c r="BA302" s="63">
        <v>7</v>
      </c>
      <c r="BB302" s="63">
        <v>6</v>
      </c>
      <c r="BC302" s="63">
        <v>3</v>
      </c>
      <c r="BD302" s="63">
        <v>7</v>
      </c>
      <c r="BE302" s="63">
        <v>8</v>
      </c>
      <c r="BF302" s="63">
        <v>6</v>
      </c>
      <c r="BG302" s="63">
        <v>7</v>
      </c>
      <c r="BH302" s="63">
        <v>5</v>
      </c>
    </row>
    <row r="303" spans="2:60" hidden="1" x14ac:dyDescent="0.2">
      <c r="B303" s="57"/>
      <c r="C303" s="57" t="s">
        <v>685</v>
      </c>
      <c r="D303" s="57" t="s">
        <v>652</v>
      </c>
      <c r="E303" s="62">
        <v>53</v>
      </c>
      <c r="F303" s="62">
        <v>45</v>
      </c>
      <c r="G303" s="62">
        <v>42</v>
      </c>
      <c r="H303" s="62">
        <v>41</v>
      </c>
      <c r="I303" s="62">
        <v>54</v>
      </c>
      <c r="J303" s="62">
        <v>33</v>
      </c>
      <c r="K303" s="62">
        <v>51</v>
      </c>
      <c r="L303" s="62">
        <v>65</v>
      </c>
      <c r="M303" s="62">
        <v>46</v>
      </c>
      <c r="N303" s="62">
        <v>33</v>
      </c>
      <c r="O303" s="62">
        <v>49</v>
      </c>
      <c r="P303" s="62">
        <v>43</v>
      </c>
      <c r="Q303" s="62">
        <v>60</v>
      </c>
      <c r="R303" s="62">
        <v>41</v>
      </c>
      <c r="S303" s="62">
        <v>46</v>
      </c>
      <c r="T303" s="62">
        <v>38</v>
      </c>
      <c r="U303" s="62">
        <v>54</v>
      </c>
      <c r="V303" s="62">
        <v>48</v>
      </c>
      <c r="W303" s="62">
        <v>48</v>
      </c>
      <c r="X303" s="62">
        <v>35</v>
      </c>
      <c r="Y303" s="62">
        <v>60</v>
      </c>
      <c r="Z303" s="62">
        <v>35</v>
      </c>
      <c r="AA303" s="62">
        <v>36</v>
      </c>
      <c r="AB303" s="62">
        <v>29</v>
      </c>
      <c r="AC303" s="62">
        <v>46</v>
      </c>
      <c r="AD303" s="62">
        <v>47</v>
      </c>
      <c r="AE303" s="62">
        <v>46</v>
      </c>
      <c r="AF303" s="62">
        <v>36</v>
      </c>
      <c r="AG303" s="62">
        <v>45</v>
      </c>
      <c r="AH303" s="62">
        <v>35</v>
      </c>
      <c r="AI303" s="62">
        <v>49</v>
      </c>
      <c r="AJ303" s="62">
        <v>29</v>
      </c>
      <c r="AK303" s="62">
        <v>43</v>
      </c>
      <c r="AL303" s="62">
        <v>52</v>
      </c>
      <c r="AM303" s="62">
        <v>41</v>
      </c>
      <c r="AN303" s="62">
        <v>32</v>
      </c>
      <c r="AO303" s="62">
        <v>32</v>
      </c>
      <c r="AP303" s="62">
        <v>28</v>
      </c>
      <c r="AQ303" s="62">
        <v>29</v>
      </c>
      <c r="AR303" s="62">
        <v>18</v>
      </c>
      <c r="AS303" s="62">
        <v>29</v>
      </c>
      <c r="AT303" s="62">
        <v>27</v>
      </c>
      <c r="AU303" s="62">
        <v>11</v>
      </c>
      <c r="AV303" s="62">
        <v>28</v>
      </c>
      <c r="AW303" s="62">
        <v>12</v>
      </c>
      <c r="AX303" s="62">
        <v>20</v>
      </c>
      <c r="AY303" s="62">
        <v>23</v>
      </c>
      <c r="AZ303" s="62">
        <v>25</v>
      </c>
      <c r="BA303" s="62">
        <v>22</v>
      </c>
      <c r="BB303" s="62">
        <v>24</v>
      </c>
      <c r="BC303" s="62">
        <v>20</v>
      </c>
      <c r="BD303" s="62">
        <v>16</v>
      </c>
      <c r="BE303" s="62">
        <v>20</v>
      </c>
      <c r="BF303" s="62">
        <v>14</v>
      </c>
      <c r="BG303" s="62">
        <v>19</v>
      </c>
      <c r="BH303" s="62">
        <v>16</v>
      </c>
    </row>
    <row r="304" spans="2:60" hidden="1" x14ac:dyDescent="0.2">
      <c r="B304" s="59"/>
      <c r="C304" s="59" t="s">
        <v>685</v>
      </c>
      <c r="D304" s="59" t="s">
        <v>653</v>
      </c>
      <c r="E304" s="63">
        <v>11</v>
      </c>
      <c r="F304" s="63">
        <v>7</v>
      </c>
      <c r="G304" s="63">
        <v>9</v>
      </c>
      <c r="H304" s="63">
        <v>9</v>
      </c>
      <c r="I304" s="63">
        <v>20</v>
      </c>
      <c r="J304" s="63">
        <v>10</v>
      </c>
      <c r="K304" s="63">
        <v>17</v>
      </c>
      <c r="L304" s="63">
        <v>16</v>
      </c>
      <c r="M304" s="63">
        <v>12</v>
      </c>
      <c r="N304" s="63">
        <v>7</v>
      </c>
      <c r="O304" s="63">
        <v>18</v>
      </c>
      <c r="P304" s="63">
        <v>14</v>
      </c>
      <c r="Q304" s="63">
        <v>23</v>
      </c>
      <c r="R304" s="63">
        <v>19</v>
      </c>
      <c r="S304" s="63">
        <v>24</v>
      </c>
      <c r="T304" s="63">
        <v>16</v>
      </c>
      <c r="U304" s="63">
        <v>19</v>
      </c>
      <c r="V304" s="63">
        <v>15</v>
      </c>
      <c r="W304" s="63">
        <v>13</v>
      </c>
      <c r="X304" s="63">
        <v>21</v>
      </c>
      <c r="Y304" s="63">
        <v>13</v>
      </c>
      <c r="Z304" s="63">
        <v>22</v>
      </c>
      <c r="AA304" s="63">
        <v>11</v>
      </c>
      <c r="AB304" s="63">
        <v>12</v>
      </c>
      <c r="AC304" s="63">
        <v>13</v>
      </c>
      <c r="AD304" s="63">
        <v>19</v>
      </c>
      <c r="AE304" s="63">
        <v>18</v>
      </c>
      <c r="AF304" s="63">
        <v>14</v>
      </c>
      <c r="AG304" s="63">
        <v>13</v>
      </c>
      <c r="AH304" s="63">
        <v>9</v>
      </c>
      <c r="AI304" s="63">
        <v>11</v>
      </c>
      <c r="AJ304" s="63">
        <v>11</v>
      </c>
      <c r="AK304" s="63">
        <v>20</v>
      </c>
      <c r="AL304" s="63">
        <v>13</v>
      </c>
      <c r="AM304" s="63">
        <v>18</v>
      </c>
      <c r="AN304" s="63">
        <v>7</v>
      </c>
      <c r="AO304" s="63">
        <v>14</v>
      </c>
      <c r="AP304" s="63">
        <v>21</v>
      </c>
      <c r="AQ304" s="63">
        <v>9</v>
      </c>
      <c r="AR304" s="63">
        <v>8</v>
      </c>
      <c r="AS304" s="63">
        <v>9</v>
      </c>
      <c r="AT304" s="63">
        <v>7</v>
      </c>
      <c r="AU304" s="63">
        <v>5</v>
      </c>
      <c r="AV304" s="63">
        <v>2</v>
      </c>
      <c r="AW304" s="63">
        <v>2</v>
      </c>
      <c r="AX304" s="63">
        <v>6</v>
      </c>
      <c r="AY304" s="63">
        <v>5</v>
      </c>
      <c r="AZ304" s="63">
        <v>6</v>
      </c>
      <c r="BA304" s="63">
        <v>7</v>
      </c>
      <c r="BB304" s="63">
        <v>8</v>
      </c>
      <c r="BC304" s="63">
        <v>4</v>
      </c>
      <c r="BD304" s="63">
        <v>13</v>
      </c>
      <c r="BE304" s="63">
        <v>6</v>
      </c>
      <c r="BF304" s="63">
        <v>9</v>
      </c>
      <c r="BG304" s="63">
        <v>10</v>
      </c>
      <c r="BH304" s="63">
        <v>9</v>
      </c>
    </row>
    <row r="305" spans="2:60" hidden="1" x14ac:dyDescent="0.2">
      <c r="B305" s="57"/>
      <c r="C305" s="57" t="s">
        <v>685</v>
      </c>
      <c r="D305" s="57" t="s">
        <v>654</v>
      </c>
      <c r="E305" s="62"/>
      <c r="F305" s="62"/>
      <c r="G305" s="62"/>
      <c r="H305" s="62"/>
      <c r="I305" s="62">
        <v>1</v>
      </c>
      <c r="J305" s="62"/>
      <c r="K305" s="62"/>
      <c r="L305" s="62">
        <v>1</v>
      </c>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row>
    <row r="306" spans="2:60" hidden="1" x14ac:dyDescent="0.2">
      <c r="B306" s="59"/>
      <c r="C306" s="59" t="s">
        <v>685</v>
      </c>
      <c r="D306" s="59" t="s">
        <v>655</v>
      </c>
      <c r="E306" s="63"/>
      <c r="F306" s="63"/>
      <c r="G306" s="63"/>
      <c r="H306" s="63"/>
      <c r="I306" s="63">
        <v>1</v>
      </c>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v>1</v>
      </c>
      <c r="BD306" s="63"/>
      <c r="BE306" s="63"/>
      <c r="BF306" s="63"/>
      <c r="BG306" s="63"/>
      <c r="BH306" s="63"/>
    </row>
    <row r="307" spans="2:60" hidden="1" x14ac:dyDescent="0.2">
      <c r="B307" s="57"/>
      <c r="C307" s="57" t="s">
        <v>685</v>
      </c>
      <c r="D307" s="57" t="s">
        <v>699</v>
      </c>
      <c r="E307" s="62">
        <v>13</v>
      </c>
      <c r="F307" s="62">
        <v>5</v>
      </c>
      <c r="G307" s="62">
        <v>6</v>
      </c>
      <c r="H307" s="62">
        <v>8</v>
      </c>
      <c r="I307" s="62">
        <v>4</v>
      </c>
      <c r="J307" s="62">
        <v>4</v>
      </c>
      <c r="K307" s="62">
        <v>5</v>
      </c>
      <c r="L307" s="62">
        <v>4</v>
      </c>
      <c r="M307" s="62">
        <v>10</v>
      </c>
      <c r="N307" s="62">
        <v>4</v>
      </c>
      <c r="O307" s="62">
        <v>6</v>
      </c>
      <c r="P307" s="62">
        <v>2</v>
      </c>
      <c r="Q307" s="62">
        <v>9</v>
      </c>
      <c r="R307" s="62">
        <v>3</v>
      </c>
      <c r="S307" s="62">
        <v>4</v>
      </c>
      <c r="T307" s="62">
        <v>8</v>
      </c>
      <c r="U307" s="62">
        <v>6</v>
      </c>
      <c r="V307" s="62">
        <v>3</v>
      </c>
      <c r="W307" s="62">
        <v>9</v>
      </c>
      <c r="X307" s="62">
        <v>6</v>
      </c>
      <c r="Y307" s="62">
        <v>4</v>
      </c>
      <c r="Z307" s="62">
        <v>2</v>
      </c>
      <c r="AA307" s="62">
        <v>2</v>
      </c>
      <c r="AB307" s="62">
        <v>7</v>
      </c>
      <c r="AC307" s="62"/>
      <c r="AD307" s="62">
        <v>5</v>
      </c>
      <c r="AE307" s="62">
        <v>4</v>
      </c>
      <c r="AF307" s="62">
        <v>4</v>
      </c>
      <c r="AG307" s="62">
        <v>3</v>
      </c>
      <c r="AH307" s="62">
        <v>4</v>
      </c>
      <c r="AI307" s="62">
        <v>7</v>
      </c>
      <c r="AJ307" s="62">
        <v>4</v>
      </c>
      <c r="AK307" s="62">
        <v>5</v>
      </c>
      <c r="AL307" s="62">
        <v>4</v>
      </c>
      <c r="AM307" s="62">
        <v>3</v>
      </c>
      <c r="AN307" s="62">
        <v>1</v>
      </c>
      <c r="AO307" s="62">
        <v>2</v>
      </c>
      <c r="AP307" s="62">
        <v>4</v>
      </c>
      <c r="AQ307" s="62"/>
      <c r="AR307" s="62">
        <v>2</v>
      </c>
      <c r="AS307" s="62">
        <v>2</v>
      </c>
      <c r="AT307" s="62">
        <v>1</v>
      </c>
      <c r="AU307" s="62">
        <v>4</v>
      </c>
      <c r="AV307" s="62">
        <v>5</v>
      </c>
      <c r="AW307" s="62">
        <v>1</v>
      </c>
      <c r="AX307" s="62">
        <v>3</v>
      </c>
      <c r="AY307" s="62">
        <v>4</v>
      </c>
      <c r="AZ307" s="62"/>
      <c r="BA307" s="62">
        <v>3</v>
      </c>
      <c r="BB307" s="62">
        <v>4</v>
      </c>
      <c r="BC307" s="62">
        <v>2</v>
      </c>
      <c r="BD307" s="62">
        <v>2</v>
      </c>
      <c r="BE307" s="62">
        <v>2</v>
      </c>
      <c r="BF307" s="62">
        <v>5</v>
      </c>
      <c r="BG307" s="62">
        <v>3</v>
      </c>
      <c r="BH307" s="62">
        <v>2</v>
      </c>
    </row>
    <row r="308" spans="2:60" hidden="1" x14ac:dyDescent="0.2">
      <c r="B308" s="59"/>
      <c r="C308" s="59" t="s">
        <v>685</v>
      </c>
      <c r="D308" s="59" t="s">
        <v>656</v>
      </c>
      <c r="E308" s="63">
        <v>103</v>
      </c>
      <c r="F308" s="63">
        <v>72</v>
      </c>
      <c r="G308" s="63">
        <v>85</v>
      </c>
      <c r="H308" s="63">
        <v>88</v>
      </c>
      <c r="I308" s="63">
        <v>95</v>
      </c>
      <c r="J308" s="63">
        <v>67</v>
      </c>
      <c r="K308" s="63">
        <v>94</v>
      </c>
      <c r="L308" s="63">
        <v>110</v>
      </c>
      <c r="M308" s="63">
        <v>97</v>
      </c>
      <c r="N308" s="63">
        <v>63</v>
      </c>
      <c r="O308" s="63">
        <v>100</v>
      </c>
      <c r="P308" s="63">
        <v>77</v>
      </c>
      <c r="Q308" s="63">
        <v>116</v>
      </c>
      <c r="R308" s="63">
        <v>80</v>
      </c>
      <c r="S308" s="63">
        <v>97</v>
      </c>
      <c r="T308" s="63">
        <v>81</v>
      </c>
      <c r="U308" s="63">
        <v>114</v>
      </c>
      <c r="V308" s="63">
        <v>84</v>
      </c>
      <c r="W308" s="63">
        <v>88</v>
      </c>
      <c r="X308" s="63">
        <v>78</v>
      </c>
      <c r="Y308" s="63">
        <v>98</v>
      </c>
      <c r="Z308" s="63">
        <v>80</v>
      </c>
      <c r="AA308" s="63">
        <v>69</v>
      </c>
      <c r="AB308" s="63">
        <v>63</v>
      </c>
      <c r="AC308" s="63">
        <v>75</v>
      </c>
      <c r="AD308" s="63">
        <v>98</v>
      </c>
      <c r="AE308" s="63">
        <v>91</v>
      </c>
      <c r="AF308" s="63">
        <v>69</v>
      </c>
      <c r="AG308" s="63">
        <v>84</v>
      </c>
      <c r="AH308" s="63">
        <v>65</v>
      </c>
      <c r="AI308" s="63">
        <v>80</v>
      </c>
      <c r="AJ308" s="63">
        <v>59</v>
      </c>
      <c r="AK308" s="63">
        <v>91</v>
      </c>
      <c r="AL308" s="63">
        <v>88</v>
      </c>
      <c r="AM308" s="63">
        <v>82</v>
      </c>
      <c r="AN308" s="63">
        <v>60</v>
      </c>
      <c r="AO308" s="63">
        <v>67</v>
      </c>
      <c r="AP308" s="63">
        <v>70</v>
      </c>
      <c r="AQ308" s="63">
        <v>53</v>
      </c>
      <c r="AR308" s="63">
        <v>42</v>
      </c>
      <c r="AS308" s="63">
        <v>50</v>
      </c>
      <c r="AT308" s="63">
        <v>44</v>
      </c>
      <c r="AU308" s="63">
        <v>33</v>
      </c>
      <c r="AV308" s="63">
        <v>42</v>
      </c>
      <c r="AW308" s="63">
        <v>23</v>
      </c>
      <c r="AX308" s="63">
        <v>40</v>
      </c>
      <c r="AY308" s="63">
        <v>48</v>
      </c>
      <c r="AZ308" s="63">
        <v>46</v>
      </c>
      <c r="BA308" s="63">
        <v>45</v>
      </c>
      <c r="BB308" s="63">
        <v>46</v>
      </c>
      <c r="BC308" s="63">
        <v>41</v>
      </c>
      <c r="BD308" s="63">
        <v>46</v>
      </c>
      <c r="BE308" s="63">
        <v>44</v>
      </c>
      <c r="BF308" s="63">
        <v>46</v>
      </c>
      <c r="BG308" s="63">
        <v>47</v>
      </c>
      <c r="BH308" s="63">
        <v>42</v>
      </c>
    </row>
    <row r="309" spans="2:60" hidden="1" x14ac:dyDescent="0.2">
      <c r="B309" s="57"/>
      <c r="C309" s="57" t="s">
        <v>686</v>
      </c>
      <c r="D309" s="57" t="s">
        <v>648</v>
      </c>
      <c r="E309" s="62">
        <v>43</v>
      </c>
      <c r="F309" s="62">
        <v>32</v>
      </c>
      <c r="G309" s="62">
        <v>39</v>
      </c>
      <c r="H309" s="62">
        <v>31</v>
      </c>
      <c r="I309" s="62">
        <v>36</v>
      </c>
      <c r="J309" s="62">
        <v>35</v>
      </c>
      <c r="K309" s="62">
        <v>31</v>
      </c>
      <c r="L309" s="62">
        <v>43</v>
      </c>
      <c r="M309" s="62">
        <v>37</v>
      </c>
      <c r="N309" s="62">
        <v>27</v>
      </c>
      <c r="O309" s="62">
        <v>34</v>
      </c>
      <c r="P309" s="62">
        <v>28</v>
      </c>
      <c r="Q309" s="62">
        <v>36</v>
      </c>
      <c r="R309" s="62">
        <v>22</v>
      </c>
      <c r="S309" s="62">
        <v>26</v>
      </c>
      <c r="T309" s="62">
        <v>36</v>
      </c>
      <c r="U309" s="62">
        <v>34</v>
      </c>
      <c r="V309" s="62">
        <v>43</v>
      </c>
      <c r="W309" s="62">
        <v>40</v>
      </c>
      <c r="X309" s="62">
        <v>33</v>
      </c>
      <c r="Y309" s="62">
        <v>36</v>
      </c>
      <c r="Z309" s="62">
        <v>48</v>
      </c>
      <c r="AA309" s="62">
        <v>32</v>
      </c>
      <c r="AB309" s="62">
        <v>32</v>
      </c>
      <c r="AC309" s="62">
        <v>29</v>
      </c>
      <c r="AD309" s="62">
        <v>29</v>
      </c>
      <c r="AE309" s="62">
        <v>28</v>
      </c>
      <c r="AF309" s="62">
        <v>24</v>
      </c>
      <c r="AG309" s="62">
        <v>14</v>
      </c>
      <c r="AH309" s="62">
        <v>27</v>
      </c>
      <c r="AI309" s="62">
        <v>36</v>
      </c>
      <c r="AJ309" s="62">
        <v>36</v>
      </c>
      <c r="AK309" s="62">
        <v>36</v>
      </c>
      <c r="AL309" s="62">
        <v>28</v>
      </c>
      <c r="AM309" s="62">
        <v>22</v>
      </c>
      <c r="AN309" s="62">
        <v>31</v>
      </c>
      <c r="AO309" s="62">
        <v>35</v>
      </c>
      <c r="AP309" s="62">
        <v>32</v>
      </c>
      <c r="AQ309" s="62">
        <v>27</v>
      </c>
      <c r="AR309" s="62">
        <v>23</v>
      </c>
      <c r="AS309" s="62">
        <v>33</v>
      </c>
      <c r="AT309" s="62">
        <v>28</v>
      </c>
      <c r="AU309" s="62">
        <v>21</v>
      </c>
      <c r="AV309" s="62">
        <v>28</v>
      </c>
      <c r="AW309" s="62">
        <v>20</v>
      </c>
      <c r="AX309" s="62">
        <v>26</v>
      </c>
      <c r="AY309" s="62">
        <v>22</v>
      </c>
      <c r="AZ309" s="62">
        <v>29</v>
      </c>
      <c r="BA309" s="62">
        <v>27</v>
      </c>
      <c r="BB309" s="62">
        <v>32</v>
      </c>
      <c r="BC309" s="62">
        <v>23</v>
      </c>
      <c r="BD309" s="62">
        <v>31</v>
      </c>
      <c r="BE309" s="62">
        <v>22</v>
      </c>
      <c r="BF309" s="62">
        <v>27</v>
      </c>
      <c r="BG309" s="62">
        <v>45</v>
      </c>
      <c r="BH309" s="62">
        <v>27</v>
      </c>
    </row>
    <row r="310" spans="2:60" x14ac:dyDescent="0.2">
      <c r="B310" s="59"/>
      <c r="C310" s="59" t="s">
        <v>686</v>
      </c>
      <c r="D310" s="59" t="s">
        <v>649</v>
      </c>
      <c r="E310" s="63">
        <v>80</v>
      </c>
      <c r="F310" s="63">
        <v>81</v>
      </c>
      <c r="G310" s="63">
        <v>89</v>
      </c>
      <c r="H310" s="63">
        <v>79</v>
      </c>
      <c r="I310" s="63">
        <v>72</v>
      </c>
      <c r="J310" s="63">
        <v>71</v>
      </c>
      <c r="K310" s="63">
        <v>76</v>
      </c>
      <c r="L310" s="63">
        <v>79</v>
      </c>
      <c r="M310" s="63">
        <v>83</v>
      </c>
      <c r="N310" s="63">
        <v>67</v>
      </c>
      <c r="O310" s="63">
        <v>69</v>
      </c>
      <c r="P310" s="63">
        <v>47</v>
      </c>
      <c r="Q310" s="63">
        <v>73</v>
      </c>
      <c r="R310" s="63">
        <v>56</v>
      </c>
      <c r="S310" s="63">
        <v>68</v>
      </c>
      <c r="T310" s="63">
        <v>66</v>
      </c>
      <c r="U310" s="63">
        <v>71</v>
      </c>
      <c r="V310" s="63">
        <v>80</v>
      </c>
      <c r="W310" s="63">
        <v>77</v>
      </c>
      <c r="X310" s="63">
        <v>75</v>
      </c>
      <c r="Y310" s="63">
        <v>88</v>
      </c>
      <c r="Z310" s="63">
        <v>74</v>
      </c>
      <c r="AA310" s="63">
        <v>90</v>
      </c>
      <c r="AB310" s="63">
        <v>58</v>
      </c>
      <c r="AC310" s="63">
        <v>78</v>
      </c>
      <c r="AD310" s="63">
        <v>63</v>
      </c>
      <c r="AE310" s="63">
        <v>90</v>
      </c>
      <c r="AF310" s="63">
        <v>70</v>
      </c>
      <c r="AG310" s="63">
        <v>84</v>
      </c>
      <c r="AH310" s="63">
        <v>77</v>
      </c>
      <c r="AI310" s="63">
        <v>72</v>
      </c>
      <c r="AJ310" s="63">
        <v>85</v>
      </c>
      <c r="AK310" s="63">
        <v>75</v>
      </c>
      <c r="AL310" s="63">
        <v>88</v>
      </c>
      <c r="AM310" s="63">
        <v>65</v>
      </c>
      <c r="AN310" s="63">
        <v>67</v>
      </c>
      <c r="AO310" s="63">
        <v>62</v>
      </c>
      <c r="AP310" s="63">
        <v>54</v>
      </c>
      <c r="AQ310" s="63">
        <v>42</v>
      </c>
      <c r="AR310" s="63">
        <v>43</v>
      </c>
      <c r="AS310" s="63">
        <v>60</v>
      </c>
      <c r="AT310" s="63">
        <v>46</v>
      </c>
      <c r="AU310" s="63">
        <v>39</v>
      </c>
      <c r="AV310" s="63">
        <v>41</v>
      </c>
      <c r="AW310" s="63">
        <v>47</v>
      </c>
      <c r="AX310" s="63">
        <v>61</v>
      </c>
      <c r="AY310" s="63">
        <v>62</v>
      </c>
      <c r="AZ310" s="63">
        <v>43</v>
      </c>
      <c r="BA310" s="63">
        <v>49</v>
      </c>
      <c r="BB310" s="63">
        <v>40</v>
      </c>
      <c r="BC310" s="63">
        <v>44</v>
      </c>
      <c r="BD310" s="63">
        <v>43</v>
      </c>
      <c r="BE310" s="63">
        <v>43</v>
      </c>
      <c r="BF310" s="63">
        <v>65</v>
      </c>
      <c r="BG310" s="63">
        <v>41</v>
      </c>
      <c r="BH310" s="63">
        <v>45</v>
      </c>
    </row>
    <row r="311" spans="2:60" hidden="1" x14ac:dyDescent="0.2">
      <c r="B311" s="57"/>
      <c r="C311" s="57" t="s">
        <v>686</v>
      </c>
      <c r="D311" s="57" t="s">
        <v>650</v>
      </c>
      <c r="E311" s="62">
        <v>34</v>
      </c>
      <c r="F311" s="62">
        <v>35</v>
      </c>
      <c r="G311" s="62">
        <v>31</v>
      </c>
      <c r="H311" s="62">
        <v>31</v>
      </c>
      <c r="I311" s="62">
        <v>32</v>
      </c>
      <c r="J311" s="62">
        <v>34</v>
      </c>
      <c r="K311" s="62">
        <v>37</v>
      </c>
      <c r="L311" s="62">
        <v>41</v>
      </c>
      <c r="M311" s="62">
        <v>24</v>
      </c>
      <c r="N311" s="62">
        <v>36</v>
      </c>
      <c r="O311" s="62">
        <v>28</v>
      </c>
      <c r="P311" s="62">
        <v>27</v>
      </c>
      <c r="Q311" s="62">
        <v>23</v>
      </c>
      <c r="R311" s="62">
        <v>19</v>
      </c>
      <c r="S311" s="62">
        <v>29</v>
      </c>
      <c r="T311" s="62">
        <v>32</v>
      </c>
      <c r="U311" s="62">
        <v>36</v>
      </c>
      <c r="V311" s="62">
        <v>29</v>
      </c>
      <c r="W311" s="62">
        <v>29</v>
      </c>
      <c r="X311" s="62">
        <v>31</v>
      </c>
      <c r="Y311" s="62">
        <v>39</v>
      </c>
      <c r="Z311" s="62">
        <v>29</v>
      </c>
      <c r="AA311" s="62">
        <v>33</v>
      </c>
      <c r="AB311" s="62">
        <v>26</v>
      </c>
      <c r="AC311" s="62">
        <v>25</v>
      </c>
      <c r="AD311" s="62">
        <v>26</v>
      </c>
      <c r="AE311" s="62">
        <v>35</v>
      </c>
      <c r="AF311" s="62">
        <v>26</v>
      </c>
      <c r="AG311" s="62">
        <v>24</v>
      </c>
      <c r="AH311" s="62">
        <v>26</v>
      </c>
      <c r="AI311" s="62">
        <v>26</v>
      </c>
      <c r="AJ311" s="62">
        <v>30</v>
      </c>
      <c r="AK311" s="62">
        <v>25</v>
      </c>
      <c r="AL311" s="62">
        <v>29</v>
      </c>
      <c r="AM311" s="62">
        <v>30</v>
      </c>
      <c r="AN311" s="62">
        <v>31</v>
      </c>
      <c r="AO311" s="62">
        <v>23</v>
      </c>
      <c r="AP311" s="62">
        <v>20</v>
      </c>
      <c r="AQ311" s="62">
        <v>18</v>
      </c>
      <c r="AR311" s="62">
        <v>14</v>
      </c>
      <c r="AS311" s="62">
        <v>10</v>
      </c>
      <c r="AT311" s="62">
        <v>13</v>
      </c>
      <c r="AU311" s="62">
        <v>19</v>
      </c>
      <c r="AV311" s="62">
        <v>13</v>
      </c>
      <c r="AW311" s="62">
        <v>21</v>
      </c>
      <c r="AX311" s="62">
        <v>24</v>
      </c>
      <c r="AY311" s="62">
        <v>18</v>
      </c>
      <c r="AZ311" s="62">
        <v>13</v>
      </c>
      <c r="BA311" s="62">
        <v>23</v>
      </c>
      <c r="BB311" s="62">
        <v>20</v>
      </c>
      <c r="BC311" s="62">
        <v>16</v>
      </c>
      <c r="BD311" s="62">
        <v>17</v>
      </c>
      <c r="BE311" s="62">
        <v>26</v>
      </c>
      <c r="BF311" s="62">
        <v>25</v>
      </c>
      <c r="BG311" s="62">
        <v>43</v>
      </c>
      <c r="BH311" s="62">
        <v>22</v>
      </c>
    </row>
    <row r="312" spans="2:60" hidden="1" x14ac:dyDescent="0.2">
      <c r="B312" s="59"/>
      <c r="C312" s="59" t="s">
        <v>686</v>
      </c>
      <c r="D312" s="59" t="s">
        <v>651</v>
      </c>
      <c r="E312" s="63">
        <v>51</v>
      </c>
      <c r="F312" s="63">
        <v>77</v>
      </c>
      <c r="G312" s="63">
        <v>67</v>
      </c>
      <c r="H312" s="63">
        <v>46</v>
      </c>
      <c r="I312" s="63">
        <v>89</v>
      </c>
      <c r="J312" s="63">
        <v>67</v>
      </c>
      <c r="K312" s="63">
        <v>62</v>
      </c>
      <c r="L312" s="63">
        <v>57</v>
      </c>
      <c r="M312" s="63">
        <v>68</v>
      </c>
      <c r="N312" s="63">
        <v>58</v>
      </c>
      <c r="O312" s="63">
        <v>69</v>
      </c>
      <c r="P312" s="63">
        <v>67</v>
      </c>
      <c r="Q312" s="63">
        <v>65</v>
      </c>
      <c r="R312" s="63">
        <v>65</v>
      </c>
      <c r="S312" s="63">
        <v>66</v>
      </c>
      <c r="T312" s="63">
        <v>52</v>
      </c>
      <c r="U312" s="63">
        <v>61</v>
      </c>
      <c r="V312" s="63">
        <v>56</v>
      </c>
      <c r="W312" s="63">
        <v>60</v>
      </c>
      <c r="X312" s="63">
        <v>48</v>
      </c>
      <c r="Y312" s="63">
        <v>59</v>
      </c>
      <c r="Z312" s="63">
        <v>52</v>
      </c>
      <c r="AA312" s="63">
        <v>53</v>
      </c>
      <c r="AB312" s="63">
        <v>48</v>
      </c>
      <c r="AC312" s="63">
        <v>59</v>
      </c>
      <c r="AD312" s="63">
        <v>54</v>
      </c>
      <c r="AE312" s="63">
        <v>43</v>
      </c>
      <c r="AF312" s="63">
        <v>40</v>
      </c>
      <c r="AG312" s="63">
        <v>47</v>
      </c>
      <c r="AH312" s="63">
        <v>42</v>
      </c>
      <c r="AI312" s="63">
        <v>39</v>
      </c>
      <c r="AJ312" s="63">
        <v>50</v>
      </c>
      <c r="AK312" s="63">
        <v>40</v>
      </c>
      <c r="AL312" s="63">
        <v>58</v>
      </c>
      <c r="AM312" s="63">
        <v>45</v>
      </c>
      <c r="AN312" s="63">
        <v>44</v>
      </c>
      <c r="AO312" s="63">
        <v>38</v>
      </c>
      <c r="AP312" s="63">
        <v>44</v>
      </c>
      <c r="AQ312" s="63">
        <v>47</v>
      </c>
      <c r="AR312" s="63">
        <v>40</v>
      </c>
      <c r="AS312" s="63">
        <v>47</v>
      </c>
      <c r="AT312" s="63">
        <v>45</v>
      </c>
      <c r="AU312" s="63">
        <v>36</v>
      </c>
      <c r="AV312" s="63">
        <v>34</v>
      </c>
      <c r="AW312" s="63">
        <v>45</v>
      </c>
      <c r="AX312" s="63">
        <v>36</v>
      </c>
      <c r="AY312" s="63">
        <v>43</v>
      </c>
      <c r="AZ312" s="63">
        <v>33</v>
      </c>
      <c r="BA312" s="63">
        <v>48</v>
      </c>
      <c r="BB312" s="63">
        <v>49</v>
      </c>
      <c r="BC312" s="63">
        <v>42</v>
      </c>
      <c r="BD312" s="63">
        <v>61</v>
      </c>
      <c r="BE312" s="63">
        <v>37</v>
      </c>
      <c r="BF312" s="63">
        <v>46</v>
      </c>
      <c r="BG312" s="63">
        <v>47</v>
      </c>
      <c r="BH312" s="63">
        <v>55</v>
      </c>
    </row>
    <row r="313" spans="2:60" x14ac:dyDescent="0.2">
      <c r="B313" s="57"/>
      <c r="C313" s="57" t="s">
        <v>686</v>
      </c>
      <c r="D313" s="57" t="s">
        <v>652</v>
      </c>
      <c r="E313" s="62">
        <v>349</v>
      </c>
      <c r="F313" s="62">
        <v>364</v>
      </c>
      <c r="G313" s="62">
        <v>348</v>
      </c>
      <c r="H313" s="62">
        <v>293</v>
      </c>
      <c r="I313" s="62">
        <v>339</v>
      </c>
      <c r="J313" s="62">
        <v>321</v>
      </c>
      <c r="K313" s="62">
        <v>386</v>
      </c>
      <c r="L313" s="62">
        <v>313</v>
      </c>
      <c r="M313" s="62">
        <v>358</v>
      </c>
      <c r="N313" s="62">
        <v>306</v>
      </c>
      <c r="O313" s="62">
        <v>367</v>
      </c>
      <c r="P313" s="62">
        <v>309</v>
      </c>
      <c r="Q313" s="62">
        <v>319</v>
      </c>
      <c r="R313" s="62">
        <v>311</v>
      </c>
      <c r="S313" s="62">
        <v>337</v>
      </c>
      <c r="T313" s="62">
        <v>294</v>
      </c>
      <c r="U313" s="62">
        <v>313</v>
      </c>
      <c r="V313" s="62">
        <v>288</v>
      </c>
      <c r="W313" s="62">
        <v>316</v>
      </c>
      <c r="X313" s="62">
        <v>271</v>
      </c>
      <c r="Y313" s="62">
        <v>333</v>
      </c>
      <c r="Z313" s="62">
        <v>305</v>
      </c>
      <c r="AA313" s="62">
        <v>291</v>
      </c>
      <c r="AB313" s="62">
        <v>272</v>
      </c>
      <c r="AC313" s="62">
        <v>316</v>
      </c>
      <c r="AD313" s="62">
        <v>328</v>
      </c>
      <c r="AE313" s="62">
        <v>257</v>
      </c>
      <c r="AF313" s="62">
        <v>297</v>
      </c>
      <c r="AG313" s="62">
        <v>289</v>
      </c>
      <c r="AH313" s="62">
        <v>255</v>
      </c>
      <c r="AI313" s="62">
        <v>248</v>
      </c>
      <c r="AJ313" s="62">
        <v>302</v>
      </c>
      <c r="AK313" s="62">
        <v>252</v>
      </c>
      <c r="AL313" s="62">
        <v>315</v>
      </c>
      <c r="AM313" s="62">
        <v>250</v>
      </c>
      <c r="AN313" s="62">
        <v>231</v>
      </c>
      <c r="AO313" s="62">
        <v>235</v>
      </c>
      <c r="AP313" s="62">
        <v>224</v>
      </c>
      <c r="AQ313" s="62">
        <v>256</v>
      </c>
      <c r="AR313" s="62">
        <v>258</v>
      </c>
      <c r="AS313" s="62">
        <v>230</v>
      </c>
      <c r="AT313" s="62">
        <v>257</v>
      </c>
      <c r="AU313" s="62">
        <v>231</v>
      </c>
      <c r="AV313" s="62">
        <v>239</v>
      </c>
      <c r="AW313" s="62">
        <v>222</v>
      </c>
      <c r="AX313" s="62">
        <v>245</v>
      </c>
      <c r="AY313" s="62">
        <v>238</v>
      </c>
      <c r="AZ313" s="62">
        <v>229</v>
      </c>
      <c r="BA313" s="62">
        <v>232</v>
      </c>
      <c r="BB313" s="62">
        <v>245</v>
      </c>
      <c r="BC313" s="62">
        <v>212</v>
      </c>
      <c r="BD313" s="62">
        <v>260</v>
      </c>
      <c r="BE313" s="62">
        <v>250</v>
      </c>
      <c r="BF313" s="62">
        <v>226</v>
      </c>
      <c r="BG313" s="62">
        <v>303</v>
      </c>
      <c r="BH313" s="62">
        <v>245</v>
      </c>
    </row>
    <row r="314" spans="2:60" hidden="1" x14ac:dyDescent="0.2">
      <c r="B314" s="59"/>
      <c r="C314" s="59" t="s">
        <v>686</v>
      </c>
      <c r="D314" s="59" t="s">
        <v>653</v>
      </c>
      <c r="E314" s="63">
        <v>388</v>
      </c>
      <c r="F314" s="63">
        <v>358</v>
      </c>
      <c r="G314" s="63">
        <v>398</v>
      </c>
      <c r="H314" s="63">
        <v>415</v>
      </c>
      <c r="I314" s="63">
        <v>368</v>
      </c>
      <c r="J314" s="63">
        <v>363</v>
      </c>
      <c r="K314" s="63">
        <v>378</v>
      </c>
      <c r="L314" s="63">
        <v>340</v>
      </c>
      <c r="M314" s="63">
        <v>367</v>
      </c>
      <c r="N314" s="63">
        <v>312</v>
      </c>
      <c r="O314" s="63">
        <v>359</v>
      </c>
      <c r="P314" s="63">
        <v>338</v>
      </c>
      <c r="Q314" s="63">
        <v>325</v>
      </c>
      <c r="R314" s="63">
        <v>353</v>
      </c>
      <c r="S314" s="63">
        <v>416</v>
      </c>
      <c r="T314" s="63">
        <v>352</v>
      </c>
      <c r="U314" s="63">
        <v>402</v>
      </c>
      <c r="V314" s="63">
        <v>394</v>
      </c>
      <c r="W314" s="63">
        <v>404</v>
      </c>
      <c r="X314" s="63">
        <v>363</v>
      </c>
      <c r="Y314" s="63">
        <v>414</v>
      </c>
      <c r="Z314" s="63">
        <v>380</v>
      </c>
      <c r="AA314" s="63">
        <v>418</v>
      </c>
      <c r="AB314" s="63">
        <v>421</v>
      </c>
      <c r="AC314" s="63">
        <v>406</v>
      </c>
      <c r="AD314" s="63">
        <v>358</v>
      </c>
      <c r="AE314" s="63">
        <v>392</v>
      </c>
      <c r="AF314" s="63">
        <v>372</v>
      </c>
      <c r="AG314" s="63">
        <v>385</v>
      </c>
      <c r="AH314" s="63">
        <v>377</v>
      </c>
      <c r="AI314" s="63">
        <v>351</v>
      </c>
      <c r="AJ314" s="63">
        <v>417</v>
      </c>
      <c r="AK314" s="63">
        <v>348</v>
      </c>
      <c r="AL314" s="63">
        <v>335</v>
      </c>
      <c r="AM314" s="63">
        <v>301</v>
      </c>
      <c r="AN314" s="63">
        <v>281</v>
      </c>
      <c r="AO314" s="63">
        <v>283</v>
      </c>
      <c r="AP314" s="63">
        <v>287</v>
      </c>
      <c r="AQ314" s="63">
        <v>317</v>
      </c>
      <c r="AR314" s="63">
        <v>362</v>
      </c>
      <c r="AS314" s="63">
        <v>332</v>
      </c>
      <c r="AT314" s="63">
        <v>341</v>
      </c>
      <c r="AU314" s="63">
        <v>323</v>
      </c>
      <c r="AV314" s="63">
        <v>302</v>
      </c>
      <c r="AW314" s="63">
        <v>288</v>
      </c>
      <c r="AX314" s="63">
        <v>354</v>
      </c>
      <c r="AY314" s="63">
        <v>341</v>
      </c>
      <c r="AZ314" s="63">
        <v>287</v>
      </c>
      <c r="BA314" s="63">
        <v>338</v>
      </c>
      <c r="BB314" s="63">
        <v>315</v>
      </c>
      <c r="BC314" s="63">
        <v>345</v>
      </c>
      <c r="BD314" s="63">
        <v>317</v>
      </c>
      <c r="BE314" s="63">
        <v>329</v>
      </c>
      <c r="BF314" s="63">
        <v>338</v>
      </c>
      <c r="BG314" s="63">
        <v>385</v>
      </c>
      <c r="BH314" s="63">
        <v>360</v>
      </c>
    </row>
    <row r="315" spans="2:60" x14ac:dyDescent="0.2">
      <c r="B315" s="57"/>
      <c r="C315" s="57" t="s">
        <v>686</v>
      </c>
      <c r="D315" s="57" t="s">
        <v>654</v>
      </c>
      <c r="E315" s="62">
        <v>65</v>
      </c>
      <c r="F315" s="62">
        <v>68</v>
      </c>
      <c r="G315" s="62">
        <v>47</v>
      </c>
      <c r="H315" s="62">
        <v>60</v>
      </c>
      <c r="I315" s="62">
        <v>71</v>
      </c>
      <c r="J315" s="62">
        <v>50</v>
      </c>
      <c r="K315" s="62">
        <v>60</v>
      </c>
      <c r="L315" s="62">
        <v>54</v>
      </c>
      <c r="M315" s="62">
        <v>71</v>
      </c>
      <c r="N315" s="62">
        <v>46</v>
      </c>
      <c r="O315" s="62">
        <v>48</v>
      </c>
      <c r="P315" s="62">
        <v>60</v>
      </c>
      <c r="Q315" s="62">
        <v>58</v>
      </c>
      <c r="R315" s="62">
        <v>59</v>
      </c>
      <c r="S315" s="62">
        <v>51</v>
      </c>
      <c r="T315" s="62">
        <v>49</v>
      </c>
      <c r="U315" s="62">
        <v>50</v>
      </c>
      <c r="V315" s="62">
        <v>65</v>
      </c>
      <c r="W315" s="62">
        <v>51</v>
      </c>
      <c r="X315" s="62">
        <v>38</v>
      </c>
      <c r="Y315" s="62">
        <v>68</v>
      </c>
      <c r="Z315" s="62">
        <v>40</v>
      </c>
      <c r="AA315" s="62">
        <v>52</v>
      </c>
      <c r="AB315" s="62">
        <v>51</v>
      </c>
      <c r="AC315" s="62">
        <v>57</v>
      </c>
      <c r="AD315" s="62">
        <v>66</v>
      </c>
      <c r="AE315" s="62">
        <v>44</v>
      </c>
      <c r="AF315" s="62">
        <v>63</v>
      </c>
      <c r="AG315" s="62">
        <v>45</v>
      </c>
      <c r="AH315" s="62">
        <v>46</v>
      </c>
      <c r="AI315" s="62">
        <v>47</v>
      </c>
      <c r="AJ315" s="62">
        <v>41</v>
      </c>
      <c r="AK315" s="62">
        <v>33</v>
      </c>
      <c r="AL315" s="62">
        <v>49</v>
      </c>
      <c r="AM315" s="62">
        <v>45</v>
      </c>
      <c r="AN315" s="62">
        <v>36</v>
      </c>
      <c r="AO315" s="62">
        <v>37</v>
      </c>
      <c r="AP315" s="62">
        <v>45</v>
      </c>
      <c r="AQ315" s="62">
        <v>31</v>
      </c>
      <c r="AR315" s="62">
        <v>38</v>
      </c>
      <c r="AS315" s="62">
        <v>26</v>
      </c>
      <c r="AT315" s="62">
        <v>30</v>
      </c>
      <c r="AU315" s="62">
        <v>22</v>
      </c>
      <c r="AV315" s="62">
        <v>28</v>
      </c>
      <c r="AW315" s="62">
        <v>29</v>
      </c>
      <c r="AX315" s="62">
        <v>25</v>
      </c>
      <c r="AY315" s="62">
        <v>30</v>
      </c>
      <c r="AZ315" s="62">
        <v>21</v>
      </c>
      <c r="BA315" s="62">
        <v>23</v>
      </c>
      <c r="BB315" s="62">
        <v>26</v>
      </c>
      <c r="BC315" s="62">
        <v>36</v>
      </c>
      <c r="BD315" s="62">
        <v>29</v>
      </c>
      <c r="BE315" s="62">
        <v>28</v>
      </c>
      <c r="BF315" s="62">
        <v>18</v>
      </c>
      <c r="BG315" s="62">
        <v>22</v>
      </c>
      <c r="BH315" s="62">
        <v>24</v>
      </c>
    </row>
    <row r="316" spans="2:60" x14ac:dyDescent="0.2">
      <c r="B316" s="59"/>
      <c r="C316" s="59" t="s">
        <v>686</v>
      </c>
      <c r="D316" s="59" t="s">
        <v>655</v>
      </c>
      <c r="E316" s="63">
        <v>96</v>
      </c>
      <c r="F316" s="63">
        <v>72</v>
      </c>
      <c r="G316" s="63">
        <v>106</v>
      </c>
      <c r="H316" s="63">
        <v>79</v>
      </c>
      <c r="I316" s="63">
        <v>96</v>
      </c>
      <c r="J316" s="63">
        <v>80</v>
      </c>
      <c r="K316" s="63">
        <v>84</v>
      </c>
      <c r="L316" s="63">
        <v>81</v>
      </c>
      <c r="M316" s="63">
        <v>117</v>
      </c>
      <c r="N316" s="63">
        <v>107</v>
      </c>
      <c r="O316" s="63">
        <v>104</v>
      </c>
      <c r="P316" s="63">
        <v>90</v>
      </c>
      <c r="Q316" s="63">
        <v>123</v>
      </c>
      <c r="R316" s="63">
        <v>111</v>
      </c>
      <c r="S316" s="63">
        <v>195</v>
      </c>
      <c r="T316" s="63">
        <v>181</v>
      </c>
      <c r="U316" s="63">
        <v>168</v>
      </c>
      <c r="V316" s="63">
        <v>127</v>
      </c>
      <c r="W316" s="63">
        <v>147</v>
      </c>
      <c r="X316" s="63">
        <v>108</v>
      </c>
      <c r="Y316" s="63">
        <v>137</v>
      </c>
      <c r="Z316" s="63">
        <v>124</v>
      </c>
      <c r="AA316" s="63">
        <v>140</v>
      </c>
      <c r="AB316" s="63">
        <v>134</v>
      </c>
      <c r="AC316" s="63">
        <v>150</v>
      </c>
      <c r="AD316" s="63">
        <v>124</v>
      </c>
      <c r="AE316" s="63">
        <v>131</v>
      </c>
      <c r="AF316" s="63">
        <v>150</v>
      </c>
      <c r="AG316" s="63">
        <v>158</v>
      </c>
      <c r="AH316" s="63">
        <v>155</v>
      </c>
      <c r="AI316" s="63">
        <v>155</v>
      </c>
      <c r="AJ316" s="63">
        <v>194</v>
      </c>
      <c r="AK316" s="63">
        <v>191</v>
      </c>
      <c r="AL316" s="63">
        <v>156</v>
      </c>
      <c r="AM316" s="63">
        <v>169</v>
      </c>
      <c r="AN316" s="63">
        <v>167</v>
      </c>
      <c r="AO316" s="63">
        <v>153</v>
      </c>
      <c r="AP316" s="63">
        <v>104</v>
      </c>
      <c r="AQ316" s="63">
        <v>113</v>
      </c>
      <c r="AR316" s="63">
        <v>111</v>
      </c>
      <c r="AS316" s="63">
        <v>103</v>
      </c>
      <c r="AT316" s="63">
        <v>96</v>
      </c>
      <c r="AU316" s="63">
        <v>86</v>
      </c>
      <c r="AV316" s="63">
        <v>75</v>
      </c>
      <c r="AW316" s="63">
        <v>77</v>
      </c>
      <c r="AX316" s="63">
        <v>76</v>
      </c>
      <c r="AY316" s="63">
        <v>109</v>
      </c>
      <c r="AZ316" s="63">
        <v>88</v>
      </c>
      <c r="BA316" s="63">
        <v>93</v>
      </c>
      <c r="BB316" s="63">
        <v>81</v>
      </c>
      <c r="BC316" s="63">
        <v>101</v>
      </c>
      <c r="BD316" s="63">
        <v>94</v>
      </c>
      <c r="BE316" s="63">
        <v>100</v>
      </c>
      <c r="BF316" s="63">
        <v>72</v>
      </c>
      <c r="BG316" s="63">
        <v>121</v>
      </c>
      <c r="BH316" s="63">
        <v>115</v>
      </c>
    </row>
    <row r="317" spans="2:60" hidden="1" x14ac:dyDescent="0.2">
      <c r="B317" s="57"/>
      <c r="C317" s="57" t="s">
        <v>686</v>
      </c>
      <c r="D317" s="57" t="s">
        <v>699</v>
      </c>
      <c r="E317" s="62">
        <v>204</v>
      </c>
      <c r="F317" s="62">
        <v>178</v>
      </c>
      <c r="G317" s="62">
        <v>167</v>
      </c>
      <c r="H317" s="62">
        <v>129</v>
      </c>
      <c r="I317" s="62">
        <v>158</v>
      </c>
      <c r="J317" s="62">
        <v>136</v>
      </c>
      <c r="K317" s="62">
        <v>171</v>
      </c>
      <c r="L317" s="62">
        <v>140</v>
      </c>
      <c r="M317" s="62">
        <v>180</v>
      </c>
      <c r="N317" s="62">
        <v>164</v>
      </c>
      <c r="O317" s="62">
        <v>176</v>
      </c>
      <c r="P317" s="62">
        <v>168</v>
      </c>
      <c r="Q317" s="62">
        <v>183</v>
      </c>
      <c r="R317" s="62">
        <v>159</v>
      </c>
      <c r="S317" s="62">
        <v>198</v>
      </c>
      <c r="T317" s="62">
        <v>179</v>
      </c>
      <c r="U317" s="62">
        <v>162</v>
      </c>
      <c r="V317" s="62">
        <v>141</v>
      </c>
      <c r="W317" s="62">
        <v>205</v>
      </c>
      <c r="X317" s="62">
        <v>149</v>
      </c>
      <c r="Y317" s="62">
        <v>189</v>
      </c>
      <c r="Z317" s="62">
        <v>129</v>
      </c>
      <c r="AA317" s="62">
        <v>153</v>
      </c>
      <c r="AB317" s="62">
        <v>183</v>
      </c>
      <c r="AC317" s="62">
        <v>175</v>
      </c>
      <c r="AD317" s="62">
        <v>151</v>
      </c>
      <c r="AE317" s="62">
        <v>131</v>
      </c>
      <c r="AF317" s="62">
        <v>152</v>
      </c>
      <c r="AG317" s="62">
        <v>171</v>
      </c>
      <c r="AH317" s="62">
        <v>141</v>
      </c>
      <c r="AI317" s="62">
        <v>126</v>
      </c>
      <c r="AJ317" s="62">
        <v>128</v>
      </c>
      <c r="AK317" s="62">
        <v>113</v>
      </c>
      <c r="AL317" s="62">
        <v>112</v>
      </c>
      <c r="AM317" s="62">
        <v>84</v>
      </c>
      <c r="AN317" s="62">
        <v>99</v>
      </c>
      <c r="AO317" s="62">
        <v>93</v>
      </c>
      <c r="AP317" s="62">
        <v>83</v>
      </c>
      <c r="AQ317" s="62">
        <v>82</v>
      </c>
      <c r="AR317" s="62">
        <v>107</v>
      </c>
      <c r="AS317" s="62">
        <v>76</v>
      </c>
      <c r="AT317" s="62">
        <v>112</v>
      </c>
      <c r="AU317" s="62">
        <v>80</v>
      </c>
      <c r="AV317" s="62">
        <v>88</v>
      </c>
      <c r="AW317" s="62">
        <v>85</v>
      </c>
      <c r="AX317" s="62">
        <v>105</v>
      </c>
      <c r="AY317" s="62">
        <v>117</v>
      </c>
      <c r="AZ317" s="62">
        <v>97</v>
      </c>
      <c r="BA317" s="62">
        <v>127</v>
      </c>
      <c r="BB317" s="62">
        <v>124</v>
      </c>
      <c r="BC317" s="62">
        <v>132</v>
      </c>
      <c r="BD317" s="62">
        <v>108</v>
      </c>
      <c r="BE317" s="62">
        <v>99</v>
      </c>
      <c r="BF317" s="62">
        <v>133</v>
      </c>
      <c r="BG317" s="62">
        <v>124</v>
      </c>
      <c r="BH317" s="62">
        <v>100</v>
      </c>
    </row>
    <row r="318" spans="2:60" hidden="1" x14ac:dyDescent="0.2">
      <c r="B318" s="59"/>
      <c r="C318" s="59" t="s">
        <v>686</v>
      </c>
      <c r="D318" s="59" t="s">
        <v>656</v>
      </c>
      <c r="E318" s="63">
        <v>1310</v>
      </c>
      <c r="F318" s="63">
        <v>1265</v>
      </c>
      <c r="G318" s="63">
        <v>1292</v>
      </c>
      <c r="H318" s="63">
        <v>1163</v>
      </c>
      <c r="I318" s="63">
        <v>1261</v>
      </c>
      <c r="J318" s="63">
        <v>1157</v>
      </c>
      <c r="K318" s="63">
        <v>1285</v>
      </c>
      <c r="L318" s="63">
        <v>1148</v>
      </c>
      <c r="M318" s="63">
        <v>1305</v>
      </c>
      <c r="N318" s="63">
        <v>1123</v>
      </c>
      <c r="O318" s="63">
        <v>1254</v>
      </c>
      <c r="P318" s="63">
        <v>1134</v>
      </c>
      <c r="Q318" s="63">
        <v>1205</v>
      </c>
      <c r="R318" s="63">
        <v>1155</v>
      </c>
      <c r="S318" s="63">
        <v>1386</v>
      </c>
      <c r="T318" s="63">
        <v>1241</v>
      </c>
      <c r="U318" s="63">
        <v>1297</v>
      </c>
      <c r="V318" s="63">
        <v>1223</v>
      </c>
      <c r="W318" s="63">
        <v>1329</v>
      </c>
      <c r="X318" s="63">
        <v>1116</v>
      </c>
      <c r="Y318" s="63">
        <v>1363</v>
      </c>
      <c r="Z318" s="63">
        <v>1181</v>
      </c>
      <c r="AA318" s="63">
        <v>1262</v>
      </c>
      <c r="AB318" s="63">
        <v>1225</v>
      </c>
      <c r="AC318" s="63">
        <v>1295</v>
      </c>
      <c r="AD318" s="63">
        <v>1199</v>
      </c>
      <c r="AE318" s="63">
        <v>1151</v>
      </c>
      <c r="AF318" s="63">
        <v>1194</v>
      </c>
      <c r="AG318" s="63">
        <v>1217</v>
      </c>
      <c r="AH318" s="63">
        <v>1146</v>
      </c>
      <c r="AI318" s="63">
        <v>1100</v>
      </c>
      <c r="AJ318" s="63">
        <v>1283</v>
      </c>
      <c r="AK318" s="63">
        <v>1113</v>
      </c>
      <c r="AL318" s="63">
        <v>1170</v>
      </c>
      <c r="AM318" s="63">
        <v>1011</v>
      </c>
      <c r="AN318" s="63">
        <v>987</v>
      </c>
      <c r="AO318" s="63">
        <v>959</v>
      </c>
      <c r="AP318" s="63">
        <v>893</v>
      </c>
      <c r="AQ318" s="63">
        <v>933</v>
      </c>
      <c r="AR318" s="63">
        <v>996</v>
      </c>
      <c r="AS318" s="63">
        <v>917</v>
      </c>
      <c r="AT318" s="63">
        <v>968</v>
      </c>
      <c r="AU318" s="63">
        <v>857</v>
      </c>
      <c r="AV318" s="63">
        <v>848</v>
      </c>
      <c r="AW318" s="63">
        <v>834</v>
      </c>
      <c r="AX318" s="63">
        <v>952</v>
      </c>
      <c r="AY318" s="63">
        <v>980</v>
      </c>
      <c r="AZ318" s="63">
        <v>840</v>
      </c>
      <c r="BA318" s="63">
        <v>960</v>
      </c>
      <c r="BB318" s="63">
        <v>932</v>
      </c>
      <c r="BC318" s="63">
        <v>951</v>
      </c>
      <c r="BD318" s="63">
        <v>960</v>
      </c>
      <c r="BE318" s="63">
        <v>934</v>
      </c>
      <c r="BF318" s="63">
        <v>950</v>
      </c>
      <c r="BG318" s="63">
        <v>1131</v>
      </c>
      <c r="BH318" s="63">
        <v>993</v>
      </c>
    </row>
    <row r="319" spans="2:60" hidden="1" x14ac:dyDescent="0.2">
      <c r="B319" s="57"/>
      <c r="C319" s="57" t="s">
        <v>687</v>
      </c>
      <c r="D319" s="57" t="s">
        <v>648</v>
      </c>
      <c r="E319" s="62">
        <v>36</v>
      </c>
      <c r="F319" s="62">
        <v>28</v>
      </c>
      <c r="G319" s="62">
        <v>35</v>
      </c>
      <c r="H319" s="62">
        <v>38</v>
      </c>
      <c r="I319" s="62">
        <v>31</v>
      </c>
      <c r="J319" s="62">
        <v>31</v>
      </c>
      <c r="K319" s="62">
        <v>40</v>
      </c>
      <c r="L319" s="62">
        <v>36</v>
      </c>
      <c r="M319" s="62">
        <v>43</v>
      </c>
      <c r="N319" s="62">
        <v>31</v>
      </c>
      <c r="O319" s="62">
        <v>35</v>
      </c>
      <c r="P319" s="62">
        <v>27</v>
      </c>
      <c r="Q319" s="62">
        <v>49</v>
      </c>
      <c r="R319" s="62">
        <v>45</v>
      </c>
      <c r="S319" s="62">
        <v>46</v>
      </c>
      <c r="T319" s="62">
        <v>39</v>
      </c>
      <c r="U319" s="62">
        <v>45</v>
      </c>
      <c r="V319" s="62">
        <v>58</v>
      </c>
      <c r="W319" s="62">
        <v>52</v>
      </c>
      <c r="X319" s="62">
        <v>48</v>
      </c>
      <c r="Y319" s="62">
        <v>53</v>
      </c>
      <c r="Z319" s="62">
        <v>40</v>
      </c>
      <c r="AA319" s="62">
        <v>43</v>
      </c>
      <c r="AB319" s="62">
        <v>42</v>
      </c>
      <c r="AC319" s="62">
        <v>47</v>
      </c>
      <c r="AD319" s="62">
        <v>45</v>
      </c>
      <c r="AE319" s="62">
        <v>43</v>
      </c>
      <c r="AF319" s="62">
        <v>60</v>
      </c>
      <c r="AG319" s="62">
        <v>53</v>
      </c>
      <c r="AH319" s="62">
        <v>54</v>
      </c>
      <c r="AI319" s="62">
        <v>46</v>
      </c>
      <c r="AJ319" s="62">
        <v>67</v>
      </c>
      <c r="AK319" s="62">
        <v>36</v>
      </c>
      <c r="AL319" s="62">
        <v>52</v>
      </c>
      <c r="AM319" s="62">
        <v>41</v>
      </c>
      <c r="AN319" s="62">
        <v>52</v>
      </c>
      <c r="AO319" s="62">
        <v>46</v>
      </c>
      <c r="AP319" s="62">
        <v>41</v>
      </c>
      <c r="AQ319" s="62">
        <v>48</v>
      </c>
      <c r="AR319" s="62">
        <v>37</v>
      </c>
      <c r="AS319" s="62">
        <v>28</v>
      </c>
      <c r="AT319" s="62">
        <v>53</v>
      </c>
      <c r="AU319" s="62">
        <v>45</v>
      </c>
      <c r="AV319" s="62">
        <v>40</v>
      </c>
      <c r="AW319" s="62">
        <v>37</v>
      </c>
      <c r="AX319" s="62">
        <v>40</v>
      </c>
      <c r="AY319" s="62">
        <v>36</v>
      </c>
      <c r="AZ319" s="62">
        <v>40</v>
      </c>
      <c r="BA319" s="62">
        <v>30</v>
      </c>
      <c r="BB319" s="62">
        <v>45</v>
      </c>
      <c r="BC319" s="62">
        <v>46</v>
      </c>
      <c r="BD319" s="62">
        <v>55</v>
      </c>
      <c r="BE319" s="62">
        <v>41</v>
      </c>
      <c r="BF319" s="62">
        <v>36</v>
      </c>
      <c r="BG319" s="62">
        <v>25</v>
      </c>
      <c r="BH319" s="62">
        <v>46</v>
      </c>
    </row>
    <row r="320" spans="2:60" hidden="1" x14ac:dyDescent="0.2">
      <c r="B320" s="59"/>
      <c r="C320" s="59" t="s">
        <v>687</v>
      </c>
      <c r="D320" s="59" t="s">
        <v>649</v>
      </c>
      <c r="E320" s="63">
        <v>209</v>
      </c>
      <c r="F320" s="63">
        <v>171</v>
      </c>
      <c r="G320" s="63">
        <v>150</v>
      </c>
      <c r="H320" s="63">
        <v>171</v>
      </c>
      <c r="I320" s="63">
        <v>183</v>
      </c>
      <c r="J320" s="63">
        <v>158</v>
      </c>
      <c r="K320" s="63">
        <v>189</v>
      </c>
      <c r="L320" s="63">
        <v>163</v>
      </c>
      <c r="M320" s="63">
        <v>219</v>
      </c>
      <c r="N320" s="63">
        <v>195</v>
      </c>
      <c r="O320" s="63">
        <v>185</v>
      </c>
      <c r="P320" s="63">
        <v>165</v>
      </c>
      <c r="Q320" s="63">
        <v>239</v>
      </c>
      <c r="R320" s="63">
        <v>177</v>
      </c>
      <c r="S320" s="63">
        <v>204</v>
      </c>
      <c r="T320" s="63">
        <v>184</v>
      </c>
      <c r="U320" s="63">
        <v>218</v>
      </c>
      <c r="V320" s="63">
        <v>202</v>
      </c>
      <c r="W320" s="63">
        <v>179</v>
      </c>
      <c r="X320" s="63">
        <v>192</v>
      </c>
      <c r="Y320" s="63">
        <v>224</v>
      </c>
      <c r="Z320" s="63">
        <v>159</v>
      </c>
      <c r="AA320" s="63">
        <v>174</v>
      </c>
      <c r="AB320" s="63">
        <v>184</v>
      </c>
      <c r="AC320" s="63">
        <v>208</v>
      </c>
      <c r="AD320" s="63">
        <v>173</v>
      </c>
      <c r="AE320" s="63">
        <v>156</v>
      </c>
      <c r="AF320" s="63">
        <v>164</v>
      </c>
      <c r="AG320" s="63">
        <v>212</v>
      </c>
      <c r="AH320" s="63">
        <v>167</v>
      </c>
      <c r="AI320" s="63">
        <v>183</v>
      </c>
      <c r="AJ320" s="63">
        <v>140</v>
      </c>
      <c r="AK320" s="63">
        <v>165</v>
      </c>
      <c r="AL320" s="63">
        <v>188</v>
      </c>
      <c r="AM320" s="63">
        <v>169</v>
      </c>
      <c r="AN320" s="63">
        <v>152</v>
      </c>
      <c r="AO320" s="63">
        <v>145</v>
      </c>
      <c r="AP320" s="63">
        <v>164</v>
      </c>
      <c r="AQ320" s="63">
        <v>144</v>
      </c>
      <c r="AR320" s="63">
        <v>134</v>
      </c>
      <c r="AS320" s="63">
        <v>115</v>
      </c>
      <c r="AT320" s="63">
        <v>162</v>
      </c>
      <c r="AU320" s="63">
        <v>131</v>
      </c>
      <c r="AV320" s="63">
        <v>129</v>
      </c>
      <c r="AW320" s="63">
        <v>127</v>
      </c>
      <c r="AX320" s="63">
        <v>136</v>
      </c>
      <c r="AY320" s="63">
        <v>124</v>
      </c>
      <c r="AZ320" s="63">
        <v>147</v>
      </c>
      <c r="BA320" s="63">
        <v>109</v>
      </c>
      <c r="BB320" s="63">
        <v>139</v>
      </c>
      <c r="BC320" s="63">
        <v>110</v>
      </c>
      <c r="BD320" s="63">
        <v>117</v>
      </c>
      <c r="BE320" s="63">
        <v>127</v>
      </c>
      <c r="BF320" s="63">
        <v>101</v>
      </c>
      <c r="BG320" s="63">
        <v>123</v>
      </c>
      <c r="BH320" s="63">
        <v>121</v>
      </c>
    </row>
    <row r="321" spans="2:60" hidden="1" x14ac:dyDescent="0.2">
      <c r="B321" s="57"/>
      <c r="C321" s="57" t="s">
        <v>687</v>
      </c>
      <c r="D321" s="57" t="s">
        <v>650</v>
      </c>
      <c r="E321" s="62">
        <v>68</v>
      </c>
      <c r="F321" s="62">
        <v>39</v>
      </c>
      <c r="G321" s="62">
        <v>47</v>
      </c>
      <c r="H321" s="62">
        <v>44</v>
      </c>
      <c r="I321" s="62">
        <v>51</v>
      </c>
      <c r="J321" s="62">
        <v>39</v>
      </c>
      <c r="K321" s="62">
        <v>52</v>
      </c>
      <c r="L321" s="62">
        <v>40</v>
      </c>
      <c r="M321" s="62">
        <v>70</v>
      </c>
      <c r="N321" s="62">
        <v>56</v>
      </c>
      <c r="O321" s="62">
        <v>51</v>
      </c>
      <c r="P321" s="62">
        <v>63</v>
      </c>
      <c r="Q321" s="62">
        <v>85</v>
      </c>
      <c r="R321" s="62">
        <v>52</v>
      </c>
      <c r="S321" s="62">
        <v>58</v>
      </c>
      <c r="T321" s="62">
        <v>55</v>
      </c>
      <c r="U321" s="62">
        <v>59</v>
      </c>
      <c r="V321" s="62">
        <v>58</v>
      </c>
      <c r="W321" s="62">
        <v>53</v>
      </c>
      <c r="X321" s="62">
        <v>55</v>
      </c>
      <c r="Y321" s="62">
        <v>88</v>
      </c>
      <c r="Z321" s="62">
        <v>58</v>
      </c>
      <c r="AA321" s="62">
        <v>49</v>
      </c>
      <c r="AB321" s="62">
        <v>48</v>
      </c>
      <c r="AC321" s="62">
        <v>61</v>
      </c>
      <c r="AD321" s="62">
        <v>62</v>
      </c>
      <c r="AE321" s="62">
        <v>39</v>
      </c>
      <c r="AF321" s="62">
        <v>62</v>
      </c>
      <c r="AG321" s="62">
        <v>64</v>
      </c>
      <c r="AH321" s="62">
        <v>49</v>
      </c>
      <c r="AI321" s="62">
        <v>56</v>
      </c>
      <c r="AJ321" s="62">
        <v>55</v>
      </c>
      <c r="AK321" s="62">
        <v>54</v>
      </c>
      <c r="AL321" s="62">
        <v>42</v>
      </c>
      <c r="AM321" s="62">
        <v>39</v>
      </c>
      <c r="AN321" s="62">
        <v>39</v>
      </c>
      <c r="AO321" s="62">
        <v>53</v>
      </c>
      <c r="AP321" s="62">
        <v>44</v>
      </c>
      <c r="AQ321" s="62">
        <v>41</v>
      </c>
      <c r="AR321" s="62">
        <v>40</v>
      </c>
      <c r="AS321" s="62">
        <v>26</v>
      </c>
      <c r="AT321" s="62">
        <v>42</v>
      </c>
      <c r="AU321" s="62">
        <v>21</v>
      </c>
      <c r="AV321" s="62">
        <v>23</v>
      </c>
      <c r="AW321" s="62">
        <v>35</v>
      </c>
      <c r="AX321" s="62">
        <v>23</v>
      </c>
      <c r="AY321" s="62">
        <v>28</v>
      </c>
      <c r="AZ321" s="62">
        <v>37</v>
      </c>
      <c r="BA321" s="62">
        <v>37</v>
      </c>
      <c r="BB321" s="62">
        <v>34</v>
      </c>
      <c r="BC321" s="62">
        <v>32</v>
      </c>
      <c r="BD321" s="62">
        <v>27</v>
      </c>
      <c r="BE321" s="62">
        <v>32</v>
      </c>
      <c r="BF321" s="62">
        <v>23</v>
      </c>
      <c r="BG321" s="62">
        <v>42</v>
      </c>
      <c r="BH321" s="62">
        <v>41</v>
      </c>
    </row>
    <row r="322" spans="2:60" hidden="1" x14ac:dyDescent="0.2">
      <c r="B322" s="59"/>
      <c r="C322" s="59" t="s">
        <v>687</v>
      </c>
      <c r="D322" s="59" t="s">
        <v>651</v>
      </c>
      <c r="E322" s="63">
        <v>83</v>
      </c>
      <c r="F322" s="63">
        <v>77</v>
      </c>
      <c r="G322" s="63">
        <v>80</v>
      </c>
      <c r="H322" s="63">
        <v>93</v>
      </c>
      <c r="I322" s="63">
        <v>82</v>
      </c>
      <c r="J322" s="63">
        <v>94</v>
      </c>
      <c r="K322" s="63">
        <v>70</v>
      </c>
      <c r="L322" s="63">
        <v>83</v>
      </c>
      <c r="M322" s="63">
        <v>104</v>
      </c>
      <c r="N322" s="63">
        <v>88</v>
      </c>
      <c r="O322" s="63">
        <v>83</v>
      </c>
      <c r="P322" s="63">
        <v>84</v>
      </c>
      <c r="Q322" s="63">
        <v>78</v>
      </c>
      <c r="R322" s="63">
        <v>83</v>
      </c>
      <c r="S322" s="63">
        <v>87</v>
      </c>
      <c r="T322" s="63">
        <v>97</v>
      </c>
      <c r="U322" s="63">
        <v>83</v>
      </c>
      <c r="V322" s="63">
        <v>76</v>
      </c>
      <c r="W322" s="63">
        <v>83</v>
      </c>
      <c r="X322" s="63">
        <v>55</v>
      </c>
      <c r="Y322" s="63">
        <v>81</v>
      </c>
      <c r="Z322" s="63">
        <v>67</v>
      </c>
      <c r="AA322" s="63">
        <v>67</v>
      </c>
      <c r="AB322" s="63">
        <v>80</v>
      </c>
      <c r="AC322" s="63">
        <v>83</v>
      </c>
      <c r="AD322" s="63">
        <v>78</v>
      </c>
      <c r="AE322" s="63">
        <v>85</v>
      </c>
      <c r="AF322" s="63">
        <v>78</v>
      </c>
      <c r="AG322" s="63">
        <v>69</v>
      </c>
      <c r="AH322" s="63">
        <v>58</v>
      </c>
      <c r="AI322" s="63">
        <v>72</v>
      </c>
      <c r="AJ322" s="63">
        <v>74</v>
      </c>
      <c r="AK322" s="63">
        <v>72</v>
      </c>
      <c r="AL322" s="63">
        <v>78</v>
      </c>
      <c r="AM322" s="63">
        <v>59</v>
      </c>
      <c r="AN322" s="63">
        <v>61</v>
      </c>
      <c r="AO322" s="63">
        <v>64</v>
      </c>
      <c r="AP322" s="63">
        <v>47</v>
      </c>
      <c r="AQ322" s="63">
        <v>53</v>
      </c>
      <c r="AR322" s="63">
        <v>32</v>
      </c>
      <c r="AS322" s="63">
        <v>38</v>
      </c>
      <c r="AT322" s="63">
        <v>46</v>
      </c>
      <c r="AU322" s="63">
        <v>44</v>
      </c>
      <c r="AV322" s="63">
        <v>70</v>
      </c>
      <c r="AW322" s="63">
        <v>29</v>
      </c>
      <c r="AX322" s="63">
        <v>47</v>
      </c>
      <c r="AY322" s="63">
        <v>54</v>
      </c>
      <c r="AZ322" s="63">
        <v>50</v>
      </c>
      <c r="BA322" s="63">
        <v>60</v>
      </c>
      <c r="BB322" s="63">
        <v>32</v>
      </c>
      <c r="BC322" s="63">
        <v>41</v>
      </c>
      <c r="BD322" s="63">
        <v>54</v>
      </c>
      <c r="BE322" s="63">
        <v>49</v>
      </c>
      <c r="BF322" s="63">
        <v>48</v>
      </c>
      <c r="BG322" s="63">
        <v>46</v>
      </c>
      <c r="BH322" s="63">
        <v>56</v>
      </c>
    </row>
    <row r="323" spans="2:60" hidden="1" x14ac:dyDescent="0.2">
      <c r="B323" s="57"/>
      <c r="C323" s="57" t="s">
        <v>687</v>
      </c>
      <c r="D323" s="57" t="s">
        <v>652</v>
      </c>
      <c r="E323" s="62">
        <v>336</v>
      </c>
      <c r="F323" s="62">
        <v>297</v>
      </c>
      <c r="G323" s="62">
        <v>343</v>
      </c>
      <c r="H323" s="62">
        <v>291</v>
      </c>
      <c r="I323" s="62">
        <v>343</v>
      </c>
      <c r="J323" s="62">
        <v>305</v>
      </c>
      <c r="K323" s="62">
        <v>353</v>
      </c>
      <c r="L323" s="62">
        <v>302</v>
      </c>
      <c r="M323" s="62">
        <v>406</v>
      </c>
      <c r="N323" s="62">
        <v>328</v>
      </c>
      <c r="O323" s="62">
        <v>358</v>
      </c>
      <c r="P323" s="62">
        <v>290</v>
      </c>
      <c r="Q323" s="62">
        <v>377</v>
      </c>
      <c r="R323" s="62">
        <v>316</v>
      </c>
      <c r="S323" s="62">
        <v>308</v>
      </c>
      <c r="T323" s="62">
        <v>282</v>
      </c>
      <c r="U323" s="62">
        <v>351</v>
      </c>
      <c r="V323" s="62">
        <v>292</v>
      </c>
      <c r="W323" s="62">
        <v>323</v>
      </c>
      <c r="X323" s="62">
        <v>295</v>
      </c>
      <c r="Y323" s="62">
        <v>376</v>
      </c>
      <c r="Z323" s="62">
        <v>326</v>
      </c>
      <c r="AA323" s="62">
        <v>309</v>
      </c>
      <c r="AB323" s="62">
        <v>321</v>
      </c>
      <c r="AC323" s="62">
        <v>354</v>
      </c>
      <c r="AD323" s="62">
        <v>328</v>
      </c>
      <c r="AE323" s="62">
        <v>310</v>
      </c>
      <c r="AF323" s="62">
        <v>263</v>
      </c>
      <c r="AG323" s="62">
        <v>313</v>
      </c>
      <c r="AH323" s="62">
        <v>276</v>
      </c>
      <c r="AI323" s="62">
        <v>270</v>
      </c>
      <c r="AJ323" s="62">
        <v>292</v>
      </c>
      <c r="AK323" s="62">
        <v>277</v>
      </c>
      <c r="AL323" s="62">
        <v>321</v>
      </c>
      <c r="AM323" s="62">
        <v>233</v>
      </c>
      <c r="AN323" s="62">
        <v>205</v>
      </c>
      <c r="AO323" s="62">
        <v>245</v>
      </c>
      <c r="AP323" s="62">
        <v>227</v>
      </c>
      <c r="AQ323" s="62">
        <v>218</v>
      </c>
      <c r="AR323" s="62">
        <v>244</v>
      </c>
      <c r="AS323" s="62">
        <v>203</v>
      </c>
      <c r="AT323" s="62">
        <v>235</v>
      </c>
      <c r="AU323" s="62">
        <v>234</v>
      </c>
      <c r="AV323" s="62">
        <v>208</v>
      </c>
      <c r="AW323" s="62">
        <v>216</v>
      </c>
      <c r="AX323" s="62">
        <v>216</v>
      </c>
      <c r="AY323" s="62">
        <v>247</v>
      </c>
      <c r="AZ323" s="62">
        <v>269</v>
      </c>
      <c r="BA323" s="62">
        <v>227</v>
      </c>
      <c r="BB323" s="62">
        <v>273</v>
      </c>
      <c r="BC323" s="62">
        <v>307</v>
      </c>
      <c r="BD323" s="62">
        <v>275</v>
      </c>
      <c r="BE323" s="62">
        <v>274</v>
      </c>
      <c r="BF323" s="62">
        <v>292</v>
      </c>
      <c r="BG323" s="62">
        <v>267</v>
      </c>
      <c r="BH323" s="62">
        <v>294</v>
      </c>
    </row>
    <row r="324" spans="2:60" hidden="1" x14ac:dyDescent="0.2">
      <c r="B324" s="59"/>
      <c r="C324" s="59" t="s">
        <v>687</v>
      </c>
      <c r="D324" s="59" t="s">
        <v>653</v>
      </c>
      <c r="E324" s="63">
        <v>221</v>
      </c>
      <c r="F324" s="63">
        <v>207</v>
      </c>
      <c r="G324" s="63">
        <v>242</v>
      </c>
      <c r="H324" s="63">
        <v>217</v>
      </c>
      <c r="I324" s="63">
        <v>242</v>
      </c>
      <c r="J324" s="63">
        <v>214</v>
      </c>
      <c r="K324" s="63">
        <v>297</v>
      </c>
      <c r="L324" s="63">
        <v>296</v>
      </c>
      <c r="M324" s="63">
        <v>380</v>
      </c>
      <c r="N324" s="63">
        <v>249</v>
      </c>
      <c r="O324" s="63">
        <v>268</v>
      </c>
      <c r="P324" s="63">
        <v>241</v>
      </c>
      <c r="Q324" s="63">
        <v>291</v>
      </c>
      <c r="R324" s="63">
        <v>248</v>
      </c>
      <c r="S324" s="63">
        <v>223</v>
      </c>
      <c r="T324" s="63">
        <v>243</v>
      </c>
      <c r="U324" s="63">
        <v>269</v>
      </c>
      <c r="V324" s="63">
        <v>225</v>
      </c>
      <c r="W324" s="63">
        <v>308</v>
      </c>
      <c r="X324" s="63">
        <v>251</v>
      </c>
      <c r="Y324" s="63">
        <v>312</v>
      </c>
      <c r="Z324" s="63">
        <v>218</v>
      </c>
      <c r="AA324" s="63">
        <v>233</v>
      </c>
      <c r="AB324" s="63">
        <v>264</v>
      </c>
      <c r="AC324" s="63">
        <v>284</v>
      </c>
      <c r="AD324" s="63">
        <v>233</v>
      </c>
      <c r="AE324" s="63">
        <v>215</v>
      </c>
      <c r="AF324" s="63">
        <v>239</v>
      </c>
      <c r="AG324" s="63">
        <v>228</v>
      </c>
      <c r="AH324" s="63">
        <v>216</v>
      </c>
      <c r="AI324" s="63">
        <v>223</v>
      </c>
      <c r="AJ324" s="63">
        <v>245</v>
      </c>
      <c r="AK324" s="63">
        <v>223</v>
      </c>
      <c r="AL324" s="63">
        <v>191</v>
      </c>
      <c r="AM324" s="63">
        <v>165</v>
      </c>
      <c r="AN324" s="63">
        <v>149</v>
      </c>
      <c r="AO324" s="63">
        <v>189</v>
      </c>
      <c r="AP324" s="63">
        <v>172</v>
      </c>
      <c r="AQ324" s="63">
        <v>205</v>
      </c>
      <c r="AR324" s="63">
        <v>179</v>
      </c>
      <c r="AS324" s="63">
        <v>155</v>
      </c>
      <c r="AT324" s="63">
        <v>181</v>
      </c>
      <c r="AU324" s="63">
        <v>176</v>
      </c>
      <c r="AV324" s="63">
        <v>154</v>
      </c>
      <c r="AW324" s="63">
        <v>128</v>
      </c>
      <c r="AX324" s="63">
        <v>165</v>
      </c>
      <c r="AY324" s="63">
        <v>158</v>
      </c>
      <c r="AZ324" s="63">
        <v>187</v>
      </c>
      <c r="BA324" s="63">
        <v>170</v>
      </c>
      <c r="BB324" s="63">
        <v>185</v>
      </c>
      <c r="BC324" s="63">
        <v>186</v>
      </c>
      <c r="BD324" s="63">
        <v>178</v>
      </c>
      <c r="BE324" s="63">
        <v>196</v>
      </c>
      <c r="BF324" s="63">
        <v>184</v>
      </c>
      <c r="BG324" s="63">
        <v>196</v>
      </c>
      <c r="BH324" s="63">
        <v>212</v>
      </c>
    </row>
    <row r="325" spans="2:60" hidden="1" x14ac:dyDescent="0.2">
      <c r="B325" s="57"/>
      <c r="C325" s="57" t="s">
        <v>687</v>
      </c>
      <c r="D325" s="57" t="s">
        <v>654</v>
      </c>
      <c r="E325" s="62">
        <v>1</v>
      </c>
      <c r="F325" s="62">
        <v>2</v>
      </c>
      <c r="G325" s="62">
        <v>2</v>
      </c>
      <c r="H325" s="62"/>
      <c r="I325" s="62">
        <v>3</v>
      </c>
      <c r="J325" s="62">
        <v>15</v>
      </c>
      <c r="K325" s="62">
        <v>10</v>
      </c>
      <c r="L325" s="62">
        <v>6</v>
      </c>
      <c r="M325" s="62">
        <v>8</v>
      </c>
      <c r="N325" s="62">
        <v>3</v>
      </c>
      <c r="O325" s="62">
        <v>4</v>
      </c>
      <c r="P325" s="62">
        <v>5</v>
      </c>
      <c r="Q325" s="62">
        <v>7</v>
      </c>
      <c r="R325" s="62">
        <v>6</v>
      </c>
      <c r="S325" s="62">
        <v>2</v>
      </c>
      <c r="T325" s="62">
        <v>7</v>
      </c>
      <c r="U325" s="62">
        <v>6</v>
      </c>
      <c r="V325" s="62">
        <v>4</v>
      </c>
      <c r="W325" s="62">
        <v>4</v>
      </c>
      <c r="X325" s="62">
        <v>4</v>
      </c>
      <c r="Y325" s="62">
        <v>6</v>
      </c>
      <c r="Z325" s="62">
        <v>6</v>
      </c>
      <c r="AA325" s="62">
        <v>6</v>
      </c>
      <c r="AB325" s="62">
        <v>3</v>
      </c>
      <c r="AC325" s="62">
        <v>8</v>
      </c>
      <c r="AD325" s="62">
        <v>6</v>
      </c>
      <c r="AE325" s="62">
        <v>11</v>
      </c>
      <c r="AF325" s="62">
        <v>4</v>
      </c>
      <c r="AG325" s="62">
        <v>10</v>
      </c>
      <c r="AH325" s="62">
        <v>5</v>
      </c>
      <c r="AI325" s="62">
        <v>3</v>
      </c>
      <c r="AJ325" s="62">
        <v>15</v>
      </c>
      <c r="AK325" s="62">
        <v>14</v>
      </c>
      <c r="AL325" s="62">
        <v>12</v>
      </c>
      <c r="AM325" s="62">
        <v>7</v>
      </c>
      <c r="AN325" s="62">
        <v>13</v>
      </c>
      <c r="AO325" s="62">
        <v>8</v>
      </c>
      <c r="AP325" s="62">
        <v>13</v>
      </c>
      <c r="AQ325" s="62">
        <v>7</v>
      </c>
      <c r="AR325" s="62">
        <v>8</v>
      </c>
      <c r="AS325" s="62">
        <v>11</v>
      </c>
      <c r="AT325" s="62">
        <v>9</v>
      </c>
      <c r="AU325" s="62">
        <v>15</v>
      </c>
      <c r="AV325" s="62">
        <v>16</v>
      </c>
      <c r="AW325" s="62">
        <v>3</v>
      </c>
      <c r="AX325" s="62">
        <v>7</v>
      </c>
      <c r="AY325" s="62">
        <v>12</v>
      </c>
      <c r="AZ325" s="62">
        <v>12</v>
      </c>
      <c r="BA325" s="62">
        <v>9</v>
      </c>
      <c r="BB325" s="62">
        <v>12</v>
      </c>
      <c r="BC325" s="62">
        <v>10</v>
      </c>
      <c r="BD325" s="62">
        <v>9</v>
      </c>
      <c r="BE325" s="62">
        <v>7</v>
      </c>
      <c r="BF325" s="62">
        <v>9</v>
      </c>
      <c r="BG325" s="62">
        <v>3</v>
      </c>
      <c r="BH325" s="62">
        <v>11</v>
      </c>
    </row>
    <row r="326" spans="2:60" hidden="1" x14ac:dyDescent="0.2">
      <c r="B326" s="59"/>
      <c r="C326" s="59" t="s">
        <v>687</v>
      </c>
      <c r="D326" s="59" t="s">
        <v>655</v>
      </c>
      <c r="E326" s="63">
        <v>8</v>
      </c>
      <c r="F326" s="63">
        <v>6</v>
      </c>
      <c r="G326" s="63">
        <v>5</v>
      </c>
      <c r="H326" s="63">
        <v>8</v>
      </c>
      <c r="I326" s="63">
        <v>7</v>
      </c>
      <c r="J326" s="63">
        <v>7</v>
      </c>
      <c r="K326" s="63">
        <v>13</v>
      </c>
      <c r="L326" s="63">
        <v>15</v>
      </c>
      <c r="M326" s="63">
        <v>18</v>
      </c>
      <c r="N326" s="63">
        <v>12</v>
      </c>
      <c r="O326" s="63">
        <v>16</v>
      </c>
      <c r="P326" s="63">
        <v>14</v>
      </c>
      <c r="Q326" s="63">
        <v>19</v>
      </c>
      <c r="R326" s="63">
        <v>6</v>
      </c>
      <c r="S326" s="63">
        <v>7</v>
      </c>
      <c r="T326" s="63">
        <v>14</v>
      </c>
      <c r="U326" s="63">
        <v>14</v>
      </c>
      <c r="V326" s="63">
        <v>9</v>
      </c>
      <c r="W326" s="63">
        <v>18</v>
      </c>
      <c r="X326" s="63">
        <v>16</v>
      </c>
      <c r="Y326" s="63">
        <v>20</v>
      </c>
      <c r="Z326" s="63">
        <v>18</v>
      </c>
      <c r="AA326" s="63">
        <v>19</v>
      </c>
      <c r="AB326" s="63">
        <v>17</v>
      </c>
      <c r="AC326" s="63">
        <v>20</v>
      </c>
      <c r="AD326" s="63">
        <v>16</v>
      </c>
      <c r="AE326" s="63">
        <v>20</v>
      </c>
      <c r="AF326" s="63">
        <v>17</v>
      </c>
      <c r="AG326" s="63">
        <v>21</v>
      </c>
      <c r="AH326" s="63">
        <v>17</v>
      </c>
      <c r="AI326" s="63">
        <v>13</v>
      </c>
      <c r="AJ326" s="63">
        <v>23</v>
      </c>
      <c r="AK326" s="63">
        <v>33</v>
      </c>
      <c r="AL326" s="63">
        <v>11</v>
      </c>
      <c r="AM326" s="63">
        <v>25</v>
      </c>
      <c r="AN326" s="63">
        <v>16</v>
      </c>
      <c r="AO326" s="63">
        <v>22</v>
      </c>
      <c r="AP326" s="63">
        <v>18</v>
      </c>
      <c r="AQ326" s="63">
        <v>26</v>
      </c>
      <c r="AR326" s="63">
        <v>21</v>
      </c>
      <c r="AS326" s="63">
        <v>15</v>
      </c>
      <c r="AT326" s="63">
        <v>19</v>
      </c>
      <c r="AU326" s="63">
        <v>12</v>
      </c>
      <c r="AV326" s="63">
        <v>8</v>
      </c>
      <c r="AW326" s="63">
        <v>19</v>
      </c>
      <c r="AX326" s="63">
        <v>9</v>
      </c>
      <c r="AY326" s="63">
        <v>10</v>
      </c>
      <c r="AZ326" s="63">
        <v>3</v>
      </c>
      <c r="BA326" s="63">
        <v>19</v>
      </c>
      <c r="BB326" s="63">
        <v>14</v>
      </c>
      <c r="BC326" s="63">
        <v>9</v>
      </c>
      <c r="BD326" s="63">
        <v>6</v>
      </c>
      <c r="BE326" s="63">
        <v>5</v>
      </c>
      <c r="BF326" s="63">
        <v>16</v>
      </c>
      <c r="BG326" s="63">
        <v>9</v>
      </c>
      <c r="BH326" s="63">
        <v>6</v>
      </c>
    </row>
    <row r="327" spans="2:60" hidden="1" x14ac:dyDescent="0.2">
      <c r="B327" s="57"/>
      <c r="C327" s="57" t="s">
        <v>687</v>
      </c>
      <c r="D327" s="57" t="s">
        <v>699</v>
      </c>
      <c r="E327" s="62">
        <v>129</v>
      </c>
      <c r="F327" s="62">
        <v>129</v>
      </c>
      <c r="G327" s="62">
        <v>117</v>
      </c>
      <c r="H327" s="62">
        <v>121</v>
      </c>
      <c r="I327" s="62">
        <v>132</v>
      </c>
      <c r="J327" s="62">
        <v>107</v>
      </c>
      <c r="K327" s="62">
        <v>128</v>
      </c>
      <c r="L327" s="62">
        <v>92</v>
      </c>
      <c r="M327" s="62">
        <v>113</v>
      </c>
      <c r="N327" s="62">
        <v>94</v>
      </c>
      <c r="O327" s="62">
        <v>113</v>
      </c>
      <c r="P327" s="62">
        <v>102</v>
      </c>
      <c r="Q327" s="62">
        <v>110</v>
      </c>
      <c r="R327" s="62">
        <v>78</v>
      </c>
      <c r="S327" s="62">
        <v>90</v>
      </c>
      <c r="T327" s="62">
        <v>90</v>
      </c>
      <c r="U327" s="62">
        <v>86</v>
      </c>
      <c r="V327" s="62">
        <v>93</v>
      </c>
      <c r="W327" s="62">
        <v>137</v>
      </c>
      <c r="X327" s="62">
        <v>86</v>
      </c>
      <c r="Y327" s="62">
        <v>102</v>
      </c>
      <c r="Z327" s="62">
        <v>86</v>
      </c>
      <c r="AA327" s="62">
        <v>97</v>
      </c>
      <c r="AB327" s="62">
        <v>101</v>
      </c>
      <c r="AC327" s="62">
        <v>95</v>
      </c>
      <c r="AD327" s="62">
        <v>96</v>
      </c>
      <c r="AE327" s="62">
        <v>109</v>
      </c>
      <c r="AF327" s="62">
        <v>86</v>
      </c>
      <c r="AG327" s="62">
        <v>78</v>
      </c>
      <c r="AH327" s="62">
        <v>86</v>
      </c>
      <c r="AI327" s="62">
        <v>77</v>
      </c>
      <c r="AJ327" s="62">
        <v>97</v>
      </c>
      <c r="AK327" s="62">
        <v>98</v>
      </c>
      <c r="AL327" s="62">
        <v>87</v>
      </c>
      <c r="AM327" s="62">
        <v>66</v>
      </c>
      <c r="AN327" s="62">
        <v>32</v>
      </c>
      <c r="AO327" s="62">
        <v>54</v>
      </c>
      <c r="AP327" s="62">
        <v>57</v>
      </c>
      <c r="AQ327" s="62">
        <v>51</v>
      </c>
      <c r="AR327" s="62">
        <v>95</v>
      </c>
      <c r="AS327" s="62">
        <v>72</v>
      </c>
      <c r="AT327" s="62">
        <v>97</v>
      </c>
      <c r="AU327" s="62">
        <v>79</v>
      </c>
      <c r="AV327" s="62">
        <v>91</v>
      </c>
      <c r="AW327" s="62">
        <v>80</v>
      </c>
      <c r="AX327" s="62">
        <v>112</v>
      </c>
      <c r="AY327" s="62">
        <v>107</v>
      </c>
      <c r="AZ327" s="62">
        <v>81</v>
      </c>
      <c r="BA327" s="62">
        <v>119</v>
      </c>
      <c r="BB327" s="62">
        <v>79</v>
      </c>
      <c r="BC327" s="62">
        <v>37</v>
      </c>
      <c r="BD327" s="62">
        <v>59</v>
      </c>
      <c r="BE327" s="62">
        <v>61</v>
      </c>
      <c r="BF327" s="62">
        <v>57</v>
      </c>
      <c r="BG327" s="62">
        <v>51</v>
      </c>
      <c r="BH327" s="62">
        <v>49</v>
      </c>
    </row>
    <row r="328" spans="2:60" hidden="1" x14ac:dyDescent="0.2">
      <c r="B328" s="59"/>
      <c r="C328" s="59" t="s">
        <v>687</v>
      </c>
      <c r="D328" s="59" t="s">
        <v>656</v>
      </c>
      <c r="E328" s="63">
        <v>1091</v>
      </c>
      <c r="F328" s="63">
        <v>956</v>
      </c>
      <c r="G328" s="63">
        <v>1021</v>
      </c>
      <c r="H328" s="63">
        <v>983</v>
      </c>
      <c r="I328" s="63">
        <v>1074</v>
      </c>
      <c r="J328" s="63">
        <v>970</v>
      </c>
      <c r="K328" s="63">
        <v>1152</v>
      </c>
      <c r="L328" s="63">
        <v>1033</v>
      </c>
      <c r="M328" s="63">
        <v>1361</v>
      </c>
      <c r="N328" s="63">
        <v>1056</v>
      </c>
      <c r="O328" s="63">
        <v>1113</v>
      </c>
      <c r="P328" s="63">
        <v>991</v>
      </c>
      <c r="Q328" s="63">
        <v>1255</v>
      </c>
      <c r="R328" s="63">
        <v>1011</v>
      </c>
      <c r="S328" s="63">
        <v>1025</v>
      </c>
      <c r="T328" s="63">
        <v>1011</v>
      </c>
      <c r="U328" s="63">
        <v>1131</v>
      </c>
      <c r="V328" s="63">
        <v>1017</v>
      </c>
      <c r="W328" s="63">
        <v>1157</v>
      </c>
      <c r="X328" s="63">
        <v>1002</v>
      </c>
      <c r="Y328" s="63">
        <v>1262</v>
      </c>
      <c r="Z328" s="63">
        <v>978</v>
      </c>
      <c r="AA328" s="63">
        <v>997</v>
      </c>
      <c r="AB328" s="63">
        <v>1060</v>
      </c>
      <c r="AC328" s="63">
        <v>1160</v>
      </c>
      <c r="AD328" s="63">
        <v>1037</v>
      </c>
      <c r="AE328" s="63">
        <v>988</v>
      </c>
      <c r="AF328" s="63">
        <v>973</v>
      </c>
      <c r="AG328" s="63">
        <v>1048</v>
      </c>
      <c r="AH328" s="63">
        <v>928</v>
      </c>
      <c r="AI328" s="63">
        <v>943</v>
      </c>
      <c r="AJ328" s="63">
        <v>1008</v>
      </c>
      <c r="AK328" s="63">
        <v>972</v>
      </c>
      <c r="AL328" s="63">
        <v>982</v>
      </c>
      <c r="AM328" s="63">
        <v>804</v>
      </c>
      <c r="AN328" s="63">
        <v>719</v>
      </c>
      <c r="AO328" s="63">
        <v>826</v>
      </c>
      <c r="AP328" s="63">
        <v>783</v>
      </c>
      <c r="AQ328" s="63">
        <v>793</v>
      </c>
      <c r="AR328" s="63">
        <v>790</v>
      </c>
      <c r="AS328" s="63">
        <v>663</v>
      </c>
      <c r="AT328" s="63">
        <v>844</v>
      </c>
      <c r="AU328" s="63">
        <v>757</v>
      </c>
      <c r="AV328" s="63">
        <v>739</v>
      </c>
      <c r="AW328" s="63">
        <v>674</v>
      </c>
      <c r="AX328" s="63">
        <v>755</v>
      </c>
      <c r="AY328" s="63">
        <v>776</v>
      </c>
      <c r="AZ328" s="63">
        <v>826</v>
      </c>
      <c r="BA328" s="63">
        <v>780</v>
      </c>
      <c r="BB328" s="63">
        <v>813</v>
      </c>
      <c r="BC328" s="63">
        <v>778</v>
      </c>
      <c r="BD328" s="63">
        <v>780</v>
      </c>
      <c r="BE328" s="63">
        <v>792</v>
      </c>
      <c r="BF328" s="63">
        <v>766</v>
      </c>
      <c r="BG328" s="63">
        <v>762</v>
      </c>
      <c r="BH328" s="63">
        <v>836</v>
      </c>
    </row>
    <row r="329" spans="2:60" hidden="1" x14ac:dyDescent="0.2">
      <c r="B329" s="57"/>
      <c r="C329" s="57" t="s">
        <v>688</v>
      </c>
      <c r="D329" s="57" t="s">
        <v>648</v>
      </c>
      <c r="E329" s="62">
        <v>9</v>
      </c>
      <c r="F329" s="62">
        <v>17</v>
      </c>
      <c r="G329" s="62">
        <v>14</v>
      </c>
      <c r="H329" s="62">
        <v>8</v>
      </c>
      <c r="I329" s="62">
        <v>17</v>
      </c>
      <c r="J329" s="62">
        <v>10</v>
      </c>
      <c r="K329" s="62">
        <v>13</v>
      </c>
      <c r="L329" s="62">
        <v>10</v>
      </c>
      <c r="M329" s="62">
        <v>11</v>
      </c>
      <c r="N329" s="62">
        <v>7</v>
      </c>
      <c r="O329" s="62">
        <v>14</v>
      </c>
      <c r="P329" s="62">
        <v>10</v>
      </c>
      <c r="Q329" s="62">
        <v>9</v>
      </c>
      <c r="R329" s="62">
        <v>11</v>
      </c>
      <c r="S329" s="62">
        <v>10</v>
      </c>
      <c r="T329" s="62">
        <v>5</v>
      </c>
      <c r="U329" s="62">
        <v>14</v>
      </c>
      <c r="V329" s="62">
        <v>6</v>
      </c>
      <c r="W329" s="62">
        <v>9</v>
      </c>
      <c r="X329" s="62">
        <v>13</v>
      </c>
      <c r="Y329" s="62">
        <v>9</v>
      </c>
      <c r="Z329" s="62">
        <v>8</v>
      </c>
      <c r="AA329" s="62">
        <v>6</v>
      </c>
      <c r="AB329" s="62">
        <v>9</v>
      </c>
      <c r="AC329" s="62">
        <v>14</v>
      </c>
      <c r="AD329" s="62">
        <v>12</v>
      </c>
      <c r="AE329" s="62">
        <v>15</v>
      </c>
      <c r="AF329" s="62">
        <v>9</v>
      </c>
      <c r="AG329" s="62">
        <v>10</v>
      </c>
      <c r="AH329" s="62">
        <v>6</v>
      </c>
      <c r="AI329" s="62">
        <v>17</v>
      </c>
      <c r="AJ329" s="62">
        <v>12</v>
      </c>
      <c r="AK329" s="62">
        <v>21</v>
      </c>
      <c r="AL329" s="62">
        <v>11</v>
      </c>
      <c r="AM329" s="62">
        <v>12</v>
      </c>
      <c r="AN329" s="62">
        <v>10</v>
      </c>
      <c r="AO329" s="62">
        <v>13</v>
      </c>
      <c r="AP329" s="62">
        <v>11</v>
      </c>
      <c r="AQ329" s="62">
        <v>9</v>
      </c>
      <c r="AR329" s="62">
        <v>8</v>
      </c>
      <c r="AS329" s="62">
        <v>11</v>
      </c>
      <c r="AT329" s="62">
        <v>11</v>
      </c>
      <c r="AU329" s="62">
        <v>5</v>
      </c>
      <c r="AV329" s="62">
        <v>6</v>
      </c>
      <c r="AW329" s="62">
        <v>7</v>
      </c>
      <c r="AX329" s="62">
        <v>6</v>
      </c>
      <c r="AY329" s="62">
        <v>9</v>
      </c>
      <c r="AZ329" s="62">
        <v>12</v>
      </c>
      <c r="BA329" s="62">
        <v>6</v>
      </c>
      <c r="BB329" s="62">
        <v>13</v>
      </c>
      <c r="BC329" s="62">
        <v>9</v>
      </c>
      <c r="BD329" s="62">
        <v>15</v>
      </c>
      <c r="BE329" s="62">
        <v>12</v>
      </c>
      <c r="BF329" s="62">
        <v>14</v>
      </c>
      <c r="BG329" s="62">
        <v>6</v>
      </c>
      <c r="BH329" s="62">
        <v>11</v>
      </c>
    </row>
    <row r="330" spans="2:60" hidden="1" x14ac:dyDescent="0.2">
      <c r="B330" s="59"/>
      <c r="C330" s="59" t="s">
        <v>688</v>
      </c>
      <c r="D330" s="59" t="s">
        <v>649</v>
      </c>
      <c r="E330" s="63">
        <v>42</v>
      </c>
      <c r="F330" s="63">
        <v>31</v>
      </c>
      <c r="G330" s="63">
        <v>39</v>
      </c>
      <c r="H330" s="63">
        <v>32</v>
      </c>
      <c r="I330" s="63">
        <v>28</v>
      </c>
      <c r="J330" s="63">
        <v>38</v>
      </c>
      <c r="K330" s="63">
        <v>36</v>
      </c>
      <c r="L330" s="63">
        <v>37</v>
      </c>
      <c r="M330" s="63">
        <v>41</v>
      </c>
      <c r="N330" s="63">
        <v>29</v>
      </c>
      <c r="O330" s="63">
        <v>44</v>
      </c>
      <c r="P330" s="63">
        <v>33</v>
      </c>
      <c r="Q330" s="63">
        <v>29</v>
      </c>
      <c r="R330" s="63">
        <v>25</v>
      </c>
      <c r="S330" s="63">
        <v>26</v>
      </c>
      <c r="T330" s="63">
        <v>34</v>
      </c>
      <c r="U330" s="63">
        <v>26</v>
      </c>
      <c r="V330" s="63">
        <v>38</v>
      </c>
      <c r="W330" s="63">
        <v>27</v>
      </c>
      <c r="X330" s="63">
        <v>24</v>
      </c>
      <c r="Y330" s="63">
        <v>32</v>
      </c>
      <c r="Z330" s="63">
        <v>41</v>
      </c>
      <c r="AA330" s="63">
        <v>27</v>
      </c>
      <c r="AB330" s="63">
        <v>33</v>
      </c>
      <c r="AC330" s="63">
        <v>25</v>
      </c>
      <c r="AD330" s="63">
        <v>29</v>
      </c>
      <c r="AE330" s="63">
        <v>26</v>
      </c>
      <c r="AF330" s="63">
        <v>20</v>
      </c>
      <c r="AG330" s="63">
        <v>26</v>
      </c>
      <c r="AH330" s="63">
        <v>25</v>
      </c>
      <c r="AI330" s="63">
        <v>25</v>
      </c>
      <c r="AJ330" s="63">
        <v>24</v>
      </c>
      <c r="AK330" s="63">
        <v>25</v>
      </c>
      <c r="AL330" s="63">
        <v>34</v>
      </c>
      <c r="AM330" s="63">
        <v>26</v>
      </c>
      <c r="AN330" s="63">
        <v>38</v>
      </c>
      <c r="AO330" s="63">
        <v>14</v>
      </c>
      <c r="AP330" s="63">
        <v>25</v>
      </c>
      <c r="AQ330" s="63">
        <v>22</v>
      </c>
      <c r="AR330" s="63">
        <v>15</v>
      </c>
      <c r="AS330" s="63">
        <v>26</v>
      </c>
      <c r="AT330" s="63">
        <v>15</v>
      </c>
      <c r="AU330" s="63">
        <v>10</v>
      </c>
      <c r="AV330" s="63">
        <v>16</v>
      </c>
      <c r="AW330" s="63">
        <v>21</v>
      </c>
      <c r="AX330" s="63">
        <v>10</v>
      </c>
      <c r="AY330" s="63">
        <v>20</v>
      </c>
      <c r="AZ330" s="63">
        <v>8</v>
      </c>
      <c r="BA330" s="63">
        <v>19</v>
      </c>
      <c r="BB330" s="63">
        <v>20</v>
      </c>
      <c r="BC330" s="63">
        <v>24</v>
      </c>
      <c r="BD330" s="63">
        <v>22</v>
      </c>
      <c r="BE330" s="63">
        <v>17</v>
      </c>
      <c r="BF330" s="63">
        <v>20</v>
      </c>
      <c r="BG330" s="63">
        <v>21</v>
      </c>
      <c r="BH330" s="63">
        <v>22</v>
      </c>
    </row>
    <row r="331" spans="2:60" hidden="1" x14ac:dyDescent="0.2">
      <c r="B331" s="57"/>
      <c r="C331" s="57" t="s">
        <v>688</v>
      </c>
      <c r="D331" s="57" t="s">
        <v>650</v>
      </c>
      <c r="E331" s="62">
        <v>5</v>
      </c>
      <c r="F331" s="62">
        <v>1</v>
      </c>
      <c r="G331" s="62">
        <v>5</v>
      </c>
      <c r="H331" s="62">
        <v>5</v>
      </c>
      <c r="I331" s="62">
        <v>3</v>
      </c>
      <c r="J331" s="62">
        <v>5</v>
      </c>
      <c r="K331" s="62">
        <v>8</v>
      </c>
      <c r="L331" s="62">
        <v>9</v>
      </c>
      <c r="M331" s="62">
        <v>6</v>
      </c>
      <c r="N331" s="62">
        <v>4</v>
      </c>
      <c r="O331" s="62">
        <v>5</v>
      </c>
      <c r="P331" s="62">
        <v>9</v>
      </c>
      <c r="Q331" s="62">
        <v>8</v>
      </c>
      <c r="R331" s="62">
        <v>5</v>
      </c>
      <c r="S331" s="62">
        <v>10</v>
      </c>
      <c r="T331" s="62">
        <v>10</v>
      </c>
      <c r="U331" s="62">
        <v>5</v>
      </c>
      <c r="V331" s="62">
        <v>12</v>
      </c>
      <c r="W331" s="62">
        <v>5</v>
      </c>
      <c r="X331" s="62">
        <v>2</v>
      </c>
      <c r="Y331" s="62">
        <v>8</v>
      </c>
      <c r="Z331" s="62">
        <v>17</v>
      </c>
      <c r="AA331" s="62">
        <v>11</v>
      </c>
      <c r="AB331" s="62">
        <v>8</v>
      </c>
      <c r="AC331" s="62">
        <v>10</v>
      </c>
      <c r="AD331" s="62">
        <v>8</v>
      </c>
      <c r="AE331" s="62">
        <v>12</v>
      </c>
      <c r="AF331" s="62">
        <v>12</v>
      </c>
      <c r="AG331" s="62">
        <v>8</v>
      </c>
      <c r="AH331" s="62">
        <v>13</v>
      </c>
      <c r="AI331" s="62">
        <v>11</v>
      </c>
      <c r="AJ331" s="62">
        <v>21</v>
      </c>
      <c r="AK331" s="62">
        <v>8</v>
      </c>
      <c r="AL331" s="62">
        <v>11</v>
      </c>
      <c r="AM331" s="62">
        <v>9</v>
      </c>
      <c r="AN331" s="62">
        <v>14</v>
      </c>
      <c r="AO331" s="62">
        <v>5</v>
      </c>
      <c r="AP331" s="62">
        <v>6</v>
      </c>
      <c r="AQ331" s="62">
        <v>4</v>
      </c>
      <c r="AR331" s="62">
        <v>11</v>
      </c>
      <c r="AS331" s="62">
        <v>8</v>
      </c>
      <c r="AT331" s="62">
        <v>12</v>
      </c>
      <c r="AU331" s="62">
        <v>6</v>
      </c>
      <c r="AV331" s="62">
        <v>6</v>
      </c>
      <c r="AW331" s="62">
        <v>3</v>
      </c>
      <c r="AX331" s="62">
        <v>15</v>
      </c>
      <c r="AY331" s="62">
        <v>3</v>
      </c>
      <c r="AZ331" s="62">
        <v>11</v>
      </c>
      <c r="BA331" s="62">
        <v>8</v>
      </c>
      <c r="BB331" s="62">
        <v>11</v>
      </c>
      <c r="BC331" s="62">
        <v>8</v>
      </c>
      <c r="BD331" s="62">
        <v>6</v>
      </c>
      <c r="BE331" s="62">
        <v>10</v>
      </c>
      <c r="BF331" s="62">
        <v>11</v>
      </c>
      <c r="BG331" s="62">
        <v>11</v>
      </c>
      <c r="BH331" s="62">
        <v>11</v>
      </c>
    </row>
    <row r="332" spans="2:60" hidden="1" x14ac:dyDescent="0.2">
      <c r="B332" s="59"/>
      <c r="C332" s="59" t="s">
        <v>688</v>
      </c>
      <c r="D332" s="59" t="s">
        <v>651</v>
      </c>
      <c r="E332" s="63">
        <v>34</v>
      </c>
      <c r="F332" s="63">
        <v>34</v>
      </c>
      <c r="G332" s="63">
        <v>25</v>
      </c>
      <c r="H332" s="63">
        <v>27</v>
      </c>
      <c r="I332" s="63">
        <v>28</v>
      </c>
      <c r="J332" s="63">
        <v>22</v>
      </c>
      <c r="K332" s="63">
        <v>15</v>
      </c>
      <c r="L332" s="63">
        <v>30</v>
      </c>
      <c r="M332" s="63">
        <v>22</v>
      </c>
      <c r="N332" s="63">
        <v>28</v>
      </c>
      <c r="O332" s="63">
        <v>29</v>
      </c>
      <c r="P332" s="63">
        <v>38</v>
      </c>
      <c r="Q332" s="63">
        <v>41</v>
      </c>
      <c r="R332" s="63">
        <v>27</v>
      </c>
      <c r="S332" s="63">
        <v>29</v>
      </c>
      <c r="T332" s="63">
        <v>23</v>
      </c>
      <c r="U332" s="63">
        <v>26</v>
      </c>
      <c r="V332" s="63">
        <v>29</v>
      </c>
      <c r="W332" s="63">
        <v>39</v>
      </c>
      <c r="X332" s="63">
        <v>22</v>
      </c>
      <c r="Y332" s="63">
        <v>30</v>
      </c>
      <c r="Z332" s="63">
        <v>19</v>
      </c>
      <c r="AA332" s="63">
        <v>29</v>
      </c>
      <c r="AB332" s="63">
        <v>23</v>
      </c>
      <c r="AC332" s="63">
        <v>27</v>
      </c>
      <c r="AD332" s="63">
        <v>24</v>
      </c>
      <c r="AE332" s="63">
        <v>17</v>
      </c>
      <c r="AF332" s="63">
        <v>27</v>
      </c>
      <c r="AG332" s="63">
        <v>20</v>
      </c>
      <c r="AH332" s="63">
        <v>24</v>
      </c>
      <c r="AI332" s="63">
        <v>23</v>
      </c>
      <c r="AJ332" s="63">
        <v>17</v>
      </c>
      <c r="AK332" s="63">
        <v>20</v>
      </c>
      <c r="AL332" s="63">
        <v>48</v>
      </c>
      <c r="AM332" s="63">
        <v>24</v>
      </c>
      <c r="AN332" s="63">
        <v>20</v>
      </c>
      <c r="AO332" s="63">
        <v>16</v>
      </c>
      <c r="AP332" s="63">
        <v>29</v>
      </c>
      <c r="AQ332" s="63">
        <v>17</v>
      </c>
      <c r="AR332" s="63">
        <v>19</v>
      </c>
      <c r="AS332" s="63">
        <v>20</v>
      </c>
      <c r="AT332" s="63">
        <v>13</v>
      </c>
      <c r="AU332" s="63">
        <v>13</v>
      </c>
      <c r="AV332" s="63">
        <v>10</v>
      </c>
      <c r="AW332" s="63">
        <v>15</v>
      </c>
      <c r="AX332" s="63">
        <v>16</v>
      </c>
      <c r="AY332" s="63">
        <v>17</v>
      </c>
      <c r="AZ332" s="63">
        <v>25</v>
      </c>
      <c r="BA332" s="63">
        <v>15</v>
      </c>
      <c r="BB332" s="63">
        <v>16</v>
      </c>
      <c r="BC332" s="63">
        <v>13</v>
      </c>
      <c r="BD332" s="63">
        <v>13</v>
      </c>
      <c r="BE332" s="63">
        <v>15</v>
      </c>
      <c r="BF332" s="63">
        <v>10</v>
      </c>
      <c r="BG332" s="63">
        <v>19</v>
      </c>
      <c r="BH332" s="63">
        <v>12</v>
      </c>
    </row>
    <row r="333" spans="2:60" hidden="1" x14ac:dyDescent="0.2">
      <c r="B333" s="57"/>
      <c r="C333" s="57" t="s">
        <v>688</v>
      </c>
      <c r="D333" s="57" t="s">
        <v>652</v>
      </c>
      <c r="E333" s="62">
        <v>124</v>
      </c>
      <c r="F333" s="62">
        <v>145</v>
      </c>
      <c r="G333" s="62">
        <v>133</v>
      </c>
      <c r="H333" s="62">
        <v>110</v>
      </c>
      <c r="I333" s="62">
        <v>115</v>
      </c>
      <c r="J333" s="62">
        <v>111</v>
      </c>
      <c r="K333" s="62">
        <v>149</v>
      </c>
      <c r="L333" s="62">
        <v>125</v>
      </c>
      <c r="M333" s="62">
        <v>110</v>
      </c>
      <c r="N333" s="62">
        <v>93</v>
      </c>
      <c r="O333" s="62">
        <v>101</v>
      </c>
      <c r="P333" s="62">
        <v>99</v>
      </c>
      <c r="Q333" s="62">
        <v>127</v>
      </c>
      <c r="R333" s="62">
        <v>117</v>
      </c>
      <c r="S333" s="62">
        <v>105</v>
      </c>
      <c r="T333" s="62">
        <v>111</v>
      </c>
      <c r="U333" s="62">
        <v>123</v>
      </c>
      <c r="V333" s="62">
        <v>108</v>
      </c>
      <c r="W333" s="62">
        <v>104</v>
      </c>
      <c r="X333" s="62">
        <v>96</v>
      </c>
      <c r="Y333" s="62">
        <v>117</v>
      </c>
      <c r="Z333" s="62">
        <v>95</v>
      </c>
      <c r="AA333" s="62">
        <v>114</v>
      </c>
      <c r="AB333" s="62">
        <v>92</v>
      </c>
      <c r="AC333" s="62">
        <v>85</v>
      </c>
      <c r="AD333" s="62">
        <v>112</v>
      </c>
      <c r="AE333" s="62">
        <v>88</v>
      </c>
      <c r="AF333" s="62">
        <v>74</v>
      </c>
      <c r="AG333" s="62">
        <v>74</v>
      </c>
      <c r="AH333" s="62">
        <v>91</v>
      </c>
      <c r="AI333" s="62">
        <v>95</v>
      </c>
      <c r="AJ333" s="62">
        <v>88</v>
      </c>
      <c r="AK333" s="62">
        <v>77</v>
      </c>
      <c r="AL333" s="62">
        <v>87</v>
      </c>
      <c r="AM333" s="62">
        <v>70</v>
      </c>
      <c r="AN333" s="62">
        <v>75</v>
      </c>
      <c r="AO333" s="62">
        <v>60</v>
      </c>
      <c r="AP333" s="62">
        <v>68</v>
      </c>
      <c r="AQ333" s="62">
        <v>72</v>
      </c>
      <c r="AR333" s="62">
        <v>60</v>
      </c>
      <c r="AS333" s="62">
        <v>50</v>
      </c>
      <c r="AT333" s="62">
        <v>65</v>
      </c>
      <c r="AU333" s="62">
        <v>47</v>
      </c>
      <c r="AV333" s="62">
        <v>48</v>
      </c>
      <c r="AW333" s="62">
        <v>43</v>
      </c>
      <c r="AX333" s="62">
        <v>52</v>
      </c>
      <c r="AY333" s="62">
        <v>48</v>
      </c>
      <c r="AZ333" s="62">
        <v>53</v>
      </c>
      <c r="BA333" s="62">
        <v>49</v>
      </c>
      <c r="BB333" s="62">
        <v>46</v>
      </c>
      <c r="BC333" s="62">
        <v>63</v>
      </c>
      <c r="BD333" s="62">
        <v>62</v>
      </c>
      <c r="BE333" s="62">
        <v>54</v>
      </c>
      <c r="BF333" s="62">
        <v>49</v>
      </c>
      <c r="BG333" s="62">
        <v>55</v>
      </c>
      <c r="BH333" s="62">
        <v>67</v>
      </c>
    </row>
    <row r="334" spans="2:60" hidden="1" x14ac:dyDescent="0.2">
      <c r="B334" s="59"/>
      <c r="C334" s="59" t="s">
        <v>688</v>
      </c>
      <c r="D334" s="59" t="s">
        <v>653</v>
      </c>
      <c r="E334" s="63">
        <v>97</v>
      </c>
      <c r="F334" s="63">
        <v>111</v>
      </c>
      <c r="G334" s="63">
        <v>74</v>
      </c>
      <c r="H334" s="63">
        <v>93</v>
      </c>
      <c r="I334" s="63">
        <v>115</v>
      </c>
      <c r="J334" s="63">
        <v>92</v>
      </c>
      <c r="K334" s="63">
        <v>109</v>
      </c>
      <c r="L334" s="63">
        <v>115</v>
      </c>
      <c r="M334" s="63">
        <v>96</v>
      </c>
      <c r="N334" s="63">
        <v>110</v>
      </c>
      <c r="O334" s="63">
        <v>103</v>
      </c>
      <c r="P334" s="63">
        <v>95</v>
      </c>
      <c r="Q334" s="63">
        <v>106</v>
      </c>
      <c r="R334" s="63">
        <v>103</v>
      </c>
      <c r="S334" s="63">
        <v>100</v>
      </c>
      <c r="T334" s="63">
        <v>98</v>
      </c>
      <c r="U334" s="63">
        <v>105</v>
      </c>
      <c r="V334" s="63">
        <v>102</v>
      </c>
      <c r="W334" s="63">
        <v>101</v>
      </c>
      <c r="X334" s="63">
        <v>86</v>
      </c>
      <c r="Y334" s="63">
        <v>78</v>
      </c>
      <c r="Z334" s="63">
        <v>86</v>
      </c>
      <c r="AA334" s="63">
        <v>86</v>
      </c>
      <c r="AB334" s="63">
        <v>73</v>
      </c>
      <c r="AC334" s="63">
        <v>91</v>
      </c>
      <c r="AD334" s="63">
        <v>100</v>
      </c>
      <c r="AE334" s="63">
        <v>74</v>
      </c>
      <c r="AF334" s="63">
        <v>78</v>
      </c>
      <c r="AG334" s="63">
        <v>74</v>
      </c>
      <c r="AH334" s="63">
        <v>73</v>
      </c>
      <c r="AI334" s="63">
        <v>89</v>
      </c>
      <c r="AJ334" s="63">
        <v>75</v>
      </c>
      <c r="AK334" s="63">
        <v>56</v>
      </c>
      <c r="AL334" s="63">
        <v>91</v>
      </c>
      <c r="AM334" s="63">
        <v>58</v>
      </c>
      <c r="AN334" s="63">
        <v>61</v>
      </c>
      <c r="AO334" s="63">
        <v>65</v>
      </c>
      <c r="AP334" s="63">
        <v>47</v>
      </c>
      <c r="AQ334" s="63">
        <v>44</v>
      </c>
      <c r="AR334" s="63">
        <v>62</v>
      </c>
      <c r="AS334" s="63">
        <v>40</v>
      </c>
      <c r="AT334" s="63">
        <v>45</v>
      </c>
      <c r="AU334" s="63">
        <v>43</v>
      </c>
      <c r="AV334" s="63">
        <v>37</v>
      </c>
      <c r="AW334" s="63">
        <v>42</v>
      </c>
      <c r="AX334" s="63">
        <v>67</v>
      </c>
      <c r="AY334" s="63">
        <v>69</v>
      </c>
      <c r="AZ334" s="63">
        <v>46</v>
      </c>
      <c r="BA334" s="63">
        <v>63</v>
      </c>
      <c r="BB334" s="63">
        <v>93</v>
      </c>
      <c r="BC334" s="63">
        <v>92</v>
      </c>
      <c r="BD334" s="63">
        <v>79</v>
      </c>
      <c r="BE334" s="63">
        <v>74</v>
      </c>
      <c r="BF334" s="63">
        <v>83</v>
      </c>
      <c r="BG334" s="63">
        <v>86</v>
      </c>
      <c r="BH334" s="63">
        <v>83</v>
      </c>
    </row>
    <row r="335" spans="2:60" hidden="1" x14ac:dyDescent="0.2">
      <c r="B335" s="57"/>
      <c r="C335" s="57" t="s">
        <v>688</v>
      </c>
      <c r="D335" s="57" t="s">
        <v>654</v>
      </c>
      <c r="E335" s="62">
        <v>3</v>
      </c>
      <c r="F335" s="62">
        <v>6</v>
      </c>
      <c r="G335" s="62">
        <v>1</v>
      </c>
      <c r="H335" s="62">
        <v>3</v>
      </c>
      <c r="I335" s="62">
        <v>11</v>
      </c>
      <c r="J335" s="62">
        <v>3</v>
      </c>
      <c r="K335" s="62">
        <v>7</v>
      </c>
      <c r="L335" s="62">
        <v>5</v>
      </c>
      <c r="M335" s="62">
        <v>3</v>
      </c>
      <c r="N335" s="62">
        <v>6</v>
      </c>
      <c r="O335" s="62">
        <v>2</v>
      </c>
      <c r="P335" s="62">
        <v>5</v>
      </c>
      <c r="Q335" s="62">
        <v>6</v>
      </c>
      <c r="R335" s="62">
        <v>5</v>
      </c>
      <c r="S335" s="62">
        <v>2</v>
      </c>
      <c r="T335" s="62">
        <v>1</v>
      </c>
      <c r="U335" s="62">
        <v>1</v>
      </c>
      <c r="V335" s="62">
        <v>2</v>
      </c>
      <c r="W335" s="62">
        <v>3</v>
      </c>
      <c r="X335" s="62">
        <v>2</v>
      </c>
      <c r="Y335" s="62">
        <v>1</v>
      </c>
      <c r="Z335" s="62">
        <v>3</v>
      </c>
      <c r="AA335" s="62">
        <v>3</v>
      </c>
      <c r="AB335" s="62">
        <v>12</v>
      </c>
      <c r="AC335" s="62">
        <v>4</v>
      </c>
      <c r="AD335" s="62">
        <v>6</v>
      </c>
      <c r="AE335" s="62">
        <v>2</v>
      </c>
      <c r="AF335" s="62">
        <v>6</v>
      </c>
      <c r="AG335" s="62">
        <v>12</v>
      </c>
      <c r="AH335" s="62">
        <v>5</v>
      </c>
      <c r="AI335" s="62">
        <v>4</v>
      </c>
      <c r="AJ335" s="62">
        <v>6</v>
      </c>
      <c r="AK335" s="62">
        <v>3</v>
      </c>
      <c r="AL335" s="62">
        <v>4</v>
      </c>
      <c r="AM335" s="62">
        <v>1</v>
      </c>
      <c r="AN335" s="62">
        <v>6</v>
      </c>
      <c r="AO335" s="62">
        <v>3</v>
      </c>
      <c r="AP335" s="62">
        <v>4</v>
      </c>
      <c r="AQ335" s="62">
        <v>1</v>
      </c>
      <c r="AR335" s="62">
        <v>1</v>
      </c>
      <c r="AS335" s="62"/>
      <c r="AT335" s="62">
        <v>1</v>
      </c>
      <c r="AU335" s="62">
        <v>4</v>
      </c>
      <c r="AV335" s="62">
        <v>3</v>
      </c>
      <c r="AW335" s="62">
        <v>1</v>
      </c>
      <c r="AX335" s="62">
        <v>2</v>
      </c>
      <c r="AY335" s="62">
        <v>2</v>
      </c>
      <c r="AZ335" s="62">
        <v>2</v>
      </c>
      <c r="BA335" s="62"/>
      <c r="BB335" s="62"/>
      <c r="BC335" s="62"/>
      <c r="BD335" s="62">
        <v>4</v>
      </c>
      <c r="BE335" s="62">
        <v>2</v>
      </c>
      <c r="BF335" s="62">
        <v>4</v>
      </c>
      <c r="BG335" s="62">
        <v>5</v>
      </c>
      <c r="BH335" s="62"/>
    </row>
    <row r="336" spans="2:60" hidden="1" x14ac:dyDescent="0.2">
      <c r="B336" s="59"/>
      <c r="C336" s="59" t="s">
        <v>688</v>
      </c>
      <c r="D336" s="59" t="s">
        <v>655</v>
      </c>
      <c r="E336" s="63">
        <v>3</v>
      </c>
      <c r="F336" s="63">
        <v>5</v>
      </c>
      <c r="G336" s="63">
        <v>8</v>
      </c>
      <c r="H336" s="63">
        <v>4</v>
      </c>
      <c r="I336" s="63">
        <v>6</v>
      </c>
      <c r="J336" s="63">
        <v>3</v>
      </c>
      <c r="K336" s="63">
        <v>8</v>
      </c>
      <c r="L336" s="63">
        <v>10</v>
      </c>
      <c r="M336" s="63">
        <v>5</v>
      </c>
      <c r="N336" s="63">
        <v>8</v>
      </c>
      <c r="O336" s="63">
        <v>5</v>
      </c>
      <c r="P336" s="63">
        <v>5</v>
      </c>
      <c r="Q336" s="63">
        <v>5</v>
      </c>
      <c r="R336" s="63">
        <v>8</v>
      </c>
      <c r="S336" s="63">
        <v>3</v>
      </c>
      <c r="T336" s="63">
        <v>6</v>
      </c>
      <c r="U336" s="63">
        <v>5</v>
      </c>
      <c r="V336" s="63">
        <v>7</v>
      </c>
      <c r="W336" s="63">
        <v>7</v>
      </c>
      <c r="X336" s="63">
        <v>8</v>
      </c>
      <c r="Y336" s="63">
        <v>6</v>
      </c>
      <c r="Z336" s="63">
        <v>4</v>
      </c>
      <c r="AA336" s="63">
        <v>2</v>
      </c>
      <c r="AB336" s="63">
        <v>7</v>
      </c>
      <c r="AC336" s="63">
        <v>5</v>
      </c>
      <c r="AD336" s="63">
        <v>3</v>
      </c>
      <c r="AE336" s="63">
        <v>8</v>
      </c>
      <c r="AF336" s="63">
        <v>4</v>
      </c>
      <c r="AG336" s="63">
        <v>5</v>
      </c>
      <c r="AH336" s="63">
        <v>16</v>
      </c>
      <c r="AI336" s="63">
        <v>15</v>
      </c>
      <c r="AJ336" s="63">
        <v>18</v>
      </c>
      <c r="AK336" s="63">
        <v>14</v>
      </c>
      <c r="AL336" s="63">
        <v>15</v>
      </c>
      <c r="AM336" s="63">
        <v>23</v>
      </c>
      <c r="AN336" s="63">
        <v>16</v>
      </c>
      <c r="AO336" s="63">
        <v>28</v>
      </c>
      <c r="AP336" s="63">
        <v>8</v>
      </c>
      <c r="AQ336" s="63">
        <v>19</v>
      </c>
      <c r="AR336" s="63">
        <v>10</v>
      </c>
      <c r="AS336" s="63">
        <v>9</v>
      </c>
      <c r="AT336" s="63">
        <v>5</v>
      </c>
      <c r="AU336" s="63">
        <v>7</v>
      </c>
      <c r="AV336" s="63">
        <v>7</v>
      </c>
      <c r="AW336" s="63">
        <v>6</v>
      </c>
      <c r="AX336" s="63">
        <v>7</v>
      </c>
      <c r="AY336" s="63">
        <v>6</v>
      </c>
      <c r="AZ336" s="63">
        <v>8</v>
      </c>
      <c r="BA336" s="63">
        <v>10</v>
      </c>
      <c r="BB336" s="63">
        <v>8</v>
      </c>
      <c r="BC336" s="63">
        <v>4</v>
      </c>
      <c r="BD336" s="63">
        <v>9</v>
      </c>
      <c r="BE336" s="63">
        <v>12</v>
      </c>
      <c r="BF336" s="63">
        <v>36</v>
      </c>
      <c r="BG336" s="63">
        <v>16</v>
      </c>
      <c r="BH336" s="63">
        <v>5</v>
      </c>
    </row>
    <row r="337" spans="2:60" hidden="1" x14ac:dyDescent="0.2">
      <c r="B337" s="57"/>
      <c r="C337" s="57" t="s">
        <v>688</v>
      </c>
      <c r="D337" s="57" t="s">
        <v>699</v>
      </c>
      <c r="E337" s="62">
        <v>55</v>
      </c>
      <c r="F337" s="62">
        <v>46</v>
      </c>
      <c r="G337" s="62">
        <v>60</v>
      </c>
      <c r="H337" s="62">
        <v>51</v>
      </c>
      <c r="I337" s="62">
        <v>32</v>
      </c>
      <c r="J337" s="62">
        <v>43</v>
      </c>
      <c r="K337" s="62">
        <v>28</v>
      </c>
      <c r="L337" s="62">
        <v>38</v>
      </c>
      <c r="M337" s="62">
        <v>44</v>
      </c>
      <c r="N337" s="62">
        <v>27</v>
      </c>
      <c r="O337" s="62">
        <v>49</v>
      </c>
      <c r="P337" s="62">
        <v>43</v>
      </c>
      <c r="Q337" s="62">
        <v>32</v>
      </c>
      <c r="R337" s="62">
        <v>33</v>
      </c>
      <c r="S337" s="62">
        <v>36</v>
      </c>
      <c r="T337" s="62">
        <v>30</v>
      </c>
      <c r="U337" s="62">
        <v>44</v>
      </c>
      <c r="V337" s="62">
        <v>43</v>
      </c>
      <c r="W337" s="62">
        <v>42</v>
      </c>
      <c r="X337" s="62">
        <v>34</v>
      </c>
      <c r="Y337" s="62">
        <v>38</v>
      </c>
      <c r="Z337" s="62">
        <v>28</v>
      </c>
      <c r="AA337" s="62">
        <v>33</v>
      </c>
      <c r="AB337" s="62">
        <v>25</v>
      </c>
      <c r="AC337" s="62">
        <v>36</v>
      </c>
      <c r="AD337" s="62">
        <v>22</v>
      </c>
      <c r="AE337" s="62">
        <v>25</v>
      </c>
      <c r="AF337" s="62">
        <v>37</v>
      </c>
      <c r="AG337" s="62">
        <v>37</v>
      </c>
      <c r="AH337" s="62">
        <v>46</v>
      </c>
      <c r="AI337" s="62">
        <v>30</v>
      </c>
      <c r="AJ337" s="62">
        <v>19</v>
      </c>
      <c r="AK337" s="62">
        <v>23</v>
      </c>
      <c r="AL337" s="62">
        <v>32</v>
      </c>
      <c r="AM337" s="62">
        <v>14</v>
      </c>
      <c r="AN337" s="62">
        <v>24</v>
      </c>
      <c r="AO337" s="62">
        <v>20</v>
      </c>
      <c r="AP337" s="62">
        <v>25</v>
      </c>
      <c r="AQ337" s="62">
        <v>16</v>
      </c>
      <c r="AR337" s="62">
        <v>17</v>
      </c>
      <c r="AS337" s="62">
        <v>10</v>
      </c>
      <c r="AT337" s="62">
        <v>12</v>
      </c>
      <c r="AU337" s="62">
        <v>11</v>
      </c>
      <c r="AV337" s="62">
        <v>12</v>
      </c>
      <c r="AW337" s="62">
        <v>15</v>
      </c>
      <c r="AX337" s="62">
        <v>21</v>
      </c>
      <c r="AY337" s="62">
        <v>17</v>
      </c>
      <c r="AZ337" s="62">
        <v>26</v>
      </c>
      <c r="BA337" s="62">
        <v>29</v>
      </c>
      <c r="BB337" s="62">
        <v>17</v>
      </c>
      <c r="BC337" s="62">
        <v>20</v>
      </c>
      <c r="BD337" s="62">
        <v>17</v>
      </c>
      <c r="BE337" s="62">
        <v>10</v>
      </c>
      <c r="BF337" s="62">
        <v>28</v>
      </c>
      <c r="BG337" s="62">
        <v>34</v>
      </c>
      <c r="BH337" s="62">
        <v>18</v>
      </c>
    </row>
    <row r="338" spans="2:60" hidden="1" x14ac:dyDescent="0.2">
      <c r="B338" s="59"/>
      <c r="C338" s="59" t="s">
        <v>688</v>
      </c>
      <c r="D338" s="59" t="s">
        <v>656</v>
      </c>
      <c r="E338" s="63">
        <v>372</v>
      </c>
      <c r="F338" s="63">
        <v>396</v>
      </c>
      <c r="G338" s="63">
        <v>359</v>
      </c>
      <c r="H338" s="63">
        <v>333</v>
      </c>
      <c r="I338" s="63">
        <v>355</v>
      </c>
      <c r="J338" s="63">
        <v>327</v>
      </c>
      <c r="K338" s="63">
        <v>373</v>
      </c>
      <c r="L338" s="63">
        <v>379</v>
      </c>
      <c r="M338" s="63">
        <v>338</v>
      </c>
      <c r="N338" s="63">
        <v>312</v>
      </c>
      <c r="O338" s="63">
        <v>352</v>
      </c>
      <c r="P338" s="63">
        <v>337</v>
      </c>
      <c r="Q338" s="63">
        <v>363</v>
      </c>
      <c r="R338" s="63">
        <v>334</v>
      </c>
      <c r="S338" s="63">
        <v>321</v>
      </c>
      <c r="T338" s="63">
        <v>318</v>
      </c>
      <c r="U338" s="63">
        <v>349</v>
      </c>
      <c r="V338" s="63">
        <v>347</v>
      </c>
      <c r="W338" s="63">
        <v>337</v>
      </c>
      <c r="X338" s="63">
        <v>287</v>
      </c>
      <c r="Y338" s="63">
        <v>319</v>
      </c>
      <c r="Z338" s="63">
        <v>301</v>
      </c>
      <c r="AA338" s="63">
        <v>311</v>
      </c>
      <c r="AB338" s="63">
        <v>282</v>
      </c>
      <c r="AC338" s="63">
        <v>297</v>
      </c>
      <c r="AD338" s="63">
        <v>316</v>
      </c>
      <c r="AE338" s="63">
        <v>267</v>
      </c>
      <c r="AF338" s="63">
        <v>267</v>
      </c>
      <c r="AG338" s="63">
        <v>266</v>
      </c>
      <c r="AH338" s="63">
        <v>299</v>
      </c>
      <c r="AI338" s="63">
        <v>309</v>
      </c>
      <c r="AJ338" s="63">
        <v>280</v>
      </c>
      <c r="AK338" s="63">
        <v>247</v>
      </c>
      <c r="AL338" s="63">
        <v>333</v>
      </c>
      <c r="AM338" s="63">
        <v>237</v>
      </c>
      <c r="AN338" s="63">
        <v>264</v>
      </c>
      <c r="AO338" s="63">
        <v>224</v>
      </c>
      <c r="AP338" s="63">
        <v>223</v>
      </c>
      <c r="AQ338" s="63">
        <v>204</v>
      </c>
      <c r="AR338" s="63">
        <v>203</v>
      </c>
      <c r="AS338" s="63">
        <v>174</v>
      </c>
      <c r="AT338" s="63">
        <v>179</v>
      </c>
      <c r="AU338" s="63">
        <v>146</v>
      </c>
      <c r="AV338" s="63">
        <v>145</v>
      </c>
      <c r="AW338" s="63">
        <v>153</v>
      </c>
      <c r="AX338" s="63">
        <v>196</v>
      </c>
      <c r="AY338" s="63">
        <v>191</v>
      </c>
      <c r="AZ338" s="63">
        <v>191</v>
      </c>
      <c r="BA338" s="63">
        <v>199</v>
      </c>
      <c r="BB338" s="63">
        <v>224</v>
      </c>
      <c r="BC338" s="63">
        <v>233</v>
      </c>
      <c r="BD338" s="63">
        <v>227</v>
      </c>
      <c r="BE338" s="63">
        <v>206</v>
      </c>
      <c r="BF338" s="63">
        <v>255</v>
      </c>
      <c r="BG338" s="63">
        <v>253</v>
      </c>
      <c r="BH338" s="63">
        <v>229</v>
      </c>
    </row>
    <row r="339" spans="2:60" hidden="1" x14ac:dyDescent="0.2">
      <c r="B339" s="57"/>
      <c r="C339" s="57" t="s">
        <v>689</v>
      </c>
      <c r="D339" s="57" t="s">
        <v>648</v>
      </c>
      <c r="E339" s="62">
        <v>1</v>
      </c>
      <c r="F339" s="62">
        <v>3</v>
      </c>
      <c r="G339" s="62"/>
      <c r="H339" s="62">
        <v>1</v>
      </c>
      <c r="I339" s="62"/>
      <c r="J339" s="62">
        <v>4</v>
      </c>
      <c r="K339" s="62">
        <v>1</v>
      </c>
      <c r="L339" s="62">
        <v>1</v>
      </c>
      <c r="M339" s="62">
        <v>3</v>
      </c>
      <c r="N339" s="62">
        <v>2</v>
      </c>
      <c r="O339" s="62">
        <v>3</v>
      </c>
      <c r="P339" s="62"/>
      <c r="Q339" s="62">
        <v>4</v>
      </c>
      <c r="R339" s="62">
        <v>2</v>
      </c>
      <c r="S339" s="62">
        <v>4</v>
      </c>
      <c r="T339" s="62">
        <v>1</v>
      </c>
      <c r="U339" s="62">
        <v>2</v>
      </c>
      <c r="V339" s="62">
        <v>2</v>
      </c>
      <c r="W339" s="62">
        <v>3</v>
      </c>
      <c r="X339" s="62">
        <v>6</v>
      </c>
      <c r="Y339" s="62">
        <v>4</v>
      </c>
      <c r="Z339" s="62">
        <v>4</v>
      </c>
      <c r="AA339" s="62">
        <v>4</v>
      </c>
      <c r="AB339" s="62">
        <v>3</v>
      </c>
      <c r="AC339" s="62">
        <v>4</v>
      </c>
      <c r="AD339" s="62">
        <v>2</v>
      </c>
      <c r="AE339" s="62"/>
      <c r="AF339" s="62">
        <v>1</v>
      </c>
      <c r="AG339" s="62">
        <v>4</v>
      </c>
      <c r="AH339" s="62">
        <v>4</v>
      </c>
      <c r="AI339" s="62">
        <v>2</v>
      </c>
      <c r="AJ339" s="62">
        <v>3</v>
      </c>
      <c r="AK339" s="62">
        <v>2</v>
      </c>
      <c r="AL339" s="62">
        <v>2</v>
      </c>
      <c r="AM339" s="62">
        <v>1</v>
      </c>
      <c r="AN339" s="62">
        <v>1</v>
      </c>
      <c r="AO339" s="62"/>
      <c r="AP339" s="62">
        <v>2</v>
      </c>
      <c r="AQ339" s="62">
        <v>5</v>
      </c>
      <c r="AR339" s="62">
        <v>2</v>
      </c>
      <c r="AS339" s="62">
        <v>4</v>
      </c>
      <c r="AT339" s="62">
        <v>2</v>
      </c>
      <c r="AU339" s="62"/>
      <c r="AV339" s="62">
        <v>3</v>
      </c>
      <c r="AW339" s="62">
        <v>6</v>
      </c>
      <c r="AX339" s="62">
        <v>3</v>
      </c>
      <c r="AY339" s="62">
        <v>2</v>
      </c>
      <c r="AZ339" s="62"/>
      <c r="BA339" s="62">
        <v>2</v>
      </c>
      <c r="BB339" s="62">
        <v>4</v>
      </c>
      <c r="BC339" s="62">
        <v>3</v>
      </c>
      <c r="BD339" s="62">
        <v>4</v>
      </c>
      <c r="BE339" s="62">
        <v>1</v>
      </c>
      <c r="BF339" s="62">
        <v>2</v>
      </c>
      <c r="BG339" s="62">
        <v>3</v>
      </c>
      <c r="BH339" s="62"/>
    </row>
    <row r="340" spans="2:60" hidden="1" x14ac:dyDescent="0.2">
      <c r="B340" s="59"/>
      <c r="C340" s="59" t="s">
        <v>689</v>
      </c>
      <c r="D340" s="59" t="s">
        <v>649</v>
      </c>
      <c r="E340" s="63">
        <v>6</v>
      </c>
      <c r="F340" s="63">
        <v>4</v>
      </c>
      <c r="G340" s="63">
        <v>8</v>
      </c>
      <c r="H340" s="63">
        <v>5</v>
      </c>
      <c r="I340" s="63">
        <v>5</v>
      </c>
      <c r="J340" s="63">
        <v>5</v>
      </c>
      <c r="K340" s="63">
        <v>5</v>
      </c>
      <c r="L340" s="63">
        <v>3</v>
      </c>
      <c r="M340" s="63">
        <v>3</v>
      </c>
      <c r="N340" s="63">
        <v>6</v>
      </c>
      <c r="O340" s="63">
        <v>2</v>
      </c>
      <c r="P340" s="63">
        <v>4</v>
      </c>
      <c r="Q340" s="63">
        <v>6</v>
      </c>
      <c r="R340" s="63">
        <v>7</v>
      </c>
      <c r="S340" s="63">
        <v>5</v>
      </c>
      <c r="T340" s="63">
        <v>8</v>
      </c>
      <c r="U340" s="63">
        <v>4</v>
      </c>
      <c r="V340" s="63">
        <v>3</v>
      </c>
      <c r="W340" s="63">
        <v>2</v>
      </c>
      <c r="X340" s="63">
        <v>7</v>
      </c>
      <c r="Y340" s="63">
        <v>4</v>
      </c>
      <c r="Z340" s="63">
        <v>7</v>
      </c>
      <c r="AA340" s="63">
        <v>3</v>
      </c>
      <c r="AB340" s="63">
        <v>2</v>
      </c>
      <c r="AC340" s="63">
        <v>3</v>
      </c>
      <c r="AD340" s="63">
        <v>2</v>
      </c>
      <c r="AE340" s="63">
        <v>6</v>
      </c>
      <c r="AF340" s="63">
        <v>2</v>
      </c>
      <c r="AG340" s="63">
        <v>5</v>
      </c>
      <c r="AH340" s="63">
        <v>4</v>
      </c>
      <c r="AI340" s="63">
        <v>3</v>
      </c>
      <c r="AJ340" s="63">
        <v>2</v>
      </c>
      <c r="AK340" s="63">
        <v>6</v>
      </c>
      <c r="AL340" s="63">
        <v>5</v>
      </c>
      <c r="AM340" s="63">
        <v>4</v>
      </c>
      <c r="AN340" s="63">
        <v>10</v>
      </c>
      <c r="AO340" s="63">
        <v>2</v>
      </c>
      <c r="AP340" s="63">
        <v>6</v>
      </c>
      <c r="AQ340" s="63">
        <v>6</v>
      </c>
      <c r="AR340" s="63">
        <v>6</v>
      </c>
      <c r="AS340" s="63">
        <v>2</v>
      </c>
      <c r="AT340" s="63">
        <v>5</v>
      </c>
      <c r="AU340" s="63">
        <v>6</v>
      </c>
      <c r="AV340" s="63">
        <v>1</v>
      </c>
      <c r="AW340" s="63">
        <v>3</v>
      </c>
      <c r="AX340" s="63">
        <v>6</v>
      </c>
      <c r="AY340" s="63">
        <v>5</v>
      </c>
      <c r="AZ340" s="63">
        <v>2</v>
      </c>
      <c r="BA340" s="63">
        <v>2</v>
      </c>
      <c r="BB340" s="63">
        <v>3</v>
      </c>
      <c r="BC340" s="63">
        <v>7</v>
      </c>
      <c r="BD340" s="63">
        <v>3</v>
      </c>
      <c r="BE340" s="63">
        <v>5</v>
      </c>
      <c r="BF340" s="63">
        <v>2</v>
      </c>
      <c r="BG340" s="63">
        <v>3</v>
      </c>
      <c r="BH340" s="63">
        <v>6</v>
      </c>
    </row>
    <row r="341" spans="2:60" hidden="1" x14ac:dyDescent="0.2">
      <c r="B341" s="57"/>
      <c r="C341" s="57" t="s">
        <v>689</v>
      </c>
      <c r="D341" s="57" t="s">
        <v>650</v>
      </c>
      <c r="E341" s="62">
        <v>7</v>
      </c>
      <c r="F341" s="62">
        <v>6</v>
      </c>
      <c r="G341" s="62">
        <v>8</v>
      </c>
      <c r="H341" s="62">
        <v>4</v>
      </c>
      <c r="I341" s="62">
        <v>6</v>
      </c>
      <c r="J341" s="62">
        <v>1</v>
      </c>
      <c r="K341" s="62">
        <v>6</v>
      </c>
      <c r="L341" s="62">
        <v>7</v>
      </c>
      <c r="M341" s="62">
        <v>4</v>
      </c>
      <c r="N341" s="62">
        <v>1</v>
      </c>
      <c r="O341" s="62">
        <v>2</v>
      </c>
      <c r="P341" s="62">
        <v>1</v>
      </c>
      <c r="Q341" s="62">
        <v>5</v>
      </c>
      <c r="R341" s="62">
        <v>3</v>
      </c>
      <c r="S341" s="62">
        <v>6</v>
      </c>
      <c r="T341" s="62">
        <v>4</v>
      </c>
      <c r="U341" s="62">
        <v>2</v>
      </c>
      <c r="V341" s="62">
        <v>1</v>
      </c>
      <c r="W341" s="62">
        <v>6</v>
      </c>
      <c r="X341" s="62">
        <v>3</v>
      </c>
      <c r="Y341" s="62">
        <v>4</v>
      </c>
      <c r="Z341" s="62">
        <v>2</v>
      </c>
      <c r="AA341" s="62">
        <v>2</v>
      </c>
      <c r="AB341" s="62">
        <v>3</v>
      </c>
      <c r="AC341" s="62">
        <v>3</v>
      </c>
      <c r="AD341" s="62">
        <v>3</v>
      </c>
      <c r="AE341" s="62">
        <v>5</v>
      </c>
      <c r="AF341" s="62"/>
      <c r="AG341" s="62">
        <v>5</v>
      </c>
      <c r="AH341" s="62">
        <v>1</v>
      </c>
      <c r="AI341" s="62">
        <v>1</v>
      </c>
      <c r="AJ341" s="62">
        <v>4</v>
      </c>
      <c r="AK341" s="62">
        <v>6</v>
      </c>
      <c r="AL341" s="62">
        <v>4</v>
      </c>
      <c r="AM341" s="62">
        <v>5</v>
      </c>
      <c r="AN341" s="62">
        <v>2</v>
      </c>
      <c r="AO341" s="62">
        <v>4</v>
      </c>
      <c r="AP341" s="62">
        <v>3</v>
      </c>
      <c r="AQ341" s="62">
        <v>5</v>
      </c>
      <c r="AR341" s="62">
        <v>1</v>
      </c>
      <c r="AS341" s="62">
        <v>10</v>
      </c>
      <c r="AT341" s="62">
        <v>1</v>
      </c>
      <c r="AU341" s="62">
        <v>1</v>
      </c>
      <c r="AV341" s="62"/>
      <c r="AW341" s="62">
        <v>1</v>
      </c>
      <c r="AX341" s="62">
        <v>3</v>
      </c>
      <c r="AY341" s="62"/>
      <c r="AZ341" s="62">
        <v>4</v>
      </c>
      <c r="BA341" s="62">
        <v>1</v>
      </c>
      <c r="BB341" s="62">
        <v>2</v>
      </c>
      <c r="BC341" s="62">
        <v>1</v>
      </c>
      <c r="BD341" s="62"/>
      <c r="BE341" s="62">
        <v>3</v>
      </c>
      <c r="BF341" s="62">
        <v>2</v>
      </c>
      <c r="BG341" s="62">
        <v>4</v>
      </c>
      <c r="BH341" s="62">
        <v>5</v>
      </c>
    </row>
    <row r="342" spans="2:60" hidden="1" x14ac:dyDescent="0.2">
      <c r="B342" s="59"/>
      <c r="C342" s="59" t="s">
        <v>689</v>
      </c>
      <c r="D342" s="59" t="s">
        <v>651</v>
      </c>
      <c r="E342" s="63">
        <v>21</v>
      </c>
      <c r="F342" s="63">
        <v>13</v>
      </c>
      <c r="G342" s="63">
        <v>18</v>
      </c>
      <c r="H342" s="63">
        <v>23</v>
      </c>
      <c r="I342" s="63">
        <v>14</v>
      </c>
      <c r="J342" s="63">
        <v>20</v>
      </c>
      <c r="K342" s="63">
        <v>19</v>
      </c>
      <c r="L342" s="63">
        <v>10</v>
      </c>
      <c r="M342" s="63">
        <v>14</v>
      </c>
      <c r="N342" s="63">
        <v>19</v>
      </c>
      <c r="O342" s="63">
        <v>22</v>
      </c>
      <c r="P342" s="63">
        <v>11</v>
      </c>
      <c r="Q342" s="63">
        <v>21</v>
      </c>
      <c r="R342" s="63">
        <v>16</v>
      </c>
      <c r="S342" s="63">
        <v>16</v>
      </c>
      <c r="T342" s="63">
        <v>13</v>
      </c>
      <c r="U342" s="63">
        <v>18</v>
      </c>
      <c r="V342" s="63">
        <v>19</v>
      </c>
      <c r="W342" s="63">
        <v>10</v>
      </c>
      <c r="X342" s="63">
        <v>16</v>
      </c>
      <c r="Y342" s="63">
        <v>21</v>
      </c>
      <c r="Z342" s="63">
        <v>12</v>
      </c>
      <c r="AA342" s="63">
        <v>20</v>
      </c>
      <c r="AB342" s="63">
        <v>9</v>
      </c>
      <c r="AC342" s="63">
        <v>13</v>
      </c>
      <c r="AD342" s="63">
        <v>11</v>
      </c>
      <c r="AE342" s="63">
        <v>11</v>
      </c>
      <c r="AF342" s="63">
        <v>15</v>
      </c>
      <c r="AG342" s="63">
        <v>14</v>
      </c>
      <c r="AH342" s="63">
        <v>15</v>
      </c>
      <c r="AI342" s="63">
        <v>12</v>
      </c>
      <c r="AJ342" s="63">
        <v>11</v>
      </c>
      <c r="AK342" s="63">
        <v>7</v>
      </c>
      <c r="AL342" s="63">
        <v>15</v>
      </c>
      <c r="AM342" s="63">
        <v>9</v>
      </c>
      <c r="AN342" s="63">
        <v>8</v>
      </c>
      <c r="AO342" s="63">
        <v>11</v>
      </c>
      <c r="AP342" s="63">
        <v>10</v>
      </c>
      <c r="AQ342" s="63">
        <v>5</v>
      </c>
      <c r="AR342" s="63">
        <v>8</v>
      </c>
      <c r="AS342" s="63">
        <v>5</v>
      </c>
      <c r="AT342" s="63">
        <v>14</v>
      </c>
      <c r="AU342" s="63">
        <v>6</v>
      </c>
      <c r="AV342" s="63">
        <v>7</v>
      </c>
      <c r="AW342" s="63">
        <v>4</v>
      </c>
      <c r="AX342" s="63">
        <v>13</v>
      </c>
      <c r="AY342" s="63">
        <v>5</v>
      </c>
      <c r="AZ342" s="63">
        <v>11</v>
      </c>
      <c r="BA342" s="63">
        <v>10</v>
      </c>
      <c r="BB342" s="63">
        <v>5</v>
      </c>
      <c r="BC342" s="63">
        <v>10</v>
      </c>
      <c r="BD342" s="63">
        <v>11</v>
      </c>
      <c r="BE342" s="63">
        <v>9</v>
      </c>
      <c r="BF342" s="63">
        <v>8</v>
      </c>
      <c r="BG342" s="63">
        <v>7</v>
      </c>
      <c r="BH342" s="63">
        <v>7</v>
      </c>
    </row>
    <row r="343" spans="2:60" hidden="1" x14ac:dyDescent="0.2">
      <c r="B343" s="57"/>
      <c r="C343" s="57" t="s">
        <v>689</v>
      </c>
      <c r="D343" s="57" t="s">
        <v>652</v>
      </c>
      <c r="E343" s="62">
        <v>77</v>
      </c>
      <c r="F343" s="62">
        <v>65</v>
      </c>
      <c r="G343" s="62">
        <v>62</v>
      </c>
      <c r="H343" s="62">
        <v>67</v>
      </c>
      <c r="I343" s="62">
        <v>71</v>
      </c>
      <c r="J343" s="62">
        <v>88</v>
      </c>
      <c r="K343" s="62">
        <v>78</v>
      </c>
      <c r="L343" s="62">
        <v>55</v>
      </c>
      <c r="M343" s="62">
        <v>72</v>
      </c>
      <c r="N343" s="62">
        <v>75</v>
      </c>
      <c r="O343" s="62">
        <v>73</v>
      </c>
      <c r="P343" s="62">
        <v>70</v>
      </c>
      <c r="Q343" s="62">
        <v>76</v>
      </c>
      <c r="R343" s="62">
        <v>74</v>
      </c>
      <c r="S343" s="62">
        <v>70</v>
      </c>
      <c r="T343" s="62">
        <v>49</v>
      </c>
      <c r="U343" s="62">
        <v>72</v>
      </c>
      <c r="V343" s="62">
        <v>53</v>
      </c>
      <c r="W343" s="62">
        <v>54</v>
      </c>
      <c r="X343" s="62">
        <v>51</v>
      </c>
      <c r="Y343" s="62">
        <v>49</v>
      </c>
      <c r="Z343" s="62">
        <v>54</v>
      </c>
      <c r="AA343" s="62">
        <v>54</v>
      </c>
      <c r="AB343" s="62">
        <v>61</v>
      </c>
      <c r="AC343" s="62">
        <v>49</v>
      </c>
      <c r="AD343" s="62">
        <v>58</v>
      </c>
      <c r="AE343" s="62">
        <v>62</v>
      </c>
      <c r="AF343" s="62">
        <v>43</v>
      </c>
      <c r="AG343" s="62">
        <v>39</v>
      </c>
      <c r="AH343" s="62">
        <v>53</v>
      </c>
      <c r="AI343" s="62">
        <v>51</v>
      </c>
      <c r="AJ343" s="62">
        <v>57</v>
      </c>
      <c r="AK343" s="62">
        <v>57</v>
      </c>
      <c r="AL343" s="62">
        <v>44</v>
      </c>
      <c r="AM343" s="62">
        <v>47</v>
      </c>
      <c r="AN343" s="62">
        <v>52</v>
      </c>
      <c r="AO343" s="62">
        <v>53</v>
      </c>
      <c r="AP343" s="62">
        <v>40</v>
      </c>
      <c r="AQ343" s="62">
        <v>39</v>
      </c>
      <c r="AR343" s="62">
        <v>35</v>
      </c>
      <c r="AS343" s="62">
        <v>34</v>
      </c>
      <c r="AT343" s="62">
        <v>38</v>
      </c>
      <c r="AU343" s="62">
        <v>23</v>
      </c>
      <c r="AV343" s="62">
        <v>31</v>
      </c>
      <c r="AW343" s="62">
        <v>31</v>
      </c>
      <c r="AX343" s="62">
        <v>36</v>
      </c>
      <c r="AY343" s="62">
        <v>29</v>
      </c>
      <c r="AZ343" s="62">
        <v>32</v>
      </c>
      <c r="BA343" s="62">
        <v>33</v>
      </c>
      <c r="BB343" s="62">
        <v>41</v>
      </c>
      <c r="BC343" s="62">
        <v>24</v>
      </c>
      <c r="BD343" s="62">
        <v>28</v>
      </c>
      <c r="BE343" s="62">
        <v>35</v>
      </c>
      <c r="BF343" s="62">
        <v>24</v>
      </c>
      <c r="BG343" s="62">
        <v>24</v>
      </c>
      <c r="BH343" s="62">
        <v>29</v>
      </c>
    </row>
    <row r="344" spans="2:60" hidden="1" x14ac:dyDescent="0.2">
      <c r="B344" s="59"/>
      <c r="C344" s="59" t="s">
        <v>689</v>
      </c>
      <c r="D344" s="59" t="s">
        <v>653</v>
      </c>
      <c r="E344" s="63">
        <v>125</v>
      </c>
      <c r="F344" s="63">
        <v>88</v>
      </c>
      <c r="G344" s="63">
        <v>142</v>
      </c>
      <c r="H344" s="63">
        <v>104</v>
      </c>
      <c r="I344" s="63">
        <v>106</v>
      </c>
      <c r="J344" s="63">
        <v>109</v>
      </c>
      <c r="K344" s="63">
        <v>105</v>
      </c>
      <c r="L344" s="63">
        <v>101</v>
      </c>
      <c r="M344" s="63">
        <v>95</v>
      </c>
      <c r="N344" s="63">
        <v>116</v>
      </c>
      <c r="O344" s="63">
        <v>93</v>
      </c>
      <c r="P344" s="63">
        <v>101</v>
      </c>
      <c r="Q344" s="63">
        <v>96</v>
      </c>
      <c r="R344" s="63">
        <v>81</v>
      </c>
      <c r="S344" s="63">
        <v>88</v>
      </c>
      <c r="T344" s="63">
        <v>98</v>
      </c>
      <c r="U344" s="63">
        <v>80</v>
      </c>
      <c r="V344" s="63">
        <v>98</v>
      </c>
      <c r="W344" s="63">
        <v>100</v>
      </c>
      <c r="X344" s="63">
        <v>75</v>
      </c>
      <c r="Y344" s="63">
        <v>87</v>
      </c>
      <c r="Z344" s="63">
        <v>80</v>
      </c>
      <c r="AA344" s="63">
        <v>68</v>
      </c>
      <c r="AB344" s="63">
        <v>79</v>
      </c>
      <c r="AC344" s="63">
        <v>76</v>
      </c>
      <c r="AD344" s="63">
        <v>72</v>
      </c>
      <c r="AE344" s="63">
        <v>71</v>
      </c>
      <c r="AF344" s="63">
        <v>66</v>
      </c>
      <c r="AG344" s="63">
        <v>58</v>
      </c>
      <c r="AH344" s="63">
        <v>56</v>
      </c>
      <c r="AI344" s="63">
        <v>72</v>
      </c>
      <c r="AJ344" s="63">
        <v>66</v>
      </c>
      <c r="AK344" s="63">
        <v>58</v>
      </c>
      <c r="AL344" s="63">
        <v>56</v>
      </c>
      <c r="AM344" s="63">
        <v>52</v>
      </c>
      <c r="AN344" s="63">
        <v>49</v>
      </c>
      <c r="AO344" s="63">
        <v>38</v>
      </c>
      <c r="AP344" s="63">
        <v>44</v>
      </c>
      <c r="AQ344" s="63">
        <v>45</v>
      </c>
      <c r="AR344" s="63">
        <v>57</v>
      </c>
      <c r="AS344" s="63">
        <v>49</v>
      </c>
      <c r="AT344" s="63">
        <v>43</v>
      </c>
      <c r="AU344" s="63">
        <v>46</v>
      </c>
      <c r="AV344" s="63">
        <v>35</v>
      </c>
      <c r="AW344" s="63">
        <v>38</v>
      </c>
      <c r="AX344" s="63">
        <v>62</v>
      </c>
      <c r="AY344" s="63">
        <v>41</v>
      </c>
      <c r="AZ344" s="63">
        <v>42</v>
      </c>
      <c r="BA344" s="63">
        <v>34</v>
      </c>
      <c r="BB344" s="63">
        <v>41</v>
      </c>
      <c r="BC344" s="63">
        <v>37</v>
      </c>
      <c r="BD344" s="63">
        <v>50</v>
      </c>
      <c r="BE344" s="63">
        <v>52</v>
      </c>
      <c r="BF344" s="63">
        <v>43</v>
      </c>
      <c r="BG344" s="63">
        <v>39</v>
      </c>
      <c r="BH344" s="63">
        <v>39</v>
      </c>
    </row>
    <row r="345" spans="2:60" hidden="1" x14ac:dyDescent="0.2">
      <c r="B345" s="57"/>
      <c r="C345" s="57" t="s">
        <v>689</v>
      </c>
      <c r="D345" s="57" t="s">
        <v>654</v>
      </c>
      <c r="E345" s="62"/>
      <c r="F345" s="62"/>
      <c r="G345" s="62"/>
      <c r="H345" s="62"/>
      <c r="I345" s="62"/>
      <c r="J345" s="62"/>
      <c r="K345" s="62"/>
      <c r="L345" s="62"/>
      <c r="M345" s="62"/>
      <c r="N345" s="62"/>
      <c r="O345" s="62">
        <v>1</v>
      </c>
      <c r="P345" s="62"/>
      <c r="Q345" s="62"/>
      <c r="R345" s="62"/>
      <c r="S345" s="62"/>
      <c r="T345" s="62">
        <v>1</v>
      </c>
      <c r="U345" s="62"/>
      <c r="V345" s="62"/>
      <c r="W345" s="62"/>
      <c r="X345" s="62"/>
      <c r="Y345" s="62"/>
      <c r="Z345" s="62"/>
      <c r="AA345" s="62"/>
      <c r="AB345" s="62"/>
      <c r="AC345" s="62">
        <v>1</v>
      </c>
      <c r="AD345" s="62">
        <v>2</v>
      </c>
      <c r="AE345" s="62"/>
      <c r="AF345" s="62">
        <v>1</v>
      </c>
      <c r="AG345" s="62"/>
      <c r="AH345" s="62"/>
      <c r="AI345" s="62"/>
      <c r="AJ345" s="62"/>
      <c r="AK345" s="62">
        <v>1</v>
      </c>
      <c r="AL345" s="62"/>
      <c r="AM345" s="62"/>
      <c r="AN345" s="62"/>
      <c r="AO345" s="62"/>
      <c r="AP345" s="62"/>
      <c r="AQ345" s="62"/>
      <c r="AR345" s="62"/>
      <c r="AS345" s="62"/>
      <c r="AT345" s="62"/>
      <c r="AU345" s="62"/>
      <c r="AV345" s="62"/>
      <c r="AW345" s="62"/>
      <c r="AX345" s="62"/>
      <c r="AY345" s="62">
        <v>1</v>
      </c>
      <c r="AZ345" s="62">
        <v>1</v>
      </c>
      <c r="BA345" s="62"/>
      <c r="BB345" s="62"/>
      <c r="BC345" s="62">
        <v>1</v>
      </c>
      <c r="BD345" s="62">
        <v>1</v>
      </c>
      <c r="BE345" s="62"/>
      <c r="BF345" s="62">
        <v>1</v>
      </c>
      <c r="BG345" s="62"/>
      <c r="BH345" s="62"/>
    </row>
    <row r="346" spans="2:60" hidden="1" x14ac:dyDescent="0.2">
      <c r="B346" s="59"/>
      <c r="C346" s="59" t="s">
        <v>689</v>
      </c>
      <c r="D346" s="59" t="s">
        <v>655</v>
      </c>
      <c r="E346" s="63">
        <v>2</v>
      </c>
      <c r="F346" s="63"/>
      <c r="G346" s="63">
        <v>1</v>
      </c>
      <c r="H346" s="63"/>
      <c r="I346" s="63"/>
      <c r="J346" s="63">
        <v>1</v>
      </c>
      <c r="K346" s="63">
        <v>3</v>
      </c>
      <c r="L346" s="63">
        <v>2</v>
      </c>
      <c r="M346" s="63"/>
      <c r="N346" s="63"/>
      <c r="O346" s="63">
        <v>2</v>
      </c>
      <c r="P346" s="63"/>
      <c r="Q346" s="63"/>
      <c r="R346" s="63"/>
      <c r="S346" s="63">
        <v>1</v>
      </c>
      <c r="T346" s="63">
        <v>1</v>
      </c>
      <c r="U346" s="63"/>
      <c r="V346" s="63">
        <v>1</v>
      </c>
      <c r="W346" s="63"/>
      <c r="X346" s="63"/>
      <c r="Y346" s="63"/>
      <c r="Z346" s="63">
        <v>1</v>
      </c>
      <c r="AA346" s="63">
        <v>1</v>
      </c>
      <c r="AB346" s="63"/>
      <c r="AC346" s="63">
        <v>1</v>
      </c>
      <c r="AD346" s="63">
        <v>1</v>
      </c>
      <c r="AE346" s="63"/>
      <c r="AF346" s="63">
        <v>1</v>
      </c>
      <c r="AG346" s="63">
        <v>1</v>
      </c>
      <c r="AH346" s="63"/>
      <c r="AI346" s="63"/>
      <c r="AJ346" s="63"/>
      <c r="AK346" s="63"/>
      <c r="AL346" s="63">
        <v>1</v>
      </c>
      <c r="AM346" s="63"/>
      <c r="AN346" s="63">
        <v>1</v>
      </c>
      <c r="AO346" s="63"/>
      <c r="AP346" s="63"/>
      <c r="AQ346" s="63"/>
      <c r="AR346" s="63"/>
      <c r="AS346" s="63"/>
      <c r="AT346" s="63">
        <v>1</v>
      </c>
      <c r="AU346" s="63"/>
      <c r="AV346" s="63"/>
      <c r="AW346" s="63"/>
      <c r="AX346" s="63">
        <v>1</v>
      </c>
      <c r="AY346" s="63"/>
      <c r="AZ346" s="63"/>
      <c r="BA346" s="63"/>
      <c r="BB346" s="63"/>
      <c r="BC346" s="63">
        <v>2</v>
      </c>
      <c r="BD346" s="63">
        <v>1</v>
      </c>
      <c r="BE346" s="63">
        <v>3</v>
      </c>
      <c r="BF346" s="63"/>
      <c r="BG346" s="63">
        <v>1</v>
      </c>
      <c r="BH346" s="63">
        <v>1</v>
      </c>
    </row>
    <row r="347" spans="2:60" hidden="1" x14ac:dyDescent="0.2">
      <c r="B347" s="57"/>
      <c r="C347" s="57" t="s">
        <v>689</v>
      </c>
      <c r="D347" s="57" t="s">
        <v>699</v>
      </c>
      <c r="E347" s="62">
        <v>22</v>
      </c>
      <c r="F347" s="62">
        <v>15</v>
      </c>
      <c r="G347" s="62">
        <v>18</v>
      </c>
      <c r="H347" s="62">
        <v>20</v>
      </c>
      <c r="I347" s="62">
        <v>24</v>
      </c>
      <c r="J347" s="62">
        <v>30</v>
      </c>
      <c r="K347" s="62">
        <v>54</v>
      </c>
      <c r="L347" s="62">
        <v>35</v>
      </c>
      <c r="M347" s="62">
        <v>34</v>
      </c>
      <c r="N347" s="62">
        <v>30</v>
      </c>
      <c r="O347" s="62">
        <v>18</v>
      </c>
      <c r="P347" s="62">
        <v>43</v>
      </c>
      <c r="Q347" s="62">
        <v>32</v>
      </c>
      <c r="R347" s="62">
        <v>55</v>
      </c>
      <c r="S347" s="62">
        <v>34</v>
      </c>
      <c r="T347" s="62">
        <v>34</v>
      </c>
      <c r="U347" s="62">
        <v>47</v>
      </c>
      <c r="V347" s="62">
        <v>45</v>
      </c>
      <c r="W347" s="62">
        <v>48</v>
      </c>
      <c r="X347" s="62">
        <v>30</v>
      </c>
      <c r="Y347" s="62">
        <v>28</v>
      </c>
      <c r="Z347" s="62">
        <v>36</v>
      </c>
      <c r="AA347" s="62">
        <v>30</v>
      </c>
      <c r="AB347" s="62">
        <v>31</v>
      </c>
      <c r="AC347" s="62">
        <v>27</v>
      </c>
      <c r="AD347" s="62">
        <v>12</v>
      </c>
      <c r="AE347" s="62">
        <v>11</v>
      </c>
      <c r="AF347" s="62">
        <v>25</v>
      </c>
      <c r="AG347" s="62">
        <v>28</v>
      </c>
      <c r="AH347" s="62">
        <v>14</v>
      </c>
      <c r="AI347" s="62">
        <v>23</v>
      </c>
      <c r="AJ347" s="62">
        <v>16</v>
      </c>
      <c r="AK347" s="62">
        <v>21</v>
      </c>
      <c r="AL347" s="62">
        <v>23</v>
      </c>
      <c r="AM347" s="62">
        <v>6</v>
      </c>
      <c r="AN347" s="62">
        <v>9</v>
      </c>
      <c r="AO347" s="62">
        <v>20</v>
      </c>
      <c r="AP347" s="62">
        <v>27</v>
      </c>
      <c r="AQ347" s="62">
        <v>30</v>
      </c>
      <c r="AR347" s="62">
        <v>27</v>
      </c>
      <c r="AS347" s="62">
        <v>28</v>
      </c>
      <c r="AT347" s="62">
        <v>36</v>
      </c>
      <c r="AU347" s="62">
        <v>23</v>
      </c>
      <c r="AV347" s="62">
        <v>19</v>
      </c>
      <c r="AW347" s="62">
        <v>23</v>
      </c>
      <c r="AX347" s="62">
        <v>19</v>
      </c>
      <c r="AY347" s="62">
        <v>14</v>
      </c>
      <c r="AZ347" s="62">
        <v>14</v>
      </c>
      <c r="BA347" s="62">
        <v>8</v>
      </c>
      <c r="BB347" s="62">
        <v>29</v>
      </c>
      <c r="BC347" s="62">
        <v>16</v>
      </c>
      <c r="BD347" s="62">
        <v>25</v>
      </c>
      <c r="BE347" s="62">
        <v>19</v>
      </c>
      <c r="BF347" s="62">
        <v>26</v>
      </c>
      <c r="BG347" s="62">
        <v>18</v>
      </c>
      <c r="BH347" s="62">
        <v>15</v>
      </c>
    </row>
    <row r="348" spans="2:60" hidden="1" x14ac:dyDescent="0.2">
      <c r="B348" s="59"/>
      <c r="C348" s="59" t="s">
        <v>689</v>
      </c>
      <c r="D348" s="59" t="s">
        <v>656</v>
      </c>
      <c r="E348" s="63">
        <v>261</v>
      </c>
      <c r="F348" s="63">
        <v>194</v>
      </c>
      <c r="G348" s="63">
        <v>257</v>
      </c>
      <c r="H348" s="63">
        <v>224</v>
      </c>
      <c r="I348" s="63">
        <v>226</v>
      </c>
      <c r="J348" s="63">
        <v>258</v>
      </c>
      <c r="K348" s="63">
        <v>271</v>
      </c>
      <c r="L348" s="63">
        <v>214</v>
      </c>
      <c r="M348" s="63">
        <v>225</v>
      </c>
      <c r="N348" s="63">
        <v>249</v>
      </c>
      <c r="O348" s="63">
        <v>216</v>
      </c>
      <c r="P348" s="63">
        <v>230</v>
      </c>
      <c r="Q348" s="63">
        <v>240</v>
      </c>
      <c r="R348" s="63">
        <v>238</v>
      </c>
      <c r="S348" s="63">
        <v>224</v>
      </c>
      <c r="T348" s="63">
        <v>209</v>
      </c>
      <c r="U348" s="63">
        <v>225</v>
      </c>
      <c r="V348" s="63">
        <v>222</v>
      </c>
      <c r="W348" s="63">
        <v>223</v>
      </c>
      <c r="X348" s="63">
        <v>188</v>
      </c>
      <c r="Y348" s="63">
        <v>197</v>
      </c>
      <c r="Z348" s="63">
        <v>196</v>
      </c>
      <c r="AA348" s="63">
        <v>182</v>
      </c>
      <c r="AB348" s="63">
        <v>188</v>
      </c>
      <c r="AC348" s="63">
        <v>177</v>
      </c>
      <c r="AD348" s="63">
        <v>163</v>
      </c>
      <c r="AE348" s="63">
        <v>166</v>
      </c>
      <c r="AF348" s="63">
        <v>154</v>
      </c>
      <c r="AG348" s="63">
        <v>154</v>
      </c>
      <c r="AH348" s="63">
        <v>147</v>
      </c>
      <c r="AI348" s="63">
        <v>164</v>
      </c>
      <c r="AJ348" s="63">
        <v>159</v>
      </c>
      <c r="AK348" s="63">
        <v>158</v>
      </c>
      <c r="AL348" s="63">
        <v>150</v>
      </c>
      <c r="AM348" s="63">
        <v>124</v>
      </c>
      <c r="AN348" s="63">
        <v>132</v>
      </c>
      <c r="AO348" s="63">
        <v>128</v>
      </c>
      <c r="AP348" s="63">
        <v>132</v>
      </c>
      <c r="AQ348" s="63">
        <v>135</v>
      </c>
      <c r="AR348" s="63">
        <v>136</v>
      </c>
      <c r="AS348" s="63">
        <v>132</v>
      </c>
      <c r="AT348" s="63">
        <v>140</v>
      </c>
      <c r="AU348" s="63">
        <v>105</v>
      </c>
      <c r="AV348" s="63">
        <v>96</v>
      </c>
      <c r="AW348" s="63">
        <v>106</v>
      </c>
      <c r="AX348" s="63">
        <v>143</v>
      </c>
      <c r="AY348" s="63">
        <v>97</v>
      </c>
      <c r="AZ348" s="63">
        <v>106</v>
      </c>
      <c r="BA348" s="63">
        <v>90</v>
      </c>
      <c r="BB348" s="63">
        <v>125</v>
      </c>
      <c r="BC348" s="63">
        <v>101</v>
      </c>
      <c r="BD348" s="63">
        <v>123</v>
      </c>
      <c r="BE348" s="63">
        <v>127</v>
      </c>
      <c r="BF348" s="63">
        <v>108</v>
      </c>
      <c r="BG348" s="63">
        <v>99</v>
      </c>
      <c r="BH348" s="63">
        <v>102</v>
      </c>
    </row>
    <row r="349" spans="2:60" hidden="1" x14ac:dyDescent="0.2">
      <c r="B349" s="57"/>
      <c r="C349" s="57" t="s">
        <v>690</v>
      </c>
      <c r="D349" s="57" t="s">
        <v>648</v>
      </c>
      <c r="E349" s="62">
        <v>16</v>
      </c>
      <c r="F349" s="62">
        <v>16</v>
      </c>
      <c r="G349" s="62">
        <v>10</v>
      </c>
      <c r="H349" s="62">
        <v>10</v>
      </c>
      <c r="I349" s="62">
        <v>18</v>
      </c>
      <c r="J349" s="62">
        <v>9</v>
      </c>
      <c r="K349" s="62">
        <v>6</v>
      </c>
      <c r="L349" s="62">
        <v>12</v>
      </c>
      <c r="M349" s="62">
        <v>10</v>
      </c>
      <c r="N349" s="62">
        <v>8</v>
      </c>
      <c r="O349" s="62">
        <v>5</v>
      </c>
      <c r="P349" s="62">
        <v>9</v>
      </c>
      <c r="Q349" s="62">
        <v>12</v>
      </c>
      <c r="R349" s="62">
        <v>14</v>
      </c>
      <c r="S349" s="62">
        <v>13</v>
      </c>
      <c r="T349" s="62">
        <v>12</v>
      </c>
      <c r="U349" s="62">
        <v>16</v>
      </c>
      <c r="V349" s="62">
        <v>18</v>
      </c>
      <c r="W349" s="62">
        <v>15</v>
      </c>
      <c r="X349" s="62">
        <v>17</v>
      </c>
      <c r="Y349" s="62">
        <v>12</v>
      </c>
      <c r="Z349" s="62">
        <v>11</v>
      </c>
      <c r="AA349" s="62">
        <v>13</v>
      </c>
      <c r="AB349" s="62">
        <v>11</v>
      </c>
      <c r="AC349" s="62">
        <v>7</v>
      </c>
      <c r="AD349" s="62">
        <v>11</v>
      </c>
      <c r="AE349" s="62">
        <v>10</v>
      </c>
      <c r="AF349" s="62">
        <v>6</v>
      </c>
      <c r="AG349" s="62">
        <v>15</v>
      </c>
      <c r="AH349" s="62">
        <v>8</v>
      </c>
      <c r="AI349" s="62">
        <v>11</v>
      </c>
      <c r="AJ349" s="62">
        <v>13</v>
      </c>
      <c r="AK349" s="62">
        <v>11</v>
      </c>
      <c r="AL349" s="62">
        <v>11</v>
      </c>
      <c r="AM349" s="62">
        <v>8</v>
      </c>
      <c r="AN349" s="62">
        <v>5</v>
      </c>
      <c r="AO349" s="62">
        <v>8</v>
      </c>
      <c r="AP349" s="62">
        <v>8</v>
      </c>
      <c r="AQ349" s="62">
        <v>6</v>
      </c>
      <c r="AR349" s="62">
        <v>8</v>
      </c>
      <c r="AS349" s="62">
        <v>4</v>
      </c>
      <c r="AT349" s="62">
        <v>7</v>
      </c>
      <c r="AU349" s="62">
        <v>5</v>
      </c>
      <c r="AV349" s="62">
        <v>7</v>
      </c>
      <c r="AW349" s="62">
        <v>13</v>
      </c>
      <c r="AX349" s="62">
        <v>8</v>
      </c>
      <c r="AY349" s="62">
        <v>9</v>
      </c>
      <c r="AZ349" s="62">
        <v>12</v>
      </c>
      <c r="BA349" s="62">
        <v>9</v>
      </c>
      <c r="BB349" s="62">
        <v>11</v>
      </c>
      <c r="BC349" s="62">
        <v>13</v>
      </c>
      <c r="BD349" s="62">
        <v>9</v>
      </c>
      <c r="BE349" s="62">
        <v>13</v>
      </c>
      <c r="BF349" s="62">
        <v>12</v>
      </c>
      <c r="BG349" s="62">
        <v>8</v>
      </c>
      <c r="BH349" s="62">
        <v>16</v>
      </c>
    </row>
    <row r="350" spans="2:60" hidden="1" x14ac:dyDescent="0.2">
      <c r="B350" s="59"/>
      <c r="C350" s="59" t="s">
        <v>690</v>
      </c>
      <c r="D350" s="59" t="s">
        <v>649</v>
      </c>
      <c r="E350" s="63">
        <v>67</v>
      </c>
      <c r="F350" s="63">
        <v>54</v>
      </c>
      <c r="G350" s="63">
        <v>54</v>
      </c>
      <c r="H350" s="63">
        <v>49</v>
      </c>
      <c r="I350" s="63">
        <v>56</v>
      </c>
      <c r="J350" s="63">
        <v>60</v>
      </c>
      <c r="K350" s="63">
        <v>36</v>
      </c>
      <c r="L350" s="63">
        <v>50</v>
      </c>
      <c r="M350" s="63">
        <v>45</v>
      </c>
      <c r="N350" s="63">
        <v>51</v>
      </c>
      <c r="O350" s="63">
        <v>50</v>
      </c>
      <c r="P350" s="63">
        <v>56</v>
      </c>
      <c r="Q350" s="63">
        <v>69</v>
      </c>
      <c r="R350" s="63">
        <v>42</v>
      </c>
      <c r="S350" s="63">
        <v>53</v>
      </c>
      <c r="T350" s="63">
        <v>47</v>
      </c>
      <c r="U350" s="63">
        <v>66</v>
      </c>
      <c r="V350" s="63">
        <v>52</v>
      </c>
      <c r="W350" s="63">
        <v>45</v>
      </c>
      <c r="X350" s="63">
        <v>49</v>
      </c>
      <c r="Y350" s="63">
        <v>50</v>
      </c>
      <c r="Z350" s="63">
        <v>47</v>
      </c>
      <c r="AA350" s="63">
        <v>45</v>
      </c>
      <c r="AB350" s="63">
        <v>37</v>
      </c>
      <c r="AC350" s="63">
        <v>51</v>
      </c>
      <c r="AD350" s="63">
        <v>57</v>
      </c>
      <c r="AE350" s="63">
        <v>42</v>
      </c>
      <c r="AF350" s="63">
        <v>39</v>
      </c>
      <c r="AG350" s="63">
        <v>38</v>
      </c>
      <c r="AH350" s="63">
        <v>42</v>
      </c>
      <c r="AI350" s="63">
        <v>35</v>
      </c>
      <c r="AJ350" s="63">
        <v>53</v>
      </c>
      <c r="AK350" s="63">
        <v>43</v>
      </c>
      <c r="AL350" s="63">
        <v>51</v>
      </c>
      <c r="AM350" s="63">
        <v>46</v>
      </c>
      <c r="AN350" s="63">
        <v>37</v>
      </c>
      <c r="AO350" s="63">
        <v>51</v>
      </c>
      <c r="AP350" s="63">
        <v>31</v>
      </c>
      <c r="AQ350" s="63">
        <v>29</v>
      </c>
      <c r="AR350" s="63">
        <v>23</v>
      </c>
      <c r="AS350" s="63">
        <v>32</v>
      </c>
      <c r="AT350" s="63">
        <v>27</v>
      </c>
      <c r="AU350" s="63">
        <v>38</v>
      </c>
      <c r="AV350" s="63">
        <v>33</v>
      </c>
      <c r="AW350" s="63">
        <v>34</v>
      </c>
      <c r="AX350" s="63">
        <v>41</v>
      </c>
      <c r="AY350" s="63">
        <v>36</v>
      </c>
      <c r="AZ350" s="63">
        <v>37</v>
      </c>
      <c r="BA350" s="63">
        <v>33</v>
      </c>
      <c r="BB350" s="63">
        <v>25</v>
      </c>
      <c r="BC350" s="63">
        <v>39</v>
      </c>
      <c r="BD350" s="63">
        <v>26</v>
      </c>
      <c r="BE350" s="63">
        <v>37</v>
      </c>
      <c r="BF350" s="63">
        <v>27</v>
      </c>
      <c r="BG350" s="63">
        <v>36</v>
      </c>
      <c r="BH350" s="63">
        <v>30</v>
      </c>
    </row>
    <row r="351" spans="2:60" hidden="1" x14ac:dyDescent="0.2">
      <c r="B351" s="57"/>
      <c r="C351" s="57" t="s">
        <v>690</v>
      </c>
      <c r="D351" s="57" t="s">
        <v>650</v>
      </c>
      <c r="E351" s="62">
        <v>16</v>
      </c>
      <c r="F351" s="62">
        <v>6</v>
      </c>
      <c r="G351" s="62">
        <v>9</v>
      </c>
      <c r="H351" s="62">
        <v>8</v>
      </c>
      <c r="I351" s="62">
        <v>18</v>
      </c>
      <c r="J351" s="62">
        <v>18</v>
      </c>
      <c r="K351" s="62">
        <v>11</v>
      </c>
      <c r="L351" s="62">
        <v>11</v>
      </c>
      <c r="M351" s="62">
        <v>16</v>
      </c>
      <c r="N351" s="62">
        <v>7</v>
      </c>
      <c r="O351" s="62">
        <v>8</v>
      </c>
      <c r="P351" s="62">
        <v>11</v>
      </c>
      <c r="Q351" s="62">
        <v>18</v>
      </c>
      <c r="R351" s="62">
        <v>4</v>
      </c>
      <c r="S351" s="62">
        <v>8</v>
      </c>
      <c r="T351" s="62">
        <v>16</v>
      </c>
      <c r="U351" s="62">
        <v>6</v>
      </c>
      <c r="V351" s="62">
        <v>10</v>
      </c>
      <c r="W351" s="62">
        <v>6</v>
      </c>
      <c r="X351" s="62">
        <v>7</v>
      </c>
      <c r="Y351" s="62">
        <v>17</v>
      </c>
      <c r="Z351" s="62">
        <v>3</v>
      </c>
      <c r="AA351" s="62">
        <v>8</v>
      </c>
      <c r="AB351" s="62">
        <v>15</v>
      </c>
      <c r="AC351" s="62">
        <v>10</v>
      </c>
      <c r="AD351" s="62">
        <v>8</v>
      </c>
      <c r="AE351" s="62">
        <v>7</v>
      </c>
      <c r="AF351" s="62">
        <v>5</v>
      </c>
      <c r="AG351" s="62">
        <v>8</v>
      </c>
      <c r="AH351" s="62">
        <v>14</v>
      </c>
      <c r="AI351" s="62">
        <v>8</v>
      </c>
      <c r="AJ351" s="62">
        <v>15</v>
      </c>
      <c r="AK351" s="62">
        <v>10</v>
      </c>
      <c r="AL351" s="62">
        <v>17</v>
      </c>
      <c r="AM351" s="62">
        <v>5</v>
      </c>
      <c r="AN351" s="62">
        <v>5</v>
      </c>
      <c r="AO351" s="62">
        <v>9</v>
      </c>
      <c r="AP351" s="62">
        <v>10</v>
      </c>
      <c r="AQ351" s="62">
        <v>7</v>
      </c>
      <c r="AR351" s="62">
        <v>7</v>
      </c>
      <c r="AS351" s="62">
        <v>8</v>
      </c>
      <c r="AT351" s="62">
        <v>6</v>
      </c>
      <c r="AU351" s="62">
        <v>3</v>
      </c>
      <c r="AV351" s="62">
        <v>6</v>
      </c>
      <c r="AW351" s="62">
        <v>7</v>
      </c>
      <c r="AX351" s="62">
        <v>3</v>
      </c>
      <c r="AY351" s="62">
        <v>2</v>
      </c>
      <c r="AZ351" s="62">
        <v>5</v>
      </c>
      <c r="BA351" s="62">
        <v>6</v>
      </c>
      <c r="BB351" s="62">
        <v>4</v>
      </c>
      <c r="BC351" s="62">
        <v>2</v>
      </c>
      <c r="BD351" s="62">
        <v>3</v>
      </c>
      <c r="BE351" s="62">
        <v>6</v>
      </c>
      <c r="BF351" s="62">
        <v>4</v>
      </c>
      <c r="BG351" s="62">
        <v>3</v>
      </c>
      <c r="BH351" s="62">
        <v>4</v>
      </c>
    </row>
    <row r="352" spans="2:60" hidden="1" x14ac:dyDescent="0.2">
      <c r="B352" s="59"/>
      <c r="C352" s="59" t="s">
        <v>690</v>
      </c>
      <c r="D352" s="59" t="s">
        <v>651</v>
      </c>
      <c r="E352" s="63">
        <v>27</v>
      </c>
      <c r="F352" s="63">
        <v>24</v>
      </c>
      <c r="G352" s="63">
        <v>27</v>
      </c>
      <c r="H352" s="63">
        <v>26</v>
      </c>
      <c r="I352" s="63">
        <v>27</v>
      </c>
      <c r="J352" s="63">
        <v>27</v>
      </c>
      <c r="K352" s="63">
        <v>22</v>
      </c>
      <c r="L352" s="63">
        <v>21</v>
      </c>
      <c r="M352" s="63">
        <v>31</v>
      </c>
      <c r="N352" s="63">
        <v>30</v>
      </c>
      <c r="O352" s="63">
        <v>24</v>
      </c>
      <c r="P352" s="63">
        <v>20</v>
      </c>
      <c r="Q352" s="63">
        <v>28</v>
      </c>
      <c r="R352" s="63">
        <v>30</v>
      </c>
      <c r="S352" s="63">
        <v>26</v>
      </c>
      <c r="T352" s="63">
        <v>19</v>
      </c>
      <c r="U352" s="63">
        <v>29</v>
      </c>
      <c r="V352" s="63">
        <v>25</v>
      </c>
      <c r="W352" s="63">
        <v>26</v>
      </c>
      <c r="X352" s="63">
        <v>13</v>
      </c>
      <c r="Y352" s="63">
        <v>26</v>
      </c>
      <c r="Z352" s="63">
        <v>23</v>
      </c>
      <c r="AA352" s="63">
        <v>18</v>
      </c>
      <c r="AB352" s="63">
        <v>20</v>
      </c>
      <c r="AC352" s="63">
        <v>24</v>
      </c>
      <c r="AD352" s="63">
        <v>25</v>
      </c>
      <c r="AE352" s="63">
        <v>24</v>
      </c>
      <c r="AF352" s="63">
        <v>28</v>
      </c>
      <c r="AG352" s="63">
        <v>22</v>
      </c>
      <c r="AH352" s="63">
        <v>20</v>
      </c>
      <c r="AI352" s="63">
        <v>30</v>
      </c>
      <c r="AJ352" s="63">
        <v>20</v>
      </c>
      <c r="AK352" s="63">
        <v>19</v>
      </c>
      <c r="AL352" s="63">
        <v>24</v>
      </c>
      <c r="AM352" s="63">
        <v>12</v>
      </c>
      <c r="AN352" s="63">
        <v>16</v>
      </c>
      <c r="AO352" s="63">
        <v>14</v>
      </c>
      <c r="AP352" s="63">
        <v>15</v>
      </c>
      <c r="AQ352" s="63">
        <v>14</v>
      </c>
      <c r="AR352" s="63">
        <v>13</v>
      </c>
      <c r="AS352" s="63">
        <v>12</v>
      </c>
      <c r="AT352" s="63">
        <v>19</v>
      </c>
      <c r="AU352" s="63">
        <v>10</v>
      </c>
      <c r="AV352" s="63">
        <v>16</v>
      </c>
      <c r="AW352" s="63">
        <v>19</v>
      </c>
      <c r="AX352" s="63">
        <v>10</v>
      </c>
      <c r="AY352" s="63">
        <v>15</v>
      </c>
      <c r="AZ352" s="63">
        <v>11</v>
      </c>
      <c r="BA352" s="63">
        <v>14</v>
      </c>
      <c r="BB352" s="63">
        <v>15</v>
      </c>
      <c r="BC352" s="63">
        <v>11</v>
      </c>
      <c r="BD352" s="63">
        <v>13</v>
      </c>
      <c r="BE352" s="63">
        <v>13</v>
      </c>
      <c r="BF352" s="63">
        <v>12</v>
      </c>
      <c r="BG352" s="63">
        <v>9</v>
      </c>
      <c r="BH352" s="63">
        <v>16</v>
      </c>
    </row>
    <row r="353" spans="2:60" hidden="1" x14ac:dyDescent="0.2">
      <c r="B353" s="57"/>
      <c r="C353" s="57" t="s">
        <v>690</v>
      </c>
      <c r="D353" s="57" t="s">
        <v>652</v>
      </c>
      <c r="E353" s="62">
        <v>176</v>
      </c>
      <c r="F353" s="62">
        <v>154</v>
      </c>
      <c r="G353" s="62">
        <v>138</v>
      </c>
      <c r="H353" s="62">
        <v>145</v>
      </c>
      <c r="I353" s="62">
        <v>177</v>
      </c>
      <c r="J353" s="62">
        <v>145</v>
      </c>
      <c r="K353" s="62">
        <v>137</v>
      </c>
      <c r="L353" s="62">
        <v>153</v>
      </c>
      <c r="M353" s="62">
        <v>165</v>
      </c>
      <c r="N353" s="62">
        <v>152</v>
      </c>
      <c r="O353" s="62">
        <v>160</v>
      </c>
      <c r="P353" s="62">
        <v>121</v>
      </c>
      <c r="Q353" s="62">
        <v>193</v>
      </c>
      <c r="R353" s="62">
        <v>151</v>
      </c>
      <c r="S353" s="62">
        <v>151</v>
      </c>
      <c r="T353" s="62">
        <v>116</v>
      </c>
      <c r="U353" s="62">
        <v>151</v>
      </c>
      <c r="V353" s="62">
        <v>136</v>
      </c>
      <c r="W353" s="62">
        <v>149</v>
      </c>
      <c r="X353" s="62">
        <v>99</v>
      </c>
      <c r="Y353" s="62">
        <v>152</v>
      </c>
      <c r="Z353" s="62">
        <v>94</v>
      </c>
      <c r="AA353" s="62">
        <v>139</v>
      </c>
      <c r="AB353" s="62">
        <v>126</v>
      </c>
      <c r="AC353" s="62">
        <v>119</v>
      </c>
      <c r="AD353" s="62">
        <v>149</v>
      </c>
      <c r="AE353" s="62">
        <v>122</v>
      </c>
      <c r="AF353" s="62">
        <v>117</v>
      </c>
      <c r="AG353" s="62">
        <v>118</v>
      </c>
      <c r="AH353" s="62">
        <v>129</v>
      </c>
      <c r="AI353" s="62">
        <v>100</v>
      </c>
      <c r="AJ353" s="62">
        <v>142</v>
      </c>
      <c r="AK353" s="62">
        <v>134</v>
      </c>
      <c r="AL353" s="62">
        <v>121</v>
      </c>
      <c r="AM353" s="62">
        <v>116</v>
      </c>
      <c r="AN353" s="62">
        <v>81</v>
      </c>
      <c r="AO353" s="62">
        <v>103</v>
      </c>
      <c r="AP353" s="62">
        <v>92</v>
      </c>
      <c r="AQ353" s="62">
        <v>96</v>
      </c>
      <c r="AR353" s="62">
        <v>95</v>
      </c>
      <c r="AS353" s="62">
        <v>67</v>
      </c>
      <c r="AT353" s="62">
        <v>63</v>
      </c>
      <c r="AU353" s="62">
        <v>62</v>
      </c>
      <c r="AV353" s="62">
        <v>59</v>
      </c>
      <c r="AW353" s="62">
        <v>58</v>
      </c>
      <c r="AX353" s="62">
        <v>57</v>
      </c>
      <c r="AY353" s="62">
        <v>73</v>
      </c>
      <c r="AZ353" s="62">
        <v>62</v>
      </c>
      <c r="BA353" s="62">
        <v>62</v>
      </c>
      <c r="BB353" s="62">
        <v>90</v>
      </c>
      <c r="BC353" s="62">
        <v>77</v>
      </c>
      <c r="BD353" s="62">
        <v>66</v>
      </c>
      <c r="BE353" s="62">
        <v>60</v>
      </c>
      <c r="BF353" s="62">
        <v>66</v>
      </c>
      <c r="BG353" s="62">
        <v>74</v>
      </c>
      <c r="BH353" s="62">
        <v>69</v>
      </c>
    </row>
    <row r="354" spans="2:60" hidden="1" x14ac:dyDescent="0.2">
      <c r="B354" s="59"/>
      <c r="C354" s="59" t="s">
        <v>690</v>
      </c>
      <c r="D354" s="59" t="s">
        <v>653</v>
      </c>
      <c r="E354" s="63">
        <v>98</v>
      </c>
      <c r="F354" s="63">
        <v>85</v>
      </c>
      <c r="G354" s="63">
        <v>97</v>
      </c>
      <c r="H354" s="63">
        <v>93</v>
      </c>
      <c r="I354" s="63">
        <v>110</v>
      </c>
      <c r="J354" s="63">
        <v>78</v>
      </c>
      <c r="K354" s="63">
        <v>93</v>
      </c>
      <c r="L354" s="63">
        <v>80</v>
      </c>
      <c r="M354" s="63">
        <v>131</v>
      </c>
      <c r="N354" s="63">
        <v>80</v>
      </c>
      <c r="O354" s="63">
        <v>102</v>
      </c>
      <c r="P354" s="63">
        <v>77</v>
      </c>
      <c r="Q354" s="63">
        <v>98</v>
      </c>
      <c r="R354" s="63">
        <v>87</v>
      </c>
      <c r="S354" s="63">
        <v>86</v>
      </c>
      <c r="T354" s="63">
        <v>71</v>
      </c>
      <c r="U354" s="63">
        <v>97</v>
      </c>
      <c r="V354" s="63">
        <v>100</v>
      </c>
      <c r="W354" s="63">
        <v>82</v>
      </c>
      <c r="X354" s="63">
        <v>72</v>
      </c>
      <c r="Y354" s="63">
        <v>102</v>
      </c>
      <c r="Z354" s="63">
        <v>68</v>
      </c>
      <c r="AA354" s="63">
        <v>89</v>
      </c>
      <c r="AB354" s="63">
        <v>77</v>
      </c>
      <c r="AC354" s="63">
        <v>84</v>
      </c>
      <c r="AD354" s="63">
        <v>84</v>
      </c>
      <c r="AE354" s="63">
        <v>65</v>
      </c>
      <c r="AF354" s="63">
        <v>70</v>
      </c>
      <c r="AG354" s="63">
        <v>55</v>
      </c>
      <c r="AH354" s="63">
        <v>73</v>
      </c>
      <c r="AI354" s="63">
        <v>59</v>
      </c>
      <c r="AJ354" s="63">
        <v>75</v>
      </c>
      <c r="AK354" s="63">
        <v>55</v>
      </c>
      <c r="AL354" s="63">
        <v>92</v>
      </c>
      <c r="AM354" s="63">
        <v>34</v>
      </c>
      <c r="AN354" s="63">
        <v>59</v>
      </c>
      <c r="AO354" s="63">
        <v>59</v>
      </c>
      <c r="AP354" s="63">
        <v>59</v>
      </c>
      <c r="AQ354" s="63">
        <v>54</v>
      </c>
      <c r="AR354" s="63">
        <v>49</v>
      </c>
      <c r="AS354" s="63">
        <v>46</v>
      </c>
      <c r="AT354" s="63">
        <v>49</v>
      </c>
      <c r="AU354" s="63">
        <v>31</v>
      </c>
      <c r="AV354" s="63">
        <v>44</v>
      </c>
      <c r="AW354" s="63">
        <v>44</v>
      </c>
      <c r="AX354" s="63">
        <v>30</v>
      </c>
      <c r="AY354" s="63">
        <v>39</v>
      </c>
      <c r="AZ354" s="63">
        <v>47</v>
      </c>
      <c r="BA354" s="63">
        <v>48</v>
      </c>
      <c r="BB354" s="63">
        <v>53</v>
      </c>
      <c r="BC354" s="63">
        <v>39</v>
      </c>
      <c r="BD354" s="63">
        <v>28</v>
      </c>
      <c r="BE354" s="63">
        <v>33</v>
      </c>
      <c r="BF354" s="63">
        <v>43</v>
      </c>
      <c r="BG354" s="63">
        <v>45</v>
      </c>
      <c r="BH354" s="63">
        <v>48</v>
      </c>
    </row>
    <row r="355" spans="2:60" hidden="1" x14ac:dyDescent="0.2">
      <c r="B355" s="57"/>
      <c r="C355" s="57" t="s">
        <v>690</v>
      </c>
      <c r="D355" s="57" t="s">
        <v>654</v>
      </c>
      <c r="E355" s="62"/>
      <c r="F355" s="62"/>
      <c r="G355" s="62"/>
      <c r="H355" s="62"/>
      <c r="I355" s="62">
        <v>2</v>
      </c>
      <c r="J355" s="62">
        <v>1</v>
      </c>
      <c r="K355" s="62">
        <v>1</v>
      </c>
      <c r="L355" s="62">
        <v>1</v>
      </c>
      <c r="M355" s="62">
        <v>1</v>
      </c>
      <c r="N355" s="62">
        <v>2</v>
      </c>
      <c r="O355" s="62">
        <v>1</v>
      </c>
      <c r="P355" s="62"/>
      <c r="Q355" s="62"/>
      <c r="R355" s="62">
        <v>1</v>
      </c>
      <c r="S355" s="62"/>
      <c r="T355" s="62">
        <v>2</v>
      </c>
      <c r="U355" s="62">
        <v>1</v>
      </c>
      <c r="V355" s="62"/>
      <c r="W355" s="62">
        <v>2</v>
      </c>
      <c r="X355" s="62">
        <v>1</v>
      </c>
      <c r="Y355" s="62">
        <v>1</v>
      </c>
      <c r="Z355" s="62"/>
      <c r="AA355" s="62">
        <v>1</v>
      </c>
      <c r="AB355" s="62">
        <v>1</v>
      </c>
      <c r="AC355" s="62">
        <v>3</v>
      </c>
      <c r="AD355" s="62">
        <v>3</v>
      </c>
      <c r="AE355" s="62">
        <v>1</v>
      </c>
      <c r="AF355" s="62"/>
      <c r="AG355" s="62">
        <v>2</v>
      </c>
      <c r="AH355" s="62">
        <v>1</v>
      </c>
      <c r="AI355" s="62">
        <v>1</v>
      </c>
      <c r="AJ355" s="62"/>
      <c r="AK355" s="62"/>
      <c r="AL355" s="62"/>
      <c r="AM355" s="62"/>
      <c r="AN355" s="62"/>
      <c r="AO355" s="62"/>
      <c r="AP355" s="62">
        <v>2</v>
      </c>
      <c r="AQ355" s="62"/>
      <c r="AR355" s="62"/>
      <c r="AS355" s="62">
        <v>1</v>
      </c>
      <c r="AT355" s="62"/>
      <c r="AU355" s="62">
        <v>1</v>
      </c>
      <c r="AV355" s="62"/>
      <c r="AW355" s="62">
        <v>1</v>
      </c>
      <c r="AX355" s="62"/>
      <c r="AY355" s="62">
        <v>1</v>
      </c>
      <c r="AZ355" s="62"/>
      <c r="BA355" s="62">
        <v>2</v>
      </c>
      <c r="BB355" s="62">
        <v>1</v>
      </c>
      <c r="BC355" s="62">
        <v>4</v>
      </c>
      <c r="BD355" s="62"/>
      <c r="BE355" s="62">
        <v>2</v>
      </c>
      <c r="BF355" s="62">
        <v>1</v>
      </c>
      <c r="BG355" s="62">
        <v>1</v>
      </c>
      <c r="BH355" s="62"/>
    </row>
    <row r="356" spans="2:60" hidden="1" x14ac:dyDescent="0.2">
      <c r="B356" s="59"/>
      <c r="C356" s="59" t="s">
        <v>690</v>
      </c>
      <c r="D356" s="59" t="s">
        <v>655</v>
      </c>
      <c r="E356" s="63"/>
      <c r="F356" s="63"/>
      <c r="G356" s="63">
        <v>1</v>
      </c>
      <c r="H356" s="63">
        <v>2</v>
      </c>
      <c r="I356" s="63">
        <v>2</v>
      </c>
      <c r="J356" s="63">
        <v>1</v>
      </c>
      <c r="K356" s="63">
        <v>1</v>
      </c>
      <c r="L356" s="63">
        <v>1</v>
      </c>
      <c r="M356" s="63">
        <v>3</v>
      </c>
      <c r="N356" s="63">
        <v>1</v>
      </c>
      <c r="O356" s="63">
        <v>2</v>
      </c>
      <c r="P356" s="63"/>
      <c r="Q356" s="63">
        <v>2</v>
      </c>
      <c r="R356" s="63">
        <v>2</v>
      </c>
      <c r="S356" s="63">
        <v>1</v>
      </c>
      <c r="T356" s="63">
        <v>3</v>
      </c>
      <c r="U356" s="63">
        <v>1</v>
      </c>
      <c r="V356" s="63">
        <v>1</v>
      </c>
      <c r="W356" s="63">
        <v>1</v>
      </c>
      <c r="X356" s="63">
        <v>1</v>
      </c>
      <c r="Y356" s="63"/>
      <c r="Z356" s="63"/>
      <c r="AA356" s="63"/>
      <c r="AB356" s="63"/>
      <c r="AC356" s="63">
        <v>3</v>
      </c>
      <c r="AD356" s="63">
        <v>3</v>
      </c>
      <c r="AE356" s="63"/>
      <c r="AF356" s="63"/>
      <c r="AG356" s="63"/>
      <c r="AH356" s="63"/>
      <c r="AI356" s="63">
        <v>1</v>
      </c>
      <c r="AJ356" s="63">
        <v>1</v>
      </c>
      <c r="AK356" s="63">
        <v>1</v>
      </c>
      <c r="AL356" s="63">
        <v>2</v>
      </c>
      <c r="AM356" s="63">
        <v>1</v>
      </c>
      <c r="AN356" s="63"/>
      <c r="AO356" s="63"/>
      <c r="AP356" s="63"/>
      <c r="AQ356" s="63"/>
      <c r="AR356" s="63">
        <v>1</v>
      </c>
      <c r="AS356" s="63">
        <v>1</v>
      </c>
      <c r="AT356" s="63"/>
      <c r="AU356" s="63"/>
      <c r="AV356" s="63"/>
      <c r="AW356" s="63"/>
      <c r="AX356" s="63"/>
      <c r="AY356" s="63"/>
      <c r="AZ356" s="63"/>
      <c r="BA356" s="63">
        <v>1</v>
      </c>
      <c r="BB356" s="63">
        <v>1</v>
      </c>
      <c r="BC356" s="63">
        <v>2</v>
      </c>
      <c r="BD356" s="63">
        <v>1</v>
      </c>
      <c r="BE356" s="63"/>
      <c r="BF356" s="63">
        <v>1</v>
      </c>
      <c r="BG356" s="63"/>
      <c r="BH356" s="63"/>
    </row>
    <row r="357" spans="2:60" hidden="1" x14ac:dyDescent="0.2">
      <c r="B357" s="57"/>
      <c r="C357" s="57" t="s">
        <v>690</v>
      </c>
      <c r="D357" s="57" t="s">
        <v>699</v>
      </c>
      <c r="E357" s="62">
        <v>71</v>
      </c>
      <c r="F357" s="62">
        <v>74</v>
      </c>
      <c r="G357" s="62">
        <v>63</v>
      </c>
      <c r="H357" s="62">
        <v>46</v>
      </c>
      <c r="I357" s="62">
        <v>47</v>
      </c>
      <c r="J357" s="62">
        <v>51</v>
      </c>
      <c r="K357" s="62">
        <v>48</v>
      </c>
      <c r="L357" s="62">
        <v>42</v>
      </c>
      <c r="M357" s="62">
        <v>52</v>
      </c>
      <c r="N357" s="62">
        <v>47</v>
      </c>
      <c r="O357" s="62">
        <v>55</v>
      </c>
      <c r="P357" s="62">
        <v>42</v>
      </c>
      <c r="Q357" s="62">
        <v>33</v>
      </c>
      <c r="R357" s="62">
        <v>43</v>
      </c>
      <c r="S357" s="62">
        <v>46</v>
      </c>
      <c r="T357" s="62">
        <v>39</v>
      </c>
      <c r="U357" s="62">
        <v>31</v>
      </c>
      <c r="V357" s="62">
        <v>35</v>
      </c>
      <c r="W357" s="62">
        <v>58</v>
      </c>
      <c r="X357" s="62">
        <v>45</v>
      </c>
      <c r="Y357" s="62">
        <v>46</v>
      </c>
      <c r="Z357" s="62">
        <v>47</v>
      </c>
      <c r="AA357" s="62">
        <v>43</v>
      </c>
      <c r="AB357" s="62">
        <v>36</v>
      </c>
      <c r="AC357" s="62">
        <v>46</v>
      </c>
      <c r="AD357" s="62">
        <v>34</v>
      </c>
      <c r="AE357" s="62">
        <v>24</v>
      </c>
      <c r="AF357" s="62">
        <v>34</v>
      </c>
      <c r="AG357" s="62">
        <v>33</v>
      </c>
      <c r="AH357" s="62">
        <v>20</v>
      </c>
      <c r="AI357" s="62">
        <v>21</v>
      </c>
      <c r="AJ357" s="62">
        <v>26</v>
      </c>
      <c r="AK357" s="62">
        <v>28</v>
      </c>
      <c r="AL357" s="62">
        <v>26</v>
      </c>
      <c r="AM357" s="62">
        <v>20</v>
      </c>
      <c r="AN357" s="62">
        <v>19</v>
      </c>
      <c r="AO357" s="62">
        <v>30</v>
      </c>
      <c r="AP357" s="62">
        <v>29</v>
      </c>
      <c r="AQ357" s="62">
        <v>18</v>
      </c>
      <c r="AR357" s="62">
        <v>28</v>
      </c>
      <c r="AS357" s="62">
        <v>22</v>
      </c>
      <c r="AT357" s="62">
        <v>26</v>
      </c>
      <c r="AU357" s="62">
        <v>20</v>
      </c>
      <c r="AV357" s="62">
        <v>21</v>
      </c>
      <c r="AW357" s="62">
        <v>16</v>
      </c>
      <c r="AX357" s="62">
        <v>30</v>
      </c>
      <c r="AY357" s="62">
        <v>30</v>
      </c>
      <c r="AZ357" s="62">
        <v>16</v>
      </c>
      <c r="BA357" s="62">
        <v>11</v>
      </c>
      <c r="BB357" s="62">
        <v>16</v>
      </c>
      <c r="BC357" s="62">
        <v>23</v>
      </c>
      <c r="BD357" s="62">
        <v>16</v>
      </c>
      <c r="BE357" s="62">
        <v>26</v>
      </c>
      <c r="BF357" s="62">
        <v>18</v>
      </c>
      <c r="BG357" s="62">
        <v>14</v>
      </c>
      <c r="BH357" s="62">
        <v>11</v>
      </c>
    </row>
    <row r="358" spans="2:60" hidden="1" x14ac:dyDescent="0.2">
      <c r="B358" s="59"/>
      <c r="C358" s="59" t="s">
        <v>690</v>
      </c>
      <c r="D358" s="59" t="s">
        <v>656</v>
      </c>
      <c r="E358" s="63">
        <v>471</v>
      </c>
      <c r="F358" s="63">
        <v>413</v>
      </c>
      <c r="G358" s="63">
        <v>399</v>
      </c>
      <c r="H358" s="63">
        <v>379</v>
      </c>
      <c r="I358" s="63">
        <v>457</v>
      </c>
      <c r="J358" s="63">
        <v>390</v>
      </c>
      <c r="K358" s="63">
        <v>355</v>
      </c>
      <c r="L358" s="63">
        <v>371</v>
      </c>
      <c r="M358" s="63">
        <v>454</v>
      </c>
      <c r="N358" s="63">
        <v>378</v>
      </c>
      <c r="O358" s="63">
        <v>407</v>
      </c>
      <c r="P358" s="63">
        <v>336</v>
      </c>
      <c r="Q358" s="63">
        <v>453</v>
      </c>
      <c r="R358" s="63">
        <v>374</v>
      </c>
      <c r="S358" s="63">
        <v>384</v>
      </c>
      <c r="T358" s="63">
        <v>325</v>
      </c>
      <c r="U358" s="63">
        <v>398</v>
      </c>
      <c r="V358" s="63">
        <v>377</v>
      </c>
      <c r="W358" s="63">
        <v>384</v>
      </c>
      <c r="X358" s="63">
        <v>304</v>
      </c>
      <c r="Y358" s="63">
        <v>406</v>
      </c>
      <c r="Z358" s="63">
        <v>293</v>
      </c>
      <c r="AA358" s="63">
        <v>356</v>
      </c>
      <c r="AB358" s="63">
        <v>323</v>
      </c>
      <c r="AC358" s="63">
        <v>347</v>
      </c>
      <c r="AD358" s="63">
        <v>374</v>
      </c>
      <c r="AE358" s="63">
        <v>295</v>
      </c>
      <c r="AF358" s="63">
        <v>299</v>
      </c>
      <c r="AG358" s="63">
        <v>291</v>
      </c>
      <c r="AH358" s="63">
        <v>307</v>
      </c>
      <c r="AI358" s="63">
        <v>266</v>
      </c>
      <c r="AJ358" s="63">
        <v>345</v>
      </c>
      <c r="AK358" s="63">
        <v>301</v>
      </c>
      <c r="AL358" s="63">
        <v>344</v>
      </c>
      <c r="AM358" s="63">
        <v>242</v>
      </c>
      <c r="AN358" s="63">
        <v>222</v>
      </c>
      <c r="AO358" s="63">
        <v>274</v>
      </c>
      <c r="AP358" s="63">
        <v>246</v>
      </c>
      <c r="AQ358" s="63">
        <v>224</v>
      </c>
      <c r="AR358" s="63">
        <v>224</v>
      </c>
      <c r="AS358" s="63">
        <v>193</v>
      </c>
      <c r="AT358" s="63">
        <v>197</v>
      </c>
      <c r="AU358" s="63">
        <v>170</v>
      </c>
      <c r="AV358" s="63">
        <v>186</v>
      </c>
      <c r="AW358" s="63">
        <v>192</v>
      </c>
      <c r="AX358" s="63">
        <v>179</v>
      </c>
      <c r="AY358" s="63">
        <v>205</v>
      </c>
      <c r="AZ358" s="63">
        <v>190</v>
      </c>
      <c r="BA358" s="63">
        <v>186</v>
      </c>
      <c r="BB358" s="63">
        <v>216</v>
      </c>
      <c r="BC358" s="63">
        <v>210</v>
      </c>
      <c r="BD358" s="63">
        <v>162</v>
      </c>
      <c r="BE358" s="63">
        <v>190</v>
      </c>
      <c r="BF358" s="63">
        <v>184</v>
      </c>
      <c r="BG358" s="63">
        <v>190</v>
      </c>
      <c r="BH358" s="63">
        <v>194</v>
      </c>
    </row>
    <row r="359" spans="2:60" hidden="1" x14ac:dyDescent="0.2">
      <c r="B359" s="57"/>
      <c r="C359" s="57" t="s">
        <v>691</v>
      </c>
      <c r="D359" s="57" t="s">
        <v>648</v>
      </c>
      <c r="E359" s="62">
        <v>6</v>
      </c>
      <c r="F359" s="62">
        <v>11</v>
      </c>
      <c r="G359" s="62">
        <v>9</v>
      </c>
      <c r="H359" s="62">
        <v>9</v>
      </c>
      <c r="I359" s="62">
        <v>15</v>
      </c>
      <c r="J359" s="62">
        <v>4</v>
      </c>
      <c r="K359" s="62">
        <v>12</v>
      </c>
      <c r="L359" s="62">
        <v>12</v>
      </c>
      <c r="M359" s="62">
        <v>15</v>
      </c>
      <c r="N359" s="62">
        <v>9</v>
      </c>
      <c r="O359" s="62">
        <v>11</v>
      </c>
      <c r="P359" s="62">
        <v>8</v>
      </c>
      <c r="Q359" s="62">
        <v>10</v>
      </c>
      <c r="R359" s="62">
        <v>9</v>
      </c>
      <c r="S359" s="62">
        <v>8</v>
      </c>
      <c r="T359" s="62">
        <v>13</v>
      </c>
      <c r="U359" s="62">
        <v>9</v>
      </c>
      <c r="V359" s="62">
        <v>8</v>
      </c>
      <c r="W359" s="62">
        <v>13</v>
      </c>
      <c r="X359" s="62">
        <v>16</v>
      </c>
      <c r="Y359" s="62">
        <v>7</v>
      </c>
      <c r="Z359" s="62">
        <v>12</v>
      </c>
      <c r="AA359" s="62">
        <v>12</v>
      </c>
      <c r="AB359" s="62">
        <v>11</v>
      </c>
      <c r="AC359" s="62">
        <v>9</v>
      </c>
      <c r="AD359" s="62">
        <v>6</v>
      </c>
      <c r="AE359" s="62">
        <v>10</v>
      </c>
      <c r="AF359" s="62">
        <v>11</v>
      </c>
      <c r="AG359" s="62">
        <v>4</v>
      </c>
      <c r="AH359" s="62">
        <v>8</v>
      </c>
      <c r="AI359" s="62">
        <v>7</v>
      </c>
      <c r="AJ359" s="62">
        <v>12</v>
      </c>
      <c r="AK359" s="62">
        <v>2</v>
      </c>
      <c r="AL359" s="62">
        <v>9</v>
      </c>
      <c r="AM359" s="62">
        <v>10</v>
      </c>
      <c r="AN359" s="62">
        <v>12</v>
      </c>
      <c r="AO359" s="62">
        <v>9</v>
      </c>
      <c r="AP359" s="62">
        <v>13</v>
      </c>
      <c r="AQ359" s="62">
        <v>7</v>
      </c>
      <c r="AR359" s="62">
        <v>7</v>
      </c>
      <c r="AS359" s="62">
        <v>3</v>
      </c>
      <c r="AT359" s="62">
        <v>10</v>
      </c>
      <c r="AU359" s="62">
        <v>7</v>
      </c>
      <c r="AV359" s="62">
        <v>14</v>
      </c>
      <c r="AW359" s="62">
        <v>5</v>
      </c>
      <c r="AX359" s="62">
        <v>14</v>
      </c>
      <c r="AY359" s="62">
        <v>8</v>
      </c>
      <c r="AZ359" s="62">
        <v>16</v>
      </c>
      <c r="BA359" s="62">
        <v>8</v>
      </c>
      <c r="BB359" s="62">
        <v>6</v>
      </c>
      <c r="BC359" s="62">
        <v>11</v>
      </c>
      <c r="BD359" s="62">
        <v>8</v>
      </c>
      <c r="BE359" s="62">
        <v>6</v>
      </c>
      <c r="BF359" s="62">
        <v>4</v>
      </c>
      <c r="BG359" s="62">
        <v>6</v>
      </c>
      <c r="BH359" s="62">
        <v>14</v>
      </c>
    </row>
    <row r="360" spans="2:60" hidden="1" x14ac:dyDescent="0.2">
      <c r="B360" s="59"/>
      <c r="C360" s="59" t="s">
        <v>691</v>
      </c>
      <c r="D360" s="59" t="s">
        <v>649</v>
      </c>
      <c r="E360" s="63">
        <v>43</v>
      </c>
      <c r="F360" s="63">
        <v>48</v>
      </c>
      <c r="G360" s="63">
        <v>39</v>
      </c>
      <c r="H360" s="63">
        <v>50</v>
      </c>
      <c r="I360" s="63">
        <v>73</v>
      </c>
      <c r="J360" s="63">
        <v>50</v>
      </c>
      <c r="K360" s="63">
        <v>54</v>
      </c>
      <c r="L360" s="63">
        <v>49</v>
      </c>
      <c r="M360" s="63">
        <v>76</v>
      </c>
      <c r="N360" s="63">
        <v>50</v>
      </c>
      <c r="O360" s="63">
        <v>65</v>
      </c>
      <c r="P360" s="63">
        <v>49</v>
      </c>
      <c r="Q360" s="63">
        <v>68</v>
      </c>
      <c r="R360" s="63">
        <v>39</v>
      </c>
      <c r="S360" s="63">
        <v>54</v>
      </c>
      <c r="T360" s="63">
        <v>61</v>
      </c>
      <c r="U360" s="63">
        <v>40</v>
      </c>
      <c r="V360" s="63">
        <v>49</v>
      </c>
      <c r="W360" s="63">
        <v>54</v>
      </c>
      <c r="X360" s="63">
        <v>56</v>
      </c>
      <c r="Y360" s="63">
        <v>68</v>
      </c>
      <c r="Z360" s="63">
        <v>57</v>
      </c>
      <c r="AA360" s="63">
        <v>56</v>
      </c>
      <c r="AB360" s="63">
        <v>56</v>
      </c>
      <c r="AC360" s="63">
        <v>57</v>
      </c>
      <c r="AD360" s="63">
        <v>48</v>
      </c>
      <c r="AE360" s="63">
        <v>61</v>
      </c>
      <c r="AF360" s="63">
        <v>45</v>
      </c>
      <c r="AG360" s="63">
        <v>55</v>
      </c>
      <c r="AH360" s="63">
        <v>40</v>
      </c>
      <c r="AI360" s="63">
        <v>48</v>
      </c>
      <c r="AJ360" s="63">
        <v>57</v>
      </c>
      <c r="AK360" s="63">
        <v>36</v>
      </c>
      <c r="AL360" s="63">
        <v>46</v>
      </c>
      <c r="AM360" s="63">
        <v>59</v>
      </c>
      <c r="AN360" s="63">
        <v>35</v>
      </c>
      <c r="AO360" s="63">
        <v>46</v>
      </c>
      <c r="AP360" s="63">
        <v>37</v>
      </c>
      <c r="AQ360" s="63">
        <v>49</v>
      </c>
      <c r="AR360" s="63">
        <v>46</v>
      </c>
      <c r="AS360" s="63">
        <v>48</v>
      </c>
      <c r="AT360" s="63">
        <v>31</v>
      </c>
      <c r="AU360" s="63">
        <v>33</v>
      </c>
      <c r="AV360" s="63">
        <v>38</v>
      </c>
      <c r="AW360" s="63">
        <v>34</v>
      </c>
      <c r="AX360" s="63">
        <v>38</v>
      </c>
      <c r="AY360" s="63">
        <v>40</v>
      </c>
      <c r="AZ360" s="63">
        <v>49</v>
      </c>
      <c r="BA360" s="63">
        <v>32</v>
      </c>
      <c r="BB360" s="63">
        <v>42</v>
      </c>
      <c r="BC360" s="63">
        <v>38</v>
      </c>
      <c r="BD360" s="63">
        <v>43</v>
      </c>
      <c r="BE360" s="63">
        <v>28</v>
      </c>
      <c r="BF360" s="63">
        <v>42</v>
      </c>
      <c r="BG360" s="63">
        <v>54</v>
      </c>
      <c r="BH360" s="63">
        <v>41</v>
      </c>
    </row>
    <row r="361" spans="2:60" hidden="1" x14ac:dyDescent="0.2">
      <c r="B361" s="57"/>
      <c r="C361" s="57" t="s">
        <v>691</v>
      </c>
      <c r="D361" s="57" t="s">
        <v>650</v>
      </c>
      <c r="E361" s="62">
        <v>16</v>
      </c>
      <c r="F361" s="62">
        <v>10</v>
      </c>
      <c r="G361" s="62">
        <v>16</v>
      </c>
      <c r="H361" s="62">
        <v>18</v>
      </c>
      <c r="I361" s="62">
        <v>12</v>
      </c>
      <c r="J361" s="62">
        <v>9</v>
      </c>
      <c r="K361" s="62">
        <v>21</v>
      </c>
      <c r="L361" s="62">
        <v>16</v>
      </c>
      <c r="M361" s="62">
        <v>10</v>
      </c>
      <c r="N361" s="62">
        <v>7</v>
      </c>
      <c r="O361" s="62">
        <v>10</v>
      </c>
      <c r="P361" s="62">
        <v>13</v>
      </c>
      <c r="Q361" s="62">
        <v>11</v>
      </c>
      <c r="R361" s="62">
        <v>12</v>
      </c>
      <c r="S361" s="62">
        <v>19</v>
      </c>
      <c r="T361" s="62">
        <v>15</v>
      </c>
      <c r="U361" s="62">
        <v>11</v>
      </c>
      <c r="V361" s="62">
        <v>17</v>
      </c>
      <c r="W361" s="62">
        <v>5</v>
      </c>
      <c r="X361" s="62">
        <v>18</v>
      </c>
      <c r="Y361" s="62">
        <v>18</v>
      </c>
      <c r="Z361" s="62">
        <v>18</v>
      </c>
      <c r="AA361" s="62">
        <v>18</v>
      </c>
      <c r="AB361" s="62">
        <v>11</v>
      </c>
      <c r="AC361" s="62">
        <v>16</v>
      </c>
      <c r="AD361" s="62">
        <v>11</v>
      </c>
      <c r="AE361" s="62">
        <v>16</v>
      </c>
      <c r="AF361" s="62">
        <v>11</v>
      </c>
      <c r="AG361" s="62">
        <v>12</v>
      </c>
      <c r="AH361" s="62">
        <v>16</v>
      </c>
      <c r="AI361" s="62">
        <v>10</v>
      </c>
      <c r="AJ361" s="62">
        <v>18</v>
      </c>
      <c r="AK361" s="62">
        <v>8</v>
      </c>
      <c r="AL361" s="62">
        <v>17</v>
      </c>
      <c r="AM361" s="62">
        <v>18</v>
      </c>
      <c r="AN361" s="62">
        <v>9</v>
      </c>
      <c r="AO361" s="62">
        <v>15</v>
      </c>
      <c r="AP361" s="62">
        <v>10</v>
      </c>
      <c r="AQ361" s="62">
        <v>10</v>
      </c>
      <c r="AR361" s="62">
        <v>8</v>
      </c>
      <c r="AS361" s="62">
        <v>12</v>
      </c>
      <c r="AT361" s="62">
        <v>12</v>
      </c>
      <c r="AU361" s="62">
        <v>6</v>
      </c>
      <c r="AV361" s="62">
        <v>5</v>
      </c>
      <c r="AW361" s="62">
        <v>8</v>
      </c>
      <c r="AX361" s="62">
        <v>12</v>
      </c>
      <c r="AY361" s="62">
        <v>16</v>
      </c>
      <c r="AZ361" s="62">
        <v>13</v>
      </c>
      <c r="BA361" s="62">
        <v>8</v>
      </c>
      <c r="BB361" s="62">
        <v>20</v>
      </c>
      <c r="BC361" s="62">
        <v>17</v>
      </c>
      <c r="BD361" s="62">
        <v>7</v>
      </c>
      <c r="BE361" s="62">
        <v>15</v>
      </c>
      <c r="BF361" s="62">
        <v>20</v>
      </c>
      <c r="BG361" s="62">
        <v>13</v>
      </c>
      <c r="BH361" s="62">
        <v>14</v>
      </c>
    </row>
    <row r="362" spans="2:60" hidden="1" x14ac:dyDescent="0.2">
      <c r="B362" s="59"/>
      <c r="C362" s="59" t="s">
        <v>691</v>
      </c>
      <c r="D362" s="59" t="s">
        <v>651</v>
      </c>
      <c r="E362" s="63">
        <v>35</v>
      </c>
      <c r="F362" s="63">
        <v>35</v>
      </c>
      <c r="G362" s="63">
        <v>43</v>
      </c>
      <c r="H362" s="63">
        <v>47</v>
      </c>
      <c r="I362" s="63">
        <v>48</v>
      </c>
      <c r="J362" s="63">
        <v>39</v>
      </c>
      <c r="K362" s="63">
        <v>47</v>
      </c>
      <c r="L362" s="63">
        <v>47</v>
      </c>
      <c r="M362" s="63">
        <v>39</v>
      </c>
      <c r="N362" s="63">
        <v>42</v>
      </c>
      <c r="O362" s="63">
        <v>35</v>
      </c>
      <c r="P362" s="63">
        <v>35</v>
      </c>
      <c r="Q362" s="63">
        <v>45</v>
      </c>
      <c r="R362" s="63">
        <v>31</v>
      </c>
      <c r="S362" s="63">
        <v>35</v>
      </c>
      <c r="T362" s="63">
        <v>35</v>
      </c>
      <c r="U362" s="63">
        <v>39</v>
      </c>
      <c r="V362" s="63">
        <v>30</v>
      </c>
      <c r="W362" s="63">
        <v>43</v>
      </c>
      <c r="X362" s="63">
        <v>35</v>
      </c>
      <c r="Y362" s="63">
        <v>36</v>
      </c>
      <c r="Z362" s="63">
        <v>31</v>
      </c>
      <c r="AA362" s="63">
        <v>34</v>
      </c>
      <c r="AB362" s="63">
        <v>25</v>
      </c>
      <c r="AC362" s="63">
        <v>32</v>
      </c>
      <c r="AD362" s="63">
        <v>27</v>
      </c>
      <c r="AE362" s="63">
        <v>21</v>
      </c>
      <c r="AF362" s="63">
        <v>30</v>
      </c>
      <c r="AG362" s="63">
        <v>25</v>
      </c>
      <c r="AH362" s="63">
        <v>28</v>
      </c>
      <c r="AI362" s="63">
        <v>27</v>
      </c>
      <c r="AJ362" s="63">
        <v>35</v>
      </c>
      <c r="AK362" s="63">
        <v>25</v>
      </c>
      <c r="AL362" s="63">
        <v>29</v>
      </c>
      <c r="AM362" s="63">
        <v>27</v>
      </c>
      <c r="AN362" s="63">
        <v>20</v>
      </c>
      <c r="AO362" s="63">
        <v>21</v>
      </c>
      <c r="AP362" s="63">
        <v>26</v>
      </c>
      <c r="AQ362" s="63">
        <v>25</v>
      </c>
      <c r="AR362" s="63">
        <v>19</v>
      </c>
      <c r="AS362" s="63">
        <v>22</v>
      </c>
      <c r="AT362" s="63">
        <v>16</v>
      </c>
      <c r="AU362" s="63">
        <v>23</v>
      </c>
      <c r="AV362" s="63">
        <v>23</v>
      </c>
      <c r="AW362" s="63">
        <v>17</v>
      </c>
      <c r="AX362" s="63">
        <v>26</v>
      </c>
      <c r="AY362" s="63">
        <v>12</v>
      </c>
      <c r="AZ362" s="63">
        <v>9</v>
      </c>
      <c r="BA362" s="63">
        <v>23</v>
      </c>
      <c r="BB362" s="63">
        <v>23</v>
      </c>
      <c r="BC362" s="63">
        <v>16</v>
      </c>
      <c r="BD362" s="63">
        <v>17</v>
      </c>
      <c r="BE362" s="63">
        <v>21</v>
      </c>
      <c r="BF362" s="63">
        <v>21</v>
      </c>
      <c r="BG362" s="63">
        <v>21</v>
      </c>
      <c r="BH362" s="63">
        <v>24</v>
      </c>
    </row>
    <row r="363" spans="2:60" hidden="1" x14ac:dyDescent="0.2">
      <c r="B363" s="57"/>
      <c r="C363" s="57" t="s">
        <v>691</v>
      </c>
      <c r="D363" s="57" t="s">
        <v>652</v>
      </c>
      <c r="E363" s="62">
        <v>179</v>
      </c>
      <c r="F363" s="62">
        <v>149</v>
      </c>
      <c r="G363" s="62">
        <v>150</v>
      </c>
      <c r="H363" s="62">
        <v>154</v>
      </c>
      <c r="I363" s="62">
        <v>167</v>
      </c>
      <c r="J363" s="62">
        <v>146</v>
      </c>
      <c r="K363" s="62">
        <v>181</v>
      </c>
      <c r="L363" s="62">
        <v>138</v>
      </c>
      <c r="M363" s="62">
        <v>171</v>
      </c>
      <c r="N363" s="62">
        <v>142</v>
      </c>
      <c r="O363" s="62">
        <v>137</v>
      </c>
      <c r="P363" s="62">
        <v>128</v>
      </c>
      <c r="Q363" s="62">
        <v>146</v>
      </c>
      <c r="R363" s="62">
        <v>120</v>
      </c>
      <c r="S363" s="62">
        <v>136</v>
      </c>
      <c r="T363" s="62">
        <v>155</v>
      </c>
      <c r="U363" s="62">
        <v>136</v>
      </c>
      <c r="V363" s="62">
        <v>144</v>
      </c>
      <c r="W363" s="62">
        <v>138</v>
      </c>
      <c r="X363" s="62">
        <v>134</v>
      </c>
      <c r="Y363" s="62">
        <v>128</v>
      </c>
      <c r="Z363" s="62">
        <v>116</v>
      </c>
      <c r="AA363" s="62">
        <v>136</v>
      </c>
      <c r="AB363" s="62">
        <v>120</v>
      </c>
      <c r="AC363" s="62">
        <v>123</v>
      </c>
      <c r="AD363" s="62">
        <v>99</v>
      </c>
      <c r="AE363" s="62">
        <v>124</v>
      </c>
      <c r="AF363" s="62">
        <v>130</v>
      </c>
      <c r="AG363" s="62">
        <v>98</v>
      </c>
      <c r="AH363" s="62">
        <v>131</v>
      </c>
      <c r="AI363" s="62">
        <v>108</v>
      </c>
      <c r="AJ363" s="62">
        <v>130</v>
      </c>
      <c r="AK363" s="62">
        <v>111</v>
      </c>
      <c r="AL363" s="62">
        <v>148</v>
      </c>
      <c r="AM363" s="62">
        <v>107</v>
      </c>
      <c r="AN363" s="62">
        <v>135</v>
      </c>
      <c r="AO363" s="62">
        <v>92</v>
      </c>
      <c r="AP363" s="62">
        <v>95</v>
      </c>
      <c r="AQ363" s="62">
        <v>92</v>
      </c>
      <c r="AR363" s="62">
        <v>110</v>
      </c>
      <c r="AS363" s="62">
        <v>101</v>
      </c>
      <c r="AT363" s="62">
        <v>77</v>
      </c>
      <c r="AU363" s="62">
        <v>79</v>
      </c>
      <c r="AV363" s="62">
        <v>61</v>
      </c>
      <c r="AW363" s="62">
        <v>71</v>
      </c>
      <c r="AX363" s="62">
        <v>78</v>
      </c>
      <c r="AY363" s="62">
        <v>71</v>
      </c>
      <c r="AZ363" s="62">
        <v>75</v>
      </c>
      <c r="BA363" s="62">
        <v>94</v>
      </c>
      <c r="BB363" s="62">
        <v>82</v>
      </c>
      <c r="BC363" s="62">
        <v>79</v>
      </c>
      <c r="BD363" s="62">
        <v>79</v>
      </c>
      <c r="BE363" s="62">
        <v>81</v>
      </c>
      <c r="BF363" s="62">
        <v>74</v>
      </c>
      <c r="BG363" s="62">
        <v>80</v>
      </c>
      <c r="BH363" s="62">
        <v>90</v>
      </c>
    </row>
    <row r="364" spans="2:60" hidden="1" x14ac:dyDescent="0.2">
      <c r="B364" s="59"/>
      <c r="C364" s="59" t="s">
        <v>691</v>
      </c>
      <c r="D364" s="59" t="s">
        <v>653</v>
      </c>
      <c r="E364" s="63">
        <v>84</v>
      </c>
      <c r="F364" s="63">
        <v>81</v>
      </c>
      <c r="G364" s="63">
        <v>83</v>
      </c>
      <c r="H364" s="63">
        <v>84</v>
      </c>
      <c r="I364" s="63">
        <v>75</v>
      </c>
      <c r="J364" s="63">
        <v>70</v>
      </c>
      <c r="K364" s="63">
        <v>65</v>
      </c>
      <c r="L364" s="63">
        <v>73</v>
      </c>
      <c r="M364" s="63">
        <v>74</v>
      </c>
      <c r="N364" s="63">
        <v>77</v>
      </c>
      <c r="O364" s="63">
        <v>63</v>
      </c>
      <c r="P364" s="63">
        <v>71</v>
      </c>
      <c r="Q364" s="63">
        <v>69</v>
      </c>
      <c r="R364" s="63">
        <v>68</v>
      </c>
      <c r="S364" s="63">
        <v>92</v>
      </c>
      <c r="T364" s="63">
        <v>54</v>
      </c>
      <c r="U364" s="63">
        <v>95</v>
      </c>
      <c r="V364" s="63">
        <v>69</v>
      </c>
      <c r="W364" s="63">
        <v>58</v>
      </c>
      <c r="X364" s="63">
        <v>73</v>
      </c>
      <c r="Y364" s="63">
        <v>53</v>
      </c>
      <c r="Z364" s="63">
        <v>62</v>
      </c>
      <c r="AA364" s="63">
        <v>60</v>
      </c>
      <c r="AB364" s="63">
        <v>78</v>
      </c>
      <c r="AC364" s="63">
        <v>63</v>
      </c>
      <c r="AD364" s="63">
        <v>60</v>
      </c>
      <c r="AE364" s="63">
        <v>69</v>
      </c>
      <c r="AF364" s="63">
        <v>65</v>
      </c>
      <c r="AG364" s="63">
        <v>60</v>
      </c>
      <c r="AH364" s="63">
        <v>74</v>
      </c>
      <c r="AI364" s="63">
        <v>56</v>
      </c>
      <c r="AJ364" s="63">
        <v>82</v>
      </c>
      <c r="AK364" s="63">
        <v>70</v>
      </c>
      <c r="AL364" s="63">
        <v>63</v>
      </c>
      <c r="AM364" s="63">
        <v>51</v>
      </c>
      <c r="AN364" s="63">
        <v>59</v>
      </c>
      <c r="AO364" s="63">
        <v>56</v>
      </c>
      <c r="AP364" s="63">
        <v>44</v>
      </c>
      <c r="AQ364" s="63">
        <v>51</v>
      </c>
      <c r="AR364" s="63">
        <v>53</v>
      </c>
      <c r="AS364" s="63">
        <v>51</v>
      </c>
      <c r="AT364" s="63">
        <v>49</v>
      </c>
      <c r="AU364" s="63">
        <v>37</v>
      </c>
      <c r="AV364" s="63">
        <v>43</v>
      </c>
      <c r="AW364" s="63">
        <v>40</v>
      </c>
      <c r="AX364" s="63">
        <v>46</v>
      </c>
      <c r="AY364" s="63">
        <v>40</v>
      </c>
      <c r="AZ364" s="63">
        <v>49</v>
      </c>
      <c r="BA364" s="63">
        <v>62</v>
      </c>
      <c r="BB364" s="63">
        <v>55</v>
      </c>
      <c r="BC364" s="63">
        <v>45</v>
      </c>
      <c r="BD364" s="63">
        <v>44</v>
      </c>
      <c r="BE364" s="63">
        <v>42</v>
      </c>
      <c r="BF364" s="63">
        <v>67</v>
      </c>
      <c r="BG364" s="63">
        <v>46</v>
      </c>
      <c r="BH364" s="63">
        <v>52</v>
      </c>
    </row>
    <row r="365" spans="2:60" hidden="1" x14ac:dyDescent="0.2">
      <c r="B365" s="57"/>
      <c r="C365" s="57" t="s">
        <v>691</v>
      </c>
      <c r="D365" s="57" t="s">
        <v>654</v>
      </c>
      <c r="E365" s="62">
        <v>4</v>
      </c>
      <c r="F365" s="62"/>
      <c r="G365" s="62">
        <v>3</v>
      </c>
      <c r="H365" s="62">
        <v>1</v>
      </c>
      <c r="I365" s="62">
        <v>2</v>
      </c>
      <c r="J365" s="62">
        <v>1</v>
      </c>
      <c r="K365" s="62">
        <v>2</v>
      </c>
      <c r="L365" s="62">
        <v>2</v>
      </c>
      <c r="M365" s="62">
        <v>2</v>
      </c>
      <c r="N365" s="62">
        <v>1</v>
      </c>
      <c r="O365" s="62">
        <v>2</v>
      </c>
      <c r="P365" s="62">
        <v>1</v>
      </c>
      <c r="Q365" s="62">
        <v>2</v>
      </c>
      <c r="R365" s="62">
        <v>1</v>
      </c>
      <c r="S365" s="62">
        <v>2</v>
      </c>
      <c r="T365" s="62">
        <v>3</v>
      </c>
      <c r="U365" s="62">
        <v>1</v>
      </c>
      <c r="V365" s="62">
        <v>1</v>
      </c>
      <c r="W365" s="62">
        <v>1</v>
      </c>
      <c r="X365" s="62">
        <v>1</v>
      </c>
      <c r="Y365" s="62"/>
      <c r="Z365" s="62">
        <v>1</v>
      </c>
      <c r="AA365" s="62">
        <v>1</v>
      </c>
      <c r="AB365" s="62">
        <v>1</v>
      </c>
      <c r="AC365" s="62"/>
      <c r="AD365" s="62"/>
      <c r="AE365" s="62">
        <v>1</v>
      </c>
      <c r="AF365" s="62">
        <v>1</v>
      </c>
      <c r="AG365" s="62">
        <v>3</v>
      </c>
      <c r="AH365" s="62">
        <v>2</v>
      </c>
      <c r="AI365" s="62">
        <v>1</v>
      </c>
      <c r="AJ365" s="62"/>
      <c r="AK365" s="62">
        <v>3</v>
      </c>
      <c r="AL365" s="62">
        <v>3</v>
      </c>
      <c r="AM365" s="62">
        <v>2</v>
      </c>
      <c r="AN365" s="62">
        <v>3</v>
      </c>
      <c r="AO365" s="62">
        <v>1</v>
      </c>
      <c r="AP365" s="62">
        <v>1</v>
      </c>
      <c r="AQ365" s="62"/>
      <c r="AR365" s="62"/>
      <c r="AS365" s="62"/>
      <c r="AT365" s="62">
        <v>2</v>
      </c>
      <c r="AU365" s="62"/>
      <c r="AV365" s="62">
        <v>1</v>
      </c>
      <c r="AW365" s="62">
        <v>1</v>
      </c>
      <c r="AX365" s="62"/>
      <c r="AY365" s="62">
        <v>4</v>
      </c>
      <c r="AZ365" s="62">
        <v>2</v>
      </c>
      <c r="BA365" s="62">
        <v>2</v>
      </c>
      <c r="BB365" s="62">
        <v>3</v>
      </c>
      <c r="BC365" s="62"/>
      <c r="BD365" s="62">
        <v>2</v>
      </c>
      <c r="BE365" s="62">
        <v>2</v>
      </c>
      <c r="BF365" s="62">
        <v>1</v>
      </c>
      <c r="BG365" s="62">
        <v>1</v>
      </c>
      <c r="BH365" s="62"/>
    </row>
    <row r="366" spans="2:60" hidden="1" x14ac:dyDescent="0.2">
      <c r="B366" s="59"/>
      <c r="C366" s="59" t="s">
        <v>691</v>
      </c>
      <c r="D366" s="59" t="s">
        <v>655</v>
      </c>
      <c r="E366" s="63">
        <v>5</v>
      </c>
      <c r="F366" s="63">
        <v>2</v>
      </c>
      <c r="G366" s="63">
        <v>6</v>
      </c>
      <c r="H366" s="63">
        <v>5</v>
      </c>
      <c r="I366" s="63">
        <v>9</v>
      </c>
      <c r="J366" s="63">
        <v>5</v>
      </c>
      <c r="K366" s="63">
        <v>2</v>
      </c>
      <c r="L366" s="63">
        <v>6</v>
      </c>
      <c r="M366" s="63">
        <v>5</v>
      </c>
      <c r="N366" s="63">
        <v>5</v>
      </c>
      <c r="O366" s="63">
        <v>11</v>
      </c>
      <c r="P366" s="63">
        <v>3</v>
      </c>
      <c r="Q366" s="63">
        <v>8</v>
      </c>
      <c r="R366" s="63">
        <v>5</v>
      </c>
      <c r="S366" s="63">
        <v>8</v>
      </c>
      <c r="T366" s="63">
        <v>6</v>
      </c>
      <c r="U366" s="63">
        <v>9</v>
      </c>
      <c r="V366" s="63">
        <v>6</v>
      </c>
      <c r="W366" s="63">
        <v>7</v>
      </c>
      <c r="X366" s="63">
        <v>6</v>
      </c>
      <c r="Y366" s="63">
        <v>2</v>
      </c>
      <c r="Z366" s="63">
        <v>5</v>
      </c>
      <c r="AA366" s="63">
        <v>3</v>
      </c>
      <c r="AB366" s="63">
        <v>7</v>
      </c>
      <c r="AC366" s="63">
        <v>3</v>
      </c>
      <c r="AD366" s="63">
        <v>4</v>
      </c>
      <c r="AE366" s="63">
        <v>8</v>
      </c>
      <c r="AF366" s="63">
        <v>6</v>
      </c>
      <c r="AG366" s="63">
        <v>10</v>
      </c>
      <c r="AH366" s="63">
        <v>4</v>
      </c>
      <c r="AI366" s="63">
        <v>2</v>
      </c>
      <c r="AJ366" s="63">
        <v>3</v>
      </c>
      <c r="AK366" s="63">
        <v>7</v>
      </c>
      <c r="AL366" s="63">
        <v>8</v>
      </c>
      <c r="AM366" s="63">
        <v>4</v>
      </c>
      <c r="AN366" s="63">
        <v>2</v>
      </c>
      <c r="AO366" s="63">
        <v>7</v>
      </c>
      <c r="AP366" s="63">
        <v>4</v>
      </c>
      <c r="AQ366" s="63">
        <v>2</v>
      </c>
      <c r="AR366" s="63">
        <v>2</v>
      </c>
      <c r="AS366" s="63">
        <v>6</v>
      </c>
      <c r="AT366" s="63">
        <v>4</v>
      </c>
      <c r="AU366" s="63">
        <v>4</v>
      </c>
      <c r="AV366" s="63">
        <v>2</v>
      </c>
      <c r="AW366" s="63">
        <v>3</v>
      </c>
      <c r="AX366" s="63">
        <v>4</v>
      </c>
      <c r="AY366" s="63">
        <v>1</v>
      </c>
      <c r="AZ366" s="63">
        <v>3</v>
      </c>
      <c r="BA366" s="63">
        <v>4</v>
      </c>
      <c r="BB366" s="63">
        <v>4</v>
      </c>
      <c r="BC366" s="63">
        <v>2</v>
      </c>
      <c r="BD366" s="63">
        <v>4</v>
      </c>
      <c r="BE366" s="63">
        <v>2</v>
      </c>
      <c r="BF366" s="63">
        <v>1</v>
      </c>
      <c r="BG366" s="63"/>
      <c r="BH366" s="63">
        <v>5</v>
      </c>
    </row>
    <row r="367" spans="2:60" hidden="1" x14ac:dyDescent="0.2">
      <c r="B367" s="57"/>
      <c r="C367" s="57" t="s">
        <v>691</v>
      </c>
      <c r="D367" s="57" t="s">
        <v>699</v>
      </c>
      <c r="E367" s="62">
        <v>46</v>
      </c>
      <c r="F367" s="62">
        <v>64</v>
      </c>
      <c r="G367" s="62">
        <v>56</v>
      </c>
      <c r="H367" s="62">
        <v>43</v>
      </c>
      <c r="I367" s="62">
        <v>39</v>
      </c>
      <c r="J367" s="62">
        <v>30</v>
      </c>
      <c r="K367" s="62">
        <v>39</v>
      </c>
      <c r="L367" s="62">
        <v>27</v>
      </c>
      <c r="M367" s="62">
        <v>26</v>
      </c>
      <c r="N367" s="62">
        <v>23</v>
      </c>
      <c r="O367" s="62">
        <v>43</v>
      </c>
      <c r="P367" s="62">
        <v>33</v>
      </c>
      <c r="Q367" s="62">
        <v>22</v>
      </c>
      <c r="R367" s="62">
        <v>25</v>
      </c>
      <c r="S367" s="62">
        <v>29</v>
      </c>
      <c r="T367" s="62">
        <v>18</v>
      </c>
      <c r="U367" s="62">
        <v>28</v>
      </c>
      <c r="V367" s="62">
        <v>33</v>
      </c>
      <c r="W367" s="62">
        <v>41</v>
      </c>
      <c r="X367" s="62">
        <v>41</v>
      </c>
      <c r="Y367" s="62">
        <v>30</v>
      </c>
      <c r="Z367" s="62">
        <v>28</v>
      </c>
      <c r="AA367" s="62">
        <v>35</v>
      </c>
      <c r="AB367" s="62">
        <v>18</v>
      </c>
      <c r="AC367" s="62">
        <v>31</v>
      </c>
      <c r="AD367" s="62">
        <v>20</v>
      </c>
      <c r="AE367" s="62">
        <v>19</v>
      </c>
      <c r="AF367" s="62">
        <v>28</v>
      </c>
      <c r="AG367" s="62">
        <v>38</v>
      </c>
      <c r="AH367" s="62">
        <v>23</v>
      </c>
      <c r="AI367" s="62">
        <v>17</v>
      </c>
      <c r="AJ367" s="62">
        <v>27</v>
      </c>
      <c r="AK367" s="62">
        <v>27</v>
      </c>
      <c r="AL367" s="62">
        <v>33</v>
      </c>
      <c r="AM367" s="62">
        <v>10</v>
      </c>
      <c r="AN367" s="62">
        <v>21</v>
      </c>
      <c r="AO367" s="62">
        <v>23</v>
      </c>
      <c r="AP367" s="62">
        <v>16</v>
      </c>
      <c r="AQ367" s="62">
        <v>21</v>
      </c>
      <c r="AR367" s="62">
        <v>21</v>
      </c>
      <c r="AS367" s="62">
        <v>24</v>
      </c>
      <c r="AT367" s="62">
        <v>10</v>
      </c>
      <c r="AU367" s="62">
        <v>9</v>
      </c>
      <c r="AV367" s="62">
        <v>20</v>
      </c>
      <c r="AW367" s="62">
        <v>9</v>
      </c>
      <c r="AX367" s="62">
        <v>23</v>
      </c>
      <c r="AY367" s="62">
        <v>18</v>
      </c>
      <c r="AZ367" s="62">
        <v>13</v>
      </c>
      <c r="BA367" s="62">
        <v>19</v>
      </c>
      <c r="BB367" s="62">
        <v>22</v>
      </c>
      <c r="BC367" s="62">
        <v>15</v>
      </c>
      <c r="BD367" s="62">
        <v>12</v>
      </c>
      <c r="BE367" s="62">
        <v>19</v>
      </c>
      <c r="BF367" s="62">
        <v>27</v>
      </c>
      <c r="BG367" s="62">
        <v>21</v>
      </c>
      <c r="BH367" s="62">
        <v>24</v>
      </c>
    </row>
    <row r="368" spans="2:60" hidden="1" x14ac:dyDescent="0.2">
      <c r="B368" s="59"/>
      <c r="C368" s="59" t="s">
        <v>691</v>
      </c>
      <c r="D368" s="59" t="s">
        <v>656</v>
      </c>
      <c r="E368" s="63">
        <v>418</v>
      </c>
      <c r="F368" s="63">
        <v>400</v>
      </c>
      <c r="G368" s="63">
        <v>405</v>
      </c>
      <c r="H368" s="63">
        <v>411</v>
      </c>
      <c r="I368" s="63">
        <v>440</v>
      </c>
      <c r="J368" s="63">
        <v>354</v>
      </c>
      <c r="K368" s="63">
        <v>423</v>
      </c>
      <c r="L368" s="63">
        <v>370</v>
      </c>
      <c r="M368" s="63">
        <v>418</v>
      </c>
      <c r="N368" s="63">
        <v>356</v>
      </c>
      <c r="O368" s="63">
        <v>377</v>
      </c>
      <c r="P368" s="63">
        <v>341</v>
      </c>
      <c r="Q368" s="63">
        <v>381</v>
      </c>
      <c r="R368" s="63">
        <v>310</v>
      </c>
      <c r="S368" s="63">
        <v>383</v>
      </c>
      <c r="T368" s="63">
        <v>360</v>
      </c>
      <c r="U368" s="63">
        <v>368</v>
      </c>
      <c r="V368" s="63">
        <v>357</v>
      </c>
      <c r="W368" s="63">
        <v>360</v>
      </c>
      <c r="X368" s="63">
        <v>380</v>
      </c>
      <c r="Y368" s="63">
        <v>342</v>
      </c>
      <c r="Z368" s="63">
        <v>330</v>
      </c>
      <c r="AA368" s="63">
        <v>355</v>
      </c>
      <c r="AB368" s="63">
        <v>327</v>
      </c>
      <c r="AC368" s="63">
        <v>334</v>
      </c>
      <c r="AD368" s="63">
        <v>275</v>
      </c>
      <c r="AE368" s="63">
        <v>329</v>
      </c>
      <c r="AF368" s="63">
        <v>327</v>
      </c>
      <c r="AG368" s="63">
        <v>305</v>
      </c>
      <c r="AH368" s="63">
        <v>326</v>
      </c>
      <c r="AI368" s="63">
        <v>276</v>
      </c>
      <c r="AJ368" s="63">
        <v>364</v>
      </c>
      <c r="AK368" s="63">
        <v>289</v>
      </c>
      <c r="AL368" s="63">
        <v>356</v>
      </c>
      <c r="AM368" s="63">
        <v>288</v>
      </c>
      <c r="AN368" s="63">
        <v>296</v>
      </c>
      <c r="AO368" s="63">
        <v>270</v>
      </c>
      <c r="AP368" s="63">
        <v>246</v>
      </c>
      <c r="AQ368" s="63">
        <v>257</v>
      </c>
      <c r="AR368" s="63">
        <v>266</v>
      </c>
      <c r="AS368" s="63">
        <v>267</v>
      </c>
      <c r="AT368" s="63">
        <v>211</v>
      </c>
      <c r="AU368" s="63">
        <v>198</v>
      </c>
      <c r="AV368" s="63">
        <v>207</v>
      </c>
      <c r="AW368" s="63">
        <v>188</v>
      </c>
      <c r="AX368" s="63">
        <v>241</v>
      </c>
      <c r="AY368" s="63">
        <v>210</v>
      </c>
      <c r="AZ368" s="63">
        <v>229</v>
      </c>
      <c r="BA368" s="63">
        <v>252</v>
      </c>
      <c r="BB368" s="63">
        <v>257</v>
      </c>
      <c r="BC368" s="63">
        <v>223</v>
      </c>
      <c r="BD368" s="63">
        <v>216</v>
      </c>
      <c r="BE368" s="63">
        <v>216</v>
      </c>
      <c r="BF368" s="63">
        <v>257</v>
      </c>
      <c r="BG368" s="63">
        <v>242</v>
      </c>
      <c r="BH368" s="63">
        <v>264</v>
      </c>
    </row>
    <row r="369" spans="2:60" hidden="1" x14ac:dyDescent="0.2">
      <c r="B369" s="57"/>
      <c r="C369" s="57" t="s">
        <v>692</v>
      </c>
      <c r="D369" s="57" t="s">
        <v>648</v>
      </c>
      <c r="E369" s="62">
        <v>220</v>
      </c>
      <c r="F369" s="62">
        <v>195</v>
      </c>
      <c r="G369" s="62">
        <v>182</v>
      </c>
      <c r="H369" s="62">
        <v>265</v>
      </c>
      <c r="I369" s="62">
        <v>291</v>
      </c>
      <c r="J369" s="62">
        <v>179</v>
      </c>
      <c r="K369" s="62">
        <v>255</v>
      </c>
      <c r="L369" s="62">
        <v>197</v>
      </c>
      <c r="M369" s="62">
        <v>233</v>
      </c>
      <c r="N369" s="62">
        <v>218</v>
      </c>
      <c r="O369" s="62">
        <v>339</v>
      </c>
      <c r="P369" s="62">
        <v>216</v>
      </c>
      <c r="Q369" s="62">
        <v>270</v>
      </c>
      <c r="R369" s="62">
        <v>240</v>
      </c>
      <c r="S369" s="62">
        <v>246</v>
      </c>
      <c r="T369" s="62">
        <v>249</v>
      </c>
      <c r="U369" s="62">
        <v>260</v>
      </c>
      <c r="V369" s="62">
        <v>219</v>
      </c>
      <c r="W369" s="62">
        <v>271</v>
      </c>
      <c r="X369" s="62">
        <v>245</v>
      </c>
      <c r="Y369" s="62">
        <v>275</v>
      </c>
      <c r="Z369" s="62">
        <v>205</v>
      </c>
      <c r="AA369" s="62">
        <v>255</v>
      </c>
      <c r="AB369" s="62">
        <v>228</v>
      </c>
      <c r="AC369" s="62">
        <v>286</v>
      </c>
      <c r="AD369" s="62">
        <v>278</v>
      </c>
      <c r="AE369" s="62">
        <v>254</v>
      </c>
      <c r="AF369" s="62">
        <v>228</v>
      </c>
      <c r="AG369" s="62">
        <v>280</v>
      </c>
      <c r="AH369" s="62">
        <v>213</v>
      </c>
      <c r="AI369" s="62">
        <v>235</v>
      </c>
      <c r="AJ369" s="62">
        <v>267</v>
      </c>
      <c r="AK369" s="62">
        <v>250</v>
      </c>
      <c r="AL369" s="62">
        <v>327</v>
      </c>
      <c r="AM369" s="62">
        <v>265</v>
      </c>
      <c r="AN369" s="62">
        <v>215</v>
      </c>
      <c r="AO369" s="62">
        <v>230</v>
      </c>
      <c r="AP369" s="62">
        <v>243</v>
      </c>
      <c r="AQ369" s="62">
        <v>189</v>
      </c>
      <c r="AR369" s="62">
        <v>182</v>
      </c>
      <c r="AS369" s="62">
        <v>186</v>
      </c>
      <c r="AT369" s="62">
        <v>213</v>
      </c>
      <c r="AU369" s="62">
        <v>181</v>
      </c>
      <c r="AV369" s="62">
        <v>149</v>
      </c>
      <c r="AW369" s="62">
        <v>148</v>
      </c>
      <c r="AX369" s="62">
        <v>245</v>
      </c>
      <c r="AY369" s="62">
        <v>259</v>
      </c>
      <c r="AZ369" s="62">
        <v>153</v>
      </c>
      <c r="BA369" s="62">
        <v>271</v>
      </c>
      <c r="BB369" s="62">
        <v>238</v>
      </c>
      <c r="BC369" s="62">
        <v>268</v>
      </c>
      <c r="BD369" s="62">
        <v>227</v>
      </c>
      <c r="BE369" s="62">
        <v>218</v>
      </c>
      <c r="BF369" s="62">
        <v>251</v>
      </c>
      <c r="BG369" s="62">
        <v>202</v>
      </c>
      <c r="BH369" s="62">
        <v>215</v>
      </c>
    </row>
    <row r="370" spans="2:60" hidden="1" x14ac:dyDescent="0.2">
      <c r="B370" s="59"/>
      <c r="C370" s="59" t="s">
        <v>692</v>
      </c>
      <c r="D370" s="59" t="s">
        <v>649</v>
      </c>
      <c r="E370" s="63">
        <v>945</v>
      </c>
      <c r="F370" s="63">
        <v>738</v>
      </c>
      <c r="G370" s="63">
        <v>804</v>
      </c>
      <c r="H370" s="63">
        <v>888</v>
      </c>
      <c r="I370" s="63">
        <v>893</v>
      </c>
      <c r="J370" s="63">
        <v>823</v>
      </c>
      <c r="K370" s="63">
        <v>912</v>
      </c>
      <c r="L370" s="63">
        <v>796</v>
      </c>
      <c r="M370" s="63">
        <v>860</v>
      </c>
      <c r="N370" s="63">
        <v>729</v>
      </c>
      <c r="O370" s="63">
        <v>813</v>
      </c>
      <c r="P370" s="63">
        <v>804</v>
      </c>
      <c r="Q370" s="63">
        <v>899</v>
      </c>
      <c r="R370" s="63">
        <v>739</v>
      </c>
      <c r="S370" s="63">
        <v>807</v>
      </c>
      <c r="T370" s="63">
        <v>744</v>
      </c>
      <c r="U370" s="63">
        <v>805</v>
      </c>
      <c r="V370" s="63">
        <v>794</v>
      </c>
      <c r="W370" s="63">
        <v>791</v>
      </c>
      <c r="X370" s="63">
        <v>808</v>
      </c>
      <c r="Y370" s="63">
        <v>962</v>
      </c>
      <c r="Z370" s="63">
        <v>727</v>
      </c>
      <c r="AA370" s="63">
        <v>771</v>
      </c>
      <c r="AB370" s="63">
        <v>739</v>
      </c>
      <c r="AC370" s="63">
        <v>854</v>
      </c>
      <c r="AD370" s="63">
        <v>730</v>
      </c>
      <c r="AE370" s="63">
        <v>802</v>
      </c>
      <c r="AF370" s="63">
        <v>773</v>
      </c>
      <c r="AG370" s="63">
        <v>806</v>
      </c>
      <c r="AH370" s="63">
        <v>701</v>
      </c>
      <c r="AI370" s="63">
        <v>700</v>
      </c>
      <c r="AJ370" s="63">
        <v>846</v>
      </c>
      <c r="AK370" s="63">
        <v>766</v>
      </c>
      <c r="AL370" s="63">
        <v>938</v>
      </c>
      <c r="AM370" s="63">
        <v>669</v>
      </c>
      <c r="AN370" s="63">
        <v>599</v>
      </c>
      <c r="AO370" s="63">
        <v>671</v>
      </c>
      <c r="AP370" s="63">
        <v>610</v>
      </c>
      <c r="AQ370" s="63">
        <v>575</v>
      </c>
      <c r="AR370" s="63">
        <v>599</v>
      </c>
      <c r="AS370" s="63">
        <v>558</v>
      </c>
      <c r="AT370" s="63">
        <v>634</v>
      </c>
      <c r="AU370" s="63">
        <v>535</v>
      </c>
      <c r="AV370" s="63">
        <v>487</v>
      </c>
      <c r="AW370" s="63">
        <v>541</v>
      </c>
      <c r="AX370" s="63">
        <v>599</v>
      </c>
      <c r="AY370" s="63">
        <v>703</v>
      </c>
      <c r="AZ370" s="63">
        <v>566</v>
      </c>
      <c r="BA370" s="63">
        <v>639</v>
      </c>
      <c r="BB370" s="63">
        <v>624</v>
      </c>
      <c r="BC370" s="63">
        <v>647</v>
      </c>
      <c r="BD370" s="63">
        <v>604</v>
      </c>
      <c r="BE370" s="63">
        <v>632</v>
      </c>
      <c r="BF370" s="63">
        <v>620</v>
      </c>
      <c r="BG370" s="63">
        <v>625</v>
      </c>
      <c r="BH370" s="63">
        <v>553</v>
      </c>
    </row>
    <row r="371" spans="2:60" hidden="1" x14ac:dyDescent="0.2">
      <c r="B371" s="57"/>
      <c r="C371" s="57" t="s">
        <v>692</v>
      </c>
      <c r="D371" s="57" t="s">
        <v>650</v>
      </c>
      <c r="E371" s="62">
        <v>374</v>
      </c>
      <c r="F371" s="62">
        <v>310</v>
      </c>
      <c r="G371" s="62">
        <v>319</v>
      </c>
      <c r="H371" s="62">
        <v>316</v>
      </c>
      <c r="I371" s="62">
        <v>343</v>
      </c>
      <c r="J371" s="62">
        <v>296</v>
      </c>
      <c r="K371" s="62">
        <v>318</v>
      </c>
      <c r="L371" s="62">
        <v>329</v>
      </c>
      <c r="M371" s="62">
        <v>329</v>
      </c>
      <c r="N371" s="62">
        <v>308</v>
      </c>
      <c r="O371" s="62">
        <v>305</v>
      </c>
      <c r="P371" s="62">
        <v>293</v>
      </c>
      <c r="Q371" s="62">
        <v>291</v>
      </c>
      <c r="R371" s="62">
        <v>294</v>
      </c>
      <c r="S371" s="62">
        <v>275</v>
      </c>
      <c r="T371" s="62">
        <v>277</v>
      </c>
      <c r="U371" s="62">
        <v>292</v>
      </c>
      <c r="V371" s="62">
        <v>277</v>
      </c>
      <c r="W371" s="62">
        <v>306</v>
      </c>
      <c r="X371" s="62">
        <v>327</v>
      </c>
      <c r="Y371" s="62">
        <v>326</v>
      </c>
      <c r="Z371" s="62">
        <v>278</v>
      </c>
      <c r="AA371" s="62">
        <v>295</v>
      </c>
      <c r="AB371" s="62">
        <v>252</v>
      </c>
      <c r="AC371" s="62">
        <v>283</v>
      </c>
      <c r="AD371" s="62">
        <v>237</v>
      </c>
      <c r="AE371" s="62">
        <v>310</v>
      </c>
      <c r="AF371" s="62">
        <v>317</v>
      </c>
      <c r="AG371" s="62">
        <v>306</v>
      </c>
      <c r="AH371" s="62">
        <v>236</v>
      </c>
      <c r="AI371" s="62">
        <v>269</v>
      </c>
      <c r="AJ371" s="62">
        <v>288</v>
      </c>
      <c r="AK371" s="62">
        <v>302</v>
      </c>
      <c r="AL371" s="62">
        <v>332</v>
      </c>
      <c r="AM371" s="62">
        <v>296</v>
      </c>
      <c r="AN371" s="62">
        <v>223</v>
      </c>
      <c r="AO371" s="62">
        <v>236</v>
      </c>
      <c r="AP371" s="62">
        <v>243</v>
      </c>
      <c r="AQ371" s="62">
        <v>262</v>
      </c>
      <c r="AR371" s="62">
        <v>235</v>
      </c>
      <c r="AS371" s="62">
        <v>218</v>
      </c>
      <c r="AT371" s="62">
        <v>235</v>
      </c>
      <c r="AU371" s="62">
        <v>202</v>
      </c>
      <c r="AV371" s="62">
        <v>156</v>
      </c>
      <c r="AW371" s="62">
        <v>197</v>
      </c>
      <c r="AX371" s="62">
        <v>262</v>
      </c>
      <c r="AY371" s="62">
        <v>278</v>
      </c>
      <c r="AZ371" s="62">
        <v>235</v>
      </c>
      <c r="BA371" s="62">
        <v>246</v>
      </c>
      <c r="BB371" s="62">
        <v>227</v>
      </c>
      <c r="BC371" s="62">
        <v>291</v>
      </c>
      <c r="BD371" s="62">
        <v>248</v>
      </c>
      <c r="BE371" s="62">
        <v>286</v>
      </c>
      <c r="BF371" s="62">
        <v>234</v>
      </c>
      <c r="BG371" s="62">
        <v>268</v>
      </c>
      <c r="BH371" s="62">
        <v>224</v>
      </c>
    </row>
    <row r="372" spans="2:60" hidden="1" x14ac:dyDescent="0.2">
      <c r="B372" s="59"/>
      <c r="C372" s="59" t="s">
        <v>692</v>
      </c>
      <c r="D372" s="59" t="s">
        <v>651</v>
      </c>
      <c r="E372" s="63">
        <v>129</v>
      </c>
      <c r="F372" s="63">
        <v>112</v>
      </c>
      <c r="G372" s="63">
        <v>126</v>
      </c>
      <c r="H372" s="63">
        <v>103</v>
      </c>
      <c r="I372" s="63">
        <v>122</v>
      </c>
      <c r="J372" s="63">
        <v>120</v>
      </c>
      <c r="K372" s="63">
        <v>118</v>
      </c>
      <c r="L372" s="63">
        <v>114</v>
      </c>
      <c r="M372" s="63">
        <v>108</v>
      </c>
      <c r="N372" s="63">
        <v>110</v>
      </c>
      <c r="O372" s="63">
        <v>94</v>
      </c>
      <c r="P372" s="63">
        <v>107</v>
      </c>
      <c r="Q372" s="63">
        <v>107</v>
      </c>
      <c r="R372" s="63">
        <v>96</v>
      </c>
      <c r="S372" s="63">
        <v>102</v>
      </c>
      <c r="T372" s="63">
        <v>93</v>
      </c>
      <c r="U372" s="63">
        <v>106</v>
      </c>
      <c r="V372" s="63">
        <v>92</v>
      </c>
      <c r="W372" s="63">
        <v>111</v>
      </c>
      <c r="X372" s="63">
        <v>97</v>
      </c>
      <c r="Y372" s="63">
        <v>127</v>
      </c>
      <c r="Z372" s="63">
        <v>109</v>
      </c>
      <c r="AA372" s="63">
        <v>86</v>
      </c>
      <c r="AB372" s="63">
        <v>119</v>
      </c>
      <c r="AC372" s="63">
        <v>88</v>
      </c>
      <c r="AD372" s="63">
        <v>98</v>
      </c>
      <c r="AE372" s="63">
        <v>91</v>
      </c>
      <c r="AF372" s="63">
        <v>110</v>
      </c>
      <c r="AG372" s="63">
        <v>123</v>
      </c>
      <c r="AH372" s="63">
        <v>97</v>
      </c>
      <c r="AI372" s="63">
        <v>115</v>
      </c>
      <c r="AJ372" s="63">
        <v>108</v>
      </c>
      <c r="AK372" s="63">
        <v>103</v>
      </c>
      <c r="AL372" s="63">
        <v>119</v>
      </c>
      <c r="AM372" s="63">
        <v>86</v>
      </c>
      <c r="AN372" s="63">
        <v>79</v>
      </c>
      <c r="AO372" s="63">
        <v>82</v>
      </c>
      <c r="AP372" s="63">
        <v>89</v>
      </c>
      <c r="AQ372" s="63">
        <v>78</v>
      </c>
      <c r="AR372" s="63">
        <v>86</v>
      </c>
      <c r="AS372" s="63">
        <v>83</v>
      </c>
      <c r="AT372" s="63">
        <v>94</v>
      </c>
      <c r="AU372" s="63">
        <v>85</v>
      </c>
      <c r="AV372" s="63">
        <v>68</v>
      </c>
      <c r="AW372" s="63">
        <v>65</v>
      </c>
      <c r="AX372" s="63">
        <v>92</v>
      </c>
      <c r="AY372" s="63">
        <v>111</v>
      </c>
      <c r="AZ372" s="63">
        <v>78</v>
      </c>
      <c r="BA372" s="63">
        <v>98</v>
      </c>
      <c r="BB372" s="63">
        <v>93</v>
      </c>
      <c r="BC372" s="63">
        <v>104</v>
      </c>
      <c r="BD372" s="63">
        <v>109</v>
      </c>
      <c r="BE372" s="63">
        <v>87</v>
      </c>
      <c r="BF372" s="63">
        <v>137</v>
      </c>
      <c r="BG372" s="63">
        <v>106</v>
      </c>
      <c r="BH372" s="63">
        <v>89</v>
      </c>
    </row>
    <row r="373" spans="2:60" hidden="1" x14ac:dyDescent="0.2">
      <c r="B373" s="57"/>
      <c r="C373" s="57" t="s">
        <v>692</v>
      </c>
      <c r="D373" s="57" t="s">
        <v>652</v>
      </c>
      <c r="E373" s="62">
        <v>919</v>
      </c>
      <c r="F373" s="62">
        <v>819</v>
      </c>
      <c r="G373" s="62">
        <v>850</v>
      </c>
      <c r="H373" s="62">
        <v>765</v>
      </c>
      <c r="I373" s="62">
        <v>846</v>
      </c>
      <c r="J373" s="62">
        <v>781</v>
      </c>
      <c r="K373" s="62">
        <v>834</v>
      </c>
      <c r="L373" s="62">
        <v>726</v>
      </c>
      <c r="M373" s="62">
        <v>761</v>
      </c>
      <c r="N373" s="62">
        <v>747</v>
      </c>
      <c r="O373" s="62">
        <v>753</v>
      </c>
      <c r="P373" s="62">
        <v>718</v>
      </c>
      <c r="Q373" s="62">
        <v>767</v>
      </c>
      <c r="R373" s="62">
        <v>732</v>
      </c>
      <c r="S373" s="62">
        <v>776</v>
      </c>
      <c r="T373" s="62">
        <v>736</v>
      </c>
      <c r="U373" s="62">
        <v>710</v>
      </c>
      <c r="V373" s="62">
        <v>741</v>
      </c>
      <c r="W373" s="62">
        <v>781</v>
      </c>
      <c r="X373" s="62">
        <v>742</v>
      </c>
      <c r="Y373" s="62">
        <v>841</v>
      </c>
      <c r="Z373" s="62">
        <v>749</v>
      </c>
      <c r="AA373" s="62">
        <v>771</v>
      </c>
      <c r="AB373" s="62">
        <v>766</v>
      </c>
      <c r="AC373" s="62">
        <v>736</v>
      </c>
      <c r="AD373" s="62">
        <v>727</v>
      </c>
      <c r="AE373" s="62">
        <v>677</v>
      </c>
      <c r="AF373" s="62">
        <v>827</v>
      </c>
      <c r="AG373" s="62">
        <v>707</v>
      </c>
      <c r="AH373" s="62">
        <v>722</v>
      </c>
      <c r="AI373" s="62">
        <v>677</v>
      </c>
      <c r="AJ373" s="62">
        <v>879</v>
      </c>
      <c r="AK373" s="62">
        <v>717</v>
      </c>
      <c r="AL373" s="62">
        <v>743</v>
      </c>
      <c r="AM373" s="62">
        <v>624</v>
      </c>
      <c r="AN373" s="62">
        <v>620</v>
      </c>
      <c r="AO373" s="62">
        <v>577</v>
      </c>
      <c r="AP373" s="62">
        <v>562</v>
      </c>
      <c r="AQ373" s="62">
        <v>613</v>
      </c>
      <c r="AR373" s="62">
        <v>675</v>
      </c>
      <c r="AS373" s="62">
        <v>580</v>
      </c>
      <c r="AT373" s="62">
        <v>600</v>
      </c>
      <c r="AU373" s="62">
        <v>516</v>
      </c>
      <c r="AV373" s="62">
        <v>535</v>
      </c>
      <c r="AW373" s="62">
        <v>535</v>
      </c>
      <c r="AX373" s="62">
        <v>612</v>
      </c>
      <c r="AY373" s="62">
        <v>675</v>
      </c>
      <c r="AZ373" s="62">
        <v>607</v>
      </c>
      <c r="BA373" s="62">
        <v>665</v>
      </c>
      <c r="BB373" s="62">
        <v>629</v>
      </c>
      <c r="BC373" s="62">
        <v>565</v>
      </c>
      <c r="BD373" s="62">
        <v>583</v>
      </c>
      <c r="BE373" s="62">
        <v>639</v>
      </c>
      <c r="BF373" s="62">
        <v>559</v>
      </c>
      <c r="BG373" s="62">
        <v>623</v>
      </c>
      <c r="BH373" s="62">
        <v>623</v>
      </c>
    </row>
    <row r="374" spans="2:60" hidden="1" x14ac:dyDescent="0.2">
      <c r="B374" s="59"/>
      <c r="C374" s="59" t="s">
        <v>692</v>
      </c>
      <c r="D374" s="59" t="s">
        <v>653</v>
      </c>
      <c r="E374" s="63">
        <v>822</v>
      </c>
      <c r="F374" s="63">
        <v>713</v>
      </c>
      <c r="G374" s="63">
        <v>768</v>
      </c>
      <c r="H374" s="63">
        <v>786</v>
      </c>
      <c r="I374" s="63">
        <v>746</v>
      </c>
      <c r="J374" s="63">
        <v>660</v>
      </c>
      <c r="K374" s="63">
        <v>722</v>
      </c>
      <c r="L374" s="63">
        <v>749</v>
      </c>
      <c r="M374" s="63">
        <v>760</v>
      </c>
      <c r="N374" s="63">
        <v>678</v>
      </c>
      <c r="O374" s="63">
        <v>706</v>
      </c>
      <c r="P374" s="63">
        <v>721</v>
      </c>
      <c r="Q374" s="63">
        <v>718</v>
      </c>
      <c r="R374" s="63">
        <v>754</v>
      </c>
      <c r="S374" s="63">
        <v>779</v>
      </c>
      <c r="T374" s="63">
        <v>870</v>
      </c>
      <c r="U374" s="63">
        <v>866</v>
      </c>
      <c r="V374" s="63">
        <v>791</v>
      </c>
      <c r="W374" s="63">
        <v>830</v>
      </c>
      <c r="X374" s="63">
        <v>913</v>
      </c>
      <c r="Y374" s="63">
        <v>881</v>
      </c>
      <c r="Z374" s="63">
        <v>829</v>
      </c>
      <c r="AA374" s="63">
        <v>774</v>
      </c>
      <c r="AB374" s="63">
        <v>909</v>
      </c>
      <c r="AC374" s="63">
        <v>862</v>
      </c>
      <c r="AD374" s="63">
        <v>857</v>
      </c>
      <c r="AE374" s="63">
        <v>812</v>
      </c>
      <c r="AF374" s="63">
        <v>944</v>
      </c>
      <c r="AG374" s="63">
        <v>863</v>
      </c>
      <c r="AH374" s="63">
        <v>733</v>
      </c>
      <c r="AI374" s="63">
        <v>727</v>
      </c>
      <c r="AJ374" s="63">
        <v>1006</v>
      </c>
      <c r="AK374" s="63">
        <v>838</v>
      </c>
      <c r="AL374" s="63">
        <v>875</v>
      </c>
      <c r="AM374" s="63">
        <v>666</v>
      </c>
      <c r="AN374" s="63">
        <v>678</v>
      </c>
      <c r="AO374" s="63">
        <v>669</v>
      </c>
      <c r="AP374" s="63">
        <v>638</v>
      </c>
      <c r="AQ374" s="63">
        <v>685</v>
      </c>
      <c r="AR374" s="63">
        <v>757</v>
      </c>
      <c r="AS374" s="63">
        <v>687</v>
      </c>
      <c r="AT374" s="63">
        <v>716</v>
      </c>
      <c r="AU374" s="63">
        <v>650</v>
      </c>
      <c r="AV374" s="63">
        <v>658</v>
      </c>
      <c r="AW374" s="63">
        <v>645</v>
      </c>
      <c r="AX374" s="63">
        <v>777</v>
      </c>
      <c r="AY374" s="63">
        <v>897</v>
      </c>
      <c r="AZ374" s="63">
        <v>873</v>
      </c>
      <c r="BA374" s="63">
        <v>744</v>
      </c>
      <c r="BB374" s="63">
        <v>783</v>
      </c>
      <c r="BC374" s="63">
        <v>847</v>
      </c>
      <c r="BD374" s="63">
        <v>845</v>
      </c>
      <c r="BE374" s="63">
        <v>768</v>
      </c>
      <c r="BF374" s="63">
        <v>758</v>
      </c>
      <c r="BG374" s="63">
        <v>786</v>
      </c>
      <c r="BH374" s="63">
        <v>803</v>
      </c>
    </row>
    <row r="375" spans="2:60" hidden="1" x14ac:dyDescent="0.2">
      <c r="B375" s="57"/>
      <c r="C375" s="57" t="s">
        <v>692</v>
      </c>
      <c r="D375" s="57" t="s">
        <v>654</v>
      </c>
      <c r="E375" s="62">
        <v>91</v>
      </c>
      <c r="F375" s="62">
        <v>71</v>
      </c>
      <c r="G375" s="62">
        <v>87</v>
      </c>
      <c r="H375" s="62">
        <v>59</v>
      </c>
      <c r="I375" s="62">
        <v>86</v>
      </c>
      <c r="J375" s="62">
        <v>74</v>
      </c>
      <c r="K375" s="62">
        <v>75</v>
      </c>
      <c r="L375" s="62">
        <v>52</v>
      </c>
      <c r="M375" s="62">
        <v>78</v>
      </c>
      <c r="N375" s="62">
        <v>79</v>
      </c>
      <c r="O375" s="62">
        <v>84</v>
      </c>
      <c r="P375" s="62">
        <v>89</v>
      </c>
      <c r="Q375" s="62">
        <v>89</v>
      </c>
      <c r="R375" s="62">
        <v>67</v>
      </c>
      <c r="S375" s="62">
        <v>91</v>
      </c>
      <c r="T375" s="62">
        <v>86</v>
      </c>
      <c r="U375" s="62">
        <v>92</v>
      </c>
      <c r="V375" s="62">
        <v>87</v>
      </c>
      <c r="W375" s="62">
        <v>84</v>
      </c>
      <c r="X375" s="62">
        <v>73</v>
      </c>
      <c r="Y375" s="62">
        <v>90</v>
      </c>
      <c r="Z375" s="62">
        <v>64</v>
      </c>
      <c r="AA375" s="62">
        <v>94</v>
      </c>
      <c r="AB375" s="62">
        <v>70</v>
      </c>
      <c r="AC375" s="62">
        <v>81</v>
      </c>
      <c r="AD375" s="62">
        <v>76</v>
      </c>
      <c r="AE375" s="62">
        <v>88</v>
      </c>
      <c r="AF375" s="62">
        <v>106</v>
      </c>
      <c r="AG375" s="62">
        <v>93</v>
      </c>
      <c r="AH375" s="62">
        <v>68</v>
      </c>
      <c r="AI375" s="62">
        <v>98</v>
      </c>
      <c r="AJ375" s="62">
        <v>103</v>
      </c>
      <c r="AK375" s="62">
        <v>90</v>
      </c>
      <c r="AL375" s="62">
        <v>93</v>
      </c>
      <c r="AM375" s="62">
        <v>85</v>
      </c>
      <c r="AN375" s="62">
        <v>78</v>
      </c>
      <c r="AO375" s="62">
        <v>73</v>
      </c>
      <c r="AP375" s="62">
        <v>66</v>
      </c>
      <c r="AQ375" s="62">
        <v>68</v>
      </c>
      <c r="AR375" s="62">
        <v>81</v>
      </c>
      <c r="AS375" s="62">
        <v>87</v>
      </c>
      <c r="AT375" s="62">
        <v>85</v>
      </c>
      <c r="AU375" s="62">
        <v>70</v>
      </c>
      <c r="AV375" s="62">
        <v>62</v>
      </c>
      <c r="AW375" s="62">
        <v>73</v>
      </c>
      <c r="AX375" s="62">
        <v>97</v>
      </c>
      <c r="AY375" s="62">
        <v>85</v>
      </c>
      <c r="AZ375" s="62">
        <v>80</v>
      </c>
      <c r="BA375" s="62">
        <v>90</v>
      </c>
      <c r="BB375" s="62">
        <v>88</v>
      </c>
      <c r="BC375" s="62">
        <v>94</v>
      </c>
      <c r="BD375" s="62">
        <v>114</v>
      </c>
      <c r="BE375" s="62">
        <v>93</v>
      </c>
      <c r="BF375" s="62">
        <v>93</v>
      </c>
      <c r="BG375" s="62">
        <v>90</v>
      </c>
      <c r="BH375" s="62">
        <v>109</v>
      </c>
    </row>
    <row r="376" spans="2:60" hidden="1" x14ac:dyDescent="0.2">
      <c r="B376" s="59"/>
      <c r="C376" s="59" t="s">
        <v>692</v>
      </c>
      <c r="D376" s="59" t="s">
        <v>655</v>
      </c>
      <c r="E376" s="63">
        <v>172</v>
      </c>
      <c r="F376" s="63">
        <v>170</v>
      </c>
      <c r="G376" s="63">
        <v>179</v>
      </c>
      <c r="H376" s="63">
        <v>168</v>
      </c>
      <c r="I376" s="63">
        <v>178</v>
      </c>
      <c r="J376" s="63">
        <v>164</v>
      </c>
      <c r="K376" s="63">
        <v>181</v>
      </c>
      <c r="L376" s="63">
        <v>191</v>
      </c>
      <c r="M376" s="63">
        <v>196</v>
      </c>
      <c r="N376" s="63">
        <v>152</v>
      </c>
      <c r="O376" s="63">
        <v>214</v>
      </c>
      <c r="P376" s="63">
        <v>262</v>
      </c>
      <c r="Q376" s="63">
        <v>243</v>
      </c>
      <c r="R376" s="63">
        <v>197</v>
      </c>
      <c r="S376" s="63">
        <v>237</v>
      </c>
      <c r="T376" s="63">
        <v>207</v>
      </c>
      <c r="U376" s="63">
        <v>200</v>
      </c>
      <c r="V376" s="63">
        <v>209</v>
      </c>
      <c r="W376" s="63">
        <v>230</v>
      </c>
      <c r="X376" s="63">
        <v>239</v>
      </c>
      <c r="Y376" s="63">
        <v>231</v>
      </c>
      <c r="Z376" s="63">
        <v>225</v>
      </c>
      <c r="AA376" s="63">
        <v>247</v>
      </c>
      <c r="AB376" s="63">
        <v>243</v>
      </c>
      <c r="AC376" s="63">
        <v>246</v>
      </c>
      <c r="AD376" s="63">
        <v>226</v>
      </c>
      <c r="AE376" s="63">
        <v>263</v>
      </c>
      <c r="AF376" s="63">
        <v>274</v>
      </c>
      <c r="AG376" s="63">
        <v>239</v>
      </c>
      <c r="AH376" s="63">
        <v>233</v>
      </c>
      <c r="AI376" s="63">
        <v>216</v>
      </c>
      <c r="AJ376" s="63">
        <v>317</v>
      </c>
      <c r="AK376" s="63">
        <v>269</v>
      </c>
      <c r="AL376" s="63">
        <v>269</v>
      </c>
      <c r="AM376" s="63">
        <v>231</v>
      </c>
      <c r="AN376" s="63">
        <v>229</v>
      </c>
      <c r="AO376" s="63">
        <v>223</v>
      </c>
      <c r="AP376" s="63">
        <v>200</v>
      </c>
      <c r="AQ376" s="63">
        <v>173</v>
      </c>
      <c r="AR376" s="63">
        <v>201</v>
      </c>
      <c r="AS376" s="63">
        <v>199</v>
      </c>
      <c r="AT376" s="63">
        <v>213</v>
      </c>
      <c r="AU376" s="63">
        <v>160</v>
      </c>
      <c r="AV376" s="63">
        <v>174</v>
      </c>
      <c r="AW376" s="63">
        <v>162</v>
      </c>
      <c r="AX376" s="63">
        <v>234</v>
      </c>
      <c r="AY376" s="63">
        <v>236</v>
      </c>
      <c r="AZ376" s="63">
        <v>236</v>
      </c>
      <c r="BA376" s="63">
        <v>239</v>
      </c>
      <c r="BB376" s="63">
        <v>213</v>
      </c>
      <c r="BC376" s="63">
        <v>233</v>
      </c>
      <c r="BD376" s="63">
        <v>248</v>
      </c>
      <c r="BE376" s="63">
        <v>256</v>
      </c>
      <c r="BF376" s="63">
        <v>227</v>
      </c>
      <c r="BG376" s="63">
        <v>249</v>
      </c>
      <c r="BH376" s="63">
        <v>226</v>
      </c>
    </row>
    <row r="377" spans="2:60" hidden="1" x14ac:dyDescent="0.2">
      <c r="B377" s="57"/>
      <c r="C377" s="57" t="s">
        <v>692</v>
      </c>
      <c r="D377" s="57" t="s">
        <v>699</v>
      </c>
      <c r="E377" s="62">
        <v>1190</v>
      </c>
      <c r="F377" s="62">
        <v>501</v>
      </c>
      <c r="G377" s="62">
        <v>853</v>
      </c>
      <c r="H377" s="62">
        <v>490</v>
      </c>
      <c r="I377" s="62">
        <v>1113</v>
      </c>
      <c r="J377" s="62">
        <v>451</v>
      </c>
      <c r="K377" s="62">
        <v>781</v>
      </c>
      <c r="L377" s="62">
        <v>440</v>
      </c>
      <c r="M377" s="62">
        <v>1249</v>
      </c>
      <c r="N377" s="62">
        <v>475</v>
      </c>
      <c r="O377" s="62">
        <v>832</v>
      </c>
      <c r="P377" s="62">
        <v>469</v>
      </c>
      <c r="Q377" s="62">
        <v>1162</v>
      </c>
      <c r="R377" s="62">
        <v>437</v>
      </c>
      <c r="S377" s="62">
        <v>793</v>
      </c>
      <c r="T377" s="62">
        <v>506</v>
      </c>
      <c r="U377" s="62">
        <v>1120</v>
      </c>
      <c r="V377" s="62">
        <v>459</v>
      </c>
      <c r="W377" s="62">
        <v>910</v>
      </c>
      <c r="X377" s="62">
        <v>525</v>
      </c>
      <c r="Y377" s="62">
        <v>1183</v>
      </c>
      <c r="Z377" s="62">
        <v>423</v>
      </c>
      <c r="AA377" s="62">
        <v>827</v>
      </c>
      <c r="AB377" s="62">
        <v>450</v>
      </c>
      <c r="AC377" s="62">
        <v>1102</v>
      </c>
      <c r="AD377" s="62">
        <v>429</v>
      </c>
      <c r="AE377" s="62">
        <v>843</v>
      </c>
      <c r="AF377" s="62">
        <v>453</v>
      </c>
      <c r="AG377" s="62">
        <v>956</v>
      </c>
      <c r="AH377" s="62">
        <v>418</v>
      </c>
      <c r="AI377" s="62">
        <v>688</v>
      </c>
      <c r="AJ377" s="62">
        <v>414</v>
      </c>
      <c r="AK377" s="62">
        <v>919</v>
      </c>
      <c r="AL377" s="62">
        <v>401</v>
      </c>
      <c r="AM377" s="62">
        <v>462</v>
      </c>
      <c r="AN377" s="62">
        <v>397</v>
      </c>
      <c r="AO377" s="62">
        <v>818</v>
      </c>
      <c r="AP377" s="62">
        <v>429</v>
      </c>
      <c r="AQ377" s="62">
        <v>460</v>
      </c>
      <c r="AR377" s="62">
        <v>369</v>
      </c>
      <c r="AS377" s="62">
        <v>735</v>
      </c>
      <c r="AT377" s="62">
        <v>400</v>
      </c>
      <c r="AU377" s="62">
        <v>450</v>
      </c>
      <c r="AV377" s="62">
        <v>323</v>
      </c>
      <c r="AW377" s="62">
        <v>675</v>
      </c>
      <c r="AX377" s="62">
        <v>375</v>
      </c>
      <c r="AY377" s="62">
        <v>597</v>
      </c>
      <c r="AZ377" s="62">
        <v>280</v>
      </c>
      <c r="BA377" s="62">
        <v>701</v>
      </c>
      <c r="BB377" s="62">
        <v>391</v>
      </c>
      <c r="BC377" s="62">
        <v>665</v>
      </c>
      <c r="BD377" s="62">
        <v>426</v>
      </c>
      <c r="BE377" s="62">
        <v>778</v>
      </c>
      <c r="BF377" s="62">
        <v>410</v>
      </c>
      <c r="BG377" s="62">
        <v>615</v>
      </c>
      <c r="BH377" s="62">
        <v>445</v>
      </c>
    </row>
    <row r="378" spans="2:60" hidden="1" x14ac:dyDescent="0.2">
      <c r="B378" s="59"/>
      <c r="C378" s="59" t="s">
        <v>692</v>
      </c>
      <c r="D378" s="59" t="s">
        <v>656</v>
      </c>
      <c r="E378" s="63">
        <v>4862</v>
      </c>
      <c r="F378" s="63">
        <v>3629</v>
      </c>
      <c r="G378" s="63">
        <v>4168</v>
      </c>
      <c r="H378" s="63">
        <v>3840</v>
      </c>
      <c r="I378" s="63">
        <v>4618</v>
      </c>
      <c r="J378" s="63">
        <v>3548</v>
      </c>
      <c r="K378" s="63">
        <v>4196</v>
      </c>
      <c r="L378" s="63">
        <v>3594</v>
      </c>
      <c r="M378" s="63">
        <v>4574</v>
      </c>
      <c r="N378" s="63">
        <v>3496</v>
      </c>
      <c r="O378" s="63">
        <v>4140</v>
      </c>
      <c r="P378" s="63">
        <v>3679</v>
      </c>
      <c r="Q378" s="63">
        <v>4546</v>
      </c>
      <c r="R378" s="63">
        <v>3556</v>
      </c>
      <c r="S378" s="63">
        <v>4106</v>
      </c>
      <c r="T378" s="63">
        <v>3768</v>
      </c>
      <c r="U378" s="63">
        <v>4451</v>
      </c>
      <c r="V378" s="63">
        <v>3669</v>
      </c>
      <c r="W378" s="63">
        <v>4314</v>
      </c>
      <c r="X378" s="63">
        <v>3969</v>
      </c>
      <c r="Y378" s="63">
        <v>4916</v>
      </c>
      <c r="Z378" s="63">
        <v>3609</v>
      </c>
      <c r="AA378" s="63">
        <v>4120</v>
      </c>
      <c r="AB378" s="63">
        <v>3776</v>
      </c>
      <c r="AC378" s="63">
        <v>4538</v>
      </c>
      <c r="AD378" s="63">
        <v>3658</v>
      </c>
      <c r="AE378" s="63">
        <v>4140</v>
      </c>
      <c r="AF378" s="63">
        <v>4032</v>
      </c>
      <c r="AG378" s="63">
        <v>4373</v>
      </c>
      <c r="AH378" s="63">
        <v>3421</v>
      </c>
      <c r="AI378" s="63">
        <v>3725</v>
      </c>
      <c r="AJ378" s="63">
        <v>4228</v>
      </c>
      <c r="AK378" s="63">
        <v>4254</v>
      </c>
      <c r="AL378" s="63">
        <v>4097</v>
      </c>
      <c r="AM378" s="63">
        <v>3384</v>
      </c>
      <c r="AN378" s="63">
        <v>3118</v>
      </c>
      <c r="AO378" s="63">
        <v>3579</v>
      </c>
      <c r="AP378" s="63">
        <v>3080</v>
      </c>
      <c r="AQ378" s="63">
        <v>3103</v>
      </c>
      <c r="AR378" s="63">
        <v>3185</v>
      </c>
      <c r="AS378" s="63">
        <v>3333</v>
      </c>
      <c r="AT378" s="63">
        <v>3190</v>
      </c>
      <c r="AU378" s="63">
        <v>2849</v>
      </c>
      <c r="AV378" s="63">
        <v>2612</v>
      </c>
      <c r="AW378" s="63">
        <v>3041</v>
      </c>
      <c r="AX378" s="63">
        <v>3293</v>
      </c>
      <c r="AY378" s="63">
        <v>3841</v>
      </c>
      <c r="AZ378" s="63">
        <v>3108</v>
      </c>
      <c r="BA378" s="63">
        <v>3693</v>
      </c>
      <c r="BB378" s="63">
        <v>3286</v>
      </c>
      <c r="BC378" s="63">
        <v>3714</v>
      </c>
      <c r="BD378" s="63">
        <v>3404</v>
      </c>
      <c r="BE378" s="63">
        <v>3757</v>
      </c>
      <c r="BF378" s="63">
        <v>3289</v>
      </c>
      <c r="BG378" s="63">
        <v>3564</v>
      </c>
      <c r="BH378" s="63">
        <v>3287</v>
      </c>
    </row>
    <row r="379" spans="2:60" hidden="1" x14ac:dyDescent="0.2">
      <c r="B379" s="57"/>
      <c r="C379" s="57" t="s">
        <v>693</v>
      </c>
      <c r="D379" s="57" t="s">
        <v>648</v>
      </c>
      <c r="E379" s="62">
        <v>17</v>
      </c>
      <c r="F379" s="62">
        <v>12</v>
      </c>
      <c r="G379" s="62">
        <v>11</v>
      </c>
      <c r="H379" s="62">
        <v>8</v>
      </c>
      <c r="I379" s="62">
        <v>14</v>
      </c>
      <c r="J379" s="62">
        <v>9</v>
      </c>
      <c r="K379" s="62">
        <v>9</v>
      </c>
      <c r="L379" s="62">
        <v>16</v>
      </c>
      <c r="M379" s="62">
        <v>6</v>
      </c>
      <c r="N379" s="62">
        <v>12</v>
      </c>
      <c r="O379" s="62">
        <v>10</v>
      </c>
      <c r="P379" s="62">
        <v>7</v>
      </c>
      <c r="Q379" s="62">
        <v>15</v>
      </c>
      <c r="R379" s="62">
        <v>10</v>
      </c>
      <c r="S379" s="62">
        <v>9</v>
      </c>
      <c r="T379" s="62">
        <v>8</v>
      </c>
      <c r="U379" s="62">
        <v>11</v>
      </c>
      <c r="V379" s="62">
        <v>13</v>
      </c>
      <c r="W379" s="62">
        <v>13</v>
      </c>
      <c r="X379" s="62">
        <v>21</v>
      </c>
      <c r="Y379" s="62">
        <v>9</v>
      </c>
      <c r="Z379" s="62">
        <v>5</v>
      </c>
      <c r="AA379" s="62">
        <v>12</v>
      </c>
      <c r="AB379" s="62">
        <v>3</v>
      </c>
      <c r="AC379" s="62">
        <v>9</v>
      </c>
      <c r="AD379" s="62">
        <v>4</v>
      </c>
      <c r="AE379" s="62">
        <v>6</v>
      </c>
      <c r="AF379" s="62">
        <v>6</v>
      </c>
      <c r="AG379" s="62">
        <v>12</v>
      </c>
      <c r="AH379" s="62">
        <v>8</v>
      </c>
      <c r="AI379" s="62">
        <v>6</v>
      </c>
      <c r="AJ379" s="62">
        <v>10</v>
      </c>
      <c r="AK379" s="62">
        <v>7</v>
      </c>
      <c r="AL379" s="62">
        <v>16</v>
      </c>
      <c r="AM379" s="62">
        <v>13</v>
      </c>
      <c r="AN379" s="62">
        <v>5</v>
      </c>
      <c r="AO379" s="62">
        <v>7</v>
      </c>
      <c r="AP379" s="62">
        <v>6</v>
      </c>
      <c r="AQ379" s="62">
        <v>7</v>
      </c>
      <c r="AR379" s="62">
        <v>7</v>
      </c>
      <c r="AS379" s="62">
        <v>8</v>
      </c>
      <c r="AT379" s="62">
        <v>4</v>
      </c>
      <c r="AU379" s="62">
        <v>11</v>
      </c>
      <c r="AV379" s="62">
        <v>4</v>
      </c>
      <c r="AW379" s="62">
        <v>6</v>
      </c>
      <c r="AX379" s="62">
        <v>4</v>
      </c>
      <c r="AY379" s="62">
        <v>10</v>
      </c>
      <c r="AZ379" s="62">
        <v>4</v>
      </c>
      <c r="BA379" s="62">
        <v>4</v>
      </c>
      <c r="BB379" s="62">
        <v>14</v>
      </c>
      <c r="BC379" s="62">
        <v>4</v>
      </c>
      <c r="BD379" s="62">
        <v>3</v>
      </c>
      <c r="BE379" s="62">
        <v>2</v>
      </c>
      <c r="BF379" s="62">
        <v>5</v>
      </c>
      <c r="BG379" s="62">
        <v>6</v>
      </c>
      <c r="BH379" s="62">
        <v>11</v>
      </c>
    </row>
    <row r="380" spans="2:60" hidden="1" x14ac:dyDescent="0.2">
      <c r="B380" s="59"/>
      <c r="C380" s="59" t="s">
        <v>693</v>
      </c>
      <c r="D380" s="59" t="s">
        <v>649</v>
      </c>
      <c r="E380" s="63">
        <v>37</v>
      </c>
      <c r="F380" s="63">
        <v>25</v>
      </c>
      <c r="G380" s="63">
        <v>37</v>
      </c>
      <c r="H380" s="63">
        <v>40</v>
      </c>
      <c r="I380" s="63">
        <v>46</v>
      </c>
      <c r="J380" s="63">
        <v>39</v>
      </c>
      <c r="K380" s="63">
        <v>42</v>
      </c>
      <c r="L380" s="63">
        <v>41</v>
      </c>
      <c r="M380" s="63">
        <v>56</v>
      </c>
      <c r="N380" s="63">
        <v>45</v>
      </c>
      <c r="O380" s="63">
        <v>40</v>
      </c>
      <c r="P380" s="63">
        <v>28</v>
      </c>
      <c r="Q380" s="63">
        <v>37</v>
      </c>
      <c r="R380" s="63">
        <v>35</v>
      </c>
      <c r="S380" s="63">
        <v>35</v>
      </c>
      <c r="T380" s="63">
        <v>34</v>
      </c>
      <c r="U380" s="63">
        <v>26</v>
      </c>
      <c r="V380" s="63">
        <v>37</v>
      </c>
      <c r="W380" s="63">
        <v>36</v>
      </c>
      <c r="X380" s="63">
        <v>27</v>
      </c>
      <c r="Y380" s="63">
        <v>47</v>
      </c>
      <c r="Z380" s="63">
        <v>31</v>
      </c>
      <c r="AA380" s="63">
        <v>21</v>
      </c>
      <c r="AB380" s="63">
        <v>27</v>
      </c>
      <c r="AC380" s="63">
        <v>40</v>
      </c>
      <c r="AD380" s="63">
        <v>29</v>
      </c>
      <c r="AE380" s="63">
        <v>22</v>
      </c>
      <c r="AF380" s="63">
        <v>26</v>
      </c>
      <c r="AG380" s="63">
        <v>24</v>
      </c>
      <c r="AH380" s="63">
        <v>36</v>
      </c>
      <c r="AI380" s="63">
        <v>25</v>
      </c>
      <c r="AJ380" s="63">
        <v>28</v>
      </c>
      <c r="AK380" s="63">
        <v>35</v>
      </c>
      <c r="AL380" s="63">
        <v>34</v>
      </c>
      <c r="AM380" s="63">
        <v>22</v>
      </c>
      <c r="AN380" s="63">
        <v>25</v>
      </c>
      <c r="AO380" s="63">
        <v>43</v>
      </c>
      <c r="AP380" s="63">
        <v>27</v>
      </c>
      <c r="AQ380" s="63">
        <v>31</v>
      </c>
      <c r="AR380" s="63">
        <v>30</v>
      </c>
      <c r="AS380" s="63">
        <v>17</v>
      </c>
      <c r="AT380" s="63">
        <v>18</v>
      </c>
      <c r="AU380" s="63">
        <v>22</v>
      </c>
      <c r="AV380" s="63">
        <v>22</v>
      </c>
      <c r="AW380" s="63">
        <v>25</v>
      </c>
      <c r="AX380" s="63">
        <v>21</v>
      </c>
      <c r="AY380" s="63">
        <v>23</v>
      </c>
      <c r="AZ380" s="63">
        <v>19</v>
      </c>
      <c r="BA380" s="63">
        <v>23</v>
      </c>
      <c r="BB380" s="63">
        <v>21</v>
      </c>
      <c r="BC380" s="63">
        <v>24</v>
      </c>
      <c r="BD380" s="63">
        <v>14</v>
      </c>
      <c r="BE380" s="63">
        <v>16</v>
      </c>
      <c r="BF380" s="63">
        <v>22</v>
      </c>
      <c r="BG380" s="63">
        <v>43</v>
      </c>
      <c r="BH380" s="63">
        <v>27</v>
      </c>
    </row>
    <row r="381" spans="2:60" hidden="1" x14ac:dyDescent="0.2">
      <c r="B381" s="57"/>
      <c r="C381" s="57" t="s">
        <v>693</v>
      </c>
      <c r="D381" s="57" t="s">
        <v>650</v>
      </c>
      <c r="E381" s="62">
        <v>6</v>
      </c>
      <c r="F381" s="62">
        <v>7</v>
      </c>
      <c r="G381" s="62">
        <v>8</v>
      </c>
      <c r="H381" s="62">
        <v>6</v>
      </c>
      <c r="I381" s="62">
        <v>8</v>
      </c>
      <c r="J381" s="62">
        <v>7</v>
      </c>
      <c r="K381" s="62">
        <v>8</v>
      </c>
      <c r="L381" s="62">
        <v>9</v>
      </c>
      <c r="M381" s="62">
        <v>7</v>
      </c>
      <c r="N381" s="62">
        <v>7</v>
      </c>
      <c r="O381" s="62">
        <v>7</v>
      </c>
      <c r="P381" s="62">
        <v>9</v>
      </c>
      <c r="Q381" s="62">
        <v>4</v>
      </c>
      <c r="R381" s="62">
        <v>7</v>
      </c>
      <c r="S381" s="62">
        <v>10</v>
      </c>
      <c r="T381" s="62">
        <v>10</v>
      </c>
      <c r="U381" s="62">
        <v>6</v>
      </c>
      <c r="V381" s="62">
        <v>11</v>
      </c>
      <c r="W381" s="62">
        <v>12</v>
      </c>
      <c r="X381" s="62">
        <v>13</v>
      </c>
      <c r="Y381" s="62">
        <v>11</v>
      </c>
      <c r="Z381" s="62">
        <v>8</v>
      </c>
      <c r="AA381" s="62">
        <v>9</v>
      </c>
      <c r="AB381" s="62">
        <v>7</v>
      </c>
      <c r="AC381" s="62">
        <v>3</v>
      </c>
      <c r="AD381" s="62">
        <v>5</v>
      </c>
      <c r="AE381" s="62">
        <v>7</v>
      </c>
      <c r="AF381" s="62">
        <v>3</v>
      </c>
      <c r="AG381" s="62">
        <v>10</v>
      </c>
      <c r="AH381" s="62">
        <v>6</v>
      </c>
      <c r="AI381" s="62">
        <v>5</v>
      </c>
      <c r="AJ381" s="62">
        <v>7</v>
      </c>
      <c r="AK381" s="62">
        <v>4</v>
      </c>
      <c r="AL381" s="62">
        <v>6</v>
      </c>
      <c r="AM381" s="62">
        <v>4</v>
      </c>
      <c r="AN381" s="62">
        <v>6</v>
      </c>
      <c r="AO381" s="62">
        <v>10</v>
      </c>
      <c r="AP381" s="62">
        <v>9</v>
      </c>
      <c r="AQ381" s="62">
        <v>6</v>
      </c>
      <c r="AR381" s="62">
        <v>12</v>
      </c>
      <c r="AS381" s="62">
        <v>4</v>
      </c>
      <c r="AT381" s="62">
        <v>4</v>
      </c>
      <c r="AU381" s="62">
        <v>3</v>
      </c>
      <c r="AV381" s="62">
        <v>3</v>
      </c>
      <c r="AW381" s="62">
        <v>3</v>
      </c>
      <c r="AX381" s="62">
        <v>9</v>
      </c>
      <c r="AY381" s="62">
        <v>12</v>
      </c>
      <c r="AZ381" s="62">
        <v>5</v>
      </c>
      <c r="BA381" s="62">
        <v>6</v>
      </c>
      <c r="BB381" s="62">
        <v>9</v>
      </c>
      <c r="BC381" s="62">
        <v>8</v>
      </c>
      <c r="BD381" s="62">
        <v>4</v>
      </c>
      <c r="BE381" s="62">
        <v>6</v>
      </c>
      <c r="BF381" s="62">
        <v>10</v>
      </c>
      <c r="BG381" s="62">
        <v>5</v>
      </c>
      <c r="BH381" s="62">
        <v>4</v>
      </c>
    </row>
    <row r="382" spans="2:60" hidden="1" x14ac:dyDescent="0.2">
      <c r="B382" s="59"/>
      <c r="C382" s="59" t="s">
        <v>693</v>
      </c>
      <c r="D382" s="59" t="s">
        <v>651</v>
      </c>
      <c r="E382" s="63">
        <v>20</v>
      </c>
      <c r="F382" s="63">
        <v>20</v>
      </c>
      <c r="G382" s="63">
        <v>29</v>
      </c>
      <c r="H382" s="63">
        <v>21</v>
      </c>
      <c r="I382" s="63">
        <v>24</v>
      </c>
      <c r="J382" s="63">
        <v>23</v>
      </c>
      <c r="K382" s="63">
        <v>22</v>
      </c>
      <c r="L382" s="63">
        <v>24</v>
      </c>
      <c r="M382" s="63">
        <v>18</v>
      </c>
      <c r="N382" s="63">
        <v>24</v>
      </c>
      <c r="O382" s="63">
        <v>19</v>
      </c>
      <c r="P382" s="63">
        <v>15</v>
      </c>
      <c r="Q382" s="63">
        <v>27</v>
      </c>
      <c r="R382" s="63">
        <v>15</v>
      </c>
      <c r="S382" s="63">
        <v>19</v>
      </c>
      <c r="T382" s="63">
        <v>21</v>
      </c>
      <c r="U382" s="63">
        <v>22</v>
      </c>
      <c r="V382" s="63">
        <v>19</v>
      </c>
      <c r="W382" s="63">
        <v>18</v>
      </c>
      <c r="X382" s="63">
        <v>18</v>
      </c>
      <c r="Y382" s="63">
        <v>19</v>
      </c>
      <c r="Z382" s="63">
        <v>14</v>
      </c>
      <c r="AA382" s="63">
        <v>29</v>
      </c>
      <c r="AB382" s="63">
        <v>16</v>
      </c>
      <c r="AC382" s="63">
        <v>24</v>
      </c>
      <c r="AD382" s="63">
        <v>16</v>
      </c>
      <c r="AE382" s="63">
        <v>20</v>
      </c>
      <c r="AF382" s="63">
        <v>16</v>
      </c>
      <c r="AG382" s="63">
        <v>32</v>
      </c>
      <c r="AH382" s="63">
        <v>11</v>
      </c>
      <c r="AI382" s="63">
        <v>18</v>
      </c>
      <c r="AJ382" s="63">
        <v>16</v>
      </c>
      <c r="AK382" s="63">
        <v>18</v>
      </c>
      <c r="AL382" s="63">
        <v>16</v>
      </c>
      <c r="AM382" s="63">
        <v>12</v>
      </c>
      <c r="AN382" s="63">
        <v>15</v>
      </c>
      <c r="AO382" s="63">
        <v>16</v>
      </c>
      <c r="AP382" s="63">
        <v>13</v>
      </c>
      <c r="AQ382" s="63">
        <v>9</v>
      </c>
      <c r="AR382" s="63">
        <v>13</v>
      </c>
      <c r="AS382" s="63">
        <v>16</v>
      </c>
      <c r="AT382" s="63">
        <v>14</v>
      </c>
      <c r="AU382" s="63">
        <v>9</v>
      </c>
      <c r="AV382" s="63">
        <v>7</v>
      </c>
      <c r="AW382" s="63">
        <v>5</v>
      </c>
      <c r="AX382" s="63">
        <v>6</v>
      </c>
      <c r="AY382" s="63">
        <v>13</v>
      </c>
      <c r="AZ382" s="63">
        <v>7</v>
      </c>
      <c r="BA382" s="63">
        <v>10</v>
      </c>
      <c r="BB382" s="63">
        <v>8</v>
      </c>
      <c r="BC382" s="63">
        <v>3</v>
      </c>
      <c r="BD382" s="63">
        <v>11</v>
      </c>
      <c r="BE382" s="63">
        <v>9</v>
      </c>
      <c r="BF382" s="63">
        <v>15</v>
      </c>
      <c r="BG382" s="63">
        <v>7</v>
      </c>
      <c r="BH382" s="63">
        <v>11</v>
      </c>
    </row>
    <row r="383" spans="2:60" hidden="1" x14ac:dyDescent="0.2">
      <c r="B383" s="57"/>
      <c r="C383" s="57" t="s">
        <v>693</v>
      </c>
      <c r="D383" s="57" t="s">
        <v>652</v>
      </c>
      <c r="E383" s="62">
        <v>117</v>
      </c>
      <c r="F383" s="62">
        <v>87</v>
      </c>
      <c r="G383" s="62">
        <v>60</v>
      </c>
      <c r="H383" s="62">
        <v>94</v>
      </c>
      <c r="I383" s="62">
        <v>114</v>
      </c>
      <c r="J383" s="62">
        <v>92</v>
      </c>
      <c r="K383" s="62">
        <v>72</v>
      </c>
      <c r="L383" s="62">
        <v>84</v>
      </c>
      <c r="M383" s="62">
        <v>90</v>
      </c>
      <c r="N383" s="62">
        <v>87</v>
      </c>
      <c r="O383" s="62">
        <v>91</v>
      </c>
      <c r="P383" s="62">
        <v>75</v>
      </c>
      <c r="Q383" s="62">
        <v>89</v>
      </c>
      <c r="R383" s="62">
        <v>69</v>
      </c>
      <c r="S383" s="62">
        <v>82</v>
      </c>
      <c r="T383" s="62">
        <v>77</v>
      </c>
      <c r="U383" s="62">
        <v>96</v>
      </c>
      <c r="V383" s="62">
        <v>86</v>
      </c>
      <c r="W383" s="62">
        <v>77</v>
      </c>
      <c r="X383" s="62">
        <v>80</v>
      </c>
      <c r="Y383" s="62">
        <v>90</v>
      </c>
      <c r="Z383" s="62">
        <v>76</v>
      </c>
      <c r="AA383" s="62">
        <v>78</v>
      </c>
      <c r="AB383" s="62">
        <v>71</v>
      </c>
      <c r="AC383" s="62">
        <v>95</v>
      </c>
      <c r="AD383" s="62">
        <v>74</v>
      </c>
      <c r="AE383" s="62">
        <v>81</v>
      </c>
      <c r="AF383" s="62">
        <v>73</v>
      </c>
      <c r="AG383" s="62">
        <v>99</v>
      </c>
      <c r="AH383" s="62">
        <v>81</v>
      </c>
      <c r="AI383" s="62">
        <v>73</v>
      </c>
      <c r="AJ383" s="62">
        <v>76</v>
      </c>
      <c r="AK383" s="62">
        <v>86</v>
      </c>
      <c r="AL383" s="62">
        <v>68</v>
      </c>
      <c r="AM383" s="62">
        <v>69</v>
      </c>
      <c r="AN383" s="62">
        <v>59</v>
      </c>
      <c r="AO383" s="62">
        <v>59</v>
      </c>
      <c r="AP383" s="62">
        <v>61</v>
      </c>
      <c r="AQ383" s="62">
        <v>74</v>
      </c>
      <c r="AR383" s="62">
        <v>49</v>
      </c>
      <c r="AS383" s="62">
        <v>57</v>
      </c>
      <c r="AT383" s="62">
        <v>56</v>
      </c>
      <c r="AU383" s="62">
        <v>52</v>
      </c>
      <c r="AV383" s="62">
        <v>37</v>
      </c>
      <c r="AW383" s="62">
        <v>41</v>
      </c>
      <c r="AX383" s="62">
        <v>59</v>
      </c>
      <c r="AY383" s="62">
        <v>52</v>
      </c>
      <c r="AZ383" s="62">
        <v>43</v>
      </c>
      <c r="BA383" s="62">
        <v>41</v>
      </c>
      <c r="BB383" s="62">
        <v>40</v>
      </c>
      <c r="BC383" s="62">
        <v>36</v>
      </c>
      <c r="BD383" s="62">
        <v>64</v>
      </c>
      <c r="BE383" s="62">
        <v>42</v>
      </c>
      <c r="BF383" s="62">
        <v>39</v>
      </c>
      <c r="BG383" s="62">
        <v>44</v>
      </c>
      <c r="BH383" s="62">
        <v>47</v>
      </c>
    </row>
    <row r="384" spans="2:60" hidden="1" x14ac:dyDescent="0.2">
      <c r="B384" s="59"/>
      <c r="C384" s="59" t="s">
        <v>693</v>
      </c>
      <c r="D384" s="59" t="s">
        <v>653</v>
      </c>
      <c r="E384" s="63">
        <v>32</v>
      </c>
      <c r="F384" s="63">
        <v>28</v>
      </c>
      <c r="G384" s="63">
        <v>35</v>
      </c>
      <c r="H384" s="63">
        <v>28</v>
      </c>
      <c r="I384" s="63">
        <v>33</v>
      </c>
      <c r="J384" s="63">
        <v>37</v>
      </c>
      <c r="K384" s="63">
        <v>35</v>
      </c>
      <c r="L384" s="63">
        <v>41</v>
      </c>
      <c r="M384" s="63">
        <v>32</v>
      </c>
      <c r="N384" s="63">
        <v>24</v>
      </c>
      <c r="O384" s="63">
        <v>28</v>
      </c>
      <c r="P384" s="63">
        <v>31</v>
      </c>
      <c r="Q384" s="63">
        <v>28</v>
      </c>
      <c r="R384" s="63">
        <v>39</v>
      </c>
      <c r="S384" s="63">
        <v>44</v>
      </c>
      <c r="T384" s="63">
        <v>42</v>
      </c>
      <c r="U384" s="63">
        <v>50</v>
      </c>
      <c r="V384" s="63">
        <v>33</v>
      </c>
      <c r="W384" s="63">
        <v>34</v>
      </c>
      <c r="X384" s="63">
        <v>38</v>
      </c>
      <c r="Y384" s="63">
        <v>41</v>
      </c>
      <c r="Z384" s="63">
        <v>31</v>
      </c>
      <c r="AA384" s="63">
        <v>40</v>
      </c>
      <c r="AB384" s="63">
        <v>35</v>
      </c>
      <c r="AC384" s="63">
        <v>43</v>
      </c>
      <c r="AD384" s="63">
        <v>38</v>
      </c>
      <c r="AE384" s="63">
        <v>36</v>
      </c>
      <c r="AF384" s="63">
        <v>29</v>
      </c>
      <c r="AG384" s="63">
        <v>38</v>
      </c>
      <c r="AH384" s="63">
        <v>21</v>
      </c>
      <c r="AI384" s="63">
        <v>39</v>
      </c>
      <c r="AJ384" s="63">
        <v>44</v>
      </c>
      <c r="AK384" s="63">
        <v>39</v>
      </c>
      <c r="AL384" s="63">
        <v>26</v>
      </c>
      <c r="AM384" s="63">
        <v>24</v>
      </c>
      <c r="AN384" s="63">
        <v>31</v>
      </c>
      <c r="AO384" s="63">
        <v>19</v>
      </c>
      <c r="AP384" s="63">
        <v>23</v>
      </c>
      <c r="AQ384" s="63">
        <v>34</v>
      </c>
      <c r="AR384" s="63">
        <v>28</v>
      </c>
      <c r="AS384" s="63">
        <v>18</v>
      </c>
      <c r="AT384" s="63">
        <v>19</v>
      </c>
      <c r="AU384" s="63">
        <v>15</v>
      </c>
      <c r="AV384" s="63">
        <v>16</v>
      </c>
      <c r="AW384" s="63">
        <v>25</v>
      </c>
      <c r="AX384" s="63">
        <v>28</v>
      </c>
      <c r="AY384" s="63">
        <v>31</v>
      </c>
      <c r="AZ384" s="63">
        <v>23</v>
      </c>
      <c r="BA384" s="63">
        <v>22</v>
      </c>
      <c r="BB384" s="63">
        <v>31</v>
      </c>
      <c r="BC384" s="63">
        <v>29</v>
      </c>
      <c r="BD384" s="63">
        <v>26</v>
      </c>
      <c r="BE384" s="63">
        <v>33</v>
      </c>
      <c r="BF384" s="63">
        <v>29</v>
      </c>
      <c r="BG384" s="63">
        <v>28</v>
      </c>
      <c r="BH384" s="63">
        <v>23</v>
      </c>
    </row>
    <row r="385" spans="2:60" hidden="1" x14ac:dyDescent="0.2">
      <c r="B385" s="57"/>
      <c r="C385" s="57" t="s">
        <v>693</v>
      </c>
      <c r="D385" s="57" t="s">
        <v>654</v>
      </c>
      <c r="E385" s="62">
        <v>1</v>
      </c>
      <c r="F385" s="62"/>
      <c r="G385" s="62">
        <v>1</v>
      </c>
      <c r="H385" s="62">
        <v>2</v>
      </c>
      <c r="I385" s="62">
        <v>2</v>
      </c>
      <c r="J385" s="62">
        <v>1</v>
      </c>
      <c r="K385" s="62">
        <v>1</v>
      </c>
      <c r="L385" s="62"/>
      <c r="M385" s="62"/>
      <c r="N385" s="62"/>
      <c r="O385" s="62">
        <v>2</v>
      </c>
      <c r="P385" s="62"/>
      <c r="Q385" s="62"/>
      <c r="R385" s="62"/>
      <c r="S385" s="62"/>
      <c r="T385" s="62">
        <v>3</v>
      </c>
      <c r="U385" s="62"/>
      <c r="V385" s="62">
        <v>2</v>
      </c>
      <c r="W385" s="62"/>
      <c r="X385" s="62">
        <v>1</v>
      </c>
      <c r="Y385" s="62">
        <v>1</v>
      </c>
      <c r="Z385" s="62"/>
      <c r="AA385" s="62">
        <v>1</v>
      </c>
      <c r="AB385" s="62"/>
      <c r="AC385" s="62"/>
      <c r="AD385" s="62">
        <v>1</v>
      </c>
      <c r="AE385" s="62"/>
      <c r="AF385" s="62">
        <v>2</v>
      </c>
      <c r="AG385" s="62"/>
      <c r="AH385" s="62">
        <v>1</v>
      </c>
      <c r="AI385" s="62">
        <v>1</v>
      </c>
      <c r="AJ385" s="62"/>
      <c r="AK385" s="62">
        <v>1</v>
      </c>
      <c r="AL385" s="62">
        <v>2</v>
      </c>
      <c r="AM385" s="62">
        <v>2</v>
      </c>
      <c r="AN385" s="62"/>
      <c r="AO385" s="62">
        <v>4</v>
      </c>
      <c r="AP385" s="62">
        <v>3</v>
      </c>
      <c r="AQ385" s="62"/>
      <c r="AR385" s="62"/>
      <c r="AS385" s="62">
        <v>1</v>
      </c>
      <c r="AT385" s="62">
        <v>1</v>
      </c>
      <c r="AU385" s="62"/>
      <c r="AV385" s="62">
        <v>1</v>
      </c>
      <c r="AW385" s="62">
        <v>2</v>
      </c>
      <c r="AX385" s="62">
        <v>1</v>
      </c>
      <c r="AY385" s="62">
        <v>2</v>
      </c>
      <c r="AZ385" s="62">
        <v>2</v>
      </c>
      <c r="BA385" s="62">
        <v>3</v>
      </c>
      <c r="BB385" s="62">
        <v>2</v>
      </c>
      <c r="BC385" s="62">
        <v>3</v>
      </c>
      <c r="BD385" s="62">
        <v>3</v>
      </c>
      <c r="BE385" s="62">
        <v>6</v>
      </c>
      <c r="BF385" s="62">
        <v>1</v>
      </c>
      <c r="BG385" s="62">
        <v>1</v>
      </c>
      <c r="BH385" s="62"/>
    </row>
    <row r="386" spans="2:60" hidden="1" x14ac:dyDescent="0.2">
      <c r="B386" s="59"/>
      <c r="C386" s="59" t="s">
        <v>693</v>
      </c>
      <c r="D386" s="59" t="s">
        <v>655</v>
      </c>
      <c r="E386" s="63">
        <v>2</v>
      </c>
      <c r="F386" s="63"/>
      <c r="G386" s="63">
        <v>1</v>
      </c>
      <c r="H386" s="63">
        <v>1</v>
      </c>
      <c r="I386" s="63">
        <v>3</v>
      </c>
      <c r="J386" s="63">
        <v>1</v>
      </c>
      <c r="K386" s="63"/>
      <c r="L386" s="63">
        <v>1</v>
      </c>
      <c r="M386" s="63"/>
      <c r="N386" s="63"/>
      <c r="O386" s="63"/>
      <c r="P386" s="63"/>
      <c r="Q386" s="63">
        <v>2</v>
      </c>
      <c r="R386" s="63">
        <v>1</v>
      </c>
      <c r="S386" s="63"/>
      <c r="T386" s="63"/>
      <c r="U386" s="63"/>
      <c r="V386" s="63"/>
      <c r="W386" s="63"/>
      <c r="X386" s="63"/>
      <c r="Y386" s="63">
        <v>1</v>
      </c>
      <c r="Z386" s="63"/>
      <c r="AA386" s="63"/>
      <c r="AB386" s="63">
        <v>1</v>
      </c>
      <c r="AC386" s="63">
        <v>1</v>
      </c>
      <c r="AD386" s="63"/>
      <c r="AE386" s="63">
        <v>1</v>
      </c>
      <c r="AF386" s="63">
        <v>1</v>
      </c>
      <c r="AG386" s="63"/>
      <c r="AH386" s="63"/>
      <c r="AI386" s="63"/>
      <c r="AJ386" s="63"/>
      <c r="AK386" s="63"/>
      <c r="AL386" s="63"/>
      <c r="AM386" s="63"/>
      <c r="AN386" s="63"/>
      <c r="AO386" s="63">
        <v>1</v>
      </c>
      <c r="AP386" s="63">
        <v>1</v>
      </c>
      <c r="AQ386" s="63">
        <v>1</v>
      </c>
      <c r="AR386" s="63">
        <v>1</v>
      </c>
      <c r="AS386" s="63"/>
      <c r="AT386" s="63"/>
      <c r="AU386" s="63">
        <v>2</v>
      </c>
      <c r="AV386" s="63">
        <v>1</v>
      </c>
      <c r="AW386" s="63"/>
      <c r="AX386" s="63">
        <v>3</v>
      </c>
      <c r="AY386" s="63"/>
      <c r="AZ386" s="63">
        <v>1</v>
      </c>
      <c r="BA386" s="63">
        <v>3</v>
      </c>
      <c r="BB386" s="63"/>
      <c r="BC386" s="63">
        <v>1</v>
      </c>
      <c r="BD386" s="63">
        <v>1</v>
      </c>
      <c r="BE386" s="63">
        <v>2</v>
      </c>
      <c r="BF386" s="63">
        <v>1</v>
      </c>
      <c r="BG386" s="63">
        <v>3</v>
      </c>
      <c r="BH386" s="63"/>
    </row>
    <row r="387" spans="2:60" hidden="1" x14ac:dyDescent="0.2">
      <c r="B387" s="57"/>
      <c r="C387" s="57" t="s">
        <v>693</v>
      </c>
      <c r="D387" s="57" t="s">
        <v>699</v>
      </c>
      <c r="E387" s="62">
        <v>25</v>
      </c>
      <c r="F387" s="62">
        <v>28</v>
      </c>
      <c r="G387" s="62">
        <v>35</v>
      </c>
      <c r="H387" s="62">
        <v>37</v>
      </c>
      <c r="I387" s="62">
        <v>20</v>
      </c>
      <c r="J387" s="62">
        <v>28</v>
      </c>
      <c r="K387" s="62">
        <v>20</v>
      </c>
      <c r="L387" s="62">
        <v>16</v>
      </c>
      <c r="M387" s="62">
        <v>17</v>
      </c>
      <c r="N387" s="62">
        <v>13</v>
      </c>
      <c r="O387" s="62">
        <v>19</v>
      </c>
      <c r="P387" s="62">
        <v>20</v>
      </c>
      <c r="Q387" s="62">
        <v>29</v>
      </c>
      <c r="R387" s="62">
        <v>25</v>
      </c>
      <c r="S387" s="62">
        <v>17</v>
      </c>
      <c r="T387" s="62">
        <v>23</v>
      </c>
      <c r="U387" s="62">
        <v>18</v>
      </c>
      <c r="V387" s="62">
        <v>15</v>
      </c>
      <c r="W387" s="62">
        <v>28</v>
      </c>
      <c r="X387" s="62">
        <v>28</v>
      </c>
      <c r="Y387" s="62">
        <v>17</v>
      </c>
      <c r="Z387" s="62">
        <v>14</v>
      </c>
      <c r="AA387" s="62">
        <v>16</v>
      </c>
      <c r="AB387" s="62">
        <v>21</v>
      </c>
      <c r="AC387" s="62">
        <v>21</v>
      </c>
      <c r="AD387" s="62">
        <v>20</v>
      </c>
      <c r="AE387" s="62">
        <v>18</v>
      </c>
      <c r="AF387" s="62">
        <v>8</v>
      </c>
      <c r="AG387" s="62">
        <v>19</v>
      </c>
      <c r="AH387" s="62">
        <v>14</v>
      </c>
      <c r="AI387" s="62">
        <v>12</v>
      </c>
      <c r="AJ387" s="62">
        <v>12</v>
      </c>
      <c r="AK387" s="62">
        <v>19</v>
      </c>
      <c r="AL387" s="62">
        <v>16</v>
      </c>
      <c r="AM387" s="62">
        <v>14</v>
      </c>
      <c r="AN387" s="62">
        <v>9</v>
      </c>
      <c r="AO387" s="62">
        <v>10</v>
      </c>
      <c r="AP387" s="62">
        <v>16</v>
      </c>
      <c r="AQ387" s="62">
        <v>9</v>
      </c>
      <c r="AR387" s="62">
        <v>7</v>
      </c>
      <c r="AS387" s="62">
        <v>4</v>
      </c>
      <c r="AT387" s="62">
        <v>10</v>
      </c>
      <c r="AU387" s="62">
        <v>13</v>
      </c>
      <c r="AV387" s="62">
        <v>10</v>
      </c>
      <c r="AW387" s="62">
        <v>7</v>
      </c>
      <c r="AX387" s="62">
        <v>15</v>
      </c>
      <c r="AY387" s="62">
        <v>12</v>
      </c>
      <c r="AZ387" s="62">
        <v>6</v>
      </c>
      <c r="BA387" s="62">
        <v>10</v>
      </c>
      <c r="BB387" s="62">
        <v>9</v>
      </c>
      <c r="BC387" s="62">
        <v>7</v>
      </c>
      <c r="BD387" s="62">
        <v>17</v>
      </c>
      <c r="BE387" s="62">
        <v>14</v>
      </c>
      <c r="BF387" s="62">
        <v>10</v>
      </c>
      <c r="BG387" s="62">
        <v>10</v>
      </c>
      <c r="BH387" s="62">
        <v>13</v>
      </c>
    </row>
    <row r="388" spans="2:60" hidden="1" x14ac:dyDescent="0.2">
      <c r="B388" s="59"/>
      <c r="C388" s="59" t="s">
        <v>693</v>
      </c>
      <c r="D388" s="59" t="s">
        <v>656</v>
      </c>
      <c r="E388" s="63">
        <v>257</v>
      </c>
      <c r="F388" s="63">
        <v>207</v>
      </c>
      <c r="G388" s="63">
        <v>217</v>
      </c>
      <c r="H388" s="63">
        <v>237</v>
      </c>
      <c r="I388" s="63">
        <v>264</v>
      </c>
      <c r="J388" s="63">
        <v>237</v>
      </c>
      <c r="K388" s="63">
        <v>209</v>
      </c>
      <c r="L388" s="63">
        <v>232</v>
      </c>
      <c r="M388" s="63">
        <v>226</v>
      </c>
      <c r="N388" s="63">
        <v>212</v>
      </c>
      <c r="O388" s="63">
        <v>216</v>
      </c>
      <c r="P388" s="63">
        <v>185</v>
      </c>
      <c r="Q388" s="63">
        <v>231</v>
      </c>
      <c r="R388" s="63">
        <v>201</v>
      </c>
      <c r="S388" s="63">
        <v>216</v>
      </c>
      <c r="T388" s="63">
        <v>218</v>
      </c>
      <c r="U388" s="63">
        <v>229</v>
      </c>
      <c r="V388" s="63">
        <v>216</v>
      </c>
      <c r="W388" s="63">
        <v>218</v>
      </c>
      <c r="X388" s="63">
        <v>226</v>
      </c>
      <c r="Y388" s="63">
        <v>236</v>
      </c>
      <c r="Z388" s="63">
        <v>179</v>
      </c>
      <c r="AA388" s="63">
        <v>206</v>
      </c>
      <c r="AB388" s="63">
        <v>181</v>
      </c>
      <c r="AC388" s="63">
        <v>236</v>
      </c>
      <c r="AD388" s="63">
        <v>187</v>
      </c>
      <c r="AE388" s="63">
        <v>191</v>
      </c>
      <c r="AF388" s="63">
        <v>164</v>
      </c>
      <c r="AG388" s="63">
        <v>234</v>
      </c>
      <c r="AH388" s="63">
        <v>178</v>
      </c>
      <c r="AI388" s="63">
        <v>179</v>
      </c>
      <c r="AJ388" s="63">
        <v>193</v>
      </c>
      <c r="AK388" s="63">
        <v>209</v>
      </c>
      <c r="AL388" s="63">
        <v>184</v>
      </c>
      <c r="AM388" s="63">
        <v>160</v>
      </c>
      <c r="AN388" s="63">
        <v>150</v>
      </c>
      <c r="AO388" s="63">
        <v>169</v>
      </c>
      <c r="AP388" s="63">
        <v>159</v>
      </c>
      <c r="AQ388" s="63">
        <v>171</v>
      </c>
      <c r="AR388" s="63">
        <v>147</v>
      </c>
      <c r="AS388" s="63">
        <v>125</v>
      </c>
      <c r="AT388" s="63">
        <v>126</v>
      </c>
      <c r="AU388" s="63">
        <v>127</v>
      </c>
      <c r="AV388" s="63">
        <v>101</v>
      </c>
      <c r="AW388" s="63">
        <v>114</v>
      </c>
      <c r="AX388" s="63">
        <v>146</v>
      </c>
      <c r="AY388" s="63">
        <v>155</v>
      </c>
      <c r="AZ388" s="63">
        <v>110</v>
      </c>
      <c r="BA388" s="63">
        <v>122</v>
      </c>
      <c r="BB388" s="63">
        <v>134</v>
      </c>
      <c r="BC388" s="63">
        <v>115</v>
      </c>
      <c r="BD388" s="63">
        <v>143</v>
      </c>
      <c r="BE388" s="63">
        <v>130</v>
      </c>
      <c r="BF388" s="63">
        <v>132</v>
      </c>
      <c r="BG388" s="63">
        <v>147</v>
      </c>
      <c r="BH388" s="63">
        <v>136</v>
      </c>
    </row>
    <row r="389" spans="2:60" hidden="1" x14ac:dyDescent="0.2">
      <c r="B389" s="57"/>
      <c r="C389" s="57" t="s">
        <v>694</v>
      </c>
      <c r="D389" s="57" t="s">
        <v>648</v>
      </c>
      <c r="E389" s="62">
        <v>84</v>
      </c>
      <c r="F389" s="62">
        <v>61</v>
      </c>
      <c r="G389" s="62">
        <v>64</v>
      </c>
      <c r="H389" s="62">
        <v>68</v>
      </c>
      <c r="I389" s="62">
        <v>83</v>
      </c>
      <c r="J389" s="62">
        <v>64</v>
      </c>
      <c r="K389" s="62">
        <v>78</v>
      </c>
      <c r="L389" s="62">
        <v>66</v>
      </c>
      <c r="M389" s="62">
        <v>79</v>
      </c>
      <c r="N389" s="62">
        <v>61</v>
      </c>
      <c r="O389" s="62">
        <v>71</v>
      </c>
      <c r="P389" s="62">
        <v>62</v>
      </c>
      <c r="Q389" s="62">
        <v>81</v>
      </c>
      <c r="R389" s="62">
        <v>73</v>
      </c>
      <c r="S389" s="62">
        <v>75</v>
      </c>
      <c r="T389" s="62">
        <v>58</v>
      </c>
      <c r="U389" s="62">
        <v>90</v>
      </c>
      <c r="V389" s="62">
        <v>69</v>
      </c>
      <c r="W389" s="62">
        <v>85</v>
      </c>
      <c r="X389" s="62">
        <v>90</v>
      </c>
      <c r="Y389" s="62">
        <v>103</v>
      </c>
      <c r="Z389" s="62">
        <v>80</v>
      </c>
      <c r="AA389" s="62">
        <v>81</v>
      </c>
      <c r="AB389" s="62">
        <v>67</v>
      </c>
      <c r="AC389" s="62">
        <v>91</v>
      </c>
      <c r="AD389" s="62">
        <v>78</v>
      </c>
      <c r="AE389" s="62">
        <v>92</v>
      </c>
      <c r="AF389" s="62">
        <v>74</v>
      </c>
      <c r="AG389" s="62">
        <v>80</v>
      </c>
      <c r="AH389" s="62">
        <v>72</v>
      </c>
      <c r="AI389" s="62">
        <v>75</v>
      </c>
      <c r="AJ389" s="62">
        <v>78</v>
      </c>
      <c r="AK389" s="62">
        <v>89</v>
      </c>
      <c r="AL389" s="62">
        <v>70</v>
      </c>
      <c r="AM389" s="62">
        <v>62</v>
      </c>
      <c r="AN389" s="62">
        <v>74</v>
      </c>
      <c r="AO389" s="62">
        <v>73</v>
      </c>
      <c r="AP389" s="62">
        <v>79</v>
      </c>
      <c r="AQ389" s="62">
        <v>54</v>
      </c>
      <c r="AR389" s="62">
        <v>45</v>
      </c>
      <c r="AS389" s="62">
        <v>62</v>
      </c>
      <c r="AT389" s="62">
        <v>58</v>
      </c>
      <c r="AU389" s="62">
        <v>54</v>
      </c>
      <c r="AV389" s="62">
        <v>64</v>
      </c>
      <c r="AW389" s="62">
        <v>63</v>
      </c>
      <c r="AX389" s="62">
        <v>57</v>
      </c>
      <c r="AY389" s="62">
        <v>54</v>
      </c>
      <c r="AZ389" s="62">
        <v>69</v>
      </c>
      <c r="BA389" s="62">
        <v>64</v>
      </c>
      <c r="BB389" s="62">
        <v>78</v>
      </c>
      <c r="BC389" s="62">
        <v>79</v>
      </c>
      <c r="BD389" s="62">
        <v>69</v>
      </c>
      <c r="BE389" s="62">
        <v>67</v>
      </c>
      <c r="BF389" s="62">
        <v>76</v>
      </c>
      <c r="BG389" s="62">
        <v>83</v>
      </c>
      <c r="BH389" s="62">
        <v>57</v>
      </c>
    </row>
    <row r="390" spans="2:60" hidden="1" x14ac:dyDescent="0.2">
      <c r="B390" s="59"/>
      <c r="C390" s="59" t="s">
        <v>694</v>
      </c>
      <c r="D390" s="59" t="s">
        <v>649</v>
      </c>
      <c r="E390" s="63">
        <v>435</v>
      </c>
      <c r="F390" s="63">
        <v>300</v>
      </c>
      <c r="G390" s="63">
        <v>382</v>
      </c>
      <c r="H390" s="63">
        <v>327</v>
      </c>
      <c r="I390" s="63">
        <v>399</v>
      </c>
      <c r="J390" s="63">
        <v>312</v>
      </c>
      <c r="K390" s="63">
        <v>349</v>
      </c>
      <c r="L390" s="63">
        <v>310</v>
      </c>
      <c r="M390" s="63">
        <v>409</v>
      </c>
      <c r="N390" s="63">
        <v>327</v>
      </c>
      <c r="O390" s="63">
        <v>348</v>
      </c>
      <c r="P390" s="63">
        <v>352</v>
      </c>
      <c r="Q390" s="63">
        <v>435</v>
      </c>
      <c r="R390" s="63">
        <v>383</v>
      </c>
      <c r="S390" s="63">
        <v>392</v>
      </c>
      <c r="T390" s="63">
        <v>375</v>
      </c>
      <c r="U390" s="63">
        <v>518</v>
      </c>
      <c r="V390" s="63">
        <v>401</v>
      </c>
      <c r="W390" s="63">
        <v>416</v>
      </c>
      <c r="X390" s="63">
        <v>386</v>
      </c>
      <c r="Y390" s="63">
        <v>538</v>
      </c>
      <c r="Z390" s="63">
        <v>451</v>
      </c>
      <c r="AA390" s="63">
        <v>446</v>
      </c>
      <c r="AB390" s="63">
        <v>415</v>
      </c>
      <c r="AC390" s="63">
        <v>488</v>
      </c>
      <c r="AD390" s="63">
        <v>414</v>
      </c>
      <c r="AE390" s="63">
        <v>381</v>
      </c>
      <c r="AF390" s="63">
        <v>394</v>
      </c>
      <c r="AG390" s="63">
        <v>422</v>
      </c>
      <c r="AH390" s="63">
        <v>416</v>
      </c>
      <c r="AI390" s="63">
        <v>362</v>
      </c>
      <c r="AJ390" s="63">
        <v>395</v>
      </c>
      <c r="AK390" s="63">
        <v>365</v>
      </c>
      <c r="AL390" s="63">
        <v>383</v>
      </c>
      <c r="AM390" s="63">
        <v>406</v>
      </c>
      <c r="AN390" s="63">
        <v>295</v>
      </c>
      <c r="AO390" s="63">
        <v>417</v>
      </c>
      <c r="AP390" s="63">
        <v>324</v>
      </c>
      <c r="AQ390" s="63">
        <v>339</v>
      </c>
      <c r="AR390" s="63">
        <v>323</v>
      </c>
      <c r="AS390" s="63">
        <v>305</v>
      </c>
      <c r="AT390" s="63">
        <v>337</v>
      </c>
      <c r="AU390" s="63">
        <v>264</v>
      </c>
      <c r="AV390" s="63">
        <v>252</v>
      </c>
      <c r="AW390" s="63">
        <v>316</v>
      </c>
      <c r="AX390" s="63">
        <v>281</v>
      </c>
      <c r="AY390" s="63">
        <v>285</v>
      </c>
      <c r="AZ390" s="63">
        <v>261</v>
      </c>
      <c r="BA390" s="63">
        <v>307</v>
      </c>
      <c r="BB390" s="63">
        <v>252</v>
      </c>
      <c r="BC390" s="63">
        <v>265</v>
      </c>
      <c r="BD390" s="63">
        <v>254</v>
      </c>
      <c r="BE390" s="63">
        <v>264</v>
      </c>
      <c r="BF390" s="63">
        <v>255</v>
      </c>
      <c r="BG390" s="63">
        <v>266</v>
      </c>
      <c r="BH390" s="63">
        <v>243</v>
      </c>
    </row>
    <row r="391" spans="2:60" hidden="1" x14ac:dyDescent="0.2">
      <c r="B391" s="57"/>
      <c r="C391" s="57" t="s">
        <v>694</v>
      </c>
      <c r="D391" s="57" t="s">
        <v>650</v>
      </c>
      <c r="E391" s="62">
        <v>145</v>
      </c>
      <c r="F391" s="62">
        <v>107</v>
      </c>
      <c r="G391" s="62">
        <v>129</v>
      </c>
      <c r="H391" s="62">
        <v>109</v>
      </c>
      <c r="I391" s="62">
        <v>131</v>
      </c>
      <c r="J391" s="62">
        <v>128</v>
      </c>
      <c r="K391" s="62">
        <v>138</v>
      </c>
      <c r="L391" s="62">
        <v>143</v>
      </c>
      <c r="M391" s="62">
        <v>164</v>
      </c>
      <c r="N391" s="62">
        <v>127</v>
      </c>
      <c r="O391" s="62">
        <v>138</v>
      </c>
      <c r="P391" s="62">
        <v>122</v>
      </c>
      <c r="Q391" s="62">
        <v>198</v>
      </c>
      <c r="R391" s="62">
        <v>177</v>
      </c>
      <c r="S391" s="62">
        <v>173</v>
      </c>
      <c r="T391" s="62">
        <v>164</v>
      </c>
      <c r="U391" s="62">
        <v>223</v>
      </c>
      <c r="V391" s="62">
        <v>199</v>
      </c>
      <c r="W391" s="62">
        <v>186</v>
      </c>
      <c r="X391" s="62">
        <v>206</v>
      </c>
      <c r="Y391" s="62">
        <v>270</v>
      </c>
      <c r="Z391" s="62">
        <v>203</v>
      </c>
      <c r="AA391" s="62">
        <v>221</v>
      </c>
      <c r="AB391" s="62">
        <v>216</v>
      </c>
      <c r="AC391" s="62">
        <v>260</v>
      </c>
      <c r="AD391" s="62">
        <v>251</v>
      </c>
      <c r="AE391" s="62">
        <v>228</v>
      </c>
      <c r="AF391" s="62">
        <v>234</v>
      </c>
      <c r="AG391" s="62">
        <v>253</v>
      </c>
      <c r="AH391" s="62">
        <v>218</v>
      </c>
      <c r="AI391" s="62">
        <v>205</v>
      </c>
      <c r="AJ391" s="62">
        <v>258</v>
      </c>
      <c r="AK391" s="62">
        <v>211</v>
      </c>
      <c r="AL391" s="62">
        <v>212</v>
      </c>
      <c r="AM391" s="62">
        <v>220</v>
      </c>
      <c r="AN391" s="62">
        <v>222</v>
      </c>
      <c r="AO391" s="62">
        <v>266</v>
      </c>
      <c r="AP391" s="62">
        <v>212</v>
      </c>
      <c r="AQ391" s="62">
        <v>191</v>
      </c>
      <c r="AR391" s="62">
        <v>161</v>
      </c>
      <c r="AS391" s="62">
        <v>180</v>
      </c>
      <c r="AT391" s="62">
        <v>144</v>
      </c>
      <c r="AU391" s="62">
        <v>140</v>
      </c>
      <c r="AV391" s="62">
        <v>153</v>
      </c>
      <c r="AW391" s="62">
        <v>180</v>
      </c>
      <c r="AX391" s="62">
        <v>159</v>
      </c>
      <c r="AY391" s="62">
        <v>165</v>
      </c>
      <c r="AZ391" s="62">
        <v>170</v>
      </c>
      <c r="BA391" s="62">
        <v>160</v>
      </c>
      <c r="BB391" s="62">
        <v>154</v>
      </c>
      <c r="BC391" s="62">
        <v>151</v>
      </c>
      <c r="BD391" s="62">
        <v>165</v>
      </c>
      <c r="BE391" s="62">
        <v>138</v>
      </c>
      <c r="BF391" s="62">
        <v>146</v>
      </c>
      <c r="BG391" s="62">
        <v>156</v>
      </c>
      <c r="BH391" s="62">
        <v>146</v>
      </c>
    </row>
    <row r="392" spans="2:60" hidden="1" x14ac:dyDescent="0.2">
      <c r="B392" s="59"/>
      <c r="C392" s="59" t="s">
        <v>694</v>
      </c>
      <c r="D392" s="59" t="s">
        <v>651</v>
      </c>
      <c r="E392" s="63">
        <v>115</v>
      </c>
      <c r="F392" s="63">
        <v>106</v>
      </c>
      <c r="G392" s="63">
        <v>92</v>
      </c>
      <c r="H392" s="63">
        <v>85</v>
      </c>
      <c r="I392" s="63">
        <v>97</v>
      </c>
      <c r="J392" s="63">
        <v>111</v>
      </c>
      <c r="K392" s="63">
        <v>94</v>
      </c>
      <c r="L392" s="63">
        <v>82</v>
      </c>
      <c r="M392" s="63">
        <v>100</v>
      </c>
      <c r="N392" s="63">
        <v>83</v>
      </c>
      <c r="O392" s="63">
        <v>100</v>
      </c>
      <c r="P392" s="63">
        <v>78</v>
      </c>
      <c r="Q392" s="63">
        <v>100</v>
      </c>
      <c r="R392" s="63">
        <v>62</v>
      </c>
      <c r="S392" s="63">
        <v>105</v>
      </c>
      <c r="T392" s="63">
        <v>79</v>
      </c>
      <c r="U392" s="63">
        <v>71</v>
      </c>
      <c r="V392" s="63">
        <v>98</v>
      </c>
      <c r="W392" s="63">
        <v>65</v>
      </c>
      <c r="X392" s="63">
        <v>63</v>
      </c>
      <c r="Y392" s="63">
        <v>99</v>
      </c>
      <c r="Z392" s="63">
        <v>76</v>
      </c>
      <c r="AA392" s="63">
        <v>81</v>
      </c>
      <c r="AB392" s="63">
        <v>76</v>
      </c>
      <c r="AC392" s="63">
        <v>97</v>
      </c>
      <c r="AD392" s="63">
        <v>81</v>
      </c>
      <c r="AE392" s="63">
        <v>80</v>
      </c>
      <c r="AF392" s="63">
        <v>70</v>
      </c>
      <c r="AG392" s="63">
        <v>70</v>
      </c>
      <c r="AH392" s="63">
        <v>70</v>
      </c>
      <c r="AI392" s="63">
        <v>75</v>
      </c>
      <c r="AJ392" s="63">
        <v>73</v>
      </c>
      <c r="AK392" s="63">
        <v>83</v>
      </c>
      <c r="AL392" s="63">
        <v>69</v>
      </c>
      <c r="AM392" s="63">
        <v>73</v>
      </c>
      <c r="AN392" s="63">
        <v>52</v>
      </c>
      <c r="AO392" s="63">
        <v>79</v>
      </c>
      <c r="AP392" s="63">
        <v>53</v>
      </c>
      <c r="AQ392" s="63">
        <v>66</v>
      </c>
      <c r="AR392" s="63">
        <v>61</v>
      </c>
      <c r="AS392" s="63">
        <v>65</v>
      </c>
      <c r="AT392" s="63">
        <v>65</v>
      </c>
      <c r="AU392" s="63">
        <v>52</v>
      </c>
      <c r="AV392" s="63">
        <v>49</v>
      </c>
      <c r="AW392" s="63">
        <v>60</v>
      </c>
      <c r="AX392" s="63">
        <v>49</v>
      </c>
      <c r="AY392" s="63">
        <v>49</v>
      </c>
      <c r="AZ392" s="63">
        <v>37</v>
      </c>
      <c r="BA392" s="63">
        <v>73</v>
      </c>
      <c r="BB392" s="63">
        <v>67</v>
      </c>
      <c r="BC392" s="63">
        <v>55</v>
      </c>
      <c r="BD392" s="63">
        <v>47</v>
      </c>
      <c r="BE392" s="63">
        <v>42</v>
      </c>
      <c r="BF392" s="63">
        <v>53</v>
      </c>
      <c r="BG392" s="63">
        <v>62</v>
      </c>
      <c r="BH392" s="63">
        <v>59</v>
      </c>
    </row>
    <row r="393" spans="2:60" hidden="1" x14ac:dyDescent="0.2">
      <c r="B393" s="57"/>
      <c r="C393" s="57" t="s">
        <v>694</v>
      </c>
      <c r="D393" s="57" t="s">
        <v>652</v>
      </c>
      <c r="E393" s="62">
        <v>709</v>
      </c>
      <c r="F393" s="62">
        <v>600</v>
      </c>
      <c r="G393" s="62">
        <v>654</v>
      </c>
      <c r="H393" s="62">
        <v>584</v>
      </c>
      <c r="I393" s="62">
        <v>686</v>
      </c>
      <c r="J393" s="62">
        <v>586</v>
      </c>
      <c r="K393" s="62">
        <v>647</v>
      </c>
      <c r="L393" s="62">
        <v>587</v>
      </c>
      <c r="M393" s="62">
        <v>690</v>
      </c>
      <c r="N393" s="62">
        <v>594</v>
      </c>
      <c r="O393" s="62">
        <v>579</v>
      </c>
      <c r="P393" s="62">
        <v>613</v>
      </c>
      <c r="Q393" s="62">
        <v>642</v>
      </c>
      <c r="R393" s="62">
        <v>526</v>
      </c>
      <c r="S393" s="62">
        <v>597</v>
      </c>
      <c r="T393" s="62">
        <v>553</v>
      </c>
      <c r="U393" s="62">
        <v>674</v>
      </c>
      <c r="V393" s="62">
        <v>601</v>
      </c>
      <c r="W393" s="62">
        <v>592</v>
      </c>
      <c r="X393" s="62">
        <v>605</v>
      </c>
      <c r="Y393" s="62">
        <v>691</v>
      </c>
      <c r="Z393" s="62">
        <v>592</v>
      </c>
      <c r="AA393" s="62">
        <v>584</v>
      </c>
      <c r="AB393" s="62">
        <v>494</v>
      </c>
      <c r="AC393" s="62">
        <v>653</v>
      </c>
      <c r="AD393" s="62">
        <v>542</v>
      </c>
      <c r="AE393" s="62">
        <v>495</v>
      </c>
      <c r="AF393" s="62">
        <v>490</v>
      </c>
      <c r="AG393" s="62">
        <v>565</v>
      </c>
      <c r="AH393" s="62">
        <v>497</v>
      </c>
      <c r="AI393" s="62">
        <v>456</v>
      </c>
      <c r="AJ393" s="62">
        <v>573</v>
      </c>
      <c r="AK393" s="62">
        <v>506</v>
      </c>
      <c r="AL393" s="62">
        <v>621</v>
      </c>
      <c r="AM393" s="62">
        <v>496</v>
      </c>
      <c r="AN393" s="62">
        <v>437</v>
      </c>
      <c r="AO393" s="62">
        <v>497</v>
      </c>
      <c r="AP393" s="62">
        <v>459</v>
      </c>
      <c r="AQ393" s="62">
        <v>460</v>
      </c>
      <c r="AR393" s="62">
        <v>476</v>
      </c>
      <c r="AS393" s="62">
        <v>510</v>
      </c>
      <c r="AT393" s="62">
        <v>489</v>
      </c>
      <c r="AU393" s="62">
        <v>460</v>
      </c>
      <c r="AV393" s="62">
        <v>464</v>
      </c>
      <c r="AW393" s="62">
        <v>459</v>
      </c>
      <c r="AX393" s="62">
        <v>446</v>
      </c>
      <c r="AY393" s="62">
        <v>479</v>
      </c>
      <c r="AZ393" s="62">
        <v>460</v>
      </c>
      <c r="BA393" s="62">
        <v>491</v>
      </c>
      <c r="BB393" s="62">
        <v>466</v>
      </c>
      <c r="BC393" s="62">
        <v>445</v>
      </c>
      <c r="BD393" s="62">
        <v>480</v>
      </c>
      <c r="BE393" s="62">
        <v>441</v>
      </c>
      <c r="BF393" s="62">
        <v>458</v>
      </c>
      <c r="BG393" s="62">
        <v>443</v>
      </c>
      <c r="BH393" s="62">
        <v>465</v>
      </c>
    </row>
    <row r="394" spans="2:60" hidden="1" x14ac:dyDescent="0.2">
      <c r="B394" s="59"/>
      <c r="C394" s="59" t="s">
        <v>694</v>
      </c>
      <c r="D394" s="59" t="s">
        <v>653</v>
      </c>
      <c r="E394" s="63">
        <v>413</v>
      </c>
      <c r="F394" s="63">
        <v>328</v>
      </c>
      <c r="G394" s="63">
        <v>326</v>
      </c>
      <c r="H394" s="63">
        <v>374</v>
      </c>
      <c r="I394" s="63">
        <v>428</v>
      </c>
      <c r="J394" s="63">
        <v>348</v>
      </c>
      <c r="K394" s="63">
        <v>332</v>
      </c>
      <c r="L394" s="63">
        <v>390</v>
      </c>
      <c r="M394" s="63">
        <v>433</v>
      </c>
      <c r="N394" s="63">
        <v>391</v>
      </c>
      <c r="O394" s="63">
        <v>369</v>
      </c>
      <c r="P394" s="63">
        <v>376</v>
      </c>
      <c r="Q394" s="63">
        <v>424</v>
      </c>
      <c r="R394" s="63">
        <v>385</v>
      </c>
      <c r="S394" s="63">
        <v>418</v>
      </c>
      <c r="T394" s="63">
        <v>440</v>
      </c>
      <c r="U394" s="63">
        <v>456</v>
      </c>
      <c r="V394" s="63">
        <v>335</v>
      </c>
      <c r="W394" s="63">
        <v>403</v>
      </c>
      <c r="X394" s="63">
        <v>367</v>
      </c>
      <c r="Y394" s="63">
        <v>467</v>
      </c>
      <c r="Z394" s="63">
        <v>385</v>
      </c>
      <c r="AA394" s="63">
        <v>381</v>
      </c>
      <c r="AB394" s="63">
        <v>376</v>
      </c>
      <c r="AC394" s="63">
        <v>415</v>
      </c>
      <c r="AD394" s="63">
        <v>349</v>
      </c>
      <c r="AE394" s="63">
        <v>355</v>
      </c>
      <c r="AF394" s="63">
        <v>374</v>
      </c>
      <c r="AG394" s="63">
        <v>414</v>
      </c>
      <c r="AH394" s="63">
        <v>373</v>
      </c>
      <c r="AI394" s="63">
        <v>365</v>
      </c>
      <c r="AJ394" s="63">
        <v>433</v>
      </c>
      <c r="AK394" s="63">
        <v>393</v>
      </c>
      <c r="AL394" s="63">
        <v>347</v>
      </c>
      <c r="AM394" s="63">
        <v>311</v>
      </c>
      <c r="AN394" s="63">
        <v>323</v>
      </c>
      <c r="AO394" s="63">
        <v>374</v>
      </c>
      <c r="AP394" s="63">
        <v>304</v>
      </c>
      <c r="AQ394" s="63">
        <v>318</v>
      </c>
      <c r="AR394" s="63">
        <v>305</v>
      </c>
      <c r="AS394" s="63">
        <v>315</v>
      </c>
      <c r="AT394" s="63">
        <v>300</v>
      </c>
      <c r="AU394" s="63">
        <v>284</v>
      </c>
      <c r="AV394" s="63">
        <v>287</v>
      </c>
      <c r="AW394" s="63">
        <v>315</v>
      </c>
      <c r="AX394" s="63">
        <v>337</v>
      </c>
      <c r="AY394" s="63">
        <v>308</v>
      </c>
      <c r="AZ394" s="63">
        <v>305</v>
      </c>
      <c r="BA394" s="63">
        <v>355</v>
      </c>
      <c r="BB394" s="63">
        <v>319</v>
      </c>
      <c r="BC394" s="63">
        <v>377</v>
      </c>
      <c r="BD394" s="63">
        <v>384</v>
      </c>
      <c r="BE394" s="63">
        <v>367</v>
      </c>
      <c r="BF394" s="63">
        <v>355</v>
      </c>
      <c r="BG394" s="63">
        <v>376</v>
      </c>
      <c r="BH394" s="63">
        <v>403</v>
      </c>
    </row>
    <row r="395" spans="2:60" hidden="1" x14ac:dyDescent="0.2">
      <c r="B395" s="57"/>
      <c r="C395" s="57" t="s">
        <v>694</v>
      </c>
      <c r="D395" s="57" t="s">
        <v>654</v>
      </c>
      <c r="E395" s="62">
        <v>16</v>
      </c>
      <c r="F395" s="62">
        <v>9</v>
      </c>
      <c r="G395" s="62">
        <v>13</v>
      </c>
      <c r="H395" s="62">
        <v>18</v>
      </c>
      <c r="I395" s="62">
        <v>20</v>
      </c>
      <c r="J395" s="62">
        <v>17</v>
      </c>
      <c r="K395" s="62">
        <v>28</v>
      </c>
      <c r="L395" s="62">
        <v>20</v>
      </c>
      <c r="M395" s="62">
        <v>18</v>
      </c>
      <c r="N395" s="62">
        <v>16</v>
      </c>
      <c r="O395" s="62">
        <v>9</v>
      </c>
      <c r="P395" s="62">
        <v>15</v>
      </c>
      <c r="Q395" s="62">
        <v>31</v>
      </c>
      <c r="R395" s="62">
        <v>18</v>
      </c>
      <c r="S395" s="62">
        <v>20</v>
      </c>
      <c r="T395" s="62">
        <v>28</v>
      </c>
      <c r="U395" s="62">
        <v>37</v>
      </c>
      <c r="V395" s="62">
        <v>22</v>
      </c>
      <c r="W395" s="62">
        <v>27</v>
      </c>
      <c r="X395" s="62">
        <v>19</v>
      </c>
      <c r="Y395" s="62">
        <v>33</v>
      </c>
      <c r="Z395" s="62">
        <v>32</v>
      </c>
      <c r="AA395" s="62">
        <v>20</v>
      </c>
      <c r="AB395" s="62">
        <v>31</v>
      </c>
      <c r="AC395" s="62">
        <v>28</v>
      </c>
      <c r="AD395" s="62">
        <v>20</v>
      </c>
      <c r="AE395" s="62">
        <v>27</v>
      </c>
      <c r="AF395" s="62">
        <v>25</v>
      </c>
      <c r="AG395" s="62">
        <v>30</v>
      </c>
      <c r="AH395" s="62">
        <v>35</v>
      </c>
      <c r="AI395" s="62">
        <v>18</v>
      </c>
      <c r="AJ395" s="62">
        <v>28</v>
      </c>
      <c r="AK395" s="62">
        <v>30</v>
      </c>
      <c r="AL395" s="62">
        <v>29</v>
      </c>
      <c r="AM395" s="62">
        <v>25</v>
      </c>
      <c r="AN395" s="62">
        <v>39</v>
      </c>
      <c r="AO395" s="62">
        <v>31</v>
      </c>
      <c r="AP395" s="62">
        <v>23</v>
      </c>
      <c r="AQ395" s="62">
        <v>27</v>
      </c>
      <c r="AR395" s="62">
        <v>32</v>
      </c>
      <c r="AS395" s="62">
        <v>35</v>
      </c>
      <c r="AT395" s="62">
        <v>32</v>
      </c>
      <c r="AU395" s="62">
        <v>23</v>
      </c>
      <c r="AV395" s="62">
        <v>26</v>
      </c>
      <c r="AW395" s="62">
        <v>34</v>
      </c>
      <c r="AX395" s="62">
        <v>32</v>
      </c>
      <c r="AY395" s="62">
        <v>34</v>
      </c>
      <c r="AZ395" s="62">
        <v>21</v>
      </c>
      <c r="BA395" s="62">
        <v>29</v>
      </c>
      <c r="BB395" s="62">
        <v>19</v>
      </c>
      <c r="BC395" s="62">
        <v>27</v>
      </c>
      <c r="BD395" s="62">
        <v>31</v>
      </c>
      <c r="BE395" s="62">
        <v>31</v>
      </c>
      <c r="BF395" s="62">
        <v>33</v>
      </c>
      <c r="BG395" s="62">
        <v>18</v>
      </c>
      <c r="BH395" s="62">
        <v>35</v>
      </c>
    </row>
    <row r="396" spans="2:60" hidden="1" x14ac:dyDescent="0.2">
      <c r="B396" s="59"/>
      <c r="C396" s="59" t="s">
        <v>694</v>
      </c>
      <c r="D396" s="59" t="s">
        <v>655</v>
      </c>
      <c r="E396" s="63">
        <v>21</v>
      </c>
      <c r="F396" s="63">
        <v>13</v>
      </c>
      <c r="G396" s="63">
        <v>14</v>
      </c>
      <c r="H396" s="63">
        <v>27</v>
      </c>
      <c r="I396" s="63">
        <v>31</v>
      </c>
      <c r="J396" s="63">
        <v>22</v>
      </c>
      <c r="K396" s="63">
        <v>27</v>
      </c>
      <c r="L396" s="63">
        <v>15</v>
      </c>
      <c r="M396" s="63">
        <v>27</v>
      </c>
      <c r="N396" s="63">
        <v>16</v>
      </c>
      <c r="O396" s="63">
        <v>19</v>
      </c>
      <c r="P396" s="63">
        <v>17</v>
      </c>
      <c r="Q396" s="63">
        <v>30</v>
      </c>
      <c r="R396" s="63">
        <v>16</v>
      </c>
      <c r="S396" s="63">
        <v>31</v>
      </c>
      <c r="T396" s="63">
        <v>27</v>
      </c>
      <c r="U396" s="63">
        <v>42</v>
      </c>
      <c r="V396" s="63">
        <v>32</v>
      </c>
      <c r="W396" s="63">
        <v>38</v>
      </c>
      <c r="X396" s="63">
        <v>24</v>
      </c>
      <c r="Y396" s="63">
        <v>36</v>
      </c>
      <c r="Z396" s="63">
        <v>32</v>
      </c>
      <c r="AA396" s="63">
        <v>40</v>
      </c>
      <c r="AB396" s="63">
        <v>35</v>
      </c>
      <c r="AC396" s="63">
        <v>34</v>
      </c>
      <c r="AD396" s="63">
        <v>34</v>
      </c>
      <c r="AE396" s="63">
        <v>19</v>
      </c>
      <c r="AF396" s="63">
        <v>30</v>
      </c>
      <c r="AG396" s="63">
        <v>34</v>
      </c>
      <c r="AH396" s="63">
        <v>24</v>
      </c>
      <c r="AI396" s="63">
        <v>35</v>
      </c>
      <c r="AJ396" s="63">
        <v>38</v>
      </c>
      <c r="AK396" s="63">
        <v>36</v>
      </c>
      <c r="AL396" s="63">
        <v>22</v>
      </c>
      <c r="AM396" s="63">
        <v>31</v>
      </c>
      <c r="AN396" s="63">
        <v>35</v>
      </c>
      <c r="AO396" s="63">
        <v>46</v>
      </c>
      <c r="AP396" s="63">
        <v>31</v>
      </c>
      <c r="AQ396" s="63">
        <v>33</v>
      </c>
      <c r="AR396" s="63">
        <v>35</v>
      </c>
      <c r="AS396" s="63">
        <v>37</v>
      </c>
      <c r="AT396" s="63">
        <v>30</v>
      </c>
      <c r="AU396" s="63">
        <v>30</v>
      </c>
      <c r="AV396" s="63">
        <v>17</v>
      </c>
      <c r="AW396" s="63">
        <v>36</v>
      </c>
      <c r="AX396" s="63">
        <v>47</v>
      </c>
      <c r="AY396" s="63">
        <v>30</v>
      </c>
      <c r="AZ396" s="63">
        <v>34</v>
      </c>
      <c r="BA396" s="63">
        <v>33</v>
      </c>
      <c r="BB396" s="63">
        <v>19</v>
      </c>
      <c r="BC396" s="63">
        <v>17</v>
      </c>
      <c r="BD396" s="63">
        <v>36</v>
      </c>
      <c r="BE396" s="63">
        <v>33</v>
      </c>
      <c r="BF396" s="63">
        <v>28</v>
      </c>
      <c r="BG396" s="63">
        <v>22</v>
      </c>
      <c r="BH396" s="63">
        <v>38</v>
      </c>
    </row>
    <row r="397" spans="2:60" hidden="1" x14ac:dyDescent="0.2">
      <c r="B397" s="57"/>
      <c r="C397" s="57" t="s">
        <v>694</v>
      </c>
      <c r="D397" s="57" t="s">
        <v>699</v>
      </c>
      <c r="E397" s="62">
        <v>465</v>
      </c>
      <c r="F397" s="62">
        <v>280</v>
      </c>
      <c r="G397" s="62">
        <v>377</v>
      </c>
      <c r="H397" s="62">
        <v>289</v>
      </c>
      <c r="I397" s="62">
        <v>528</v>
      </c>
      <c r="J397" s="62">
        <v>286</v>
      </c>
      <c r="K397" s="62">
        <v>459</v>
      </c>
      <c r="L397" s="62">
        <v>269</v>
      </c>
      <c r="M397" s="62">
        <v>491</v>
      </c>
      <c r="N397" s="62">
        <v>240</v>
      </c>
      <c r="O397" s="62">
        <v>408</v>
      </c>
      <c r="P397" s="62">
        <v>303</v>
      </c>
      <c r="Q397" s="62">
        <v>566</v>
      </c>
      <c r="R397" s="62">
        <v>251</v>
      </c>
      <c r="S397" s="62">
        <v>352</v>
      </c>
      <c r="T397" s="62">
        <v>275</v>
      </c>
      <c r="U397" s="62">
        <v>524</v>
      </c>
      <c r="V397" s="62">
        <v>266</v>
      </c>
      <c r="W397" s="62">
        <v>392</v>
      </c>
      <c r="X397" s="62">
        <v>264</v>
      </c>
      <c r="Y397" s="62">
        <v>379</v>
      </c>
      <c r="Z397" s="62">
        <v>193</v>
      </c>
      <c r="AA397" s="62">
        <v>267</v>
      </c>
      <c r="AB397" s="62">
        <v>221</v>
      </c>
      <c r="AC397" s="62">
        <v>332</v>
      </c>
      <c r="AD397" s="62">
        <v>259</v>
      </c>
      <c r="AE397" s="62">
        <v>262</v>
      </c>
      <c r="AF397" s="62">
        <v>187</v>
      </c>
      <c r="AG397" s="62">
        <v>299</v>
      </c>
      <c r="AH397" s="62">
        <v>176</v>
      </c>
      <c r="AI397" s="62">
        <v>256</v>
      </c>
      <c r="AJ397" s="62">
        <v>170</v>
      </c>
      <c r="AK397" s="62">
        <v>142</v>
      </c>
      <c r="AL397" s="62">
        <v>268</v>
      </c>
      <c r="AM397" s="62">
        <v>133</v>
      </c>
      <c r="AN397" s="62">
        <v>126</v>
      </c>
      <c r="AO397" s="62">
        <v>163</v>
      </c>
      <c r="AP397" s="62">
        <v>144</v>
      </c>
      <c r="AQ397" s="62">
        <v>167</v>
      </c>
      <c r="AR397" s="62">
        <v>130</v>
      </c>
      <c r="AS397" s="62">
        <v>175</v>
      </c>
      <c r="AT397" s="62">
        <v>202</v>
      </c>
      <c r="AU397" s="62">
        <v>211</v>
      </c>
      <c r="AV397" s="62">
        <v>189</v>
      </c>
      <c r="AW397" s="62">
        <v>262</v>
      </c>
      <c r="AX397" s="62">
        <v>225</v>
      </c>
      <c r="AY397" s="62">
        <v>245</v>
      </c>
      <c r="AZ397" s="62">
        <v>123</v>
      </c>
      <c r="BA397" s="62">
        <v>260</v>
      </c>
      <c r="BB397" s="62">
        <v>198</v>
      </c>
      <c r="BC397" s="62">
        <v>183</v>
      </c>
      <c r="BD397" s="62">
        <v>195</v>
      </c>
      <c r="BE397" s="62">
        <v>185</v>
      </c>
      <c r="BF397" s="62">
        <v>191</v>
      </c>
      <c r="BG397" s="62">
        <v>202</v>
      </c>
      <c r="BH397" s="62">
        <v>159</v>
      </c>
    </row>
    <row r="398" spans="2:60" hidden="1" x14ac:dyDescent="0.2">
      <c r="B398" s="59"/>
      <c r="C398" s="59" t="s">
        <v>694</v>
      </c>
      <c r="D398" s="59" t="s">
        <v>656</v>
      </c>
      <c r="E398" s="63">
        <v>2403</v>
      </c>
      <c r="F398" s="63">
        <v>1804</v>
      </c>
      <c r="G398" s="63">
        <v>2051</v>
      </c>
      <c r="H398" s="63">
        <v>1881</v>
      </c>
      <c r="I398" s="63">
        <v>2403</v>
      </c>
      <c r="J398" s="63">
        <v>1874</v>
      </c>
      <c r="K398" s="63">
        <v>2152</v>
      </c>
      <c r="L398" s="63">
        <v>1882</v>
      </c>
      <c r="M398" s="63">
        <v>2411</v>
      </c>
      <c r="N398" s="63">
        <v>1855</v>
      </c>
      <c r="O398" s="63">
        <v>2041</v>
      </c>
      <c r="P398" s="63">
        <v>1938</v>
      </c>
      <c r="Q398" s="63">
        <v>2507</v>
      </c>
      <c r="R398" s="63">
        <v>1891</v>
      </c>
      <c r="S398" s="63">
        <v>2163</v>
      </c>
      <c r="T398" s="63">
        <v>1999</v>
      </c>
      <c r="U398" s="63">
        <v>2635</v>
      </c>
      <c r="V398" s="63">
        <v>2023</v>
      </c>
      <c r="W398" s="63">
        <v>2204</v>
      </c>
      <c r="X398" s="63">
        <v>2024</v>
      </c>
      <c r="Y398" s="63">
        <v>2616</v>
      </c>
      <c r="Z398" s="63">
        <v>2044</v>
      </c>
      <c r="AA398" s="63">
        <v>2121</v>
      </c>
      <c r="AB398" s="63">
        <v>1931</v>
      </c>
      <c r="AC398" s="63">
        <v>2398</v>
      </c>
      <c r="AD398" s="63">
        <v>2028</v>
      </c>
      <c r="AE398" s="63">
        <v>1939</v>
      </c>
      <c r="AF398" s="63">
        <v>1878</v>
      </c>
      <c r="AG398" s="63">
        <v>2167</v>
      </c>
      <c r="AH398" s="63">
        <v>1881</v>
      </c>
      <c r="AI398" s="63">
        <v>1847</v>
      </c>
      <c r="AJ398" s="63">
        <v>2046</v>
      </c>
      <c r="AK398" s="63">
        <v>1855</v>
      </c>
      <c r="AL398" s="63">
        <v>2021</v>
      </c>
      <c r="AM398" s="63">
        <v>1757</v>
      </c>
      <c r="AN398" s="63">
        <v>1603</v>
      </c>
      <c r="AO398" s="63">
        <v>1946</v>
      </c>
      <c r="AP398" s="63">
        <v>1629</v>
      </c>
      <c r="AQ398" s="63">
        <v>1655</v>
      </c>
      <c r="AR398" s="63">
        <v>1568</v>
      </c>
      <c r="AS398" s="63">
        <v>1684</v>
      </c>
      <c r="AT398" s="63">
        <v>1657</v>
      </c>
      <c r="AU398" s="63">
        <v>1518</v>
      </c>
      <c r="AV398" s="63">
        <v>1501</v>
      </c>
      <c r="AW398" s="63">
        <v>1725</v>
      </c>
      <c r="AX398" s="63">
        <v>1633</v>
      </c>
      <c r="AY398" s="63">
        <v>1649</v>
      </c>
      <c r="AZ398" s="63">
        <v>1480</v>
      </c>
      <c r="BA398" s="63">
        <v>1772</v>
      </c>
      <c r="BB398" s="63">
        <v>1572</v>
      </c>
      <c r="BC398" s="63">
        <v>1599</v>
      </c>
      <c r="BD398" s="63">
        <v>1661</v>
      </c>
      <c r="BE398" s="63">
        <v>1568</v>
      </c>
      <c r="BF398" s="63">
        <v>1595</v>
      </c>
      <c r="BG398" s="63">
        <v>1628</v>
      </c>
      <c r="BH398" s="63">
        <v>1605</v>
      </c>
    </row>
    <row r="399" spans="2:60" hidden="1" x14ac:dyDescent="0.2">
      <c r="B399" s="57"/>
      <c r="C399" s="57" t="s">
        <v>695</v>
      </c>
      <c r="D399" s="57" t="s">
        <v>648</v>
      </c>
      <c r="E399" s="62">
        <v>140</v>
      </c>
      <c r="F399" s="62">
        <v>105</v>
      </c>
      <c r="G399" s="62">
        <v>126</v>
      </c>
      <c r="H399" s="62">
        <v>122</v>
      </c>
      <c r="I399" s="62">
        <v>131</v>
      </c>
      <c r="J399" s="62">
        <v>105</v>
      </c>
      <c r="K399" s="62">
        <v>115</v>
      </c>
      <c r="L399" s="62">
        <v>128</v>
      </c>
      <c r="M399" s="62">
        <v>174</v>
      </c>
      <c r="N399" s="62">
        <v>131</v>
      </c>
      <c r="O399" s="62">
        <v>163</v>
      </c>
      <c r="P399" s="62">
        <v>128</v>
      </c>
      <c r="Q399" s="62">
        <v>161</v>
      </c>
      <c r="R399" s="62">
        <v>109</v>
      </c>
      <c r="S399" s="62">
        <v>110</v>
      </c>
      <c r="T399" s="62">
        <v>152</v>
      </c>
      <c r="U399" s="62">
        <v>194</v>
      </c>
      <c r="V399" s="62">
        <v>138</v>
      </c>
      <c r="W399" s="62">
        <v>152</v>
      </c>
      <c r="X399" s="62">
        <v>127</v>
      </c>
      <c r="Y399" s="62">
        <v>197</v>
      </c>
      <c r="Z399" s="62">
        <v>134</v>
      </c>
      <c r="AA399" s="62">
        <v>147</v>
      </c>
      <c r="AB399" s="62">
        <v>158</v>
      </c>
      <c r="AC399" s="62">
        <v>170</v>
      </c>
      <c r="AD399" s="62">
        <v>156</v>
      </c>
      <c r="AE399" s="62">
        <v>153</v>
      </c>
      <c r="AF399" s="62">
        <v>128</v>
      </c>
      <c r="AG399" s="62">
        <v>173</v>
      </c>
      <c r="AH399" s="62">
        <v>134</v>
      </c>
      <c r="AI399" s="62">
        <v>139</v>
      </c>
      <c r="AJ399" s="62">
        <v>135</v>
      </c>
      <c r="AK399" s="62">
        <v>166</v>
      </c>
      <c r="AL399" s="62">
        <v>161</v>
      </c>
      <c r="AM399" s="62">
        <v>154</v>
      </c>
      <c r="AN399" s="62">
        <v>141</v>
      </c>
      <c r="AO399" s="62">
        <v>158</v>
      </c>
      <c r="AP399" s="62">
        <v>139</v>
      </c>
      <c r="AQ399" s="62">
        <v>110</v>
      </c>
      <c r="AR399" s="62">
        <v>136</v>
      </c>
      <c r="AS399" s="62">
        <v>138</v>
      </c>
      <c r="AT399" s="62">
        <v>112</v>
      </c>
      <c r="AU399" s="62">
        <v>128</v>
      </c>
      <c r="AV399" s="62">
        <v>107</v>
      </c>
      <c r="AW399" s="62">
        <v>125</v>
      </c>
      <c r="AX399" s="62">
        <v>125</v>
      </c>
      <c r="AY399" s="62">
        <v>106</v>
      </c>
      <c r="AZ399" s="62">
        <v>103</v>
      </c>
      <c r="BA399" s="62">
        <v>112</v>
      </c>
      <c r="BB399" s="62">
        <v>106</v>
      </c>
      <c r="BC399" s="62">
        <v>116</v>
      </c>
      <c r="BD399" s="62">
        <v>107</v>
      </c>
      <c r="BE399" s="62">
        <v>123</v>
      </c>
      <c r="BF399" s="62">
        <v>100</v>
      </c>
      <c r="BG399" s="62">
        <v>88</v>
      </c>
      <c r="BH399" s="62">
        <v>107</v>
      </c>
    </row>
    <row r="400" spans="2:60" hidden="1" x14ac:dyDescent="0.2">
      <c r="B400" s="59"/>
      <c r="C400" s="59" t="s">
        <v>695</v>
      </c>
      <c r="D400" s="59" t="s">
        <v>649</v>
      </c>
      <c r="E400" s="63">
        <v>902</v>
      </c>
      <c r="F400" s="63">
        <v>699</v>
      </c>
      <c r="G400" s="63">
        <v>668</v>
      </c>
      <c r="H400" s="63">
        <v>694</v>
      </c>
      <c r="I400" s="63">
        <v>820</v>
      </c>
      <c r="J400" s="63">
        <v>675</v>
      </c>
      <c r="K400" s="63">
        <v>703</v>
      </c>
      <c r="L400" s="63">
        <v>642</v>
      </c>
      <c r="M400" s="63">
        <v>813</v>
      </c>
      <c r="N400" s="63">
        <v>632</v>
      </c>
      <c r="O400" s="63">
        <v>750</v>
      </c>
      <c r="P400" s="63">
        <v>701</v>
      </c>
      <c r="Q400" s="63">
        <v>943</v>
      </c>
      <c r="R400" s="63">
        <v>677</v>
      </c>
      <c r="S400" s="63">
        <v>697</v>
      </c>
      <c r="T400" s="63">
        <v>684</v>
      </c>
      <c r="U400" s="63">
        <v>872</v>
      </c>
      <c r="V400" s="63">
        <v>714</v>
      </c>
      <c r="W400" s="63">
        <v>677</v>
      </c>
      <c r="X400" s="63">
        <v>659</v>
      </c>
      <c r="Y400" s="63">
        <v>915</v>
      </c>
      <c r="Z400" s="63">
        <v>661</v>
      </c>
      <c r="AA400" s="63">
        <v>667</v>
      </c>
      <c r="AB400" s="63">
        <v>709</v>
      </c>
      <c r="AC400" s="63">
        <v>830</v>
      </c>
      <c r="AD400" s="63">
        <v>614</v>
      </c>
      <c r="AE400" s="63">
        <v>650</v>
      </c>
      <c r="AF400" s="63">
        <v>620</v>
      </c>
      <c r="AG400" s="63">
        <v>863</v>
      </c>
      <c r="AH400" s="63">
        <v>555</v>
      </c>
      <c r="AI400" s="63">
        <v>594</v>
      </c>
      <c r="AJ400" s="63">
        <v>648</v>
      </c>
      <c r="AK400" s="63">
        <v>750</v>
      </c>
      <c r="AL400" s="63">
        <v>727</v>
      </c>
      <c r="AM400" s="63">
        <v>586</v>
      </c>
      <c r="AN400" s="63">
        <v>549</v>
      </c>
      <c r="AO400" s="63">
        <v>679</v>
      </c>
      <c r="AP400" s="63">
        <v>573</v>
      </c>
      <c r="AQ400" s="63">
        <v>513</v>
      </c>
      <c r="AR400" s="63">
        <v>612</v>
      </c>
      <c r="AS400" s="63">
        <v>648</v>
      </c>
      <c r="AT400" s="63">
        <v>551</v>
      </c>
      <c r="AU400" s="63">
        <v>495</v>
      </c>
      <c r="AV400" s="63">
        <v>504</v>
      </c>
      <c r="AW400" s="63">
        <v>532</v>
      </c>
      <c r="AX400" s="63">
        <v>498</v>
      </c>
      <c r="AY400" s="63">
        <v>477</v>
      </c>
      <c r="AZ400" s="63">
        <v>462</v>
      </c>
      <c r="BA400" s="63">
        <v>523</v>
      </c>
      <c r="BB400" s="63">
        <v>461</v>
      </c>
      <c r="BC400" s="63">
        <v>412</v>
      </c>
      <c r="BD400" s="63">
        <v>424</v>
      </c>
      <c r="BE400" s="63">
        <v>487</v>
      </c>
      <c r="BF400" s="63">
        <v>399</v>
      </c>
      <c r="BG400" s="63">
        <v>378</v>
      </c>
      <c r="BH400" s="63">
        <v>500</v>
      </c>
    </row>
    <row r="401" spans="2:60" hidden="1" x14ac:dyDescent="0.2">
      <c r="B401" s="57"/>
      <c r="C401" s="57" t="s">
        <v>695</v>
      </c>
      <c r="D401" s="57" t="s">
        <v>650</v>
      </c>
      <c r="E401" s="62">
        <v>229</v>
      </c>
      <c r="F401" s="62">
        <v>144</v>
      </c>
      <c r="G401" s="62">
        <v>147</v>
      </c>
      <c r="H401" s="62">
        <v>173</v>
      </c>
      <c r="I401" s="62">
        <v>217</v>
      </c>
      <c r="J401" s="62">
        <v>140</v>
      </c>
      <c r="K401" s="62">
        <v>144</v>
      </c>
      <c r="L401" s="62">
        <v>178</v>
      </c>
      <c r="M401" s="62">
        <v>217</v>
      </c>
      <c r="N401" s="62">
        <v>140</v>
      </c>
      <c r="O401" s="62">
        <v>166</v>
      </c>
      <c r="P401" s="62">
        <v>176</v>
      </c>
      <c r="Q401" s="62">
        <v>220</v>
      </c>
      <c r="R401" s="62">
        <v>138</v>
      </c>
      <c r="S401" s="62">
        <v>185</v>
      </c>
      <c r="T401" s="62">
        <v>172</v>
      </c>
      <c r="U401" s="62">
        <v>217</v>
      </c>
      <c r="V401" s="62">
        <v>175</v>
      </c>
      <c r="W401" s="62">
        <v>186</v>
      </c>
      <c r="X401" s="62">
        <v>178</v>
      </c>
      <c r="Y401" s="62">
        <v>229</v>
      </c>
      <c r="Z401" s="62">
        <v>156</v>
      </c>
      <c r="AA401" s="62">
        <v>179</v>
      </c>
      <c r="AB401" s="62">
        <v>137</v>
      </c>
      <c r="AC401" s="62">
        <v>246</v>
      </c>
      <c r="AD401" s="62">
        <v>157</v>
      </c>
      <c r="AE401" s="62">
        <v>156</v>
      </c>
      <c r="AF401" s="62">
        <v>186</v>
      </c>
      <c r="AG401" s="62">
        <v>238</v>
      </c>
      <c r="AH401" s="62">
        <v>118</v>
      </c>
      <c r="AI401" s="62">
        <v>119</v>
      </c>
      <c r="AJ401" s="62">
        <v>170</v>
      </c>
      <c r="AK401" s="62">
        <v>171</v>
      </c>
      <c r="AL401" s="62">
        <v>179</v>
      </c>
      <c r="AM401" s="62">
        <v>138</v>
      </c>
      <c r="AN401" s="62">
        <v>164</v>
      </c>
      <c r="AO401" s="62">
        <v>190</v>
      </c>
      <c r="AP401" s="62">
        <v>144</v>
      </c>
      <c r="AQ401" s="62">
        <v>127</v>
      </c>
      <c r="AR401" s="62">
        <v>142</v>
      </c>
      <c r="AS401" s="62">
        <v>145</v>
      </c>
      <c r="AT401" s="62">
        <v>126</v>
      </c>
      <c r="AU401" s="62">
        <v>113</v>
      </c>
      <c r="AV401" s="62">
        <v>115</v>
      </c>
      <c r="AW401" s="62">
        <v>139</v>
      </c>
      <c r="AX401" s="62">
        <v>111</v>
      </c>
      <c r="AY401" s="62">
        <v>114</v>
      </c>
      <c r="AZ401" s="62">
        <v>122</v>
      </c>
      <c r="BA401" s="62">
        <v>121</v>
      </c>
      <c r="BB401" s="62">
        <v>90</v>
      </c>
      <c r="BC401" s="62">
        <v>92</v>
      </c>
      <c r="BD401" s="62">
        <v>103</v>
      </c>
      <c r="BE401" s="62">
        <v>104</v>
      </c>
      <c r="BF401" s="62">
        <v>88</v>
      </c>
      <c r="BG401" s="62">
        <v>90</v>
      </c>
      <c r="BH401" s="62">
        <v>100</v>
      </c>
    </row>
    <row r="402" spans="2:60" hidden="1" x14ac:dyDescent="0.2">
      <c r="B402" s="59"/>
      <c r="C402" s="59" t="s">
        <v>695</v>
      </c>
      <c r="D402" s="59" t="s">
        <v>651</v>
      </c>
      <c r="E402" s="63">
        <v>93</v>
      </c>
      <c r="F402" s="63">
        <v>84</v>
      </c>
      <c r="G402" s="63">
        <v>78</v>
      </c>
      <c r="H402" s="63">
        <v>76</v>
      </c>
      <c r="I402" s="63">
        <v>86</v>
      </c>
      <c r="J402" s="63">
        <v>71</v>
      </c>
      <c r="K402" s="63">
        <v>87</v>
      </c>
      <c r="L402" s="63">
        <v>75</v>
      </c>
      <c r="M402" s="63">
        <v>90</v>
      </c>
      <c r="N402" s="63">
        <v>85</v>
      </c>
      <c r="O402" s="63">
        <v>104</v>
      </c>
      <c r="P402" s="63">
        <v>75</v>
      </c>
      <c r="Q402" s="63">
        <v>89</v>
      </c>
      <c r="R402" s="63">
        <v>89</v>
      </c>
      <c r="S402" s="63">
        <v>109</v>
      </c>
      <c r="T402" s="63">
        <v>88</v>
      </c>
      <c r="U402" s="63">
        <v>98</v>
      </c>
      <c r="V402" s="63">
        <v>109</v>
      </c>
      <c r="W402" s="63">
        <v>93</v>
      </c>
      <c r="X402" s="63">
        <v>84</v>
      </c>
      <c r="Y402" s="63">
        <v>91</v>
      </c>
      <c r="Z402" s="63">
        <v>95</v>
      </c>
      <c r="AA402" s="63">
        <v>96</v>
      </c>
      <c r="AB402" s="63">
        <v>81</v>
      </c>
      <c r="AC402" s="63">
        <v>100</v>
      </c>
      <c r="AD402" s="63">
        <v>83</v>
      </c>
      <c r="AE402" s="63">
        <v>80</v>
      </c>
      <c r="AF402" s="63">
        <v>67</v>
      </c>
      <c r="AG402" s="63">
        <v>91</v>
      </c>
      <c r="AH402" s="63">
        <v>54</v>
      </c>
      <c r="AI402" s="63">
        <v>58</v>
      </c>
      <c r="AJ402" s="63">
        <v>82</v>
      </c>
      <c r="AK402" s="63">
        <v>78</v>
      </c>
      <c r="AL402" s="63">
        <v>80</v>
      </c>
      <c r="AM402" s="63">
        <v>69</v>
      </c>
      <c r="AN402" s="63">
        <v>55</v>
      </c>
      <c r="AO402" s="63">
        <v>86</v>
      </c>
      <c r="AP402" s="63">
        <v>69</v>
      </c>
      <c r="AQ402" s="63">
        <v>58</v>
      </c>
      <c r="AR402" s="63">
        <v>40</v>
      </c>
      <c r="AS402" s="63">
        <v>54</v>
      </c>
      <c r="AT402" s="63">
        <v>54</v>
      </c>
      <c r="AU402" s="63">
        <v>62</v>
      </c>
      <c r="AV402" s="63">
        <v>46</v>
      </c>
      <c r="AW402" s="63">
        <v>40</v>
      </c>
      <c r="AX402" s="63">
        <v>57</v>
      </c>
      <c r="AY402" s="63">
        <v>64</v>
      </c>
      <c r="AZ402" s="63">
        <v>58</v>
      </c>
      <c r="BA402" s="63">
        <v>41</v>
      </c>
      <c r="BB402" s="63">
        <v>45</v>
      </c>
      <c r="BC402" s="63">
        <v>57</v>
      </c>
      <c r="BD402" s="63">
        <v>62</v>
      </c>
      <c r="BE402" s="63">
        <v>45</v>
      </c>
      <c r="BF402" s="63">
        <v>57</v>
      </c>
      <c r="BG402" s="63">
        <v>64</v>
      </c>
      <c r="BH402" s="63">
        <v>70</v>
      </c>
    </row>
    <row r="403" spans="2:60" hidden="1" x14ac:dyDescent="0.2">
      <c r="B403" s="57"/>
      <c r="C403" s="57" t="s">
        <v>695</v>
      </c>
      <c r="D403" s="57" t="s">
        <v>652</v>
      </c>
      <c r="E403" s="62">
        <v>792</v>
      </c>
      <c r="F403" s="62">
        <v>689</v>
      </c>
      <c r="G403" s="62">
        <v>678</v>
      </c>
      <c r="H403" s="62">
        <v>619</v>
      </c>
      <c r="I403" s="62">
        <v>809</v>
      </c>
      <c r="J403" s="62">
        <v>681</v>
      </c>
      <c r="K403" s="62">
        <v>663</v>
      </c>
      <c r="L403" s="62">
        <v>676</v>
      </c>
      <c r="M403" s="62">
        <v>808</v>
      </c>
      <c r="N403" s="62">
        <v>602</v>
      </c>
      <c r="O403" s="62">
        <v>683</v>
      </c>
      <c r="P403" s="62">
        <v>683</v>
      </c>
      <c r="Q403" s="62">
        <v>811</v>
      </c>
      <c r="R403" s="62">
        <v>716</v>
      </c>
      <c r="S403" s="62">
        <v>777</v>
      </c>
      <c r="T403" s="62">
        <v>680</v>
      </c>
      <c r="U403" s="62">
        <v>843</v>
      </c>
      <c r="V403" s="62">
        <v>685</v>
      </c>
      <c r="W403" s="62">
        <v>716</v>
      </c>
      <c r="X403" s="62">
        <v>660</v>
      </c>
      <c r="Y403" s="62">
        <v>846</v>
      </c>
      <c r="Z403" s="62">
        <v>710</v>
      </c>
      <c r="AA403" s="62">
        <v>730</v>
      </c>
      <c r="AB403" s="62">
        <v>654</v>
      </c>
      <c r="AC403" s="62">
        <v>839</v>
      </c>
      <c r="AD403" s="62">
        <v>670</v>
      </c>
      <c r="AE403" s="62">
        <v>641</v>
      </c>
      <c r="AF403" s="62">
        <v>633</v>
      </c>
      <c r="AG403" s="62">
        <v>825</v>
      </c>
      <c r="AH403" s="62">
        <v>626</v>
      </c>
      <c r="AI403" s="62">
        <v>516</v>
      </c>
      <c r="AJ403" s="62">
        <v>694</v>
      </c>
      <c r="AK403" s="62">
        <v>584</v>
      </c>
      <c r="AL403" s="62">
        <v>706</v>
      </c>
      <c r="AM403" s="62">
        <v>451</v>
      </c>
      <c r="AN403" s="62">
        <v>473</v>
      </c>
      <c r="AO403" s="62">
        <v>593</v>
      </c>
      <c r="AP403" s="62">
        <v>488</v>
      </c>
      <c r="AQ403" s="62">
        <v>445</v>
      </c>
      <c r="AR403" s="62">
        <v>504</v>
      </c>
      <c r="AS403" s="62">
        <v>489</v>
      </c>
      <c r="AT403" s="62">
        <v>477</v>
      </c>
      <c r="AU403" s="62">
        <v>481</v>
      </c>
      <c r="AV403" s="62">
        <v>418</v>
      </c>
      <c r="AW403" s="62">
        <v>486</v>
      </c>
      <c r="AX403" s="62">
        <v>475</v>
      </c>
      <c r="AY403" s="62">
        <v>456</v>
      </c>
      <c r="AZ403" s="62">
        <v>513</v>
      </c>
      <c r="BA403" s="62">
        <v>498</v>
      </c>
      <c r="BB403" s="62">
        <v>517</v>
      </c>
      <c r="BC403" s="62">
        <v>553</v>
      </c>
      <c r="BD403" s="62">
        <v>562</v>
      </c>
      <c r="BE403" s="62">
        <v>586</v>
      </c>
      <c r="BF403" s="62">
        <v>537</v>
      </c>
      <c r="BG403" s="62">
        <v>535</v>
      </c>
      <c r="BH403" s="62">
        <v>573</v>
      </c>
    </row>
    <row r="404" spans="2:60" hidden="1" x14ac:dyDescent="0.2">
      <c r="B404" s="59"/>
      <c r="C404" s="59" t="s">
        <v>695</v>
      </c>
      <c r="D404" s="59" t="s">
        <v>653</v>
      </c>
      <c r="E404" s="63">
        <v>716</v>
      </c>
      <c r="F404" s="63">
        <v>539</v>
      </c>
      <c r="G404" s="63">
        <v>603</v>
      </c>
      <c r="H404" s="63">
        <v>597</v>
      </c>
      <c r="I404" s="63">
        <v>750</v>
      </c>
      <c r="J404" s="63">
        <v>595</v>
      </c>
      <c r="K404" s="63">
        <v>612</v>
      </c>
      <c r="L404" s="63">
        <v>698</v>
      </c>
      <c r="M404" s="63">
        <v>761</v>
      </c>
      <c r="N404" s="63">
        <v>611</v>
      </c>
      <c r="O404" s="63">
        <v>685</v>
      </c>
      <c r="P404" s="63">
        <v>659</v>
      </c>
      <c r="Q404" s="63">
        <v>834</v>
      </c>
      <c r="R404" s="63">
        <v>651</v>
      </c>
      <c r="S404" s="63">
        <v>708</v>
      </c>
      <c r="T404" s="63">
        <v>697</v>
      </c>
      <c r="U404" s="63">
        <v>834</v>
      </c>
      <c r="V404" s="63">
        <v>649</v>
      </c>
      <c r="W404" s="63">
        <v>681</v>
      </c>
      <c r="X404" s="63">
        <v>653</v>
      </c>
      <c r="Y404" s="63">
        <v>841</v>
      </c>
      <c r="Z404" s="63">
        <v>626</v>
      </c>
      <c r="AA404" s="63">
        <v>641</v>
      </c>
      <c r="AB404" s="63">
        <v>638</v>
      </c>
      <c r="AC404" s="63">
        <v>779</v>
      </c>
      <c r="AD404" s="63">
        <v>603</v>
      </c>
      <c r="AE404" s="63">
        <v>572</v>
      </c>
      <c r="AF404" s="63">
        <v>581</v>
      </c>
      <c r="AG404" s="63">
        <v>829</v>
      </c>
      <c r="AH404" s="63">
        <v>445</v>
      </c>
      <c r="AI404" s="63">
        <v>433</v>
      </c>
      <c r="AJ404" s="63">
        <v>677</v>
      </c>
      <c r="AK404" s="63">
        <v>638</v>
      </c>
      <c r="AL404" s="63">
        <v>683</v>
      </c>
      <c r="AM404" s="63">
        <v>447</v>
      </c>
      <c r="AN404" s="63">
        <v>466</v>
      </c>
      <c r="AO404" s="63">
        <v>539</v>
      </c>
      <c r="AP404" s="63">
        <v>424</v>
      </c>
      <c r="AQ404" s="63">
        <v>396</v>
      </c>
      <c r="AR404" s="63">
        <v>503</v>
      </c>
      <c r="AS404" s="63">
        <v>556</v>
      </c>
      <c r="AT404" s="63">
        <v>462</v>
      </c>
      <c r="AU404" s="63">
        <v>457</v>
      </c>
      <c r="AV404" s="63">
        <v>464</v>
      </c>
      <c r="AW404" s="63">
        <v>535</v>
      </c>
      <c r="AX404" s="63">
        <v>502</v>
      </c>
      <c r="AY404" s="63">
        <v>477</v>
      </c>
      <c r="AZ404" s="63">
        <v>529</v>
      </c>
      <c r="BA404" s="63">
        <v>509</v>
      </c>
      <c r="BB404" s="63">
        <v>466</v>
      </c>
      <c r="BC404" s="63">
        <v>531</v>
      </c>
      <c r="BD404" s="63">
        <v>563</v>
      </c>
      <c r="BE404" s="63">
        <v>615</v>
      </c>
      <c r="BF404" s="63">
        <v>493</v>
      </c>
      <c r="BG404" s="63">
        <v>505</v>
      </c>
      <c r="BH404" s="63">
        <v>610</v>
      </c>
    </row>
    <row r="405" spans="2:60" hidden="1" x14ac:dyDescent="0.2">
      <c r="B405" s="57"/>
      <c r="C405" s="57" t="s">
        <v>695</v>
      </c>
      <c r="D405" s="57" t="s">
        <v>654</v>
      </c>
      <c r="E405" s="62">
        <v>62</v>
      </c>
      <c r="F405" s="62">
        <v>31</v>
      </c>
      <c r="G405" s="62">
        <v>38</v>
      </c>
      <c r="H405" s="62">
        <v>44</v>
      </c>
      <c r="I405" s="62">
        <v>76</v>
      </c>
      <c r="J405" s="62">
        <v>33</v>
      </c>
      <c r="K405" s="62">
        <v>49</v>
      </c>
      <c r="L405" s="62">
        <v>42</v>
      </c>
      <c r="M405" s="62">
        <v>58</v>
      </c>
      <c r="N405" s="62">
        <v>40</v>
      </c>
      <c r="O405" s="62">
        <v>66</v>
      </c>
      <c r="P405" s="62">
        <v>49</v>
      </c>
      <c r="Q405" s="62">
        <v>56</v>
      </c>
      <c r="R405" s="62">
        <v>51</v>
      </c>
      <c r="S405" s="62">
        <v>53</v>
      </c>
      <c r="T405" s="62">
        <v>52</v>
      </c>
      <c r="U405" s="62">
        <v>69</v>
      </c>
      <c r="V405" s="62">
        <v>50</v>
      </c>
      <c r="W405" s="62">
        <v>55</v>
      </c>
      <c r="X405" s="62">
        <v>56</v>
      </c>
      <c r="Y405" s="62">
        <v>71</v>
      </c>
      <c r="Z405" s="62">
        <v>58</v>
      </c>
      <c r="AA405" s="62">
        <v>73</v>
      </c>
      <c r="AB405" s="62">
        <v>52</v>
      </c>
      <c r="AC405" s="62">
        <v>69</v>
      </c>
      <c r="AD405" s="62">
        <v>55</v>
      </c>
      <c r="AE405" s="62">
        <v>48</v>
      </c>
      <c r="AF405" s="62">
        <v>50</v>
      </c>
      <c r="AG405" s="62">
        <v>57</v>
      </c>
      <c r="AH405" s="62">
        <v>40</v>
      </c>
      <c r="AI405" s="62">
        <v>39</v>
      </c>
      <c r="AJ405" s="62">
        <v>52</v>
      </c>
      <c r="AK405" s="62">
        <v>66</v>
      </c>
      <c r="AL405" s="62">
        <v>59</v>
      </c>
      <c r="AM405" s="62">
        <v>52</v>
      </c>
      <c r="AN405" s="62">
        <v>39</v>
      </c>
      <c r="AO405" s="62">
        <v>48</v>
      </c>
      <c r="AP405" s="62">
        <v>44</v>
      </c>
      <c r="AQ405" s="62">
        <v>44</v>
      </c>
      <c r="AR405" s="62">
        <v>39</v>
      </c>
      <c r="AS405" s="62">
        <v>36</v>
      </c>
      <c r="AT405" s="62">
        <v>57</v>
      </c>
      <c r="AU405" s="62">
        <v>37</v>
      </c>
      <c r="AV405" s="62">
        <v>37</v>
      </c>
      <c r="AW405" s="62">
        <v>36</v>
      </c>
      <c r="AX405" s="62">
        <v>26</v>
      </c>
      <c r="AY405" s="62">
        <v>25</v>
      </c>
      <c r="AZ405" s="62">
        <v>30</v>
      </c>
      <c r="BA405" s="62">
        <v>29</v>
      </c>
      <c r="BB405" s="62">
        <v>24</v>
      </c>
      <c r="BC405" s="62">
        <v>26</v>
      </c>
      <c r="BD405" s="62">
        <v>37</v>
      </c>
      <c r="BE405" s="62">
        <v>28</v>
      </c>
      <c r="BF405" s="62">
        <v>19</v>
      </c>
      <c r="BG405" s="62">
        <v>22</v>
      </c>
      <c r="BH405" s="62">
        <v>30</v>
      </c>
    </row>
    <row r="406" spans="2:60" hidden="1" x14ac:dyDescent="0.2">
      <c r="B406" s="59"/>
      <c r="C406" s="59" t="s">
        <v>695</v>
      </c>
      <c r="D406" s="59" t="s">
        <v>655</v>
      </c>
      <c r="E406" s="63">
        <v>47</v>
      </c>
      <c r="F406" s="63">
        <v>26</v>
      </c>
      <c r="G406" s="63">
        <v>29</v>
      </c>
      <c r="H406" s="63">
        <v>32</v>
      </c>
      <c r="I406" s="63">
        <v>38</v>
      </c>
      <c r="J406" s="63">
        <v>24</v>
      </c>
      <c r="K406" s="63">
        <v>36</v>
      </c>
      <c r="L406" s="63">
        <v>31</v>
      </c>
      <c r="M406" s="63">
        <v>44</v>
      </c>
      <c r="N406" s="63">
        <v>27</v>
      </c>
      <c r="O406" s="63">
        <v>32</v>
      </c>
      <c r="P406" s="63">
        <v>35</v>
      </c>
      <c r="Q406" s="63">
        <v>46</v>
      </c>
      <c r="R406" s="63">
        <v>38</v>
      </c>
      <c r="S406" s="63">
        <v>35</v>
      </c>
      <c r="T406" s="63">
        <v>34</v>
      </c>
      <c r="U406" s="63">
        <v>50</v>
      </c>
      <c r="V406" s="63">
        <v>37</v>
      </c>
      <c r="W406" s="63">
        <v>27</v>
      </c>
      <c r="X406" s="63">
        <v>42</v>
      </c>
      <c r="Y406" s="63">
        <v>41</v>
      </c>
      <c r="Z406" s="63">
        <v>30</v>
      </c>
      <c r="AA406" s="63">
        <v>34</v>
      </c>
      <c r="AB406" s="63">
        <v>38</v>
      </c>
      <c r="AC406" s="63">
        <v>48</v>
      </c>
      <c r="AD406" s="63">
        <v>36</v>
      </c>
      <c r="AE406" s="63">
        <v>35</v>
      </c>
      <c r="AF406" s="63">
        <v>46</v>
      </c>
      <c r="AG406" s="63">
        <v>45</v>
      </c>
      <c r="AH406" s="63">
        <v>29</v>
      </c>
      <c r="AI406" s="63">
        <v>30</v>
      </c>
      <c r="AJ406" s="63">
        <v>47</v>
      </c>
      <c r="AK406" s="63">
        <v>41</v>
      </c>
      <c r="AL406" s="63">
        <v>37</v>
      </c>
      <c r="AM406" s="63">
        <v>39</v>
      </c>
      <c r="AN406" s="63">
        <v>36</v>
      </c>
      <c r="AO406" s="63">
        <v>44</v>
      </c>
      <c r="AP406" s="63">
        <v>28</v>
      </c>
      <c r="AQ406" s="63">
        <v>32</v>
      </c>
      <c r="AR406" s="63">
        <v>32</v>
      </c>
      <c r="AS406" s="63">
        <v>38</v>
      </c>
      <c r="AT406" s="63">
        <v>26</v>
      </c>
      <c r="AU406" s="63">
        <v>24</v>
      </c>
      <c r="AV406" s="63">
        <v>26</v>
      </c>
      <c r="AW406" s="63">
        <v>27</v>
      </c>
      <c r="AX406" s="63">
        <v>17</v>
      </c>
      <c r="AY406" s="63">
        <v>16</v>
      </c>
      <c r="AZ406" s="63">
        <v>22</v>
      </c>
      <c r="BA406" s="63">
        <v>14</v>
      </c>
      <c r="BB406" s="63">
        <v>22</v>
      </c>
      <c r="BC406" s="63">
        <v>25</v>
      </c>
      <c r="BD406" s="63">
        <v>24</v>
      </c>
      <c r="BE406" s="63">
        <v>18</v>
      </c>
      <c r="BF406" s="63">
        <v>18</v>
      </c>
      <c r="BG406" s="63">
        <v>10</v>
      </c>
      <c r="BH406" s="63">
        <v>23</v>
      </c>
    </row>
    <row r="407" spans="2:60" hidden="1" x14ac:dyDescent="0.2">
      <c r="B407" s="57"/>
      <c r="C407" s="57" t="s">
        <v>695</v>
      </c>
      <c r="D407" s="57" t="s">
        <v>699</v>
      </c>
      <c r="E407" s="62">
        <v>326</v>
      </c>
      <c r="F407" s="62">
        <v>191</v>
      </c>
      <c r="G407" s="62">
        <v>288</v>
      </c>
      <c r="H407" s="62">
        <v>247</v>
      </c>
      <c r="I407" s="62">
        <v>360</v>
      </c>
      <c r="J407" s="62">
        <v>218</v>
      </c>
      <c r="K407" s="62">
        <v>258</v>
      </c>
      <c r="L407" s="62">
        <v>227</v>
      </c>
      <c r="M407" s="62">
        <v>403</v>
      </c>
      <c r="N407" s="62">
        <v>239</v>
      </c>
      <c r="O407" s="62">
        <v>278</v>
      </c>
      <c r="P407" s="62">
        <v>246</v>
      </c>
      <c r="Q407" s="62">
        <v>351</v>
      </c>
      <c r="R407" s="62">
        <v>185</v>
      </c>
      <c r="S407" s="62">
        <v>275</v>
      </c>
      <c r="T407" s="62">
        <v>212</v>
      </c>
      <c r="U407" s="62">
        <v>342</v>
      </c>
      <c r="V407" s="62">
        <v>182</v>
      </c>
      <c r="W407" s="62">
        <v>274</v>
      </c>
      <c r="X407" s="62">
        <v>202</v>
      </c>
      <c r="Y407" s="62">
        <v>298</v>
      </c>
      <c r="Z407" s="62">
        <v>177</v>
      </c>
      <c r="AA407" s="62">
        <v>216</v>
      </c>
      <c r="AB407" s="62">
        <v>201</v>
      </c>
      <c r="AC407" s="62">
        <v>287</v>
      </c>
      <c r="AD407" s="62">
        <v>147</v>
      </c>
      <c r="AE407" s="62">
        <v>181</v>
      </c>
      <c r="AF407" s="62">
        <v>191</v>
      </c>
      <c r="AG407" s="62">
        <v>296</v>
      </c>
      <c r="AH407" s="62">
        <v>154</v>
      </c>
      <c r="AI407" s="62">
        <v>158</v>
      </c>
      <c r="AJ407" s="62">
        <v>198</v>
      </c>
      <c r="AK407" s="62">
        <v>273</v>
      </c>
      <c r="AL407" s="62">
        <v>201</v>
      </c>
      <c r="AM407" s="62">
        <v>147</v>
      </c>
      <c r="AN407" s="62">
        <v>188</v>
      </c>
      <c r="AO407" s="62">
        <v>217</v>
      </c>
      <c r="AP407" s="62">
        <v>155</v>
      </c>
      <c r="AQ407" s="62">
        <v>141</v>
      </c>
      <c r="AR407" s="62">
        <v>174</v>
      </c>
      <c r="AS407" s="62">
        <v>258</v>
      </c>
      <c r="AT407" s="62">
        <v>186</v>
      </c>
      <c r="AU407" s="62">
        <v>146</v>
      </c>
      <c r="AV407" s="62">
        <v>146</v>
      </c>
      <c r="AW407" s="62">
        <v>174</v>
      </c>
      <c r="AX407" s="62">
        <v>106</v>
      </c>
      <c r="AY407" s="62">
        <v>169</v>
      </c>
      <c r="AZ407" s="62">
        <v>107</v>
      </c>
      <c r="BA407" s="62">
        <v>178</v>
      </c>
      <c r="BB407" s="62">
        <v>139</v>
      </c>
      <c r="BC407" s="62">
        <v>178</v>
      </c>
      <c r="BD407" s="62">
        <v>214</v>
      </c>
      <c r="BE407" s="62">
        <v>238</v>
      </c>
      <c r="BF407" s="62">
        <v>156</v>
      </c>
      <c r="BG407" s="62">
        <v>215</v>
      </c>
      <c r="BH407" s="62">
        <v>216</v>
      </c>
    </row>
    <row r="408" spans="2:60" hidden="1" x14ac:dyDescent="0.2">
      <c r="B408" s="59"/>
      <c r="C408" s="59" t="s">
        <v>695</v>
      </c>
      <c r="D408" s="59" t="s">
        <v>656</v>
      </c>
      <c r="E408" s="63">
        <v>3307</v>
      </c>
      <c r="F408" s="63">
        <v>2508</v>
      </c>
      <c r="G408" s="63">
        <v>2655</v>
      </c>
      <c r="H408" s="63">
        <v>2604</v>
      </c>
      <c r="I408" s="63">
        <v>3287</v>
      </c>
      <c r="J408" s="63">
        <v>2542</v>
      </c>
      <c r="K408" s="63">
        <v>2667</v>
      </c>
      <c r="L408" s="63">
        <v>2697</v>
      </c>
      <c r="M408" s="63">
        <v>3368</v>
      </c>
      <c r="N408" s="63">
        <v>2507</v>
      </c>
      <c r="O408" s="63">
        <v>2927</v>
      </c>
      <c r="P408" s="63">
        <v>2752</v>
      </c>
      <c r="Q408" s="63">
        <v>3511</v>
      </c>
      <c r="R408" s="63">
        <v>2654</v>
      </c>
      <c r="S408" s="63">
        <v>2949</v>
      </c>
      <c r="T408" s="63">
        <v>2771</v>
      </c>
      <c r="U408" s="63">
        <v>3519</v>
      </c>
      <c r="V408" s="63">
        <v>2739</v>
      </c>
      <c r="W408" s="63">
        <v>2861</v>
      </c>
      <c r="X408" s="63">
        <v>2661</v>
      </c>
      <c r="Y408" s="63">
        <v>3529</v>
      </c>
      <c r="Z408" s="63">
        <v>2647</v>
      </c>
      <c r="AA408" s="63">
        <v>2783</v>
      </c>
      <c r="AB408" s="63">
        <v>2668</v>
      </c>
      <c r="AC408" s="63">
        <v>3368</v>
      </c>
      <c r="AD408" s="63">
        <v>2521</v>
      </c>
      <c r="AE408" s="63">
        <v>2516</v>
      </c>
      <c r="AF408" s="63">
        <v>2502</v>
      </c>
      <c r="AG408" s="63">
        <v>3417</v>
      </c>
      <c r="AH408" s="63">
        <v>2155</v>
      </c>
      <c r="AI408" s="63">
        <v>2086</v>
      </c>
      <c r="AJ408" s="63">
        <v>2703</v>
      </c>
      <c r="AK408" s="63">
        <v>2767</v>
      </c>
      <c r="AL408" s="63">
        <v>2833</v>
      </c>
      <c r="AM408" s="63">
        <v>2083</v>
      </c>
      <c r="AN408" s="63">
        <v>2111</v>
      </c>
      <c r="AO408" s="63">
        <v>2554</v>
      </c>
      <c r="AP408" s="63">
        <v>2064</v>
      </c>
      <c r="AQ408" s="63">
        <v>1866</v>
      </c>
      <c r="AR408" s="63">
        <v>2182</v>
      </c>
      <c r="AS408" s="63">
        <v>2362</v>
      </c>
      <c r="AT408" s="63">
        <v>2051</v>
      </c>
      <c r="AU408" s="63">
        <v>1943</v>
      </c>
      <c r="AV408" s="63">
        <v>1863</v>
      </c>
      <c r="AW408" s="63">
        <v>2094</v>
      </c>
      <c r="AX408" s="63">
        <v>1917</v>
      </c>
      <c r="AY408" s="63">
        <v>1904</v>
      </c>
      <c r="AZ408" s="63">
        <v>1946</v>
      </c>
      <c r="BA408" s="63">
        <v>2025</v>
      </c>
      <c r="BB408" s="63">
        <v>1870</v>
      </c>
      <c r="BC408" s="63">
        <v>1990</v>
      </c>
      <c r="BD408" s="63">
        <v>2096</v>
      </c>
      <c r="BE408" s="63">
        <v>2244</v>
      </c>
      <c r="BF408" s="63">
        <v>1867</v>
      </c>
      <c r="BG408" s="63">
        <v>1907</v>
      </c>
      <c r="BH408" s="63">
        <v>2229</v>
      </c>
    </row>
    <row r="409" spans="2:60" hidden="1" x14ac:dyDescent="0.2">
      <c r="B409" s="57"/>
      <c r="C409" s="57" t="s">
        <v>696</v>
      </c>
      <c r="D409" s="57" t="s">
        <v>648</v>
      </c>
      <c r="E409" s="62">
        <v>2</v>
      </c>
      <c r="F409" s="62"/>
      <c r="G409" s="62"/>
      <c r="H409" s="62"/>
      <c r="I409" s="62">
        <v>2</v>
      </c>
      <c r="J409" s="62"/>
      <c r="K409" s="62">
        <v>1</v>
      </c>
      <c r="L409" s="62">
        <v>2</v>
      </c>
      <c r="M409" s="62">
        <v>1</v>
      </c>
      <c r="N409" s="62">
        <v>2</v>
      </c>
      <c r="O409" s="62">
        <v>1</v>
      </c>
      <c r="P409" s="62">
        <v>2</v>
      </c>
      <c r="Q409" s="62">
        <v>2</v>
      </c>
      <c r="R409" s="62">
        <v>2</v>
      </c>
      <c r="S409" s="62">
        <v>5</v>
      </c>
      <c r="T409" s="62">
        <v>1</v>
      </c>
      <c r="U409" s="62">
        <v>3</v>
      </c>
      <c r="V409" s="62"/>
      <c r="W409" s="62">
        <v>3</v>
      </c>
      <c r="X409" s="62"/>
      <c r="Y409" s="62">
        <v>5</v>
      </c>
      <c r="Z409" s="62">
        <v>3</v>
      </c>
      <c r="AA409" s="62">
        <v>1</v>
      </c>
      <c r="AB409" s="62">
        <v>3</v>
      </c>
      <c r="AC409" s="62">
        <v>2</v>
      </c>
      <c r="AD409" s="62">
        <v>1</v>
      </c>
      <c r="AE409" s="62">
        <v>6</v>
      </c>
      <c r="AF409" s="62">
        <v>4</v>
      </c>
      <c r="AG409" s="62">
        <v>2</v>
      </c>
      <c r="AH409" s="62">
        <v>4</v>
      </c>
      <c r="AI409" s="62">
        <v>3</v>
      </c>
      <c r="AJ409" s="62">
        <v>4</v>
      </c>
      <c r="AK409" s="62">
        <v>3</v>
      </c>
      <c r="AL409" s="62">
        <v>3</v>
      </c>
      <c r="AM409" s="62">
        <v>3</v>
      </c>
      <c r="AN409" s="62">
        <v>2</v>
      </c>
      <c r="AO409" s="62">
        <v>5</v>
      </c>
      <c r="AP409" s="62">
        <v>1</v>
      </c>
      <c r="AQ409" s="62">
        <v>1</v>
      </c>
      <c r="AR409" s="62"/>
      <c r="AS409" s="62">
        <v>3</v>
      </c>
      <c r="AT409" s="62">
        <v>2</v>
      </c>
      <c r="AU409" s="62"/>
      <c r="AV409" s="62">
        <v>1</v>
      </c>
      <c r="AW409" s="62">
        <v>3</v>
      </c>
      <c r="AX409" s="62">
        <v>2</v>
      </c>
      <c r="AY409" s="62">
        <v>4</v>
      </c>
      <c r="AZ409" s="62">
        <v>1</v>
      </c>
      <c r="BA409" s="62"/>
      <c r="BB409" s="62">
        <v>2</v>
      </c>
      <c r="BC409" s="62">
        <v>2</v>
      </c>
      <c r="BD409" s="62">
        <v>2</v>
      </c>
      <c r="BE409" s="62">
        <v>8</v>
      </c>
      <c r="BF409" s="62">
        <v>3</v>
      </c>
      <c r="BG409" s="62">
        <v>4</v>
      </c>
      <c r="BH409" s="62">
        <v>5</v>
      </c>
    </row>
    <row r="410" spans="2:60" hidden="1" x14ac:dyDescent="0.2">
      <c r="B410" s="59"/>
      <c r="C410" s="59" t="s">
        <v>696</v>
      </c>
      <c r="D410" s="59" t="s">
        <v>649</v>
      </c>
      <c r="E410" s="63">
        <v>6</v>
      </c>
      <c r="F410" s="63">
        <v>1</v>
      </c>
      <c r="G410" s="63">
        <v>2</v>
      </c>
      <c r="H410" s="63">
        <v>4</v>
      </c>
      <c r="I410" s="63">
        <v>3</v>
      </c>
      <c r="J410" s="63">
        <v>3</v>
      </c>
      <c r="K410" s="63">
        <v>10</v>
      </c>
      <c r="L410" s="63">
        <v>1</v>
      </c>
      <c r="M410" s="63">
        <v>4</v>
      </c>
      <c r="N410" s="63">
        <v>6</v>
      </c>
      <c r="O410" s="63">
        <v>5</v>
      </c>
      <c r="P410" s="63">
        <v>2</v>
      </c>
      <c r="Q410" s="63">
        <v>12</v>
      </c>
      <c r="R410" s="63">
        <v>4</v>
      </c>
      <c r="S410" s="63">
        <v>7</v>
      </c>
      <c r="T410" s="63">
        <v>4</v>
      </c>
      <c r="U410" s="63">
        <v>6</v>
      </c>
      <c r="V410" s="63">
        <v>7</v>
      </c>
      <c r="W410" s="63">
        <v>15</v>
      </c>
      <c r="X410" s="63">
        <v>6</v>
      </c>
      <c r="Y410" s="63">
        <v>8</v>
      </c>
      <c r="Z410" s="63">
        <v>6</v>
      </c>
      <c r="AA410" s="63">
        <v>12</v>
      </c>
      <c r="AB410" s="63">
        <v>6</v>
      </c>
      <c r="AC410" s="63">
        <v>10</v>
      </c>
      <c r="AD410" s="63">
        <v>9</v>
      </c>
      <c r="AE410" s="63">
        <v>10</v>
      </c>
      <c r="AF410" s="63">
        <v>10</v>
      </c>
      <c r="AG410" s="63">
        <v>4</v>
      </c>
      <c r="AH410" s="63">
        <v>6</v>
      </c>
      <c r="AI410" s="63">
        <v>11</v>
      </c>
      <c r="AJ410" s="63">
        <v>6</v>
      </c>
      <c r="AK410" s="63">
        <v>20</v>
      </c>
      <c r="AL410" s="63">
        <v>33</v>
      </c>
      <c r="AM410" s="63">
        <v>29</v>
      </c>
      <c r="AN410" s="63">
        <v>22</v>
      </c>
      <c r="AO410" s="63">
        <v>22</v>
      </c>
      <c r="AP410" s="63">
        <v>25</v>
      </c>
      <c r="AQ410" s="63">
        <v>19</v>
      </c>
      <c r="AR410" s="63">
        <v>16</v>
      </c>
      <c r="AS410" s="63">
        <v>21</v>
      </c>
      <c r="AT410" s="63">
        <v>15</v>
      </c>
      <c r="AU410" s="63">
        <v>15</v>
      </c>
      <c r="AV410" s="63">
        <v>16</v>
      </c>
      <c r="AW410" s="63">
        <v>9</v>
      </c>
      <c r="AX410" s="63">
        <v>9</v>
      </c>
      <c r="AY410" s="63">
        <v>14</v>
      </c>
      <c r="AZ410" s="63">
        <v>9</v>
      </c>
      <c r="BA410" s="63">
        <v>11</v>
      </c>
      <c r="BB410" s="63">
        <v>8</v>
      </c>
      <c r="BC410" s="63">
        <v>11</v>
      </c>
      <c r="BD410" s="63">
        <v>10</v>
      </c>
      <c r="BE410" s="63">
        <v>9</v>
      </c>
      <c r="BF410" s="63">
        <v>4</v>
      </c>
      <c r="BG410" s="63">
        <v>15</v>
      </c>
      <c r="BH410" s="63">
        <v>13</v>
      </c>
    </row>
    <row r="411" spans="2:60" hidden="1" x14ac:dyDescent="0.2">
      <c r="B411" s="57"/>
      <c r="C411" s="57" t="s">
        <v>696</v>
      </c>
      <c r="D411" s="57" t="s">
        <v>650</v>
      </c>
      <c r="E411" s="62">
        <v>1</v>
      </c>
      <c r="F411" s="62"/>
      <c r="G411" s="62"/>
      <c r="H411" s="62"/>
      <c r="I411" s="62">
        <v>2</v>
      </c>
      <c r="J411" s="62">
        <v>1</v>
      </c>
      <c r="K411" s="62">
        <v>2</v>
      </c>
      <c r="L411" s="62"/>
      <c r="M411" s="62"/>
      <c r="N411" s="62">
        <v>1</v>
      </c>
      <c r="O411" s="62">
        <v>2</v>
      </c>
      <c r="P411" s="62"/>
      <c r="Q411" s="62">
        <v>3</v>
      </c>
      <c r="R411" s="62">
        <v>4</v>
      </c>
      <c r="S411" s="62">
        <v>3</v>
      </c>
      <c r="T411" s="62">
        <v>3</v>
      </c>
      <c r="U411" s="62">
        <v>1</v>
      </c>
      <c r="V411" s="62">
        <v>8</v>
      </c>
      <c r="W411" s="62">
        <v>2</v>
      </c>
      <c r="X411" s="62">
        <v>2</v>
      </c>
      <c r="Y411" s="62">
        <v>2</v>
      </c>
      <c r="Z411" s="62">
        <v>4</v>
      </c>
      <c r="AA411" s="62">
        <v>4</v>
      </c>
      <c r="AB411" s="62">
        <v>10</v>
      </c>
      <c r="AC411" s="62">
        <v>1</v>
      </c>
      <c r="AD411" s="62">
        <v>7</v>
      </c>
      <c r="AE411" s="62">
        <v>6</v>
      </c>
      <c r="AF411" s="62">
        <v>4</v>
      </c>
      <c r="AG411" s="62">
        <v>2</v>
      </c>
      <c r="AH411" s="62">
        <v>2</v>
      </c>
      <c r="AI411" s="62">
        <v>3</v>
      </c>
      <c r="AJ411" s="62">
        <v>10</v>
      </c>
      <c r="AK411" s="62">
        <v>12</v>
      </c>
      <c r="AL411" s="62">
        <v>11</v>
      </c>
      <c r="AM411" s="62">
        <v>6</v>
      </c>
      <c r="AN411" s="62">
        <v>7</v>
      </c>
      <c r="AO411" s="62">
        <v>9</v>
      </c>
      <c r="AP411" s="62">
        <v>7</v>
      </c>
      <c r="AQ411" s="62">
        <v>7</v>
      </c>
      <c r="AR411" s="62">
        <v>7</v>
      </c>
      <c r="AS411" s="62">
        <v>7</v>
      </c>
      <c r="AT411" s="62">
        <v>10</v>
      </c>
      <c r="AU411" s="62">
        <v>8</v>
      </c>
      <c r="AV411" s="62">
        <v>2</v>
      </c>
      <c r="AW411" s="62">
        <v>4</v>
      </c>
      <c r="AX411" s="62">
        <v>2</v>
      </c>
      <c r="AY411" s="62">
        <v>15</v>
      </c>
      <c r="AZ411" s="62">
        <v>4</v>
      </c>
      <c r="BA411" s="62">
        <v>6</v>
      </c>
      <c r="BB411" s="62">
        <v>7</v>
      </c>
      <c r="BC411" s="62">
        <v>4</v>
      </c>
      <c r="BD411" s="62">
        <v>1</v>
      </c>
      <c r="BE411" s="62">
        <v>6</v>
      </c>
      <c r="BF411" s="62"/>
      <c r="BG411" s="62">
        <v>5</v>
      </c>
      <c r="BH411" s="62">
        <v>11</v>
      </c>
    </row>
    <row r="412" spans="2:60" hidden="1" x14ac:dyDescent="0.2">
      <c r="B412" s="59"/>
      <c r="C412" s="59" t="s">
        <v>696</v>
      </c>
      <c r="D412" s="59" t="s">
        <v>651</v>
      </c>
      <c r="E412" s="63"/>
      <c r="F412" s="63"/>
      <c r="G412" s="63"/>
      <c r="H412" s="63"/>
      <c r="I412" s="63"/>
      <c r="J412" s="63"/>
      <c r="K412" s="63"/>
      <c r="L412" s="63"/>
      <c r="M412" s="63"/>
      <c r="N412" s="63">
        <v>1</v>
      </c>
      <c r="O412" s="63"/>
      <c r="P412" s="63">
        <v>1</v>
      </c>
      <c r="Q412" s="63"/>
      <c r="R412" s="63">
        <v>1</v>
      </c>
      <c r="S412" s="63"/>
      <c r="T412" s="63">
        <v>1</v>
      </c>
      <c r="U412" s="63"/>
      <c r="V412" s="63"/>
      <c r="W412" s="63"/>
      <c r="X412" s="63">
        <v>1</v>
      </c>
      <c r="Y412" s="63"/>
      <c r="Z412" s="63"/>
      <c r="AA412" s="63">
        <v>1</v>
      </c>
      <c r="AB412" s="63">
        <v>1</v>
      </c>
      <c r="AC412" s="63"/>
      <c r="AD412" s="63">
        <v>4</v>
      </c>
      <c r="AE412" s="63"/>
      <c r="AF412" s="63">
        <v>2</v>
      </c>
      <c r="AG412" s="63"/>
      <c r="AH412" s="63">
        <v>2</v>
      </c>
      <c r="AI412" s="63">
        <v>2</v>
      </c>
      <c r="AJ412" s="63">
        <v>1</v>
      </c>
      <c r="AK412" s="63"/>
      <c r="AL412" s="63">
        <v>2</v>
      </c>
      <c r="AM412" s="63">
        <v>1</v>
      </c>
      <c r="AN412" s="63">
        <v>1</v>
      </c>
      <c r="AO412" s="63">
        <v>2</v>
      </c>
      <c r="AP412" s="63">
        <v>1</v>
      </c>
      <c r="AQ412" s="63"/>
      <c r="AR412" s="63"/>
      <c r="AS412" s="63"/>
      <c r="AT412" s="63"/>
      <c r="AU412" s="63">
        <v>1</v>
      </c>
      <c r="AV412" s="63"/>
      <c r="AW412" s="63"/>
      <c r="AX412" s="63">
        <v>2</v>
      </c>
      <c r="AY412" s="63">
        <v>1</v>
      </c>
      <c r="AZ412" s="63"/>
      <c r="BA412" s="63"/>
      <c r="BB412" s="63"/>
      <c r="BC412" s="63">
        <v>1</v>
      </c>
      <c r="BD412" s="63">
        <v>2</v>
      </c>
      <c r="BE412" s="63"/>
      <c r="BF412" s="63"/>
      <c r="BG412" s="63">
        <v>1</v>
      </c>
      <c r="BH412" s="63">
        <v>1</v>
      </c>
    </row>
    <row r="413" spans="2:60" hidden="1" x14ac:dyDescent="0.2">
      <c r="B413" s="57"/>
      <c r="C413" s="57" t="s">
        <v>696</v>
      </c>
      <c r="D413" s="57" t="s">
        <v>652</v>
      </c>
      <c r="E413" s="62">
        <v>1</v>
      </c>
      <c r="F413" s="62">
        <v>6</v>
      </c>
      <c r="G413" s="62">
        <v>1</v>
      </c>
      <c r="H413" s="62"/>
      <c r="I413" s="62">
        <v>1</v>
      </c>
      <c r="J413" s="62">
        <v>3</v>
      </c>
      <c r="K413" s="62">
        <v>4</v>
      </c>
      <c r="L413" s="62">
        <v>2</v>
      </c>
      <c r="M413" s="62">
        <v>3</v>
      </c>
      <c r="N413" s="62">
        <v>2</v>
      </c>
      <c r="O413" s="62">
        <v>6</v>
      </c>
      <c r="P413" s="62">
        <v>2</v>
      </c>
      <c r="Q413" s="62">
        <v>3</v>
      </c>
      <c r="R413" s="62">
        <v>1</v>
      </c>
      <c r="S413" s="62">
        <v>3</v>
      </c>
      <c r="T413" s="62">
        <v>5</v>
      </c>
      <c r="U413" s="62">
        <v>3</v>
      </c>
      <c r="V413" s="62">
        <v>4</v>
      </c>
      <c r="W413" s="62">
        <v>2</v>
      </c>
      <c r="X413" s="62">
        <v>7</v>
      </c>
      <c r="Y413" s="62">
        <v>9</v>
      </c>
      <c r="Z413" s="62">
        <v>6</v>
      </c>
      <c r="AA413" s="62">
        <v>5</v>
      </c>
      <c r="AB413" s="62">
        <v>5</v>
      </c>
      <c r="AC413" s="62">
        <v>6</v>
      </c>
      <c r="AD413" s="62">
        <v>6</v>
      </c>
      <c r="AE413" s="62">
        <v>5</v>
      </c>
      <c r="AF413" s="62">
        <v>3</v>
      </c>
      <c r="AG413" s="62">
        <v>8</v>
      </c>
      <c r="AH413" s="62">
        <v>6</v>
      </c>
      <c r="AI413" s="62">
        <v>8</v>
      </c>
      <c r="AJ413" s="62">
        <v>8</v>
      </c>
      <c r="AK413" s="62">
        <v>16</v>
      </c>
      <c r="AL413" s="62">
        <v>15</v>
      </c>
      <c r="AM413" s="62">
        <v>18</v>
      </c>
      <c r="AN413" s="62">
        <v>8</v>
      </c>
      <c r="AO413" s="62">
        <v>24</v>
      </c>
      <c r="AP413" s="62">
        <v>13</v>
      </c>
      <c r="AQ413" s="62">
        <v>10</v>
      </c>
      <c r="AR413" s="62">
        <v>17</v>
      </c>
      <c r="AS413" s="62">
        <v>10</v>
      </c>
      <c r="AT413" s="62">
        <v>5</v>
      </c>
      <c r="AU413" s="62">
        <v>8</v>
      </c>
      <c r="AV413" s="62">
        <v>8</v>
      </c>
      <c r="AW413" s="62">
        <v>4</v>
      </c>
      <c r="AX413" s="62">
        <v>5</v>
      </c>
      <c r="AY413" s="62">
        <v>12</v>
      </c>
      <c r="AZ413" s="62">
        <v>10</v>
      </c>
      <c r="BA413" s="62">
        <v>7</v>
      </c>
      <c r="BB413" s="62">
        <v>7</v>
      </c>
      <c r="BC413" s="62">
        <v>3</v>
      </c>
      <c r="BD413" s="62">
        <v>8</v>
      </c>
      <c r="BE413" s="62">
        <v>6</v>
      </c>
      <c r="BF413" s="62">
        <v>4</v>
      </c>
      <c r="BG413" s="62">
        <v>5</v>
      </c>
      <c r="BH413" s="62">
        <v>14</v>
      </c>
    </row>
    <row r="414" spans="2:60" hidden="1" x14ac:dyDescent="0.2">
      <c r="B414" s="59"/>
      <c r="C414" s="59" t="s">
        <v>696</v>
      </c>
      <c r="D414" s="59" t="s">
        <v>653</v>
      </c>
      <c r="E414" s="63">
        <v>1</v>
      </c>
      <c r="F414" s="63">
        <v>2</v>
      </c>
      <c r="G414" s="63">
        <v>4</v>
      </c>
      <c r="H414" s="63">
        <v>3</v>
      </c>
      <c r="I414" s="63">
        <v>1</v>
      </c>
      <c r="J414" s="63">
        <v>1</v>
      </c>
      <c r="K414" s="63"/>
      <c r="L414" s="63"/>
      <c r="M414" s="63">
        <v>1</v>
      </c>
      <c r="N414" s="63"/>
      <c r="O414" s="63">
        <v>1</v>
      </c>
      <c r="P414" s="63"/>
      <c r="Q414" s="63">
        <v>3</v>
      </c>
      <c r="R414" s="63">
        <v>3</v>
      </c>
      <c r="S414" s="63">
        <v>3</v>
      </c>
      <c r="T414" s="63">
        <v>2</v>
      </c>
      <c r="U414" s="63">
        <v>1</v>
      </c>
      <c r="V414" s="63">
        <v>8</v>
      </c>
      <c r="W414" s="63">
        <v>1</v>
      </c>
      <c r="X414" s="63">
        <v>3</v>
      </c>
      <c r="Y414" s="63">
        <v>2</v>
      </c>
      <c r="Z414" s="63">
        <v>4</v>
      </c>
      <c r="AA414" s="63">
        <v>6</v>
      </c>
      <c r="AB414" s="63">
        <v>2</v>
      </c>
      <c r="AC414" s="63">
        <v>3</v>
      </c>
      <c r="AD414" s="63">
        <v>2</v>
      </c>
      <c r="AE414" s="63">
        <v>5</v>
      </c>
      <c r="AF414" s="63">
        <v>3</v>
      </c>
      <c r="AG414" s="63">
        <v>6</v>
      </c>
      <c r="AH414" s="63">
        <v>5</v>
      </c>
      <c r="AI414" s="63">
        <v>3</v>
      </c>
      <c r="AJ414" s="63">
        <v>7</v>
      </c>
      <c r="AK414" s="63">
        <v>4</v>
      </c>
      <c r="AL414" s="63">
        <v>10</v>
      </c>
      <c r="AM414" s="63">
        <v>1</v>
      </c>
      <c r="AN414" s="63">
        <v>8</v>
      </c>
      <c r="AO414" s="63">
        <v>11</v>
      </c>
      <c r="AP414" s="63">
        <v>5</v>
      </c>
      <c r="AQ414" s="63">
        <v>4</v>
      </c>
      <c r="AR414" s="63">
        <v>3</v>
      </c>
      <c r="AS414" s="63">
        <v>3</v>
      </c>
      <c r="AT414" s="63">
        <v>4</v>
      </c>
      <c r="AU414" s="63">
        <v>3</v>
      </c>
      <c r="AV414" s="63">
        <v>2</v>
      </c>
      <c r="AW414" s="63">
        <v>5</v>
      </c>
      <c r="AX414" s="63">
        <v>3</v>
      </c>
      <c r="AY414" s="63">
        <v>2</v>
      </c>
      <c r="AZ414" s="63">
        <v>1</v>
      </c>
      <c r="BA414" s="63">
        <v>3</v>
      </c>
      <c r="BB414" s="63">
        <v>3</v>
      </c>
      <c r="BC414" s="63">
        <v>7</v>
      </c>
      <c r="BD414" s="63">
        <v>4</v>
      </c>
      <c r="BE414" s="63">
        <v>2</v>
      </c>
      <c r="BF414" s="63">
        <v>3</v>
      </c>
      <c r="BG414" s="63">
        <v>5</v>
      </c>
      <c r="BH414" s="63">
        <v>6</v>
      </c>
    </row>
    <row r="415" spans="2:60" hidden="1" x14ac:dyDescent="0.2">
      <c r="B415" s="57"/>
      <c r="C415" s="57" t="s">
        <v>696</v>
      </c>
      <c r="D415" s="57" t="s">
        <v>654</v>
      </c>
      <c r="E415" s="62"/>
      <c r="F415" s="62">
        <v>1</v>
      </c>
      <c r="G415" s="62"/>
      <c r="H415" s="62"/>
      <c r="I415" s="62">
        <v>1</v>
      </c>
      <c r="J415" s="62"/>
      <c r="K415" s="62">
        <v>1</v>
      </c>
      <c r="L415" s="62">
        <v>1</v>
      </c>
      <c r="M415" s="62">
        <v>1</v>
      </c>
      <c r="N415" s="62"/>
      <c r="O415" s="62">
        <v>3</v>
      </c>
      <c r="P415" s="62">
        <v>2</v>
      </c>
      <c r="Q415" s="62">
        <v>1</v>
      </c>
      <c r="R415" s="62">
        <v>1</v>
      </c>
      <c r="S415" s="62">
        <v>1</v>
      </c>
      <c r="T415" s="62">
        <v>2</v>
      </c>
      <c r="U415" s="62"/>
      <c r="V415" s="62"/>
      <c r="W415" s="62">
        <v>3</v>
      </c>
      <c r="X415" s="62">
        <v>2</v>
      </c>
      <c r="Y415" s="62">
        <v>2</v>
      </c>
      <c r="Z415" s="62">
        <v>2</v>
      </c>
      <c r="AA415" s="62">
        <v>3</v>
      </c>
      <c r="AB415" s="62"/>
      <c r="AC415" s="62"/>
      <c r="AD415" s="62">
        <v>2</v>
      </c>
      <c r="AE415" s="62"/>
      <c r="AF415" s="62">
        <v>3</v>
      </c>
      <c r="AG415" s="62"/>
      <c r="AH415" s="62">
        <v>1</v>
      </c>
      <c r="AI415" s="62"/>
      <c r="AJ415" s="62">
        <v>1</v>
      </c>
      <c r="AK415" s="62"/>
      <c r="AL415" s="62">
        <v>3</v>
      </c>
      <c r="AM415" s="62"/>
      <c r="AN415" s="62"/>
      <c r="AO415" s="62">
        <v>6</v>
      </c>
      <c r="AP415" s="62">
        <v>2</v>
      </c>
      <c r="AQ415" s="62"/>
      <c r="AR415" s="62">
        <v>3</v>
      </c>
      <c r="AS415" s="62">
        <v>3</v>
      </c>
      <c r="AT415" s="62">
        <v>5</v>
      </c>
      <c r="AU415" s="62">
        <v>4</v>
      </c>
      <c r="AV415" s="62">
        <v>3</v>
      </c>
      <c r="AW415" s="62">
        <v>5</v>
      </c>
      <c r="AX415" s="62">
        <v>5</v>
      </c>
      <c r="AY415" s="62">
        <v>6</v>
      </c>
      <c r="AZ415" s="62">
        <v>6</v>
      </c>
      <c r="BA415" s="62">
        <v>6</v>
      </c>
      <c r="BB415" s="62">
        <v>8</v>
      </c>
      <c r="BC415" s="62">
        <v>8</v>
      </c>
      <c r="BD415" s="62">
        <v>6</v>
      </c>
      <c r="BE415" s="62">
        <v>7</v>
      </c>
      <c r="BF415" s="62">
        <v>9</v>
      </c>
      <c r="BG415" s="62">
        <v>4</v>
      </c>
      <c r="BH415" s="62">
        <v>14</v>
      </c>
    </row>
    <row r="416" spans="2:60" hidden="1" x14ac:dyDescent="0.2">
      <c r="B416" s="59"/>
      <c r="C416" s="59" t="s">
        <v>696</v>
      </c>
      <c r="D416" s="59" t="s">
        <v>655</v>
      </c>
      <c r="E416" s="63"/>
      <c r="F416" s="63"/>
      <c r="G416" s="63">
        <v>1</v>
      </c>
      <c r="H416" s="63"/>
      <c r="I416" s="63"/>
      <c r="J416" s="63"/>
      <c r="K416" s="63"/>
      <c r="L416" s="63">
        <v>1</v>
      </c>
      <c r="M416" s="63"/>
      <c r="N416" s="63">
        <v>1</v>
      </c>
      <c r="O416" s="63"/>
      <c r="P416" s="63"/>
      <c r="Q416" s="63"/>
      <c r="R416" s="63"/>
      <c r="S416" s="63"/>
      <c r="T416" s="63"/>
      <c r="U416" s="63"/>
      <c r="V416" s="63"/>
      <c r="W416" s="63"/>
      <c r="X416" s="63">
        <v>2</v>
      </c>
      <c r="Y416" s="63">
        <v>1</v>
      </c>
      <c r="Z416" s="63">
        <v>2</v>
      </c>
      <c r="AA416" s="63"/>
      <c r="AB416" s="63"/>
      <c r="AC416" s="63">
        <v>1</v>
      </c>
      <c r="AD416" s="63"/>
      <c r="AE416" s="63"/>
      <c r="AF416" s="63"/>
      <c r="AG416" s="63">
        <v>1</v>
      </c>
      <c r="AH416" s="63"/>
      <c r="AI416" s="63">
        <v>1</v>
      </c>
      <c r="AJ416" s="63">
        <v>2</v>
      </c>
      <c r="AK416" s="63">
        <v>7</v>
      </c>
      <c r="AL416" s="63">
        <v>2</v>
      </c>
      <c r="AM416" s="63">
        <v>4</v>
      </c>
      <c r="AN416" s="63">
        <v>1</v>
      </c>
      <c r="AO416" s="63"/>
      <c r="AP416" s="63">
        <v>5</v>
      </c>
      <c r="AQ416" s="63">
        <v>1</v>
      </c>
      <c r="AR416" s="63"/>
      <c r="AS416" s="63"/>
      <c r="AT416" s="63">
        <v>2</v>
      </c>
      <c r="AU416" s="63">
        <v>1</v>
      </c>
      <c r="AV416" s="63">
        <v>2</v>
      </c>
      <c r="AW416" s="63">
        <v>2</v>
      </c>
      <c r="AX416" s="63"/>
      <c r="AY416" s="63">
        <v>3</v>
      </c>
      <c r="AZ416" s="63">
        <v>1</v>
      </c>
      <c r="BA416" s="63">
        <v>1</v>
      </c>
      <c r="BB416" s="63">
        <v>1</v>
      </c>
      <c r="BC416" s="63"/>
      <c r="BD416" s="63">
        <v>3</v>
      </c>
      <c r="BE416" s="63"/>
      <c r="BF416" s="63"/>
      <c r="BG416" s="63"/>
      <c r="BH416" s="63">
        <v>1</v>
      </c>
    </row>
    <row r="417" spans="2:60" hidden="1" x14ac:dyDescent="0.2">
      <c r="B417" s="57"/>
      <c r="C417" s="57" t="s">
        <v>696</v>
      </c>
      <c r="D417" s="57" t="s">
        <v>699</v>
      </c>
      <c r="E417" s="62">
        <v>1</v>
      </c>
      <c r="F417" s="62"/>
      <c r="G417" s="62">
        <v>1</v>
      </c>
      <c r="H417" s="62">
        <v>1</v>
      </c>
      <c r="I417" s="62"/>
      <c r="J417" s="62">
        <v>1</v>
      </c>
      <c r="K417" s="62">
        <v>1</v>
      </c>
      <c r="L417" s="62"/>
      <c r="M417" s="62">
        <v>1</v>
      </c>
      <c r="N417" s="62">
        <v>1</v>
      </c>
      <c r="O417" s="62"/>
      <c r="P417" s="62">
        <v>1</v>
      </c>
      <c r="Q417" s="62"/>
      <c r="R417" s="62">
        <v>2</v>
      </c>
      <c r="S417" s="62">
        <v>1</v>
      </c>
      <c r="T417" s="62">
        <v>2</v>
      </c>
      <c r="U417" s="62"/>
      <c r="V417" s="62">
        <v>4</v>
      </c>
      <c r="W417" s="62">
        <v>1</v>
      </c>
      <c r="X417" s="62">
        <v>4</v>
      </c>
      <c r="Y417" s="62">
        <v>4</v>
      </c>
      <c r="Z417" s="62">
        <v>2</v>
      </c>
      <c r="AA417" s="62">
        <v>2</v>
      </c>
      <c r="AB417" s="62">
        <v>3</v>
      </c>
      <c r="AC417" s="62">
        <v>9</v>
      </c>
      <c r="AD417" s="62">
        <v>7</v>
      </c>
      <c r="AE417" s="62">
        <v>16</v>
      </c>
      <c r="AF417" s="62">
        <v>7</v>
      </c>
      <c r="AG417" s="62">
        <v>2</v>
      </c>
      <c r="AH417" s="62">
        <v>6</v>
      </c>
      <c r="AI417" s="62">
        <v>4</v>
      </c>
      <c r="AJ417" s="62">
        <v>4</v>
      </c>
      <c r="AK417" s="62">
        <v>3</v>
      </c>
      <c r="AL417" s="62">
        <v>8</v>
      </c>
      <c r="AM417" s="62">
        <v>6</v>
      </c>
      <c r="AN417" s="62">
        <v>3</v>
      </c>
      <c r="AO417" s="62">
        <v>6</v>
      </c>
      <c r="AP417" s="62">
        <v>6</v>
      </c>
      <c r="AQ417" s="62">
        <v>2</v>
      </c>
      <c r="AR417" s="62">
        <v>5</v>
      </c>
      <c r="AS417" s="62">
        <v>4</v>
      </c>
      <c r="AT417" s="62">
        <v>5</v>
      </c>
      <c r="AU417" s="62"/>
      <c r="AV417" s="62">
        <v>2</v>
      </c>
      <c r="AW417" s="62">
        <v>2</v>
      </c>
      <c r="AX417" s="62">
        <v>3</v>
      </c>
      <c r="AY417" s="62">
        <v>1</v>
      </c>
      <c r="AZ417" s="62">
        <v>3</v>
      </c>
      <c r="BA417" s="62">
        <v>1</v>
      </c>
      <c r="BB417" s="62">
        <v>4</v>
      </c>
      <c r="BC417" s="62">
        <v>1</v>
      </c>
      <c r="BD417" s="62">
        <v>2</v>
      </c>
      <c r="BE417" s="62">
        <v>2</v>
      </c>
      <c r="BF417" s="62">
        <v>3</v>
      </c>
      <c r="BG417" s="62">
        <v>6</v>
      </c>
      <c r="BH417" s="62">
        <v>5</v>
      </c>
    </row>
    <row r="418" spans="2:60" hidden="1" x14ac:dyDescent="0.2">
      <c r="B418" s="59"/>
      <c r="C418" s="59" t="s">
        <v>696</v>
      </c>
      <c r="D418" s="59" t="s">
        <v>656</v>
      </c>
      <c r="E418" s="63">
        <v>12</v>
      </c>
      <c r="F418" s="63">
        <v>10</v>
      </c>
      <c r="G418" s="63">
        <v>9</v>
      </c>
      <c r="H418" s="63">
        <v>8</v>
      </c>
      <c r="I418" s="63">
        <v>10</v>
      </c>
      <c r="J418" s="63">
        <v>9</v>
      </c>
      <c r="K418" s="63">
        <v>19</v>
      </c>
      <c r="L418" s="63">
        <v>7</v>
      </c>
      <c r="M418" s="63">
        <v>11</v>
      </c>
      <c r="N418" s="63">
        <v>14</v>
      </c>
      <c r="O418" s="63">
        <v>18</v>
      </c>
      <c r="P418" s="63">
        <v>10</v>
      </c>
      <c r="Q418" s="63">
        <v>24</v>
      </c>
      <c r="R418" s="63">
        <v>18</v>
      </c>
      <c r="S418" s="63">
        <v>23</v>
      </c>
      <c r="T418" s="63">
        <v>20</v>
      </c>
      <c r="U418" s="63">
        <v>14</v>
      </c>
      <c r="V418" s="63">
        <v>31</v>
      </c>
      <c r="W418" s="63">
        <v>27</v>
      </c>
      <c r="X418" s="63">
        <v>27</v>
      </c>
      <c r="Y418" s="63">
        <v>33</v>
      </c>
      <c r="Z418" s="63">
        <v>29</v>
      </c>
      <c r="AA418" s="63">
        <v>34</v>
      </c>
      <c r="AB418" s="63">
        <v>30</v>
      </c>
      <c r="AC418" s="63">
        <v>32</v>
      </c>
      <c r="AD418" s="63">
        <v>38</v>
      </c>
      <c r="AE418" s="63">
        <v>48</v>
      </c>
      <c r="AF418" s="63">
        <v>36</v>
      </c>
      <c r="AG418" s="63">
        <v>25</v>
      </c>
      <c r="AH418" s="63">
        <v>32</v>
      </c>
      <c r="AI418" s="63">
        <v>35</v>
      </c>
      <c r="AJ418" s="63">
        <v>43</v>
      </c>
      <c r="AK418" s="63">
        <v>65</v>
      </c>
      <c r="AL418" s="63">
        <v>87</v>
      </c>
      <c r="AM418" s="63">
        <v>68</v>
      </c>
      <c r="AN418" s="63">
        <v>52</v>
      </c>
      <c r="AO418" s="63">
        <v>85</v>
      </c>
      <c r="AP418" s="63">
        <v>65</v>
      </c>
      <c r="AQ418" s="63">
        <v>44</v>
      </c>
      <c r="AR418" s="63">
        <v>51</v>
      </c>
      <c r="AS418" s="63">
        <v>51</v>
      </c>
      <c r="AT418" s="63">
        <v>48</v>
      </c>
      <c r="AU418" s="63">
        <v>40</v>
      </c>
      <c r="AV418" s="63">
        <v>36</v>
      </c>
      <c r="AW418" s="63">
        <v>34</v>
      </c>
      <c r="AX418" s="63">
        <v>31</v>
      </c>
      <c r="AY418" s="63">
        <v>58</v>
      </c>
      <c r="AZ418" s="63">
        <v>35</v>
      </c>
      <c r="BA418" s="63">
        <v>35</v>
      </c>
      <c r="BB418" s="63">
        <v>40</v>
      </c>
      <c r="BC418" s="63">
        <v>37</v>
      </c>
      <c r="BD418" s="63">
        <v>38</v>
      </c>
      <c r="BE418" s="63">
        <v>40</v>
      </c>
      <c r="BF418" s="63">
        <v>26</v>
      </c>
      <c r="BG418" s="63">
        <v>45</v>
      </c>
      <c r="BH418" s="63">
        <v>70</v>
      </c>
    </row>
    <row r="419" spans="2:60" hidden="1" x14ac:dyDescent="0.2">
      <c r="B419" s="57"/>
      <c r="C419" s="57" t="s">
        <v>697</v>
      </c>
      <c r="D419" s="57" t="s">
        <v>648</v>
      </c>
      <c r="E419" s="62">
        <v>6</v>
      </c>
      <c r="F419" s="62">
        <v>10</v>
      </c>
      <c r="G419" s="62">
        <v>12</v>
      </c>
      <c r="H419" s="62">
        <v>8</v>
      </c>
      <c r="I419" s="62">
        <v>13</v>
      </c>
      <c r="J419" s="62">
        <v>20</v>
      </c>
      <c r="K419" s="62">
        <v>19</v>
      </c>
      <c r="L419" s="62">
        <v>12</v>
      </c>
      <c r="M419" s="62">
        <v>9</v>
      </c>
      <c r="N419" s="62">
        <v>12</v>
      </c>
      <c r="O419" s="62">
        <v>6</v>
      </c>
      <c r="P419" s="62">
        <v>5</v>
      </c>
      <c r="Q419" s="62">
        <v>11</v>
      </c>
      <c r="R419" s="62">
        <v>15</v>
      </c>
      <c r="S419" s="62">
        <v>9</v>
      </c>
      <c r="T419" s="62">
        <v>7</v>
      </c>
      <c r="U419" s="62">
        <v>9</v>
      </c>
      <c r="V419" s="62">
        <v>11</v>
      </c>
      <c r="W419" s="62">
        <v>12</v>
      </c>
      <c r="X419" s="62">
        <v>9</v>
      </c>
      <c r="Y419" s="62">
        <v>7</v>
      </c>
      <c r="Z419" s="62">
        <v>12</v>
      </c>
      <c r="AA419" s="62">
        <v>12</v>
      </c>
      <c r="AB419" s="62">
        <v>13</v>
      </c>
      <c r="AC419" s="62">
        <v>14</v>
      </c>
      <c r="AD419" s="62">
        <v>12</v>
      </c>
      <c r="AE419" s="62">
        <v>9</v>
      </c>
      <c r="AF419" s="62">
        <v>19</v>
      </c>
      <c r="AG419" s="62">
        <v>9</v>
      </c>
      <c r="AH419" s="62">
        <v>14</v>
      </c>
      <c r="AI419" s="62">
        <v>13</v>
      </c>
      <c r="AJ419" s="62">
        <v>14</v>
      </c>
      <c r="AK419" s="62">
        <v>12</v>
      </c>
      <c r="AL419" s="62">
        <v>15</v>
      </c>
      <c r="AM419" s="62">
        <v>6</v>
      </c>
      <c r="AN419" s="62">
        <v>18</v>
      </c>
      <c r="AO419" s="62">
        <v>8</v>
      </c>
      <c r="AP419" s="62">
        <v>14</v>
      </c>
      <c r="AQ419" s="62">
        <v>18</v>
      </c>
      <c r="AR419" s="62">
        <v>9</v>
      </c>
      <c r="AS419" s="62">
        <v>11</v>
      </c>
      <c r="AT419" s="62">
        <v>18</v>
      </c>
      <c r="AU419" s="62">
        <v>13</v>
      </c>
      <c r="AV419" s="62">
        <v>10</v>
      </c>
      <c r="AW419" s="62">
        <v>9</v>
      </c>
      <c r="AX419" s="62">
        <v>12</v>
      </c>
      <c r="AY419" s="62">
        <v>15</v>
      </c>
      <c r="AZ419" s="62">
        <v>10</v>
      </c>
      <c r="BA419" s="62">
        <v>9</v>
      </c>
      <c r="BB419" s="62">
        <v>7</v>
      </c>
      <c r="BC419" s="62">
        <v>8</v>
      </c>
      <c r="BD419" s="62">
        <v>13</v>
      </c>
      <c r="BE419" s="62">
        <v>10</v>
      </c>
      <c r="BF419" s="62">
        <v>11</v>
      </c>
      <c r="BG419" s="62">
        <v>14</v>
      </c>
      <c r="BH419" s="62">
        <v>12</v>
      </c>
    </row>
    <row r="420" spans="2:60" hidden="1" x14ac:dyDescent="0.2">
      <c r="B420" s="59"/>
      <c r="C420" s="59" t="s">
        <v>697</v>
      </c>
      <c r="D420" s="59" t="s">
        <v>649</v>
      </c>
      <c r="E420" s="63">
        <v>62</v>
      </c>
      <c r="F420" s="63">
        <v>62</v>
      </c>
      <c r="G420" s="63">
        <v>46</v>
      </c>
      <c r="H420" s="63">
        <v>50</v>
      </c>
      <c r="I420" s="63">
        <v>60</v>
      </c>
      <c r="J420" s="63">
        <v>54</v>
      </c>
      <c r="K420" s="63">
        <v>43</v>
      </c>
      <c r="L420" s="63">
        <v>54</v>
      </c>
      <c r="M420" s="63">
        <v>60</v>
      </c>
      <c r="N420" s="63">
        <v>58</v>
      </c>
      <c r="O420" s="63">
        <v>53</v>
      </c>
      <c r="P420" s="63">
        <v>47</v>
      </c>
      <c r="Q420" s="63">
        <v>65</v>
      </c>
      <c r="R420" s="63">
        <v>51</v>
      </c>
      <c r="S420" s="63">
        <v>58</v>
      </c>
      <c r="T420" s="63">
        <v>58</v>
      </c>
      <c r="U420" s="63">
        <v>64</v>
      </c>
      <c r="V420" s="63">
        <v>58</v>
      </c>
      <c r="W420" s="63">
        <v>61</v>
      </c>
      <c r="X420" s="63">
        <v>47</v>
      </c>
      <c r="Y420" s="63">
        <v>66</v>
      </c>
      <c r="Z420" s="63">
        <v>53</v>
      </c>
      <c r="AA420" s="63">
        <v>54</v>
      </c>
      <c r="AB420" s="63">
        <v>53</v>
      </c>
      <c r="AC420" s="63">
        <v>48</v>
      </c>
      <c r="AD420" s="63">
        <v>54</v>
      </c>
      <c r="AE420" s="63">
        <v>63</v>
      </c>
      <c r="AF420" s="63">
        <v>51</v>
      </c>
      <c r="AG420" s="63">
        <v>55</v>
      </c>
      <c r="AH420" s="63">
        <v>66</v>
      </c>
      <c r="AI420" s="63">
        <v>38</v>
      </c>
      <c r="AJ420" s="63">
        <v>53</v>
      </c>
      <c r="AK420" s="63">
        <v>49</v>
      </c>
      <c r="AL420" s="63">
        <v>47</v>
      </c>
      <c r="AM420" s="63">
        <v>56</v>
      </c>
      <c r="AN420" s="63">
        <v>43</v>
      </c>
      <c r="AO420" s="63">
        <v>53</v>
      </c>
      <c r="AP420" s="63">
        <v>50</v>
      </c>
      <c r="AQ420" s="63">
        <v>52</v>
      </c>
      <c r="AR420" s="63">
        <v>51</v>
      </c>
      <c r="AS420" s="63">
        <v>39</v>
      </c>
      <c r="AT420" s="63">
        <v>59</v>
      </c>
      <c r="AU420" s="63">
        <v>44</v>
      </c>
      <c r="AV420" s="63">
        <v>40</v>
      </c>
      <c r="AW420" s="63">
        <v>44</v>
      </c>
      <c r="AX420" s="63">
        <v>42</v>
      </c>
      <c r="AY420" s="63">
        <v>38</v>
      </c>
      <c r="AZ420" s="63">
        <v>42</v>
      </c>
      <c r="BA420" s="63">
        <v>31</v>
      </c>
      <c r="BB420" s="63">
        <v>39</v>
      </c>
      <c r="BC420" s="63">
        <v>41</v>
      </c>
      <c r="BD420" s="63">
        <v>44</v>
      </c>
      <c r="BE420" s="63">
        <v>33</v>
      </c>
      <c r="BF420" s="63">
        <v>36</v>
      </c>
      <c r="BG420" s="63">
        <v>48</v>
      </c>
      <c r="BH420" s="63">
        <v>37</v>
      </c>
    </row>
    <row r="421" spans="2:60" hidden="1" x14ac:dyDescent="0.2">
      <c r="B421" s="57"/>
      <c r="C421" s="57" t="s">
        <v>697</v>
      </c>
      <c r="D421" s="57" t="s">
        <v>650</v>
      </c>
      <c r="E421" s="62">
        <v>21</v>
      </c>
      <c r="F421" s="62">
        <v>20</v>
      </c>
      <c r="G421" s="62">
        <v>39</v>
      </c>
      <c r="H421" s="62">
        <v>40</v>
      </c>
      <c r="I421" s="62">
        <v>37</v>
      </c>
      <c r="J421" s="62">
        <v>30</v>
      </c>
      <c r="K421" s="62">
        <v>52</v>
      </c>
      <c r="L421" s="62">
        <v>44</v>
      </c>
      <c r="M421" s="62">
        <v>61</v>
      </c>
      <c r="N421" s="62">
        <v>38</v>
      </c>
      <c r="O421" s="62">
        <v>70</v>
      </c>
      <c r="P421" s="62">
        <v>48</v>
      </c>
      <c r="Q421" s="62">
        <v>56</v>
      </c>
      <c r="R421" s="62">
        <v>63</v>
      </c>
      <c r="S421" s="62">
        <v>63</v>
      </c>
      <c r="T421" s="62">
        <v>73</v>
      </c>
      <c r="U421" s="62">
        <v>109</v>
      </c>
      <c r="V421" s="62">
        <v>70</v>
      </c>
      <c r="W421" s="62">
        <v>49</v>
      </c>
      <c r="X421" s="62">
        <v>56</v>
      </c>
      <c r="Y421" s="62">
        <v>84</v>
      </c>
      <c r="Z421" s="62">
        <v>59</v>
      </c>
      <c r="AA421" s="62">
        <v>62</v>
      </c>
      <c r="AB421" s="62">
        <v>61</v>
      </c>
      <c r="AC421" s="62">
        <v>80</v>
      </c>
      <c r="AD421" s="62">
        <v>70</v>
      </c>
      <c r="AE421" s="62">
        <v>52</v>
      </c>
      <c r="AF421" s="62">
        <v>64</v>
      </c>
      <c r="AG421" s="62">
        <v>65</v>
      </c>
      <c r="AH421" s="62">
        <v>69</v>
      </c>
      <c r="AI421" s="62">
        <v>35</v>
      </c>
      <c r="AJ421" s="62">
        <v>67</v>
      </c>
      <c r="AK421" s="62">
        <v>47</v>
      </c>
      <c r="AL421" s="62">
        <v>55</v>
      </c>
      <c r="AM421" s="62">
        <v>55</v>
      </c>
      <c r="AN421" s="62">
        <v>38</v>
      </c>
      <c r="AO421" s="62">
        <v>40</v>
      </c>
      <c r="AP421" s="62">
        <v>37</v>
      </c>
      <c r="AQ421" s="62">
        <v>34</v>
      </c>
      <c r="AR421" s="62">
        <v>37</v>
      </c>
      <c r="AS421" s="62">
        <v>39</v>
      </c>
      <c r="AT421" s="62">
        <v>35</v>
      </c>
      <c r="AU421" s="62">
        <v>41</v>
      </c>
      <c r="AV421" s="62">
        <v>24</v>
      </c>
      <c r="AW421" s="62">
        <v>33</v>
      </c>
      <c r="AX421" s="62">
        <v>44</v>
      </c>
      <c r="AY421" s="62">
        <v>35</v>
      </c>
      <c r="AZ421" s="62">
        <v>36</v>
      </c>
      <c r="BA421" s="62">
        <v>30</v>
      </c>
      <c r="BB421" s="62">
        <v>31</v>
      </c>
      <c r="BC421" s="62">
        <v>27</v>
      </c>
      <c r="BD421" s="62">
        <v>40</v>
      </c>
      <c r="BE421" s="62">
        <v>14</v>
      </c>
      <c r="BF421" s="62">
        <v>23</v>
      </c>
      <c r="BG421" s="62">
        <v>21</v>
      </c>
      <c r="BH421" s="62">
        <v>11</v>
      </c>
    </row>
    <row r="422" spans="2:60" hidden="1" x14ac:dyDescent="0.2">
      <c r="B422" s="59"/>
      <c r="C422" s="59" t="s">
        <v>697</v>
      </c>
      <c r="D422" s="59" t="s">
        <v>651</v>
      </c>
      <c r="E422" s="63">
        <v>19</v>
      </c>
      <c r="F422" s="63">
        <v>22</v>
      </c>
      <c r="G422" s="63">
        <v>23</v>
      </c>
      <c r="H422" s="63">
        <v>21</v>
      </c>
      <c r="I422" s="63">
        <v>24</v>
      </c>
      <c r="J422" s="63">
        <v>24</v>
      </c>
      <c r="K422" s="63">
        <v>25</v>
      </c>
      <c r="L422" s="63">
        <v>15</v>
      </c>
      <c r="M422" s="63">
        <v>14</v>
      </c>
      <c r="N422" s="63">
        <v>24</v>
      </c>
      <c r="O422" s="63">
        <v>17</v>
      </c>
      <c r="P422" s="63">
        <v>25</v>
      </c>
      <c r="Q422" s="63">
        <v>13</v>
      </c>
      <c r="R422" s="63">
        <v>9</v>
      </c>
      <c r="S422" s="63">
        <v>22</v>
      </c>
      <c r="T422" s="63">
        <v>12</v>
      </c>
      <c r="U422" s="63">
        <v>13</v>
      </c>
      <c r="V422" s="63">
        <v>21</v>
      </c>
      <c r="W422" s="63">
        <v>20</v>
      </c>
      <c r="X422" s="63">
        <v>18</v>
      </c>
      <c r="Y422" s="63">
        <v>21</v>
      </c>
      <c r="Z422" s="63">
        <v>24</v>
      </c>
      <c r="AA422" s="63">
        <v>21</v>
      </c>
      <c r="AB422" s="63">
        <v>14</v>
      </c>
      <c r="AC422" s="63">
        <v>26</v>
      </c>
      <c r="AD422" s="63">
        <v>15</v>
      </c>
      <c r="AE422" s="63">
        <v>15</v>
      </c>
      <c r="AF422" s="63">
        <v>22</v>
      </c>
      <c r="AG422" s="63">
        <v>15</v>
      </c>
      <c r="AH422" s="63">
        <v>16</v>
      </c>
      <c r="AI422" s="63">
        <v>18</v>
      </c>
      <c r="AJ422" s="63">
        <v>17</v>
      </c>
      <c r="AK422" s="63">
        <v>18</v>
      </c>
      <c r="AL422" s="63">
        <v>27</v>
      </c>
      <c r="AM422" s="63">
        <v>16</v>
      </c>
      <c r="AN422" s="63">
        <v>12</v>
      </c>
      <c r="AO422" s="63">
        <v>7</v>
      </c>
      <c r="AP422" s="63">
        <v>14</v>
      </c>
      <c r="AQ422" s="63">
        <v>12</v>
      </c>
      <c r="AR422" s="63">
        <v>14</v>
      </c>
      <c r="AS422" s="63">
        <v>9</v>
      </c>
      <c r="AT422" s="63">
        <v>14</v>
      </c>
      <c r="AU422" s="63">
        <v>11</v>
      </c>
      <c r="AV422" s="63">
        <v>9</v>
      </c>
      <c r="AW422" s="63">
        <v>14</v>
      </c>
      <c r="AX422" s="63">
        <v>18</v>
      </c>
      <c r="AY422" s="63">
        <v>10</v>
      </c>
      <c r="AZ422" s="63">
        <v>6</v>
      </c>
      <c r="BA422" s="63">
        <v>9</v>
      </c>
      <c r="BB422" s="63">
        <v>6</v>
      </c>
      <c r="BC422" s="63">
        <v>8</v>
      </c>
      <c r="BD422" s="63">
        <v>11</v>
      </c>
      <c r="BE422" s="63">
        <v>8</v>
      </c>
      <c r="BF422" s="63">
        <v>15</v>
      </c>
      <c r="BG422" s="63">
        <v>10</v>
      </c>
      <c r="BH422" s="63">
        <v>14</v>
      </c>
    </row>
    <row r="423" spans="2:60" hidden="1" x14ac:dyDescent="0.2">
      <c r="B423" s="57"/>
      <c r="C423" s="57" t="s">
        <v>697</v>
      </c>
      <c r="D423" s="57" t="s">
        <v>652</v>
      </c>
      <c r="E423" s="62">
        <v>132</v>
      </c>
      <c r="F423" s="62">
        <v>137</v>
      </c>
      <c r="G423" s="62">
        <v>144</v>
      </c>
      <c r="H423" s="62">
        <v>147</v>
      </c>
      <c r="I423" s="62">
        <v>186</v>
      </c>
      <c r="J423" s="62">
        <v>163</v>
      </c>
      <c r="K423" s="62">
        <v>141</v>
      </c>
      <c r="L423" s="62">
        <v>148</v>
      </c>
      <c r="M423" s="62">
        <v>147</v>
      </c>
      <c r="N423" s="62">
        <v>143</v>
      </c>
      <c r="O423" s="62">
        <v>157</v>
      </c>
      <c r="P423" s="62">
        <v>164</v>
      </c>
      <c r="Q423" s="62">
        <v>159</v>
      </c>
      <c r="R423" s="62">
        <v>157</v>
      </c>
      <c r="S423" s="62">
        <v>161</v>
      </c>
      <c r="T423" s="62">
        <v>116</v>
      </c>
      <c r="U423" s="62">
        <v>157</v>
      </c>
      <c r="V423" s="62">
        <v>120</v>
      </c>
      <c r="W423" s="62">
        <v>128</v>
      </c>
      <c r="X423" s="62">
        <v>129</v>
      </c>
      <c r="Y423" s="62">
        <v>167</v>
      </c>
      <c r="Z423" s="62">
        <v>115</v>
      </c>
      <c r="AA423" s="62">
        <v>111</v>
      </c>
      <c r="AB423" s="62">
        <v>94</v>
      </c>
      <c r="AC423" s="62">
        <v>123</v>
      </c>
      <c r="AD423" s="62">
        <v>114</v>
      </c>
      <c r="AE423" s="62">
        <v>105</v>
      </c>
      <c r="AF423" s="62">
        <v>102</v>
      </c>
      <c r="AG423" s="62">
        <v>114</v>
      </c>
      <c r="AH423" s="62">
        <v>123</v>
      </c>
      <c r="AI423" s="62">
        <v>80</v>
      </c>
      <c r="AJ423" s="62">
        <v>101</v>
      </c>
      <c r="AK423" s="62">
        <v>96</v>
      </c>
      <c r="AL423" s="62">
        <v>123</v>
      </c>
      <c r="AM423" s="62">
        <v>109</v>
      </c>
      <c r="AN423" s="62">
        <v>95</v>
      </c>
      <c r="AO423" s="62">
        <v>122</v>
      </c>
      <c r="AP423" s="62">
        <v>111</v>
      </c>
      <c r="AQ423" s="62">
        <v>100</v>
      </c>
      <c r="AR423" s="62">
        <v>91</v>
      </c>
      <c r="AS423" s="62">
        <v>79</v>
      </c>
      <c r="AT423" s="62">
        <v>70</v>
      </c>
      <c r="AU423" s="62">
        <v>76</v>
      </c>
      <c r="AV423" s="62">
        <v>49</v>
      </c>
      <c r="AW423" s="62">
        <v>61</v>
      </c>
      <c r="AX423" s="62">
        <v>62</v>
      </c>
      <c r="AY423" s="62">
        <v>56</v>
      </c>
      <c r="AZ423" s="62">
        <v>55</v>
      </c>
      <c r="BA423" s="62">
        <v>77</v>
      </c>
      <c r="BB423" s="62">
        <v>71</v>
      </c>
      <c r="BC423" s="62">
        <v>50</v>
      </c>
      <c r="BD423" s="62">
        <v>62</v>
      </c>
      <c r="BE423" s="62">
        <v>65</v>
      </c>
      <c r="BF423" s="62">
        <v>68</v>
      </c>
      <c r="BG423" s="62">
        <v>64</v>
      </c>
      <c r="BH423" s="62">
        <v>59</v>
      </c>
    </row>
    <row r="424" spans="2:60" hidden="1" x14ac:dyDescent="0.2">
      <c r="B424" s="59"/>
      <c r="C424" s="59" t="s">
        <v>697</v>
      </c>
      <c r="D424" s="59" t="s">
        <v>653</v>
      </c>
      <c r="E424" s="63">
        <v>127</v>
      </c>
      <c r="F424" s="63">
        <v>152</v>
      </c>
      <c r="G424" s="63">
        <v>176</v>
      </c>
      <c r="H424" s="63">
        <v>168</v>
      </c>
      <c r="I424" s="63">
        <v>207</v>
      </c>
      <c r="J424" s="63">
        <v>169</v>
      </c>
      <c r="K424" s="63">
        <v>181</v>
      </c>
      <c r="L424" s="63">
        <v>185</v>
      </c>
      <c r="M424" s="63">
        <v>196</v>
      </c>
      <c r="N424" s="63">
        <v>178</v>
      </c>
      <c r="O424" s="63">
        <v>207</v>
      </c>
      <c r="P424" s="63">
        <v>200</v>
      </c>
      <c r="Q424" s="63">
        <v>213</v>
      </c>
      <c r="R424" s="63">
        <v>197</v>
      </c>
      <c r="S424" s="63">
        <v>200</v>
      </c>
      <c r="T424" s="63">
        <v>192</v>
      </c>
      <c r="U424" s="63">
        <v>231</v>
      </c>
      <c r="V424" s="63">
        <v>155</v>
      </c>
      <c r="W424" s="63">
        <v>168</v>
      </c>
      <c r="X424" s="63">
        <v>142</v>
      </c>
      <c r="Y424" s="63">
        <v>186</v>
      </c>
      <c r="Z424" s="63">
        <v>140</v>
      </c>
      <c r="AA424" s="63">
        <v>138</v>
      </c>
      <c r="AB424" s="63">
        <v>138</v>
      </c>
      <c r="AC424" s="63">
        <v>152</v>
      </c>
      <c r="AD424" s="63">
        <v>130</v>
      </c>
      <c r="AE424" s="63">
        <v>111</v>
      </c>
      <c r="AF424" s="63">
        <v>115</v>
      </c>
      <c r="AG424" s="63">
        <v>150</v>
      </c>
      <c r="AH424" s="63">
        <v>145</v>
      </c>
      <c r="AI424" s="63">
        <v>97</v>
      </c>
      <c r="AJ424" s="63">
        <v>147</v>
      </c>
      <c r="AK424" s="63">
        <v>99</v>
      </c>
      <c r="AL424" s="63">
        <v>119</v>
      </c>
      <c r="AM424" s="63">
        <v>113</v>
      </c>
      <c r="AN424" s="63">
        <v>117</v>
      </c>
      <c r="AO424" s="63">
        <v>100</v>
      </c>
      <c r="AP424" s="63">
        <v>91</v>
      </c>
      <c r="AQ424" s="63">
        <v>95</v>
      </c>
      <c r="AR424" s="63">
        <v>94</v>
      </c>
      <c r="AS424" s="63">
        <v>80</v>
      </c>
      <c r="AT424" s="63">
        <v>83</v>
      </c>
      <c r="AU424" s="63">
        <v>71</v>
      </c>
      <c r="AV424" s="63">
        <v>47</v>
      </c>
      <c r="AW424" s="63">
        <v>65</v>
      </c>
      <c r="AX424" s="63">
        <v>99</v>
      </c>
      <c r="AY424" s="63">
        <v>60</v>
      </c>
      <c r="AZ424" s="63">
        <v>70</v>
      </c>
      <c r="BA424" s="63">
        <v>73</v>
      </c>
      <c r="BB424" s="63">
        <v>53</v>
      </c>
      <c r="BC424" s="63">
        <v>70</v>
      </c>
      <c r="BD424" s="63">
        <v>62</v>
      </c>
      <c r="BE424" s="63">
        <v>67</v>
      </c>
      <c r="BF424" s="63">
        <v>68</v>
      </c>
      <c r="BG424" s="63">
        <v>48</v>
      </c>
      <c r="BH424" s="63">
        <v>61</v>
      </c>
    </row>
    <row r="425" spans="2:60" hidden="1" x14ac:dyDescent="0.2">
      <c r="B425" s="57"/>
      <c r="C425" s="57" t="s">
        <v>697</v>
      </c>
      <c r="D425" s="57" t="s">
        <v>654</v>
      </c>
      <c r="E425" s="62">
        <v>3</v>
      </c>
      <c r="F425" s="62">
        <v>2</v>
      </c>
      <c r="G425" s="62"/>
      <c r="H425" s="62"/>
      <c r="I425" s="62"/>
      <c r="J425" s="62"/>
      <c r="K425" s="62">
        <v>1</v>
      </c>
      <c r="L425" s="62"/>
      <c r="M425" s="62">
        <v>2</v>
      </c>
      <c r="N425" s="62">
        <v>4</v>
      </c>
      <c r="O425" s="62">
        <v>8</v>
      </c>
      <c r="P425" s="62"/>
      <c r="Q425" s="62">
        <v>2</v>
      </c>
      <c r="R425" s="62">
        <v>1</v>
      </c>
      <c r="S425" s="62">
        <v>7</v>
      </c>
      <c r="T425" s="62">
        <v>6</v>
      </c>
      <c r="U425" s="62">
        <v>10</v>
      </c>
      <c r="V425" s="62">
        <v>4</v>
      </c>
      <c r="W425" s="62">
        <v>3</v>
      </c>
      <c r="X425" s="62">
        <v>6</v>
      </c>
      <c r="Y425" s="62">
        <v>5</v>
      </c>
      <c r="Z425" s="62">
        <v>1</v>
      </c>
      <c r="AA425" s="62">
        <v>4</v>
      </c>
      <c r="AB425" s="62">
        <v>3</v>
      </c>
      <c r="AC425" s="62">
        <v>1</v>
      </c>
      <c r="AD425" s="62"/>
      <c r="AE425" s="62">
        <v>4</v>
      </c>
      <c r="AF425" s="62">
        <v>8</v>
      </c>
      <c r="AG425" s="62">
        <v>6</v>
      </c>
      <c r="AH425" s="62">
        <v>3</v>
      </c>
      <c r="AI425" s="62">
        <v>1</v>
      </c>
      <c r="AJ425" s="62">
        <v>4</v>
      </c>
      <c r="AK425" s="62">
        <v>3</v>
      </c>
      <c r="AL425" s="62">
        <v>7</v>
      </c>
      <c r="AM425" s="62">
        <v>6</v>
      </c>
      <c r="AN425" s="62">
        <v>5</v>
      </c>
      <c r="AO425" s="62">
        <v>2</v>
      </c>
      <c r="AP425" s="62">
        <v>3</v>
      </c>
      <c r="AQ425" s="62">
        <v>1</v>
      </c>
      <c r="AR425" s="62">
        <v>6</v>
      </c>
      <c r="AS425" s="62">
        <v>3</v>
      </c>
      <c r="AT425" s="62">
        <v>4</v>
      </c>
      <c r="AU425" s="62">
        <v>1</v>
      </c>
      <c r="AV425" s="62"/>
      <c r="AW425" s="62">
        <v>3</v>
      </c>
      <c r="AX425" s="62">
        <v>4</v>
      </c>
      <c r="AY425" s="62">
        <v>4</v>
      </c>
      <c r="AZ425" s="62">
        <v>4</v>
      </c>
      <c r="BA425" s="62">
        <v>2</v>
      </c>
      <c r="BB425" s="62">
        <v>3</v>
      </c>
      <c r="BC425" s="62">
        <v>3</v>
      </c>
      <c r="BD425" s="62">
        <v>1</v>
      </c>
      <c r="BE425" s="62">
        <v>2</v>
      </c>
      <c r="BF425" s="62">
        <v>1</v>
      </c>
      <c r="BG425" s="62">
        <v>4</v>
      </c>
      <c r="BH425" s="62"/>
    </row>
    <row r="426" spans="2:60" hidden="1" x14ac:dyDescent="0.2">
      <c r="B426" s="59"/>
      <c r="C426" s="59" t="s">
        <v>697</v>
      </c>
      <c r="D426" s="59" t="s">
        <v>655</v>
      </c>
      <c r="E426" s="63">
        <v>5</v>
      </c>
      <c r="F426" s="63">
        <v>5</v>
      </c>
      <c r="G426" s="63">
        <v>12</v>
      </c>
      <c r="H426" s="63">
        <v>4</v>
      </c>
      <c r="I426" s="63">
        <v>4</v>
      </c>
      <c r="J426" s="63">
        <v>3</v>
      </c>
      <c r="K426" s="63">
        <v>9</v>
      </c>
      <c r="L426" s="63">
        <v>7</v>
      </c>
      <c r="M426" s="63">
        <v>8</v>
      </c>
      <c r="N426" s="63">
        <v>7</v>
      </c>
      <c r="O426" s="63">
        <v>11</v>
      </c>
      <c r="P426" s="63">
        <v>8</v>
      </c>
      <c r="Q426" s="63">
        <v>21</v>
      </c>
      <c r="R426" s="63">
        <v>12</v>
      </c>
      <c r="S426" s="63">
        <v>18</v>
      </c>
      <c r="T426" s="63">
        <v>20</v>
      </c>
      <c r="U426" s="63">
        <v>28</v>
      </c>
      <c r="V426" s="63">
        <v>8</v>
      </c>
      <c r="W426" s="63">
        <v>6</v>
      </c>
      <c r="X426" s="63">
        <v>8</v>
      </c>
      <c r="Y426" s="63">
        <v>13</v>
      </c>
      <c r="Z426" s="63">
        <v>11</v>
      </c>
      <c r="AA426" s="63">
        <v>12</v>
      </c>
      <c r="AB426" s="63">
        <v>9</v>
      </c>
      <c r="AC426" s="63">
        <v>9</v>
      </c>
      <c r="AD426" s="63">
        <v>8</v>
      </c>
      <c r="AE426" s="63">
        <v>7</v>
      </c>
      <c r="AF426" s="63">
        <v>10</v>
      </c>
      <c r="AG426" s="63">
        <v>8</v>
      </c>
      <c r="AH426" s="63">
        <v>8</v>
      </c>
      <c r="AI426" s="63">
        <v>5</v>
      </c>
      <c r="AJ426" s="63">
        <v>12</v>
      </c>
      <c r="AK426" s="63">
        <v>12</v>
      </c>
      <c r="AL426" s="63">
        <v>16</v>
      </c>
      <c r="AM426" s="63">
        <v>9</v>
      </c>
      <c r="AN426" s="63">
        <v>6</v>
      </c>
      <c r="AO426" s="63">
        <v>8</v>
      </c>
      <c r="AP426" s="63">
        <v>15</v>
      </c>
      <c r="AQ426" s="63">
        <v>10</v>
      </c>
      <c r="AR426" s="63">
        <v>11</v>
      </c>
      <c r="AS426" s="63">
        <v>14</v>
      </c>
      <c r="AT426" s="63">
        <v>13</v>
      </c>
      <c r="AU426" s="63">
        <v>13</v>
      </c>
      <c r="AV426" s="63">
        <v>8</v>
      </c>
      <c r="AW426" s="63">
        <v>7</v>
      </c>
      <c r="AX426" s="63">
        <v>14</v>
      </c>
      <c r="AY426" s="63">
        <v>11</v>
      </c>
      <c r="AZ426" s="63">
        <v>7</v>
      </c>
      <c r="BA426" s="63">
        <v>8</v>
      </c>
      <c r="BB426" s="63">
        <v>6</v>
      </c>
      <c r="BC426" s="63">
        <v>6</v>
      </c>
      <c r="BD426" s="63">
        <v>9</v>
      </c>
      <c r="BE426" s="63">
        <v>7</v>
      </c>
      <c r="BF426" s="63">
        <v>11</v>
      </c>
      <c r="BG426" s="63">
        <v>6</v>
      </c>
      <c r="BH426" s="63">
        <v>5</v>
      </c>
    </row>
    <row r="427" spans="2:60" hidden="1" x14ac:dyDescent="0.2">
      <c r="B427" s="57"/>
      <c r="C427" s="57" t="s">
        <v>697</v>
      </c>
      <c r="D427" s="57" t="s">
        <v>699</v>
      </c>
      <c r="E427" s="62">
        <v>51</v>
      </c>
      <c r="F427" s="62">
        <v>43</v>
      </c>
      <c r="G427" s="62">
        <v>50</v>
      </c>
      <c r="H427" s="62">
        <v>37</v>
      </c>
      <c r="I427" s="62">
        <v>72</v>
      </c>
      <c r="J427" s="62">
        <v>56</v>
      </c>
      <c r="K427" s="62">
        <v>38</v>
      </c>
      <c r="L427" s="62">
        <v>45</v>
      </c>
      <c r="M427" s="62">
        <v>45</v>
      </c>
      <c r="N427" s="62">
        <v>43</v>
      </c>
      <c r="O427" s="62">
        <v>56</v>
      </c>
      <c r="P427" s="62">
        <v>42</v>
      </c>
      <c r="Q427" s="62">
        <v>40</v>
      </c>
      <c r="R427" s="62">
        <v>41</v>
      </c>
      <c r="S427" s="62">
        <v>50</v>
      </c>
      <c r="T427" s="62">
        <v>60</v>
      </c>
      <c r="U427" s="62">
        <v>50</v>
      </c>
      <c r="V427" s="62">
        <v>39</v>
      </c>
      <c r="W427" s="62">
        <v>65</v>
      </c>
      <c r="X427" s="62">
        <v>40</v>
      </c>
      <c r="Y427" s="62">
        <v>66</v>
      </c>
      <c r="Z427" s="62">
        <v>34</v>
      </c>
      <c r="AA427" s="62">
        <v>32</v>
      </c>
      <c r="AB427" s="62">
        <v>49</v>
      </c>
      <c r="AC427" s="62">
        <v>38</v>
      </c>
      <c r="AD427" s="62">
        <v>43</v>
      </c>
      <c r="AE427" s="62">
        <v>28</v>
      </c>
      <c r="AF427" s="62">
        <v>36</v>
      </c>
      <c r="AG427" s="62">
        <v>20</v>
      </c>
      <c r="AH427" s="62">
        <v>37</v>
      </c>
      <c r="AI427" s="62">
        <v>29</v>
      </c>
      <c r="AJ427" s="62">
        <v>32</v>
      </c>
      <c r="AK427" s="62">
        <v>27</v>
      </c>
      <c r="AL427" s="62">
        <v>32</v>
      </c>
      <c r="AM427" s="62">
        <v>36</v>
      </c>
      <c r="AN427" s="62">
        <v>23</v>
      </c>
      <c r="AO427" s="62">
        <v>38</v>
      </c>
      <c r="AP427" s="62">
        <v>32</v>
      </c>
      <c r="AQ427" s="62">
        <v>29</v>
      </c>
      <c r="AR427" s="62">
        <v>31</v>
      </c>
      <c r="AS427" s="62">
        <v>29</v>
      </c>
      <c r="AT427" s="62">
        <v>31</v>
      </c>
      <c r="AU427" s="62">
        <v>24</v>
      </c>
      <c r="AV427" s="62">
        <v>19</v>
      </c>
      <c r="AW427" s="62">
        <v>15</v>
      </c>
      <c r="AX427" s="62">
        <v>19</v>
      </c>
      <c r="AY427" s="62">
        <v>37</v>
      </c>
      <c r="AZ427" s="62">
        <v>21</v>
      </c>
      <c r="BA427" s="62">
        <v>20</v>
      </c>
      <c r="BB427" s="62">
        <v>21</v>
      </c>
      <c r="BC427" s="62">
        <v>16</v>
      </c>
      <c r="BD427" s="62">
        <v>13</v>
      </c>
      <c r="BE427" s="62">
        <v>19</v>
      </c>
      <c r="BF427" s="62">
        <v>43</v>
      </c>
      <c r="BG427" s="62">
        <v>19</v>
      </c>
      <c r="BH427" s="62">
        <v>19</v>
      </c>
    </row>
    <row r="428" spans="2:60" hidden="1" x14ac:dyDescent="0.2">
      <c r="B428" s="59"/>
      <c r="C428" s="59" t="s">
        <v>697</v>
      </c>
      <c r="D428" s="59" t="s">
        <v>656</v>
      </c>
      <c r="E428" s="63">
        <v>426</v>
      </c>
      <c r="F428" s="63">
        <v>453</v>
      </c>
      <c r="G428" s="63">
        <v>502</v>
      </c>
      <c r="H428" s="63">
        <v>475</v>
      </c>
      <c r="I428" s="63">
        <v>603</v>
      </c>
      <c r="J428" s="63">
        <v>519</v>
      </c>
      <c r="K428" s="63">
        <v>509</v>
      </c>
      <c r="L428" s="63">
        <v>510</v>
      </c>
      <c r="M428" s="63">
        <v>542</v>
      </c>
      <c r="N428" s="63">
        <v>507</v>
      </c>
      <c r="O428" s="63">
        <v>585</v>
      </c>
      <c r="P428" s="63">
        <v>539</v>
      </c>
      <c r="Q428" s="63">
        <v>580</v>
      </c>
      <c r="R428" s="63">
        <v>546</v>
      </c>
      <c r="S428" s="63">
        <v>588</v>
      </c>
      <c r="T428" s="63">
        <v>544</v>
      </c>
      <c r="U428" s="63">
        <v>671</v>
      </c>
      <c r="V428" s="63">
        <v>486</v>
      </c>
      <c r="W428" s="63">
        <v>512</v>
      </c>
      <c r="X428" s="63">
        <v>455</v>
      </c>
      <c r="Y428" s="63">
        <v>615</v>
      </c>
      <c r="Z428" s="63">
        <v>449</v>
      </c>
      <c r="AA428" s="63">
        <v>446</v>
      </c>
      <c r="AB428" s="63">
        <v>434</v>
      </c>
      <c r="AC428" s="63">
        <v>491</v>
      </c>
      <c r="AD428" s="63">
        <v>446</v>
      </c>
      <c r="AE428" s="63">
        <v>394</v>
      </c>
      <c r="AF428" s="63">
        <v>427</v>
      </c>
      <c r="AG428" s="63">
        <v>442</v>
      </c>
      <c r="AH428" s="63">
        <v>481</v>
      </c>
      <c r="AI428" s="63">
        <v>316</v>
      </c>
      <c r="AJ428" s="63">
        <v>447</v>
      </c>
      <c r="AK428" s="63">
        <v>363</v>
      </c>
      <c r="AL428" s="63">
        <v>441</v>
      </c>
      <c r="AM428" s="63">
        <v>406</v>
      </c>
      <c r="AN428" s="63">
        <v>357</v>
      </c>
      <c r="AO428" s="63">
        <v>378</v>
      </c>
      <c r="AP428" s="63">
        <v>367</v>
      </c>
      <c r="AQ428" s="63">
        <v>351</v>
      </c>
      <c r="AR428" s="63">
        <v>344</v>
      </c>
      <c r="AS428" s="63">
        <v>303</v>
      </c>
      <c r="AT428" s="63">
        <v>327</v>
      </c>
      <c r="AU428" s="63">
        <v>294</v>
      </c>
      <c r="AV428" s="63">
        <v>206</v>
      </c>
      <c r="AW428" s="63">
        <v>251</v>
      </c>
      <c r="AX428" s="63">
        <v>314</v>
      </c>
      <c r="AY428" s="63">
        <v>266</v>
      </c>
      <c r="AZ428" s="63">
        <v>251</v>
      </c>
      <c r="BA428" s="63">
        <v>259</v>
      </c>
      <c r="BB428" s="63">
        <v>237</v>
      </c>
      <c r="BC428" s="63">
        <v>229</v>
      </c>
      <c r="BD428" s="63">
        <v>255</v>
      </c>
      <c r="BE428" s="63">
        <v>225</v>
      </c>
      <c r="BF428" s="63">
        <v>276</v>
      </c>
      <c r="BG428" s="63">
        <v>234</v>
      </c>
      <c r="BH428" s="63">
        <v>218</v>
      </c>
    </row>
    <row r="429" spans="2:60" hidden="1" x14ac:dyDescent="0.2">
      <c r="B429" s="57"/>
      <c r="C429" s="57" t="s">
        <v>698</v>
      </c>
      <c r="D429" s="57" t="s">
        <v>648</v>
      </c>
      <c r="E429" s="62">
        <v>71</v>
      </c>
      <c r="F429" s="62">
        <v>103</v>
      </c>
      <c r="G429" s="62">
        <v>112</v>
      </c>
      <c r="H429" s="62">
        <v>79</v>
      </c>
      <c r="I429" s="62">
        <v>92</v>
      </c>
      <c r="J429" s="62">
        <v>87</v>
      </c>
      <c r="K429" s="62">
        <v>79</v>
      </c>
      <c r="L429" s="62">
        <v>85</v>
      </c>
      <c r="M429" s="62">
        <v>69</v>
      </c>
      <c r="N429" s="62">
        <v>71</v>
      </c>
      <c r="O429" s="62">
        <v>86</v>
      </c>
      <c r="P429" s="62">
        <v>98</v>
      </c>
      <c r="Q429" s="62">
        <v>98</v>
      </c>
      <c r="R429" s="62">
        <v>92</v>
      </c>
      <c r="S429" s="62">
        <v>126</v>
      </c>
      <c r="T429" s="62">
        <v>83</v>
      </c>
      <c r="U429" s="62">
        <v>86</v>
      </c>
      <c r="V429" s="62">
        <v>79</v>
      </c>
      <c r="W429" s="62">
        <v>43</v>
      </c>
      <c r="X429" s="62">
        <v>45</v>
      </c>
      <c r="Y429" s="62">
        <v>60</v>
      </c>
      <c r="Z429" s="62">
        <v>50</v>
      </c>
      <c r="AA429" s="62">
        <v>47</v>
      </c>
      <c r="AB429" s="62">
        <v>51</v>
      </c>
      <c r="AC429" s="62">
        <v>37</v>
      </c>
      <c r="AD429" s="62">
        <v>40</v>
      </c>
      <c r="AE429" s="62">
        <v>64</v>
      </c>
      <c r="AF429" s="62">
        <v>51</v>
      </c>
      <c r="AG429" s="62">
        <v>31</v>
      </c>
      <c r="AH429" s="62">
        <v>52</v>
      </c>
      <c r="AI429" s="62">
        <v>41</v>
      </c>
      <c r="AJ429" s="62">
        <v>95</v>
      </c>
      <c r="AK429" s="62">
        <v>44</v>
      </c>
      <c r="AL429" s="62">
        <v>69</v>
      </c>
      <c r="AM429" s="62">
        <v>55</v>
      </c>
      <c r="AN429" s="62">
        <v>73</v>
      </c>
      <c r="AO429" s="62">
        <v>99</v>
      </c>
      <c r="AP429" s="62">
        <v>92</v>
      </c>
      <c r="AQ429" s="62">
        <v>85</v>
      </c>
      <c r="AR429" s="62">
        <v>60</v>
      </c>
      <c r="AS429" s="62">
        <v>95</v>
      </c>
      <c r="AT429" s="62">
        <v>76</v>
      </c>
      <c r="AU429" s="62">
        <v>28</v>
      </c>
      <c r="AV429" s="62">
        <v>35</v>
      </c>
      <c r="AW429" s="62">
        <v>31</v>
      </c>
      <c r="AX429" s="62">
        <v>46</v>
      </c>
      <c r="AY429" s="62">
        <v>36</v>
      </c>
      <c r="AZ429" s="62">
        <v>32</v>
      </c>
      <c r="BA429" s="62">
        <v>31</v>
      </c>
      <c r="BB429" s="62">
        <v>37</v>
      </c>
      <c r="BC429" s="62">
        <v>34</v>
      </c>
      <c r="BD429" s="62">
        <v>24</v>
      </c>
      <c r="BE429" s="62">
        <v>29</v>
      </c>
      <c r="BF429" s="62">
        <v>54</v>
      </c>
      <c r="BG429" s="62">
        <v>27</v>
      </c>
      <c r="BH429" s="62">
        <v>24</v>
      </c>
    </row>
    <row r="430" spans="2:60" hidden="1" x14ac:dyDescent="0.2">
      <c r="B430" s="59"/>
      <c r="C430" s="59" t="s">
        <v>698</v>
      </c>
      <c r="D430" s="59" t="s">
        <v>649</v>
      </c>
      <c r="E430" s="63">
        <v>190</v>
      </c>
      <c r="F430" s="63">
        <v>190</v>
      </c>
      <c r="G430" s="63">
        <v>145</v>
      </c>
      <c r="H430" s="63">
        <v>143</v>
      </c>
      <c r="I430" s="63">
        <v>156</v>
      </c>
      <c r="J430" s="63">
        <v>168</v>
      </c>
      <c r="K430" s="63">
        <v>155</v>
      </c>
      <c r="L430" s="63">
        <v>156</v>
      </c>
      <c r="M430" s="63">
        <v>148</v>
      </c>
      <c r="N430" s="63">
        <v>183</v>
      </c>
      <c r="O430" s="63">
        <v>182</v>
      </c>
      <c r="P430" s="63">
        <v>145</v>
      </c>
      <c r="Q430" s="63">
        <v>171</v>
      </c>
      <c r="R430" s="63">
        <v>164</v>
      </c>
      <c r="S430" s="63">
        <v>150</v>
      </c>
      <c r="T430" s="63">
        <v>132</v>
      </c>
      <c r="U430" s="63">
        <v>150</v>
      </c>
      <c r="V430" s="63">
        <v>193</v>
      </c>
      <c r="W430" s="63">
        <v>152</v>
      </c>
      <c r="X430" s="63">
        <v>139</v>
      </c>
      <c r="Y430" s="63">
        <v>165</v>
      </c>
      <c r="Z430" s="63">
        <v>184</v>
      </c>
      <c r="AA430" s="63">
        <v>140</v>
      </c>
      <c r="AB430" s="63">
        <v>113</v>
      </c>
      <c r="AC430" s="63">
        <v>129</v>
      </c>
      <c r="AD430" s="63">
        <v>156</v>
      </c>
      <c r="AE430" s="63">
        <v>120</v>
      </c>
      <c r="AF430" s="63">
        <v>139</v>
      </c>
      <c r="AG430" s="63">
        <v>122</v>
      </c>
      <c r="AH430" s="63">
        <v>139</v>
      </c>
      <c r="AI430" s="63">
        <v>111</v>
      </c>
      <c r="AJ430" s="63">
        <v>145</v>
      </c>
      <c r="AK430" s="63">
        <v>140</v>
      </c>
      <c r="AL430" s="63">
        <v>158</v>
      </c>
      <c r="AM430" s="63">
        <v>149</v>
      </c>
      <c r="AN430" s="63">
        <v>128</v>
      </c>
      <c r="AO430" s="63">
        <v>109</v>
      </c>
      <c r="AP430" s="63">
        <v>110</v>
      </c>
      <c r="AQ430" s="63">
        <v>114</v>
      </c>
      <c r="AR430" s="63">
        <v>106</v>
      </c>
      <c r="AS430" s="63">
        <v>99</v>
      </c>
      <c r="AT430" s="63">
        <v>105</v>
      </c>
      <c r="AU430" s="63">
        <v>84</v>
      </c>
      <c r="AV430" s="63">
        <v>90</v>
      </c>
      <c r="AW430" s="63">
        <v>89</v>
      </c>
      <c r="AX430" s="63">
        <v>82</v>
      </c>
      <c r="AY430" s="63">
        <v>83</v>
      </c>
      <c r="AZ430" s="63">
        <v>69</v>
      </c>
      <c r="BA430" s="63">
        <v>86</v>
      </c>
      <c r="BB430" s="63">
        <v>106</v>
      </c>
      <c r="BC430" s="63">
        <v>92</v>
      </c>
      <c r="BD430" s="63">
        <v>80</v>
      </c>
      <c r="BE430" s="63">
        <v>85</v>
      </c>
      <c r="BF430" s="63">
        <v>79</v>
      </c>
      <c r="BG430" s="63">
        <v>92</v>
      </c>
      <c r="BH430" s="63">
        <v>75</v>
      </c>
    </row>
    <row r="431" spans="2:60" hidden="1" x14ac:dyDescent="0.2">
      <c r="B431" s="57"/>
      <c r="C431" s="57" t="s">
        <v>698</v>
      </c>
      <c r="D431" s="57" t="s">
        <v>650</v>
      </c>
      <c r="E431" s="62">
        <v>52</v>
      </c>
      <c r="F431" s="62">
        <v>53</v>
      </c>
      <c r="G431" s="62">
        <v>48</v>
      </c>
      <c r="H431" s="62">
        <v>42</v>
      </c>
      <c r="I431" s="62">
        <v>57</v>
      </c>
      <c r="J431" s="62">
        <v>47</v>
      </c>
      <c r="K431" s="62">
        <v>46</v>
      </c>
      <c r="L431" s="62">
        <v>45</v>
      </c>
      <c r="M431" s="62">
        <v>46</v>
      </c>
      <c r="N431" s="62">
        <v>41</v>
      </c>
      <c r="O431" s="62">
        <v>43</v>
      </c>
      <c r="P431" s="62">
        <v>53</v>
      </c>
      <c r="Q431" s="62">
        <v>38</v>
      </c>
      <c r="R431" s="62">
        <v>58</v>
      </c>
      <c r="S431" s="62">
        <v>45</v>
      </c>
      <c r="T431" s="62">
        <v>47</v>
      </c>
      <c r="U431" s="62">
        <v>48</v>
      </c>
      <c r="V431" s="62">
        <v>49</v>
      </c>
      <c r="W431" s="62">
        <v>48</v>
      </c>
      <c r="X431" s="62">
        <v>39</v>
      </c>
      <c r="Y431" s="62">
        <v>40</v>
      </c>
      <c r="Z431" s="62">
        <v>58</v>
      </c>
      <c r="AA431" s="62">
        <v>46</v>
      </c>
      <c r="AB431" s="62">
        <v>31</v>
      </c>
      <c r="AC431" s="62">
        <v>33</v>
      </c>
      <c r="AD431" s="62">
        <v>36</v>
      </c>
      <c r="AE431" s="62">
        <v>34</v>
      </c>
      <c r="AF431" s="62">
        <v>45</v>
      </c>
      <c r="AG431" s="62">
        <v>34</v>
      </c>
      <c r="AH431" s="62">
        <v>47</v>
      </c>
      <c r="AI431" s="62">
        <v>35</v>
      </c>
      <c r="AJ431" s="62">
        <v>48</v>
      </c>
      <c r="AK431" s="62">
        <v>28</v>
      </c>
      <c r="AL431" s="62">
        <v>48</v>
      </c>
      <c r="AM431" s="62">
        <v>47</v>
      </c>
      <c r="AN431" s="62">
        <v>55</v>
      </c>
      <c r="AO431" s="62">
        <v>39</v>
      </c>
      <c r="AP431" s="62">
        <v>36</v>
      </c>
      <c r="AQ431" s="62">
        <v>27</v>
      </c>
      <c r="AR431" s="62">
        <v>42</v>
      </c>
      <c r="AS431" s="62">
        <v>27</v>
      </c>
      <c r="AT431" s="62">
        <v>31</v>
      </c>
      <c r="AU431" s="62">
        <v>31</v>
      </c>
      <c r="AV431" s="62">
        <v>20</v>
      </c>
      <c r="AW431" s="62">
        <v>30</v>
      </c>
      <c r="AX431" s="62">
        <v>20</v>
      </c>
      <c r="AY431" s="62">
        <v>22</v>
      </c>
      <c r="AZ431" s="62">
        <v>20</v>
      </c>
      <c r="BA431" s="62">
        <v>24</v>
      </c>
      <c r="BB431" s="62">
        <v>25</v>
      </c>
      <c r="BC431" s="62">
        <v>25</v>
      </c>
      <c r="BD431" s="62">
        <v>27</v>
      </c>
      <c r="BE431" s="62">
        <v>27</v>
      </c>
      <c r="BF431" s="62">
        <v>28</v>
      </c>
      <c r="BG431" s="62">
        <v>22</v>
      </c>
      <c r="BH431" s="62">
        <v>20</v>
      </c>
    </row>
    <row r="432" spans="2:60" hidden="1" x14ac:dyDescent="0.2">
      <c r="B432" s="59"/>
      <c r="C432" s="59" t="s">
        <v>698</v>
      </c>
      <c r="D432" s="59" t="s">
        <v>651</v>
      </c>
      <c r="E432" s="63">
        <v>31</v>
      </c>
      <c r="F432" s="63">
        <v>49</v>
      </c>
      <c r="G432" s="63">
        <v>29</v>
      </c>
      <c r="H432" s="63">
        <v>25</v>
      </c>
      <c r="I432" s="63">
        <v>40</v>
      </c>
      <c r="J432" s="63">
        <v>40</v>
      </c>
      <c r="K432" s="63">
        <v>27</v>
      </c>
      <c r="L432" s="63">
        <v>20</v>
      </c>
      <c r="M432" s="63">
        <v>27</v>
      </c>
      <c r="N432" s="63">
        <v>27</v>
      </c>
      <c r="O432" s="63">
        <v>24</v>
      </c>
      <c r="P432" s="63">
        <v>21</v>
      </c>
      <c r="Q432" s="63">
        <v>23</v>
      </c>
      <c r="R432" s="63">
        <v>25</v>
      </c>
      <c r="S432" s="63">
        <v>28</v>
      </c>
      <c r="T432" s="63">
        <v>25</v>
      </c>
      <c r="U432" s="63">
        <v>27</v>
      </c>
      <c r="V432" s="63">
        <v>31</v>
      </c>
      <c r="W432" s="63">
        <v>24</v>
      </c>
      <c r="X432" s="63">
        <v>25</v>
      </c>
      <c r="Y432" s="63">
        <v>22</v>
      </c>
      <c r="Z432" s="63">
        <v>27</v>
      </c>
      <c r="AA432" s="63">
        <v>18</v>
      </c>
      <c r="AB432" s="63">
        <v>29</v>
      </c>
      <c r="AC432" s="63">
        <v>25</v>
      </c>
      <c r="AD432" s="63">
        <v>32</v>
      </c>
      <c r="AE432" s="63">
        <v>18</v>
      </c>
      <c r="AF432" s="63">
        <v>15</v>
      </c>
      <c r="AG432" s="63">
        <v>23</v>
      </c>
      <c r="AH432" s="63">
        <v>30</v>
      </c>
      <c r="AI432" s="63">
        <v>13</v>
      </c>
      <c r="AJ432" s="63">
        <v>21</v>
      </c>
      <c r="AK432" s="63">
        <v>19</v>
      </c>
      <c r="AL432" s="63">
        <v>24</v>
      </c>
      <c r="AM432" s="63">
        <v>24</v>
      </c>
      <c r="AN432" s="63">
        <v>19</v>
      </c>
      <c r="AO432" s="63">
        <v>24</v>
      </c>
      <c r="AP432" s="63">
        <v>16</v>
      </c>
      <c r="AQ432" s="63">
        <v>19</v>
      </c>
      <c r="AR432" s="63">
        <v>19</v>
      </c>
      <c r="AS432" s="63">
        <v>20</v>
      </c>
      <c r="AT432" s="63">
        <v>19</v>
      </c>
      <c r="AU432" s="63">
        <v>12</v>
      </c>
      <c r="AV432" s="63">
        <v>9</v>
      </c>
      <c r="AW432" s="63">
        <v>12</v>
      </c>
      <c r="AX432" s="63">
        <v>21</v>
      </c>
      <c r="AY432" s="63">
        <v>15</v>
      </c>
      <c r="AZ432" s="63">
        <v>11</v>
      </c>
      <c r="BA432" s="63">
        <v>12</v>
      </c>
      <c r="BB432" s="63">
        <v>12</v>
      </c>
      <c r="BC432" s="63">
        <v>23</v>
      </c>
      <c r="BD432" s="63">
        <v>27</v>
      </c>
      <c r="BE432" s="63">
        <v>18</v>
      </c>
      <c r="BF432" s="63">
        <v>12</v>
      </c>
      <c r="BG432" s="63">
        <v>19</v>
      </c>
      <c r="BH432" s="63">
        <v>13</v>
      </c>
    </row>
    <row r="433" spans="2:60" hidden="1" x14ac:dyDescent="0.2">
      <c r="B433" s="57"/>
      <c r="C433" s="57" t="s">
        <v>698</v>
      </c>
      <c r="D433" s="57" t="s">
        <v>652</v>
      </c>
      <c r="E433" s="62">
        <v>167</v>
      </c>
      <c r="F433" s="62">
        <v>169</v>
      </c>
      <c r="G433" s="62">
        <v>134</v>
      </c>
      <c r="H433" s="62">
        <v>162</v>
      </c>
      <c r="I433" s="62">
        <v>166</v>
      </c>
      <c r="J433" s="62">
        <v>168</v>
      </c>
      <c r="K433" s="62">
        <v>153</v>
      </c>
      <c r="L433" s="62">
        <v>137</v>
      </c>
      <c r="M433" s="62">
        <v>136</v>
      </c>
      <c r="N433" s="62">
        <v>163</v>
      </c>
      <c r="O433" s="62">
        <v>145</v>
      </c>
      <c r="P433" s="62">
        <v>126</v>
      </c>
      <c r="Q433" s="62">
        <v>137</v>
      </c>
      <c r="R433" s="62">
        <v>174</v>
      </c>
      <c r="S433" s="62">
        <v>157</v>
      </c>
      <c r="T433" s="62">
        <v>121</v>
      </c>
      <c r="U433" s="62">
        <v>144</v>
      </c>
      <c r="V433" s="62">
        <v>179</v>
      </c>
      <c r="W433" s="62">
        <v>132</v>
      </c>
      <c r="X433" s="62">
        <v>119</v>
      </c>
      <c r="Y433" s="62">
        <v>137</v>
      </c>
      <c r="Z433" s="62">
        <v>164</v>
      </c>
      <c r="AA433" s="62">
        <v>128</v>
      </c>
      <c r="AB433" s="62">
        <v>111</v>
      </c>
      <c r="AC433" s="62">
        <v>140</v>
      </c>
      <c r="AD433" s="62">
        <v>126</v>
      </c>
      <c r="AE433" s="62">
        <v>116</v>
      </c>
      <c r="AF433" s="62">
        <v>111</v>
      </c>
      <c r="AG433" s="62">
        <v>105</v>
      </c>
      <c r="AH433" s="62">
        <v>107</v>
      </c>
      <c r="AI433" s="62">
        <v>99</v>
      </c>
      <c r="AJ433" s="62">
        <v>117</v>
      </c>
      <c r="AK433" s="62">
        <v>106</v>
      </c>
      <c r="AL433" s="62">
        <v>141</v>
      </c>
      <c r="AM433" s="62">
        <v>108</v>
      </c>
      <c r="AN433" s="62">
        <v>100</v>
      </c>
      <c r="AO433" s="62">
        <v>96</v>
      </c>
      <c r="AP433" s="62">
        <v>100</v>
      </c>
      <c r="AQ433" s="62">
        <v>84</v>
      </c>
      <c r="AR433" s="62">
        <v>97</v>
      </c>
      <c r="AS433" s="62">
        <v>89</v>
      </c>
      <c r="AT433" s="62">
        <v>84</v>
      </c>
      <c r="AU433" s="62">
        <v>79</v>
      </c>
      <c r="AV433" s="62">
        <v>73</v>
      </c>
      <c r="AW433" s="62">
        <v>64</v>
      </c>
      <c r="AX433" s="62">
        <v>78</v>
      </c>
      <c r="AY433" s="62">
        <v>72</v>
      </c>
      <c r="AZ433" s="62">
        <v>75</v>
      </c>
      <c r="BA433" s="62">
        <v>73</v>
      </c>
      <c r="BB433" s="62">
        <v>59</v>
      </c>
      <c r="BC433" s="62">
        <v>72</v>
      </c>
      <c r="BD433" s="62">
        <v>65</v>
      </c>
      <c r="BE433" s="62">
        <v>93</v>
      </c>
      <c r="BF433" s="62">
        <v>79</v>
      </c>
      <c r="BG433" s="62">
        <v>77</v>
      </c>
      <c r="BH433" s="62">
        <v>68</v>
      </c>
    </row>
    <row r="434" spans="2:60" hidden="1" x14ac:dyDescent="0.2">
      <c r="B434" s="59"/>
      <c r="C434" s="59" t="s">
        <v>698</v>
      </c>
      <c r="D434" s="59" t="s">
        <v>653</v>
      </c>
      <c r="E434" s="63">
        <v>107</v>
      </c>
      <c r="F434" s="63">
        <v>106</v>
      </c>
      <c r="G434" s="63">
        <v>87</v>
      </c>
      <c r="H434" s="63">
        <v>95</v>
      </c>
      <c r="I434" s="63">
        <v>126</v>
      </c>
      <c r="J434" s="63">
        <v>120</v>
      </c>
      <c r="K434" s="63">
        <v>113</v>
      </c>
      <c r="L434" s="63">
        <v>96</v>
      </c>
      <c r="M434" s="63">
        <v>164</v>
      </c>
      <c r="N434" s="63">
        <v>128</v>
      </c>
      <c r="O434" s="63">
        <v>107</v>
      </c>
      <c r="P434" s="63">
        <v>126</v>
      </c>
      <c r="Q434" s="63">
        <v>115</v>
      </c>
      <c r="R434" s="63">
        <v>132</v>
      </c>
      <c r="S434" s="63">
        <v>116</v>
      </c>
      <c r="T434" s="63">
        <v>105</v>
      </c>
      <c r="U434" s="63">
        <v>151</v>
      </c>
      <c r="V434" s="63">
        <v>113</v>
      </c>
      <c r="W434" s="63">
        <v>128</v>
      </c>
      <c r="X434" s="63">
        <v>111</v>
      </c>
      <c r="Y434" s="63">
        <v>155</v>
      </c>
      <c r="Z434" s="63">
        <v>134</v>
      </c>
      <c r="AA434" s="63">
        <v>113</v>
      </c>
      <c r="AB434" s="63">
        <v>145</v>
      </c>
      <c r="AC434" s="63">
        <v>121</v>
      </c>
      <c r="AD434" s="63">
        <v>102</v>
      </c>
      <c r="AE434" s="63">
        <v>119</v>
      </c>
      <c r="AF434" s="63">
        <v>114</v>
      </c>
      <c r="AG434" s="63">
        <v>150</v>
      </c>
      <c r="AH434" s="63">
        <v>104</v>
      </c>
      <c r="AI434" s="63">
        <v>102</v>
      </c>
      <c r="AJ434" s="63">
        <v>136</v>
      </c>
      <c r="AK434" s="63">
        <v>93</v>
      </c>
      <c r="AL434" s="63">
        <v>134</v>
      </c>
      <c r="AM434" s="63">
        <v>70</v>
      </c>
      <c r="AN434" s="63">
        <v>99</v>
      </c>
      <c r="AO434" s="63">
        <v>82</v>
      </c>
      <c r="AP434" s="63">
        <v>94</v>
      </c>
      <c r="AQ434" s="63">
        <v>69</v>
      </c>
      <c r="AR434" s="63">
        <v>93</v>
      </c>
      <c r="AS434" s="63">
        <v>83</v>
      </c>
      <c r="AT434" s="63">
        <v>76</v>
      </c>
      <c r="AU434" s="63">
        <v>59</v>
      </c>
      <c r="AV434" s="63">
        <v>68</v>
      </c>
      <c r="AW434" s="63">
        <v>63</v>
      </c>
      <c r="AX434" s="63">
        <v>65</v>
      </c>
      <c r="AY434" s="63">
        <v>77</v>
      </c>
      <c r="AZ434" s="63">
        <v>63</v>
      </c>
      <c r="BA434" s="63">
        <v>78</v>
      </c>
      <c r="BB434" s="63">
        <v>71</v>
      </c>
      <c r="BC434" s="63">
        <v>66</v>
      </c>
      <c r="BD434" s="63">
        <v>75</v>
      </c>
      <c r="BE434" s="63">
        <v>67</v>
      </c>
      <c r="BF434" s="63">
        <v>53</v>
      </c>
      <c r="BG434" s="63">
        <v>60</v>
      </c>
      <c r="BH434" s="63">
        <v>74</v>
      </c>
    </row>
    <row r="435" spans="2:60" hidden="1" x14ac:dyDescent="0.2">
      <c r="B435" s="57"/>
      <c r="C435" s="57" t="s">
        <v>698</v>
      </c>
      <c r="D435" s="57" t="s">
        <v>654</v>
      </c>
      <c r="E435" s="62">
        <v>20</v>
      </c>
      <c r="F435" s="62">
        <v>29</v>
      </c>
      <c r="G435" s="62">
        <v>19</v>
      </c>
      <c r="H435" s="62">
        <v>34</v>
      </c>
      <c r="I435" s="62">
        <v>22</v>
      </c>
      <c r="J435" s="62">
        <v>28</v>
      </c>
      <c r="K435" s="62">
        <v>32</v>
      </c>
      <c r="L435" s="62">
        <v>30</v>
      </c>
      <c r="M435" s="62">
        <v>23</v>
      </c>
      <c r="N435" s="62">
        <v>23</v>
      </c>
      <c r="O435" s="62">
        <v>19</v>
      </c>
      <c r="P435" s="62">
        <v>15</v>
      </c>
      <c r="Q435" s="62">
        <v>23</v>
      </c>
      <c r="R435" s="62">
        <v>18</v>
      </c>
      <c r="S435" s="62">
        <v>25</v>
      </c>
      <c r="T435" s="62">
        <v>14</v>
      </c>
      <c r="U435" s="62">
        <v>23</v>
      </c>
      <c r="V435" s="62">
        <v>23</v>
      </c>
      <c r="W435" s="62">
        <v>13</v>
      </c>
      <c r="X435" s="62">
        <v>22</v>
      </c>
      <c r="Y435" s="62">
        <v>24</v>
      </c>
      <c r="Z435" s="62">
        <v>21</v>
      </c>
      <c r="AA435" s="62">
        <v>17</v>
      </c>
      <c r="AB435" s="62">
        <v>18</v>
      </c>
      <c r="AC435" s="62">
        <v>15</v>
      </c>
      <c r="AD435" s="62">
        <v>22</v>
      </c>
      <c r="AE435" s="62">
        <v>15</v>
      </c>
      <c r="AF435" s="62">
        <v>26</v>
      </c>
      <c r="AG435" s="62">
        <v>21</v>
      </c>
      <c r="AH435" s="62">
        <v>12</v>
      </c>
      <c r="AI435" s="62">
        <v>24</v>
      </c>
      <c r="AJ435" s="62">
        <v>20</v>
      </c>
      <c r="AK435" s="62">
        <v>11</v>
      </c>
      <c r="AL435" s="62">
        <v>21</v>
      </c>
      <c r="AM435" s="62">
        <v>13</v>
      </c>
      <c r="AN435" s="62">
        <v>21</v>
      </c>
      <c r="AO435" s="62">
        <v>15</v>
      </c>
      <c r="AP435" s="62">
        <v>20</v>
      </c>
      <c r="AQ435" s="62">
        <v>9</v>
      </c>
      <c r="AR435" s="62">
        <v>14</v>
      </c>
      <c r="AS435" s="62">
        <v>10</v>
      </c>
      <c r="AT435" s="62">
        <v>11</v>
      </c>
      <c r="AU435" s="62">
        <v>3</v>
      </c>
      <c r="AV435" s="62">
        <v>11</v>
      </c>
      <c r="AW435" s="62">
        <v>9</v>
      </c>
      <c r="AX435" s="62">
        <v>9</v>
      </c>
      <c r="AY435" s="62">
        <v>12</v>
      </c>
      <c r="AZ435" s="62">
        <v>8</v>
      </c>
      <c r="BA435" s="62">
        <v>4</v>
      </c>
      <c r="BB435" s="62">
        <v>6</v>
      </c>
      <c r="BC435" s="62">
        <v>8</v>
      </c>
      <c r="BD435" s="62">
        <v>13</v>
      </c>
      <c r="BE435" s="62">
        <v>5</v>
      </c>
      <c r="BF435" s="62">
        <v>6</v>
      </c>
      <c r="BG435" s="62">
        <v>10</v>
      </c>
      <c r="BH435" s="62">
        <v>10</v>
      </c>
    </row>
    <row r="436" spans="2:60" hidden="1" x14ac:dyDescent="0.2">
      <c r="B436" s="59"/>
      <c r="C436" s="59" t="s">
        <v>698</v>
      </c>
      <c r="D436" s="59" t="s">
        <v>655</v>
      </c>
      <c r="E436" s="63">
        <v>24</v>
      </c>
      <c r="F436" s="63">
        <v>32</v>
      </c>
      <c r="G436" s="63">
        <v>26</v>
      </c>
      <c r="H436" s="63">
        <v>25</v>
      </c>
      <c r="I436" s="63">
        <v>19</v>
      </c>
      <c r="J436" s="63">
        <v>34</v>
      </c>
      <c r="K436" s="63">
        <v>36</v>
      </c>
      <c r="L436" s="63">
        <v>30</v>
      </c>
      <c r="M436" s="63">
        <v>27</v>
      </c>
      <c r="N436" s="63">
        <v>27</v>
      </c>
      <c r="O436" s="63">
        <v>26</v>
      </c>
      <c r="P436" s="63">
        <v>26</v>
      </c>
      <c r="Q436" s="63">
        <v>30</v>
      </c>
      <c r="R436" s="63">
        <v>25</v>
      </c>
      <c r="S436" s="63">
        <v>27</v>
      </c>
      <c r="T436" s="63">
        <v>17</v>
      </c>
      <c r="U436" s="63">
        <v>34</v>
      </c>
      <c r="V436" s="63">
        <v>37</v>
      </c>
      <c r="W436" s="63">
        <v>19</v>
      </c>
      <c r="X436" s="63">
        <v>21</v>
      </c>
      <c r="Y436" s="63">
        <v>23</v>
      </c>
      <c r="Z436" s="63">
        <v>39</v>
      </c>
      <c r="AA436" s="63">
        <v>24</v>
      </c>
      <c r="AB436" s="63">
        <v>25</v>
      </c>
      <c r="AC436" s="63">
        <v>14</v>
      </c>
      <c r="AD436" s="63">
        <v>30</v>
      </c>
      <c r="AE436" s="63">
        <v>21</v>
      </c>
      <c r="AF436" s="63">
        <v>26</v>
      </c>
      <c r="AG436" s="63">
        <v>26</v>
      </c>
      <c r="AH436" s="63">
        <v>29</v>
      </c>
      <c r="AI436" s="63">
        <v>28</v>
      </c>
      <c r="AJ436" s="63">
        <v>15</v>
      </c>
      <c r="AK436" s="63">
        <v>18</v>
      </c>
      <c r="AL436" s="63">
        <v>25</v>
      </c>
      <c r="AM436" s="63">
        <v>24</v>
      </c>
      <c r="AN436" s="63">
        <v>20</v>
      </c>
      <c r="AO436" s="63">
        <v>28</v>
      </c>
      <c r="AP436" s="63">
        <v>22</v>
      </c>
      <c r="AQ436" s="63">
        <v>12</v>
      </c>
      <c r="AR436" s="63">
        <v>8</v>
      </c>
      <c r="AS436" s="63">
        <v>18</v>
      </c>
      <c r="AT436" s="63">
        <v>14</v>
      </c>
      <c r="AU436" s="63">
        <v>11</v>
      </c>
      <c r="AV436" s="63">
        <v>8</v>
      </c>
      <c r="AW436" s="63">
        <v>17</v>
      </c>
      <c r="AX436" s="63">
        <v>10</v>
      </c>
      <c r="AY436" s="63">
        <v>10</v>
      </c>
      <c r="AZ436" s="63">
        <v>12</v>
      </c>
      <c r="BA436" s="63">
        <v>15</v>
      </c>
      <c r="BB436" s="63">
        <v>13</v>
      </c>
      <c r="BC436" s="63">
        <v>15</v>
      </c>
      <c r="BD436" s="63">
        <v>13</v>
      </c>
      <c r="BE436" s="63">
        <v>15</v>
      </c>
      <c r="BF436" s="63">
        <v>9</v>
      </c>
      <c r="BG436" s="63">
        <v>10</v>
      </c>
      <c r="BH436" s="63">
        <v>16</v>
      </c>
    </row>
    <row r="437" spans="2:60" hidden="1" x14ac:dyDescent="0.2">
      <c r="B437" s="57"/>
      <c r="C437" s="57" t="s">
        <v>698</v>
      </c>
      <c r="D437" s="57" t="s">
        <v>699</v>
      </c>
      <c r="E437" s="62">
        <v>56</v>
      </c>
      <c r="F437" s="62">
        <v>59</v>
      </c>
      <c r="G437" s="62">
        <v>72</v>
      </c>
      <c r="H437" s="62">
        <v>62</v>
      </c>
      <c r="I437" s="62">
        <v>65</v>
      </c>
      <c r="J437" s="62">
        <v>55</v>
      </c>
      <c r="K437" s="62">
        <v>43</v>
      </c>
      <c r="L437" s="62">
        <v>50</v>
      </c>
      <c r="M437" s="62">
        <v>61</v>
      </c>
      <c r="N437" s="62">
        <v>44</v>
      </c>
      <c r="O437" s="62">
        <v>37</v>
      </c>
      <c r="P437" s="62">
        <v>56</v>
      </c>
      <c r="Q437" s="62">
        <v>38</v>
      </c>
      <c r="R437" s="62">
        <v>55</v>
      </c>
      <c r="S437" s="62">
        <v>43</v>
      </c>
      <c r="T437" s="62">
        <v>41</v>
      </c>
      <c r="U437" s="62">
        <v>33</v>
      </c>
      <c r="V437" s="62">
        <v>52</v>
      </c>
      <c r="W437" s="62">
        <v>70</v>
      </c>
      <c r="X437" s="62">
        <v>82</v>
      </c>
      <c r="Y437" s="62">
        <v>89</v>
      </c>
      <c r="Z437" s="62">
        <v>56</v>
      </c>
      <c r="AA437" s="62">
        <v>76</v>
      </c>
      <c r="AB437" s="62">
        <v>59</v>
      </c>
      <c r="AC437" s="62">
        <v>48</v>
      </c>
      <c r="AD437" s="62">
        <v>36</v>
      </c>
      <c r="AE437" s="62">
        <v>50</v>
      </c>
      <c r="AF437" s="62">
        <v>45</v>
      </c>
      <c r="AG437" s="62">
        <v>33</v>
      </c>
      <c r="AH437" s="62">
        <v>58</v>
      </c>
      <c r="AI437" s="62">
        <v>45</v>
      </c>
      <c r="AJ437" s="62">
        <v>37</v>
      </c>
      <c r="AK437" s="62">
        <v>43</v>
      </c>
      <c r="AL437" s="62">
        <v>26</v>
      </c>
      <c r="AM437" s="62">
        <v>44</v>
      </c>
      <c r="AN437" s="62">
        <v>28</v>
      </c>
      <c r="AO437" s="62">
        <v>29</v>
      </c>
      <c r="AP437" s="62">
        <v>27</v>
      </c>
      <c r="AQ437" s="62">
        <v>34</v>
      </c>
      <c r="AR437" s="62">
        <v>41</v>
      </c>
      <c r="AS437" s="62">
        <v>29</v>
      </c>
      <c r="AT437" s="62">
        <v>24</v>
      </c>
      <c r="AU437" s="62">
        <v>18</v>
      </c>
      <c r="AV437" s="62">
        <v>15</v>
      </c>
      <c r="AW437" s="62">
        <v>19</v>
      </c>
      <c r="AX437" s="62">
        <v>19</v>
      </c>
      <c r="AY437" s="62">
        <v>19</v>
      </c>
      <c r="AZ437" s="62">
        <v>20</v>
      </c>
      <c r="BA437" s="62">
        <v>31</v>
      </c>
      <c r="BB437" s="62">
        <v>24</v>
      </c>
      <c r="BC437" s="62">
        <v>25</v>
      </c>
      <c r="BD437" s="62">
        <v>28</v>
      </c>
      <c r="BE437" s="62">
        <v>19</v>
      </c>
      <c r="BF437" s="62">
        <v>30</v>
      </c>
      <c r="BG437" s="62">
        <v>18</v>
      </c>
      <c r="BH437" s="62">
        <v>27</v>
      </c>
    </row>
    <row r="438" spans="2:60" hidden="1" x14ac:dyDescent="0.2">
      <c r="B438" s="59"/>
      <c r="C438" s="59" t="s">
        <v>698</v>
      </c>
      <c r="D438" s="59" t="s">
        <v>656</v>
      </c>
      <c r="E438" s="63">
        <v>718</v>
      </c>
      <c r="F438" s="63">
        <v>790</v>
      </c>
      <c r="G438" s="63">
        <v>672</v>
      </c>
      <c r="H438" s="63">
        <v>667</v>
      </c>
      <c r="I438" s="63">
        <v>743</v>
      </c>
      <c r="J438" s="63">
        <v>747</v>
      </c>
      <c r="K438" s="63">
        <v>684</v>
      </c>
      <c r="L438" s="63">
        <v>649</v>
      </c>
      <c r="M438" s="63">
        <v>701</v>
      </c>
      <c r="N438" s="63">
        <v>707</v>
      </c>
      <c r="O438" s="63">
        <v>669</v>
      </c>
      <c r="P438" s="63">
        <v>666</v>
      </c>
      <c r="Q438" s="63">
        <v>673</v>
      </c>
      <c r="R438" s="63">
        <v>743</v>
      </c>
      <c r="S438" s="63">
        <v>717</v>
      </c>
      <c r="T438" s="63">
        <v>585</v>
      </c>
      <c r="U438" s="63">
        <v>696</v>
      </c>
      <c r="V438" s="63">
        <v>756</v>
      </c>
      <c r="W438" s="63">
        <v>629</v>
      </c>
      <c r="X438" s="63">
        <v>603</v>
      </c>
      <c r="Y438" s="63">
        <v>715</v>
      </c>
      <c r="Z438" s="63">
        <v>733</v>
      </c>
      <c r="AA438" s="63">
        <v>609</v>
      </c>
      <c r="AB438" s="63">
        <v>582</v>
      </c>
      <c r="AC438" s="63">
        <v>562</v>
      </c>
      <c r="AD438" s="63">
        <v>580</v>
      </c>
      <c r="AE438" s="63">
        <v>557</v>
      </c>
      <c r="AF438" s="63">
        <v>572</v>
      </c>
      <c r="AG438" s="63">
        <v>545</v>
      </c>
      <c r="AH438" s="63">
        <v>578</v>
      </c>
      <c r="AI438" s="63">
        <v>498</v>
      </c>
      <c r="AJ438" s="63">
        <v>634</v>
      </c>
      <c r="AK438" s="63">
        <v>502</v>
      </c>
      <c r="AL438" s="63">
        <v>646</v>
      </c>
      <c r="AM438" s="63">
        <v>534</v>
      </c>
      <c r="AN438" s="63">
        <v>543</v>
      </c>
      <c r="AO438" s="63">
        <v>521</v>
      </c>
      <c r="AP438" s="63">
        <v>517</v>
      </c>
      <c r="AQ438" s="63">
        <v>453</v>
      </c>
      <c r="AR438" s="63">
        <v>480</v>
      </c>
      <c r="AS438" s="63">
        <v>470</v>
      </c>
      <c r="AT438" s="63">
        <v>440</v>
      </c>
      <c r="AU438" s="63">
        <v>325</v>
      </c>
      <c r="AV438" s="63">
        <v>329</v>
      </c>
      <c r="AW438" s="63">
        <v>334</v>
      </c>
      <c r="AX438" s="63">
        <v>350</v>
      </c>
      <c r="AY438" s="63">
        <v>346</v>
      </c>
      <c r="AZ438" s="63">
        <v>310</v>
      </c>
      <c r="BA438" s="63">
        <v>354</v>
      </c>
      <c r="BB438" s="63">
        <v>353</v>
      </c>
      <c r="BC438" s="63">
        <v>360</v>
      </c>
      <c r="BD438" s="63">
        <v>352</v>
      </c>
      <c r="BE438" s="63">
        <v>358</v>
      </c>
      <c r="BF438" s="63">
        <v>350</v>
      </c>
      <c r="BG438" s="63">
        <v>335</v>
      </c>
      <c r="BH438" s="63">
        <v>327</v>
      </c>
    </row>
  </sheetData>
  <autoFilter ref="C8:BH438" xr:uid="{C83B63FD-D909-41FC-8B1A-FE038A29369C}">
    <filterColumn colId="0">
      <filters>
        <filter val="Brisbane (C)"/>
        <filter val="Ipswich (C)"/>
        <filter val="Logan (C)"/>
        <filter val="Moreton Bay (R)"/>
        <filter val="Redland (C)"/>
      </filters>
    </filterColumn>
    <filterColumn colId="1">
      <filters>
        <filter val="Flat 2"/>
        <filter val="House 3"/>
        <filter val="Townhouse 2"/>
        <filter val="Townhouse 3"/>
      </filters>
    </filterColumn>
  </autoFilter>
  <pageMargins left="0.7" right="0.7" top="0.75" bottom="0.75" header="0.3" footer="0.3"/>
  <pageSetup paperSize="9" orientation="portrait" r:id="rId1"/>
  <headerFooter>
    <oddHeader>&amp;C&amp;"Calibri"&amp;12&amp;K0000FF OFFICIAL&amp;1#_x000D_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036E-6634-4403-9A5F-0BB907E7E977}">
  <sheetPr>
    <tabColor rgb="FFFF0000"/>
  </sheetPr>
  <dimension ref="A1:BF32"/>
  <sheetViews>
    <sheetView workbookViewId="0">
      <selection activeCell="C31" sqref="C31"/>
    </sheetView>
  </sheetViews>
  <sheetFormatPr defaultRowHeight="15" x14ac:dyDescent="0.25"/>
  <sheetData>
    <row r="1" spans="1:58" x14ac:dyDescent="0.25">
      <c r="A1" t="s">
        <v>700</v>
      </c>
      <c r="C1" s="1">
        <v>40969</v>
      </c>
      <c r="D1" s="1">
        <v>41061</v>
      </c>
      <c r="E1" s="1">
        <v>41153</v>
      </c>
      <c r="F1" s="1">
        <v>41244</v>
      </c>
      <c r="G1" s="1">
        <v>41334</v>
      </c>
      <c r="H1" s="1">
        <v>41426</v>
      </c>
      <c r="I1" s="1">
        <v>41518</v>
      </c>
      <c r="J1" s="1">
        <v>41609</v>
      </c>
      <c r="K1" s="1">
        <v>41699</v>
      </c>
      <c r="L1" s="1">
        <v>41791</v>
      </c>
      <c r="M1" s="1">
        <v>41883</v>
      </c>
      <c r="N1" s="1">
        <v>41974</v>
      </c>
      <c r="O1" s="1">
        <v>42064</v>
      </c>
      <c r="P1" s="1">
        <v>42156</v>
      </c>
      <c r="Q1" s="1">
        <v>42248</v>
      </c>
      <c r="R1" s="1">
        <v>42339</v>
      </c>
      <c r="S1" s="1">
        <v>42430</v>
      </c>
      <c r="T1" s="1">
        <v>42522</v>
      </c>
      <c r="U1" s="1">
        <v>42614</v>
      </c>
      <c r="V1" s="1">
        <v>42705</v>
      </c>
      <c r="W1" s="1">
        <v>42795</v>
      </c>
      <c r="X1" s="1">
        <v>42887</v>
      </c>
      <c r="Y1" s="1">
        <v>42979</v>
      </c>
      <c r="Z1" s="1">
        <v>43070</v>
      </c>
      <c r="AA1" s="1">
        <v>43160</v>
      </c>
      <c r="AB1" s="1">
        <v>43252</v>
      </c>
      <c r="AC1" s="1">
        <v>43344</v>
      </c>
      <c r="AD1" s="1">
        <v>43435</v>
      </c>
      <c r="AE1" s="1">
        <v>43525</v>
      </c>
      <c r="AF1" s="1">
        <v>43617</v>
      </c>
      <c r="AG1" s="1">
        <v>43709</v>
      </c>
      <c r="AH1" s="1">
        <v>43800</v>
      </c>
      <c r="AI1" s="1">
        <v>43891</v>
      </c>
      <c r="AJ1" s="1">
        <v>43983</v>
      </c>
      <c r="AK1" s="1">
        <v>44075</v>
      </c>
      <c r="AL1" s="1">
        <v>44166</v>
      </c>
      <c r="AM1" s="1">
        <v>44256</v>
      </c>
      <c r="AN1" s="1">
        <v>44348</v>
      </c>
      <c r="AO1" s="1">
        <v>44440</v>
      </c>
      <c r="AP1" s="1">
        <v>44531</v>
      </c>
      <c r="AQ1" s="1">
        <v>44621</v>
      </c>
      <c r="AR1" s="1">
        <v>44713</v>
      </c>
      <c r="AS1" s="1">
        <v>44805</v>
      </c>
      <c r="AT1" s="1">
        <v>44896</v>
      </c>
      <c r="AU1" s="1">
        <v>44986</v>
      </c>
      <c r="AV1" s="1">
        <v>45078</v>
      </c>
      <c r="AW1" s="1">
        <v>45170</v>
      </c>
      <c r="AX1" s="1">
        <v>45261</v>
      </c>
      <c r="AY1" s="1">
        <v>45352</v>
      </c>
      <c r="AZ1" s="1">
        <v>45444</v>
      </c>
      <c r="BA1" s="1">
        <v>45536</v>
      </c>
      <c r="BB1" s="1">
        <v>45627</v>
      </c>
      <c r="BC1" s="1">
        <v>45717</v>
      </c>
      <c r="BD1" s="1">
        <v>45809</v>
      </c>
      <c r="BE1" s="1">
        <v>45901</v>
      </c>
      <c r="BF1" s="1">
        <v>45992</v>
      </c>
    </row>
    <row r="2" spans="1:58" x14ac:dyDescent="0.25">
      <c r="A2" t="s">
        <v>657</v>
      </c>
      <c r="B2" t="s">
        <v>649</v>
      </c>
      <c r="C2" cm="1">
        <f t="array" ref="C2:BF2">_xlfn.XLOOKUP(A2&amp;B2,'7 lga-rents '!$C:$C&amp;'7 lga-rents '!$D:$D,'7 lga-rents '!$E:$BH)</f>
        <v>390</v>
      </c>
      <c r="D2">
        <v>390</v>
      </c>
      <c r="E2">
        <v>395</v>
      </c>
      <c r="F2">
        <v>390</v>
      </c>
      <c r="G2">
        <v>395</v>
      </c>
      <c r="H2">
        <v>390</v>
      </c>
      <c r="I2">
        <v>395</v>
      </c>
      <c r="J2">
        <v>395</v>
      </c>
      <c r="K2">
        <v>400</v>
      </c>
      <c r="L2">
        <v>395</v>
      </c>
      <c r="M2">
        <v>400</v>
      </c>
      <c r="N2">
        <v>400</v>
      </c>
      <c r="O2">
        <v>400</v>
      </c>
      <c r="P2">
        <v>400</v>
      </c>
      <c r="Q2">
        <v>400</v>
      </c>
      <c r="R2">
        <v>400</v>
      </c>
      <c r="S2">
        <v>410</v>
      </c>
      <c r="T2">
        <v>400</v>
      </c>
      <c r="U2">
        <v>400</v>
      </c>
      <c r="V2">
        <v>420</v>
      </c>
      <c r="W2">
        <v>420</v>
      </c>
      <c r="X2">
        <v>400</v>
      </c>
      <c r="Y2">
        <v>400</v>
      </c>
      <c r="Z2">
        <v>400</v>
      </c>
      <c r="AA2">
        <v>420</v>
      </c>
      <c r="AB2">
        <v>409</v>
      </c>
      <c r="AC2">
        <v>420</v>
      </c>
      <c r="AD2">
        <v>420</v>
      </c>
      <c r="AE2">
        <v>430</v>
      </c>
      <c r="AF2">
        <v>420</v>
      </c>
      <c r="AG2">
        <v>430</v>
      </c>
      <c r="AH2">
        <v>420</v>
      </c>
      <c r="AI2">
        <v>440</v>
      </c>
      <c r="AJ2">
        <v>410</v>
      </c>
      <c r="AK2">
        <v>420</v>
      </c>
      <c r="AL2">
        <v>425</v>
      </c>
      <c r="AM2">
        <v>435</v>
      </c>
      <c r="AN2">
        <v>430</v>
      </c>
      <c r="AO2">
        <v>450</v>
      </c>
      <c r="AP2">
        <v>450</v>
      </c>
      <c r="AQ2">
        <v>460</v>
      </c>
      <c r="AR2">
        <v>480</v>
      </c>
      <c r="AS2">
        <v>500</v>
      </c>
      <c r="AT2">
        <v>520</v>
      </c>
      <c r="AU2">
        <v>550</v>
      </c>
      <c r="AV2">
        <v>580</v>
      </c>
      <c r="AW2">
        <v>600</v>
      </c>
      <c r="AX2">
        <v>600</v>
      </c>
      <c r="AY2">
        <v>640</v>
      </c>
      <c r="AZ2">
        <v>630</v>
      </c>
      <c r="BA2">
        <v>630</v>
      </c>
      <c r="BB2">
        <v>650</v>
      </c>
      <c r="BC2">
        <v>675</v>
      </c>
      <c r="BD2">
        <v>670</v>
      </c>
      <c r="BE2">
        <v>680</v>
      </c>
      <c r="BF2">
        <v>690</v>
      </c>
    </row>
    <row r="3" spans="1:58" x14ac:dyDescent="0.25">
      <c r="A3" t="s">
        <v>673</v>
      </c>
      <c r="B3" t="s">
        <v>649</v>
      </c>
      <c r="C3" cm="1">
        <f t="array" ref="C3:BF3">_xlfn.XLOOKUP(A3&amp;B3,'7 lga-rents '!$C:$C&amp;'7 lga-rents '!$D:$D,'7 lga-rents '!$E:$BH)</f>
        <v>240</v>
      </c>
      <c r="D3">
        <v>240</v>
      </c>
      <c r="E3">
        <v>250</v>
      </c>
      <c r="F3">
        <v>240</v>
      </c>
      <c r="G3">
        <v>250</v>
      </c>
      <c r="H3">
        <v>240</v>
      </c>
      <c r="I3">
        <v>250</v>
      </c>
      <c r="J3">
        <v>250</v>
      </c>
      <c r="K3">
        <v>250</v>
      </c>
      <c r="L3">
        <v>250</v>
      </c>
      <c r="M3">
        <v>250</v>
      </c>
      <c r="N3">
        <v>260</v>
      </c>
      <c r="O3">
        <v>260</v>
      </c>
      <c r="P3">
        <v>260</v>
      </c>
      <c r="Q3">
        <v>255</v>
      </c>
      <c r="R3">
        <v>260</v>
      </c>
      <c r="S3">
        <v>260</v>
      </c>
      <c r="T3">
        <v>265</v>
      </c>
      <c r="U3">
        <v>265</v>
      </c>
      <c r="V3">
        <v>260</v>
      </c>
      <c r="W3">
        <v>265</v>
      </c>
      <c r="X3">
        <v>260</v>
      </c>
      <c r="Y3">
        <v>260</v>
      </c>
      <c r="Z3">
        <v>260</v>
      </c>
      <c r="AA3">
        <v>265</v>
      </c>
      <c r="AB3">
        <v>260</v>
      </c>
      <c r="AC3">
        <v>260</v>
      </c>
      <c r="AD3">
        <v>260</v>
      </c>
      <c r="AE3">
        <v>265</v>
      </c>
      <c r="AF3">
        <v>255</v>
      </c>
      <c r="AG3">
        <v>260</v>
      </c>
      <c r="AH3">
        <v>260</v>
      </c>
      <c r="AI3">
        <v>265</v>
      </c>
      <c r="AJ3">
        <v>260</v>
      </c>
      <c r="AK3">
        <v>260</v>
      </c>
      <c r="AL3">
        <v>270</v>
      </c>
      <c r="AM3">
        <v>265</v>
      </c>
      <c r="AN3">
        <v>275</v>
      </c>
      <c r="AO3">
        <v>275</v>
      </c>
      <c r="AP3">
        <v>290</v>
      </c>
      <c r="AQ3">
        <v>290</v>
      </c>
      <c r="AR3">
        <v>300</v>
      </c>
      <c r="AS3">
        <v>320</v>
      </c>
      <c r="AT3">
        <v>320</v>
      </c>
      <c r="AU3">
        <v>330</v>
      </c>
      <c r="AV3">
        <v>350</v>
      </c>
      <c r="AW3">
        <v>350</v>
      </c>
      <c r="AX3">
        <v>360</v>
      </c>
      <c r="AY3">
        <v>390</v>
      </c>
      <c r="AZ3">
        <v>370</v>
      </c>
      <c r="BA3">
        <v>380</v>
      </c>
      <c r="BB3">
        <v>380</v>
      </c>
      <c r="BC3">
        <v>400</v>
      </c>
      <c r="BD3">
        <v>400</v>
      </c>
      <c r="BE3">
        <v>400</v>
      </c>
      <c r="BF3">
        <v>420</v>
      </c>
    </row>
    <row r="4" spans="1:58" x14ac:dyDescent="0.25">
      <c r="A4" t="s">
        <v>677</v>
      </c>
      <c r="B4" t="s">
        <v>649</v>
      </c>
      <c r="C4" cm="1">
        <f t="array" ref="C4:BF4">_xlfn.XLOOKUP(A4&amp;B4,'7 lga-rents '!$C:$C&amp;'7 lga-rents '!$D:$D,'7 lga-rents '!$E:$BH)</f>
        <v>255</v>
      </c>
      <c r="D4">
        <v>250</v>
      </c>
      <c r="E4">
        <v>260</v>
      </c>
      <c r="F4">
        <v>250</v>
      </c>
      <c r="G4">
        <v>250</v>
      </c>
      <c r="H4">
        <v>260</v>
      </c>
      <c r="I4">
        <v>260</v>
      </c>
      <c r="J4">
        <v>260</v>
      </c>
      <c r="K4">
        <v>265</v>
      </c>
      <c r="L4">
        <v>260</v>
      </c>
      <c r="M4">
        <v>260</v>
      </c>
      <c r="N4">
        <v>260</v>
      </c>
      <c r="O4">
        <v>270</v>
      </c>
      <c r="P4">
        <v>265</v>
      </c>
      <c r="Q4">
        <v>270</v>
      </c>
      <c r="R4">
        <v>265</v>
      </c>
      <c r="S4">
        <v>270</v>
      </c>
      <c r="T4">
        <v>270</v>
      </c>
      <c r="U4">
        <v>270</v>
      </c>
      <c r="V4">
        <v>280</v>
      </c>
      <c r="W4">
        <v>280</v>
      </c>
      <c r="X4">
        <v>280</v>
      </c>
      <c r="Y4">
        <v>285</v>
      </c>
      <c r="Z4">
        <v>290</v>
      </c>
      <c r="AA4">
        <v>285</v>
      </c>
      <c r="AB4">
        <v>290</v>
      </c>
      <c r="AC4">
        <v>290</v>
      </c>
      <c r="AD4">
        <v>290</v>
      </c>
      <c r="AE4">
        <v>290</v>
      </c>
      <c r="AF4">
        <v>290</v>
      </c>
      <c r="AG4">
        <v>285</v>
      </c>
      <c r="AH4">
        <v>285</v>
      </c>
      <c r="AI4">
        <v>290</v>
      </c>
      <c r="AJ4">
        <v>290</v>
      </c>
      <c r="AK4">
        <v>290</v>
      </c>
      <c r="AL4">
        <v>290</v>
      </c>
      <c r="AM4">
        <v>300</v>
      </c>
      <c r="AN4">
        <v>300</v>
      </c>
      <c r="AO4">
        <v>300</v>
      </c>
      <c r="AP4">
        <v>315</v>
      </c>
      <c r="AQ4">
        <v>320</v>
      </c>
      <c r="AR4">
        <v>330</v>
      </c>
      <c r="AS4">
        <v>340</v>
      </c>
      <c r="AT4">
        <v>350</v>
      </c>
      <c r="AU4">
        <v>360</v>
      </c>
      <c r="AV4">
        <v>385</v>
      </c>
      <c r="AW4">
        <v>395</v>
      </c>
      <c r="AX4">
        <v>400</v>
      </c>
      <c r="AY4">
        <v>420</v>
      </c>
      <c r="AZ4">
        <v>420</v>
      </c>
      <c r="BA4">
        <v>420</v>
      </c>
      <c r="BB4">
        <v>425</v>
      </c>
      <c r="BC4">
        <v>440</v>
      </c>
      <c r="BD4">
        <v>440</v>
      </c>
      <c r="BE4">
        <v>450</v>
      </c>
      <c r="BF4">
        <v>450</v>
      </c>
    </row>
    <row r="5" spans="1:58" x14ac:dyDescent="0.25">
      <c r="A5" t="s">
        <v>682</v>
      </c>
      <c r="B5" t="s">
        <v>649</v>
      </c>
      <c r="C5" cm="1">
        <f t="array" ref="C5:BF5">_xlfn.XLOOKUP(A5&amp;B5,'7 lga-rents '!$C:$C&amp;'7 lga-rents '!$D:$D,'7 lga-rents '!$E:$BH)</f>
        <v>270</v>
      </c>
      <c r="D5">
        <v>270</v>
      </c>
      <c r="E5">
        <v>270</v>
      </c>
      <c r="F5">
        <v>270</v>
      </c>
      <c r="G5">
        <v>270</v>
      </c>
      <c r="H5">
        <v>270</v>
      </c>
      <c r="I5">
        <v>270</v>
      </c>
      <c r="J5">
        <v>275</v>
      </c>
      <c r="K5">
        <v>280</v>
      </c>
      <c r="L5">
        <v>275</v>
      </c>
      <c r="M5">
        <v>275</v>
      </c>
      <c r="N5">
        <v>275</v>
      </c>
      <c r="O5">
        <v>280</v>
      </c>
      <c r="P5">
        <v>280</v>
      </c>
      <c r="Q5">
        <v>280</v>
      </c>
      <c r="R5">
        <v>280</v>
      </c>
      <c r="S5">
        <v>285</v>
      </c>
      <c r="T5">
        <v>290</v>
      </c>
      <c r="U5">
        <v>290</v>
      </c>
      <c r="V5">
        <v>285</v>
      </c>
      <c r="W5">
        <v>290</v>
      </c>
      <c r="X5">
        <v>285</v>
      </c>
      <c r="Y5">
        <v>290</v>
      </c>
      <c r="Z5">
        <v>290</v>
      </c>
      <c r="AA5">
        <v>285</v>
      </c>
      <c r="AB5">
        <v>290</v>
      </c>
      <c r="AC5">
        <v>290</v>
      </c>
      <c r="AD5">
        <v>295</v>
      </c>
      <c r="AE5">
        <v>295</v>
      </c>
      <c r="AF5">
        <v>290</v>
      </c>
      <c r="AG5">
        <v>290</v>
      </c>
      <c r="AH5">
        <v>290</v>
      </c>
      <c r="AI5">
        <v>300</v>
      </c>
      <c r="AJ5">
        <v>295</v>
      </c>
      <c r="AK5">
        <v>300</v>
      </c>
      <c r="AL5">
        <v>295</v>
      </c>
      <c r="AM5">
        <v>300</v>
      </c>
      <c r="AN5">
        <v>310</v>
      </c>
      <c r="AO5">
        <v>315</v>
      </c>
      <c r="AP5">
        <v>320</v>
      </c>
      <c r="AQ5">
        <v>330</v>
      </c>
      <c r="AR5">
        <v>345</v>
      </c>
      <c r="AS5">
        <v>350</v>
      </c>
      <c r="AT5">
        <v>360</v>
      </c>
      <c r="AU5">
        <v>375</v>
      </c>
      <c r="AV5">
        <v>385</v>
      </c>
      <c r="AW5">
        <v>400</v>
      </c>
      <c r="AX5">
        <v>400</v>
      </c>
      <c r="AY5">
        <v>420</v>
      </c>
      <c r="AZ5">
        <v>430</v>
      </c>
      <c r="BA5">
        <v>430</v>
      </c>
      <c r="BB5">
        <v>440</v>
      </c>
      <c r="BC5">
        <v>445</v>
      </c>
      <c r="BD5">
        <v>450</v>
      </c>
      <c r="BE5">
        <v>450</v>
      </c>
      <c r="BF5">
        <v>470</v>
      </c>
    </row>
    <row r="6" spans="1:58" x14ac:dyDescent="0.25">
      <c r="A6" t="s">
        <v>686</v>
      </c>
      <c r="B6" t="s">
        <v>649</v>
      </c>
      <c r="C6" cm="1">
        <f t="array" ref="C6:BF6">_xlfn.XLOOKUP(A6&amp;B6,'7 lga-rents '!$C:$C&amp;'7 lga-rents '!$D:$D,'7 lga-rents '!$E:$BH)</f>
        <v>320</v>
      </c>
      <c r="D6">
        <v>320</v>
      </c>
      <c r="E6">
        <v>320</v>
      </c>
      <c r="F6">
        <v>295</v>
      </c>
      <c r="G6">
        <v>320</v>
      </c>
      <c r="H6">
        <v>300</v>
      </c>
      <c r="I6">
        <v>330</v>
      </c>
      <c r="J6">
        <v>330</v>
      </c>
      <c r="K6">
        <v>328</v>
      </c>
      <c r="L6">
        <v>325</v>
      </c>
      <c r="M6">
        <v>330</v>
      </c>
      <c r="N6">
        <v>340</v>
      </c>
      <c r="O6">
        <v>325</v>
      </c>
      <c r="P6">
        <v>330</v>
      </c>
      <c r="Q6">
        <v>335</v>
      </c>
      <c r="R6">
        <v>340</v>
      </c>
      <c r="S6">
        <v>350</v>
      </c>
      <c r="T6">
        <v>340</v>
      </c>
      <c r="U6">
        <v>340</v>
      </c>
      <c r="V6">
        <v>350</v>
      </c>
      <c r="W6">
        <v>345</v>
      </c>
      <c r="X6">
        <v>350</v>
      </c>
      <c r="Y6">
        <v>350</v>
      </c>
      <c r="Z6">
        <v>350</v>
      </c>
      <c r="AA6">
        <v>350</v>
      </c>
      <c r="AB6">
        <v>350</v>
      </c>
      <c r="AC6">
        <v>350</v>
      </c>
      <c r="AD6">
        <v>355</v>
      </c>
      <c r="AE6">
        <v>370</v>
      </c>
      <c r="AF6">
        <v>365</v>
      </c>
      <c r="AG6">
        <v>350</v>
      </c>
      <c r="AH6">
        <v>351</v>
      </c>
      <c r="AI6">
        <v>360</v>
      </c>
      <c r="AJ6">
        <v>355</v>
      </c>
      <c r="AK6">
        <v>355</v>
      </c>
      <c r="AL6">
        <v>360</v>
      </c>
      <c r="AM6">
        <v>360</v>
      </c>
      <c r="AN6">
        <v>360</v>
      </c>
      <c r="AO6">
        <v>380</v>
      </c>
      <c r="AP6">
        <v>400</v>
      </c>
      <c r="AQ6">
        <v>410</v>
      </c>
      <c r="AR6">
        <v>380</v>
      </c>
      <c r="AS6">
        <v>420</v>
      </c>
      <c r="AT6">
        <v>420</v>
      </c>
      <c r="AU6">
        <v>450</v>
      </c>
      <c r="AV6">
        <v>460</v>
      </c>
      <c r="AW6">
        <v>440</v>
      </c>
      <c r="AX6">
        <v>480</v>
      </c>
      <c r="AY6">
        <v>480</v>
      </c>
      <c r="AZ6">
        <v>480</v>
      </c>
      <c r="BA6">
        <v>510</v>
      </c>
      <c r="BB6">
        <v>520</v>
      </c>
      <c r="BC6">
        <v>510</v>
      </c>
      <c r="BD6">
        <v>550</v>
      </c>
      <c r="BE6">
        <v>550</v>
      </c>
      <c r="BF6">
        <v>550</v>
      </c>
    </row>
    <row r="8" spans="1:58" x14ac:dyDescent="0.25">
      <c r="A8" t="s">
        <v>701</v>
      </c>
    </row>
    <row r="9" spans="1:58" x14ac:dyDescent="0.25">
      <c r="A9" t="s">
        <v>657</v>
      </c>
      <c r="B9" t="s">
        <v>649</v>
      </c>
      <c r="C9" cm="1">
        <f t="array" ref="C9:BF9">_xlfn.XLOOKUP(A9&amp;B9,'8 lga-new-bonds'!$C:$C&amp;'8 lga-new-bonds'!$D:$D,'8 lga-new-bonds'!$E:$BH)</f>
        <v>5494</v>
      </c>
      <c r="D9">
        <v>3659</v>
      </c>
      <c r="E9">
        <v>4327</v>
      </c>
      <c r="F9">
        <v>3581</v>
      </c>
      <c r="G9">
        <v>5490</v>
      </c>
      <c r="H9">
        <v>3841</v>
      </c>
      <c r="I9">
        <v>4318</v>
      </c>
      <c r="J9">
        <v>3741</v>
      </c>
      <c r="K9">
        <v>5727</v>
      </c>
      <c r="L9">
        <v>3808</v>
      </c>
      <c r="M9">
        <v>4435</v>
      </c>
      <c r="N9">
        <v>3994</v>
      </c>
      <c r="O9">
        <v>6022</v>
      </c>
      <c r="P9">
        <v>4174</v>
      </c>
      <c r="Q9">
        <v>4804</v>
      </c>
      <c r="R9">
        <v>4328</v>
      </c>
      <c r="S9">
        <v>6331</v>
      </c>
      <c r="T9">
        <v>4545</v>
      </c>
      <c r="U9">
        <v>5355</v>
      </c>
      <c r="V9">
        <v>4861</v>
      </c>
      <c r="W9">
        <v>7906</v>
      </c>
      <c r="X9">
        <v>5051</v>
      </c>
      <c r="Y9">
        <v>5803</v>
      </c>
      <c r="Z9">
        <v>5170</v>
      </c>
      <c r="AA9">
        <v>8088</v>
      </c>
      <c r="AB9">
        <v>5424</v>
      </c>
      <c r="AC9">
        <v>5638</v>
      </c>
      <c r="AD9">
        <v>5620</v>
      </c>
      <c r="AE9">
        <v>7384</v>
      </c>
      <c r="AF9">
        <v>5156</v>
      </c>
      <c r="AG9">
        <v>5244</v>
      </c>
      <c r="AH9">
        <v>5660</v>
      </c>
      <c r="AI9">
        <v>7115</v>
      </c>
      <c r="AJ9">
        <v>5427</v>
      </c>
      <c r="AK9">
        <v>6419</v>
      </c>
      <c r="AL9">
        <v>6164</v>
      </c>
      <c r="AM9">
        <v>7609</v>
      </c>
      <c r="AN9">
        <v>5608</v>
      </c>
      <c r="AO9">
        <v>5617</v>
      </c>
      <c r="AP9">
        <v>5454</v>
      </c>
      <c r="AQ9">
        <v>6412</v>
      </c>
      <c r="AR9">
        <v>5059</v>
      </c>
      <c r="AS9">
        <v>4505</v>
      </c>
      <c r="AT9">
        <v>4185</v>
      </c>
      <c r="AU9">
        <v>4892</v>
      </c>
      <c r="AV9">
        <v>4330</v>
      </c>
      <c r="AW9">
        <v>4688</v>
      </c>
      <c r="AX9">
        <v>4016</v>
      </c>
      <c r="AY9">
        <v>5426</v>
      </c>
      <c r="AZ9">
        <v>4482</v>
      </c>
      <c r="BA9">
        <v>4561</v>
      </c>
      <c r="BB9">
        <v>4365</v>
      </c>
      <c r="BC9">
        <v>5414</v>
      </c>
      <c r="BD9">
        <v>4290</v>
      </c>
      <c r="BE9">
        <v>4389</v>
      </c>
      <c r="BF9">
        <v>4476</v>
      </c>
    </row>
    <row r="10" spans="1:58" x14ac:dyDescent="0.25">
      <c r="A10" t="s">
        <v>673</v>
      </c>
      <c r="B10" t="s">
        <v>649</v>
      </c>
      <c r="C10" cm="1">
        <f t="array" ref="C10:BF10">_xlfn.XLOOKUP(A10&amp;B10,'8 lga-new-bonds'!$C:$C&amp;'8 lga-new-bonds'!$D:$D,'8 lga-new-bonds'!$E:$BH)</f>
        <v>149</v>
      </c>
      <c r="D10">
        <v>121</v>
      </c>
      <c r="E10">
        <v>111</v>
      </c>
      <c r="F10">
        <v>121</v>
      </c>
      <c r="G10">
        <v>128</v>
      </c>
      <c r="H10">
        <v>132</v>
      </c>
      <c r="I10">
        <v>156</v>
      </c>
      <c r="J10">
        <v>123</v>
      </c>
      <c r="K10">
        <v>162</v>
      </c>
      <c r="L10">
        <v>139</v>
      </c>
      <c r="M10">
        <v>162</v>
      </c>
      <c r="N10">
        <v>142</v>
      </c>
      <c r="O10">
        <v>168</v>
      </c>
      <c r="P10">
        <v>162</v>
      </c>
      <c r="Q10">
        <v>181</v>
      </c>
      <c r="R10">
        <v>199</v>
      </c>
      <c r="S10">
        <v>204</v>
      </c>
      <c r="T10">
        <v>157</v>
      </c>
      <c r="U10">
        <v>167</v>
      </c>
      <c r="V10">
        <v>134</v>
      </c>
      <c r="W10">
        <v>190</v>
      </c>
      <c r="X10">
        <v>172</v>
      </c>
      <c r="Y10">
        <v>194</v>
      </c>
      <c r="Z10">
        <v>143</v>
      </c>
      <c r="AA10">
        <v>154</v>
      </c>
      <c r="AB10">
        <v>145</v>
      </c>
      <c r="AC10">
        <v>156</v>
      </c>
      <c r="AD10">
        <v>149</v>
      </c>
      <c r="AE10">
        <v>148</v>
      </c>
      <c r="AF10">
        <v>161</v>
      </c>
      <c r="AG10">
        <v>140</v>
      </c>
      <c r="AH10">
        <v>164</v>
      </c>
      <c r="AI10">
        <v>138</v>
      </c>
      <c r="AJ10">
        <v>157</v>
      </c>
      <c r="AK10">
        <v>147</v>
      </c>
      <c r="AL10">
        <v>125</v>
      </c>
      <c r="AM10">
        <v>135</v>
      </c>
      <c r="AN10">
        <v>131</v>
      </c>
      <c r="AO10">
        <v>129</v>
      </c>
      <c r="AP10">
        <v>116</v>
      </c>
      <c r="AQ10">
        <v>94</v>
      </c>
      <c r="AR10">
        <v>109</v>
      </c>
      <c r="AS10">
        <v>75</v>
      </c>
      <c r="AT10">
        <v>86</v>
      </c>
      <c r="AU10">
        <v>84</v>
      </c>
      <c r="AV10">
        <v>93</v>
      </c>
      <c r="AW10">
        <v>97</v>
      </c>
      <c r="AX10">
        <v>91</v>
      </c>
      <c r="AY10">
        <v>91</v>
      </c>
      <c r="AZ10">
        <v>67</v>
      </c>
      <c r="BA10">
        <v>92</v>
      </c>
      <c r="BB10">
        <v>86</v>
      </c>
      <c r="BC10">
        <v>102</v>
      </c>
      <c r="BD10">
        <v>86</v>
      </c>
      <c r="BE10">
        <v>92</v>
      </c>
      <c r="BF10">
        <v>90</v>
      </c>
    </row>
    <row r="11" spans="1:58" x14ac:dyDescent="0.25">
      <c r="A11" t="s">
        <v>677</v>
      </c>
      <c r="B11" t="s">
        <v>649</v>
      </c>
      <c r="C11" cm="1">
        <f t="array" ref="C11:BF11">_xlfn.XLOOKUP(A11&amp;B11,'8 lga-new-bonds'!$C:$C&amp;'8 lga-new-bonds'!$D:$D,'8 lga-new-bonds'!$E:$BH)</f>
        <v>234</v>
      </c>
      <c r="D11">
        <v>269</v>
      </c>
      <c r="E11">
        <v>228</v>
      </c>
      <c r="F11">
        <v>197</v>
      </c>
      <c r="G11">
        <v>202</v>
      </c>
      <c r="H11">
        <v>202</v>
      </c>
      <c r="I11">
        <v>201</v>
      </c>
      <c r="J11">
        <v>176</v>
      </c>
      <c r="K11">
        <v>192</v>
      </c>
      <c r="L11">
        <v>184</v>
      </c>
      <c r="M11">
        <v>199</v>
      </c>
      <c r="N11">
        <v>184</v>
      </c>
      <c r="O11">
        <v>248</v>
      </c>
      <c r="P11">
        <v>204</v>
      </c>
      <c r="Q11">
        <v>198</v>
      </c>
      <c r="R11">
        <v>179</v>
      </c>
      <c r="S11">
        <v>222</v>
      </c>
      <c r="T11">
        <v>205</v>
      </c>
      <c r="U11">
        <v>253</v>
      </c>
      <c r="V11">
        <v>228</v>
      </c>
      <c r="W11">
        <v>310</v>
      </c>
      <c r="X11">
        <v>228</v>
      </c>
      <c r="Y11">
        <v>273</v>
      </c>
      <c r="Z11">
        <v>259</v>
      </c>
      <c r="AA11">
        <v>268</v>
      </c>
      <c r="AB11">
        <v>329</v>
      </c>
      <c r="AC11">
        <v>296</v>
      </c>
      <c r="AD11">
        <v>332</v>
      </c>
      <c r="AE11">
        <v>318</v>
      </c>
      <c r="AF11">
        <v>318</v>
      </c>
      <c r="AG11">
        <v>319</v>
      </c>
      <c r="AH11">
        <v>339</v>
      </c>
      <c r="AI11">
        <v>327</v>
      </c>
      <c r="AJ11">
        <v>317</v>
      </c>
      <c r="AK11">
        <v>293</v>
      </c>
      <c r="AL11">
        <v>294</v>
      </c>
      <c r="AM11">
        <v>272</v>
      </c>
      <c r="AN11">
        <v>268</v>
      </c>
      <c r="AO11">
        <v>265</v>
      </c>
      <c r="AP11">
        <v>243</v>
      </c>
      <c r="AQ11">
        <v>242</v>
      </c>
      <c r="AR11">
        <v>240</v>
      </c>
      <c r="AS11">
        <v>203</v>
      </c>
      <c r="AT11">
        <v>205</v>
      </c>
      <c r="AU11">
        <v>201</v>
      </c>
      <c r="AV11">
        <v>292</v>
      </c>
      <c r="AW11">
        <v>322</v>
      </c>
      <c r="AX11">
        <v>250</v>
      </c>
      <c r="AY11">
        <v>265</v>
      </c>
      <c r="AZ11">
        <v>290</v>
      </c>
      <c r="BA11">
        <v>256</v>
      </c>
      <c r="BB11">
        <v>248</v>
      </c>
      <c r="BC11">
        <v>239</v>
      </c>
      <c r="BD11">
        <v>301</v>
      </c>
      <c r="BE11">
        <v>260</v>
      </c>
      <c r="BF11">
        <v>234</v>
      </c>
    </row>
    <row r="12" spans="1:58" x14ac:dyDescent="0.25">
      <c r="A12" t="s">
        <v>682</v>
      </c>
      <c r="B12" t="s">
        <v>649</v>
      </c>
      <c r="C12" cm="1">
        <f t="array" ref="C12:BF12">_xlfn.XLOOKUP(A12&amp;B12,'8 lga-new-bonds'!$C:$C&amp;'8 lga-new-bonds'!$D:$D,'8 lga-new-bonds'!$E:$BH)</f>
        <v>506</v>
      </c>
      <c r="D12">
        <v>420</v>
      </c>
      <c r="E12">
        <v>451</v>
      </c>
      <c r="F12">
        <v>444</v>
      </c>
      <c r="G12">
        <v>479</v>
      </c>
      <c r="H12">
        <v>432</v>
      </c>
      <c r="I12">
        <v>448</v>
      </c>
      <c r="J12">
        <v>408</v>
      </c>
      <c r="K12">
        <v>477</v>
      </c>
      <c r="L12">
        <v>460</v>
      </c>
      <c r="M12">
        <v>548</v>
      </c>
      <c r="N12">
        <v>454</v>
      </c>
      <c r="O12">
        <v>454</v>
      </c>
      <c r="P12">
        <v>445</v>
      </c>
      <c r="Q12">
        <v>491</v>
      </c>
      <c r="R12">
        <v>429</v>
      </c>
      <c r="S12">
        <v>482</v>
      </c>
      <c r="T12">
        <v>485</v>
      </c>
      <c r="U12">
        <v>494</v>
      </c>
      <c r="V12">
        <v>411</v>
      </c>
      <c r="W12">
        <v>512</v>
      </c>
      <c r="X12">
        <v>421</v>
      </c>
      <c r="Y12">
        <v>444</v>
      </c>
      <c r="Z12">
        <v>447</v>
      </c>
      <c r="AA12">
        <v>505</v>
      </c>
      <c r="AB12">
        <v>450</v>
      </c>
      <c r="AC12">
        <v>428</v>
      </c>
      <c r="AD12">
        <v>510</v>
      </c>
      <c r="AE12">
        <v>408</v>
      </c>
      <c r="AF12">
        <v>421</v>
      </c>
      <c r="AG12">
        <v>450</v>
      </c>
      <c r="AH12">
        <v>532</v>
      </c>
      <c r="AI12">
        <v>450</v>
      </c>
      <c r="AJ12">
        <v>523</v>
      </c>
      <c r="AK12">
        <v>456</v>
      </c>
      <c r="AL12">
        <v>425</v>
      </c>
      <c r="AM12">
        <v>374</v>
      </c>
      <c r="AN12">
        <v>379</v>
      </c>
      <c r="AO12">
        <v>400</v>
      </c>
      <c r="AP12">
        <v>403</v>
      </c>
      <c r="AQ12">
        <v>361</v>
      </c>
      <c r="AR12">
        <v>329</v>
      </c>
      <c r="AS12">
        <v>303</v>
      </c>
      <c r="AT12">
        <v>288</v>
      </c>
      <c r="AU12">
        <v>290</v>
      </c>
      <c r="AV12">
        <v>354</v>
      </c>
      <c r="AW12">
        <v>335</v>
      </c>
      <c r="AX12">
        <v>296</v>
      </c>
      <c r="AY12">
        <v>299</v>
      </c>
      <c r="AZ12">
        <v>342</v>
      </c>
      <c r="BA12">
        <v>314</v>
      </c>
      <c r="BB12">
        <v>296</v>
      </c>
      <c r="BC12">
        <v>320</v>
      </c>
      <c r="BD12">
        <v>338</v>
      </c>
      <c r="BE12">
        <v>364</v>
      </c>
      <c r="BF12">
        <v>403</v>
      </c>
    </row>
    <row r="13" spans="1:58" x14ac:dyDescent="0.25">
      <c r="A13" t="s">
        <v>686</v>
      </c>
      <c r="B13" t="s">
        <v>649</v>
      </c>
      <c r="C13" cm="1">
        <f t="array" ref="C13:BF13">_xlfn.XLOOKUP(A13&amp;B13,'8 lga-new-bonds'!$C:$C&amp;'8 lga-new-bonds'!$D:$D,'8 lga-new-bonds'!$E:$BH)</f>
        <v>80</v>
      </c>
      <c r="D13">
        <v>81</v>
      </c>
      <c r="E13">
        <v>89</v>
      </c>
      <c r="F13">
        <v>79</v>
      </c>
      <c r="G13">
        <v>72</v>
      </c>
      <c r="H13">
        <v>71</v>
      </c>
      <c r="I13">
        <v>76</v>
      </c>
      <c r="J13">
        <v>79</v>
      </c>
      <c r="K13">
        <v>83</v>
      </c>
      <c r="L13">
        <v>67</v>
      </c>
      <c r="M13">
        <v>69</v>
      </c>
      <c r="N13">
        <v>47</v>
      </c>
      <c r="O13">
        <v>73</v>
      </c>
      <c r="P13">
        <v>56</v>
      </c>
      <c r="Q13">
        <v>68</v>
      </c>
      <c r="R13">
        <v>66</v>
      </c>
      <c r="S13">
        <v>71</v>
      </c>
      <c r="T13">
        <v>80</v>
      </c>
      <c r="U13">
        <v>77</v>
      </c>
      <c r="V13">
        <v>75</v>
      </c>
      <c r="W13">
        <v>88</v>
      </c>
      <c r="X13">
        <v>74</v>
      </c>
      <c r="Y13">
        <v>90</v>
      </c>
      <c r="Z13">
        <v>58</v>
      </c>
      <c r="AA13">
        <v>78</v>
      </c>
      <c r="AB13">
        <v>63</v>
      </c>
      <c r="AC13">
        <v>90</v>
      </c>
      <c r="AD13">
        <v>70</v>
      </c>
      <c r="AE13">
        <v>84</v>
      </c>
      <c r="AF13">
        <v>77</v>
      </c>
      <c r="AG13">
        <v>72</v>
      </c>
      <c r="AH13">
        <v>85</v>
      </c>
      <c r="AI13">
        <v>75</v>
      </c>
      <c r="AJ13">
        <v>88</v>
      </c>
      <c r="AK13">
        <v>65</v>
      </c>
      <c r="AL13">
        <v>67</v>
      </c>
      <c r="AM13">
        <v>62</v>
      </c>
      <c r="AN13">
        <v>54</v>
      </c>
      <c r="AO13">
        <v>42</v>
      </c>
      <c r="AP13">
        <v>43</v>
      </c>
      <c r="AQ13">
        <v>60</v>
      </c>
      <c r="AR13">
        <v>46</v>
      </c>
      <c r="AS13">
        <v>39</v>
      </c>
      <c r="AT13">
        <v>41</v>
      </c>
      <c r="AU13">
        <v>47</v>
      </c>
      <c r="AV13">
        <v>61</v>
      </c>
      <c r="AW13">
        <v>62</v>
      </c>
      <c r="AX13">
        <v>43</v>
      </c>
      <c r="AY13">
        <v>49</v>
      </c>
      <c r="AZ13">
        <v>40</v>
      </c>
      <c r="BA13">
        <v>44</v>
      </c>
      <c r="BB13">
        <v>43</v>
      </c>
      <c r="BC13">
        <v>43</v>
      </c>
      <c r="BD13">
        <v>65</v>
      </c>
      <c r="BE13">
        <v>41</v>
      </c>
      <c r="BF13">
        <v>45</v>
      </c>
    </row>
    <row r="16" spans="1:58" x14ac:dyDescent="0.25">
      <c r="A16" t="s">
        <v>700</v>
      </c>
    </row>
    <row r="17" spans="1:58" x14ac:dyDescent="0.25">
      <c r="A17" t="s">
        <v>657</v>
      </c>
      <c r="B17" t="s">
        <v>652</v>
      </c>
      <c r="C17" cm="1">
        <f t="array" ref="C17:BF17">_xlfn.XLOOKUP(A17&amp;B17,'7 lga-rents '!$C:$C&amp;'7 lga-rents '!$D:$D,'7 lga-rents '!$E:$BH)</f>
        <v>400</v>
      </c>
      <c r="D17">
        <v>395</v>
      </c>
      <c r="E17">
        <v>400</v>
      </c>
      <c r="F17">
        <v>400</v>
      </c>
      <c r="G17">
        <v>415</v>
      </c>
      <c r="H17">
        <v>405</v>
      </c>
      <c r="I17">
        <v>410</v>
      </c>
      <c r="J17">
        <v>410</v>
      </c>
      <c r="K17">
        <v>420</v>
      </c>
      <c r="L17">
        <v>410</v>
      </c>
      <c r="M17">
        <v>415</v>
      </c>
      <c r="N17">
        <v>420</v>
      </c>
      <c r="O17">
        <v>430</v>
      </c>
      <c r="P17">
        <v>420</v>
      </c>
      <c r="Q17">
        <v>420</v>
      </c>
      <c r="R17">
        <v>420</v>
      </c>
      <c r="S17">
        <v>435</v>
      </c>
      <c r="T17">
        <v>420</v>
      </c>
      <c r="U17">
        <v>430</v>
      </c>
      <c r="V17">
        <v>420</v>
      </c>
      <c r="W17">
        <v>440</v>
      </c>
      <c r="X17">
        <v>420</v>
      </c>
      <c r="Y17">
        <v>420</v>
      </c>
      <c r="Z17">
        <v>420</v>
      </c>
      <c r="AA17">
        <v>440</v>
      </c>
      <c r="AB17">
        <v>425</v>
      </c>
      <c r="AC17">
        <v>430</v>
      </c>
      <c r="AD17">
        <v>435</v>
      </c>
      <c r="AE17">
        <v>450</v>
      </c>
      <c r="AF17">
        <v>430</v>
      </c>
      <c r="AG17">
        <v>430</v>
      </c>
      <c r="AH17">
        <v>445</v>
      </c>
      <c r="AI17">
        <v>450</v>
      </c>
      <c r="AJ17">
        <v>430</v>
      </c>
      <c r="AK17">
        <v>450</v>
      </c>
      <c r="AL17">
        <v>460</v>
      </c>
      <c r="AM17">
        <v>470</v>
      </c>
      <c r="AN17">
        <v>480</v>
      </c>
      <c r="AO17">
        <v>490</v>
      </c>
      <c r="AP17">
        <v>500</v>
      </c>
      <c r="AQ17">
        <v>520</v>
      </c>
      <c r="AR17">
        <v>550</v>
      </c>
      <c r="AS17">
        <v>550</v>
      </c>
      <c r="AT17">
        <v>570</v>
      </c>
      <c r="AU17">
        <v>595</v>
      </c>
      <c r="AV17">
        <v>600</v>
      </c>
      <c r="AW17">
        <v>600</v>
      </c>
      <c r="AX17">
        <v>630</v>
      </c>
      <c r="AY17">
        <v>650</v>
      </c>
      <c r="AZ17">
        <v>650</v>
      </c>
      <c r="BA17">
        <v>650</v>
      </c>
      <c r="BB17">
        <v>650</v>
      </c>
      <c r="BC17">
        <v>670</v>
      </c>
      <c r="BD17">
        <v>675</v>
      </c>
      <c r="BE17">
        <v>680</v>
      </c>
      <c r="BF17">
        <v>700</v>
      </c>
    </row>
    <row r="18" spans="1:58" x14ac:dyDescent="0.25">
      <c r="A18" t="s">
        <v>673</v>
      </c>
      <c r="B18" t="s">
        <v>652</v>
      </c>
      <c r="C18" cm="1">
        <f t="array" ref="C18:BF18">_xlfn.XLOOKUP(A18&amp;B18,'7 lga-rents '!$C:$C&amp;'7 lga-rents '!$D:$D,'7 lga-rents '!$E:$BH)</f>
        <v>285</v>
      </c>
      <c r="D18">
        <v>280</v>
      </c>
      <c r="E18">
        <v>290</v>
      </c>
      <c r="F18">
        <v>290</v>
      </c>
      <c r="G18">
        <v>290</v>
      </c>
      <c r="H18">
        <v>295</v>
      </c>
      <c r="I18">
        <v>295</v>
      </c>
      <c r="J18">
        <v>300</v>
      </c>
      <c r="K18">
        <v>300</v>
      </c>
      <c r="L18">
        <v>300</v>
      </c>
      <c r="M18">
        <v>300</v>
      </c>
      <c r="N18">
        <v>300</v>
      </c>
      <c r="O18">
        <v>300</v>
      </c>
      <c r="P18">
        <v>300</v>
      </c>
      <c r="Q18">
        <v>300</v>
      </c>
      <c r="R18">
        <v>300</v>
      </c>
      <c r="S18">
        <v>310</v>
      </c>
      <c r="T18">
        <v>305</v>
      </c>
      <c r="U18">
        <v>300</v>
      </c>
      <c r="V18">
        <v>310</v>
      </c>
      <c r="W18">
        <v>310</v>
      </c>
      <c r="X18">
        <v>310</v>
      </c>
      <c r="Y18">
        <v>310</v>
      </c>
      <c r="Z18">
        <v>310</v>
      </c>
      <c r="AA18">
        <v>310</v>
      </c>
      <c r="AB18">
        <v>310</v>
      </c>
      <c r="AC18">
        <v>310</v>
      </c>
      <c r="AD18">
        <v>310</v>
      </c>
      <c r="AE18">
        <v>315</v>
      </c>
      <c r="AF18">
        <v>315</v>
      </c>
      <c r="AG18">
        <v>315</v>
      </c>
      <c r="AH18">
        <v>315</v>
      </c>
      <c r="AI18">
        <v>320</v>
      </c>
      <c r="AJ18">
        <v>320</v>
      </c>
      <c r="AK18">
        <v>320</v>
      </c>
      <c r="AL18">
        <v>330</v>
      </c>
      <c r="AM18">
        <v>340</v>
      </c>
      <c r="AN18">
        <v>330</v>
      </c>
      <c r="AO18">
        <v>350</v>
      </c>
      <c r="AP18">
        <v>365</v>
      </c>
      <c r="AQ18">
        <v>380</v>
      </c>
      <c r="AR18">
        <v>390</v>
      </c>
      <c r="AS18">
        <v>410</v>
      </c>
      <c r="AT18">
        <v>420</v>
      </c>
      <c r="AU18">
        <v>440</v>
      </c>
      <c r="AV18">
        <v>450</v>
      </c>
      <c r="AW18">
        <v>450</v>
      </c>
      <c r="AX18">
        <v>475</v>
      </c>
      <c r="AY18">
        <v>490</v>
      </c>
      <c r="AZ18">
        <v>500</v>
      </c>
      <c r="BA18">
        <v>500</v>
      </c>
      <c r="BB18">
        <v>510</v>
      </c>
      <c r="BC18">
        <v>520</v>
      </c>
      <c r="BD18">
        <v>520</v>
      </c>
      <c r="BE18">
        <v>550</v>
      </c>
      <c r="BF18">
        <v>550</v>
      </c>
    </row>
    <row r="19" spans="1:58" x14ac:dyDescent="0.25">
      <c r="A19" t="s">
        <v>677</v>
      </c>
      <c r="B19" t="s">
        <v>652</v>
      </c>
      <c r="C19" cm="1">
        <f t="array" ref="C19:BF19">_xlfn.XLOOKUP(A19&amp;B19,'7 lga-rents '!$C:$C&amp;'7 lga-rents '!$D:$D,'7 lga-rents '!$E:$BH)</f>
        <v>330</v>
      </c>
      <c r="D19">
        <v>330</v>
      </c>
      <c r="E19">
        <v>335</v>
      </c>
      <c r="F19">
        <v>330</v>
      </c>
      <c r="G19">
        <v>330</v>
      </c>
      <c r="H19">
        <v>330</v>
      </c>
      <c r="I19">
        <v>335</v>
      </c>
      <c r="J19">
        <v>340</v>
      </c>
      <c r="K19">
        <v>330</v>
      </c>
      <c r="L19">
        <v>340</v>
      </c>
      <c r="M19">
        <v>340</v>
      </c>
      <c r="N19">
        <v>340</v>
      </c>
      <c r="O19">
        <v>345</v>
      </c>
      <c r="P19">
        <v>345</v>
      </c>
      <c r="Q19">
        <v>350</v>
      </c>
      <c r="R19">
        <v>345</v>
      </c>
      <c r="S19">
        <v>345</v>
      </c>
      <c r="T19">
        <v>350</v>
      </c>
      <c r="U19">
        <v>350</v>
      </c>
      <c r="V19">
        <v>350</v>
      </c>
      <c r="W19">
        <v>350</v>
      </c>
      <c r="X19">
        <v>350</v>
      </c>
      <c r="Y19">
        <v>350</v>
      </c>
      <c r="Z19">
        <v>350</v>
      </c>
      <c r="AA19">
        <v>345</v>
      </c>
      <c r="AB19">
        <v>350</v>
      </c>
      <c r="AC19">
        <v>345</v>
      </c>
      <c r="AD19">
        <v>345</v>
      </c>
      <c r="AE19">
        <v>350</v>
      </c>
      <c r="AF19">
        <v>350</v>
      </c>
      <c r="AG19">
        <v>345</v>
      </c>
      <c r="AH19">
        <v>350</v>
      </c>
      <c r="AI19">
        <v>350</v>
      </c>
      <c r="AJ19">
        <v>350</v>
      </c>
      <c r="AK19">
        <v>350</v>
      </c>
      <c r="AL19">
        <v>350</v>
      </c>
      <c r="AM19">
        <v>360</v>
      </c>
      <c r="AN19">
        <v>370</v>
      </c>
      <c r="AO19">
        <v>380</v>
      </c>
      <c r="AP19">
        <v>390</v>
      </c>
      <c r="AQ19">
        <v>400</v>
      </c>
      <c r="AR19">
        <v>430</v>
      </c>
      <c r="AS19">
        <v>450</v>
      </c>
      <c r="AT19">
        <v>460</v>
      </c>
      <c r="AU19">
        <v>470</v>
      </c>
      <c r="AV19">
        <v>480</v>
      </c>
      <c r="AW19">
        <v>500</v>
      </c>
      <c r="AX19">
        <v>500</v>
      </c>
      <c r="AY19">
        <v>520</v>
      </c>
      <c r="AZ19">
        <v>530</v>
      </c>
      <c r="BA19">
        <v>530</v>
      </c>
      <c r="BB19">
        <v>550</v>
      </c>
      <c r="BC19">
        <v>550</v>
      </c>
      <c r="BD19">
        <v>560</v>
      </c>
      <c r="BE19">
        <v>575</v>
      </c>
      <c r="BF19">
        <v>590</v>
      </c>
    </row>
    <row r="20" spans="1:58" x14ac:dyDescent="0.25">
      <c r="A20" t="s">
        <v>682</v>
      </c>
      <c r="B20" t="s">
        <v>652</v>
      </c>
      <c r="C20" cm="1">
        <f t="array" ref="C20:BF20">_xlfn.XLOOKUP(A20&amp;B20,'7 lga-rents '!$C:$C&amp;'7 lga-rents '!$D:$D,'7 lga-rents '!$E:$BH)</f>
        <v>329</v>
      </c>
      <c r="D20">
        <v>320</v>
      </c>
      <c r="E20">
        <v>320</v>
      </c>
      <c r="F20">
        <v>330</v>
      </c>
      <c r="G20">
        <v>330</v>
      </c>
      <c r="H20">
        <v>330</v>
      </c>
      <c r="I20">
        <v>330</v>
      </c>
      <c r="J20">
        <v>330</v>
      </c>
      <c r="K20">
        <v>340</v>
      </c>
      <c r="L20">
        <v>340</v>
      </c>
      <c r="M20">
        <v>340</v>
      </c>
      <c r="N20">
        <v>340</v>
      </c>
      <c r="O20">
        <v>350</v>
      </c>
      <c r="P20">
        <v>350</v>
      </c>
      <c r="Q20">
        <v>350</v>
      </c>
      <c r="R20">
        <v>350</v>
      </c>
      <c r="S20">
        <v>355</v>
      </c>
      <c r="T20">
        <v>350</v>
      </c>
      <c r="U20">
        <v>360</v>
      </c>
      <c r="V20">
        <v>350</v>
      </c>
      <c r="W20">
        <v>360</v>
      </c>
      <c r="X20">
        <v>355</v>
      </c>
      <c r="Y20">
        <v>360</v>
      </c>
      <c r="Z20">
        <v>360</v>
      </c>
      <c r="AA20">
        <v>360</v>
      </c>
      <c r="AB20">
        <v>360</v>
      </c>
      <c r="AC20">
        <v>360</v>
      </c>
      <c r="AD20">
        <v>365</v>
      </c>
      <c r="AE20">
        <v>365</v>
      </c>
      <c r="AF20">
        <v>370</v>
      </c>
      <c r="AG20">
        <v>370</v>
      </c>
      <c r="AH20">
        <v>370</v>
      </c>
      <c r="AI20">
        <v>370</v>
      </c>
      <c r="AJ20">
        <v>370</v>
      </c>
      <c r="AK20">
        <v>380</v>
      </c>
      <c r="AL20">
        <v>385</v>
      </c>
      <c r="AM20">
        <v>395</v>
      </c>
      <c r="AN20">
        <v>400</v>
      </c>
      <c r="AO20">
        <v>420</v>
      </c>
      <c r="AP20">
        <v>430</v>
      </c>
      <c r="AQ20">
        <v>440</v>
      </c>
      <c r="AR20">
        <v>460</v>
      </c>
      <c r="AS20">
        <v>480</v>
      </c>
      <c r="AT20">
        <v>490</v>
      </c>
      <c r="AU20">
        <v>500</v>
      </c>
      <c r="AV20">
        <v>510</v>
      </c>
      <c r="AW20">
        <v>520</v>
      </c>
      <c r="AX20">
        <v>530</v>
      </c>
      <c r="AY20">
        <v>550</v>
      </c>
      <c r="AZ20">
        <v>550</v>
      </c>
      <c r="BA20">
        <v>550</v>
      </c>
      <c r="BB20">
        <v>560</v>
      </c>
      <c r="BC20">
        <v>575</v>
      </c>
      <c r="BD20">
        <v>590</v>
      </c>
      <c r="BE20">
        <v>600</v>
      </c>
      <c r="BF20">
        <v>600</v>
      </c>
    </row>
    <row r="21" spans="1:58" x14ac:dyDescent="0.25">
      <c r="A21" t="s">
        <v>686</v>
      </c>
      <c r="B21" t="s">
        <v>652</v>
      </c>
      <c r="C21" cm="1">
        <f t="array" ref="C21:BF21">_xlfn.XLOOKUP(A21&amp;B21,'7 lga-rents '!$C:$C&amp;'7 lga-rents '!$D:$D,'7 lga-rents '!$E:$BH)</f>
        <v>365</v>
      </c>
      <c r="D21">
        <v>365</v>
      </c>
      <c r="E21">
        <v>370</v>
      </c>
      <c r="F21">
        <v>375</v>
      </c>
      <c r="G21">
        <v>375</v>
      </c>
      <c r="H21">
        <v>370</v>
      </c>
      <c r="I21">
        <v>380</v>
      </c>
      <c r="J21">
        <v>380</v>
      </c>
      <c r="K21">
        <v>380</v>
      </c>
      <c r="L21">
        <v>380</v>
      </c>
      <c r="M21">
        <v>380</v>
      </c>
      <c r="N21">
        <v>385</v>
      </c>
      <c r="O21">
        <v>390</v>
      </c>
      <c r="P21">
        <v>395</v>
      </c>
      <c r="Q21">
        <v>390</v>
      </c>
      <c r="R21">
        <v>390</v>
      </c>
      <c r="S21">
        <v>390</v>
      </c>
      <c r="T21">
        <v>395</v>
      </c>
      <c r="U21">
        <v>395</v>
      </c>
      <c r="V21">
        <v>400</v>
      </c>
      <c r="W21">
        <v>395</v>
      </c>
      <c r="X21">
        <v>400</v>
      </c>
      <c r="Y21">
        <v>400</v>
      </c>
      <c r="Z21">
        <v>400</v>
      </c>
      <c r="AA21">
        <v>400</v>
      </c>
      <c r="AB21">
        <v>400</v>
      </c>
      <c r="AC21">
        <v>400</v>
      </c>
      <c r="AD21">
        <v>400</v>
      </c>
      <c r="AE21">
        <v>405</v>
      </c>
      <c r="AF21">
        <v>400</v>
      </c>
      <c r="AG21">
        <v>400</v>
      </c>
      <c r="AH21">
        <v>400</v>
      </c>
      <c r="AI21">
        <v>420</v>
      </c>
      <c r="AJ21">
        <v>400</v>
      </c>
      <c r="AK21">
        <v>410</v>
      </c>
      <c r="AL21">
        <v>425</v>
      </c>
      <c r="AM21">
        <v>430</v>
      </c>
      <c r="AN21">
        <v>450</v>
      </c>
      <c r="AO21">
        <v>470</v>
      </c>
      <c r="AP21">
        <v>470</v>
      </c>
      <c r="AQ21">
        <v>500</v>
      </c>
      <c r="AR21">
        <v>500</v>
      </c>
      <c r="AS21">
        <v>510</v>
      </c>
      <c r="AT21">
        <v>540</v>
      </c>
      <c r="AU21">
        <v>530</v>
      </c>
      <c r="AV21">
        <v>550</v>
      </c>
      <c r="AW21">
        <v>560</v>
      </c>
      <c r="AX21">
        <v>570</v>
      </c>
      <c r="AY21">
        <v>595</v>
      </c>
      <c r="AZ21">
        <v>600</v>
      </c>
      <c r="BA21">
        <v>610</v>
      </c>
      <c r="BB21">
        <v>620</v>
      </c>
      <c r="BC21">
        <v>620</v>
      </c>
      <c r="BD21">
        <v>620</v>
      </c>
      <c r="BE21">
        <v>650</v>
      </c>
      <c r="BF21">
        <v>650</v>
      </c>
    </row>
    <row r="23" spans="1:58" x14ac:dyDescent="0.25">
      <c r="A23" t="s">
        <v>701</v>
      </c>
    </row>
    <row r="24" spans="1:58" x14ac:dyDescent="0.25">
      <c r="A24" t="s">
        <v>657</v>
      </c>
      <c r="B24" t="s">
        <v>652</v>
      </c>
      <c r="C24" cm="1">
        <f t="array" ref="C24:BF24">_xlfn.XLOOKUP(A24&amp;B24,'8 lga-new-bonds'!$C:$C&amp;'8 lga-new-bonds'!$D:$D,'8 lga-new-bonds'!$E:$BH)</f>
        <v>3578</v>
      </c>
      <c r="D24">
        <v>2526</v>
      </c>
      <c r="E24">
        <v>2847</v>
      </c>
      <c r="F24">
        <v>2628</v>
      </c>
      <c r="G24">
        <v>3481</v>
      </c>
      <c r="H24">
        <v>2659</v>
      </c>
      <c r="I24">
        <v>2973</v>
      </c>
      <c r="J24">
        <v>2633</v>
      </c>
      <c r="K24">
        <v>3322</v>
      </c>
      <c r="L24">
        <v>2584</v>
      </c>
      <c r="M24">
        <v>2836</v>
      </c>
      <c r="N24">
        <v>2541</v>
      </c>
      <c r="O24">
        <v>3219</v>
      </c>
      <c r="P24">
        <v>2540</v>
      </c>
      <c r="Q24">
        <v>2897</v>
      </c>
      <c r="R24">
        <v>2842</v>
      </c>
      <c r="S24">
        <v>3400</v>
      </c>
      <c r="T24">
        <v>2500</v>
      </c>
      <c r="U24">
        <v>2744</v>
      </c>
      <c r="V24">
        <v>2573</v>
      </c>
      <c r="W24">
        <v>3433</v>
      </c>
      <c r="X24">
        <v>2662</v>
      </c>
      <c r="Y24">
        <v>2646</v>
      </c>
      <c r="Z24">
        <v>2521</v>
      </c>
      <c r="AA24">
        <v>3192</v>
      </c>
      <c r="AB24">
        <v>2624</v>
      </c>
      <c r="AC24">
        <v>2643</v>
      </c>
      <c r="AD24">
        <v>2510</v>
      </c>
      <c r="AE24">
        <v>2924</v>
      </c>
      <c r="AF24">
        <v>2377</v>
      </c>
      <c r="AG24">
        <v>2359</v>
      </c>
      <c r="AH24">
        <v>2915</v>
      </c>
      <c r="AI24">
        <v>2692</v>
      </c>
      <c r="AJ24">
        <v>2693</v>
      </c>
      <c r="AK24">
        <v>2480</v>
      </c>
      <c r="AL24">
        <v>2422</v>
      </c>
      <c r="AM24">
        <v>2784</v>
      </c>
      <c r="AN24">
        <v>2340</v>
      </c>
      <c r="AO24">
        <v>2344</v>
      </c>
      <c r="AP24">
        <v>2450</v>
      </c>
      <c r="AQ24">
        <v>2680</v>
      </c>
      <c r="AR24">
        <v>2368</v>
      </c>
      <c r="AS24">
        <v>2213</v>
      </c>
      <c r="AT24">
        <v>2239</v>
      </c>
      <c r="AU24">
        <v>2443</v>
      </c>
      <c r="AV24">
        <v>2195</v>
      </c>
      <c r="AW24">
        <v>2160</v>
      </c>
      <c r="AX24">
        <v>2239</v>
      </c>
      <c r="AY24">
        <v>2390</v>
      </c>
      <c r="AZ24">
        <v>2170</v>
      </c>
      <c r="BA24">
        <v>2191</v>
      </c>
      <c r="BB24">
        <v>2161</v>
      </c>
      <c r="BC24">
        <v>2378</v>
      </c>
      <c r="BD24">
        <v>2233</v>
      </c>
      <c r="BE24">
        <v>2285</v>
      </c>
      <c r="BF24">
        <v>2332</v>
      </c>
    </row>
    <row r="25" spans="1:58" x14ac:dyDescent="0.25">
      <c r="A25" t="s">
        <v>673</v>
      </c>
      <c r="B25" t="s">
        <v>652</v>
      </c>
      <c r="C25" cm="1">
        <f t="array" ref="C25:BF25">_xlfn.XLOOKUP(A25&amp;B25,'8 lga-new-bonds'!$C:$C&amp;'8 lga-new-bonds'!$D:$D,'8 lga-new-bonds'!$E:$BH)</f>
        <v>848</v>
      </c>
      <c r="D25">
        <v>759</v>
      </c>
      <c r="E25">
        <v>838</v>
      </c>
      <c r="F25">
        <v>725</v>
      </c>
      <c r="G25">
        <v>783</v>
      </c>
      <c r="H25">
        <v>793</v>
      </c>
      <c r="I25">
        <v>762</v>
      </c>
      <c r="J25">
        <v>723</v>
      </c>
      <c r="K25">
        <v>786</v>
      </c>
      <c r="L25">
        <v>691</v>
      </c>
      <c r="M25">
        <v>771</v>
      </c>
      <c r="N25">
        <v>662</v>
      </c>
      <c r="O25">
        <v>789</v>
      </c>
      <c r="P25">
        <v>717</v>
      </c>
      <c r="Q25">
        <v>784</v>
      </c>
      <c r="R25">
        <v>685</v>
      </c>
      <c r="S25">
        <v>723</v>
      </c>
      <c r="T25">
        <v>692</v>
      </c>
      <c r="U25">
        <v>739</v>
      </c>
      <c r="V25">
        <v>655</v>
      </c>
      <c r="W25">
        <v>766</v>
      </c>
      <c r="X25">
        <v>706</v>
      </c>
      <c r="Y25">
        <v>684</v>
      </c>
      <c r="Z25">
        <v>661</v>
      </c>
      <c r="AA25">
        <v>688</v>
      </c>
      <c r="AB25">
        <v>699</v>
      </c>
      <c r="AC25">
        <v>713</v>
      </c>
      <c r="AD25">
        <v>677</v>
      </c>
      <c r="AE25">
        <v>705</v>
      </c>
      <c r="AF25">
        <v>684</v>
      </c>
      <c r="AG25">
        <v>662</v>
      </c>
      <c r="AH25">
        <v>696</v>
      </c>
      <c r="AI25">
        <v>617</v>
      </c>
      <c r="AJ25">
        <v>729</v>
      </c>
      <c r="AK25">
        <v>613</v>
      </c>
      <c r="AL25">
        <v>600</v>
      </c>
      <c r="AM25">
        <v>568</v>
      </c>
      <c r="AN25">
        <v>587</v>
      </c>
      <c r="AO25">
        <v>602</v>
      </c>
      <c r="AP25">
        <v>537</v>
      </c>
      <c r="AQ25">
        <v>545</v>
      </c>
      <c r="AR25">
        <v>498</v>
      </c>
      <c r="AS25">
        <v>512</v>
      </c>
      <c r="AT25">
        <v>500</v>
      </c>
      <c r="AU25">
        <v>452</v>
      </c>
      <c r="AV25">
        <v>529</v>
      </c>
      <c r="AW25">
        <v>619</v>
      </c>
      <c r="AX25">
        <v>566</v>
      </c>
      <c r="AY25">
        <v>526</v>
      </c>
      <c r="AZ25">
        <v>544</v>
      </c>
      <c r="BA25">
        <v>581</v>
      </c>
      <c r="BB25">
        <v>592</v>
      </c>
      <c r="BC25">
        <v>554</v>
      </c>
      <c r="BD25">
        <v>553</v>
      </c>
      <c r="BE25">
        <v>594</v>
      </c>
      <c r="BF25">
        <v>636</v>
      </c>
    </row>
    <row r="26" spans="1:58" x14ac:dyDescent="0.25">
      <c r="A26" t="s">
        <v>677</v>
      </c>
      <c r="B26" t="s">
        <v>652</v>
      </c>
      <c r="C26" cm="1">
        <f t="array" ref="C26:BF26">_xlfn.XLOOKUP(A26&amp;B26,'8 lga-new-bonds'!$C:$C&amp;'8 lga-new-bonds'!$D:$D,'8 lga-new-bonds'!$E:$BH)</f>
        <v>963</v>
      </c>
      <c r="D26">
        <v>919</v>
      </c>
      <c r="E26">
        <v>992</v>
      </c>
      <c r="F26">
        <v>861</v>
      </c>
      <c r="G26">
        <v>964</v>
      </c>
      <c r="H26">
        <v>906</v>
      </c>
      <c r="I26">
        <v>923</v>
      </c>
      <c r="J26">
        <v>835</v>
      </c>
      <c r="K26">
        <v>957</v>
      </c>
      <c r="L26">
        <v>884</v>
      </c>
      <c r="M26">
        <v>980</v>
      </c>
      <c r="N26">
        <v>811</v>
      </c>
      <c r="O26">
        <v>910</v>
      </c>
      <c r="P26">
        <v>901</v>
      </c>
      <c r="Q26">
        <v>979</v>
      </c>
      <c r="R26">
        <v>919</v>
      </c>
      <c r="S26">
        <v>917</v>
      </c>
      <c r="T26">
        <v>953</v>
      </c>
      <c r="U26">
        <v>952</v>
      </c>
      <c r="V26">
        <v>872</v>
      </c>
      <c r="W26">
        <v>1001</v>
      </c>
      <c r="X26">
        <v>1002</v>
      </c>
      <c r="Y26">
        <v>966</v>
      </c>
      <c r="Z26">
        <v>916</v>
      </c>
      <c r="AA26">
        <v>987</v>
      </c>
      <c r="AB26">
        <v>974</v>
      </c>
      <c r="AC26">
        <v>982</v>
      </c>
      <c r="AD26">
        <v>963</v>
      </c>
      <c r="AE26">
        <v>954</v>
      </c>
      <c r="AF26">
        <v>929</v>
      </c>
      <c r="AG26">
        <v>873</v>
      </c>
      <c r="AH26">
        <v>1075</v>
      </c>
      <c r="AI26">
        <v>797</v>
      </c>
      <c r="AJ26">
        <v>1107</v>
      </c>
      <c r="AK26">
        <v>914</v>
      </c>
      <c r="AL26">
        <v>807</v>
      </c>
      <c r="AM26">
        <v>805</v>
      </c>
      <c r="AN26">
        <v>791</v>
      </c>
      <c r="AO26">
        <v>794</v>
      </c>
      <c r="AP26">
        <v>767</v>
      </c>
      <c r="AQ26">
        <v>690</v>
      </c>
      <c r="AR26">
        <v>838</v>
      </c>
      <c r="AS26">
        <v>728</v>
      </c>
      <c r="AT26">
        <v>700</v>
      </c>
      <c r="AU26">
        <v>708</v>
      </c>
      <c r="AV26">
        <v>848</v>
      </c>
      <c r="AW26">
        <v>900</v>
      </c>
      <c r="AX26">
        <v>777</v>
      </c>
      <c r="AY26">
        <v>800</v>
      </c>
      <c r="AZ26">
        <v>847</v>
      </c>
      <c r="BA26">
        <v>929</v>
      </c>
      <c r="BB26">
        <v>902</v>
      </c>
      <c r="BC26">
        <v>890</v>
      </c>
      <c r="BD26">
        <v>924</v>
      </c>
      <c r="BE26">
        <v>919</v>
      </c>
      <c r="BF26">
        <v>901</v>
      </c>
    </row>
    <row r="27" spans="1:58" x14ac:dyDescent="0.25">
      <c r="A27" t="s">
        <v>682</v>
      </c>
      <c r="B27" t="s">
        <v>652</v>
      </c>
      <c r="C27" cm="1">
        <f t="array" ref="C27:BF27">_xlfn.XLOOKUP(A27&amp;B27,'8 lga-new-bonds'!$C:$C&amp;'8 lga-new-bonds'!$D:$D,'8 lga-new-bonds'!$E:$BH)</f>
        <v>1219</v>
      </c>
      <c r="D27">
        <v>1076</v>
      </c>
      <c r="E27">
        <v>1139</v>
      </c>
      <c r="F27">
        <v>1048</v>
      </c>
      <c r="G27">
        <v>1166</v>
      </c>
      <c r="H27">
        <v>1053</v>
      </c>
      <c r="I27">
        <v>1145</v>
      </c>
      <c r="J27">
        <v>1016</v>
      </c>
      <c r="K27">
        <v>1121</v>
      </c>
      <c r="L27">
        <v>1022</v>
      </c>
      <c r="M27">
        <v>1087</v>
      </c>
      <c r="N27">
        <v>1062</v>
      </c>
      <c r="O27">
        <v>1090</v>
      </c>
      <c r="P27">
        <v>1000</v>
      </c>
      <c r="Q27">
        <v>1084</v>
      </c>
      <c r="R27">
        <v>982</v>
      </c>
      <c r="S27">
        <v>1063</v>
      </c>
      <c r="T27">
        <v>1041</v>
      </c>
      <c r="U27">
        <v>1038</v>
      </c>
      <c r="V27">
        <v>927</v>
      </c>
      <c r="W27">
        <v>1134</v>
      </c>
      <c r="X27">
        <v>1053</v>
      </c>
      <c r="Y27">
        <v>1126</v>
      </c>
      <c r="Z27">
        <v>965</v>
      </c>
      <c r="AA27">
        <v>1065</v>
      </c>
      <c r="AB27">
        <v>1072</v>
      </c>
      <c r="AC27">
        <v>1054</v>
      </c>
      <c r="AD27">
        <v>1089</v>
      </c>
      <c r="AE27">
        <v>1039</v>
      </c>
      <c r="AF27">
        <v>1010</v>
      </c>
      <c r="AG27">
        <v>979</v>
      </c>
      <c r="AH27">
        <v>1178</v>
      </c>
      <c r="AI27">
        <v>930</v>
      </c>
      <c r="AJ27">
        <v>1154</v>
      </c>
      <c r="AK27">
        <v>931</v>
      </c>
      <c r="AL27">
        <v>902</v>
      </c>
      <c r="AM27">
        <v>906</v>
      </c>
      <c r="AN27">
        <v>881</v>
      </c>
      <c r="AO27">
        <v>856</v>
      </c>
      <c r="AP27">
        <v>866</v>
      </c>
      <c r="AQ27">
        <v>808</v>
      </c>
      <c r="AR27">
        <v>834</v>
      </c>
      <c r="AS27">
        <v>840</v>
      </c>
      <c r="AT27">
        <v>819</v>
      </c>
      <c r="AU27">
        <v>764</v>
      </c>
      <c r="AV27">
        <v>954</v>
      </c>
      <c r="AW27">
        <v>926</v>
      </c>
      <c r="AX27">
        <v>820</v>
      </c>
      <c r="AY27">
        <v>871</v>
      </c>
      <c r="AZ27">
        <v>957</v>
      </c>
      <c r="BA27">
        <v>927</v>
      </c>
      <c r="BB27">
        <v>883</v>
      </c>
      <c r="BC27">
        <v>915</v>
      </c>
      <c r="BD27">
        <v>963</v>
      </c>
      <c r="BE27">
        <v>959</v>
      </c>
      <c r="BF27">
        <v>992</v>
      </c>
    </row>
    <row r="28" spans="1:58" x14ac:dyDescent="0.25">
      <c r="A28" t="s">
        <v>686</v>
      </c>
      <c r="B28" t="s">
        <v>652</v>
      </c>
      <c r="C28" cm="1">
        <f t="array" ref="C28:BF28">_xlfn.XLOOKUP(A28&amp;B28,'8 lga-new-bonds'!$C:$C&amp;'8 lga-new-bonds'!$D:$D,'8 lga-new-bonds'!$E:$BH)</f>
        <v>349</v>
      </c>
      <c r="D28">
        <v>364</v>
      </c>
      <c r="E28">
        <v>348</v>
      </c>
      <c r="F28">
        <v>293</v>
      </c>
      <c r="G28">
        <v>339</v>
      </c>
      <c r="H28">
        <v>321</v>
      </c>
      <c r="I28">
        <v>386</v>
      </c>
      <c r="J28">
        <v>313</v>
      </c>
      <c r="K28">
        <v>358</v>
      </c>
      <c r="L28">
        <v>306</v>
      </c>
      <c r="M28">
        <v>367</v>
      </c>
      <c r="N28">
        <v>309</v>
      </c>
      <c r="O28">
        <v>319</v>
      </c>
      <c r="P28">
        <v>311</v>
      </c>
      <c r="Q28">
        <v>337</v>
      </c>
      <c r="R28">
        <v>294</v>
      </c>
      <c r="S28">
        <v>313</v>
      </c>
      <c r="T28">
        <v>288</v>
      </c>
      <c r="U28">
        <v>316</v>
      </c>
      <c r="V28">
        <v>271</v>
      </c>
      <c r="W28">
        <v>333</v>
      </c>
      <c r="X28">
        <v>305</v>
      </c>
      <c r="Y28">
        <v>291</v>
      </c>
      <c r="Z28">
        <v>272</v>
      </c>
      <c r="AA28">
        <v>316</v>
      </c>
      <c r="AB28">
        <v>328</v>
      </c>
      <c r="AC28">
        <v>257</v>
      </c>
      <c r="AD28">
        <v>297</v>
      </c>
      <c r="AE28">
        <v>289</v>
      </c>
      <c r="AF28">
        <v>255</v>
      </c>
      <c r="AG28">
        <v>248</v>
      </c>
      <c r="AH28">
        <v>302</v>
      </c>
      <c r="AI28">
        <v>252</v>
      </c>
      <c r="AJ28">
        <v>315</v>
      </c>
      <c r="AK28">
        <v>250</v>
      </c>
      <c r="AL28">
        <v>231</v>
      </c>
      <c r="AM28">
        <v>235</v>
      </c>
      <c r="AN28">
        <v>224</v>
      </c>
      <c r="AO28">
        <v>256</v>
      </c>
      <c r="AP28">
        <v>258</v>
      </c>
      <c r="AQ28">
        <v>230</v>
      </c>
      <c r="AR28">
        <v>257</v>
      </c>
      <c r="AS28">
        <v>231</v>
      </c>
      <c r="AT28">
        <v>239</v>
      </c>
      <c r="AU28">
        <v>222</v>
      </c>
      <c r="AV28">
        <v>245</v>
      </c>
      <c r="AW28">
        <v>238</v>
      </c>
      <c r="AX28">
        <v>229</v>
      </c>
      <c r="AY28">
        <v>232</v>
      </c>
      <c r="AZ28">
        <v>245</v>
      </c>
      <c r="BA28">
        <v>212</v>
      </c>
      <c r="BB28">
        <v>260</v>
      </c>
      <c r="BC28">
        <v>250</v>
      </c>
      <c r="BD28">
        <v>226</v>
      </c>
      <c r="BE28">
        <v>303</v>
      </c>
      <c r="BF28">
        <v>245</v>
      </c>
    </row>
    <row r="30" spans="1:58" x14ac:dyDescent="0.25">
      <c r="A30" t="s">
        <v>702</v>
      </c>
      <c r="C30" s="1" cm="1">
        <f t="array" ref="C30:BF30">C1:BF1</f>
        <v>40969</v>
      </c>
      <c r="D30" s="1">
        <v>41061</v>
      </c>
      <c r="E30" s="1">
        <v>41153</v>
      </c>
      <c r="F30" s="1">
        <v>41244</v>
      </c>
      <c r="G30" s="1">
        <v>41334</v>
      </c>
      <c r="H30" s="1">
        <v>41426</v>
      </c>
      <c r="I30" s="1">
        <v>41518</v>
      </c>
      <c r="J30" s="1">
        <v>41609</v>
      </c>
      <c r="K30" s="1">
        <v>41699</v>
      </c>
      <c r="L30" s="1">
        <v>41791</v>
      </c>
      <c r="M30" s="1">
        <v>41883</v>
      </c>
      <c r="N30" s="1">
        <v>41974</v>
      </c>
      <c r="O30" s="1">
        <v>42064</v>
      </c>
      <c r="P30" s="1">
        <v>42156</v>
      </c>
      <c r="Q30" s="1">
        <v>42248</v>
      </c>
      <c r="R30" s="1">
        <v>42339</v>
      </c>
      <c r="S30" s="1">
        <v>42430</v>
      </c>
      <c r="T30" s="1">
        <v>42522</v>
      </c>
      <c r="U30" s="1">
        <v>42614</v>
      </c>
      <c r="V30" s="1">
        <v>42705</v>
      </c>
      <c r="W30" s="1">
        <v>42795</v>
      </c>
      <c r="X30" s="1">
        <v>42887</v>
      </c>
      <c r="Y30" s="1">
        <v>42979</v>
      </c>
      <c r="Z30" s="1">
        <v>43070</v>
      </c>
      <c r="AA30" s="1">
        <v>43160</v>
      </c>
      <c r="AB30" s="1">
        <v>43252</v>
      </c>
      <c r="AC30" s="1">
        <v>43344</v>
      </c>
      <c r="AD30" s="1">
        <v>43435</v>
      </c>
      <c r="AE30" s="1">
        <v>43525</v>
      </c>
      <c r="AF30" s="1">
        <v>43617</v>
      </c>
      <c r="AG30" s="1">
        <v>43709</v>
      </c>
      <c r="AH30" s="1">
        <v>43800</v>
      </c>
      <c r="AI30" s="1">
        <v>43891</v>
      </c>
      <c r="AJ30" s="1">
        <v>43983</v>
      </c>
      <c r="AK30" s="1">
        <v>44075</v>
      </c>
      <c r="AL30" s="1">
        <v>44166</v>
      </c>
      <c r="AM30" s="1">
        <v>44256</v>
      </c>
      <c r="AN30" s="1">
        <v>44348</v>
      </c>
      <c r="AO30" s="1">
        <v>44440</v>
      </c>
      <c r="AP30" s="1">
        <v>44531</v>
      </c>
      <c r="AQ30" s="1">
        <v>44621</v>
      </c>
      <c r="AR30" s="1">
        <v>44713</v>
      </c>
      <c r="AS30" s="1">
        <v>44805</v>
      </c>
      <c r="AT30" s="1">
        <v>44896</v>
      </c>
      <c r="AU30" s="1">
        <v>44986</v>
      </c>
      <c r="AV30" s="1">
        <v>45078</v>
      </c>
      <c r="AW30" s="1">
        <v>45170</v>
      </c>
      <c r="AX30" s="1">
        <v>45261</v>
      </c>
      <c r="AY30" s="1">
        <v>45352</v>
      </c>
      <c r="AZ30" s="1">
        <v>45444</v>
      </c>
      <c r="BA30" s="1">
        <v>45536</v>
      </c>
      <c r="BB30" s="1">
        <v>45627</v>
      </c>
      <c r="BC30" s="1">
        <v>45717</v>
      </c>
      <c r="BD30" s="1">
        <v>45809</v>
      </c>
      <c r="BE30" s="1">
        <v>45901</v>
      </c>
      <c r="BF30" s="1">
        <v>45992</v>
      </c>
    </row>
    <row r="31" spans="1:58" x14ac:dyDescent="0.25">
      <c r="A31" t="s">
        <v>628</v>
      </c>
      <c r="B31" t="s">
        <v>649</v>
      </c>
      <c r="C31" s="7">
        <f>SUMPRODUCT(C$2:C$6,C$9:C$13)/SUM(C$9:C$13)</f>
        <v>371.39254216308217</v>
      </c>
      <c r="D31" s="7">
        <f t="shared" ref="D31:BF31" si="0">SUMPRODUCT(D$2:D$6,D$9:D$13)/SUM(D$9:D$13)</f>
        <v>365.410989010989</v>
      </c>
      <c r="E31" s="7">
        <f t="shared" si="0"/>
        <v>373.88494045332311</v>
      </c>
      <c r="F31" s="7">
        <f t="shared" si="0"/>
        <v>365.91248303934873</v>
      </c>
      <c r="G31" s="7">
        <f t="shared" si="0"/>
        <v>377.24376079108458</v>
      </c>
      <c r="H31" s="7">
        <f t="shared" si="0"/>
        <v>367.70628473706711</v>
      </c>
      <c r="I31" s="7">
        <f t="shared" si="0"/>
        <v>373.70840546258898</v>
      </c>
      <c r="J31" s="7">
        <f t="shared" si="0"/>
        <v>373.86238126794785</v>
      </c>
      <c r="K31" s="7">
        <f t="shared" si="0"/>
        <v>382.91883752446921</v>
      </c>
      <c r="L31" s="7">
        <f t="shared" si="0"/>
        <v>372.4828252468871</v>
      </c>
      <c r="M31" s="7">
        <f t="shared" si="0"/>
        <v>376.81692222427489</v>
      </c>
      <c r="N31" s="7">
        <f t="shared" si="0"/>
        <v>378.17672682016178</v>
      </c>
      <c r="O31" s="7">
        <f t="shared" si="0"/>
        <v>383.38621679827708</v>
      </c>
      <c r="P31" s="7">
        <f t="shared" si="0"/>
        <v>378.66693116445151</v>
      </c>
      <c r="Q31" s="7">
        <f t="shared" si="0"/>
        <v>379.91553465691396</v>
      </c>
      <c r="R31" s="7">
        <f t="shared" si="0"/>
        <v>379.33762737935012</v>
      </c>
      <c r="S31" s="7">
        <f t="shared" si="0"/>
        <v>392.7373461012312</v>
      </c>
      <c r="T31" s="7">
        <f t="shared" si="0"/>
        <v>380.62956871345028</v>
      </c>
      <c r="U31" s="7">
        <f t="shared" si="0"/>
        <v>381.9736842105263</v>
      </c>
      <c r="V31" s="7">
        <f t="shared" si="0"/>
        <v>400.0148887721142</v>
      </c>
      <c r="W31" s="7">
        <f t="shared" si="0"/>
        <v>403.78747501665555</v>
      </c>
      <c r="X31" s="7">
        <f t="shared" si="0"/>
        <v>382.58409014463507</v>
      </c>
      <c r="Y31" s="7">
        <f t="shared" si="0"/>
        <v>383.55452674897117</v>
      </c>
      <c r="Z31" s="7">
        <f t="shared" si="0"/>
        <v>383.44907026493337</v>
      </c>
      <c r="AA31" s="7">
        <f t="shared" si="0"/>
        <v>405.29803145276588</v>
      </c>
      <c r="AB31" s="7">
        <f t="shared" si="0"/>
        <v>390.59054749649039</v>
      </c>
      <c r="AC31" s="7">
        <f t="shared" si="0"/>
        <v>401.02602905569006</v>
      </c>
      <c r="AD31" s="7">
        <f t="shared" si="0"/>
        <v>399.74854063762911</v>
      </c>
      <c r="AE31" s="7">
        <f t="shared" si="0"/>
        <v>414.52888995444738</v>
      </c>
      <c r="AF31" s="7">
        <f t="shared" si="0"/>
        <v>399.31354964943745</v>
      </c>
      <c r="AG31" s="7">
        <f t="shared" si="0"/>
        <v>407.70040160642571</v>
      </c>
      <c r="AH31" s="7">
        <f t="shared" si="0"/>
        <v>398.31415929203541</v>
      </c>
      <c r="AI31" s="7">
        <f t="shared" si="0"/>
        <v>422.45527452190004</v>
      </c>
      <c r="AJ31" s="7">
        <f t="shared" si="0"/>
        <v>390.56280712530713</v>
      </c>
      <c r="AK31" s="7">
        <f t="shared" si="0"/>
        <v>403.66463414634148</v>
      </c>
      <c r="AL31" s="7">
        <f t="shared" si="0"/>
        <v>408.22685512367491</v>
      </c>
      <c r="AM31" s="7">
        <f t="shared" si="0"/>
        <v>421.41623284429721</v>
      </c>
      <c r="AN31" s="7">
        <f t="shared" si="0"/>
        <v>413.78804347826087</v>
      </c>
      <c r="AO31" s="7">
        <f t="shared" si="0"/>
        <v>431.51789865178989</v>
      </c>
      <c r="AP31" s="7">
        <f t="shared" si="0"/>
        <v>433.07956542578688</v>
      </c>
      <c r="AQ31" s="7">
        <f t="shared" si="0"/>
        <v>446.08034593388197</v>
      </c>
      <c r="AR31" s="7">
        <f t="shared" si="0"/>
        <v>461.9064499394778</v>
      </c>
      <c r="AS31" s="7">
        <f t="shared" si="0"/>
        <v>481.55121951219513</v>
      </c>
      <c r="AT31" s="7">
        <f t="shared" si="0"/>
        <v>498.72424557752339</v>
      </c>
      <c r="AU31" s="7">
        <f t="shared" si="0"/>
        <v>529.66630395357276</v>
      </c>
      <c r="AV31" s="7">
        <f t="shared" si="0"/>
        <v>549.84795321637432</v>
      </c>
      <c r="AW31" s="7">
        <f t="shared" si="0"/>
        <v>569.62572674418607</v>
      </c>
      <c r="AX31" s="7">
        <f t="shared" si="0"/>
        <v>570.99659284497443</v>
      </c>
      <c r="AY31" s="7">
        <f t="shared" si="0"/>
        <v>614.76835236541604</v>
      </c>
      <c r="AZ31" s="7">
        <f t="shared" si="0"/>
        <v>600.74889867841409</v>
      </c>
      <c r="BA31" s="7">
        <f t="shared" si="0"/>
        <v>602.50047465350292</v>
      </c>
      <c r="BB31" s="7">
        <f t="shared" si="0"/>
        <v>620.86740770146889</v>
      </c>
      <c r="BC31" s="7">
        <f t="shared" si="0"/>
        <v>648.04511278195491</v>
      </c>
      <c r="BD31" s="7">
        <f t="shared" si="0"/>
        <v>635.62795275590554</v>
      </c>
      <c r="BE31" s="7">
        <f t="shared" si="0"/>
        <v>646.06879129420906</v>
      </c>
      <c r="BF31" s="7">
        <f t="shared" si="0"/>
        <v>656.57393292682923</v>
      </c>
    </row>
    <row r="32" spans="1:58" x14ac:dyDescent="0.25">
      <c r="A32" t="s">
        <v>628</v>
      </c>
      <c r="B32" t="s">
        <v>652</v>
      </c>
      <c r="C32" s="7">
        <f>SUMPRODUCT(C$17:C$21,C$24:C$28)/SUM(C$24:C$28)</f>
        <v>362.09659335920657</v>
      </c>
      <c r="D32" s="7">
        <f t="shared" ref="D32:BF32" si="1">SUMPRODUCT(D$17:D$21,D$24:D$28)/SUM(D$24:D$28)</f>
        <v>352.71793054571225</v>
      </c>
      <c r="E32" s="7">
        <f t="shared" si="1"/>
        <v>358.10837118754057</v>
      </c>
      <c r="F32" s="7">
        <f t="shared" si="1"/>
        <v>360.26912691269126</v>
      </c>
      <c r="G32" s="7">
        <f t="shared" si="1"/>
        <v>371.55948314272985</v>
      </c>
      <c r="H32" s="7">
        <f t="shared" si="1"/>
        <v>362.18946266573624</v>
      </c>
      <c r="I32" s="7">
        <f t="shared" si="1"/>
        <v>367.98432703183067</v>
      </c>
      <c r="J32" s="7">
        <f t="shared" si="1"/>
        <v>368.57789855072463</v>
      </c>
      <c r="K32" s="7">
        <f t="shared" si="1"/>
        <v>376.53270171149143</v>
      </c>
      <c r="L32" s="7">
        <f t="shared" si="1"/>
        <v>370.15855658829963</v>
      </c>
      <c r="M32" s="7">
        <f t="shared" si="1"/>
        <v>372.53434861777851</v>
      </c>
      <c r="N32" s="7">
        <f t="shared" si="1"/>
        <v>375.41411327762302</v>
      </c>
      <c r="O32" s="7">
        <f t="shared" si="1"/>
        <v>385.76418523786947</v>
      </c>
      <c r="P32" s="7">
        <f t="shared" si="1"/>
        <v>377.69061985737795</v>
      </c>
      <c r="Q32" s="7">
        <f t="shared" si="1"/>
        <v>379.11856602532481</v>
      </c>
      <c r="R32" s="7">
        <f t="shared" si="1"/>
        <v>380.03407899335895</v>
      </c>
      <c r="S32" s="7">
        <f t="shared" si="1"/>
        <v>392.60130922693264</v>
      </c>
      <c r="T32" s="7">
        <f t="shared" si="1"/>
        <v>378.64815491413958</v>
      </c>
      <c r="U32" s="7">
        <f t="shared" si="1"/>
        <v>385.78683710485404</v>
      </c>
      <c r="V32" s="7">
        <f t="shared" si="1"/>
        <v>381.60815402038503</v>
      </c>
      <c r="W32" s="7">
        <f t="shared" si="1"/>
        <v>395.69596520173991</v>
      </c>
      <c r="X32" s="7">
        <f t="shared" si="1"/>
        <v>381.18278631284915</v>
      </c>
      <c r="Y32" s="7">
        <f t="shared" si="1"/>
        <v>382.14948363381762</v>
      </c>
      <c r="Z32" s="7">
        <f t="shared" si="1"/>
        <v>382.47985004686035</v>
      </c>
      <c r="AA32" s="7">
        <f t="shared" si="1"/>
        <v>395.01840588988478</v>
      </c>
      <c r="AB32" s="7">
        <f t="shared" si="1"/>
        <v>384.39705107951551</v>
      </c>
      <c r="AC32" s="7">
        <f t="shared" si="1"/>
        <v>385.65232784563642</v>
      </c>
      <c r="AD32" s="7">
        <f t="shared" si="1"/>
        <v>388.41040462427748</v>
      </c>
      <c r="AE32" s="7">
        <f t="shared" si="1"/>
        <v>400.61833869057688</v>
      </c>
      <c r="AF32" s="7">
        <f t="shared" si="1"/>
        <v>387.90104662226452</v>
      </c>
      <c r="AG32" s="7">
        <f t="shared" si="1"/>
        <v>387.72017184143721</v>
      </c>
      <c r="AH32" s="7">
        <f t="shared" si="1"/>
        <v>397.23078170613041</v>
      </c>
      <c r="AI32" s="7">
        <f t="shared" si="1"/>
        <v>404.26059001512857</v>
      </c>
      <c r="AJ32" s="7">
        <f t="shared" si="1"/>
        <v>388.74624874958317</v>
      </c>
      <c r="AK32" s="7">
        <f t="shared" si="1"/>
        <v>402.53276792598302</v>
      </c>
      <c r="AL32" s="7">
        <f t="shared" si="1"/>
        <v>411.12756952841596</v>
      </c>
      <c r="AM32" s="7">
        <f t="shared" si="1"/>
        <v>424.74896187240466</v>
      </c>
      <c r="AN32" s="7">
        <f t="shared" si="1"/>
        <v>427.69645448890731</v>
      </c>
      <c r="AO32" s="7">
        <f t="shared" si="1"/>
        <v>441.22423742786481</v>
      </c>
      <c r="AP32" s="7">
        <f t="shared" si="1"/>
        <v>453.82841328413286</v>
      </c>
      <c r="AQ32" s="7">
        <f t="shared" si="1"/>
        <v>473.89864728447407</v>
      </c>
      <c r="AR32" s="7">
        <f t="shared" si="1"/>
        <v>494.07716371220022</v>
      </c>
      <c r="AS32" s="7">
        <f t="shared" si="1"/>
        <v>503.0238726790451</v>
      </c>
      <c r="AT32" s="7">
        <f t="shared" si="1"/>
        <v>520.03557927507222</v>
      </c>
      <c r="AU32" s="7">
        <f t="shared" si="1"/>
        <v>541.48725212464592</v>
      </c>
      <c r="AV32" s="7">
        <f t="shared" si="1"/>
        <v>541.47558163906933</v>
      </c>
      <c r="AW32" s="7">
        <f t="shared" si="1"/>
        <v>544.98244889531281</v>
      </c>
      <c r="AX32" s="7">
        <f t="shared" si="1"/>
        <v>568.57050313107322</v>
      </c>
      <c r="AY32" s="7">
        <f t="shared" si="1"/>
        <v>590.23241336376839</v>
      </c>
      <c r="AZ32" s="7">
        <f t="shared" si="1"/>
        <v>588.86416124291418</v>
      </c>
      <c r="BA32" s="7">
        <f t="shared" si="1"/>
        <v>588.05578512396698</v>
      </c>
      <c r="BB32" s="7">
        <f t="shared" si="1"/>
        <v>595.73780741975827</v>
      </c>
      <c r="BC32" s="7">
        <f t="shared" si="1"/>
        <v>611.98415881291362</v>
      </c>
      <c r="BD32" s="7">
        <f t="shared" si="1"/>
        <v>616.56766687078994</v>
      </c>
      <c r="BE32" s="7">
        <f t="shared" si="1"/>
        <v>628.71047430830038</v>
      </c>
      <c r="BF32" s="7">
        <f t="shared" si="1"/>
        <v>640.07833920877397</v>
      </c>
    </row>
  </sheetData>
  <phoneticPr fontId="2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E7165-60BA-4D85-B2EF-283D3A47E856}">
  <sheetPr>
    <tabColor rgb="FFFF0000"/>
  </sheetPr>
  <dimension ref="A1:E2117"/>
  <sheetViews>
    <sheetView workbookViewId="0">
      <selection activeCell="B2" sqref="B2"/>
    </sheetView>
  </sheetViews>
  <sheetFormatPr defaultRowHeight="15" x14ac:dyDescent="0.25"/>
  <cols>
    <col min="2" max="2" width="10.42578125" bestFit="1" customWidth="1"/>
  </cols>
  <sheetData>
    <row r="1" spans="1:5" x14ac:dyDescent="0.25">
      <c r="A1" t="s">
        <v>767</v>
      </c>
      <c r="B1" t="s">
        <v>63</v>
      </c>
      <c r="C1" t="s">
        <v>37</v>
      </c>
      <c r="D1" t="s">
        <v>766</v>
      </c>
      <c r="E1" t="s">
        <v>765</v>
      </c>
    </row>
    <row r="2" spans="1:5" x14ac:dyDescent="0.25">
      <c r="A2" t="s">
        <v>635</v>
      </c>
      <c r="B2" s="3">
        <v>38777</v>
      </c>
      <c r="C2" t="s">
        <v>649</v>
      </c>
      <c r="D2">
        <v>220</v>
      </c>
      <c r="E2">
        <v>5586</v>
      </c>
    </row>
    <row r="3" spans="1:5" x14ac:dyDescent="0.25">
      <c r="A3" t="s">
        <v>755</v>
      </c>
      <c r="B3" s="3">
        <v>38777</v>
      </c>
      <c r="C3" t="s">
        <v>649</v>
      </c>
      <c r="D3">
        <v>175</v>
      </c>
      <c r="E3">
        <v>48</v>
      </c>
    </row>
    <row r="4" spans="1:5" x14ac:dyDescent="0.25">
      <c r="A4" t="s">
        <v>754</v>
      </c>
      <c r="B4" s="3">
        <v>38777</v>
      </c>
      <c r="C4" t="s">
        <v>649</v>
      </c>
      <c r="D4">
        <v>270</v>
      </c>
      <c r="E4">
        <v>2570</v>
      </c>
    </row>
    <row r="5" spans="1:5" x14ac:dyDescent="0.25">
      <c r="A5" t="s">
        <v>753</v>
      </c>
      <c r="B5" s="3">
        <v>38777</v>
      </c>
      <c r="C5" t="s">
        <v>649</v>
      </c>
      <c r="D5">
        <v>195</v>
      </c>
      <c r="E5">
        <v>905</v>
      </c>
    </row>
    <row r="6" spans="1:5" x14ac:dyDescent="0.25">
      <c r="A6" t="s">
        <v>752</v>
      </c>
      <c r="B6" s="3">
        <v>38777</v>
      </c>
      <c r="C6" t="s">
        <v>649</v>
      </c>
      <c r="D6">
        <v>185</v>
      </c>
      <c r="E6">
        <v>200</v>
      </c>
    </row>
    <row r="7" spans="1:5" x14ac:dyDescent="0.25">
      <c r="A7" t="s">
        <v>751</v>
      </c>
      <c r="B7" s="3">
        <v>38777</v>
      </c>
      <c r="C7" t="s">
        <v>649</v>
      </c>
      <c r="D7">
        <v>200</v>
      </c>
      <c r="E7">
        <v>155</v>
      </c>
    </row>
    <row r="8" spans="1:5" x14ac:dyDescent="0.25">
      <c r="A8" t="s">
        <v>750</v>
      </c>
      <c r="B8" s="3">
        <v>38777</v>
      </c>
      <c r="C8" t="s">
        <v>649</v>
      </c>
      <c r="D8">
        <v>195</v>
      </c>
      <c r="E8">
        <v>60</v>
      </c>
    </row>
    <row r="9" spans="1:5" x14ac:dyDescent="0.25">
      <c r="A9" t="s">
        <v>749</v>
      </c>
      <c r="B9" s="3">
        <v>38777</v>
      </c>
      <c r="C9" t="s">
        <v>649</v>
      </c>
      <c r="D9">
        <v>195</v>
      </c>
      <c r="E9">
        <v>588</v>
      </c>
    </row>
    <row r="10" spans="1:5" x14ac:dyDescent="0.25">
      <c r="A10" t="s">
        <v>748</v>
      </c>
      <c r="B10" s="3">
        <v>38777</v>
      </c>
      <c r="C10" t="s">
        <v>649</v>
      </c>
      <c r="D10">
        <v>175</v>
      </c>
      <c r="E10">
        <v>66</v>
      </c>
    </row>
    <row r="11" spans="1:5" x14ac:dyDescent="0.25">
      <c r="A11" t="s">
        <v>747</v>
      </c>
      <c r="B11" s="3">
        <v>38777</v>
      </c>
      <c r="C11" t="s">
        <v>649</v>
      </c>
      <c r="D11">
        <v>210</v>
      </c>
      <c r="E11">
        <v>493</v>
      </c>
    </row>
    <row r="12" spans="1:5" x14ac:dyDescent="0.25">
      <c r="A12" t="s">
        <v>746</v>
      </c>
      <c r="B12" s="3">
        <v>38777</v>
      </c>
      <c r="C12" t="s">
        <v>649</v>
      </c>
      <c r="D12">
        <v>185</v>
      </c>
      <c r="E12">
        <v>9</v>
      </c>
    </row>
    <row r="13" spans="1:5" x14ac:dyDescent="0.25">
      <c r="A13" t="s">
        <v>745</v>
      </c>
      <c r="B13" s="3">
        <v>38777</v>
      </c>
      <c r="C13" t="s">
        <v>649</v>
      </c>
      <c r="D13">
        <v>230</v>
      </c>
      <c r="E13">
        <v>479</v>
      </c>
    </row>
    <row r="14" spans="1:5" x14ac:dyDescent="0.25">
      <c r="A14" t="s">
        <v>744</v>
      </c>
      <c r="B14" s="3">
        <v>38777</v>
      </c>
      <c r="C14" t="s">
        <v>649</v>
      </c>
      <c r="D14">
        <v>180</v>
      </c>
      <c r="E14">
        <v>13</v>
      </c>
    </row>
    <row r="15" spans="1:5" x14ac:dyDescent="0.25">
      <c r="A15" t="s">
        <v>743</v>
      </c>
      <c r="B15" s="3">
        <v>38777</v>
      </c>
      <c r="C15" t="s">
        <v>649</v>
      </c>
      <c r="D15">
        <v>120</v>
      </c>
      <c r="E15">
        <v>43</v>
      </c>
    </row>
    <row r="16" spans="1:5" x14ac:dyDescent="0.25">
      <c r="A16" t="s">
        <v>742</v>
      </c>
      <c r="B16" s="3">
        <v>38777</v>
      </c>
      <c r="C16" t="s">
        <v>649</v>
      </c>
      <c r="D16">
        <v>135</v>
      </c>
      <c r="E16">
        <v>31</v>
      </c>
    </row>
    <row r="17" spans="1:5" x14ac:dyDescent="0.25">
      <c r="A17" t="s">
        <v>741</v>
      </c>
      <c r="B17" s="3">
        <v>38777</v>
      </c>
      <c r="C17" t="s">
        <v>649</v>
      </c>
      <c r="D17">
        <v>130</v>
      </c>
      <c r="E17">
        <v>172</v>
      </c>
    </row>
    <row r="18" spans="1:5" x14ac:dyDescent="0.25">
      <c r="A18" t="s">
        <v>740</v>
      </c>
      <c r="B18" s="3">
        <v>38777</v>
      </c>
      <c r="C18" t="s">
        <v>649</v>
      </c>
      <c r="D18">
        <v>155</v>
      </c>
      <c r="E18">
        <v>159</v>
      </c>
    </row>
    <row r="19" spans="1:5" x14ac:dyDescent="0.25">
      <c r="A19" t="s">
        <v>739</v>
      </c>
      <c r="B19" s="3">
        <v>38777</v>
      </c>
      <c r="C19" t="s">
        <v>649</v>
      </c>
      <c r="D19">
        <v>165</v>
      </c>
      <c r="E19">
        <v>1057</v>
      </c>
    </row>
    <row r="20" spans="1:5" x14ac:dyDescent="0.25">
      <c r="A20" t="s">
        <v>738</v>
      </c>
      <c r="B20" s="3">
        <v>38777</v>
      </c>
      <c r="C20" t="s">
        <v>649</v>
      </c>
      <c r="D20">
        <v>110</v>
      </c>
      <c r="E20">
        <v>16</v>
      </c>
    </row>
    <row r="21" spans="1:5" x14ac:dyDescent="0.25">
      <c r="A21" t="s">
        <v>737</v>
      </c>
      <c r="B21" s="3">
        <v>38777</v>
      </c>
      <c r="C21" t="s">
        <v>649</v>
      </c>
      <c r="D21">
        <v>160</v>
      </c>
      <c r="E21">
        <v>57</v>
      </c>
    </row>
    <row r="22" spans="1:5" x14ac:dyDescent="0.25">
      <c r="A22" t="s">
        <v>736</v>
      </c>
      <c r="B22" s="3">
        <v>38777</v>
      </c>
      <c r="C22" t="s">
        <v>649</v>
      </c>
      <c r="D22">
        <v>135</v>
      </c>
      <c r="E22">
        <v>26</v>
      </c>
    </row>
    <row r="23" spans="1:5" x14ac:dyDescent="0.25">
      <c r="A23" t="s">
        <v>735</v>
      </c>
      <c r="B23" s="3">
        <v>38777</v>
      </c>
      <c r="C23" t="s">
        <v>649</v>
      </c>
      <c r="D23">
        <v>160</v>
      </c>
      <c r="E23">
        <v>199</v>
      </c>
    </row>
    <row r="24" spans="1:5" x14ac:dyDescent="0.25">
      <c r="A24" t="s">
        <v>763</v>
      </c>
      <c r="B24" s="3">
        <v>38777</v>
      </c>
      <c r="C24" t="s">
        <v>649</v>
      </c>
      <c r="D24">
        <v>140</v>
      </c>
      <c r="E24">
        <v>83</v>
      </c>
    </row>
    <row r="25" spans="1:5" x14ac:dyDescent="0.25">
      <c r="A25" t="s">
        <v>762</v>
      </c>
      <c r="B25" s="3">
        <v>38777</v>
      </c>
      <c r="C25" t="s">
        <v>649</v>
      </c>
      <c r="D25">
        <v>240</v>
      </c>
      <c r="E25">
        <v>2469</v>
      </c>
    </row>
    <row r="26" spans="1:5" x14ac:dyDescent="0.25">
      <c r="A26" t="s">
        <v>733</v>
      </c>
      <c r="B26" s="3">
        <v>38777</v>
      </c>
      <c r="C26" t="s">
        <v>649</v>
      </c>
      <c r="D26">
        <v>220</v>
      </c>
      <c r="E26">
        <v>207</v>
      </c>
    </row>
    <row r="27" spans="1:5" x14ac:dyDescent="0.25">
      <c r="A27" t="s">
        <v>732</v>
      </c>
      <c r="B27" s="3">
        <v>38777</v>
      </c>
      <c r="C27" t="s">
        <v>649</v>
      </c>
      <c r="D27">
        <v>250</v>
      </c>
      <c r="E27">
        <v>1748</v>
      </c>
    </row>
    <row r="28" spans="1:5" x14ac:dyDescent="0.25">
      <c r="A28" t="s">
        <v>731</v>
      </c>
      <c r="B28" s="3">
        <v>38777</v>
      </c>
      <c r="C28" t="s">
        <v>649</v>
      </c>
      <c r="D28">
        <v>215</v>
      </c>
      <c r="E28">
        <v>423</v>
      </c>
    </row>
    <row r="29" spans="1:5" x14ac:dyDescent="0.25">
      <c r="A29" t="s">
        <v>730</v>
      </c>
      <c r="B29" s="3">
        <v>38777</v>
      </c>
      <c r="C29" t="s">
        <v>649</v>
      </c>
      <c r="D29">
        <v>195</v>
      </c>
      <c r="E29">
        <v>91</v>
      </c>
    </row>
    <row r="30" spans="1:5" x14ac:dyDescent="0.25">
      <c r="A30" t="s">
        <v>729</v>
      </c>
      <c r="B30" s="3">
        <v>38777</v>
      </c>
      <c r="C30" t="s">
        <v>649</v>
      </c>
      <c r="D30">
        <v>125</v>
      </c>
      <c r="E30">
        <v>38</v>
      </c>
    </row>
    <row r="31" spans="1:5" x14ac:dyDescent="0.25">
      <c r="A31" t="s">
        <v>728</v>
      </c>
      <c r="B31" s="3">
        <v>38777</v>
      </c>
      <c r="C31" t="s">
        <v>649</v>
      </c>
      <c r="D31">
        <v>160</v>
      </c>
      <c r="E31">
        <v>135</v>
      </c>
    </row>
    <row r="32" spans="1:5" x14ac:dyDescent="0.25">
      <c r="A32" t="s">
        <v>727</v>
      </c>
      <c r="B32" s="3">
        <v>38777</v>
      </c>
      <c r="C32" t="s">
        <v>649</v>
      </c>
      <c r="D32">
        <v>145</v>
      </c>
      <c r="E32">
        <v>164</v>
      </c>
    </row>
    <row r="33" spans="1:5" x14ac:dyDescent="0.25">
      <c r="A33" t="s">
        <v>726</v>
      </c>
      <c r="B33" s="3">
        <v>38777</v>
      </c>
      <c r="C33" t="s">
        <v>649</v>
      </c>
      <c r="D33">
        <v>115</v>
      </c>
      <c r="E33">
        <v>41</v>
      </c>
    </row>
    <row r="34" spans="1:5" x14ac:dyDescent="0.25">
      <c r="A34" t="s">
        <v>725</v>
      </c>
      <c r="B34" s="3">
        <v>38777</v>
      </c>
      <c r="C34" t="s">
        <v>649</v>
      </c>
      <c r="D34">
        <v>145</v>
      </c>
      <c r="E34">
        <v>294</v>
      </c>
    </row>
    <row r="35" spans="1:5" x14ac:dyDescent="0.25">
      <c r="A35" t="s">
        <v>724</v>
      </c>
      <c r="B35" s="3">
        <v>38777</v>
      </c>
      <c r="C35" t="s">
        <v>649</v>
      </c>
      <c r="D35">
        <v>140</v>
      </c>
      <c r="E35">
        <v>319</v>
      </c>
    </row>
    <row r="36" spans="1:5" x14ac:dyDescent="0.25">
      <c r="A36" t="s">
        <v>723</v>
      </c>
      <c r="B36" s="3">
        <v>38777</v>
      </c>
      <c r="C36" t="s">
        <v>649</v>
      </c>
      <c r="D36">
        <v>105</v>
      </c>
      <c r="E36">
        <v>34</v>
      </c>
    </row>
    <row r="37" spans="1:5" x14ac:dyDescent="0.25">
      <c r="A37" t="s">
        <v>722</v>
      </c>
      <c r="B37" s="3">
        <v>38777</v>
      </c>
      <c r="C37" t="s">
        <v>649</v>
      </c>
      <c r="D37">
        <v>120</v>
      </c>
      <c r="E37">
        <v>70</v>
      </c>
    </row>
    <row r="38" spans="1:5" x14ac:dyDescent="0.25">
      <c r="A38" t="s">
        <v>721</v>
      </c>
      <c r="B38" s="3">
        <v>38777</v>
      </c>
      <c r="C38" t="s">
        <v>649</v>
      </c>
      <c r="D38">
        <v>140</v>
      </c>
      <c r="E38">
        <v>109</v>
      </c>
    </row>
    <row r="39" spans="1:5" x14ac:dyDescent="0.25">
      <c r="A39" t="s">
        <v>720</v>
      </c>
      <c r="B39" s="3">
        <v>38777</v>
      </c>
      <c r="C39" t="s">
        <v>649</v>
      </c>
      <c r="D39">
        <v>150</v>
      </c>
      <c r="E39">
        <v>53</v>
      </c>
    </row>
    <row r="40" spans="1:5" x14ac:dyDescent="0.25">
      <c r="A40" t="s">
        <v>719</v>
      </c>
      <c r="B40" s="3">
        <v>38777</v>
      </c>
      <c r="C40" t="s">
        <v>649</v>
      </c>
      <c r="D40">
        <v>165</v>
      </c>
      <c r="E40">
        <v>58</v>
      </c>
    </row>
    <row r="41" spans="1:5" x14ac:dyDescent="0.25">
      <c r="A41" t="s">
        <v>718</v>
      </c>
      <c r="B41" s="3">
        <v>38777</v>
      </c>
      <c r="C41" t="s">
        <v>649</v>
      </c>
      <c r="D41">
        <v>160</v>
      </c>
      <c r="E41">
        <v>182</v>
      </c>
    </row>
    <row r="42" spans="1:5" x14ac:dyDescent="0.25">
      <c r="A42" t="s">
        <v>717</v>
      </c>
      <c r="B42" s="3">
        <v>38777</v>
      </c>
      <c r="C42" t="s">
        <v>649</v>
      </c>
      <c r="D42">
        <v>195</v>
      </c>
      <c r="E42">
        <v>97</v>
      </c>
    </row>
    <row r="43" spans="1:5" x14ac:dyDescent="0.25">
      <c r="A43" t="s">
        <v>716</v>
      </c>
      <c r="B43" s="3">
        <v>38777</v>
      </c>
      <c r="C43" t="s">
        <v>649</v>
      </c>
      <c r="D43">
        <v>125</v>
      </c>
      <c r="E43">
        <v>298</v>
      </c>
    </row>
    <row r="44" spans="1:5" x14ac:dyDescent="0.25">
      <c r="A44" t="s">
        <v>715</v>
      </c>
      <c r="B44" s="3">
        <v>38777</v>
      </c>
      <c r="C44" t="s">
        <v>649</v>
      </c>
      <c r="D44">
        <v>100</v>
      </c>
      <c r="E44">
        <v>35</v>
      </c>
    </row>
    <row r="45" spans="1:5" x14ac:dyDescent="0.25">
      <c r="A45" t="s">
        <v>714</v>
      </c>
      <c r="B45" s="3">
        <v>38777</v>
      </c>
      <c r="C45" t="s">
        <v>649</v>
      </c>
      <c r="D45">
        <v>195</v>
      </c>
      <c r="E45">
        <v>935</v>
      </c>
    </row>
    <row r="46" spans="1:5" x14ac:dyDescent="0.25">
      <c r="A46" t="s">
        <v>761</v>
      </c>
      <c r="B46" s="3">
        <v>38777</v>
      </c>
      <c r="C46" t="s">
        <v>649</v>
      </c>
      <c r="D46">
        <v>200</v>
      </c>
      <c r="E46">
        <v>215</v>
      </c>
    </row>
    <row r="47" spans="1:5" x14ac:dyDescent="0.25">
      <c r="A47" t="s">
        <v>760</v>
      </c>
      <c r="B47" s="3">
        <v>38777</v>
      </c>
      <c r="C47" t="s">
        <v>649</v>
      </c>
      <c r="D47">
        <v>190</v>
      </c>
      <c r="E47">
        <v>595</v>
      </c>
    </row>
    <row r="48" spans="1:5" x14ac:dyDescent="0.25">
      <c r="A48" t="s">
        <v>759</v>
      </c>
      <c r="B48" s="3">
        <v>38777</v>
      </c>
      <c r="C48" t="s">
        <v>649</v>
      </c>
      <c r="D48">
        <v>210</v>
      </c>
      <c r="E48">
        <v>125</v>
      </c>
    </row>
    <row r="49" spans="1:5" x14ac:dyDescent="0.25">
      <c r="A49" t="s">
        <v>758</v>
      </c>
      <c r="B49" s="3">
        <v>38777</v>
      </c>
      <c r="C49" t="s">
        <v>649</v>
      </c>
      <c r="D49">
        <v>140</v>
      </c>
      <c r="E49">
        <v>93</v>
      </c>
    </row>
    <row r="50" spans="1:5" x14ac:dyDescent="0.25">
      <c r="A50" t="s">
        <v>710</v>
      </c>
      <c r="B50" s="3">
        <v>38777</v>
      </c>
      <c r="C50" t="s">
        <v>649</v>
      </c>
      <c r="D50">
        <v>140</v>
      </c>
      <c r="E50">
        <v>502</v>
      </c>
    </row>
    <row r="51" spans="1:5" x14ac:dyDescent="0.25">
      <c r="A51" t="s">
        <v>709</v>
      </c>
      <c r="B51" s="3">
        <v>38777</v>
      </c>
      <c r="C51" t="s">
        <v>649</v>
      </c>
      <c r="D51">
        <v>165</v>
      </c>
      <c r="E51">
        <v>837</v>
      </c>
    </row>
    <row r="52" spans="1:5" x14ac:dyDescent="0.25">
      <c r="A52" t="s">
        <v>708</v>
      </c>
      <c r="B52" s="3">
        <v>38777</v>
      </c>
      <c r="C52" t="s">
        <v>649</v>
      </c>
      <c r="D52">
        <v>130</v>
      </c>
      <c r="E52">
        <v>40</v>
      </c>
    </row>
    <row r="53" spans="1:5" x14ac:dyDescent="0.25">
      <c r="A53" t="s">
        <v>635</v>
      </c>
      <c r="B53" s="3">
        <v>38777</v>
      </c>
      <c r="C53" t="s">
        <v>652</v>
      </c>
      <c r="D53">
        <v>245</v>
      </c>
      <c r="E53">
        <v>4202</v>
      </c>
    </row>
    <row r="54" spans="1:5" x14ac:dyDescent="0.25">
      <c r="A54" t="s">
        <v>755</v>
      </c>
      <c r="B54" s="3">
        <v>38777</v>
      </c>
      <c r="C54" t="s">
        <v>652</v>
      </c>
      <c r="D54">
        <v>230</v>
      </c>
      <c r="E54">
        <v>179</v>
      </c>
    </row>
    <row r="55" spans="1:5" x14ac:dyDescent="0.25">
      <c r="A55" t="s">
        <v>754</v>
      </c>
      <c r="B55" s="3">
        <v>38777</v>
      </c>
      <c r="C55" t="s">
        <v>652</v>
      </c>
      <c r="D55">
        <v>300</v>
      </c>
      <c r="E55">
        <v>524</v>
      </c>
    </row>
    <row r="56" spans="1:5" x14ac:dyDescent="0.25">
      <c r="A56" t="s">
        <v>753</v>
      </c>
      <c r="B56" s="3">
        <v>38777</v>
      </c>
      <c r="C56" t="s">
        <v>652</v>
      </c>
      <c r="D56">
        <v>255</v>
      </c>
      <c r="E56">
        <v>466</v>
      </c>
    </row>
    <row r="57" spans="1:5" x14ac:dyDescent="0.25">
      <c r="A57" t="s">
        <v>752</v>
      </c>
      <c r="B57" s="3">
        <v>38777</v>
      </c>
      <c r="C57" t="s">
        <v>652</v>
      </c>
      <c r="D57">
        <v>230</v>
      </c>
      <c r="E57">
        <v>433</v>
      </c>
    </row>
    <row r="58" spans="1:5" x14ac:dyDescent="0.25">
      <c r="A58" t="s">
        <v>751</v>
      </c>
      <c r="B58" s="3">
        <v>38777</v>
      </c>
      <c r="C58" t="s">
        <v>652</v>
      </c>
      <c r="D58">
        <v>280</v>
      </c>
      <c r="E58">
        <v>233</v>
      </c>
    </row>
    <row r="59" spans="1:5" x14ac:dyDescent="0.25">
      <c r="A59" t="s">
        <v>750</v>
      </c>
      <c r="B59" s="3">
        <v>38777</v>
      </c>
      <c r="C59" t="s">
        <v>652</v>
      </c>
      <c r="D59">
        <v>240</v>
      </c>
      <c r="E59">
        <v>294</v>
      </c>
    </row>
    <row r="60" spans="1:5" x14ac:dyDescent="0.25">
      <c r="A60" t="s">
        <v>749</v>
      </c>
      <c r="B60" s="3">
        <v>38777</v>
      </c>
      <c r="C60" t="s">
        <v>652</v>
      </c>
      <c r="D60">
        <v>240</v>
      </c>
      <c r="E60">
        <v>446</v>
      </c>
    </row>
    <row r="61" spans="1:5" x14ac:dyDescent="0.25">
      <c r="A61" t="s">
        <v>748</v>
      </c>
      <c r="B61" s="3">
        <v>38777</v>
      </c>
      <c r="C61" t="s">
        <v>652</v>
      </c>
      <c r="D61">
        <v>220</v>
      </c>
      <c r="E61">
        <v>389</v>
      </c>
    </row>
    <row r="62" spans="1:5" x14ac:dyDescent="0.25">
      <c r="A62" t="s">
        <v>747</v>
      </c>
      <c r="B62" s="3">
        <v>38777</v>
      </c>
      <c r="C62" t="s">
        <v>652</v>
      </c>
      <c r="D62">
        <v>265</v>
      </c>
      <c r="E62">
        <v>466</v>
      </c>
    </row>
    <row r="63" spans="1:5" x14ac:dyDescent="0.25">
      <c r="A63" t="s">
        <v>746</v>
      </c>
      <c r="B63" s="3">
        <v>38777</v>
      </c>
      <c r="C63" t="s">
        <v>652</v>
      </c>
      <c r="D63">
        <v>240</v>
      </c>
      <c r="E63">
        <v>68</v>
      </c>
    </row>
    <row r="64" spans="1:5" x14ac:dyDescent="0.25">
      <c r="A64" t="s">
        <v>745</v>
      </c>
      <c r="B64" s="3">
        <v>38777</v>
      </c>
      <c r="C64" t="s">
        <v>652</v>
      </c>
      <c r="D64">
        <v>250</v>
      </c>
      <c r="E64">
        <v>212</v>
      </c>
    </row>
    <row r="65" spans="1:5" x14ac:dyDescent="0.25">
      <c r="A65" t="s">
        <v>744</v>
      </c>
      <c r="B65" s="3">
        <v>38777</v>
      </c>
      <c r="C65" t="s">
        <v>652</v>
      </c>
      <c r="D65">
        <v>220</v>
      </c>
      <c r="E65">
        <v>492</v>
      </c>
    </row>
    <row r="66" spans="1:5" x14ac:dyDescent="0.25">
      <c r="A66" t="s">
        <v>743</v>
      </c>
      <c r="B66" s="3">
        <v>38777</v>
      </c>
      <c r="C66" t="s">
        <v>652</v>
      </c>
      <c r="D66">
        <v>165</v>
      </c>
      <c r="E66">
        <v>56</v>
      </c>
    </row>
    <row r="67" spans="1:5" x14ac:dyDescent="0.25">
      <c r="A67" t="s">
        <v>742</v>
      </c>
      <c r="B67" s="3">
        <v>38777</v>
      </c>
      <c r="C67" t="s">
        <v>652</v>
      </c>
      <c r="D67">
        <v>210</v>
      </c>
      <c r="E67">
        <v>113</v>
      </c>
    </row>
    <row r="68" spans="1:5" x14ac:dyDescent="0.25">
      <c r="A68" t="s">
        <v>741</v>
      </c>
      <c r="B68" s="3">
        <v>38777</v>
      </c>
      <c r="C68" t="s">
        <v>652</v>
      </c>
      <c r="D68">
        <v>180</v>
      </c>
      <c r="E68">
        <v>338</v>
      </c>
    </row>
    <row r="69" spans="1:5" x14ac:dyDescent="0.25">
      <c r="A69" t="s">
        <v>740</v>
      </c>
      <c r="B69" s="3">
        <v>38777</v>
      </c>
      <c r="C69" t="s">
        <v>652</v>
      </c>
      <c r="D69">
        <v>195</v>
      </c>
      <c r="E69">
        <v>597</v>
      </c>
    </row>
    <row r="70" spans="1:5" x14ac:dyDescent="0.25">
      <c r="A70" t="s">
        <v>739</v>
      </c>
      <c r="B70" s="3">
        <v>38777</v>
      </c>
      <c r="C70" t="s">
        <v>652</v>
      </c>
      <c r="D70">
        <v>230</v>
      </c>
      <c r="E70">
        <v>611</v>
      </c>
    </row>
    <row r="71" spans="1:5" x14ac:dyDescent="0.25">
      <c r="A71" t="s">
        <v>738</v>
      </c>
      <c r="B71" s="3">
        <v>38777</v>
      </c>
      <c r="C71" t="s">
        <v>652</v>
      </c>
      <c r="D71">
        <v>170</v>
      </c>
      <c r="E71">
        <v>53</v>
      </c>
    </row>
    <row r="72" spans="1:5" x14ac:dyDescent="0.25">
      <c r="A72" t="s">
        <v>737</v>
      </c>
      <c r="B72" s="3">
        <v>38777</v>
      </c>
      <c r="C72" t="s">
        <v>652</v>
      </c>
      <c r="D72">
        <v>250</v>
      </c>
      <c r="E72">
        <v>62</v>
      </c>
    </row>
    <row r="73" spans="1:5" x14ac:dyDescent="0.25">
      <c r="A73" t="s">
        <v>736</v>
      </c>
      <c r="B73" s="3">
        <v>38777</v>
      </c>
      <c r="C73" t="s">
        <v>652</v>
      </c>
      <c r="D73">
        <v>165</v>
      </c>
      <c r="E73">
        <v>57</v>
      </c>
    </row>
    <row r="74" spans="1:5" x14ac:dyDescent="0.25">
      <c r="A74" t="s">
        <v>735</v>
      </c>
      <c r="B74" s="3">
        <v>38777</v>
      </c>
      <c r="C74" t="s">
        <v>652</v>
      </c>
      <c r="D74">
        <v>220</v>
      </c>
      <c r="E74">
        <v>228</v>
      </c>
    </row>
    <row r="75" spans="1:5" x14ac:dyDescent="0.25">
      <c r="A75" t="s">
        <v>763</v>
      </c>
      <c r="B75" s="3">
        <v>38777</v>
      </c>
      <c r="C75" t="s">
        <v>652</v>
      </c>
      <c r="D75">
        <v>200</v>
      </c>
      <c r="E75">
        <v>230</v>
      </c>
    </row>
    <row r="76" spans="1:5" x14ac:dyDescent="0.25">
      <c r="A76" t="s">
        <v>762</v>
      </c>
      <c r="B76" s="3">
        <v>38777</v>
      </c>
      <c r="C76" t="s">
        <v>652</v>
      </c>
      <c r="D76">
        <v>285</v>
      </c>
      <c r="E76">
        <v>1260</v>
      </c>
    </row>
    <row r="77" spans="1:5" x14ac:dyDescent="0.25">
      <c r="A77" t="s">
        <v>733</v>
      </c>
      <c r="B77" s="3">
        <v>38777</v>
      </c>
      <c r="C77" t="s">
        <v>652</v>
      </c>
      <c r="D77">
        <v>280</v>
      </c>
      <c r="E77">
        <v>223</v>
      </c>
    </row>
    <row r="78" spans="1:5" x14ac:dyDescent="0.25">
      <c r="A78" t="s">
        <v>732</v>
      </c>
      <c r="B78" s="3">
        <v>38777</v>
      </c>
      <c r="C78" t="s">
        <v>652</v>
      </c>
      <c r="D78">
        <v>300</v>
      </c>
      <c r="E78">
        <v>649</v>
      </c>
    </row>
    <row r="79" spans="1:5" x14ac:dyDescent="0.25">
      <c r="A79" t="s">
        <v>731</v>
      </c>
      <c r="B79" s="3">
        <v>38777</v>
      </c>
      <c r="C79" t="s">
        <v>652</v>
      </c>
      <c r="D79">
        <v>295</v>
      </c>
      <c r="E79">
        <v>126</v>
      </c>
    </row>
    <row r="80" spans="1:5" x14ac:dyDescent="0.25">
      <c r="A80" t="s">
        <v>730</v>
      </c>
      <c r="B80" s="3">
        <v>38777</v>
      </c>
      <c r="C80" t="s">
        <v>652</v>
      </c>
      <c r="D80">
        <v>266</v>
      </c>
      <c r="E80">
        <v>262</v>
      </c>
    </row>
    <row r="81" spans="1:5" x14ac:dyDescent="0.25">
      <c r="A81" t="s">
        <v>729</v>
      </c>
      <c r="B81" s="3">
        <v>38777</v>
      </c>
      <c r="C81" t="s">
        <v>652</v>
      </c>
      <c r="D81">
        <v>175</v>
      </c>
      <c r="E81">
        <v>148</v>
      </c>
    </row>
    <row r="82" spans="1:5" x14ac:dyDescent="0.25">
      <c r="A82" t="s">
        <v>728</v>
      </c>
      <c r="B82" s="3">
        <v>38777</v>
      </c>
      <c r="C82" t="s">
        <v>652</v>
      </c>
      <c r="D82">
        <v>200</v>
      </c>
      <c r="E82">
        <v>265</v>
      </c>
    </row>
    <row r="83" spans="1:5" x14ac:dyDescent="0.25">
      <c r="A83" t="s">
        <v>727</v>
      </c>
      <c r="B83" s="3">
        <v>38777</v>
      </c>
      <c r="C83" t="s">
        <v>652</v>
      </c>
      <c r="D83">
        <v>180</v>
      </c>
      <c r="E83">
        <v>668</v>
      </c>
    </row>
    <row r="84" spans="1:5" x14ac:dyDescent="0.25">
      <c r="A84" t="s">
        <v>726</v>
      </c>
      <c r="B84" s="3">
        <v>38777</v>
      </c>
      <c r="C84" t="s">
        <v>652</v>
      </c>
      <c r="D84">
        <v>155</v>
      </c>
      <c r="E84">
        <v>69</v>
      </c>
    </row>
    <row r="85" spans="1:5" x14ac:dyDescent="0.25">
      <c r="A85" t="s">
        <v>725</v>
      </c>
      <c r="B85" s="3">
        <v>38777</v>
      </c>
      <c r="C85" t="s">
        <v>652</v>
      </c>
      <c r="D85">
        <v>200</v>
      </c>
      <c r="E85">
        <v>812</v>
      </c>
    </row>
    <row r="86" spans="1:5" x14ac:dyDescent="0.25">
      <c r="A86" t="s">
        <v>724</v>
      </c>
      <c r="B86" s="3">
        <v>38777</v>
      </c>
      <c r="C86" t="s">
        <v>652</v>
      </c>
      <c r="D86">
        <v>200</v>
      </c>
      <c r="E86">
        <v>404</v>
      </c>
    </row>
    <row r="87" spans="1:5" x14ac:dyDescent="0.25">
      <c r="A87" t="s">
        <v>723</v>
      </c>
      <c r="B87" s="3">
        <v>38777</v>
      </c>
      <c r="C87" t="s">
        <v>652</v>
      </c>
      <c r="D87">
        <v>155</v>
      </c>
      <c r="E87">
        <v>46</v>
      </c>
    </row>
    <row r="88" spans="1:5" x14ac:dyDescent="0.25">
      <c r="A88" t="s">
        <v>722</v>
      </c>
      <c r="B88" s="3">
        <v>38777</v>
      </c>
      <c r="C88" t="s">
        <v>652</v>
      </c>
      <c r="D88">
        <v>175</v>
      </c>
      <c r="E88">
        <v>131</v>
      </c>
    </row>
    <row r="89" spans="1:5" x14ac:dyDescent="0.25">
      <c r="A89" t="s">
        <v>721</v>
      </c>
      <c r="B89" s="3">
        <v>38777</v>
      </c>
      <c r="C89" t="s">
        <v>652</v>
      </c>
      <c r="D89">
        <v>200</v>
      </c>
      <c r="E89">
        <v>91</v>
      </c>
    </row>
    <row r="90" spans="1:5" x14ac:dyDescent="0.25">
      <c r="A90" t="s">
        <v>720</v>
      </c>
      <c r="B90" s="3">
        <v>38777</v>
      </c>
      <c r="C90" t="s">
        <v>652</v>
      </c>
      <c r="D90">
        <v>230</v>
      </c>
      <c r="E90">
        <v>97</v>
      </c>
    </row>
    <row r="91" spans="1:5" x14ac:dyDescent="0.25">
      <c r="A91" t="s">
        <v>719</v>
      </c>
      <c r="B91" s="3">
        <v>38777</v>
      </c>
      <c r="C91" t="s">
        <v>652</v>
      </c>
      <c r="D91">
        <v>220</v>
      </c>
      <c r="E91">
        <v>390</v>
      </c>
    </row>
    <row r="92" spans="1:5" x14ac:dyDescent="0.25">
      <c r="A92" t="s">
        <v>718</v>
      </c>
      <c r="B92" s="3">
        <v>38777</v>
      </c>
      <c r="C92" t="s">
        <v>652</v>
      </c>
      <c r="D92">
        <v>210</v>
      </c>
      <c r="E92">
        <v>287</v>
      </c>
    </row>
    <row r="93" spans="1:5" x14ac:dyDescent="0.25">
      <c r="A93" t="s">
        <v>717</v>
      </c>
      <c r="B93" s="3">
        <v>38777</v>
      </c>
      <c r="C93" t="s">
        <v>652</v>
      </c>
      <c r="D93">
        <v>225</v>
      </c>
      <c r="E93">
        <v>393</v>
      </c>
    </row>
    <row r="94" spans="1:5" x14ac:dyDescent="0.25">
      <c r="A94" t="s">
        <v>716</v>
      </c>
      <c r="B94" s="3">
        <v>38777</v>
      </c>
      <c r="C94" t="s">
        <v>652</v>
      </c>
      <c r="D94">
        <v>160</v>
      </c>
      <c r="E94">
        <v>363</v>
      </c>
    </row>
    <row r="95" spans="1:5" x14ac:dyDescent="0.25">
      <c r="A95" t="s">
        <v>715</v>
      </c>
      <c r="B95" s="3">
        <v>38777</v>
      </c>
      <c r="C95" t="s">
        <v>652</v>
      </c>
      <c r="D95">
        <v>160</v>
      </c>
      <c r="E95">
        <v>33</v>
      </c>
    </row>
    <row r="96" spans="1:5" x14ac:dyDescent="0.25">
      <c r="A96" t="s">
        <v>714</v>
      </c>
      <c r="B96" s="3">
        <v>38777</v>
      </c>
      <c r="C96" t="s">
        <v>652</v>
      </c>
      <c r="D96">
        <v>250</v>
      </c>
      <c r="E96">
        <v>1014</v>
      </c>
    </row>
    <row r="97" spans="1:5" x14ac:dyDescent="0.25">
      <c r="A97" t="s">
        <v>761</v>
      </c>
      <c r="B97" s="3">
        <v>38777</v>
      </c>
      <c r="C97" t="s">
        <v>652</v>
      </c>
      <c r="D97">
        <v>260</v>
      </c>
      <c r="E97">
        <v>304</v>
      </c>
    </row>
    <row r="98" spans="1:5" x14ac:dyDescent="0.25">
      <c r="A98" t="s">
        <v>760</v>
      </c>
      <c r="B98" s="3">
        <v>38777</v>
      </c>
      <c r="C98" t="s">
        <v>652</v>
      </c>
      <c r="D98">
        <v>250</v>
      </c>
      <c r="E98">
        <v>555</v>
      </c>
    </row>
    <row r="99" spans="1:5" x14ac:dyDescent="0.25">
      <c r="A99" t="s">
        <v>759</v>
      </c>
      <c r="B99" s="3">
        <v>38777</v>
      </c>
      <c r="C99" t="s">
        <v>652</v>
      </c>
      <c r="D99">
        <v>240</v>
      </c>
      <c r="E99">
        <v>155</v>
      </c>
    </row>
    <row r="100" spans="1:5" x14ac:dyDescent="0.25">
      <c r="A100" t="s">
        <v>758</v>
      </c>
      <c r="B100" s="3">
        <v>38777</v>
      </c>
      <c r="C100" t="s">
        <v>652</v>
      </c>
      <c r="D100">
        <v>210</v>
      </c>
      <c r="E100">
        <v>281</v>
      </c>
    </row>
    <row r="101" spans="1:5" x14ac:dyDescent="0.25">
      <c r="A101" t="s">
        <v>710</v>
      </c>
      <c r="B101" s="3">
        <v>38777</v>
      </c>
      <c r="C101" t="s">
        <v>652</v>
      </c>
      <c r="D101">
        <v>190</v>
      </c>
      <c r="E101">
        <v>595</v>
      </c>
    </row>
    <row r="102" spans="1:5" x14ac:dyDescent="0.25">
      <c r="A102" t="s">
        <v>709</v>
      </c>
      <c r="B102" s="3">
        <v>38777</v>
      </c>
      <c r="C102" t="s">
        <v>652</v>
      </c>
      <c r="D102">
        <v>215</v>
      </c>
      <c r="E102">
        <v>520</v>
      </c>
    </row>
    <row r="103" spans="1:5" x14ac:dyDescent="0.25">
      <c r="A103" t="s">
        <v>708</v>
      </c>
      <c r="B103" s="3">
        <v>38777</v>
      </c>
      <c r="C103" t="s">
        <v>652</v>
      </c>
      <c r="D103">
        <v>155</v>
      </c>
      <c r="E103">
        <v>107</v>
      </c>
    </row>
    <row r="104" spans="1:5" x14ac:dyDescent="0.25">
      <c r="A104" t="s">
        <v>635</v>
      </c>
      <c r="B104" s="3">
        <v>38869</v>
      </c>
      <c r="C104" t="s">
        <v>649</v>
      </c>
      <c r="D104">
        <v>220</v>
      </c>
      <c r="E104">
        <v>3852</v>
      </c>
    </row>
    <row r="105" spans="1:5" x14ac:dyDescent="0.25">
      <c r="A105" t="s">
        <v>755</v>
      </c>
      <c r="B105" s="3">
        <v>38869</v>
      </c>
      <c r="C105" t="s">
        <v>649</v>
      </c>
      <c r="D105">
        <v>180</v>
      </c>
      <c r="E105">
        <v>60</v>
      </c>
    </row>
    <row r="106" spans="1:5" x14ac:dyDescent="0.25">
      <c r="A106" t="s">
        <v>754</v>
      </c>
      <c r="B106" s="3">
        <v>38869</v>
      </c>
      <c r="C106" t="s">
        <v>649</v>
      </c>
      <c r="D106">
        <v>285</v>
      </c>
      <c r="E106">
        <v>1693</v>
      </c>
    </row>
    <row r="107" spans="1:5" x14ac:dyDescent="0.25">
      <c r="A107" t="s">
        <v>753</v>
      </c>
      <c r="B107" s="3">
        <v>38869</v>
      </c>
      <c r="C107" t="s">
        <v>649</v>
      </c>
      <c r="D107">
        <v>200</v>
      </c>
      <c r="E107">
        <v>747</v>
      </c>
    </row>
    <row r="108" spans="1:5" x14ac:dyDescent="0.25">
      <c r="A108" t="s">
        <v>752</v>
      </c>
      <c r="B108" s="3">
        <v>38869</v>
      </c>
      <c r="C108" t="s">
        <v>649</v>
      </c>
      <c r="D108">
        <v>180</v>
      </c>
      <c r="E108">
        <v>136</v>
      </c>
    </row>
    <row r="109" spans="1:5" x14ac:dyDescent="0.25">
      <c r="A109" t="s">
        <v>751</v>
      </c>
      <c r="B109" s="3">
        <v>38869</v>
      </c>
      <c r="C109" t="s">
        <v>649</v>
      </c>
      <c r="D109">
        <v>210</v>
      </c>
      <c r="E109">
        <v>119</v>
      </c>
    </row>
    <row r="110" spans="1:5" x14ac:dyDescent="0.25">
      <c r="A110" t="s">
        <v>750</v>
      </c>
      <c r="B110" s="3">
        <v>38869</v>
      </c>
      <c r="C110" t="s">
        <v>649</v>
      </c>
      <c r="D110">
        <v>195</v>
      </c>
      <c r="E110">
        <v>50</v>
      </c>
    </row>
    <row r="111" spans="1:5" x14ac:dyDescent="0.25">
      <c r="A111" t="s">
        <v>749</v>
      </c>
      <c r="B111" s="3">
        <v>38869</v>
      </c>
      <c r="C111" t="s">
        <v>649</v>
      </c>
      <c r="D111">
        <v>185</v>
      </c>
      <c r="E111">
        <v>401</v>
      </c>
    </row>
    <row r="112" spans="1:5" x14ac:dyDescent="0.25">
      <c r="A112" t="s">
        <v>748</v>
      </c>
      <c r="B112" s="3">
        <v>38869</v>
      </c>
      <c r="C112" t="s">
        <v>649</v>
      </c>
      <c r="D112">
        <v>180</v>
      </c>
      <c r="E112">
        <v>49</v>
      </c>
    </row>
    <row r="113" spans="1:5" x14ac:dyDescent="0.25">
      <c r="A113" t="s">
        <v>747</v>
      </c>
      <c r="B113" s="3">
        <v>38869</v>
      </c>
      <c r="C113" t="s">
        <v>649</v>
      </c>
      <c r="D113">
        <v>210</v>
      </c>
      <c r="E113">
        <v>377</v>
      </c>
    </row>
    <row r="114" spans="1:5" x14ac:dyDescent="0.25">
      <c r="A114" t="s">
        <v>746</v>
      </c>
      <c r="B114" s="3">
        <v>38869</v>
      </c>
      <c r="C114" t="s">
        <v>649</v>
      </c>
      <c r="D114" t="s">
        <v>764</v>
      </c>
      <c r="E114">
        <v>4</v>
      </c>
    </row>
    <row r="115" spans="1:5" x14ac:dyDescent="0.25">
      <c r="A115" t="s">
        <v>745</v>
      </c>
      <c r="B115" s="3">
        <v>38869</v>
      </c>
      <c r="C115" t="s">
        <v>649</v>
      </c>
      <c r="D115">
        <v>230</v>
      </c>
      <c r="E115">
        <v>199</v>
      </c>
    </row>
    <row r="116" spans="1:5" x14ac:dyDescent="0.25">
      <c r="A116" t="s">
        <v>744</v>
      </c>
      <c r="B116" s="3">
        <v>38869</v>
      </c>
      <c r="C116" t="s">
        <v>649</v>
      </c>
      <c r="D116">
        <v>175</v>
      </c>
      <c r="E116">
        <v>17</v>
      </c>
    </row>
    <row r="117" spans="1:5" x14ac:dyDescent="0.25">
      <c r="A117" t="s">
        <v>743</v>
      </c>
      <c r="B117" s="3">
        <v>38869</v>
      </c>
      <c r="C117" t="s">
        <v>649</v>
      </c>
      <c r="D117">
        <v>120</v>
      </c>
      <c r="E117">
        <v>23</v>
      </c>
    </row>
    <row r="118" spans="1:5" x14ac:dyDescent="0.25">
      <c r="A118" t="s">
        <v>742</v>
      </c>
      <c r="B118" s="3">
        <v>38869</v>
      </c>
      <c r="C118" t="s">
        <v>649</v>
      </c>
      <c r="D118">
        <v>140</v>
      </c>
      <c r="E118">
        <v>26</v>
      </c>
    </row>
    <row r="119" spans="1:5" x14ac:dyDescent="0.25">
      <c r="A119" t="s">
        <v>741</v>
      </c>
      <c r="B119" s="3">
        <v>38869</v>
      </c>
      <c r="C119" t="s">
        <v>649</v>
      </c>
      <c r="D119">
        <v>135</v>
      </c>
      <c r="E119">
        <v>146</v>
      </c>
    </row>
    <row r="120" spans="1:5" x14ac:dyDescent="0.25">
      <c r="A120" t="s">
        <v>740</v>
      </c>
      <c r="B120" s="3">
        <v>38869</v>
      </c>
      <c r="C120" t="s">
        <v>649</v>
      </c>
      <c r="D120">
        <v>155</v>
      </c>
      <c r="E120">
        <v>124</v>
      </c>
    </row>
    <row r="121" spans="1:5" x14ac:dyDescent="0.25">
      <c r="A121" t="s">
        <v>739</v>
      </c>
      <c r="B121" s="3">
        <v>38869</v>
      </c>
      <c r="C121" t="s">
        <v>649</v>
      </c>
      <c r="D121">
        <v>170</v>
      </c>
      <c r="E121">
        <v>852</v>
      </c>
    </row>
    <row r="122" spans="1:5" x14ac:dyDescent="0.25">
      <c r="A122" t="s">
        <v>738</v>
      </c>
      <c r="B122" s="3">
        <v>38869</v>
      </c>
      <c r="C122" t="s">
        <v>649</v>
      </c>
      <c r="D122">
        <v>130</v>
      </c>
      <c r="E122">
        <v>22</v>
      </c>
    </row>
    <row r="123" spans="1:5" x14ac:dyDescent="0.25">
      <c r="A123" t="s">
        <v>737</v>
      </c>
      <c r="B123" s="3">
        <v>38869</v>
      </c>
      <c r="C123" t="s">
        <v>649</v>
      </c>
      <c r="D123">
        <v>165</v>
      </c>
      <c r="E123">
        <v>46</v>
      </c>
    </row>
    <row r="124" spans="1:5" x14ac:dyDescent="0.25">
      <c r="A124" t="s">
        <v>736</v>
      </c>
      <c r="B124" s="3">
        <v>38869</v>
      </c>
      <c r="C124" t="s">
        <v>649</v>
      </c>
      <c r="D124">
        <v>135</v>
      </c>
      <c r="E124">
        <v>17</v>
      </c>
    </row>
    <row r="125" spans="1:5" x14ac:dyDescent="0.25">
      <c r="A125" t="s">
        <v>735</v>
      </c>
      <c r="B125" s="3">
        <v>38869</v>
      </c>
      <c r="C125" t="s">
        <v>649</v>
      </c>
      <c r="D125">
        <v>165</v>
      </c>
      <c r="E125">
        <v>168</v>
      </c>
    </row>
    <row r="126" spans="1:5" x14ac:dyDescent="0.25">
      <c r="A126" t="s">
        <v>763</v>
      </c>
      <c r="B126" s="3">
        <v>38869</v>
      </c>
      <c r="C126" t="s">
        <v>649</v>
      </c>
      <c r="D126">
        <v>145</v>
      </c>
      <c r="E126">
        <v>60</v>
      </c>
    </row>
    <row r="127" spans="1:5" x14ac:dyDescent="0.25">
      <c r="A127" t="s">
        <v>762</v>
      </c>
      <c r="B127" s="3">
        <v>38869</v>
      </c>
      <c r="C127" t="s">
        <v>649</v>
      </c>
      <c r="D127">
        <v>240</v>
      </c>
      <c r="E127">
        <v>2099</v>
      </c>
    </row>
    <row r="128" spans="1:5" x14ac:dyDescent="0.25">
      <c r="A128" t="s">
        <v>733</v>
      </c>
      <c r="B128" s="3">
        <v>38869</v>
      </c>
      <c r="C128" t="s">
        <v>649</v>
      </c>
      <c r="D128">
        <v>230</v>
      </c>
      <c r="E128">
        <v>193</v>
      </c>
    </row>
    <row r="129" spans="1:5" x14ac:dyDescent="0.25">
      <c r="A129" t="s">
        <v>732</v>
      </c>
      <c r="B129" s="3">
        <v>38869</v>
      </c>
      <c r="C129" t="s">
        <v>649</v>
      </c>
      <c r="D129">
        <v>250</v>
      </c>
      <c r="E129">
        <v>1490</v>
      </c>
    </row>
    <row r="130" spans="1:5" x14ac:dyDescent="0.25">
      <c r="A130" t="s">
        <v>731</v>
      </c>
      <c r="B130" s="3">
        <v>38869</v>
      </c>
      <c r="C130" t="s">
        <v>649</v>
      </c>
      <c r="D130">
        <v>215</v>
      </c>
      <c r="E130">
        <v>335</v>
      </c>
    </row>
    <row r="131" spans="1:5" x14ac:dyDescent="0.25">
      <c r="A131" t="s">
        <v>730</v>
      </c>
      <c r="B131" s="3">
        <v>38869</v>
      </c>
      <c r="C131" t="s">
        <v>649</v>
      </c>
      <c r="D131">
        <v>200</v>
      </c>
      <c r="E131">
        <v>81</v>
      </c>
    </row>
    <row r="132" spans="1:5" x14ac:dyDescent="0.25">
      <c r="A132" t="s">
        <v>729</v>
      </c>
      <c r="B132" s="3">
        <v>38869</v>
      </c>
      <c r="C132" t="s">
        <v>649</v>
      </c>
      <c r="D132">
        <v>125</v>
      </c>
      <c r="E132">
        <v>26</v>
      </c>
    </row>
    <row r="133" spans="1:5" x14ac:dyDescent="0.25">
      <c r="A133" t="s">
        <v>728</v>
      </c>
      <c r="B133" s="3">
        <v>38869</v>
      </c>
      <c r="C133" t="s">
        <v>649</v>
      </c>
      <c r="D133">
        <v>165</v>
      </c>
      <c r="E133">
        <v>101</v>
      </c>
    </row>
    <row r="134" spans="1:5" x14ac:dyDescent="0.25">
      <c r="A134" t="s">
        <v>727</v>
      </c>
      <c r="B134" s="3">
        <v>38869</v>
      </c>
      <c r="C134" t="s">
        <v>649</v>
      </c>
      <c r="D134">
        <v>150</v>
      </c>
      <c r="E134">
        <v>195</v>
      </c>
    </row>
    <row r="135" spans="1:5" x14ac:dyDescent="0.25">
      <c r="A135" t="s">
        <v>726</v>
      </c>
      <c r="B135" s="3">
        <v>38869</v>
      </c>
      <c r="C135" t="s">
        <v>649</v>
      </c>
      <c r="D135">
        <v>120</v>
      </c>
      <c r="E135">
        <v>43</v>
      </c>
    </row>
    <row r="136" spans="1:5" x14ac:dyDescent="0.25">
      <c r="A136" t="s">
        <v>725</v>
      </c>
      <c r="B136" s="3">
        <v>38869</v>
      </c>
      <c r="C136" t="s">
        <v>649</v>
      </c>
      <c r="D136">
        <v>145</v>
      </c>
      <c r="E136">
        <v>257</v>
      </c>
    </row>
    <row r="137" spans="1:5" x14ac:dyDescent="0.25">
      <c r="A137" t="s">
        <v>724</v>
      </c>
      <c r="B137" s="3">
        <v>38869</v>
      </c>
      <c r="C137" t="s">
        <v>649</v>
      </c>
      <c r="D137">
        <v>140</v>
      </c>
      <c r="E137">
        <v>228</v>
      </c>
    </row>
    <row r="138" spans="1:5" x14ac:dyDescent="0.25">
      <c r="A138" t="s">
        <v>723</v>
      </c>
      <c r="B138" s="3">
        <v>38869</v>
      </c>
      <c r="C138" t="s">
        <v>649</v>
      </c>
      <c r="D138">
        <v>105</v>
      </c>
      <c r="E138">
        <v>31</v>
      </c>
    </row>
    <row r="139" spans="1:5" x14ac:dyDescent="0.25">
      <c r="A139" t="s">
        <v>722</v>
      </c>
      <c r="B139" s="3">
        <v>38869</v>
      </c>
      <c r="C139" t="s">
        <v>649</v>
      </c>
      <c r="D139">
        <v>125</v>
      </c>
      <c r="E139">
        <v>56</v>
      </c>
    </row>
    <row r="140" spans="1:5" x14ac:dyDescent="0.25">
      <c r="A140" t="s">
        <v>721</v>
      </c>
      <c r="B140" s="3">
        <v>38869</v>
      </c>
      <c r="C140" t="s">
        <v>649</v>
      </c>
      <c r="D140">
        <v>135</v>
      </c>
      <c r="E140">
        <v>89</v>
      </c>
    </row>
    <row r="141" spans="1:5" x14ac:dyDescent="0.25">
      <c r="A141" t="s">
        <v>720</v>
      </c>
      <c r="B141" s="3">
        <v>38869</v>
      </c>
      <c r="C141" t="s">
        <v>649</v>
      </c>
      <c r="D141">
        <v>155</v>
      </c>
      <c r="E141">
        <v>40</v>
      </c>
    </row>
    <row r="142" spans="1:5" x14ac:dyDescent="0.25">
      <c r="A142" t="s">
        <v>719</v>
      </c>
      <c r="B142" s="3">
        <v>38869</v>
      </c>
      <c r="C142" t="s">
        <v>649</v>
      </c>
      <c r="D142">
        <v>165</v>
      </c>
      <c r="E142">
        <v>50</v>
      </c>
    </row>
    <row r="143" spans="1:5" x14ac:dyDescent="0.25">
      <c r="A143" t="s">
        <v>718</v>
      </c>
      <c r="B143" s="3">
        <v>38869</v>
      </c>
      <c r="C143" t="s">
        <v>649</v>
      </c>
      <c r="D143">
        <v>160</v>
      </c>
      <c r="E143">
        <v>170</v>
      </c>
    </row>
    <row r="144" spans="1:5" x14ac:dyDescent="0.25">
      <c r="A144" t="s">
        <v>717</v>
      </c>
      <c r="B144" s="3">
        <v>38869</v>
      </c>
      <c r="C144" t="s">
        <v>649</v>
      </c>
      <c r="D144">
        <v>190</v>
      </c>
      <c r="E144">
        <v>80</v>
      </c>
    </row>
    <row r="145" spans="1:5" x14ac:dyDescent="0.25">
      <c r="A145" t="s">
        <v>716</v>
      </c>
      <c r="B145" s="3">
        <v>38869</v>
      </c>
      <c r="C145" t="s">
        <v>649</v>
      </c>
      <c r="D145">
        <v>125</v>
      </c>
      <c r="E145">
        <v>191</v>
      </c>
    </row>
    <row r="146" spans="1:5" x14ac:dyDescent="0.25">
      <c r="A146" t="s">
        <v>715</v>
      </c>
      <c r="B146" s="3">
        <v>38869</v>
      </c>
      <c r="C146" t="s">
        <v>649</v>
      </c>
      <c r="D146">
        <v>110</v>
      </c>
      <c r="E146">
        <v>26</v>
      </c>
    </row>
    <row r="147" spans="1:5" x14ac:dyDescent="0.25">
      <c r="A147" t="s">
        <v>714</v>
      </c>
      <c r="B147" s="3">
        <v>38869</v>
      </c>
      <c r="C147" t="s">
        <v>649</v>
      </c>
      <c r="D147">
        <v>200</v>
      </c>
      <c r="E147">
        <v>881</v>
      </c>
    </row>
    <row r="148" spans="1:5" x14ac:dyDescent="0.25">
      <c r="A148" t="s">
        <v>761</v>
      </c>
      <c r="B148" s="3">
        <v>38869</v>
      </c>
      <c r="C148" t="s">
        <v>649</v>
      </c>
      <c r="D148">
        <v>200</v>
      </c>
      <c r="E148">
        <v>199</v>
      </c>
    </row>
    <row r="149" spans="1:5" x14ac:dyDescent="0.25">
      <c r="A149" t="s">
        <v>760</v>
      </c>
      <c r="B149" s="3">
        <v>38869</v>
      </c>
      <c r="C149" t="s">
        <v>649</v>
      </c>
      <c r="D149">
        <v>190</v>
      </c>
      <c r="E149">
        <v>534</v>
      </c>
    </row>
    <row r="150" spans="1:5" x14ac:dyDescent="0.25">
      <c r="A150" t="s">
        <v>759</v>
      </c>
      <c r="B150" s="3">
        <v>38869</v>
      </c>
      <c r="C150" t="s">
        <v>649</v>
      </c>
      <c r="D150">
        <v>220</v>
      </c>
      <c r="E150">
        <v>148</v>
      </c>
    </row>
    <row r="151" spans="1:5" x14ac:dyDescent="0.25">
      <c r="A151" t="s">
        <v>758</v>
      </c>
      <c r="B151" s="3">
        <v>38869</v>
      </c>
      <c r="C151" t="s">
        <v>649</v>
      </c>
      <c r="D151">
        <v>150</v>
      </c>
      <c r="E151">
        <v>40</v>
      </c>
    </row>
    <row r="152" spans="1:5" x14ac:dyDescent="0.25">
      <c r="A152" t="s">
        <v>710</v>
      </c>
      <c r="B152" s="3">
        <v>38869</v>
      </c>
      <c r="C152" t="s">
        <v>649</v>
      </c>
      <c r="D152">
        <v>135</v>
      </c>
      <c r="E152">
        <v>363</v>
      </c>
    </row>
    <row r="153" spans="1:5" x14ac:dyDescent="0.25">
      <c r="A153" t="s">
        <v>709</v>
      </c>
      <c r="B153" s="3">
        <v>38869</v>
      </c>
      <c r="C153" t="s">
        <v>649</v>
      </c>
      <c r="D153">
        <v>160</v>
      </c>
      <c r="E153">
        <v>600</v>
      </c>
    </row>
    <row r="154" spans="1:5" x14ac:dyDescent="0.25">
      <c r="A154" t="s">
        <v>708</v>
      </c>
      <c r="B154" s="3">
        <v>38869</v>
      </c>
      <c r="C154" t="s">
        <v>649</v>
      </c>
      <c r="D154">
        <v>115</v>
      </c>
      <c r="E154">
        <v>31</v>
      </c>
    </row>
    <row r="155" spans="1:5" x14ac:dyDescent="0.25">
      <c r="A155" t="s">
        <v>635</v>
      </c>
      <c r="B155" s="3">
        <v>38869</v>
      </c>
      <c r="C155" t="s">
        <v>652</v>
      </c>
      <c r="D155">
        <v>240</v>
      </c>
      <c r="E155">
        <v>3304</v>
      </c>
    </row>
    <row r="156" spans="1:5" x14ac:dyDescent="0.25">
      <c r="A156" t="s">
        <v>755</v>
      </c>
      <c r="B156" s="3">
        <v>38869</v>
      </c>
      <c r="C156" t="s">
        <v>652</v>
      </c>
      <c r="D156">
        <v>230</v>
      </c>
      <c r="E156">
        <v>183</v>
      </c>
    </row>
    <row r="157" spans="1:5" x14ac:dyDescent="0.25">
      <c r="A157" t="s">
        <v>754</v>
      </c>
      <c r="B157" s="3">
        <v>38869</v>
      </c>
      <c r="C157" t="s">
        <v>652</v>
      </c>
      <c r="D157">
        <v>310</v>
      </c>
      <c r="E157">
        <v>298</v>
      </c>
    </row>
    <row r="158" spans="1:5" x14ac:dyDescent="0.25">
      <c r="A158" t="s">
        <v>753</v>
      </c>
      <c r="B158" s="3">
        <v>38869</v>
      </c>
      <c r="C158" t="s">
        <v>652</v>
      </c>
      <c r="D158">
        <v>260</v>
      </c>
      <c r="E158">
        <v>385</v>
      </c>
    </row>
    <row r="159" spans="1:5" x14ac:dyDescent="0.25">
      <c r="A159" t="s">
        <v>752</v>
      </c>
      <c r="B159" s="3">
        <v>38869</v>
      </c>
      <c r="C159" t="s">
        <v>652</v>
      </c>
      <c r="D159">
        <v>230</v>
      </c>
      <c r="E159">
        <v>382</v>
      </c>
    </row>
    <row r="160" spans="1:5" x14ac:dyDescent="0.25">
      <c r="A160" t="s">
        <v>751</v>
      </c>
      <c r="B160" s="3">
        <v>38869</v>
      </c>
      <c r="C160" t="s">
        <v>652</v>
      </c>
      <c r="D160">
        <v>290</v>
      </c>
      <c r="E160">
        <v>135</v>
      </c>
    </row>
    <row r="161" spans="1:5" x14ac:dyDescent="0.25">
      <c r="A161" t="s">
        <v>750</v>
      </c>
      <c r="B161" s="3">
        <v>38869</v>
      </c>
      <c r="C161" t="s">
        <v>652</v>
      </c>
      <c r="D161">
        <v>240</v>
      </c>
      <c r="E161">
        <v>252</v>
      </c>
    </row>
    <row r="162" spans="1:5" x14ac:dyDescent="0.25">
      <c r="A162" t="s">
        <v>749</v>
      </c>
      <c r="B162" s="3">
        <v>38869</v>
      </c>
      <c r="C162" t="s">
        <v>652</v>
      </c>
      <c r="D162">
        <v>240</v>
      </c>
      <c r="E162">
        <v>324</v>
      </c>
    </row>
    <row r="163" spans="1:5" x14ac:dyDescent="0.25">
      <c r="A163" t="s">
        <v>748</v>
      </c>
      <c r="B163" s="3">
        <v>38869</v>
      </c>
      <c r="C163" t="s">
        <v>652</v>
      </c>
      <c r="D163">
        <v>225</v>
      </c>
      <c r="E163">
        <v>344</v>
      </c>
    </row>
    <row r="164" spans="1:5" x14ac:dyDescent="0.25">
      <c r="A164" t="s">
        <v>747</v>
      </c>
      <c r="B164" s="3">
        <v>38869</v>
      </c>
      <c r="C164" t="s">
        <v>652</v>
      </c>
      <c r="D164">
        <v>255</v>
      </c>
      <c r="E164">
        <v>341</v>
      </c>
    </row>
    <row r="165" spans="1:5" x14ac:dyDescent="0.25">
      <c r="A165" t="s">
        <v>746</v>
      </c>
      <c r="B165" s="3">
        <v>38869</v>
      </c>
      <c r="C165" t="s">
        <v>652</v>
      </c>
      <c r="D165">
        <v>240</v>
      </c>
      <c r="E165">
        <v>57</v>
      </c>
    </row>
    <row r="166" spans="1:5" x14ac:dyDescent="0.25">
      <c r="A166" t="s">
        <v>745</v>
      </c>
      <c r="B166" s="3">
        <v>38869</v>
      </c>
      <c r="C166" t="s">
        <v>652</v>
      </c>
      <c r="D166">
        <v>255</v>
      </c>
      <c r="E166">
        <v>141</v>
      </c>
    </row>
    <row r="167" spans="1:5" x14ac:dyDescent="0.25">
      <c r="A167" t="s">
        <v>744</v>
      </c>
      <c r="B167" s="3">
        <v>38869</v>
      </c>
      <c r="C167" t="s">
        <v>652</v>
      </c>
      <c r="D167">
        <v>220</v>
      </c>
      <c r="E167">
        <v>462</v>
      </c>
    </row>
    <row r="168" spans="1:5" x14ac:dyDescent="0.25">
      <c r="A168" t="s">
        <v>743</v>
      </c>
      <c r="B168" s="3">
        <v>38869</v>
      </c>
      <c r="C168" t="s">
        <v>652</v>
      </c>
      <c r="D168">
        <v>175</v>
      </c>
      <c r="E168">
        <v>38</v>
      </c>
    </row>
    <row r="169" spans="1:5" x14ac:dyDescent="0.25">
      <c r="A169" t="s">
        <v>742</v>
      </c>
      <c r="B169" s="3">
        <v>38869</v>
      </c>
      <c r="C169" t="s">
        <v>652</v>
      </c>
      <c r="D169">
        <v>230</v>
      </c>
      <c r="E169">
        <v>104</v>
      </c>
    </row>
    <row r="170" spans="1:5" x14ac:dyDescent="0.25">
      <c r="A170" t="s">
        <v>741</v>
      </c>
      <c r="B170" s="3">
        <v>38869</v>
      </c>
      <c r="C170" t="s">
        <v>652</v>
      </c>
      <c r="D170">
        <v>185</v>
      </c>
      <c r="E170">
        <v>299</v>
      </c>
    </row>
    <row r="171" spans="1:5" x14ac:dyDescent="0.25">
      <c r="A171" t="s">
        <v>740</v>
      </c>
      <c r="B171" s="3">
        <v>38869</v>
      </c>
      <c r="C171" t="s">
        <v>652</v>
      </c>
      <c r="D171">
        <v>200</v>
      </c>
      <c r="E171">
        <v>545</v>
      </c>
    </row>
    <row r="172" spans="1:5" x14ac:dyDescent="0.25">
      <c r="A172" t="s">
        <v>739</v>
      </c>
      <c r="B172" s="3">
        <v>38869</v>
      </c>
      <c r="C172" t="s">
        <v>652</v>
      </c>
      <c r="D172">
        <v>230</v>
      </c>
      <c r="E172">
        <v>539</v>
      </c>
    </row>
    <row r="173" spans="1:5" x14ac:dyDescent="0.25">
      <c r="A173" t="s">
        <v>738</v>
      </c>
      <c r="B173" s="3">
        <v>38869</v>
      </c>
      <c r="C173" t="s">
        <v>652</v>
      </c>
      <c r="D173">
        <v>165</v>
      </c>
      <c r="E173">
        <v>46</v>
      </c>
    </row>
    <row r="174" spans="1:5" x14ac:dyDescent="0.25">
      <c r="A174" t="s">
        <v>737</v>
      </c>
      <c r="B174" s="3">
        <v>38869</v>
      </c>
      <c r="C174" t="s">
        <v>652</v>
      </c>
      <c r="D174">
        <v>240</v>
      </c>
      <c r="E174">
        <v>61</v>
      </c>
    </row>
    <row r="175" spans="1:5" x14ac:dyDescent="0.25">
      <c r="A175" t="s">
        <v>736</v>
      </c>
      <c r="B175" s="3">
        <v>38869</v>
      </c>
      <c r="C175" t="s">
        <v>652</v>
      </c>
      <c r="D175">
        <v>165</v>
      </c>
      <c r="E175">
        <v>40</v>
      </c>
    </row>
    <row r="176" spans="1:5" x14ac:dyDescent="0.25">
      <c r="A176" t="s">
        <v>735</v>
      </c>
      <c r="B176" s="3">
        <v>38869</v>
      </c>
      <c r="C176" t="s">
        <v>652</v>
      </c>
      <c r="D176">
        <v>220</v>
      </c>
      <c r="E176">
        <v>185</v>
      </c>
    </row>
    <row r="177" spans="1:5" x14ac:dyDescent="0.25">
      <c r="A177" t="s">
        <v>763</v>
      </c>
      <c r="B177" s="3">
        <v>38869</v>
      </c>
      <c r="C177" t="s">
        <v>652</v>
      </c>
      <c r="D177">
        <v>210</v>
      </c>
      <c r="E177">
        <v>224</v>
      </c>
    </row>
    <row r="178" spans="1:5" x14ac:dyDescent="0.25">
      <c r="A178" t="s">
        <v>762</v>
      </c>
      <c r="B178" s="3">
        <v>38869</v>
      </c>
      <c r="C178" t="s">
        <v>652</v>
      </c>
      <c r="D178">
        <v>290</v>
      </c>
      <c r="E178">
        <v>1136</v>
      </c>
    </row>
    <row r="179" spans="1:5" x14ac:dyDescent="0.25">
      <c r="A179" t="s">
        <v>733</v>
      </c>
      <c r="B179" s="3">
        <v>38869</v>
      </c>
      <c r="C179" t="s">
        <v>652</v>
      </c>
      <c r="D179">
        <v>280</v>
      </c>
      <c r="E179">
        <v>192</v>
      </c>
    </row>
    <row r="180" spans="1:5" x14ac:dyDescent="0.25">
      <c r="A180" t="s">
        <v>732</v>
      </c>
      <c r="B180" s="3">
        <v>38869</v>
      </c>
      <c r="C180" t="s">
        <v>652</v>
      </c>
      <c r="D180">
        <v>300</v>
      </c>
      <c r="E180">
        <v>593</v>
      </c>
    </row>
    <row r="181" spans="1:5" x14ac:dyDescent="0.25">
      <c r="A181" t="s">
        <v>731</v>
      </c>
      <c r="B181" s="3">
        <v>38869</v>
      </c>
      <c r="C181" t="s">
        <v>652</v>
      </c>
      <c r="D181">
        <v>295</v>
      </c>
      <c r="E181">
        <v>123</v>
      </c>
    </row>
    <row r="182" spans="1:5" x14ac:dyDescent="0.25">
      <c r="A182" t="s">
        <v>730</v>
      </c>
      <c r="B182" s="3">
        <v>38869</v>
      </c>
      <c r="C182" t="s">
        <v>652</v>
      </c>
      <c r="D182">
        <v>270</v>
      </c>
      <c r="E182">
        <v>228</v>
      </c>
    </row>
    <row r="183" spans="1:5" x14ac:dyDescent="0.25">
      <c r="A183" t="s">
        <v>729</v>
      </c>
      <c r="B183" s="3">
        <v>38869</v>
      </c>
      <c r="C183" t="s">
        <v>652</v>
      </c>
      <c r="D183">
        <v>175</v>
      </c>
      <c r="E183">
        <v>133</v>
      </c>
    </row>
    <row r="184" spans="1:5" x14ac:dyDescent="0.25">
      <c r="A184" t="s">
        <v>728</v>
      </c>
      <c r="B184" s="3">
        <v>38869</v>
      </c>
      <c r="C184" t="s">
        <v>652</v>
      </c>
      <c r="D184">
        <v>200</v>
      </c>
      <c r="E184">
        <v>229</v>
      </c>
    </row>
    <row r="185" spans="1:5" x14ac:dyDescent="0.25">
      <c r="A185" t="s">
        <v>727</v>
      </c>
      <c r="B185" s="3">
        <v>38869</v>
      </c>
      <c r="C185" t="s">
        <v>652</v>
      </c>
      <c r="D185">
        <v>185</v>
      </c>
      <c r="E185">
        <v>653</v>
      </c>
    </row>
    <row r="186" spans="1:5" x14ac:dyDescent="0.25">
      <c r="A186" t="s">
        <v>726</v>
      </c>
      <c r="B186" s="3">
        <v>38869</v>
      </c>
      <c r="C186" t="s">
        <v>652</v>
      </c>
      <c r="D186">
        <v>165</v>
      </c>
      <c r="E186">
        <v>54</v>
      </c>
    </row>
    <row r="187" spans="1:5" x14ac:dyDescent="0.25">
      <c r="A187" t="s">
        <v>725</v>
      </c>
      <c r="B187" s="3">
        <v>38869</v>
      </c>
      <c r="C187" t="s">
        <v>652</v>
      </c>
      <c r="D187">
        <v>200</v>
      </c>
      <c r="E187">
        <v>740</v>
      </c>
    </row>
    <row r="188" spans="1:5" x14ac:dyDescent="0.25">
      <c r="A188" t="s">
        <v>724</v>
      </c>
      <c r="B188" s="3">
        <v>38869</v>
      </c>
      <c r="C188" t="s">
        <v>652</v>
      </c>
      <c r="D188">
        <v>207</v>
      </c>
      <c r="E188">
        <v>285</v>
      </c>
    </row>
    <row r="189" spans="1:5" x14ac:dyDescent="0.25">
      <c r="A189" t="s">
        <v>723</v>
      </c>
      <c r="B189" s="3">
        <v>38869</v>
      </c>
      <c r="C189" t="s">
        <v>652</v>
      </c>
      <c r="D189">
        <v>155</v>
      </c>
      <c r="E189">
        <v>39</v>
      </c>
    </row>
    <row r="190" spans="1:5" x14ac:dyDescent="0.25">
      <c r="A190" t="s">
        <v>722</v>
      </c>
      <c r="B190" s="3">
        <v>38869</v>
      </c>
      <c r="C190" t="s">
        <v>652</v>
      </c>
      <c r="D190">
        <v>175</v>
      </c>
      <c r="E190">
        <v>116</v>
      </c>
    </row>
    <row r="191" spans="1:5" x14ac:dyDescent="0.25">
      <c r="A191" t="s">
        <v>721</v>
      </c>
      <c r="B191" s="3">
        <v>38869</v>
      </c>
      <c r="C191" t="s">
        <v>652</v>
      </c>
      <c r="D191">
        <v>205</v>
      </c>
      <c r="E191">
        <v>93</v>
      </c>
    </row>
    <row r="192" spans="1:5" x14ac:dyDescent="0.25">
      <c r="A192" t="s">
        <v>720</v>
      </c>
      <c r="B192" s="3">
        <v>38869</v>
      </c>
      <c r="C192" t="s">
        <v>652</v>
      </c>
      <c r="D192">
        <v>245</v>
      </c>
      <c r="E192">
        <v>92</v>
      </c>
    </row>
    <row r="193" spans="1:5" x14ac:dyDescent="0.25">
      <c r="A193" t="s">
        <v>719</v>
      </c>
      <c r="B193" s="3">
        <v>38869</v>
      </c>
      <c r="C193" t="s">
        <v>652</v>
      </c>
      <c r="D193">
        <v>220</v>
      </c>
      <c r="E193">
        <v>374</v>
      </c>
    </row>
    <row r="194" spans="1:5" x14ac:dyDescent="0.25">
      <c r="A194" t="s">
        <v>718</v>
      </c>
      <c r="B194" s="3">
        <v>38869</v>
      </c>
      <c r="C194" t="s">
        <v>652</v>
      </c>
      <c r="D194">
        <v>210</v>
      </c>
      <c r="E194">
        <v>227</v>
      </c>
    </row>
    <row r="195" spans="1:5" x14ac:dyDescent="0.25">
      <c r="A195" t="s">
        <v>717</v>
      </c>
      <c r="B195" s="3">
        <v>38869</v>
      </c>
      <c r="C195" t="s">
        <v>652</v>
      </c>
      <c r="D195">
        <v>230</v>
      </c>
      <c r="E195">
        <v>353</v>
      </c>
    </row>
    <row r="196" spans="1:5" x14ac:dyDescent="0.25">
      <c r="A196" t="s">
        <v>716</v>
      </c>
      <c r="B196" s="3">
        <v>38869</v>
      </c>
      <c r="C196" t="s">
        <v>652</v>
      </c>
      <c r="D196">
        <v>165</v>
      </c>
      <c r="E196">
        <v>262</v>
      </c>
    </row>
    <row r="197" spans="1:5" x14ac:dyDescent="0.25">
      <c r="A197" t="s">
        <v>715</v>
      </c>
      <c r="B197" s="3">
        <v>38869</v>
      </c>
      <c r="C197" t="s">
        <v>652</v>
      </c>
      <c r="D197">
        <v>165</v>
      </c>
      <c r="E197">
        <v>35</v>
      </c>
    </row>
    <row r="198" spans="1:5" x14ac:dyDescent="0.25">
      <c r="A198" t="s">
        <v>714</v>
      </c>
      <c r="B198" s="3">
        <v>38869</v>
      </c>
      <c r="C198" t="s">
        <v>652</v>
      </c>
      <c r="D198">
        <v>260</v>
      </c>
      <c r="E198">
        <v>909</v>
      </c>
    </row>
    <row r="199" spans="1:5" x14ac:dyDescent="0.25">
      <c r="A199" t="s">
        <v>761</v>
      </c>
      <c r="B199" s="3">
        <v>38869</v>
      </c>
      <c r="C199" t="s">
        <v>652</v>
      </c>
      <c r="D199">
        <v>260</v>
      </c>
      <c r="E199">
        <v>287</v>
      </c>
    </row>
    <row r="200" spans="1:5" x14ac:dyDescent="0.25">
      <c r="A200" t="s">
        <v>760</v>
      </c>
      <c r="B200" s="3">
        <v>38869</v>
      </c>
      <c r="C200" t="s">
        <v>652</v>
      </c>
      <c r="D200">
        <v>260</v>
      </c>
      <c r="E200">
        <v>459</v>
      </c>
    </row>
    <row r="201" spans="1:5" x14ac:dyDescent="0.25">
      <c r="A201" t="s">
        <v>759</v>
      </c>
      <c r="B201" s="3">
        <v>38869</v>
      </c>
      <c r="C201" t="s">
        <v>652</v>
      </c>
      <c r="D201">
        <v>250</v>
      </c>
      <c r="E201">
        <v>163</v>
      </c>
    </row>
    <row r="202" spans="1:5" x14ac:dyDescent="0.25">
      <c r="A202" t="s">
        <v>758</v>
      </c>
      <c r="B202" s="3">
        <v>38869</v>
      </c>
      <c r="C202" t="s">
        <v>652</v>
      </c>
      <c r="D202">
        <v>210</v>
      </c>
      <c r="E202">
        <v>248</v>
      </c>
    </row>
    <row r="203" spans="1:5" x14ac:dyDescent="0.25">
      <c r="A203" t="s">
        <v>710</v>
      </c>
      <c r="B203" s="3">
        <v>38869</v>
      </c>
      <c r="C203" t="s">
        <v>652</v>
      </c>
      <c r="D203">
        <v>190</v>
      </c>
      <c r="E203">
        <v>526</v>
      </c>
    </row>
    <row r="204" spans="1:5" x14ac:dyDescent="0.25">
      <c r="A204" t="s">
        <v>709</v>
      </c>
      <c r="B204" s="3">
        <v>38869</v>
      </c>
      <c r="C204" t="s">
        <v>652</v>
      </c>
      <c r="D204">
        <v>220</v>
      </c>
      <c r="E204">
        <v>322</v>
      </c>
    </row>
    <row r="205" spans="1:5" x14ac:dyDescent="0.25">
      <c r="A205" t="s">
        <v>708</v>
      </c>
      <c r="B205" s="3">
        <v>38869</v>
      </c>
      <c r="C205" t="s">
        <v>652</v>
      </c>
      <c r="D205">
        <v>160</v>
      </c>
      <c r="E205">
        <v>88</v>
      </c>
    </row>
    <row r="206" spans="1:5" x14ac:dyDescent="0.25">
      <c r="A206" t="s">
        <v>635</v>
      </c>
      <c r="B206" s="3">
        <v>38961</v>
      </c>
      <c r="C206" t="s">
        <v>649</v>
      </c>
      <c r="D206">
        <v>230</v>
      </c>
      <c r="E206">
        <v>4276</v>
      </c>
    </row>
    <row r="207" spans="1:5" x14ac:dyDescent="0.25">
      <c r="A207" t="s">
        <v>755</v>
      </c>
      <c r="B207" s="3">
        <v>38961</v>
      </c>
      <c r="C207" t="s">
        <v>649</v>
      </c>
      <c r="D207">
        <v>180</v>
      </c>
      <c r="E207">
        <v>47</v>
      </c>
    </row>
    <row r="208" spans="1:5" x14ac:dyDescent="0.25">
      <c r="A208" t="s">
        <v>754</v>
      </c>
      <c r="B208" s="3">
        <v>38961</v>
      </c>
      <c r="C208" t="s">
        <v>649</v>
      </c>
      <c r="D208">
        <v>280</v>
      </c>
      <c r="E208">
        <v>1981</v>
      </c>
    </row>
    <row r="209" spans="1:5" x14ac:dyDescent="0.25">
      <c r="A209" t="s">
        <v>753</v>
      </c>
      <c r="B209" s="3">
        <v>38961</v>
      </c>
      <c r="C209" t="s">
        <v>649</v>
      </c>
      <c r="D209">
        <v>200</v>
      </c>
      <c r="E209">
        <v>730</v>
      </c>
    </row>
    <row r="210" spans="1:5" x14ac:dyDescent="0.25">
      <c r="A210" t="s">
        <v>752</v>
      </c>
      <c r="B210" s="3">
        <v>38961</v>
      </c>
      <c r="C210" t="s">
        <v>649</v>
      </c>
      <c r="D210">
        <v>190</v>
      </c>
      <c r="E210">
        <v>151</v>
      </c>
    </row>
    <row r="211" spans="1:5" x14ac:dyDescent="0.25">
      <c r="A211" t="s">
        <v>751</v>
      </c>
      <c r="B211" s="3">
        <v>38961</v>
      </c>
      <c r="C211" t="s">
        <v>649</v>
      </c>
      <c r="D211">
        <v>210</v>
      </c>
      <c r="E211">
        <v>124</v>
      </c>
    </row>
    <row r="212" spans="1:5" x14ac:dyDescent="0.25">
      <c r="A212" t="s">
        <v>750</v>
      </c>
      <c r="B212" s="3">
        <v>38961</v>
      </c>
      <c r="C212" t="s">
        <v>649</v>
      </c>
      <c r="D212">
        <v>195</v>
      </c>
      <c r="E212">
        <v>47</v>
      </c>
    </row>
    <row r="213" spans="1:5" x14ac:dyDescent="0.25">
      <c r="A213" t="s">
        <v>749</v>
      </c>
      <c r="B213" s="3">
        <v>38961</v>
      </c>
      <c r="C213" t="s">
        <v>649</v>
      </c>
      <c r="D213">
        <v>195</v>
      </c>
      <c r="E213">
        <v>398</v>
      </c>
    </row>
    <row r="214" spans="1:5" x14ac:dyDescent="0.25">
      <c r="A214" t="s">
        <v>748</v>
      </c>
      <c r="B214" s="3">
        <v>38961</v>
      </c>
      <c r="C214" t="s">
        <v>649</v>
      </c>
      <c r="D214">
        <v>180</v>
      </c>
      <c r="E214">
        <v>52</v>
      </c>
    </row>
    <row r="215" spans="1:5" x14ac:dyDescent="0.25">
      <c r="A215" t="s">
        <v>747</v>
      </c>
      <c r="B215" s="3">
        <v>38961</v>
      </c>
      <c r="C215" t="s">
        <v>649</v>
      </c>
      <c r="D215">
        <v>220</v>
      </c>
      <c r="E215">
        <v>443</v>
      </c>
    </row>
    <row r="216" spans="1:5" x14ac:dyDescent="0.25">
      <c r="A216" t="s">
        <v>746</v>
      </c>
      <c r="B216" s="3">
        <v>38961</v>
      </c>
      <c r="C216" t="s">
        <v>649</v>
      </c>
      <c r="D216" t="s">
        <v>764</v>
      </c>
      <c r="E216">
        <v>4</v>
      </c>
    </row>
    <row r="217" spans="1:5" x14ac:dyDescent="0.25">
      <c r="A217" t="s">
        <v>745</v>
      </c>
      <c r="B217" s="3">
        <v>38961</v>
      </c>
      <c r="C217" t="s">
        <v>649</v>
      </c>
      <c r="D217">
        <v>220</v>
      </c>
      <c r="E217">
        <v>279</v>
      </c>
    </row>
    <row r="218" spans="1:5" x14ac:dyDescent="0.25">
      <c r="A218" t="s">
        <v>744</v>
      </c>
      <c r="B218" s="3">
        <v>38961</v>
      </c>
      <c r="C218" t="s">
        <v>649</v>
      </c>
      <c r="D218">
        <v>180</v>
      </c>
      <c r="E218">
        <v>20</v>
      </c>
    </row>
    <row r="219" spans="1:5" x14ac:dyDescent="0.25">
      <c r="A219" t="s">
        <v>743</v>
      </c>
      <c r="B219" s="3">
        <v>38961</v>
      </c>
      <c r="C219" t="s">
        <v>649</v>
      </c>
      <c r="D219">
        <v>130</v>
      </c>
      <c r="E219">
        <v>27</v>
      </c>
    </row>
    <row r="220" spans="1:5" x14ac:dyDescent="0.25">
      <c r="A220" t="s">
        <v>742</v>
      </c>
      <c r="B220" s="3">
        <v>38961</v>
      </c>
      <c r="C220" t="s">
        <v>649</v>
      </c>
      <c r="D220">
        <v>135</v>
      </c>
      <c r="E220">
        <v>29</v>
      </c>
    </row>
    <row r="221" spans="1:5" x14ac:dyDescent="0.25">
      <c r="A221" t="s">
        <v>741</v>
      </c>
      <c r="B221" s="3">
        <v>38961</v>
      </c>
      <c r="C221" t="s">
        <v>649</v>
      </c>
      <c r="D221">
        <v>140</v>
      </c>
      <c r="E221">
        <v>136</v>
      </c>
    </row>
    <row r="222" spans="1:5" x14ac:dyDescent="0.25">
      <c r="A222" t="s">
        <v>740</v>
      </c>
      <c r="B222" s="3">
        <v>38961</v>
      </c>
      <c r="C222" t="s">
        <v>649</v>
      </c>
      <c r="D222">
        <v>155</v>
      </c>
      <c r="E222">
        <v>117</v>
      </c>
    </row>
    <row r="223" spans="1:5" x14ac:dyDescent="0.25">
      <c r="A223" t="s">
        <v>739</v>
      </c>
      <c r="B223" s="3">
        <v>38961</v>
      </c>
      <c r="C223" t="s">
        <v>649</v>
      </c>
      <c r="D223">
        <v>170</v>
      </c>
      <c r="E223">
        <v>858</v>
      </c>
    </row>
    <row r="224" spans="1:5" x14ac:dyDescent="0.25">
      <c r="A224" t="s">
        <v>738</v>
      </c>
      <c r="B224" s="3">
        <v>38961</v>
      </c>
      <c r="C224" t="s">
        <v>649</v>
      </c>
      <c r="D224">
        <v>125</v>
      </c>
      <c r="E224">
        <v>11</v>
      </c>
    </row>
    <row r="225" spans="1:5" x14ac:dyDescent="0.25">
      <c r="A225" t="s">
        <v>737</v>
      </c>
      <c r="B225" s="3">
        <v>38961</v>
      </c>
      <c r="C225" t="s">
        <v>649</v>
      </c>
      <c r="D225">
        <v>160</v>
      </c>
      <c r="E225">
        <v>47</v>
      </c>
    </row>
    <row r="226" spans="1:5" x14ac:dyDescent="0.25">
      <c r="A226" t="s">
        <v>736</v>
      </c>
      <c r="B226" s="3">
        <v>38961</v>
      </c>
      <c r="C226" t="s">
        <v>649</v>
      </c>
      <c r="D226">
        <v>140</v>
      </c>
      <c r="E226">
        <v>21</v>
      </c>
    </row>
    <row r="227" spans="1:5" x14ac:dyDescent="0.25">
      <c r="A227" t="s">
        <v>735</v>
      </c>
      <c r="B227" s="3">
        <v>38961</v>
      </c>
      <c r="C227" t="s">
        <v>649</v>
      </c>
      <c r="D227">
        <v>155</v>
      </c>
      <c r="E227">
        <v>209</v>
      </c>
    </row>
    <row r="228" spans="1:5" x14ac:dyDescent="0.25">
      <c r="A228" t="s">
        <v>763</v>
      </c>
      <c r="B228" s="3">
        <v>38961</v>
      </c>
      <c r="C228" t="s">
        <v>649</v>
      </c>
      <c r="D228">
        <v>145</v>
      </c>
      <c r="E228">
        <v>71</v>
      </c>
    </row>
    <row r="229" spans="1:5" x14ac:dyDescent="0.25">
      <c r="A229" t="s">
        <v>762</v>
      </c>
      <c r="B229" s="3">
        <v>38961</v>
      </c>
      <c r="C229" t="s">
        <v>649</v>
      </c>
      <c r="D229">
        <v>245</v>
      </c>
      <c r="E229">
        <v>2354</v>
      </c>
    </row>
    <row r="230" spans="1:5" x14ac:dyDescent="0.25">
      <c r="A230" t="s">
        <v>733</v>
      </c>
      <c r="B230" s="3">
        <v>38961</v>
      </c>
      <c r="C230" t="s">
        <v>649</v>
      </c>
      <c r="D230">
        <v>230</v>
      </c>
      <c r="E230">
        <v>198</v>
      </c>
    </row>
    <row r="231" spans="1:5" x14ac:dyDescent="0.25">
      <c r="A231" t="s">
        <v>732</v>
      </c>
      <c r="B231" s="3">
        <v>38961</v>
      </c>
      <c r="C231" t="s">
        <v>649</v>
      </c>
      <c r="D231">
        <v>250</v>
      </c>
      <c r="E231">
        <v>1663</v>
      </c>
    </row>
    <row r="232" spans="1:5" x14ac:dyDescent="0.25">
      <c r="A232" t="s">
        <v>731</v>
      </c>
      <c r="B232" s="3">
        <v>38961</v>
      </c>
      <c r="C232" t="s">
        <v>649</v>
      </c>
      <c r="D232">
        <v>220</v>
      </c>
      <c r="E232">
        <v>422</v>
      </c>
    </row>
    <row r="233" spans="1:5" x14ac:dyDescent="0.25">
      <c r="A233" t="s">
        <v>730</v>
      </c>
      <c r="B233" s="3">
        <v>38961</v>
      </c>
      <c r="C233" t="s">
        <v>649</v>
      </c>
      <c r="D233">
        <v>200</v>
      </c>
      <c r="E233">
        <v>71</v>
      </c>
    </row>
    <row r="234" spans="1:5" x14ac:dyDescent="0.25">
      <c r="A234" t="s">
        <v>729</v>
      </c>
      <c r="B234" s="3">
        <v>38961</v>
      </c>
      <c r="C234" t="s">
        <v>649</v>
      </c>
      <c r="D234">
        <v>125</v>
      </c>
      <c r="E234">
        <v>38</v>
      </c>
    </row>
    <row r="235" spans="1:5" x14ac:dyDescent="0.25">
      <c r="A235" t="s">
        <v>728</v>
      </c>
      <c r="B235" s="3">
        <v>38961</v>
      </c>
      <c r="C235" t="s">
        <v>649</v>
      </c>
      <c r="D235">
        <v>165</v>
      </c>
      <c r="E235">
        <v>122</v>
      </c>
    </row>
    <row r="236" spans="1:5" x14ac:dyDescent="0.25">
      <c r="A236" t="s">
        <v>727</v>
      </c>
      <c r="B236" s="3">
        <v>38961</v>
      </c>
      <c r="C236" t="s">
        <v>649</v>
      </c>
      <c r="D236">
        <v>150</v>
      </c>
      <c r="E236">
        <v>174</v>
      </c>
    </row>
    <row r="237" spans="1:5" x14ac:dyDescent="0.25">
      <c r="A237" t="s">
        <v>726</v>
      </c>
      <c r="B237" s="3">
        <v>38961</v>
      </c>
      <c r="C237" t="s">
        <v>649</v>
      </c>
      <c r="D237">
        <v>120</v>
      </c>
      <c r="E237">
        <v>31</v>
      </c>
    </row>
    <row r="238" spans="1:5" x14ac:dyDescent="0.25">
      <c r="A238" t="s">
        <v>725</v>
      </c>
      <c r="B238" s="3">
        <v>38961</v>
      </c>
      <c r="C238" t="s">
        <v>649</v>
      </c>
      <c r="D238">
        <v>150</v>
      </c>
      <c r="E238">
        <v>264</v>
      </c>
    </row>
    <row r="239" spans="1:5" x14ac:dyDescent="0.25">
      <c r="A239" t="s">
        <v>724</v>
      </c>
      <c r="B239" s="3">
        <v>38961</v>
      </c>
      <c r="C239" t="s">
        <v>649</v>
      </c>
      <c r="D239">
        <v>145</v>
      </c>
      <c r="E239">
        <v>235</v>
      </c>
    </row>
    <row r="240" spans="1:5" x14ac:dyDescent="0.25">
      <c r="A240" t="s">
        <v>723</v>
      </c>
      <c r="B240" s="3">
        <v>38961</v>
      </c>
      <c r="C240" t="s">
        <v>649</v>
      </c>
      <c r="D240">
        <v>115</v>
      </c>
      <c r="E240">
        <v>31</v>
      </c>
    </row>
    <row r="241" spans="1:5" x14ac:dyDescent="0.25">
      <c r="A241" t="s">
        <v>722</v>
      </c>
      <c r="B241" s="3">
        <v>38961</v>
      </c>
      <c r="C241" t="s">
        <v>649</v>
      </c>
      <c r="D241">
        <v>130</v>
      </c>
      <c r="E241">
        <v>55</v>
      </c>
    </row>
    <row r="242" spans="1:5" x14ac:dyDescent="0.25">
      <c r="A242" t="s">
        <v>721</v>
      </c>
      <c r="B242" s="3">
        <v>38961</v>
      </c>
      <c r="C242" t="s">
        <v>649</v>
      </c>
      <c r="D242">
        <v>135</v>
      </c>
      <c r="E242">
        <v>149</v>
      </c>
    </row>
    <row r="243" spans="1:5" x14ac:dyDescent="0.25">
      <c r="A243" t="s">
        <v>720</v>
      </c>
      <c r="B243" s="3">
        <v>38961</v>
      </c>
      <c r="C243" t="s">
        <v>649</v>
      </c>
      <c r="D243">
        <v>165</v>
      </c>
      <c r="E243">
        <v>45</v>
      </c>
    </row>
    <row r="244" spans="1:5" x14ac:dyDescent="0.25">
      <c r="A244" t="s">
        <v>719</v>
      </c>
      <c r="B244" s="3">
        <v>38961</v>
      </c>
      <c r="C244" t="s">
        <v>649</v>
      </c>
      <c r="D244">
        <v>165</v>
      </c>
      <c r="E244">
        <v>50</v>
      </c>
    </row>
    <row r="245" spans="1:5" x14ac:dyDescent="0.25">
      <c r="A245" t="s">
        <v>718</v>
      </c>
      <c r="B245" s="3">
        <v>38961</v>
      </c>
      <c r="C245" t="s">
        <v>649</v>
      </c>
      <c r="D245">
        <v>160</v>
      </c>
      <c r="E245">
        <v>184</v>
      </c>
    </row>
    <row r="246" spans="1:5" x14ac:dyDescent="0.25">
      <c r="A246" t="s">
        <v>717</v>
      </c>
      <c r="B246" s="3">
        <v>38961</v>
      </c>
      <c r="C246" t="s">
        <v>649</v>
      </c>
      <c r="D246">
        <v>195</v>
      </c>
      <c r="E246">
        <v>81</v>
      </c>
    </row>
    <row r="247" spans="1:5" x14ac:dyDescent="0.25">
      <c r="A247" t="s">
        <v>716</v>
      </c>
      <c r="B247" s="3">
        <v>38961</v>
      </c>
      <c r="C247" t="s">
        <v>649</v>
      </c>
      <c r="D247">
        <v>125</v>
      </c>
      <c r="E247">
        <v>230</v>
      </c>
    </row>
    <row r="248" spans="1:5" x14ac:dyDescent="0.25">
      <c r="A248" t="s">
        <v>715</v>
      </c>
      <c r="B248" s="3">
        <v>38961</v>
      </c>
      <c r="C248" t="s">
        <v>649</v>
      </c>
      <c r="D248">
        <v>110</v>
      </c>
      <c r="E248">
        <v>34</v>
      </c>
    </row>
    <row r="249" spans="1:5" x14ac:dyDescent="0.25">
      <c r="A249" t="s">
        <v>714</v>
      </c>
      <c r="B249" s="3">
        <v>38961</v>
      </c>
      <c r="C249" t="s">
        <v>649</v>
      </c>
      <c r="D249">
        <v>200</v>
      </c>
      <c r="E249">
        <v>934</v>
      </c>
    </row>
    <row r="250" spans="1:5" x14ac:dyDescent="0.25">
      <c r="A250" t="s">
        <v>761</v>
      </c>
      <c r="B250" s="3">
        <v>38961</v>
      </c>
      <c r="C250" t="s">
        <v>649</v>
      </c>
      <c r="D250">
        <v>200</v>
      </c>
      <c r="E250">
        <v>205</v>
      </c>
    </row>
    <row r="251" spans="1:5" x14ac:dyDescent="0.25">
      <c r="A251" t="s">
        <v>760</v>
      </c>
      <c r="B251" s="3">
        <v>38961</v>
      </c>
      <c r="C251" t="s">
        <v>649</v>
      </c>
      <c r="D251">
        <v>200</v>
      </c>
      <c r="E251">
        <v>556</v>
      </c>
    </row>
    <row r="252" spans="1:5" x14ac:dyDescent="0.25">
      <c r="A252" t="s">
        <v>759</v>
      </c>
      <c r="B252" s="3">
        <v>38961</v>
      </c>
      <c r="C252" t="s">
        <v>649</v>
      </c>
      <c r="D252">
        <v>220</v>
      </c>
      <c r="E252">
        <v>173</v>
      </c>
    </row>
    <row r="253" spans="1:5" x14ac:dyDescent="0.25">
      <c r="A253" t="s">
        <v>758</v>
      </c>
      <c r="B253" s="3">
        <v>38961</v>
      </c>
      <c r="C253" t="s">
        <v>649</v>
      </c>
      <c r="D253">
        <v>145</v>
      </c>
      <c r="E253">
        <v>59</v>
      </c>
    </row>
    <row r="254" spans="1:5" x14ac:dyDescent="0.25">
      <c r="A254" t="s">
        <v>710</v>
      </c>
      <c r="B254" s="3">
        <v>38961</v>
      </c>
      <c r="C254" t="s">
        <v>649</v>
      </c>
      <c r="D254">
        <v>140</v>
      </c>
      <c r="E254">
        <v>397</v>
      </c>
    </row>
    <row r="255" spans="1:5" x14ac:dyDescent="0.25">
      <c r="A255" t="s">
        <v>709</v>
      </c>
      <c r="B255" s="3">
        <v>38961</v>
      </c>
      <c r="C255" t="s">
        <v>649</v>
      </c>
      <c r="D255">
        <v>165</v>
      </c>
      <c r="E255">
        <v>639</v>
      </c>
    </row>
    <row r="256" spans="1:5" x14ac:dyDescent="0.25">
      <c r="A256" t="s">
        <v>708</v>
      </c>
      <c r="B256" s="3">
        <v>38961</v>
      </c>
      <c r="C256" t="s">
        <v>649</v>
      </c>
      <c r="D256">
        <v>125</v>
      </c>
      <c r="E256">
        <v>37</v>
      </c>
    </row>
    <row r="257" spans="1:5" x14ac:dyDescent="0.25">
      <c r="A257" t="s">
        <v>635</v>
      </c>
      <c r="B257" s="3">
        <v>38961</v>
      </c>
      <c r="C257" t="s">
        <v>652</v>
      </c>
      <c r="D257">
        <v>250</v>
      </c>
      <c r="E257">
        <v>3457</v>
      </c>
    </row>
    <row r="258" spans="1:5" x14ac:dyDescent="0.25">
      <c r="A258" t="s">
        <v>755</v>
      </c>
      <c r="B258" s="3">
        <v>38961</v>
      </c>
      <c r="C258" t="s">
        <v>652</v>
      </c>
      <c r="D258">
        <v>240</v>
      </c>
      <c r="E258">
        <v>153</v>
      </c>
    </row>
    <row r="259" spans="1:5" x14ac:dyDescent="0.25">
      <c r="A259" t="s">
        <v>754</v>
      </c>
      <c r="B259" s="3">
        <v>38961</v>
      </c>
      <c r="C259" t="s">
        <v>652</v>
      </c>
      <c r="D259">
        <v>300</v>
      </c>
      <c r="E259">
        <v>303</v>
      </c>
    </row>
    <row r="260" spans="1:5" x14ac:dyDescent="0.25">
      <c r="A260" t="s">
        <v>753</v>
      </c>
      <c r="B260" s="3">
        <v>38961</v>
      </c>
      <c r="C260" t="s">
        <v>652</v>
      </c>
      <c r="D260">
        <v>260</v>
      </c>
      <c r="E260">
        <v>395</v>
      </c>
    </row>
    <row r="261" spans="1:5" x14ac:dyDescent="0.25">
      <c r="A261" t="s">
        <v>752</v>
      </c>
      <c r="B261" s="3">
        <v>38961</v>
      </c>
      <c r="C261" t="s">
        <v>652</v>
      </c>
      <c r="D261">
        <v>235</v>
      </c>
      <c r="E261">
        <v>412</v>
      </c>
    </row>
    <row r="262" spans="1:5" x14ac:dyDescent="0.25">
      <c r="A262" t="s">
        <v>751</v>
      </c>
      <c r="B262" s="3">
        <v>38961</v>
      </c>
      <c r="C262" t="s">
        <v>652</v>
      </c>
      <c r="D262">
        <v>295</v>
      </c>
      <c r="E262">
        <v>147</v>
      </c>
    </row>
    <row r="263" spans="1:5" x14ac:dyDescent="0.25">
      <c r="A263" t="s">
        <v>750</v>
      </c>
      <c r="B263" s="3">
        <v>38961</v>
      </c>
      <c r="C263" t="s">
        <v>652</v>
      </c>
      <c r="D263">
        <v>245</v>
      </c>
      <c r="E263">
        <v>277</v>
      </c>
    </row>
    <row r="264" spans="1:5" x14ac:dyDescent="0.25">
      <c r="A264" t="s">
        <v>749</v>
      </c>
      <c r="B264" s="3">
        <v>38961</v>
      </c>
      <c r="C264" t="s">
        <v>652</v>
      </c>
      <c r="D264">
        <v>250</v>
      </c>
      <c r="E264">
        <v>388</v>
      </c>
    </row>
    <row r="265" spans="1:5" x14ac:dyDescent="0.25">
      <c r="A265" t="s">
        <v>748</v>
      </c>
      <c r="B265" s="3">
        <v>38961</v>
      </c>
      <c r="C265" t="s">
        <v>652</v>
      </c>
      <c r="D265">
        <v>230</v>
      </c>
      <c r="E265">
        <v>375</v>
      </c>
    </row>
    <row r="266" spans="1:5" x14ac:dyDescent="0.25">
      <c r="A266" t="s">
        <v>747</v>
      </c>
      <c r="B266" s="3">
        <v>38961</v>
      </c>
      <c r="C266" t="s">
        <v>652</v>
      </c>
      <c r="D266">
        <v>270</v>
      </c>
      <c r="E266">
        <v>404</v>
      </c>
    </row>
    <row r="267" spans="1:5" x14ac:dyDescent="0.25">
      <c r="A267" t="s">
        <v>746</v>
      </c>
      <c r="B267" s="3">
        <v>38961</v>
      </c>
      <c r="C267" t="s">
        <v>652</v>
      </c>
      <c r="D267">
        <v>245</v>
      </c>
      <c r="E267">
        <v>58</v>
      </c>
    </row>
    <row r="268" spans="1:5" x14ac:dyDescent="0.25">
      <c r="A268" t="s">
        <v>745</v>
      </c>
      <c r="B268" s="3">
        <v>38961</v>
      </c>
      <c r="C268" t="s">
        <v>652</v>
      </c>
      <c r="D268">
        <v>260</v>
      </c>
      <c r="E268">
        <v>130</v>
      </c>
    </row>
    <row r="269" spans="1:5" x14ac:dyDescent="0.25">
      <c r="A269" t="s">
        <v>744</v>
      </c>
      <c r="B269" s="3">
        <v>38961</v>
      </c>
      <c r="C269" t="s">
        <v>652</v>
      </c>
      <c r="D269">
        <v>225</v>
      </c>
      <c r="E269">
        <v>415</v>
      </c>
    </row>
    <row r="270" spans="1:5" x14ac:dyDescent="0.25">
      <c r="A270" t="s">
        <v>743</v>
      </c>
      <c r="B270" s="3">
        <v>38961</v>
      </c>
      <c r="C270" t="s">
        <v>652</v>
      </c>
      <c r="D270">
        <v>180</v>
      </c>
      <c r="E270">
        <v>51</v>
      </c>
    </row>
    <row r="271" spans="1:5" x14ac:dyDescent="0.25">
      <c r="A271" t="s">
        <v>742</v>
      </c>
      <c r="B271" s="3">
        <v>38961</v>
      </c>
      <c r="C271" t="s">
        <v>652</v>
      </c>
      <c r="D271">
        <v>230</v>
      </c>
      <c r="E271">
        <v>121</v>
      </c>
    </row>
    <row r="272" spans="1:5" x14ac:dyDescent="0.25">
      <c r="A272" t="s">
        <v>741</v>
      </c>
      <c r="B272" s="3">
        <v>38961</v>
      </c>
      <c r="C272" t="s">
        <v>652</v>
      </c>
      <c r="D272">
        <v>190</v>
      </c>
      <c r="E272">
        <v>301</v>
      </c>
    </row>
    <row r="273" spans="1:5" x14ac:dyDescent="0.25">
      <c r="A273" t="s">
        <v>740</v>
      </c>
      <c r="B273" s="3">
        <v>38961</v>
      </c>
      <c r="C273" t="s">
        <v>652</v>
      </c>
      <c r="D273">
        <v>200</v>
      </c>
      <c r="E273">
        <v>535</v>
      </c>
    </row>
    <row r="274" spans="1:5" x14ac:dyDescent="0.25">
      <c r="A274" t="s">
        <v>739</v>
      </c>
      <c r="B274" s="3">
        <v>38961</v>
      </c>
      <c r="C274" t="s">
        <v>652</v>
      </c>
      <c r="D274">
        <v>240</v>
      </c>
      <c r="E274">
        <v>599</v>
      </c>
    </row>
    <row r="275" spans="1:5" x14ac:dyDescent="0.25">
      <c r="A275" t="s">
        <v>738</v>
      </c>
      <c r="B275" s="3">
        <v>38961</v>
      </c>
      <c r="C275" t="s">
        <v>652</v>
      </c>
      <c r="D275">
        <v>160</v>
      </c>
      <c r="E275">
        <v>56</v>
      </c>
    </row>
    <row r="276" spans="1:5" x14ac:dyDescent="0.25">
      <c r="A276" t="s">
        <v>737</v>
      </c>
      <c r="B276" s="3">
        <v>38961</v>
      </c>
      <c r="C276" t="s">
        <v>652</v>
      </c>
      <c r="D276">
        <v>250</v>
      </c>
      <c r="E276">
        <v>78</v>
      </c>
    </row>
    <row r="277" spans="1:5" x14ac:dyDescent="0.25">
      <c r="A277" t="s">
        <v>736</v>
      </c>
      <c r="B277" s="3">
        <v>38961</v>
      </c>
      <c r="C277" t="s">
        <v>652</v>
      </c>
      <c r="D277">
        <v>170</v>
      </c>
      <c r="E277">
        <v>52</v>
      </c>
    </row>
    <row r="278" spans="1:5" x14ac:dyDescent="0.25">
      <c r="A278" t="s">
        <v>735</v>
      </c>
      <c r="B278" s="3">
        <v>38961</v>
      </c>
      <c r="C278" t="s">
        <v>652</v>
      </c>
      <c r="D278">
        <v>210</v>
      </c>
      <c r="E278">
        <v>219</v>
      </c>
    </row>
    <row r="279" spans="1:5" x14ac:dyDescent="0.25">
      <c r="A279" t="s">
        <v>763</v>
      </c>
      <c r="B279" s="3">
        <v>38961</v>
      </c>
      <c r="C279" t="s">
        <v>652</v>
      </c>
      <c r="D279">
        <v>220</v>
      </c>
      <c r="E279">
        <v>241</v>
      </c>
    </row>
    <row r="280" spans="1:5" x14ac:dyDescent="0.25">
      <c r="A280" t="s">
        <v>762</v>
      </c>
      <c r="B280" s="3">
        <v>38961</v>
      </c>
      <c r="C280" t="s">
        <v>652</v>
      </c>
      <c r="D280">
        <v>300</v>
      </c>
      <c r="E280">
        <v>1245</v>
      </c>
    </row>
    <row r="281" spans="1:5" x14ac:dyDescent="0.25">
      <c r="A281" t="s">
        <v>733</v>
      </c>
      <c r="B281" s="3">
        <v>38961</v>
      </c>
      <c r="C281" t="s">
        <v>652</v>
      </c>
      <c r="D281">
        <v>280</v>
      </c>
      <c r="E281">
        <v>252</v>
      </c>
    </row>
    <row r="282" spans="1:5" x14ac:dyDescent="0.25">
      <c r="A282" t="s">
        <v>732</v>
      </c>
      <c r="B282" s="3">
        <v>38961</v>
      </c>
      <c r="C282" t="s">
        <v>652</v>
      </c>
      <c r="D282">
        <v>300</v>
      </c>
      <c r="E282">
        <v>643</v>
      </c>
    </row>
    <row r="283" spans="1:5" x14ac:dyDescent="0.25">
      <c r="A283" t="s">
        <v>731</v>
      </c>
      <c r="B283" s="3">
        <v>38961</v>
      </c>
      <c r="C283" t="s">
        <v>652</v>
      </c>
      <c r="D283">
        <v>300</v>
      </c>
      <c r="E283">
        <v>141</v>
      </c>
    </row>
    <row r="284" spans="1:5" x14ac:dyDescent="0.25">
      <c r="A284" t="s">
        <v>730</v>
      </c>
      <c r="B284" s="3">
        <v>38961</v>
      </c>
      <c r="C284" t="s">
        <v>652</v>
      </c>
      <c r="D284">
        <v>280</v>
      </c>
      <c r="E284">
        <v>209</v>
      </c>
    </row>
    <row r="285" spans="1:5" x14ac:dyDescent="0.25">
      <c r="A285" t="s">
        <v>729</v>
      </c>
      <c r="B285" s="3">
        <v>38961</v>
      </c>
      <c r="C285" t="s">
        <v>652</v>
      </c>
      <c r="D285">
        <v>180</v>
      </c>
      <c r="E285">
        <v>103</v>
      </c>
    </row>
    <row r="286" spans="1:5" x14ac:dyDescent="0.25">
      <c r="A286" t="s">
        <v>728</v>
      </c>
      <c r="B286" s="3">
        <v>38961</v>
      </c>
      <c r="C286" t="s">
        <v>652</v>
      </c>
      <c r="D286">
        <v>200</v>
      </c>
      <c r="E286">
        <v>241</v>
      </c>
    </row>
    <row r="287" spans="1:5" x14ac:dyDescent="0.25">
      <c r="A287" t="s">
        <v>727</v>
      </c>
      <c r="B287" s="3">
        <v>38961</v>
      </c>
      <c r="C287" t="s">
        <v>652</v>
      </c>
      <c r="D287">
        <v>185</v>
      </c>
      <c r="E287">
        <v>730</v>
      </c>
    </row>
    <row r="288" spans="1:5" x14ac:dyDescent="0.25">
      <c r="A288" t="s">
        <v>726</v>
      </c>
      <c r="B288" s="3">
        <v>38961</v>
      </c>
      <c r="C288" t="s">
        <v>652</v>
      </c>
      <c r="D288">
        <v>170</v>
      </c>
      <c r="E288">
        <v>55</v>
      </c>
    </row>
    <row r="289" spans="1:5" x14ac:dyDescent="0.25">
      <c r="A289" t="s">
        <v>725</v>
      </c>
      <c r="B289" s="3">
        <v>38961</v>
      </c>
      <c r="C289" t="s">
        <v>652</v>
      </c>
      <c r="D289">
        <v>205</v>
      </c>
      <c r="E289">
        <v>777</v>
      </c>
    </row>
    <row r="290" spans="1:5" x14ac:dyDescent="0.25">
      <c r="A290" t="s">
        <v>724</v>
      </c>
      <c r="B290" s="3">
        <v>38961</v>
      </c>
      <c r="C290" t="s">
        <v>652</v>
      </c>
      <c r="D290">
        <v>220</v>
      </c>
      <c r="E290">
        <v>346</v>
      </c>
    </row>
    <row r="291" spans="1:5" x14ac:dyDescent="0.25">
      <c r="A291" t="s">
        <v>723</v>
      </c>
      <c r="B291" s="3">
        <v>38961</v>
      </c>
      <c r="C291" t="s">
        <v>652</v>
      </c>
      <c r="D291">
        <v>160</v>
      </c>
      <c r="E291">
        <v>30</v>
      </c>
    </row>
    <row r="292" spans="1:5" x14ac:dyDescent="0.25">
      <c r="A292" t="s">
        <v>722</v>
      </c>
      <c r="B292" s="3">
        <v>38961</v>
      </c>
      <c r="C292" t="s">
        <v>652</v>
      </c>
      <c r="D292">
        <v>180</v>
      </c>
      <c r="E292">
        <v>122</v>
      </c>
    </row>
    <row r="293" spans="1:5" x14ac:dyDescent="0.25">
      <c r="A293" t="s">
        <v>721</v>
      </c>
      <c r="B293" s="3">
        <v>38961</v>
      </c>
      <c r="C293" t="s">
        <v>652</v>
      </c>
      <c r="D293">
        <v>200</v>
      </c>
      <c r="E293">
        <v>103</v>
      </c>
    </row>
    <row r="294" spans="1:5" x14ac:dyDescent="0.25">
      <c r="A294" t="s">
        <v>720</v>
      </c>
      <c r="B294" s="3">
        <v>38961</v>
      </c>
      <c r="C294" t="s">
        <v>652</v>
      </c>
      <c r="D294">
        <v>230</v>
      </c>
      <c r="E294">
        <v>89</v>
      </c>
    </row>
    <row r="295" spans="1:5" x14ac:dyDescent="0.25">
      <c r="A295" t="s">
        <v>719</v>
      </c>
      <c r="B295" s="3">
        <v>38961</v>
      </c>
      <c r="C295" t="s">
        <v>652</v>
      </c>
      <c r="D295">
        <v>230</v>
      </c>
      <c r="E295">
        <v>387</v>
      </c>
    </row>
    <row r="296" spans="1:5" x14ac:dyDescent="0.25">
      <c r="A296" t="s">
        <v>718</v>
      </c>
      <c r="B296" s="3">
        <v>38961</v>
      </c>
      <c r="C296" t="s">
        <v>652</v>
      </c>
      <c r="D296">
        <v>220</v>
      </c>
      <c r="E296">
        <v>263</v>
      </c>
    </row>
    <row r="297" spans="1:5" x14ac:dyDescent="0.25">
      <c r="A297" t="s">
        <v>717</v>
      </c>
      <c r="B297" s="3">
        <v>38961</v>
      </c>
      <c r="C297" t="s">
        <v>652</v>
      </c>
      <c r="D297">
        <v>230</v>
      </c>
      <c r="E297">
        <v>406</v>
      </c>
    </row>
    <row r="298" spans="1:5" x14ac:dyDescent="0.25">
      <c r="A298" t="s">
        <v>716</v>
      </c>
      <c r="B298" s="3">
        <v>38961</v>
      </c>
      <c r="C298" t="s">
        <v>652</v>
      </c>
      <c r="D298">
        <v>165</v>
      </c>
      <c r="E298">
        <v>281</v>
      </c>
    </row>
    <row r="299" spans="1:5" x14ac:dyDescent="0.25">
      <c r="A299" t="s">
        <v>715</v>
      </c>
      <c r="B299" s="3">
        <v>38961</v>
      </c>
      <c r="C299" t="s">
        <v>652</v>
      </c>
      <c r="D299">
        <v>165</v>
      </c>
      <c r="E299">
        <v>42</v>
      </c>
    </row>
    <row r="300" spans="1:5" x14ac:dyDescent="0.25">
      <c r="A300" t="s">
        <v>714</v>
      </c>
      <c r="B300" s="3">
        <v>38961</v>
      </c>
      <c r="C300" t="s">
        <v>652</v>
      </c>
      <c r="D300">
        <v>260</v>
      </c>
      <c r="E300">
        <v>1039</v>
      </c>
    </row>
    <row r="301" spans="1:5" x14ac:dyDescent="0.25">
      <c r="A301" t="s">
        <v>761</v>
      </c>
      <c r="B301" s="3">
        <v>38961</v>
      </c>
      <c r="C301" t="s">
        <v>652</v>
      </c>
      <c r="D301">
        <v>260</v>
      </c>
      <c r="E301">
        <v>318</v>
      </c>
    </row>
    <row r="302" spans="1:5" x14ac:dyDescent="0.25">
      <c r="A302" t="s">
        <v>760</v>
      </c>
      <c r="B302" s="3">
        <v>38961</v>
      </c>
      <c r="C302" t="s">
        <v>652</v>
      </c>
      <c r="D302">
        <v>255</v>
      </c>
      <c r="E302">
        <v>551</v>
      </c>
    </row>
    <row r="303" spans="1:5" x14ac:dyDescent="0.25">
      <c r="A303" t="s">
        <v>759</v>
      </c>
      <c r="B303" s="3">
        <v>38961</v>
      </c>
      <c r="C303" t="s">
        <v>652</v>
      </c>
      <c r="D303">
        <v>250</v>
      </c>
      <c r="E303">
        <v>170</v>
      </c>
    </row>
    <row r="304" spans="1:5" x14ac:dyDescent="0.25">
      <c r="A304" t="s">
        <v>758</v>
      </c>
      <c r="B304" s="3">
        <v>38961</v>
      </c>
      <c r="C304" t="s">
        <v>652</v>
      </c>
      <c r="D304">
        <v>220</v>
      </c>
      <c r="E304">
        <v>343</v>
      </c>
    </row>
    <row r="305" spans="1:5" x14ac:dyDescent="0.25">
      <c r="A305" t="s">
        <v>710</v>
      </c>
      <c r="B305" s="3">
        <v>38961</v>
      </c>
      <c r="C305" t="s">
        <v>652</v>
      </c>
      <c r="D305">
        <v>195</v>
      </c>
      <c r="E305">
        <v>521</v>
      </c>
    </row>
    <row r="306" spans="1:5" x14ac:dyDescent="0.25">
      <c r="A306" t="s">
        <v>709</v>
      </c>
      <c r="B306" s="3">
        <v>38961</v>
      </c>
      <c r="C306" t="s">
        <v>652</v>
      </c>
      <c r="D306">
        <v>225</v>
      </c>
      <c r="E306">
        <v>383</v>
      </c>
    </row>
    <row r="307" spans="1:5" x14ac:dyDescent="0.25">
      <c r="A307" t="s">
        <v>708</v>
      </c>
      <c r="B307" s="3">
        <v>38961</v>
      </c>
      <c r="C307" t="s">
        <v>652</v>
      </c>
      <c r="D307">
        <v>160</v>
      </c>
      <c r="E307">
        <v>97</v>
      </c>
    </row>
    <row r="308" spans="1:5" x14ac:dyDescent="0.25">
      <c r="A308" t="s">
        <v>635</v>
      </c>
      <c r="B308" s="3">
        <v>39052</v>
      </c>
      <c r="C308" t="s">
        <v>649</v>
      </c>
      <c r="D308">
        <v>230</v>
      </c>
      <c r="E308">
        <v>3933</v>
      </c>
    </row>
    <row r="309" spans="1:5" x14ac:dyDescent="0.25">
      <c r="A309" t="s">
        <v>755</v>
      </c>
      <c r="B309" s="3">
        <v>39052</v>
      </c>
      <c r="C309" t="s">
        <v>649</v>
      </c>
      <c r="D309">
        <v>180</v>
      </c>
      <c r="E309">
        <v>67</v>
      </c>
    </row>
    <row r="310" spans="1:5" x14ac:dyDescent="0.25">
      <c r="A310" t="s">
        <v>754</v>
      </c>
      <c r="B310" s="3">
        <v>39052</v>
      </c>
      <c r="C310" t="s">
        <v>649</v>
      </c>
      <c r="D310">
        <v>290</v>
      </c>
      <c r="E310">
        <v>1686</v>
      </c>
    </row>
    <row r="311" spans="1:5" x14ac:dyDescent="0.25">
      <c r="A311" t="s">
        <v>753</v>
      </c>
      <c r="B311" s="3">
        <v>39052</v>
      </c>
      <c r="C311" t="s">
        <v>649</v>
      </c>
      <c r="D311">
        <v>205</v>
      </c>
      <c r="E311">
        <v>721</v>
      </c>
    </row>
    <row r="312" spans="1:5" x14ac:dyDescent="0.25">
      <c r="A312" t="s">
        <v>752</v>
      </c>
      <c r="B312" s="3">
        <v>39052</v>
      </c>
      <c r="C312" t="s">
        <v>649</v>
      </c>
      <c r="D312">
        <v>190</v>
      </c>
      <c r="E312">
        <v>167</v>
      </c>
    </row>
    <row r="313" spans="1:5" x14ac:dyDescent="0.25">
      <c r="A313" t="s">
        <v>751</v>
      </c>
      <c r="B313" s="3">
        <v>39052</v>
      </c>
      <c r="C313" t="s">
        <v>649</v>
      </c>
      <c r="D313">
        <v>220</v>
      </c>
      <c r="E313">
        <v>101</v>
      </c>
    </row>
    <row r="314" spans="1:5" x14ac:dyDescent="0.25">
      <c r="A314" t="s">
        <v>750</v>
      </c>
      <c r="B314" s="3">
        <v>39052</v>
      </c>
      <c r="C314" t="s">
        <v>649</v>
      </c>
      <c r="D314">
        <v>210</v>
      </c>
      <c r="E314">
        <v>38</v>
      </c>
    </row>
    <row r="315" spans="1:5" x14ac:dyDescent="0.25">
      <c r="A315" t="s">
        <v>749</v>
      </c>
      <c r="B315" s="3">
        <v>39052</v>
      </c>
      <c r="C315" t="s">
        <v>649</v>
      </c>
      <c r="D315">
        <v>195</v>
      </c>
      <c r="E315">
        <v>428</v>
      </c>
    </row>
    <row r="316" spans="1:5" x14ac:dyDescent="0.25">
      <c r="A316" t="s">
        <v>748</v>
      </c>
      <c r="B316" s="3">
        <v>39052</v>
      </c>
      <c r="C316" t="s">
        <v>649</v>
      </c>
      <c r="D316">
        <v>185</v>
      </c>
      <c r="E316">
        <v>44</v>
      </c>
    </row>
    <row r="317" spans="1:5" x14ac:dyDescent="0.25">
      <c r="A317" t="s">
        <v>747</v>
      </c>
      <c r="B317" s="3">
        <v>39052</v>
      </c>
      <c r="C317" t="s">
        <v>649</v>
      </c>
      <c r="D317">
        <v>220</v>
      </c>
      <c r="E317">
        <v>434</v>
      </c>
    </row>
    <row r="318" spans="1:5" x14ac:dyDescent="0.25">
      <c r="A318" t="s">
        <v>746</v>
      </c>
      <c r="B318" s="3">
        <v>39052</v>
      </c>
      <c r="C318" t="s">
        <v>649</v>
      </c>
      <c r="D318">
        <v>195</v>
      </c>
      <c r="E318">
        <v>13</v>
      </c>
    </row>
    <row r="319" spans="1:5" x14ac:dyDescent="0.25">
      <c r="A319" t="s">
        <v>745</v>
      </c>
      <c r="B319" s="3">
        <v>39052</v>
      </c>
      <c r="C319" t="s">
        <v>649</v>
      </c>
      <c r="D319">
        <v>230</v>
      </c>
      <c r="E319">
        <v>216</v>
      </c>
    </row>
    <row r="320" spans="1:5" x14ac:dyDescent="0.25">
      <c r="A320" t="s">
        <v>744</v>
      </c>
      <c r="B320" s="3">
        <v>39052</v>
      </c>
      <c r="C320" t="s">
        <v>649</v>
      </c>
      <c r="D320">
        <v>200</v>
      </c>
      <c r="E320">
        <v>18</v>
      </c>
    </row>
    <row r="321" spans="1:5" x14ac:dyDescent="0.25">
      <c r="A321" t="s">
        <v>743</v>
      </c>
      <c r="B321" s="3">
        <v>39052</v>
      </c>
      <c r="C321" t="s">
        <v>649</v>
      </c>
      <c r="D321">
        <v>125</v>
      </c>
      <c r="E321">
        <v>21</v>
      </c>
    </row>
    <row r="322" spans="1:5" x14ac:dyDescent="0.25">
      <c r="A322" t="s">
        <v>742</v>
      </c>
      <c r="B322" s="3">
        <v>39052</v>
      </c>
      <c r="C322" t="s">
        <v>649</v>
      </c>
      <c r="D322">
        <v>145</v>
      </c>
      <c r="E322">
        <v>24</v>
      </c>
    </row>
    <row r="323" spans="1:5" x14ac:dyDescent="0.25">
      <c r="A323" t="s">
        <v>741</v>
      </c>
      <c r="B323" s="3">
        <v>39052</v>
      </c>
      <c r="C323" t="s">
        <v>649</v>
      </c>
      <c r="D323">
        <v>140</v>
      </c>
      <c r="E323">
        <v>138</v>
      </c>
    </row>
    <row r="324" spans="1:5" x14ac:dyDescent="0.25">
      <c r="A324" t="s">
        <v>740</v>
      </c>
      <c r="B324" s="3">
        <v>39052</v>
      </c>
      <c r="C324" t="s">
        <v>649</v>
      </c>
      <c r="D324">
        <v>165</v>
      </c>
      <c r="E324">
        <v>165</v>
      </c>
    </row>
    <row r="325" spans="1:5" x14ac:dyDescent="0.25">
      <c r="A325" t="s">
        <v>739</v>
      </c>
      <c r="B325" s="3">
        <v>39052</v>
      </c>
      <c r="C325" t="s">
        <v>649</v>
      </c>
      <c r="D325">
        <v>180</v>
      </c>
      <c r="E325">
        <v>865</v>
      </c>
    </row>
    <row r="326" spans="1:5" x14ac:dyDescent="0.25">
      <c r="A326" t="s">
        <v>738</v>
      </c>
      <c r="B326" s="3">
        <v>39052</v>
      </c>
      <c r="C326" t="s">
        <v>649</v>
      </c>
      <c r="D326">
        <v>130</v>
      </c>
      <c r="E326">
        <v>19</v>
      </c>
    </row>
    <row r="327" spans="1:5" x14ac:dyDescent="0.25">
      <c r="A327" t="s">
        <v>737</v>
      </c>
      <c r="B327" s="3">
        <v>39052</v>
      </c>
      <c r="C327" t="s">
        <v>649</v>
      </c>
      <c r="D327">
        <v>170</v>
      </c>
      <c r="E327">
        <v>43</v>
      </c>
    </row>
    <row r="328" spans="1:5" x14ac:dyDescent="0.25">
      <c r="A328" t="s">
        <v>736</v>
      </c>
      <c r="B328" s="3">
        <v>39052</v>
      </c>
      <c r="C328" t="s">
        <v>649</v>
      </c>
      <c r="D328">
        <v>140</v>
      </c>
      <c r="E328">
        <v>16</v>
      </c>
    </row>
    <row r="329" spans="1:5" x14ac:dyDescent="0.25">
      <c r="A329" t="s">
        <v>735</v>
      </c>
      <c r="B329" s="3">
        <v>39052</v>
      </c>
      <c r="C329" t="s">
        <v>649</v>
      </c>
      <c r="D329">
        <v>150</v>
      </c>
      <c r="E329">
        <v>162</v>
      </c>
    </row>
    <row r="330" spans="1:5" x14ac:dyDescent="0.25">
      <c r="A330" t="s">
        <v>763</v>
      </c>
      <c r="B330" s="3">
        <v>39052</v>
      </c>
      <c r="C330" t="s">
        <v>649</v>
      </c>
      <c r="D330">
        <v>150</v>
      </c>
      <c r="E330">
        <v>58</v>
      </c>
    </row>
    <row r="331" spans="1:5" x14ac:dyDescent="0.25">
      <c r="A331" t="s">
        <v>762</v>
      </c>
      <c r="B331" s="3">
        <v>39052</v>
      </c>
      <c r="C331" t="s">
        <v>649</v>
      </c>
      <c r="D331">
        <v>250</v>
      </c>
      <c r="E331">
        <v>2125</v>
      </c>
    </row>
    <row r="332" spans="1:5" x14ac:dyDescent="0.25">
      <c r="A332" t="s">
        <v>733</v>
      </c>
      <c r="B332" s="3">
        <v>39052</v>
      </c>
      <c r="C332" t="s">
        <v>649</v>
      </c>
      <c r="D332">
        <v>245</v>
      </c>
      <c r="E332">
        <v>189</v>
      </c>
    </row>
    <row r="333" spans="1:5" x14ac:dyDescent="0.25">
      <c r="A333" t="s">
        <v>732</v>
      </c>
      <c r="B333" s="3">
        <v>39052</v>
      </c>
      <c r="C333" t="s">
        <v>649</v>
      </c>
      <c r="D333">
        <v>250</v>
      </c>
      <c r="E333">
        <v>1498</v>
      </c>
    </row>
    <row r="334" spans="1:5" x14ac:dyDescent="0.25">
      <c r="A334" t="s">
        <v>731</v>
      </c>
      <c r="B334" s="3">
        <v>39052</v>
      </c>
      <c r="C334" t="s">
        <v>649</v>
      </c>
      <c r="D334">
        <v>220</v>
      </c>
      <c r="E334">
        <v>365</v>
      </c>
    </row>
    <row r="335" spans="1:5" x14ac:dyDescent="0.25">
      <c r="A335" t="s">
        <v>730</v>
      </c>
      <c r="B335" s="3">
        <v>39052</v>
      </c>
      <c r="C335" t="s">
        <v>649</v>
      </c>
      <c r="D335">
        <v>210</v>
      </c>
      <c r="E335">
        <v>73</v>
      </c>
    </row>
    <row r="336" spans="1:5" x14ac:dyDescent="0.25">
      <c r="A336" t="s">
        <v>729</v>
      </c>
      <c r="B336" s="3">
        <v>39052</v>
      </c>
      <c r="C336" t="s">
        <v>649</v>
      </c>
      <c r="D336">
        <v>130</v>
      </c>
      <c r="E336">
        <v>30</v>
      </c>
    </row>
    <row r="337" spans="1:5" x14ac:dyDescent="0.25">
      <c r="A337" t="s">
        <v>728</v>
      </c>
      <c r="B337" s="3">
        <v>39052</v>
      </c>
      <c r="C337" t="s">
        <v>649</v>
      </c>
      <c r="D337">
        <v>170</v>
      </c>
      <c r="E337">
        <v>115</v>
      </c>
    </row>
    <row r="338" spans="1:5" x14ac:dyDescent="0.25">
      <c r="A338" t="s">
        <v>727</v>
      </c>
      <c r="B338" s="3">
        <v>39052</v>
      </c>
      <c r="C338" t="s">
        <v>649</v>
      </c>
      <c r="D338">
        <v>155</v>
      </c>
      <c r="E338">
        <v>140</v>
      </c>
    </row>
    <row r="339" spans="1:5" x14ac:dyDescent="0.25">
      <c r="A339" t="s">
        <v>726</v>
      </c>
      <c r="B339" s="3">
        <v>39052</v>
      </c>
      <c r="C339" t="s">
        <v>649</v>
      </c>
      <c r="D339">
        <v>130</v>
      </c>
      <c r="E339">
        <v>35</v>
      </c>
    </row>
    <row r="340" spans="1:5" x14ac:dyDescent="0.25">
      <c r="A340" t="s">
        <v>725</v>
      </c>
      <c r="B340" s="3">
        <v>39052</v>
      </c>
      <c r="C340" t="s">
        <v>649</v>
      </c>
      <c r="D340">
        <v>155</v>
      </c>
      <c r="E340">
        <v>228</v>
      </c>
    </row>
    <row r="341" spans="1:5" x14ac:dyDescent="0.25">
      <c r="A341" t="s">
        <v>724</v>
      </c>
      <c r="B341" s="3">
        <v>39052</v>
      </c>
      <c r="C341" t="s">
        <v>649</v>
      </c>
      <c r="D341">
        <v>150</v>
      </c>
      <c r="E341">
        <v>256</v>
      </c>
    </row>
    <row r="342" spans="1:5" x14ac:dyDescent="0.25">
      <c r="A342" t="s">
        <v>723</v>
      </c>
      <c r="B342" s="3">
        <v>39052</v>
      </c>
      <c r="C342" t="s">
        <v>649</v>
      </c>
      <c r="D342">
        <v>115</v>
      </c>
      <c r="E342">
        <v>23</v>
      </c>
    </row>
    <row r="343" spans="1:5" x14ac:dyDescent="0.25">
      <c r="A343" t="s">
        <v>722</v>
      </c>
      <c r="B343" s="3">
        <v>39052</v>
      </c>
      <c r="C343" t="s">
        <v>649</v>
      </c>
      <c r="D343">
        <v>130</v>
      </c>
      <c r="E343">
        <v>63</v>
      </c>
    </row>
    <row r="344" spans="1:5" x14ac:dyDescent="0.25">
      <c r="A344" t="s">
        <v>721</v>
      </c>
      <c r="B344" s="3">
        <v>39052</v>
      </c>
      <c r="C344" t="s">
        <v>649</v>
      </c>
      <c r="D344">
        <v>145</v>
      </c>
      <c r="E344">
        <v>120</v>
      </c>
    </row>
    <row r="345" spans="1:5" x14ac:dyDescent="0.25">
      <c r="A345" t="s">
        <v>720</v>
      </c>
      <c r="B345" s="3">
        <v>39052</v>
      </c>
      <c r="C345" t="s">
        <v>649</v>
      </c>
      <c r="D345">
        <v>160</v>
      </c>
      <c r="E345">
        <v>44</v>
      </c>
    </row>
    <row r="346" spans="1:5" x14ac:dyDescent="0.25">
      <c r="A346" t="s">
        <v>719</v>
      </c>
      <c r="B346" s="3">
        <v>39052</v>
      </c>
      <c r="C346" t="s">
        <v>649</v>
      </c>
      <c r="D346">
        <v>170</v>
      </c>
      <c r="E346">
        <v>58</v>
      </c>
    </row>
    <row r="347" spans="1:5" x14ac:dyDescent="0.25">
      <c r="A347" t="s">
        <v>718</v>
      </c>
      <c r="B347" s="3">
        <v>39052</v>
      </c>
      <c r="C347" t="s">
        <v>649</v>
      </c>
      <c r="D347">
        <v>165</v>
      </c>
      <c r="E347">
        <v>139</v>
      </c>
    </row>
    <row r="348" spans="1:5" x14ac:dyDescent="0.25">
      <c r="A348" t="s">
        <v>717</v>
      </c>
      <c r="B348" s="3">
        <v>39052</v>
      </c>
      <c r="C348" t="s">
        <v>649</v>
      </c>
      <c r="D348">
        <v>210</v>
      </c>
      <c r="E348">
        <v>89</v>
      </c>
    </row>
    <row r="349" spans="1:5" x14ac:dyDescent="0.25">
      <c r="A349" t="s">
        <v>716</v>
      </c>
      <c r="B349" s="3">
        <v>39052</v>
      </c>
      <c r="C349" t="s">
        <v>649</v>
      </c>
      <c r="D349">
        <v>125</v>
      </c>
      <c r="E349">
        <v>263</v>
      </c>
    </row>
    <row r="350" spans="1:5" x14ac:dyDescent="0.25">
      <c r="A350" t="s">
        <v>715</v>
      </c>
      <c r="B350" s="3">
        <v>39052</v>
      </c>
      <c r="C350" t="s">
        <v>649</v>
      </c>
      <c r="D350">
        <v>100</v>
      </c>
      <c r="E350">
        <v>22</v>
      </c>
    </row>
    <row r="351" spans="1:5" x14ac:dyDescent="0.25">
      <c r="A351" t="s">
        <v>714</v>
      </c>
      <c r="B351" s="3">
        <v>39052</v>
      </c>
      <c r="C351" t="s">
        <v>649</v>
      </c>
      <c r="D351">
        <v>205</v>
      </c>
      <c r="E351">
        <v>863</v>
      </c>
    </row>
    <row r="352" spans="1:5" x14ac:dyDescent="0.25">
      <c r="A352" t="s">
        <v>761</v>
      </c>
      <c r="B352" s="3">
        <v>39052</v>
      </c>
      <c r="C352" t="s">
        <v>649</v>
      </c>
      <c r="D352">
        <v>200</v>
      </c>
      <c r="E352">
        <v>190</v>
      </c>
    </row>
    <row r="353" spans="1:5" x14ac:dyDescent="0.25">
      <c r="A353" t="s">
        <v>760</v>
      </c>
      <c r="B353" s="3">
        <v>39052</v>
      </c>
      <c r="C353" t="s">
        <v>649</v>
      </c>
      <c r="D353">
        <v>200</v>
      </c>
      <c r="E353">
        <v>558</v>
      </c>
    </row>
    <row r="354" spans="1:5" x14ac:dyDescent="0.25">
      <c r="A354" t="s">
        <v>759</v>
      </c>
      <c r="B354" s="3">
        <v>39052</v>
      </c>
      <c r="C354" t="s">
        <v>649</v>
      </c>
      <c r="D354">
        <v>225</v>
      </c>
      <c r="E354">
        <v>115</v>
      </c>
    </row>
    <row r="355" spans="1:5" x14ac:dyDescent="0.25">
      <c r="A355" t="s">
        <v>758</v>
      </c>
      <c r="B355" s="3">
        <v>39052</v>
      </c>
      <c r="C355" t="s">
        <v>649</v>
      </c>
      <c r="D355">
        <v>150</v>
      </c>
      <c r="E355">
        <v>68</v>
      </c>
    </row>
    <row r="356" spans="1:5" x14ac:dyDescent="0.25">
      <c r="A356" t="s">
        <v>710</v>
      </c>
      <c r="B356" s="3">
        <v>39052</v>
      </c>
      <c r="C356" t="s">
        <v>649</v>
      </c>
      <c r="D356">
        <v>150</v>
      </c>
      <c r="E356">
        <v>365</v>
      </c>
    </row>
    <row r="357" spans="1:5" x14ac:dyDescent="0.25">
      <c r="A357" t="s">
        <v>709</v>
      </c>
      <c r="B357" s="3">
        <v>39052</v>
      </c>
      <c r="C357" t="s">
        <v>649</v>
      </c>
      <c r="D357">
        <v>170</v>
      </c>
      <c r="E357">
        <v>612</v>
      </c>
    </row>
    <row r="358" spans="1:5" x14ac:dyDescent="0.25">
      <c r="A358" t="s">
        <v>708</v>
      </c>
      <c r="B358" s="3">
        <v>39052</v>
      </c>
      <c r="C358" t="s">
        <v>649</v>
      </c>
      <c r="D358">
        <v>130</v>
      </c>
      <c r="E358">
        <v>35</v>
      </c>
    </row>
    <row r="359" spans="1:5" x14ac:dyDescent="0.25">
      <c r="A359" t="s">
        <v>635</v>
      </c>
      <c r="B359" s="3">
        <v>39052</v>
      </c>
      <c r="C359" t="s">
        <v>652</v>
      </c>
      <c r="D359">
        <v>250</v>
      </c>
      <c r="E359">
        <v>3402</v>
      </c>
    </row>
    <row r="360" spans="1:5" x14ac:dyDescent="0.25">
      <c r="A360" t="s">
        <v>755</v>
      </c>
      <c r="B360" s="3">
        <v>39052</v>
      </c>
      <c r="C360" t="s">
        <v>652</v>
      </c>
      <c r="D360">
        <v>240</v>
      </c>
      <c r="E360">
        <v>170</v>
      </c>
    </row>
    <row r="361" spans="1:5" x14ac:dyDescent="0.25">
      <c r="A361" t="s">
        <v>754</v>
      </c>
      <c r="B361" s="3">
        <v>39052</v>
      </c>
      <c r="C361" t="s">
        <v>652</v>
      </c>
      <c r="D361">
        <v>300</v>
      </c>
      <c r="E361">
        <v>345</v>
      </c>
    </row>
    <row r="362" spans="1:5" x14ac:dyDescent="0.25">
      <c r="A362" t="s">
        <v>753</v>
      </c>
      <c r="B362" s="3">
        <v>39052</v>
      </c>
      <c r="C362" t="s">
        <v>652</v>
      </c>
      <c r="D362">
        <v>265</v>
      </c>
      <c r="E362">
        <v>366</v>
      </c>
    </row>
    <row r="363" spans="1:5" x14ac:dyDescent="0.25">
      <c r="A363" t="s">
        <v>752</v>
      </c>
      <c r="B363" s="3">
        <v>39052</v>
      </c>
      <c r="C363" t="s">
        <v>652</v>
      </c>
      <c r="D363">
        <v>240</v>
      </c>
      <c r="E363">
        <v>397</v>
      </c>
    </row>
    <row r="364" spans="1:5" x14ac:dyDescent="0.25">
      <c r="A364" t="s">
        <v>751</v>
      </c>
      <c r="B364" s="3">
        <v>39052</v>
      </c>
      <c r="C364" t="s">
        <v>652</v>
      </c>
      <c r="D364">
        <v>290</v>
      </c>
      <c r="E364">
        <v>143</v>
      </c>
    </row>
    <row r="365" spans="1:5" x14ac:dyDescent="0.25">
      <c r="A365" t="s">
        <v>750</v>
      </c>
      <c r="B365" s="3">
        <v>39052</v>
      </c>
      <c r="C365" t="s">
        <v>652</v>
      </c>
      <c r="D365">
        <v>250</v>
      </c>
      <c r="E365">
        <v>290</v>
      </c>
    </row>
    <row r="366" spans="1:5" x14ac:dyDescent="0.25">
      <c r="A366" t="s">
        <v>749</v>
      </c>
      <c r="B366" s="3">
        <v>39052</v>
      </c>
      <c r="C366" t="s">
        <v>652</v>
      </c>
      <c r="D366">
        <v>250</v>
      </c>
      <c r="E366">
        <v>362</v>
      </c>
    </row>
    <row r="367" spans="1:5" x14ac:dyDescent="0.25">
      <c r="A367" t="s">
        <v>748</v>
      </c>
      <c r="B367" s="3">
        <v>39052</v>
      </c>
      <c r="C367" t="s">
        <v>652</v>
      </c>
      <c r="D367">
        <v>230</v>
      </c>
      <c r="E367">
        <v>315</v>
      </c>
    </row>
    <row r="368" spans="1:5" x14ac:dyDescent="0.25">
      <c r="A368" t="s">
        <v>747</v>
      </c>
      <c r="B368" s="3">
        <v>39052</v>
      </c>
      <c r="C368" t="s">
        <v>652</v>
      </c>
      <c r="D368">
        <v>265</v>
      </c>
      <c r="E368">
        <v>367</v>
      </c>
    </row>
    <row r="369" spans="1:5" x14ac:dyDescent="0.25">
      <c r="A369" t="s">
        <v>746</v>
      </c>
      <c r="B369" s="3">
        <v>39052</v>
      </c>
      <c r="C369" t="s">
        <v>652</v>
      </c>
      <c r="D369">
        <v>260</v>
      </c>
      <c r="E369">
        <v>61</v>
      </c>
    </row>
    <row r="370" spans="1:5" x14ac:dyDescent="0.25">
      <c r="A370" t="s">
        <v>745</v>
      </c>
      <c r="B370" s="3">
        <v>39052</v>
      </c>
      <c r="C370" t="s">
        <v>652</v>
      </c>
      <c r="D370">
        <v>260</v>
      </c>
      <c r="E370">
        <v>150</v>
      </c>
    </row>
    <row r="371" spans="1:5" x14ac:dyDescent="0.25">
      <c r="A371" t="s">
        <v>744</v>
      </c>
      <c r="B371" s="3">
        <v>39052</v>
      </c>
      <c r="C371" t="s">
        <v>652</v>
      </c>
      <c r="D371">
        <v>230</v>
      </c>
      <c r="E371">
        <v>435</v>
      </c>
    </row>
    <row r="372" spans="1:5" x14ac:dyDescent="0.25">
      <c r="A372" t="s">
        <v>743</v>
      </c>
      <c r="B372" s="3">
        <v>39052</v>
      </c>
      <c r="C372" t="s">
        <v>652</v>
      </c>
      <c r="D372">
        <v>180</v>
      </c>
      <c r="E372">
        <v>50</v>
      </c>
    </row>
    <row r="373" spans="1:5" x14ac:dyDescent="0.25">
      <c r="A373" t="s">
        <v>742</v>
      </c>
      <c r="B373" s="3">
        <v>39052</v>
      </c>
      <c r="C373" t="s">
        <v>652</v>
      </c>
      <c r="D373">
        <v>240</v>
      </c>
      <c r="E373">
        <v>112</v>
      </c>
    </row>
    <row r="374" spans="1:5" x14ac:dyDescent="0.25">
      <c r="A374" t="s">
        <v>741</v>
      </c>
      <c r="B374" s="3">
        <v>39052</v>
      </c>
      <c r="C374" t="s">
        <v>652</v>
      </c>
      <c r="D374">
        <v>190</v>
      </c>
      <c r="E374">
        <v>326</v>
      </c>
    </row>
    <row r="375" spans="1:5" x14ac:dyDescent="0.25">
      <c r="A375" t="s">
        <v>740</v>
      </c>
      <c r="B375" s="3">
        <v>39052</v>
      </c>
      <c r="C375" t="s">
        <v>652</v>
      </c>
      <c r="D375">
        <v>200</v>
      </c>
      <c r="E375">
        <v>554</v>
      </c>
    </row>
    <row r="376" spans="1:5" x14ac:dyDescent="0.25">
      <c r="A376" t="s">
        <v>739</v>
      </c>
      <c r="B376" s="3">
        <v>39052</v>
      </c>
      <c r="C376" t="s">
        <v>652</v>
      </c>
      <c r="D376">
        <v>250</v>
      </c>
      <c r="E376">
        <v>538</v>
      </c>
    </row>
    <row r="377" spans="1:5" x14ac:dyDescent="0.25">
      <c r="A377" t="s">
        <v>738</v>
      </c>
      <c r="B377" s="3">
        <v>39052</v>
      </c>
      <c r="C377" t="s">
        <v>652</v>
      </c>
      <c r="D377">
        <v>170</v>
      </c>
      <c r="E377">
        <v>34</v>
      </c>
    </row>
    <row r="378" spans="1:5" x14ac:dyDescent="0.25">
      <c r="A378" t="s">
        <v>737</v>
      </c>
      <c r="B378" s="3">
        <v>39052</v>
      </c>
      <c r="C378" t="s">
        <v>652</v>
      </c>
      <c r="D378">
        <v>260</v>
      </c>
      <c r="E378">
        <v>58</v>
      </c>
    </row>
    <row r="379" spans="1:5" x14ac:dyDescent="0.25">
      <c r="A379" t="s">
        <v>736</v>
      </c>
      <c r="B379" s="3">
        <v>39052</v>
      </c>
      <c r="C379" t="s">
        <v>652</v>
      </c>
      <c r="D379">
        <v>180</v>
      </c>
      <c r="E379">
        <v>42</v>
      </c>
    </row>
    <row r="380" spans="1:5" x14ac:dyDescent="0.25">
      <c r="A380" t="s">
        <v>735</v>
      </c>
      <c r="B380" s="3">
        <v>39052</v>
      </c>
      <c r="C380" t="s">
        <v>652</v>
      </c>
      <c r="D380">
        <v>200</v>
      </c>
      <c r="E380">
        <v>220</v>
      </c>
    </row>
    <row r="381" spans="1:5" x14ac:dyDescent="0.25">
      <c r="A381" t="s">
        <v>763</v>
      </c>
      <c r="B381" s="3">
        <v>39052</v>
      </c>
      <c r="C381" t="s">
        <v>652</v>
      </c>
      <c r="D381">
        <v>220</v>
      </c>
      <c r="E381">
        <v>247</v>
      </c>
    </row>
    <row r="382" spans="1:5" x14ac:dyDescent="0.25">
      <c r="A382" t="s">
        <v>762</v>
      </c>
      <c r="B382" s="3">
        <v>39052</v>
      </c>
      <c r="C382" t="s">
        <v>652</v>
      </c>
      <c r="D382">
        <v>300</v>
      </c>
      <c r="E382">
        <v>1154</v>
      </c>
    </row>
    <row r="383" spans="1:5" x14ac:dyDescent="0.25">
      <c r="A383" t="s">
        <v>733</v>
      </c>
      <c r="B383" s="3">
        <v>39052</v>
      </c>
      <c r="C383" t="s">
        <v>652</v>
      </c>
      <c r="D383">
        <v>280</v>
      </c>
      <c r="E383">
        <v>230</v>
      </c>
    </row>
    <row r="384" spans="1:5" x14ac:dyDescent="0.25">
      <c r="A384" t="s">
        <v>732</v>
      </c>
      <c r="B384" s="3">
        <v>39052</v>
      </c>
      <c r="C384" t="s">
        <v>652</v>
      </c>
      <c r="D384">
        <v>320</v>
      </c>
      <c r="E384">
        <v>589</v>
      </c>
    </row>
    <row r="385" spans="1:5" x14ac:dyDescent="0.25">
      <c r="A385" t="s">
        <v>731</v>
      </c>
      <c r="B385" s="3">
        <v>39052</v>
      </c>
      <c r="C385" t="s">
        <v>652</v>
      </c>
      <c r="D385">
        <v>300</v>
      </c>
      <c r="E385">
        <v>110</v>
      </c>
    </row>
    <row r="386" spans="1:5" x14ac:dyDescent="0.25">
      <c r="A386" t="s">
        <v>730</v>
      </c>
      <c r="B386" s="3">
        <v>39052</v>
      </c>
      <c r="C386" t="s">
        <v>652</v>
      </c>
      <c r="D386">
        <v>285</v>
      </c>
      <c r="E386">
        <v>225</v>
      </c>
    </row>
    <row r="387" spans="1:5" x14ac:dyDescent="0.25">
      <c r="A387" t="s">
        <v>729</v>
      </c>
      <c r="B387" s="3">
        <v>39052</v>
      </c>
      <c r="C387" t="s">
        <v>652</v>
      </c>
      <c r="D387">
        <v>180</v>
      </c>
      <c r="E387">
        <v>145</v>
      </c>
    </row>
    <row r="388" spans="1:5" x14ac:dyDescent="0.25">
      <c r="A388" t="s">
        <v>728</v>
      </c>
      <c r="B388" s="3">
        <v>39052</v>
      </c>
      <c r="C388" t="s">
        <v>652</v>
      </c>
      <c r="D388">
        <v>210</v>
      </c>
      <c r="E388">
        <v>256</v>
      </c>
    </row>
    <row r="389" spans="1:5" x14ac:dyDescent="0.25">
      <c r="A389" t="s">
        <v>727</v>
      </c>
      <c r="B389" s="3">
        <v>39052</v>
      </c>
      <c r="C389" t="s">
        <v>652</v>
      </c>
      <c r="D389">
        <v>190</v>
      </c>
      <c r="E389">
        <v>690</v>
      </c>
    </row>
    <row r="390" spans="1:5" x14ac:dyDescent="0.25">
      <c r="A390" t="s">
        <v>726</v>
      </c>
      <c r="B390" s="3">
        <v>39052</v>
      </c>
      <c r="C390" t="s">
        <v>652</v>
      </c>
      <c r="D390">
        <v>170</v>
      </c>
      <c r="E390">
        <v>49</v>
      </c>
    </row>
    <row r="391" spans="1:5" x14ac:dyDescent="0.25">
      <c r="A391" t="s">
        <v>725</v>
      </c>
      <c r="B391" s="3">
        <v>39052</v>
      </c>
      <c r="C391" t="s">
        <v>652</v>
      </c>
      <c r="D391">
        <v>215</v>
      </c>
      <c r="E391">
        <v>741</v>
      </c>
    </row>
    <row r="392" spans="1:5" x14ac:dyDescent="0.25">
      <c r="A392" t="s">
        <v>724</v>
      </c>
      <c r="B392" s="3">
        <v>39052</v>
      </c>
      <c r="C392" t="s">
        <v>652</v>
      </c>
      <c r="D392">
        <v>230</v>
      </c>
      <c r="E392">
        <v>313</v>
      </c>
    </row>
    <row r="393" spans="1:5" x14ac:dyDescent="0.25">
      <c r="A393" t="s">
        <v>723</v>
      </c>
      <c r="B393" s="3">
        <v>39052</v>
      </c>
      <c r="C393" t="s">
        <v>652</v>
      </c>
      <c r="D393">
        <v>165</v>
      </c>
      <c r="E393">
        <v>25</v>
      </c>
    </row>
    <row r="394" spans="1:5" x14ac:dyDescent="0.25">
      <c r="A394" t="s">
        <v>722</v>
      </c>
      <c r="B394" s="3">
        <v>39052</v>
      </c>
      <c r="C394" t="s">
        <v>652</v>
      </c>
      <c r="D394">
        <v>180</v>
      </c>
      <c r="E394">
        <v>104</v>
      </c>
    </row>
    <row r="395" spans="1:5" x14ac:dyDescent="0.25">
      <c r="A395" t="s">
        <v>721</v>
      </c>
      <c r="B395" s="3">
        <v>39052</v>
      </c>
      <c r="C395" t="s">
        <v>652</v>
      </c>
      <c r="D395">
        <v>240</v>
      </c>
      <c r="E395">
        <v>80</v>
      </c>
    </row>
    <row r="396" spans="1:5" x14ac:dyDescent="0.25">
      <c r="A396" t="s">
        <v>720</v>
      </c>
      <c r="B396" s="3">
        <v>39052</v>
      </c>
      <c r="C396" t="s">
        <v>652</v>
      </c>
      <c r="D396">
        <v>240</v>
      </c>
      <c r="E396">
        <v>100</v>
      </c>
    </row>
    <row r="397" spans="1:5" x14ac:dyDescent="0.25">
      <c r="A397" t="s">
        <v>719</v>
      </c>
      <c r="B397" s="3">
        <v>39052</v>
      </c>
      <c r="C397" t="s">
        <v>652</v>
      </c>
      <c r="D397">
        <v>230</v>
      </c>
      <c r="E397">
        <v>366</v>
      </c>
    </row>
    <row r="398" spans="1:5" x14ac:dyDescent="0.25">
      <c r="A398" t="s">
        <v>718</v>
      </c>
      <c r="B398" s="3">
        <v>39052</v>
      </c>
      <c r="C398" t="s">
        <v>652</v>
      </c>
      <c r="D398">
        <v>220</v>
      </c>
      <c r="E398">
        <v>230</v>
      </c>
    </row>
    <row r="399" spans="1:5" x14ac:dyDescent="0.25">
      <c r="A399" t="s">
        <v>717</v>
      </c>
      <c r="B399" s="3">
        <v>39052</v>
      </c>
      <c r="C399" t="s">
        <v>652</v>
      </c>
      <c r="D399">
        <v>230</v>
      </c>
      <c r="E399">
        <v>360</v>
      </c>
    </row>
    <row r="400" spans="1:5" x14ac:dyDescent="0.25">
      <c r="A400" t="s">
        <v>716</v>
      </c>
      <c r="B400" s="3">
        <v>39052</v>
      </c>
      <c r="C400" t="s">
        <v>652</v>
      </c>
      <c r="D400">
        <v>170</v>
      </c>
      <c r="E400">
        <v>308</v>
      </c>
    </row>
    <row r="401" spans="1:5" x14ac:dyDescent="0.25">
      <c r="A401" t="s">
        <v>715</v>
      </c>
      <c r="B401" s="3">
        <v>39052</v>
      </c>
      <c r="C401" t="s">
        <v>652</v>
      </c>
      <c r="D401">
        <v>180</v>
      </c>
      <c r="E401">
        <v>30</v>
      </c>
    </row>
    <row r="402" spans="1:5" x14ac:dyDescent="0.25">
      <c r="A402" t="s">
        <v>714</v>
      </c>
      <c r="B402" s="3">
        <v>39052</v>
      </c>
      <c r="C402" t="s">
        <v>652</v>
      </c>
      <c r="D402">
        <v>260</v>
      </c>
      <c r="E402">
        <v>993</v>
      </c>
    </row>
    <row r="403" spans="1:5" x14ac:dyDescent="0.25">
      <c r="A403" t="s">
        <v>761</v>
      </c>
      <c r="B403" s="3">
        <v>39052</v>
      </c>
      <c r="C403" t="s">
        <v>652</v>
      </c>
      <c r="D403">
        <v>270</v>
      </c>
      <c r="E403">
        <v>293</v>
      </c>
    </row>
    <row r="404" spans="1:5" x14ac:dyDescent="0.25">
      <c r="A404" t="s">
        <v>760</v>
      </c>
      <c r="B404" s="3">
        <v>39052</v>
      </c>
      <c r="C404" t="s">
        <v>652</v>
      </c>
      <c r="D404">
        <v>260</v>
      </c>
      <c r="E404">
        <v>547</v>
      </c>
    </row>
    <row r="405" spans="1:5" x14ac:dyDescent="0.25">
      <c r="A405" t="s">
        <v>759</v>
      </c>
      <c r="B405" s="3">
        <v>39052</v>
      </c>
      <c r="C405" t="s">
        <v>652</v>
      </c>
      <c r="D405">
        <v>250</v>
      </c>
      <c r="E405">
        <v>153</v>
      </c>
    </row>
    <row r="406" spans="1:5" x14ac:dyDescent="0.25">
      <c r="A406" t="s">
        <v>758</v>
      </c>
      <c r="B406" s="3">
        <v>39052</v>
      </c>
      <c r="C406" t="s">
        <v>652</v>
      </c>
      <c r="D406">
        <v>230</v>
      </c>
      <c r="E406">
        <v>315</v>
      </c>
    </row>
    <row r="407" spans="1:5" x14ac:dyDescent="0.25">
      <c r="A407" t="s">
        <v>710</v>
      </c>
      <c r="B407" s="3">
        <v>39052</v>
      </c>
      <c r="C407" t="s">
        <v>652</v>
      </c>
      <c r="D407">
        <v>200</v>
      </c>
      <c r="E407">
        <v>493</v>
      </c>
    </row>
    <row r="408" spans="1:5" x14ac:dyDescent="0.25">
      <c r="A408" t="s">
        <v>709</v>
      </c>
      <c r="B408" s="3">
        <v>39052</v>
      </c>
      <c r="C408" t="s">
        <v>652</v>
      </c>
      <c r="D408">
        <v>230</v>
      </c>
      <c r="E408">
        <v>384</v>
      </c>
    </row>
    <row r="409" spans="1:5" x14ac:dyDescent="0.25">
      <c r="A409" t="s">
        <v>708</v>
      </c>
      <c r="B409" s="3">
        <v>39052</v>
      </c>
      <c r="C409" t="s">
        <v>652</v>
      </c>
      <c r="D409">
        <v>160</v>
      </c>
      <c r="E409">
        <v>60</v>
      </c>
    </row>
    <row r="410" spans="1:5" x14ac:dyDescent="0.25">
      <c r="A410" t="s">
        <v>635</v>
      </c>
      <c r="B410" s="3">
        <v>39142</v>
      </c>
      <c r="C410" t="s">
        <v>649</v>
      </c>
      <c r="D410">
        <v>240</v>
      </c>
      <c r="E410">
        <v>5240</v>
      </c>
    </row>
    <row r="411" spans="1:5" x14ac:dyDescent="0.25">
      <c r="A411" t="s">
        <v>755</v>
      </c>
      <c r="B411" s="3">
        <v>39142</v>
      </c>
      <c r="C411" t="s">
        <v>649</v>
      </c>
      <c r="D411">
        <v>205</v>
      </c>
      <c r="E411">
        <v>52</v>
      </c>
    </row>
    <row r="412" spans="1:5" x14ac:dyDescent="0.25">
      <c r="A412" t="s">
        <v>754</v>
      </c>
      <c r="B412" s="3">
        <v>39142</v>
      </c>
      <c r="C412" t="s">
        <v>649</v>
      </c>
      <c r="D412">
        <v>290</v>
      </c>
      <c r="E412">
        <v>2509</v>
      </c>
    </row>
    <row r="413" spans="1:5" x14ac:dyDescent="0.25">
      <c r="A413" t="s">
        <v>753</v>
      </c>
      <c r="B413" s="3">
        <v>39142</v>
      </c>
      <c r="C413" t="s">
        <v>649</v>
      </c>
      <c r="D413">
        <v>210</v>
      </c>
      <c r="E413">
        <v>844</v>
      </c>
    </row>
    <row r="414" spans="1:5" x14ac:dyDescent="0.25">
      <c r="A414" t="s">
        <v>752</v>
      </c>
      <c r="B414" s="3">
        <v>39142</v>
      </c>
      <c r="C414" t="s">
        <v>649</v>
      </c>
      <c r="D414">
        <v>200</v>
      </c>
      <c r="E414">
        <v>182</v>
      </c>
    </row>
    <row r="415" spans="1:5" x14ac:dyDescent="0.25">
      <c r="A415" t="s">
        <v>751</v>
      </c>
      <c r="B415" s="3">
        <v>39142</v>
      </c>
      <c r="C415" t="s">
        <v>649</v>
      </c>
      <c r="D415">
        <v>220</v>
      </c>
      <c r="E415">
        <v>161</v>
      </c>
    </row>
    <row r="416" spans="1:5" x14ac:dyDescent="0.25">
      <c r="A416" t="s">
        <v>750</v>
      </c>
      <c r="B416" s="3">
        <v>39142</v>
      </c>
      <c r="C416" t="s">
        <v>649</v>
      </c>
      <c r="D416">
        <v>210</v>
      </c>
      <c r="E416">
        <v>55</v>
      </c>
    </row>
    <row r="417" spans="1:5" x14ac:dyDescent="0.25">
      <c r="A417" t="s">
        <v>749</v>
      </c>
      <c r="B417" s="3">
        <v>39142</v>
      </c>
      <c r="C417" t="s">
        <v>649</v>
      </c>
      <c r="D417">
        <v>210</v>
      </c>
      <c r="E417">
        <v>489</v>
      </c>
    </row>
    <row r="418" spans="1:5" x14ac:dyDescent="0.25">
      <c r="A418" t="s">
        <v>748</v>
      </c>
      <c r="B418" s="3">
        <v>39142</v>
      </c>
      <c r="C418" t="s">
        <v>649</v>
      </c>
      <c r="D418">
        <v>200</v>
      </c>
      <c r="E418">
        <v>54</v>
      </c>
    </row>
    <row r="419" spans="1:5" x14ac:dyDescent="0.25">
      <c r="A419" t="s">
        <v>747</v>
      </c>
      <c r="B419" s="3">
        <v>39142</v>
      </c>
      <c r="C419" t="s">
        <v>649</v>
      </c>
      <c r="D419">
        <v>220</v>
      </c>
      <c r="E419">
        <v>439</v>
      </c>
    </row>
    <row r="420" spans="1:5" x14ac:dyDescent="0.25">
      <c r="A420" t="s">
        <v>746</v>
      </c>
      <c r="B420" s="3">
        <v>39142</v>
      </c>
      <c r="C420" t="s">
        <v>649</v>
      </c>
      <c r="D420">
        <v>155</v>
      </c>
      <c r="E420">
        <v>6</v>
      </c>
    </row>
    <row r="421" spans="1:5" x14ac:dyDescent="0.25">
      <c r="A421" t="s">
        <v>745</v>
      </c>
      <c r="B421" s="3">
        <v>39142</v>
      </c>
      <c r="C421" t="s">
        <v>649</v>
      </c>
      <c r="D421">
        <v>240</v>
      </c>
      <c r="E421">
        <v>427</v>
      </c>
    </row>
    <row r="422" spans="1:5" x14ac:dyDescent="0.25">
      <c r="A422" t="s">
        <v>744</v>
      </c>
      <c r="B422" s="3">
        <v>39142</v>
      </c>
      <c r="C422" t="s">
        <v>649</v>
      </c>
      <c r="D422">
        <v>200</v>
      </c>
      <c r="E422">
        <v>22</v>
      </c>
    </row>
    <row r="423" spans="1:5" x14ac:dyDescent="0.25">
      <c r="A423" t="s">
        <v>743</v>
      </c>
      <c r="B423" s="3">
        <v>39142</v>
      </c>
      <c r="C423" t="s">
        <v>649</v>
      </c>
      <c r="D423">
        <v>130</v>
      </c>
      <c r="E423">
        <v>27</v>
      </c>
    </row>
    <row r="424" spans="1:5" x14ac:dyDescent="0.25">
      <c r="A424" t="s">
        <v>742</v>
      </c>
      <c r="B424" s="3">
        <v>39142</v>
      </c>
      <c r="C424" t="s">
        <v>649</v>
      </c>
      <c r="D424">
        <v>145</v>
      </c>
      <c r="E424">
        <v>35</v>
      </c>
    </row>
    <row r="425" spans="1:5" x14ac:dyDescent="0.25">
      <c r="A425" t="s">
        <v>741</v>
      </c>
      <c r="B425" s="3">
        <v>39142</v>
      </c>
      <c r="C425" t="s">
        <v>649</v>
      </c>
      <c r="D425">
        <v>140</v>
      </c>
      <c r="E425">
        <v>178</v>
      </c>
    </row>
    <row r="426" spans="1:5" x14ac:dyDescent="0.25">
      <c r="A426" t="s">
        <v>740</v>
      </c>
      <c r="B426" s="3">
        <v>39142</v>
      </c>
      <c r="C426" t="s">
        <v>649</v>
      </c>
      <c r="D426">
        <v>165</v>
      </c>
      <c r="E426">
        <v>138</v>
      </c>
    </row>
    <row r="427" spans="1:5" x14ac:dyDescent="0.25">
      <c r="A427" t="s">
        <v>739</v>
      </c>
      <c r="B427" s="3">
        <v>39142</v>
      </c>
      <c r="C427" t="s">
        <v>649</v>
      </c>
      <c r="D427">
        <v>175</v>
      </c>
      <c r="E427">
        <v>865</v>
      </c>
    </row>
    <row r="428" spans="1:5" x14ac:dyDescent="0.25">
      <c r="A428" t="s">
        <v>738</v>
      </c>
      <c r="B428" s="3">
        <v>39142</v>
      </c>
      <c r="C428" t="s">
        <v>649</v>
      </c>
      <c r="D428">
        <v>130</v>
      </c>
      <c r="E428">
        <v>22</v>
      </c>
    </row>
    <row r="429" spans="1:5" x14ac:dyDescent="0.25">
      <c r="A429" t="s">
        <v>737</v>
      </c>
      <c r="B429" s="3">
        <v>39142</v>
      </c>
      <c r="C429" t="s">
        <v>649</v>
      </c>
      <c r="D429">
        <v>175</v>
      </c>
      <c r="E429">
        <v>55</v>
      </c>
    </row>
    <row r="430" spans="1:5" x14ac:dyDescent="0.25">
      <c r="A430" t="s">
        <v>736</v>
      </c>
      <c r="B430" s="3">
        <v>39142</v>
      </c>
      <c r="C430" t="s">
        <v>649</v>
      </c>
      <c r="D430">
        <v>150</v>
      </c>
      <c r="E430">
        <v>19</v>
      </c>
    </row>
    <row r="431" spans="1:5" x14ac:dyDescent="0.25">
      <c r="A431" t="s">
        <v>735</v>
      </c>
      <c r="B431" s="3">
        <v>39142</v>
      </c>
      <c r="C431" t="s">
        <v>649</v>
      </c>
      <c r="D431">
        <v>150</v>
      </c>
      <c r="E431">
        <v>177</v>
      </c>
    </row>
    <row r="432" spans="1:5" x14ac:dyDescent="0.25">
      <c r="A432" t="s">
        <v>763</v>
      </c>
      <c r="B432" s="3">
        <v>39142</v>
      </c>
      <c r="C432" t="s">
        <v>649</v>
      </c>
      <c r="D432">
        <v>150</v>
      </c>
      <c r="E432">
        <v>68</v>
      </c>
    </row>
    <row r="433" spans="1:5" x14ac:dyDescent="0.25">
      <c r="A433" t="s">
        <v>762</v>
      </c>
      <c r="B433" s="3">
        <v>39142</v>
      </c>
      <c r="C433" t="s">
        <v>649</v>
      </c>
      <c r="D433">
        <v>260</v>
      </c>
      <c r="E433">
        <v>2310</v>
      </c>
    </row>
    <row r="434" spans="1:5" x14ac:dyDescent="0.25">
      <c r="A434" t="s">
        <v>733</v>
      </c>
      <c r="B434" s="3">
        <v>39142</v>
      </c>
      <c r="C434" t="s">
        <v>649</v>
      </c>
      <c r="D434">
        <v>230</v>
      </c>
      <c r="E434">
        <v>202</v>
      </c>
    </row>
    <row r="435" spans="1:5" x14ac:dyDescent="0.25">
      <c r="A435" t="s">
        <v>732</v>
      </c>
      <c r="B435" s="3">
        <v>39142</v>
      </c>
      <c r="C435" t="s">
        <v>649</v>
      </c>
      <c r="D435">
        <v>275</v>
      </c>
      <c r="E435">
        <v>1726</v>
      </c>
    </row>
    <row r="436" spans="1:5" x14ac:dyDescent="0.25">
      <c r="A436" t="s">
        <v>731</v>
      </c>
      <c r="B436" s="3">
        <v>39142</v>
      </c>
      <c r="C436" t="s">
        <v>649</v>
      </c>
      <c r="D436">
        <v>235</v>
      </c>
      <c r="E436">
        <v>317</v>
      </c>
    </row>
    <row r="437" spans="1:5" x14ac:dyDescent="0.25">
      <c r="A437" t="s">
        <v>730</v>
      </c>
      <c r="B437" s="3">
        <v>39142</v>
      </c>
      <c r="C437" t="s">
        <v>649</v>
      </c>
      <c r="D437">
        <v>205</v>
      </c>
      <c r="E437">
        <v>65</v>
      </c>
    </row>
    <row r="438" spans="1:5" x14ac:dyDescent="0.25">
      <c r="A438" t="s">
        <v>729</v>
      </c>
      <c r="B438" s="3">
        <v>39142</v>
      </c>
      <c r="C438" t="s">
        <v>649</v>
      </c>
      <c r="D438">
        <v>130</v>
      </c>
      <c r="E438">
        <v>43</v>
      </c>
    </row>
    <row r="439" spans="1:5" x14ac:dyDescent="0.25">
      <c r="A439" t="s">
        <v>728</v>
      </c>
      <c r="B439" s="3">
        <v>39142</v>
      </c>
      <c r="C439" t="s">
        <v>649</v>
      </c>
      <c r="D439">
        <v>175</v>
      </c>
      <c r="E439">
        <v>139</v>
      </c>
    </row>
    <row r="440" spans="1:5" x14ac:dyDescent="0.25">
      <c r="A440" t="s">
        <v>727</v>
      </c>
      <c r="B440" s="3">
        <v>39142</v>
      </c>
      <c r="C440" t="s">
        <v>649</v>
      </c>
      <c r="D440">
        <v>160</v>
      </c>
      <c r="E440">
        <v>167</v>
      </c>
    </row>
    <row r="441" spans="1:5" x14ac:dyDescent="0.25">
      <c r="A441" t="s">
        <v>726</v>
      </c>
      <c r="B441" s="3">
        <v>39142</v>
      </c>
      <c r="C441" t="s">
        <v>649</v>
      </c>
      <c r="D441">
        <v>140</v>
      </c>
      <c r="E441">
        <v>40</v>
      </c>
    </row>
    <row r="442" spans="1:5" x14ac:dyDescent="0.25">
      <c r="A442" t="s">
        <v>725</v>
      </c>
      <c r="B442" s="3">
        <v>39142</v>
      </c>
      <c r="C442" t="s">
        <v>649</v>
      </c>
      <c r="D442">
        <v>155</v>
      </c>
      <c r="E442">
        <v>284</v>
      </c>
    </row>
    <row r="443" spans="1:5" x14ac:dyDescent="0.25">
      <c r="A443" t="s">
        <v>724</v>
      </c>
      <c r="B443" s="3">
        <v>39142</v>
      </c>
      <c r="C443" t="s">
        <v>649</v>
      </c>
      <c r="D443">
        <v>160</v>
      </c>
      <c r="E443">
        <v>237</v>
      </c>
    </row>
    <row r="444" spans="1:5" x14ac:dyDescent="0.25">
      <c r="A444" t="s">
        <v>723</v>
      </c>
      <c r="B444" s="3">
        <v>39142</v>
      </c>
      <c r="C444" t="s">
        <v>649</v>
      </c>
      <c r="D444">
        <v>115</v>
      </c>
      <c r="E444">
        <v>25</v>
      </c>
    </row>
    <row r="445" spans="1:5" x14ac:dyDescent="0.25">
      <c r="A445" t="s">
        <v>722</v>
      </c>
      <c r="B445" s="3">
        <v>39142</v>
      </c>
      <c r="C445" t="s">
        <v>649</v>
      </c>
      <c r="D445">
        <v>125</v>
      </c>
      <c r="E445">
        <v>72</v>
      </c>
    </row>
    <row r="446" spans="1:5" x14ac:dyDescent="0.25">
      <c r="A446" t="s">
        <v>721</v>
      </c>
      <c r="B446" s="3">
        <v>39142</v>
      </c>
      <c r="C446" t="s">
        <v>649</v>
      </c>
      <c r="D446">
        <v>150</v>
      </c>
      <c r="E446">
        <v>120</v>
      </c>
    </row>
    <row r="447" spans="1:5" x14ac:dyDescent="0.25">
      <c r="A447" t="s">
        <v>720</v>
      </c>
      <c r="B447" s="3">
        <v>39142</v>
      </c>
      <c r="C447" t="s">
        <v>649</v>
      </c>
      <c r="D447">
        <v>165</v>
      </c>
      <c r="E447">
        <v>40</v>
      </c>
    </row>
    <row r="448" spans="1:5" x14ac:dyDescent="0.25">
      <c r="A448" t="s">
        <v>719</v>
      </c>
      <c r="B448" s="3">
        <v>39142</v>
      </c>
      <c r="C448" t="s">
        <v>649</v>
      </c>
      <c r="D448">
        <v>170</v>
      </c>
      <c r="E448">
        <v>60</v>
      </c>
    </row>
    <row r="449" spans="1:5" x14ac:dyDescent="0.25">
      <c r="A449" t="s">
        <v>718</v>
      </c>
      <c r="B449" s="3">
        <v>39142</v>
      </c>
      <c r="C449" t="s">
        <v>649</v>
      </c>
      <c r="D449">
        <v>165</v>
      </c>
      <c r="E449">
        <v>163</v>
      </c>
    </row>
    <row r="450" spans="1:5" x14ac:dyDescent="0.25">
      <c r="A450" t="s">
        <v>717</v>
      </c>
      <c r="B450" s="3">
        <v>39142</v>
      </c>
      <c r="C450" t="s">
        <v>649</v>
      </c>
      <c r="D450">
        <v>205</v>
      </c>
      <c r="E450">
        <v>76</v>
      </c>
    </row>
    <row r="451" spans="1:5" x14ac:dyDescent="0.25">
      <c r="A451" t="s">
        <v>716</v>
      </c>
      <c r="B451" s="3">
        <v>39142</v>
      </c>
      <c r="C451" t="s">
        <v>649</v>
      </c>
      <c r="D451">
        <v>135</v>
      </c>
      <c r="E451">
        <v>270</v>
      </c>
    </row>
    <row r="452" spans="1:5" x14ac:dyDescent="0.25">
      <c r="A452" t="s">
        <v>715</v>
      </c>
      <c r="B452" s="3">
        <v>39142</v>
      </c>
      <c r="C452" t="s">
        <v>649</v>
      </c>
      <c r="D452">
        <v>115</v>
      </c>
      <c r="E452">
        <v>34</v>
      </c>
    </row>
    <row r="453" spans="1:5" x14ac:dyDescent="0.25">
      <c r="A453" t="s">
        <v>714</v>
      </c>
      <c r="B453" s="3">
        <v>39142</v>
      </c>
      <c r="C453" t="s">
        <v>649</v>
      </c>
      <c r="D453">
        <v>220</v>
      </c>
      <c r="E453">
        <v>850</v>
      </c>
    </row>
    <row r="454" spans="1:5" x14ac:dyDescent="0.25">
      <c r="A454" t="s">
        <v>761</v>
      </c>
      <c r="B454" s="3">
        <v>39142</v>
      </c>
      <c r="C454" t="s">
        <v>649</v>
      </c>
      <c r="D454">
        <v>220</v>
      </c>
      <c r="E454">
        <v>174</v>
      </c>
    </row>
    <row r="455" spans="1:5" x14ac:dyDescent="0.25">
      <c r="A455" t="s">
        <v>760</v>
      </c>
      <c r="B455" s="3">
        <v>39142</v>
      </c>
      <c r="C455" t="s">
        <v>649</v>
      </c>
      <c r="D455">
        <v>220</v>
      </c>
      <c r="E455">
        <v>541</v>
      </c>
    </row>
    <row r="456" spans="1:5" x14ac:dyDescent="0.25">
      <c r="A456" t="s">
        <v>759</v>
      </c>
      <c r="B456" s="3">
        <v>39142</v>
      </c>
      <c r="C456" t="s">
        <v>649</v>
      </c>
      <c r="D456">
        <v>230</v>
      </c>
      <c r="E456">
        <v>135</v>
      </c>
    </row>
    <row r="457" spans="1:5" x14ac:dyDescent="0.25">
      <c r="A457" t="s">
        <v>758</v>
      </c>
      <c r="B457" s="3">
        <v>39142</v>
      </c>
      <c r="C457" t="s">
        <v>649</v>
      </c>
      <c r="D457">
        <v>160</v>
      </c>
      <c r="E457">
        <v>61</v>
      </c>
    </row>
    <row r="458" spans="1:5" x14ac:dyDescent="0.25">
      <c r="A458" t="s">
        <v>710</v>
      </c>
      <c r="B458" s="3">
        <v>39142</v>
      </c>
      <c r="C458" t="s">
        <v>649</v>
      </c>
      <c r="D458">
        <v>145</v>
      </c>
      <c r="E458">
        <v>458</v>
      </c>
    </row>
    <row r="459" spans="1:5" x14ac:dyDescent="0.25">
      <c r="A459" t="s">
        <v>709</v>
      </c>
      <c r="B459" s="3">
        <v>39142</v>
      </c>
      <c r="C459" t="s">
        <v>649</v>
      </c>
      <c r="D459">
        <v>175</v>
      </c>
      <c r="E459">
        <v>774</v>
      </c>
    </row>
    <row r="460" spans="1:5" x14ac:dyDescent="0.25">
      <c r="A460" t="s">
        <v>708</v>
      </c>
      <c r="B460" s="3">
        <v>39142</v>
      </c>
      <c r="C460" t="s">
        <v>649</v>
      </c>
      <c r="D460">
        <v>140</v>
      </c>
      <c r="E460">
        <v>37</v>
      </c>
    </row>
    <row r="461" spans="1:5" x14ac:dyDescent="0.25">
      <c r="A461" t="s">
        <v>635</v>
      </c>
      <c r="B461" s="3">
        <v>39142</v>
      </c>
      <c r="C461" t="s">
        <v>652</v>
      </c>
      <c r="D461">
        <v>260</v>
      </c>
      <c r="E461">
        <v>3857</v>
      </c>
    </row>
    <row r="462" spans="1:5" x14ac:dyDescent="0.25">
      <c r="A462" t="s">
        <v>755</v>
      </c>
      <c r="B462" s="3">
        <v>39142</v>
      </c>
      <c r="C462" t="s">
        <v>652</v>
      </c>
      <c r="D462">
        <v>245</v>
      </c>
      <c r="E462">
        <v>152</v>
      </c>
    </row>
    <row r="463" spans="1:5" x14ac:dyDescent="0.25">
      <c r="A463" t="s">
        <v>754</v>
      </c>
      <c r="B463" s="3">
        <v>39142</v>
      </c>
      <c r="C463" t="s">
        <v>652</v>
      </c>
      <c r="D463">
        <v>320</v>
      </c>
      <c r="E463">
        <v>498</v>
      </c>
    </row>
    <row r="464" spans="1:5" x14ac:dyDescent="0.25">
      <c r="A464" t="s">
        <v>753</v>
      </c>
      <c r="B464" s="3">
        <v>39142</v>
      </c>
      <c r="C464" t="s">
        <v>652</v>
      </c>
      <c r="D464">
        <v>270</v>
      </c>
      <c r="E464">
        <v>390</v>
      </c>
    </row>
    <row r="465" spans="1:5" x14ac:dyDescent="0.25">
      <c r="A465" t="s">
        <v>752</v>
      </c>
      <c r="B465" s="3">
        <v>39142</v>
      </c>
      <c r="C465" t="s">
        <v>652</v>
      </c>
      <c r="D465">
        <v>240</v>
      </c>
      <c r="E465">
        <v>378</v>
      </c>
    </row>
    <row r="466" spans="1:5" x14ac:dyDescent="0.25">
      <c r="A466" t="s">
        <v>751</v>
      </c>
      <c r="B466" s="3">
        <v>39142</v>
      </c>
      <c r="C466" t="s">
        <v>652</v>
      </c>
      <c r="D466">
        <v>295</v>
      </c>
      <c r="E466">
        <v>200</v>
      </c>
    </row>
    <row r="467" spans="1:5" x14ac:dyDescent="0.25">
      <c r="A467" t="s">
        <v>750</v>
      </c>
      <c r="B467" s="3">
        <v>39142</v>
      </c>
      <c r="C467" t="s">
        <v>652</v>
      </c>
      <c r="D467">
        <v>250</v>
      </c>
      <c r="E467">
        <v>293</v>
      </c>
    </row>
    <row r="468" spans="1:5" x14ac:dyDescent="0.25">
      <c r="A468" t="s">
        <v>749</v>
      </c>
      <c r="B468" s="3">
        <v>39142</v>
      </c>
      <c r="C468" t="s">
        <v>652</v>
      </c>
      <c r="D468">
        <v>260</v>
      </c>
      <c r="E468">
        <v>438</v>
      </c>
    </row>
    <row r="469" spans="1:5" x14ac:dyDescent="0.25">
      <c r="A469" t="s">
        <v>748</v>
      </c>
      <c r="B469" s="3">
        <v>39142</v>
      </c>
      <c r="C469" t="s">
        <v>652</v>
      </c>
      <c r="D469">
        <v>240</v>
      </c>
      <c r="E469">
        <v>410</v>
      </c>
    </row>
    <row r="470" spans="1:5" x14ac:dyDescent="0.25">
      <c r="A470" t="s">
        <v>747</v>
      </c>
      <c r="B470" s="3">
        <v>39142</v>
      </c>
      <c r="C470" t="s">
        <v>652</v>
      </c>
      <c r="D470">
        <v>270</v>
      </c>
      <c r="E470">
        <v>411</v>
      </c>
    </row>
    <row r="471" spans="1:5" x14ac:dyDescent="0.25">
      <c r="A471" t="s">
        <v>746</v>
      </c>
      <c r="B471" s="3">
        <v>39142</v>
      </c>
      <c r="C471" t="s">
        <v>652</v>
      </c>
      <c r="D471">
        <v>250</v>
      </c>
      <c r="E471">
        <v>47</v>
      </c>
    </row>
    <row r="472" spans="1:5" x14ac:dyDescent="0.25">
      <c r="A472" t="s">
        <v>745</v>
      </c>
      <c r="B472" s="3">
        <v>39142</v>
      </c>
      <c r="C472" t="s">
        <v>652</v>
      </c>
      <c r="D472">
        <v>270</v>
      </c>
      <c r="E472">
        <v>196</v>
      </c>
    </row>
    <row r="473" spans="1:5" x14ac:dyDescent="0.25">
      <c r="A473" t="s">
        <v>744</v>
      </c>
      <c r="B473" s="3">
        <v>39142</v>
      </c>
      <c r="C473" t="s">
        <v>652</v>
      </c>
      <c r="D473">
        <v>240</v>
      </c>
      <c r="E473">
        <v>444</v>
      </c>
    </row>
    <row r="474" spans="1:5" x14ac:dyDescent="0.25">
      <c r="A474" t="s">
        <v>743</v>
      </c>
      <c r="B474" s="3">
        <v>39142</v>
      </c>
      <c r="C474" t="s">
        <v>652</v>
      </c>
      <c r="D474">
        <v>190</v>
      </c>
      <c r="E474">
        <v>40</v>
      </c>
    </row>
    <row r="475" spans="1:5" x14ac:dyDescent="0.25">
      <c r="A475" t="s">
        <v>742</v>
      </c>
      <c r="B475" s="3">
        <v>39142</v>
      </c>
      <c r="C475" t="s">
        <v>652</v>
      </c>
      <c r="D475">
        <v>230</v>
      </c>
      <c r="E475">
        <v>125</v>
      </c>
    </row>
    <row r="476" spans="1:5" x14ac:dyDescent="0.25">
      <c r="A476" t="s">
        <v>741</v>
      </c>
      <c r="B476" s="3">
        <v>39142</v>
      </c>
      <c r="C476" t="s">
        <v>652</v>
      </c>
      <c r="D476">
        <v>190</v>
      </c>
      <c r="E476">
        <v>336</v>
      </c>
    </row>
    <row r="477" spans="1:5" x14ac:dyDescent="0.25">
      <c r="A477" t="s">
        <v>740</v>
      </c>
      <c r="B477" s="3">
        <v>39142</v>
      </c>
      <c r="C477" t="s">
        <v>652</v>
      </c>
      <c r="D477">
        <v>210</v>
      </c>
      <c r="E477">
        <v>545</v>
      </c>
    </row>
    <row r="478" spans="1:5" x14ac:dyDescent="0.25">
      <c r="A478" t="s">
        <v>739</v>
      </c>
      <c r="B478" s="3">
        <v>39142</v>
      </c>
      <c r="C478" t="s">
        <v>652</v>
      </c>
      <c r="D478">
        <v>250</v>
      </c>
      <c r="E478">
        <v>578</v>
      </c>
    </row>
    <row r="479" spans="1:5" x14ac:dyDescent="0.25">
      <c r="A479" t="s">
        <v>738</v>
      </c>
      <c r="B479" s="3">
        <v>39142</v>
      </c>
      <c r="C479" t="s">
        <v>652</v>
      </c>
      <c r="D479">
        <v>160</v>
      </c>
      <c r="E479">
        <v>46</v>
      </c>
    </row>
    <row r="480" spans="1:5" x14ac:dyDescent="0.25">
      <c r="A480" t="s">
        <v>737</v>
      </c>
      <c r="B480" s="3">
        <v>39142</v>
      </c>
      <c r="C480" t="s">
        <v>652</v>
      </c>
      <c r="D480">
        <v>270</v>
      </c>
      <c r="E480">
        <v>80</v>
      </c>
    </row>
    <row r="481" spans="1:5" x14ac:dyDescent="0.25">
      <c r="A481" t="s">
        <v>736</v>
      </c>
      <c r="B481" s="3">
        <v>39142</v>
      </c>
      <c r="C481" t="s">
        <v>652</v>
      </c>
      <c r="D481">
        <v>175</v>
      </c>
      <c r="E481">
        <v>60</v>
      </c>
    </row>
    <row r="482" spans="1:5" x14ac:dyDescent="0.25">
      <c r="A482" t="s">
        <v>735</v>
      </c>
      <c r="B482" s="3">
        <v>39142</v>
      </c>
      <c r="C482" t="s">
        <v>652</v>
      </c>
      <c r="D482">
        <v>200</v>
      </c>
      <c r="E482">
        <v>215</v>
      </c>
    </row>
    <row r="483" spans="1:5" x14ac:dyDescent="0.25">
      <c r="A483" t="s">
        <v>763</v>
      </c>
      <c r="B483" s="3">
        <v>39142</v>
      </c>
      <c r="C483" t="s">
        <v>652</v>
      </c>
      <c r="D483">
        <v>220</v>
      </c>
      <c r="E483">
        <v>223</v>
      </c>
    </row>
    <row r="484" spans="1:5" x14ac:dyDescent="0.25">
      <c r="A484" t="s">
        <v>762</v>
      </c>
      <c r="B484" s="3">
        <v>39142</v>
      </c>
      <c r="C484" t="s">
        <v>652</v>
      </c>
      <c r="D484">
        <v>300</v>
      </c>
      <c r="E484">
        <v>1116</v>
      </c>
    </row>
    <row r="485" spans="1:5" x14ac:dyDescent="0.25">
      <c r="A485" t="s">
        <v>733</v>
      </c>
      <c r="B485" s="3">
        <v>39142</v>
      </c>
      <c r="C485" t="s">
        <v>652</v>
      </c>
      <c r="D485">
        <v>290</v>
      </c>
      <c r="E485">
        <v>189</v>
      </c>
    </row>
    <row r="486" spans="1:5" x14ac:dyDescent="0.25">
      <c r="A486" t="s">
        <v>732</v>
      </c>
      <c r="B486" s="3">
        <v>39142</v>
      </c>
      <c r="C486" t="s">
        <v>652</v>
      </c>
      <c r="D486">
        <v>315</v>
      </c>
      <c r="E486">
        <v>608</v>
      </c>
    </row>
    <row r="487" spans="1:5" x14ac:dyDescent="0.25">
      <c r="A487" t="s">
        <v>731</v>
      </c>
      <c r="B487" s="3">
        <v>39142</v>
      </c>
      <c r="C487" t="s">
        <v>652</v>
      </c>
      <c r="D487">
        <v>310</v>
      </c>
      <c r="E487">
        <v>96</v>
      </c>
    </row>
    <row r="488" spans="1:5" x14ac:dyDescent="0.25">
      <c r="A488" t="s">
        <v>730</v>
      </c>
      <c r="B488" s="3">
        <v>39142</v>
      </c>
      <c r="C488" t="s">
        <v>652</v>
      </c>
      <c r="D488">
        <v>290</v>
      </c>
      <c r="E488">
        <v>223</v>
      </c>
    </row>
    <row r="489" spans="1:5" x14ac:dyDescent="0.25">
      <c r="A489" t="s">
        <v>729</v>
      </c>
      <c r="B489" s="3">
        <v>39142</v>
      </c>
      <c r="C489" t="s">
        <v>652</v>
      </c>
      <c r="D489">
        <v>180</v>
      </c>
      <c r="E489">
        <v>139</v>
      </c>
    </row>
    <row r="490" spans="1:5" x14ac:dyDescent="0.25">
      <c r="A490" t="s">
        <v>728</v>
      </c>
      <c r="B490" s="3">
        <v>39142</v>
      </c>
      <c r="C490" t="s">
        <v>652</v>
      </c>
      <c r="D490">
        <v>210</v>
      </c>
      <c r="E490">
        <v>229</v>
      </c>
    </row>
    <row r="491" spans="1:5" x14ac:dyDescent="0.25">
      <c r="A491" t="s">
        <v>727</v>
      </c>
      <c r="B491" s="3">
        <v>39142</v>
      </c>
      <c r="C491" t="s">
        <v>652</v>
      </c>
      <c r="D491">
        <v>190</v>
      </c>
      <c r="E491">
        <v>744</v>
      </c>
    </row>
    <row r="492" spans="1:5" x14ac:dyDescent="0.25">
      <c r="A492" t="s">
        <v>726</v>
      </c>
      <c r="B492" s="3">
        <v>39142</v>
      </c>
      <c r="C492" t="s">
        <v>652</v>
      </c>
      <c r="D492">
        <v>180</v>
      </c>
      <c r="E492">
        <v>68</v>
      </c>
    </row>
    <row r="493" spans="1:5" x14ac:dyDescent="0.25">
      <c r="A493" t="s">
        <v>725</v>
      </c>
      <c r="B493" s="3">
        <v>39142</v>
      </c>
      <c r="C493" t="s">
        <v>652</v>
      </c>
      <c r="D493">
        <v>215</v>
      </c>
      <c r="E493">
        <v>726</v>
      </c>
    </row>
    <row r="494" spans="1:5" x14ac:dyDescent="0.25">
      <c r="A494" t="s">
        <v>724</v>
      </c>
      <c r="B494" s="3">
        <v>39142</v>
      </c>
      <c r="C494" t="s">
        <v>652</v>
      </c>
      <c r="D494">
        <v>250</v>
      </c>
      <c r="E494">
        <v>320</v>
      </c>
    </row>
    <row r="495" spans="1:5" x14ac:dyDescent="0.25">
      <c r="A495" t="s">
        <v>723</v>
      </c>
      <c r="B495" s="3">
        <v>39142</v>
      </c>
      <c r="C495" t="s">
        <v>652</v>
      </c>
      <c r="D495">
        <v>165</v>
      </c>
      <c r="E495">
        <v>45</v>
      </c>
    </row>
    <row r="496" spans="1:5" x14ac:dyDescent="0.25">
      <c r="A496" t="s">
        <v>722</v>
      </c>
      <c r="B496" s="3">
        <v>39142</v>
      </c>
      <c r="C496" t="s">
        <v>652</v>
      </c>
      <c r="D496">
        <v>180</v>
      </c>
      <c r="E496">
        <v>110</v>
      </c>
    </row>
    <row r="497" spans="1:5" x14ac:dyDescent="0.25">
      <c r="A497" t="s">
        <v>721</v>
      </c>
      <c r="B497" s="3">
        <v>39142</v>
      </c>
      <c r="C497" t="s">
        <v>652</v>
      </c>
      <c r="D497">
        <v>240</v>
      </c>
      <c r="E497">
        <v>115</v>
      </c>
    </row>
    <row r="498" spans="1:5" x14ac:dyDescent="0.25">
      <c r="A498" t="s">
        <v>720</v>
      </c>
      <c r="B498" s="3">
        <v>39142</v>
      </c>
      <c r="C498" t="s">
        <v>652</v>
      </c>
      <c r="D498">
        <v>240</v>
      </c>
      <c r="E498">
        <v>88</v>
      </c>
    </row>
    <row r="499" spans="1:5" x14ac:dyDescent="0.25">
      <c r="A499" t="s">
        <v>719</v>
      </c>
      <c r="B499" s="3">
        <v>39142</v>
      </c>
      <c r="C499" t="s">
        <v>652</v>
      </c>
      <c r="D499">
        <v>235</v>
      </c>
      <c r="E499">
        <v>444</v>
      </c>
    </row>
    <row r="500" spans="1:5" x14ac:dyDescent="0.25">
      <c r="A500" t="s">
        <v>718</v>
      </c>
      <c r="B500" s="3">
        <v>39142</v>
      </c>
      <c r="C500" t="s">
        <v>652</v>
      </c>
      <c r="D500">
        <v>220</v>
      </c>
      <c r="E500">
        <v>210</v>
      </c>
    </row>
    <row r="501" spans="1:5" x14ac:dyDescent="0.25">
      <c r="A501" t="s">
        <v>717</v>
      </c>
      <c r="B501" s="3">
        <v>39142</v>
      </c>
      <c r="C501" t="s">
        <v>652</v>
      </c>
      <c r="D501">
        <v>240</v>
      </c>
      <c r="E501">
        <v>349</v>
      </c>
    </row>
    <row r="502" spans="1:5" x14ac:dyDescent="0.25">
      <c r="A502" t="s">
        <v>716</v>
      </c>
      <c r="B502" s="3">
        <v>39142</v>
      </c>
      <c r="C502" t="s">
        <v>652</v>
      </c>
      <c r="D502">
        <v>170</v>
      </c>
      <c r="E502">
        <v>307</v>
      </c>
    </row>
    <row r="503" spans="1:5" x14ac:dyDescent="0.25">
      <c r="A503" t="s">
        <v>715</v>
      </c>
      <c r="B503" s="3">
        <v>39142</v>
      </c>
      <c r="C503" t="s">
        <v>652</v>
      </c>
      <c r="D503">
        <v>180</v>
      </c>
      <c r="E503">
        <v>46</v>
      </c>
    </row>
    <row r="504" spans="1:5" x14ac:dyDescent="0.25">
      <c r="A504" t="s">
        <v>714</v>
      </c>
      <c r="B504" s="3">
        <v>39142</v>
      </c>
      <c r="C504" t="s">
        <v>652</v>
      </c>
      <c r="D504">
        <v>270</v>
      </c>
      <c r="E504">
        <v>869</v>
      </c>
    </row>
    <row r="505" spans="1:5" x14ac:dyDescent="0.25">
      <c r="A505" t="s">
        <v>761</v>
      </c>
      <c r="B505" s="3">
        <v>39142</v>
      </c>
      <c r="C505" t="s">
        <v>652</v>
      </c>
      <c r="D505">
        <v>275</v>
      </c>
      <c r="E505">
        <v>255</v>
      </c>
    </row>
    <row r="506" spans="1:5" x14ac:dyDescent="0.25">
      <c r="A506" t="s">
        <v>760</v>
      </c>
      <c r="B506" s="3">
        <v>39142</v>
      </c>
      <c r="C506" t="s">
        <v>652</v>
      </c>
      <c r="D506">
        <v>270</v>
      </c>
      <c r="E506">
        <v>472</v>
      </c>
    </row>
    <row r="507" spans="1:5" x14ac:dyDescent="0.25">
      <c r="A507" t="s">
        <v>759</v>
      </c>
      <c r="B507" s="3">
        <v>39142</v>
      </c>
      <c r="C507" t="s">
        <v>652</v>
      </c>
      <c r="D507">
        <v>260</v>
      </c>
      <c r="E507">
        <v>142</v>
      </c>
    </row>
    <row r="508" spans="1:5" x14ac:dyDescent="0.25">
      <c r="A508" t="s">
        <v>758</v>
      </c>
      <c r="B508" s="3">
        <v>39142</v>
      </c>
      <c r="C508" t="s">
        <v>652</v>
      </c>
      <c r="D508">
        <v>230</v>
      </c>
      <c r="E508">
        <v>286</v>
      </c>
    </row>
    <row r="509" spans="1:5" x14ac:dyDescent="0.25">
      <c r="A509" t="s">
        <v>710</v>
      </c>
      <c r="B509" s="3">
        <v>39142</v>
      </c>
      <c r="C509" t="s">
        <v>652</v>
      </c>
      <c r="D509">
        <v>210</v>
      </c>
      <c r="E509">
        <v>604</v>
      </c>
    </row>
    <row r="510" spans="1:5" x14ac:dyDescent="0.25">
      <c r="A510" t="s">
        <v>709</v>
      </c>
      <c r="B510" s="3">
        <v>39142</v>
      </c>
      <c r="C510" t="s">
        <v>652</v>
      </c>
      <c r="D510">
        <v>240</v>
      </c>
      <c r="E510">
        <v>457</v>
      </c>
    </row>
    <row r="511" spans="1:5" x14ac:dyDescent="0.25">
      <c r="A511" t="s">
        <v>708</v>
      </c>
      <c r="B511" s="3">
        <v>39142</v>
      </c>
      <c r="C511" t="s">
        <v>652</v>
      </c>
      <c r="D511">
        <v>170</v>
      </c>
      <c r="E511">
        <v>93</v>
      </c>
    </row>
    <row r="512" spans="1:5" x14ac:dyDescent="0.25">
      <c r="A512" t="s">
        <v>635</v>
      </c>
      <c r="B512" s="3">
        <v>39234</v>
      </c>
      <c r="C512" t="s">
        <v>649</v>
      </c>
      <c r="D512">
        <v>240</v>
      </c>
      <c r="E512">
        <v>3615</v>
      </c>
    </row>
    <row r="513" spans="1:5" x14ac:dyDescent="0.25">
      <c r="A513" t="s">
        <v>755</v>
      </c>
      <c r="B513" s="3">
        <v>39234</v>
      </c>
      <c r="C513" t="s">
        <v>649</v>
      </c>
      <c r="D513">
        <v>190</v>
      </c>
      <c r="E513">
        <v>57</v>
      </c>
    </row>
    <row r="514" spans="1:5" x14ac:dyDescent="0.25">
      <c r="A514" t="s">
        <v>754</v>
      </c>
      <c r="B514" s="3">
        <v>39234</v>
      </c>
      <c r="C514" t="s">
        <v>649</v>
      </c>
      <c r="D514">
        <v>310</v>
      </c>
      <c r="E514">
        <v>1556</v>
      </c>
    </row>
    <row r="515" spans="1:5" x14ac:dyDescent="0.25">
      <c r="A515" t="s">
        <v>753</v>
      </c>
      <c r="B515" s="3">
        <v>39234</v>
      </c>
      <c r="C515" t="s">
        <v>649</v>
      </c>
      <c r="D515">
        <v>220</v>
      </c>
      <c r="E515">
        <v>721</v>
      </c>
    </row>
    <row r="516" spans="1:5" x14ac:dyDescent="0.25">
      <c r="A516" t="s">
        <v>752</v>
      </c>
      <c r="B516" s="3">
        <v>39234</v>
      </c>
      <c r="C516" t="s">
        <v>649</v>
      </c>
      <c r="D516">
        <v>200</v>
      </c>
      <c r="E516">
        <v>126</v>
      </c>
    </row>
    <row r="517" spans="1:5" x14ac:dyDescent="0.25">
      <c r="A517" t="s">
        <v>751</v>
      </c>
      <c r="B517" s="3">
        <v>39234</v>
      </c>
      <c r="C517" t="s">
        <v>649</v>
      </c>
      <c r="D517">
        <v>200</v>
      </c>
      <c r="E517">
        <v>90</v>
      </c>
    </row>
    <row r="518" spans="1:5" x14ac:dyDescent="0.25">
      <c r="A518" t="s">
        <v>750</v>
      </c>
      <c r="B518" s="3">
        <v>39234</v>
      </c>
      <c r="C518" t="s">
        <v>649</v>
      </c>
      <c r="D518">
        <v>200</v>
      </c>
      <c r="E518">
        <v>44</v>
      </c>
    </row>
    <row r="519" spans="1:5" x14ac:dyDescent="0.25">
      <c r="A519" t="s">
        <v>749</v>
      </c>
      <c r="B519" s="3">
        <v>39234</v>
      </c>
      <c r="C519" t="s">
        <v>649</v>
      </c>
      <c r="D519">
        <v>200</v>
      </c>
      <c r="E519">
        <v>381</v>
      </c>
    </row>
    <row r="520" spans="1:5" x14ac:dyDescent="0.25">
      <c r="A520" t="s">
        <v>748</v>
      </c>
      <c r="B520" s="3">
        <v>39234</v>
      </c>
      <c r="C520" t="s">
        <v>649</v>
      </c>
      <c r="D520">
        <v>195</v>
      </c>
      <c r="E520">
        <v>39</v>
      </c>
    </row>
    <row r="521" spans="1:5" x14ac:dyDescent="0.25">
      <c r="A521" t="s">
        <v>747</v>
      </c>
      <c r="B521" s="3">
        <v>39234</v>
      </c>
      <c r="C521" t="s">
        <v>649</v>
      </c>
      <c r="D521">
        <v>230</v>
      </c>
      <c r="E521">
        <v>405</v>
      </c>
    </row>
    <row r="522" spans="1:5" x14ac:dyDescent="0.25">
      <c r="A522" t="s">
        <v>746</v>
      </c>
      <c r="B522" s="3">
        <v>39234</v>
      </c>
      <c r="C522" t="s">
        <v>649</v>
      </c>
      <c r="D522">
        <v>200</v>
      </c>
      <c r="E522">
        <v>10</v>
      </c>
    </row>
    <row r="523" spans="1:5" x14ac:dyDescent="0.25">
      <c r="A523" t="s">
        <v>745</v>
      </c>
      <c r="B523" s="3">
        <v>39234</v>
      </c>
      <c r="C523" t="s">
        <v>649</v>
      </c>
      <c r="D523">
        <v>240</v>
      </c>
      <c r="E523">
        <v>174</v>
      </c>
    </row>
    <row r="524" spans="1:5" x14ac:dyDescent="0.25">
      <c r="A524" t="s">
        <v>744</v>
      </c>
      <c r="B524" s="3">
        <v>39234</v>
      </c>
      <c r="C524" t="s">
        <v>649</v>
      </c>
      <c r="D524">
        <v>215</v>
      </c>
      <c r="E524">
        <v>12</v>
      </c>
    </row>
    <row r="525" spans="1:5" x14ac:dyDescent="0.25">
      <c r="A525" t="s">
        <v>743</v>
      </c>
      <c r="B525" s="3">
        <v>39234</v>
      </c>
      <c r="C525" t="s">
        <v>649</v>
      </c>
      <c r="D525">
        <v>135</v>
      </c>
      <c r="E525">
        <v>19</v>
      </c>
    </row>
    <row r="526" spans="1:5" x14ac:dyDescent="0.25">
      <c r="A526" t="s">
        <v>742</v>
      </c>
      <c r="B526" s="3">
        <v>39234</v>
      </c>
      <c r="C526" t="s">
        <v>649</v>
      </c>
      <c r="D526">
        <v>140</v>
      </c>
      <c r="E526">
        <v>28</v>
      </c>
    </row>
    <row r="527" spans="1:5" x14ac:dyDescent="0.25">
      <c r="A527" t="s">
        <v>741</v>
      </c>
      <c r="B527" s="3">
        <v>39234</v>
      </c>
      <c r="C527" t="s">
        <v>649</v>
      </c>
      <c r="D527">
        <v>145</v>
      </c>
      <c r="E527">
        <v>164</v>
      </c>
    </row>
    <row r="528" spans="1:5" x14ac:dyDescent="0.25">
      <c r="A528" t="s">
        <v>740</v>
      </c>
      <c r="B528" s="3">
        <v>39234</v>
      </c>
      <c r="C528" t="s">
        <v>649</v>
      </c>
      <c r="D528">
        <v>170</v>
      </c>
      <c r="E528">
        <v>121</v>
      </c>
    </row>
    <row r="529" spans="1:5" x14ac:dyDescent="0.25">
      <c r="A529" t="s">
        <v>739</v>
      </c>
      <c r="B529" s="3">
        <v>39234</v>
      </c>
      <c r="C529" t="s">
        <v>649</v>
      </c>
      <c r="D529">
        <v>185</v>
      </c>
      <c r="E529">
        <v>875</v>
      </c>
    </row>
    <row r="530" spans="1:5" x14ac:dyDescent="0.25">
      <c r="A530" t="s">
        <v>738</v>
      </c>
      <c r="B530" s="3">
        <v>39234</v>
      </c>
      <c r="C530" t="s">
        <v>649</v>
      </c>
      <c r="D530">
        <v>140</v>
      </c>
      <c r="E530">
        <v>14</v>
      </c>
    </row>
    <row r="531" spans="1:5" x14ac:dyDescent="0.25">
      <c r="A531" t="s">
        <v>737</v>
      </c>
      <c r="B531" s="3">
        <v>39234</v>
      </c>
      <c r="C531" t="s">
        <v>649</v>
      </c>
      <c r="D531">
        <v>190</v>
      </c>
      <c r="E531">
        <v>46</v>
      </c>
    </row>
    <row r="532" spans="1:5" x14ac:dyDescent="0.25">
      <c r="A532" t="s">
        <v>736</v>
      </c>
      <c r="B532" s="3">
        <v>39234</v>
      </c>
      <c r="C532" t="s">
        <v>649</v>
      </c>
      <c r="D532">
        <v>150</v>
      </c>
      <c r="E532">
        <v>14</v>
      </c>
    </row>
    <row r="533" spans="1:5" x14ac:dyDescent="0.25">
      <c r="A533" t="s">
        <v>735</v>
      </c>
      <c r="B533" s="3">
        <v>39234</v>
      </c>
      <c r="C533" t="s">
        <v>649</v>
      </c>
      <c r="D533">
        <v>145</v>
      </c>
      <c r="E533">
        <v>206</v>
      </c>
    </row>
    <row r="534" spans="1:5" x14ac:dyDescent="0.25">
      <c r="A534" t="s">
        <v>763</v>
      </c>
      <c r="B534" s="3">
        <v>39234</v>
      </c>
      <c r="C534" t="s">
        <v>649</v>
      </c>
      <c r="D534">
        <v>160</v>
      </c>
      <c r="E534">
        <v>78</v>
      </c>
    </row>
    <row r="535" spans="1:5" x14ac:dyDescent="0.25">
      <c r="A535" t="s">
        <v>762</v>
      </c>
      <c r="B535" s="3">
        <v>39234</v>
      </c>
      <c r="C535" t="s">
        <v>649</v>
      </c>
      <c r="D535">
        <v>260</v>
      </c>
      <c r="E535">
        <v>2357</v>
      </c>
    </row>
    <row r="536" spans="1:5" x14ac:dyDescent="0.25">
      <c r="A536" t="s">
        <v>733</v>
      </c>
      <c r="B536" s="3">
        <v>39234</v>
      </c>
      <c r="C536" t="s">
        <v>649</v>
      </c>
      <c r="D536">
        <v>230</v>
      </c>
      <c r="E536">
        <v>182</v>
      </c>
    </row>
    <row r="537" spans="1:5" x14ac:dyDescent="0.25">
      <c r="A537" t="s">
        <v>732</v>
      </c>
      <c r="B537" s="3">
        <v>39234</v>
      </c>
      <c r="C537" t="s">
        <v>649</v>
      </c>
      <c r="D537">
        <v>275</v>
      </c>
      <c r="E537">
        <v>1708</v>
      </c>
    </row>
    <row r="538" spans="1:5" x14ac:dyDescent="0.25">
      <c r="A538" t="s">
        <v>731</v>
      </c>
      <c r="B538" s="3">
        <v>39234</v>
      </c>
      <c r="C538" t="s">
        <v>649</v>
      </c>
      <c r="D538">
        <v>235</v>
      </c>
      <c r="E538">
        <v>390</v>
      </c>
    </row>
    <row r="539" spans="1:5" x14ac:dyDescent="0.25">
      <c r="A539" t="s">
        <v>730</v>
      </c>
      <c r="B539" s="3">
        <v>39234</v>
      </c>
      <c r="C539" t="s">
        <v>649</v>
      </c>
      <c r="D539">
        <v>210</v>
      </c>
      <c r="E539">
        <v>77</v>
      </c>
    </row>
    <row r="540" spans="1:5" x14ac:dyDescent="0.25">
      <c r="A540" t="s">
        <v>729</v>
      </c>
      <c r="B540" s="3">
        <v>39234</v>
      </c>
      <c r="C540" t="s">
        <v>649</v>
      </c>
      <c r="D540">
        <v>140</v>
      </c>
      <c r="E540">
        <v>34</v>
      </c>
    </row>
    <row r="541" spans="1:5" x14ac:dyDescent="0.25">
      <c r="A541" t="s">
        <v>728</v>
      </c>
      <c r="B541" s="3">
        <v>39234</v>
      </c>
      <c r="C541" t="s">
        <v>649</v>
      </c>
      <c r="D541">
        <v>175</v>
      </c>
      <c r="E541">
        <v>99</v>
      </c>
    </row>
    <row r="542" spans="1:5" x14ac:dyDescent="0.25">
      <c r="A542" t="s">
        <v>727</v>
      </c>
      <c r="B542" s="3">
        <v>39234</v>
      </c>
      <c r="C542" t="s">
        <v>649</v>
      </c>
      <c r="D542">
        <v>160</v>
      </c>
      <c r="E542">
        <v>169</v>
      </c>
    </row>
    <row r="543" spans="1:5" x14ac:dyDescent="0.25">
      <c r="A543" t="s">
        <v>726</v>
      </c>
      <c r="B543" s="3">
        <v>39234</v>
      </c>
      <c r="C543" t="s">
        <v>649</v>
      </c>
      <c r="D543">
        <v>150</v>
      </c>
      <c r="E543">
        <v>31</v>
      </c>
    </row>
    <row r="544" spans="1:5" x14ac:dyDescent="0.25">
      <c r="A544" t="s">
        <v>725</v>
      </c>
      <c r="B544" s="3">
        <v>39234</v>
      </c>
      <c r="C544" t="s">
        <v>649</v>
      </c>
      <c r="D544">
        <v>160</v>
      </c>
      <c r="E544">
        <v>281</v>
      </c>
    </row>
    <row r="545" spans="1:5" x14ac:dyDescent="0.25">
      <c r="A545" t="s">
        <v>724</v>
      </c>
      <c r="B545" s="3">
        <v>39234</v>
      </c>
      <c r="C545" t="s">
        <v>649</v>
      </c>
      <c r="D545">
        <v>165</v>
      </c>
      <c r="E545">
        <v>241</v>
      </c>
    </row>
    <row r="546" spans="1:5" x14ac:dyDescent="0.25">
      <c r="A546" t="s">
        <v>723</v>
      </c>
      <c r="B546" s="3">
        <v>39234</v>
      </c>
      <c r="C546" t="s">
        <v>649</v>
      </c>
      <c r="D546">
        <v>120</v>
      </c>
      <c r="E546">
        <v>28</v>
      </c>
    </row>
    <row r="547" spans="1:5" x14ac:dyDescent="0.25">
      <c r="A547" t="s">
        <v>722</v>
      </c>
      <c r="B547" s="3">
        <v>39234</v>
      </c>
      <c r="C547" t="s">
        <v>649</v>
      </c>
      <c r="D547">
        <v>135</v>
      </c>
      <c r="E547">
        <v>66</v>
      </c>
    </row>
    <row r="548" spans="1:5" x14ac:dyDescent="0.25">
      <c r="A548" t="s">
        <v>721</v>
      </c>
      <c r="B548" s="3">
        <v>39234</v>
      </c>
      <c r="C548" t="s">
        <v>649</v>
      </c>
      <c r="D548">
        <v>160</v>
      </c>
      <c r="E548">
        <v>111</v>
      </c>
    </row>
    <row r="549" spans="1:5" x14ac:dyDescent="0.25">
      <c r="A549" t="s">
        <v>720</v>
      </c>
      <c r="B549" s="3">
        <v>39234</v>
      </c>
      <c r="C549" t="s">
        <v>649</v>
      </c>
      <c r="D549">
        <v>170</v>
      </c>
      <c r="E549">
        <v>39</v>
      </c>
    </row>
    <row r="550" spans="1:5" x14ac:dyDescent="0.25">
      <c r="A550" t="s">
        <v>719</v>
      </c>
      <c r="B550" s="3">
        <v>39234</v>
      </c>
      <c r="C550" t="s">
        <v>649</v>
      </c>
      <c r="D550">
        <v>175</v>
      </c>
      <c r="E550">
        <v>70</v>
      </c>
    </row>
    <row r="551" spans="1:5" x14ac:dyDescent="0.25">
      <c r="A551" t="s">
        <v>718</v>
      </c>
      <c r="B551" s="3">
        <v>39234</v>
      </c>
      <c r="C551" t="s">
        <v>649</v>
      </c>
      <c r="D551">
        <v>175</v>
      </c>
      <c r="E551">
        <v>187</v>
      </c>
    </row>
    <row r="552" spans="1:5" x14ac:dyDescent="0.25">
      <c r="A552" t="s">
        <v>717</v>
      </c>
      <c r="B552" s="3">
        <v>39234</v>
      </c>
      <c r="C552" t="s">
        <v>649</v>
      </c>
      <c r="D552">
        <v>200</v>
      </c>
      <c r="E552">
        <v>77</v>
      </c>
    </row>
    <row r="553" spans="1:5" x14ac:dyDescent="0.25">
      <c r="A553" t="s">
        <v>716</v>
      </c>
      <c r="B553" s="3">
        <v>39234</v>
      </c>
      <c r="C553" t="s">
        <v>649</v>
      </c>
      <c r="D553">
        <v>130</v>
      </c>
      <c r="E553">
        <v>184</v>
      </c>
    </row>
    <row r="554" spans="1:5" x14ac:dyDescent="0.25">
      <c r="A554" t="s">
        <v>715</v>
      </c>
      <c r="B554" s="3">
        <v>39234</v>
      </c>
      <c r="C554" t="s">
        <v>649</v>
      </c>
      <c r="D554">
        <v>120</v>
      </c>
      <c r="E554">
        <v>24</v>
      </c>
    </row>
    <row r="555" spans="1:5" x14ac:dyDescent="0.25">
      <c r="A555" t="s">
        <v>714</v>
      </c>
      <c r="B555" s="3">
        <v>39234</v>
      </c>
      <c r="C555" t="s">
        <v>649</v>
      </c>
      <c r="D555">
        <v>220</v>
      </c>
      <c r="E555">
        <v>881</v>
      </c>
    </row>
    <row r="556" spans="1:5" x14ac:dyDescent="0.25">
      <c r="A556" t="s">
        <v>761</v>
      </c>
      <c r="B556" s="3">
        <v>39234</v>
      </c>
      <c r="C556" t="s">
        <v>649</v>
      </c>
      <c r="D556">
        <v>220</v>
      </c>
      <c r="E556">
        <v>197</v>
      </c>
    </row>
    <row r="557" spans="1:5" x14ac:dyDescent="0.25">
      <c r="A557" t="s">
        <v>760</v>
      </c>
      <c r="B557" s="3">
        <v>39234</v>
      </c>
      <c r="C557" t="s">
        <v>649</v>
      </c>
      <c r="D557">
        <v>210</v>
      </c>
      <c r="E557">
        <v>547</v>
      </c>
    </row>
    <row r="558" spans="1:5" x14ac:dyDescent="0.25">
      <c r="A558" t="s">
        <v>759</v>
      </c>
      <c r="B558" s="3">
        <v>39234</v>
      </c>
      <c r="C558" t="s">
        <v>649</v>
      </c>
      <c r="D558">
        <v>235</v>
      </c>
      <c r="E558">
        <v>137</v>
      </c>
    </row>
    <row r="559" spans="1:5" x14ac:dyDescent="0.25">
      <c r="A559" t="s">
        <v>758</v>
      </c>
      <c r="B559" s="3">
        <v>39234</v>
      </c>
      <c r="C559" t="s">
        <v>649</v>
      </c>
      <c r="D559">
        <v>160</v>
      </c>
      <c r="E559">
        <v>63</v>
      </c>
    </row>
    <row r="560" spans="1:5" x14ac:dyDescent="0.25">
      <c r="A560" t="s">
        <v>710</v>
      </c>
      <c r="B560" s="3">
        <v>39234</v>
      </c>
      <c r="C560" t="s">
        <v>649</v>
      </c>
      <c r="D560">
        <v>150</v>
      </c>
      <c r="E560">
        <v>339</v>
      </c>
    </row>
    <row r="561" spans="1:5" x14ac:dyDescent="0.25">
      <c r="A561" t="s">
        <v>709</v>
      </c>
      <c r="B561" s="3">
        <v>39234</v>
      </c>
      <c r="C561" t="s">
        <v>649</v>
      </c>
      <c r="D561">
        <v>175</v>
      </c>
      <c r="E561">
        <v>591</v>
      </c>
    </row>
    <row r="562" spans="1:5" x14ac:dyDescent="0.25">
      <c r="A562" t="s">
        <v>708</v>
      </c>
      <c r="B562" s="3">
        <v>39234</v>
      </c>
      <c r="C562" t="s">
        <v>649</v>
      </c>
      <c r="D562">
        <v>140</v>
      </c>
      <c r="E562">
        <v>37</v>
      </c>
    </row>
    <row r="563" spans="1:5" x14ac:dyDescent="0.25">
      <c r="A563" t="s">
        <v>635</v>
      </c>
      <c r="B563" s="3">
        <v>39234</v>
      </c>
      <c r="C563" t="s">
        <v>652</v>
      </c>
      <c r="D563">
        <v>260</v>
      </c>
      <c r="E563">
        <v>3253</v>
      </c>
    </row>
    <row r="564" spans="1:5" x14ac:dyDescent="0.25">
      <c r="A564" t="s">
        <v>755</v>
      </c>
      <c r="B564" s="3">
        <v>39234</v>
      </c>
      <c r="C564" t="s">
        <v>652</v>
      </c>
      <c r="D564">
        <v>250</v>
      </c>
      <c r="E564">
        <v>178</v>
      </c>
    </row>
    <row r="565" spans="1:5" x14ac:dyDescent="0.25">
      <c r="A565" t="s">
        <v>754</v>
      </c>
      <c r="B565" s="3">
        <v>39234</v>
      </c>
      <c r="C565" t="s">
        <v>652</v>
      </c>
      <c r="D565">
        <v>330</v>
      </c>
      <c r="E565">
        <v>286</v>
      </c>
    </row>
    <row r="566" spans="1:5" x14ac:dyDescent="0.25">
      <c r="A566" t="s">
        <v>753</v>
      </c>
      <c r="B566" s="3">
        <v>39234</v>
      </c>
      <c r="C566" t="s">
        <v>652</v>
      </c>
      <c r="D566">
        <v>270</v>
      </c>
      <c r="E566">
        <v>331</v>
      </c>
    </row>
    <row r="567" spans="1:5" x14ac:dyDescent="0.25">
      <c r="A567" t="s">
        <v>752</v>
      </c>
      <c r="B567" s="3">
        <v>39234</v>
      </c>
      <c r="C567" t="s">
        <v>652</v>
      </c>
      <c r="D567">
        <v>245</v>
      </c>
      <c r="E567">
        <v>381</v>
      </c>
    </row>
    <row r="568" spans="1:5" x14ac:dyDescent="0.25">
      <c r="A568" t="s">
        <v>751</v>
      </c>
      <c r="B568" s="3">
        <v>39234</v>
      </c>
      <c r="C568" t="s">
        <v>652</v>
      </c>
      <c r="D568">
        <v>300</v>
      </c>
      <c r="E568">
        <v>162</v>
      </c>
    </row>
    <row r="569" spans="1:5" x14ac:dyDescent="0.25">
      <c r="A569" t="s">
        <v>750</v>
      </c>
      <c r="B569" s="3">
        <v>39234</v>
      </c>
      <c r="C569" t="s">
        <v>652</v>
      </c>
      <c r="D569">
        <v>260</v>
      </c>
      <c r="E569">
        <v>245</v>
      </c>
    </row>
    <row r="570" spans="1:5" x14ac:dyDescent="0.25">
      <c r="A570" t="s">
        <v>749</v>
      </c>
      <c r="B570" s="3">
        <v>39234</v>
      </c>
      <c r="C570" t="s">
        <v>652</v>
      </c>
      <c r="D570">
        <v>260</v>
      </c>
      <c r="E570">
        <v>397</v>
      </c>
    </row>
    <row r="571" spans="1:5" x14ac:dyDescent="0.25">
      <c r="A571" t="s">
        <v>748</v>
      </c>
      <c r="B571" s="3">
        <v>39234</v>
      </c>
      <c r="C571" t="s">
        <v>652</v>
      </c>
      <c r="D571">
        <v>240</v>
      </c>
      <c r="E571">
        <v>317</v>
      </c>
    </row>
    <row r="572" spans="1:5" x14ac:dyDescent="0.25">
      <c r="A572" t="s">
        <v>747</v>
      </c>
      <c r="B572" s="3">
        <v>39234</v>
      </c>
      <c r="C572" t="s">
        <v>652</v>
      </c>
      <c r="D572">
        <v>290</v>
      </c>
      <c r="E572">
        <v>353</v>
      </c>
    </row>
    <row r="573" spans="1:5" x14ac:dyDescent="0.25">
      <c r="A573" t="s">
        <v>746</v>
      </c>
      <c r="B573" s="3">
        <v>39234</v>
      </c>
      <c r="C573" t="s">
        <v>652</v>
      </c>
      <c r="D573">
        <v>265</v>
      </c>
      <c r="E573">
        <v>76</v>
      </c>
    </row>
    <row r="574" spans="1:5" x14ac:dyDescent="0.25">
      <c r="A574" t="s">
        <v>745</v>
      </c>
      <c r="B574" s="3">
        <v>39234</v>
      </c>
      <c r="C574" t="s">
        <v>652</v>
      </c>
      <c r="D574">
        <v>275</v>
      </c>
      <c r="E574">
        <v>129</v>
      </c>
    </row>
    <row r="575" spans="1:5" x14ac:dyDescent="0.25">
      <c r="A575" t="s">
        <v>744</v>
      </c>
      <c r="B575" s="3">
        <v>39234</v>
      </c>
      <c r="C575" t="s">
        <v>652</v>
      </c>
      <c r="D575">
        <v>235</v>
      </c>
      <c r="E575">
        <v>398</v>
      </c>
    </row>
    <row r="576" spans="1:5" x14ac:dyDescent="0.25">
      <c r="A576" t="s">
        <v>743</v>
      </c>
      <c r="B576" s="3">
        <v>39234</v>
      </c>
      <c r="C576" t="s">
        <v>652</v>
      </c>
      <c r="D576">
        <v>190</v>
      </c>
      <c r="E576">
        <v>47</v>
      </c>
    </row>
    <row r="577" spans="1:5" x14ac:dyDescent="0.25">
      <c r="A577" t="s">
        <v>742</v>
      </c>
      <c r="B577" s="3">
        <v>39234</v>
      </c>
      <c r="C577" t="s">
        <v>652</v>
      </c>
      <c r="D577">
        <v>250</v>
      </c>
      <c r="E577">
        <v>131</v>
      </c>
    </row>
    <row r="578" spans="1:5" x14ac:dyDescent="0.25">
      <c r="A578" t="s">
        <v>741</v>
      </c>
      <c r="B578" s="3">
        <v>39234</v>
      </c>
      <c r="C578" t="s">
        <v>652</v>
      </c>
      <c r="D578">
        <v>200</v>
      </c>
      <c r="E578">
        <v>331</v>
      </c>
    </row>
    <row r="579" spans="1:5" x14ac:dyDescent="0.25">
      <c r="A579" t="s">
        <v>740</v>
      </c>
      <c r="B579" s="3">
        <v>39234</v>
      </c>
      <c r="C579" t="s">
        <v>652</v>
      </c>
      <c r="D579">
        <v>210</v>
      </c>
      <c r="E579">
        <v>540</v>
      </c>
    </row>
    <row r="580" spans="1:5" x14ac:dyDescent="0.25">
      <c r="A580" t="s">
        <v>739</v>
      </c>
      <c r="B580" s="3">
        <v>39234</v>
      </c>
      <c r="C580" t="s">
        <v>652</v>
      </c>
      <c r="D580">
        <v>250</v>
      </c>
      <c r="E580">
        <v>582</v>
      </c>
    </row>
    <row r="581" spans="1:5" x14ac:dyDescent="0.25">
      <c r="A581" t="s">
        <v>738</v>
      </c>
      <c r="B581" s="3">
        <v>39234</v>
      </c>
      <c r="C581" t="s">
        <v>652</v>
      </c>
      <c r="D581">
        <v>165</v>
      </c>
      <c r="E581">
        <v>61</v>
      </c>
    </row>
    <row r="582" spans="1:5" x14ac:dyDescent="0.25">
      <c r="A582" t="s">
        <v>737</v>
      </c>
      <c r="B582" s="3">
        <v>39234</v>
      </c>
      <c r="C582" t="s">
        <v>652</v>
      </c>
      <c r="D582">
        <v>280</v>
      </c>
      <c r="E582">
        <v>59</v>
      </c>
    </row>
    <row r="583" spans="1:5" x14ac:dyDescent="0.25">
      <c r="A583" t="s">
        <v>736</v>
      </c>
      <c r="B583" s="3">
        <v>39234</v>
      </c>
      <c r="C583" t="s">
        <v>652</v>
      </c>
      <c r="D583">
        <v>180</v>
      </c>
      <c r="E583">
        <v>42</v>
      </c>
    </row>
    <row r="584" spans="1:5" x14ac:dyDescent="0.25">
      <c r="A584" t="s">
        <v>735</v>
      </c>
      <c r="B584" s="3">
        <v>39234</v>
      </c>
      <c r="C584" t="s">
        <v>652</v>
      </c>
      <c r="D584">
        <v>200</v>
      </c>
      <c r="E584">
        <v>207</v>
      </c>
    </row>
    <row r="585" spans="1:5" x14ac:dyDescent="0.25">
      <c r="A585" t="s">
        <v>763</v>
      </c>
      <c r="B585" s="3">
        <v>39234</v>
      </c>
      <c r="C585" t="s">
        <v>652</v>
      </c>
      <c r="D585">
        <v>230</v>
      </c>
      <c r="E585">
        <v>244</v>
      </c>
    </row>
    <row r="586" spans="1:5" x14ac:dyDescent="0.25">
      <c r="A586" t="s">
        <v>762</v>
      </c>
      <c r="B586" s="3">
        <v>39234</v>
      </c>
      <c r="C586" t="s">
        <v>652</v>
      </c>
      <c r="D586">
        <v>310</v>
      </c>
      <c r="E586">
        <v>1186</v>
      </c>
    </row>
    <row r="587" spans="1:5" x14ac:dyDescent="0.25">
      <c r="A587" t="s">
        <v>733</v>
      </c>
      <c r="B587" s="3">
        <v>39234</v>
      </c>
      <c r="C587" t="s">
        <v>652</v>
      </c>
      <c r="D587">
        <v>300</v>
      </c>
      <c r="E587">
        <v>200</v>
      </c>
    </row>
    <row r="588" spans="1:5" x14ac:dyDescent="0.25">
      <c r="A588" t="s">
        <v>732</v>
      </c>
      <c r="B588" s="3">
        <v>39234</v>
      </c>
      <c r="C588" t="s">
        <v>652</v>
      </c>
      <c r="D588">
        <v>330</v>
      </c>
      <c r="E588">
        <v>623</v>
      </c>
    </row>
    <row r="589" spans="1:5" x14ac:dyDescent="0.25">
      <c r="A589" t="s">
        <v>731</v>
      </c>
      <c r="B589" s="3">
        <v>39234</v>
      </c>
      <c r="C589" t="s">
        <v>652</v>
      </c>
      <c r="D589">
        <v>320</v>
      </c>
      <c r="E589">
        <v>121</v>
      </c>
    </row>
    <row r="590" spans="1:5" x14ac:dyDescent="0.25">
      <c r="A590" t="s">
        <v>730</v>
      </c>
      <c r="B590" s="3">
        <v>39234</v>
      </c>
      <c r="C590" t="s">
        <v>652</v>
      </c>
      <c r="D590">
        <v>300</v>
      </c>
      <c r="E590">
        <v>242</v>
      </c>
    </row>
    <row r="591" spans="1:5" x14ac:dyDescent="0.25">
      <c r="A591" t="s">
        <v>729</v>
      </c>
      <c r="B591" s="3">
        <v>39234</v>
      </c>
      <c r="C591" t="s">
        <v>652</v>
      </c>
      <c r="D591">
        <v>190</v>
      </c>
      <c r="E591">
        <v>134</v>
      </c>
    </row>
    <row r="592" spans="1:5" x14ac:dyDescent="0.25">
      <c r="A592" t="s">
        <v>728</v>
      </c>
      <c r="B592" s="3">
        <v>39234</v>
      </c>
      <c r="C592" t="s">
        <v>652</v>
      </c>
      <c r="D592">
        <v>210</v>
      </c>
      <c r="E592">
        <v>242</v>
      </c>
    </row>
    <row r="593" spans="1:5" x14ac:dyDescent="0.25">
      <c r="A593" t="s">
        <v>727</v>
      </c>
      <c r="B593" s="3">
        <v>39234</v>
      </c>
      <c r="C593" t="s">
        <v>652</v>
      </c>
      <c r="D593">
        <v>195</v>
      </c>
      <c r="E593">
        <v>681</v>
      </c>
    </row>
    <row r="594" spans="1:5" x14ac:dyDescent="0.25">
      <c r="A594" t="s">
        <v>726</v>
      </c>
      <c r="B594" s="3">
        <v>39234</v>
      </c>
      <c r="C594" t="s">
        <v>652</v>
      </c>
      <c r="D594">
        <v>185</v>
      </c>
      <c r="E594">
        <v>67</v>
      </c>
    </row>
    <row r="595" spans="1:5" x14ac:dyDescent="0.25">
      <c r="A595" t="s">
        <v>725</v>
      </c>
      <c r="B595" s="3">
        <v>39234</v>
      </c>
      <c r="C595" t="s">
        <v>652</v>
      </c>
      <c r="D595">
        <v>220</v>
      </c>
      <c r="E595">
        <v>711</v>
      </c>
    </row>
    <row r="596" spans="1:5" x14ac:dyDescent="0.25">
      <c r="A596" t="s">
        <v>724</v>
      </c>
      <c r="B596" s="3">
        <v>39234</v>
      </c>
      <c r="C596" t="s">
        <v>652</v>
      </c>
      <c r="D596">
        <v>250</v>
      </c>
      <c r="E596">
        <v>311</v>
      </c>
    </row>
    <row r="597" spans="1:5" x14ac:dyDescent="0.25">
      <c r="A597" t="s">
        <v>723</v>
      </c>
      <c r="B597" s="3">
        <v>39234</v>
      </c>
      <c r="C597" t="s">
        <v>652</v>
      </c>
      <c r="D597">
        <v>160</v>
      </c>
      <c r="E597">
        <v>36</v>
      </c>
    </row>
    <row r="598" spans="1:5" x14ac:dyDescent="0.25">
      <c r="A598" t="s">
        <v>722</v>
      </c>
      <c r="B598" s="3">
        <v>39234</v>
      </c>
      <c r="C598" t="s">
        <v>652</v>
      </c>
      <c r="D598">
        <v>185</v>
      </c>
      <c r="E598">
        <v>114</v>
      </c>
    </row>
    <row r="599" spans="1:5" x14ac:dyDescent="0.25">
      <c r="A599" t="s">
        <v>721</v>
      </c>
      <c r="B599" s="3">
        <v>39234</v>
      </c>
      <c r="C599" t="s">
        <v>652</v>
      </c>
      <c r="D599">
        <v>250</v>
      </c>
      <c r="E599">
        <v>90</v>
      </c>
    </row>
    <row r="600" spans="1:5" x14ac:dyDescent="0.25">
      <c r="A600" t="s">
        <v>720</v>
      </c>
      <c r="B600" s="3">
        <v>39234</v>
      </c>
      <c r="C600" t="s">
        <v>652</v>
      </c>
      <c r="D600">
        <v>250</v>
      </c>
      <c r="E600">
        <v>94</v>
      </c>
    </row>
    <row r="601" spans="1:5" x14ac:dyDescent="0.25">
      <c r="A601" t="s">
        <v>719</v>
      </c>
      <c r="B601" s="3">
        <v>39234</v>
      </c>
      <c r="C601" t="s">
        <v>652</v>
      </c>
      <c r="D601">
        <v>235</v>
      </c>
      <c r="E601">
        <v>360</v>
      </c>
    </row>
    <row r="602" spans="1:5" x14ac:dyDescent="0.25">
      <c r="A602" t="s">
        <v>718</v>
      </c>
      <c r="B602" s="3">
        <v>39234</v>
      </c>
      <c r="C602" t="s">
        <v>652</v>
      </c>
      <c r="D602">
        <v>225</v>
      </c>
      <c r="E602">
        <v>226</v>
      </c>
    </row>
    <row r="603" spans="1:5" x14ac:dyDescent="0.25">
      <c r="A603" t="s">
        <v>717</v>
      </c>
      <c r="B603" s="3">
        <v>39234</v>
      </c>
      <c r="C603" t="s">
        <v>652</v>
      </c>
      <c r="D603">
        <v>250</v>
      </c>
      <c r="E603">
        <v>372</v>
      </c>
    </row>
    <row r="604" spans="1:5" x14ac:dyDescent="0.25">
      <c r="A604" t="s">
        <v>716</v>
      </c>
      <c r="B604" s="3">
        <v>39234</v>
      </c>
      <c r="C604" t="s">
        <v>652</v>
      </c>
      <c r="D604">
        <v>175</v>
      </c>
      <c r="E604">
        <v>282</v>
      </c>
    </row>
    <row r="605" spans="1:5" x14ac:dyDescent="0.25">
      <c r="A605" t="s">
        <v>715</v>
      </c>
      <c r="B605" s="3">
        <v>39234</v>
      </c>
      <c r="C605" t="s">
        <v>652</v>
      </c>
      <c r="D605">
        <v>185</v>
      </c>
      <c r="E605">
        <v>36</v>
      </c>
    </row>
    <row r="606" spans="1:5" x14ac:dyDescent="0.25">
      <c r="A606" t="s">
        <v>714</v>
      </c>
      <c r="B606" s="3">
        <v>39234</v>
      </c>
      <c r="C606" t="s">
        <v>652</v>
      </c>
      <c r="D606">
        <v>270</v>
      </c>
      <c r="E606">
        <v>946</v>
      </c>
    </row>
    <row r="607" spans="1:5" x14ac:dyDescent="0.25">
      <c r="A607" t="s">
        <v>761</v>
      </c>
      <c r="B607" s="3">
        <v>39234</v>
      </c>
      <c r="C607" t="s">
        <v>652</v>
      </c>
      <c r="D607">
        <v>280</v>
      </c>
      <c r="E607">
        <v>303</v>
      </c>
    </row>
    <row r="608" spans="1:5" x14ac:dyDescent="0.25">
      <c r="A608" t="s">
        <v>760</v>
      </c>
      <c r="B608" s="3">
        <v>39234</v>
      </c>
      <c r="C608" t="s">
        <v>652</v>
      </c>
      <c r="D608">
        <v>270</v>
      </c>
      <c r="E608">
        <v>491</v>
      </c>
    </row>
    <row r="609" spans="1:5" x14ac:dyDescent="0.25">
      <c r="A609" t="s">
        <v>759</v>
      </c>
      <c r="B609" s="3">
        <v>39234</v>
      </c>
      <c r="C609" t="s">
        <v>652</v>
      </c>
      <c r="D609">
        <v>270</v>
      </c>
      <c r="E609">
        <v>152</v>
      </c>
    </row>
    <row r="610" spans="1:5" x14ac:dyDescent="0.25">
      <c r="A610" t="s">
        <v>758</v>
      </c>
      <c r="B610" s="3">
        <v>39234</v>
      </c>
      <c r="C610" t="s">
        <v>652</v>
      </c>
      <c r="D610">
        <v>230</v>
      </c>
      <c r="E610">
        <v>260</v>
      </c>
    </row>
    <row r="611" spans="1:5" x14ac:dyDescent="0.25">
      <c r="A611" t="s">
        <v>710</v>
      </c>
      <c r="B611" s="3">
        <v>39234</v>
      </c>
      <c r="C611" t="s">
        <v>652</v>
      </c>
      <c r="D611">
        <v>200</v>
      </c>
      <c r="E611">
        <v>476</v>
      </c>
    </row>
    <row r="612" spans="1:5" x14ac:dyDescent="0.25">
      <c r="A612" t="s">
        <v>709</v>
      </c>
      <c r="B612" s="3">
        <v>39234</v>
      </c>
      <c r="C612" t="s">
        <v>652</v>
      </c>
      <c r="D612">
        <v>240</v>
      </c>
      <c r="E612">
        <v>370</v>
      </c>
    </row>
    <row r="613" spans="1:5" x14ac:dyDescent="0.25">
      <c r="A613" t="s">
        <v>708</v>
      </c>
      <c r="B613" s="3">
        <v>39234</v>
      </c>
      <c r="C613" t="s">
        <v>652</v>
      </c>
      <c r="D613">
        <v>170</v>
      </c>
      <c r="E613">
        <v>79</v>
      </c>
    </row>
    <row r="614" spans="1:5" x14ac:dyDescent="0.25">
      <c r="A614" t="s">
        <v>635</v>
      </c>
      <c r="B614" s="3">
        <v>39326</v>
      </c>
      <c r="C614" t="s">
        <v>649</v>
      </c>
      <c r="D614">
        <v>250</v>
      </c>
      <c r="E614">
        <v>4302</v>
      </c>
    </row>
    <row r="615" spans="1:5" x14ac:dyDescent="0.25">
      <c r="A615" t="s">
        <v>755</v>
      </c>
      <c r="B615" s="3">
        <v>39326</v>
      </c>
      <c r="C615" t="s">
        <v>649</v>
      </c>
      <c r="D615">
        <v>215</v>
      </c>
      <c r="E615">
        <v>49</v>
      </c>
    </row>
    <row r="616" spans="1:5" x14ac:dyDescent="0.25">
      <c r="A616" t="s">
        <v>754</v>
      </c>
      <c r="B616" s="3">
        <v>39326</v>
      </c>
      <c r="C616" t="s">
        <v>649</v>
      </c>
      <c r="D616">
        <v>310</v>
      </c>
      <c r="E616">
        <v>1995</v>
      </c>
    </row>
    <row r="617" spans="1:5" x14ac:dyDescent="0.25">
      <c r="A617" t="s">
        <v>753</v>
      </c>
      <c r="B617" s="3">
        <v>39326</v>
      </c>
      <c r="C617" t="s">
        <v>649</v>
      </c>
      <c r="D617">
        <v>220</v>
      </c>
      <c r="E617">
        <v>701</v>
      </c>
    </row>
    <row r="618" spans="1:5" x14ac:dyDescent="0.25">
      <c r="A618" t="s">
        <v>752</v>
      </c>
      <c r="B618" s="3">
        <v>39326</v>
      </c>
      <c r="C618" t="s">
        <v>649</v>
      </c>
      <c r="D618">
        <v>210</v>
      </c>
      <c r="E618">
        <v>175</v>
      </c>
    </row>
    <row r="619" spans="1:5" x14ac:dyDescent="0.25">
      <c r="A619" t="s">
        <v>751</v>
      </c>
      <c r="B619" s="3">
        <v>39326</v>
      </c>
      <c r="C619" t="s">
        <v>649</v>
      </c>
      <c r="D619">
        <v>235</v>
      </c>
      <c r="E619">
        <v>126</v>
      </c>
    </row>
    <row r="620" spans="1:5" x14ac:dyDescent="0.25">
      <c r="A620" t="s">
        <v>750</v>
      </c>
      <c r="B620" s="3">
        <v>39326</v>
      </c>
      <c r="C620" t="s">
        <v>649</v>
      </c>
      <c r="D620">
        <v>210</v>
      </c>
      <c r="E620">
        <v>50</v>
      </c>
    </row>
    <row r="621" spans="1:5" x14ac:dyDescent="0.25">
      <c r="A621" t="s">
        <v>749</v>
      </c>
      <c r="B621" s="3">
        <v>39326</v>
      </c>
      <c r="C621" t="s">
        <v>649</v>
      </c>
      <c r="D621">
        <v>210</v>
      </c>
      <c r="E621">
        <v>418</v>
      </c>
    </row>
    <row r="622" spans="1:5" x14ac:dyDescent="0.25">
      <c r="A622" t="s">
        <v>748</v>
      </c>
      <c r="B622" s="3">
        <v>39326</v>
      </c>
      <c r="C622" t="s">
        <v>649</v>
      </c>
      <c r="D622">
        <v>195</v>
      </c>
      <c r="E622">
        <v>62</v>
      </c>
    </row>
    <row r="623" spans="1:5" x14ac:dyDescent="0.25">
      <c r="A623" t="s">
        <v>747</v>
      </c>
      <c r="B623" s="3">
        <v>39326</v>
      </c>
      <c r="C623" t="s">
        <v>649</v>
      </c>
      <c r="D623">
        <v>240</v>
      </c>
      <c r="E623">
        <v>429</v>
      </c>
    </row>
    <row r="624" spans="1:5" x14ac:dyDescent="0.25">
      <c r="A624" t="s">
        <v>746</v>
      </c>
      <c r="B624" s="3">
        <v>39326</v>
      </c>
      <c r="C624" t="s">
        <v>649</v>
      </c>
      <c r="D624">
        <v>195</v>
      </c>
      <c r="E624">
        <v>6</v>
      </c>
    </row>
    <row r="625" spans="1:5" x14ac:dyDescent="0.25">
      <c r="A625" t="s">
        <v>745</v>
      </c>
      <c r="B625" s="3">
        <v>39326</v>
      </c>
      <c r="C625" t="s">
        <v>649</v>
      </c>
      <c r="D625">
        <v>240</v>
      </c>
      <c r="E625">
        <v>278</v>
      </c>
    </row>
    <row r="626" spans="1:5" x14ac:dyDescent="0.25">
      <c r="A626" t="s">
        <v>744</v>
      </c>
      <c r="B626" s="3">
        <v>39326</v>
      </c>
      <c r="C626" t="s">
        <v>649</v>
      </c>
      <c r="D626">
        <v>220</v>
      </c>
      <c r="E626">
        <v>13</v>
      </c>
    </row>
    <row r="627" spans="1:5" x14ac:dyDescent="0.25">
      <c r="A627" t="s">
        <v>743</v>
      </c>
      <c r="B627" s="3">
        <v>39326</v>
      </c>
      <c r="C627" t="s">
        <v>649</v>
      </c>
      <c r="D627">
        <v>140</v>
      </c>
      <c r="E627">
        <v>14</v>
      </c>
    </row>
    <row r="628" spans="1:5" x14ac:dyDescent="0.25">
      <c r="A628" t="s">
        <v>742</v>
      </c>
      <c r="B628" s="3">
        <v>39326</v>
      </c>
      <c r="C628" t="s">
        <v>649</v>
      </c>
      <c r="D628">
        <v>150</v>
      </c>
      <c r="E628">
        <v>30</v>
      </c>
    </row>
    <row r="629" spans="1:5" x14ac:dyDescent="0.25">
      <c r="A629" t="s">
        <v>741</v>
      </c>
      <c r="B629" s="3">
        <v>39326</v>
      </c>
      <c r="C629" t="s">
        <v>649</v>
      </c>
      <c r="D629">
        <v>150</v>
      </c>
      <c r="E629">
        <v>156</v>
      </c>
    </row>
    <row r="630" spans="1:5" x14ac:dyDescent="0.25">
      <c r="A630" t="s">
        <v>740</v>
      </c>
      <c r="B630" s="3">
        <v>39326</v>
      </c>
      <c r="C630" t="s">
        <v>649</v>
      </c>
      <c r="D630">
        <v>175</v>
      </c>
      <c r="E630">
        <v>157</v>
      </c>
    </row>
    <row r="631" spans="1:5" x14ac:dyDescent="0.25">
      <c r="A631" t="s">
        <v>739</v>
      </c>
      <c r="B631" s="3">
        <v>39326</v>
      </c>
      <c r="C631" t="s">
        <v>649</v>
      </c>
      <c r="D631">
        <v>185</v>
      </c>
      <c r="E631">
        <v>863</v>
      </c>
    </row>
    <row r="632" spans="1:5" x14ac:dyDescent="0.25">
      <c r="A632" t="s">
        <v>738</v>
      </c>
      <c r="B632" s="3">
        <v>39326</v>
      </c>
      <c r="C632" t="s">
        <v>649</v>
      </c>
      <c r="D632">
        <v>120</v>
      </c>
      <c r="E632">
        <v>11</v>
      </c>
    </row>
    <row r="633" spans="1:5" x14ac:dyDescent="0.25">
      <c r="A633" t="s">
        <v>737</v>
      </c>
      <c r="B633" s="3">
        <v>39326</v>
      </c>
      <c r="C633" t="s">
        <v>649</v>
      </c>
      <c r="D633">
        <v>210</v>
      </c>
      <c r="E633">
        <v>45</v>
      </c>
    </row>
    <row r="634" spans="1:5" x14ac:dyDescent="0.25">
      <c r="A634" t="s">
        <v>736</v>
      </c>
      <c r="B634" s="3">
        <v>39326</v>
      </c>
      <c r="C634" t="s">
        <v>649</v>
      </c>
      <c r="D634">
        <v>145</v>
      </c>
      <c r="E634">
        <v>19</v>
      </c>
    </row>
    <row r="635" spans="1:5" x14ac:dyDescent="0.25">
      <c r="A635" t="s">
        <v>735</v>
      </c>
      <c r="B635" s="3">
        <v>39326</v>
      </c>
      <c r="C635" t="s">
        <v>649</v>
      </c>
      <c r="D635">
        <v>150</v>
      </c>
      <c r="E635">
        <v>228</v>
      </c>
    </row>
    <row r="636" spans="1:5" x14ac:dyDescent="0.25">
      <c r="A636" t="s">
        <v>763</v>
      </c>
      <c r="B636" s="3">
        <v>39326</v>
      </c>
      <c r="C636" t="s">
        <v>649</v>
      </c>
      <c r="D636">
        <v>160</v>
      </c>
      <c r="E636">
        <v>74</v>
      </c>
    </row>
    <row r="637" spans="1:5" x14ac:dyDescent="0.25">
      <c r="A637" t="s">
        <v>762</v>
      </c>
      <c r="B637" s="3">
        <v>39326</v>
      </c>
      <c r="C637" t="s">
        <v>649</v>
      </c>
      <c r="D637">
        <v>260</v>
      </c>
      <c r="E637">
        <v>2308</v>
      </c>
    </row>
    <row r="638" spans="1:5" x14ac:dyDescent="0.25">
      <c r="A638" t="s">
        <v>733</v>
      </c>
      <c r="B638" s="3">
        <v>39326</v>
      </c>
      <c r="C638" t="s">
        <v>649</v>
      </c>
      <c r="D638">
        <v>250</v>
      </c>
      <c r="E638">
        <v>191</v>
      </c>
    </row>
    <row r="639" spans="1:5" x14ac:dyDescent="0.25">
      <c r="A639" t="s">
        <v>732</v>
      </c>
      <c r="B639" s="3">
        <v>39326</v>
      </c>
      <c r="C639" t="s">
        <v>649</v>
      </c>
      <c r="D639">
        <v>275</v>
      </c>
      <c r="E639">
        <v>1701</v>
      </c>
    </row>
    <row r="640" spans="1:5" x14ac:dyDescent="0.25">
      <c r="A640" t="s">
        <v>731</v>
      </c>
      <c r="B640" s="3">
        <v>39326</v>
      </c>
      <c r="C640" t="s">
        <v>649</v>
      </c>
      <c r="D640">
        <v>235</v>
      </c>
      <c r="E640">
        <v>347</v>
      </c>
    </row>
    <row r="641" spans="1:5" x14ac:dyDescent="0.25">
      <c r="A641" t="s">
        <v>730</v>
      </c>
      <c r="B641" s="3">
        <v>39326</v>
      </c>
      <c r="C641" t="s">
        <v>649</v>
      </c>
      <c r="D641">
        <v>220</v>
      </c>
      <c r="E641">
        <v>69</v>
      </c>
    </row>
    <row r="642" spans="1:5" x14ac:dyDescent="0.25">
      <c r="A642" t="s">
        <v>729</v>
      </c>
      <c r="B642" s="3">
        <v>39326</v>
      </c>
      <c r="C642" t="s">
        <v>649</v>
      </c>
      <c r="D642">
        <v>130</v>
      </c>
      <c r="E642">
        <v>34</v>
      </c>
    </row>
    <row r="643" spans="1:5" x14ac:dyDescent="0.25">
      <c r="A643" t="s">
        <v>728</v>
      </c>
      <c r="B643" s="3">
        <v>39326</v>
      </c>
      <c r="C643" t="s">
        <v>649</v>
      </c>
      <c r="D643">
        <v>180</v>
      </c>
      <c r="E643">
        <v>117</v>
      </c>
    </row>
    <row r="644" spans="1:5" x14ac:dyDescent="0.25">
      <c r="A644" t="s">
        <v>727</v>
      </c>
      <c r="B644" s="3">
        <v>39326</v>
      </c>
      <c r="C644" t="s">
        <v>649</v>
      </c>
      <c r="D644">
        <v>160</v>
      </c>
      <c r="E644">
        <v>160</v>
      </c>
    </row>
    <row r="645" spans="1:5" x14ac:dyDescent="0.25">
      <c r="A645" t="s">
        <v>726</v>
      </c>
      <c r="B645" s="3">
        <v>39326</v>
      </c>
      <c r="C645" t="s">
        <v>649</v>
      </c>
      <c r="D645">
        <v>155</v>
      </c>
      <c r="E645">
        <v>43</v>
      </c>
    </row>
    <row r="646" spans="1:5" x14ac:dyDescent="0.25">
      <c r="A646" t="s">
        <v>725</v>
      </c>
      <c r="B646" s="3">
        <v>39326</v>
      </c>
      <c r="C646" t="s">
        <v>649</v>
      </c>
      <c r="D646">
        <v>165</v>
      </c>
      <c r="E646">
        <v>303</v>
      </c>
    </row>
    <row r="647" spans="1:5" x14ac:dyDescent="0.25">
      <c r="A647" t="s">
        <v>724</v>
      </c>
      <c r="B647" s="3">
        <v>39326</v>
      </c>
      <c r="C647" t="s">
        <v>649</v>
      </c>
      <c r="D647">
        <v>170</v>
      </c>
      <c r="E647">
        <v>231</v>
      </c>
    </row>
    <row r="648" spans="1:5" x14ac:dyDescent="0.25">
      <c r="A648" t="s">
        <v>723</v>
      </c>
      <c r="B648" s="3">
        <v>39326</v>
      </c>
      <c r="C648" t="s">
        <v>649</v>
      </c>
      <c r="D648">
        <v>130</v>
      </c>
      <c r="E648">
        <v>17</v>
      </c>
    </row>
    <row r="649" spans="1:5" x14ac:dyDescent="0.25">
      <c r="A649" t="s">
        <v>722</v>
      </c>
      <c r="B649" s="3">
        <v>39326</v>
      </c>
      <c r="C649" t="s">
        <v>649</v>
      </c>
      <c r="D649">
        <v>130</v>
      </c>
      <c r="E649">
        <v>46</v>
      </c>
    </row>
    <row r="650" spans="1:5" x14ac:dyDescent="0.25">
      <c r="A650" t="s">
        <v>721</v>
      </c>
      <c r="B650" s="3">
        <v>39326</v>
      </c>
      <c r="C650" t="s">
        <v>649</v>
      </c>
      <c r="D650">
        <v>155</v>
      </c>
      <c r="E650">
        <v>83</v>
      </c>
    </row>
    <row r="651" spans="1:5" x14ac:dyDescent="0.25">
      <c r="A651" t="s">
        <v>720</v>
      </c>
      <c r="B651" s="3">
        <v>39326</v>
      </c>
      <c r="C651" t="s">
        <v>649</v>
      </c>
      <c r="D651">
        <v>170</v>
      </c>
      <c r="E651">
        <v>37</v>
      </c>
    </row>
    <row r="652" spans="1:5" x14ac:dyDescent="0.25">
      <c r="A652" t="s">
        <v>719</v>
      </c>
      <c r="B652" s="3">
        <v>39326</v>
      </c>
      <c r="C652" t="s">
        <v>649</v>
      </c>
      <c r="D652">
        <v>185</v>
      </c>
      <c r="E652">
        <v>53</v>
      </c>
    </row>
    <row r="653" spans="1:5" x14ac:dyDescent="0.25">
      <c r="A653" t="s">
        <v>718</v>
      </c>
      <c r="B653" s="3">
        <v>39326</v>
      </c>
      <c r="C653" t="s">
        <v>649</v>
      </c>
      <c r="D653">
        <v>180</v>
      </c>
      <c r="E653">
        <v>181</v>
      </c>
    </row>
    <row r="654" spans="1:5" x14ac:dyDescent="0.25">
      <c r="A654" t="s">
        <v>717</v>
      </c>
      <c r="B654" s="3">
        <v>39326</v>
      </c>
      <c r="C654" t="s">
        <v>649</v>
      </c>
      <c r="D654">
        <v>215</v>
      </c>
      <c r="E654">
        <v>84</v>
      </c>
    </row>
    <row r="655" spans="1:5" x14ac:dyDescent="0.25">
      <c r="A655" t="s">
        <v>716</v>
      </c>
      <c r="B655" s="3">
        <v>39326</v>
      </c>
      <c r="C655" t="s">
        <v>649</v>
      </c>
      <c r="D655">
        <v>140</v>
      </c>
      <c r="E655">
        <v>212</v>
      </c>
    </row>
    <row r="656" spans="1:5" x14ac:dyDescent="0.25">
      <c r="A656" t="s">
        <v>715</v>
      </c>
      <c r="B656" s="3">
        <v>39326</v>
      </c>
      <c r="C656" t="s">
        <v>649</v>
      </c>
      <c r="D656">
        <v>115</v>
      </c>
      <c r="E656">
        <v>28</v>
      </c>
    </row>
    <row r="657" spans="1:5" x14ac:dyDescent="0.25">
      <c r="A657" t="s">
        <v>714</v>
      </c>
      <c r="B657" s="3">
        <v>39326</v>
      </c>
      <c r="C657" t="s">
        <v>649</v>
      </c>
      <c r="D657">
        <v>220</v>
      </c>
      <c r="E657">
        <v>858</v>
      </c>
    </row>
    <row r="658" spans="1:5" x14ac:dyDescent="0.25">
      <c r="A658" t="s">
        <v>761</v>
      </c>
      <c r="B658" s="3">
        <v>39326</v>
      </c>
      <c r="C658" t="s">
        <v>649</v>
      </c>
      <c r="D658">
        <v>220</v>
      </c>
      <c r="E658">
        <v>193</v>
      </c>
    </row>
    <row r="659" spans="1:5" x14ac:dyDescent="0.25">
      <c r="A659" t="s">
        <v>760</v>
      </c>
      <c r="B659" s="3">
        <v>39326</v>
      </c>
      <c r="C659" t="s">
        <v>649</v>
      </c>
      <c r="D659">
        <v>220</v>
      </c>
      <c r="E659">
        <v>526</v>
      </c>
    </row>
    <row r="660" spans="1:5" x14ac:dyDescent="0.25">
      <c r="A660" t="s">
        <v>759</v>
      </c>
      <c r="B660" s="3">
        <v>39326</v>
      </c>
      <c r="C660" t="s">
        <v>649</v>
      </c>
      <c r="D660">
        <v>230</v>
      </c>
      <c r="E660">
        <v>139</v>
      </c>
    </row>
    <row r="661" spans="1:5" x14ac:dyDescent="0.25">
      <c r="A661" t="s">
        <v>758</v>
      </c>
      <c r="B661" s="3">
        <v>39326</v>
      </c>
      <c r="C661" t="s">
        <v>649</v>
      </c>
      <c r="D661">
        <v>155</v>
      </c>
      <c r="E661">
        <v>57</v>
      </c>
    </row>
    <row r="662" spans="1:5" x14ac:dyDescent="0.25">
      <c r="A662" t="s">
        <v>710</v>
      </c>
      <c r="B662" s="3">
        <v>39326</v>
      </c>
      <c r="C662" t="s">
        <v>649</v>
      </c>
      <c r="D662">
        <v>150</v>
      </c>
      <c r="E662">
        <v>347</v>
      </c>
    </row>
    <row r="663" spans="1:5" x14ac:dyDescent="0.25">
      <c r="A663" t="s">
        <v>709</v>
      </c>
      <c r="B663" s="3">
        <v>39326</v>
      </c>
      <c r="C663" t="s">
        <v>649</v>
      </c>
      <c r="D663">
        <v>180</v>
      </c>
      <c r="E663">
        <v>647</v>
      </c>
    </row>
    <row r="664" spans="1:5" x14ac:dyDescent="0.25">
      <c r="A664" t="s">
        <v>708</v>
      </c>
      <c r="B664" s="3">
        <v>39326</v>
      </c>
      <c r="C664" t="s">
        <v>649</v>
      </c>
      <c r="D664">
        <v>130</v>
      </c>
      <c r="E664">
        <v>37</v>
      </c>
    </row>
    <row r="665" spans="1:5" x14ac:dyDescent="0.25">
      <c r="A665" t="s">
        <v>635</v>
      </c>
      <c r="B665" s="3">
        <v>39326</v>
      </c>
      <c r="C665" t="s">
        <v>652</v>
      </c>
      <c r="D665">
        <v>265</v>
      </c>
      <c r="E665">
        <v>3254</v>
      </c>
    </row>
    <row r="666" spans="1:5" x14ac:dyDescent="0.25">
      <c r="A666" t="s">
        <v>755</v>
      </c>
      <c r="B666" s="3">
        <v>39326</v>
      </c>
      <c r="C666" t="s">
        <v>652</v>
      </c>
      <c r="D666">
        <v>260</v>
      </c>
      <c r="E666">
        <v>176</v>
      </c>
    </row>
    <row r="667" spans="1:5" x14ac:dyDescent="0.25">
      <c r="A667" t="s">
        <v>754</v>
      </c>
      <c r="B667" s="3">
        <v>39326</v>
      </c>
      <c r="C667" t="s">
        <v>652</v>
      </c>
      <c r="D667">
        <v>320</v>
      </c>
      <c r="E667">
        <v>301</v>
      </c>
    </row>
    <row r="668" spans="1:5" x14ac:dyDescent="0.25">
      <c r="A668" t="s">
        <v>753</v>
      </c>
      <c r="B668" s="3">
        <v>39326</v>
      </c>
      <c r="C668" t="s">
        <v>652</v>
      </c>
      <c r="D668">
        <v>280</v>
      </c>
      <c r="E668">
        <v>358</v>
      </c>
    </row>
    <row r="669" spans="1:5" x14ac:dyDescent="0.25">
      <c r="A669" t="s">
        <v>752</v>
      </c>
      <c r="B669" s="3">
        <v>39326</v>
      </c>
      <c r="C669" t="s">
        <v>652</v>
      </c>
      <c r="D669">
        <v>250</v>
      </c>
      <c r="E669">
        <v>405</v>
      </c>
    </row>
    <row r="670" spans="1:5" x14ac:dyDescent="0.25">
      <c r="A670" t="s">
        <v>751</v>
      </c>
      <c r="B670" s="3">
        <v>39326</v>
      </c>
      <c r="C670" t="s">
        <v>652</v>
      </c>
      <c r="D670">
        <v>320</v>
      </c>
      <c r="E670">
        <v>126</v>
      </c>
    </row>
    <row r="671" spans="1:5" x14ac:dyDescent="0.25">
      <c r="A671" t="s">
        <v>750</v>
      </c>
      <c r="B671" s="3">
        <v>39326</v>
      </c>
      <c r="C671" t="s">
        <v>652</v>
      </c>
      <c r="D671">
        <v>260</v>
      </c>
      <c r="E671">
        <v>253</v>
      </c>
    </row>
    <row r="672" spans="1:5" x14ac:dyDescent="0.25">
      <c r="A672" t="s">
        <v>749</v>
      </c>
      <c r="B672" s="3">
        <v>39326</v>
      </c>
      <c r="C672" t="s">
        <v>652</v>
      </c>
      <c r="D672">
        <v>270</v>
      </c>
      <c r="E672">
        <v>364</v>
      </c>
    </row>
    <row r="673" spans="1:5" x14ac:dyDescent="0.25">
      <c r="A673" t="s">
        <v>748</v>
      </c>
      <c r="B673" s="3">
        <v>39326</v>
      </c>
      <c r="C673" t="s">
        <v>652</v>
      </c>
      <c r="D673">
        <v>240</v>
      </c>
      <c r="E673">
        <v>339</v>
      </c>
    </row>
    <row r="674" spans="1:5" x14ac:dyDescent="0.25">
      <c r="A674" t="s">
        <v>747</v>
      </c>
      <c r="B674" s="3">
        <v>39326</v>
      </c>
      <c r="C674" t="s">
        <v>652</v>
      </c>
      <c r="D674">
        <v>290</v>
      </c>
      <c r="E674">
        <v>334</v>
      </c>
    </row>
    <row r="675" spans="1:5" x14ac:dyDescent="0.25">
      <c r="A675" t="s">
        <v>746</v>
      </c>
      <c r="B675" s="3">
        <v>39326</v>
      </c>
      <c r="C675" t="s">
        <v>652</v>
      </c>
      <c r="D675">
        <v>270</v>
      </c>
      <c r="E675">
        <v>69</v>
      </c>
    </row>
    <row r="676" spans="1:5" x14ac:dyDescent="0.25">
      <c r="A676" t="s">
        <v>745</v>
      </c>
      <c r="B676" s="3">
        <v>39326</v>
      </c>
      <c r="C676" t="s">
        <v>652</v>
      </c>
      <c r="D676">
        <v>280</v>
      </c>
      <c r="E676">
        <v>130</v>
      </c>
    </row>
    <row r="677" spans="1:5" x14ac:dyDescent="0.25">
      <c r="A677" t="s">
        <v>744</v>
      </c>
      <c r="B677" s="3">
        <v>39326</v>
      </c>
      <c r="C677" t="s">
        <v>652</v>
      </c>
      <c r="D677">
        <v>240</v>
      </c>
      <c r="E677">
        <v>399</v>
      </c>
    </row>
    <row r="678" spans="1:5" x14ac:dyDescent="0.25">
      <c r="A678" t="s">
        <v>743</v>
      </c>
      <c r="B678" s="3">
        <v>39326</v>
      </c>
      <c r="C678" t="s">
        <v>652</v>
      </c>
      <c r="D678">
        <v>195</v>
      </c>
      <c r="E678">
        <v>40</v>
      </c>
    </row>
    <row r="679" spans="1:5" x14ac:dyDescent="0.25">
      <c r="A679" t="s">
        <v>742</v>
      </c>
      <c r="B679" s="3">
        <v>39326</v>
      </c>
      <c r="C679" t="s">
        <v>652</v>
      </c>
      <c r="D679">
        <v>260</v>
      </c>
      <c r="E679">
        <v>109</v>
      </c>
    </row>
    <row r="680" spans="1:5" x14ac:dyDescent="0.25">
      <c r="A680" t="s">
        <v>741</v>
      </c>
      <c r="B680" s="3">
        <v>39326</v>
      </c>
      <c r="C680" t="s">
        <v>652</v>
      </c>
      <c r="D680">
        <v>200</v>
      </c>
      <c r="E680">
        <v>332</v>
      </c>
    </row>
    <row r="681" spans="1:5" x14ac:dyDescent="0.25">
      <c r="A681" t="s">
        <v>740</v>
      </c>
      <c r="B681" s="3">
        <v>39326</v>
      </c>
      <c r="C681" t="s">
        <v>652</v>
      </c>
      <c r="D681">
        <v>210</v>
      </c>
      <c r="E681">
        <v>515</v>
      </c>
    </row>
    <row r="682" spans="1:5" x14ac:dyDescent="0.25">
      <c r="A682" t="s">
        <v>739</v>
      </c>
      <c r="B682" s="3">
        <v>39326</v>
      </c>
      <c r="C682" t="s">
        <v>652</v>
      </c>
      <c r="D682">
        <v>260</v>
      </c>
      <c r="E682">
        <v>553</v>
      </c>
    </row>
    <row r="683" spans="1:5" x14ac:dyDescent="0.25">
      <c r="A683" t="s">
        <v>738</v>
      </c>
      <c r="B683" s="3">
        <v>39326</v>
      </c>
      <c r="C683" t="s">
        <v>652</v>
      </c>
      <c r="D683">
        <v>170</v>
      </c>
      <c r="E683">
        <v>34</v>
      </c>
    </row>
    <row r="684" spans="1:5" x14ac:dyDescent="0.25">
      <c r="A684" t="s">
        <v>737</v>
      </c>
      <c r="B684" s="3">
        <v>39326</v>
      </c>
      <c r="C684" t="s">
        <v>652</v>
      </c>
      <c r="D684">
        <v>300</v>
      </c>
      <c r="E684">
        <v>57</v>
      </c>
    </row>
    <row r="685" spans="1:5" x14ac:dyDescent="0.25">
      <c r="A685" t="s">
        <v>736</v>
      </c>
      <c r="B685" s="3">
        <v>39326</v>
      </c>
      <c r="C685" t="s">
        <v>652</v>
      </c>
      <c r="D685">
        <v>190</v>
      </c>
      <c r="E685">
        <v>39</v>
      </c>
    </row>
    <row r="686" spans="1:5" x14ac:dyDescent="0.25">
      <c r="A686" t="s">
        <v>735</v>
      </c>
      <c r="B686" s="3">
        <v>39326</v>
      </c>
      <c r="C686" t="s">
        <v>652</v>
      </c>
      <c r="D686">
        <v>190</v>
      </c>
      <c r="E686">
        <v>219</v>
      </c>
    </row>
    <row r="687" spans="1:5" x14ac:dyDescent="0.25">
      <c r="A687" t="s">
        <v>763</v>
      </c>
      <c r="B687" s="3">
        <v>39326</v>
      </c>
      <c r="C687" t="s">
        <v>652</v>
      </c>
      <c r="D687">
        <v>230</v>
      </c>
      <c r="E687">
        <v>228</v>
      </c>
    </row>
    <row r="688" spans="1:5" x14ac:dyDescent="0.25">
      <c r="A688" t="s">
        <v>762</v>
      </c>
      <c r="B688" s="3">
        <v>39326</v>
      </c>
      <c r="C688" t="s">
        <v>652</v>
      </c>
      <c r="D688">
        <v>310</v>
      </c>
      <c r="E688">
        <v>1091</v>
      </c>
    </row>
    <row r="689" spans="1:5" x14ac:dyDescent="0.25">
      <c r="A689" t="s">
        <v>733</v>
      </c>
      <c r="B689" s="3">
        <v>39326</v>
      </c>
      <c r="C689" t="s">
        <v>652</v>
      </c>
      <c r="D689">
        <v>300</v>
      </c>
      <c r="E689">
        <v>199</v>
      </c>
    </row>
    <row r="690" spans="1:5" x14ac:dyDescent="0.25">
      <c r="A690" t="s">
        <v>732</v>
      </c>
      <c r="B690" s="3">
        <v>39326</v>
      </c>
      <c r="C690" t="s">
        <v>652</v>
      </c>
      <c r="D690">
        <v>320</v>
      </c>
      <c r="E690">
        <v>595</v>
      </c>
    </row>
    <row r="691" spans="1:5" x14ac:dyDescent="0.25">
      <c r="A691" t="s">
        <v>731</v>
      </c>
      <c r="B691" s="3">
        <v>39326</v>
      </c>
      <c r="C691" t="s">
        <v>652</v>
      </c>
      <c r="D691">
        <v>320</v>
      </c>
      <c r="E691">
        <v>95</v>
      </c>
    </row>
    <row r="692" spans="1:5" x14ac:dyDescent="0.25">
      <c r="A692" t="s">
        <v>730</v>
      </c>
      <c r="B692" s="3">
        <v>39326</v>
      </c>
      <c r="C692" t="s">
        <v>652</v>
      </c>
      <c r="D692">
        <v>295</v>
      </c>
      <c r="E692">
        <v>202</v>
      </c>
    </row>
    <row r="693" spans="1:5" x14ac:dyDescent="0.25">
      <c r="A693" t="s">
        <v>729</v>
      </c>
      <c r="B693" s="3">
        <v>39326</v>
      </c>
      <c r="C693" t="s">
        <v>652</v>
      </c>
      <c r="D693">
        <v>190</v>
      </c>
      <c r="E693">
        <v>136</v>
      </c>
    </row>
    <row r="694" spans="1:5" x14ac:dyDescent="0.25">
      <c r="A694" t="s">
        <v>728</v>
      </c>
      <c r="B694" s="3">
        <v>39326</v>
      </c>
      <c r="C694" t="s">
        <v>652</v>
      </c>
      <c r="D694">
        <v>220</v>
      </c>
      <c r="E694">
        <v>258</v>
      </c>
    </row>
    <row r="695" spans="1:5" x14ac:dyDescent="0.25">
      <c r="A695" t="s">
        <v>727</v>
      </c>
      <c r="B695" s="3">
        <v>39326</v>
      </c>
      <c r="C695" t="s">
        <v>652</v>
      </c>
      <c r="D695">
        <v>200</v>
      </c>
      <c r="E695">
        <v>759</v>
      </c>
    </row>
    <row r="696" spans="1:5" x14ac:dyDescent="0.25">
      <c r="A696" t="s">
        <v>726</v>
      </c>
      <c r="B696" s="3">
        <v>39326</v>
      </c>
      <c r="C696" t="s">
        <v>652</v>
      </c>
      <c r="D696">
        <v>180</v>
      </c>
      <c r="E696">
        <v>50</v>
      </c>
    </row>
    <row r="697" spans="1:5" x14ac:dyDescent="0.25">
      <c r="A697" t="s">
        <v>725</v>
      </c>
      <c r="B697" s="3">
        <v>39326</v>
      </c>
      <c r="C697" t="s">
        <v>652</v>
      </c>
      <c r="D697">
        <v>220</v>
      </c>
      <c r="E697">
        <v>712</v>
      </c>
    </row>
    <row r="698" spans="1:5" x14ac:dyDescent="0.25">
      <c r="A698" t="s">
        <v>724</v>
      </c>
      <c r="B698" s="3">
        <v>39326</v>
      </c>
      <c r="C698" t="s">
        <v>652</v>
      </c>
      <c r="D698">
        <v>260</v>
      </c>
      <c r="E698">
        <v>335</v>
      </c>
    </row>
    <row r="699" spans="1:5" x14ac:dyDescent="0.25">
      <c r="A699" t="s">
        <v>723</v>
      </c>
      <c r="B699" s="3">
        <v>39326</v>
      </c>
      <c r="C699" t="s">
        <v>652</v>
      </c>
      <c r="D699">
        <v>180</v>
      </c>
      <c r="E699">
        <v>26</v>
      </c>
    </row>
    <row r="700" spans="1:5" x14ac:dyDescent="0.25">
      <c r="A700" t="s">
        <v>722</v>
      </c>
      <c r="B700" s="3">
        <v>39326</v>
      </c>
      <c r="C700" t="s">
        <v>652</v>
      </c>
      <c r="D700">
        <v>185</v>
      </c>
      <c r="E700">
        <v>116</v>
      </c>
    </row>
    <row r="701" spans="1:5" x14ac:dyDescent="0.25">
      <c r="A701" t="s">
        <v>721</v>
      </c>
      <c r="B701" s="3">
        <v>39326</v>
      </c>
      <c r="C701" t="s">
        <v>652</v>
      </c>
      <c r="D701">
        <v>250</v>
      </c>
      <c r="E701">
        <v>76</v>
      </c>
    </row>
    <row r="702" spans="1:5" x14ac:dyDescent="0.25">
      <c r="A702" t="s">
        <v>720</v>
      </c>
      <c r="B702" s="3">
        <v>39326</v>
      </c>
      <c r="C702" t="s">
        <v>652</v>
      </c>
      <c r="D702">
        <v>250</v>
      </c>
      <c r="E702">
        <v>85</v>
      </c>
    </row>
    <row r="703" spans="1:5" x14ac:dyDescent="0.25">
      <c r="A703" t="s">
        <v>719</v>
      </c>
      <c r="B703" s="3">
        <v>39326</v>
      </c>
      <c r="C703" t="s">
        <v>652</v>
      </c>
      <c r="D703">
        <v>245</v>
      </c>
      <c r="E703">
        <v>374</v>
      </c>
    </row>
    <row r="704" spans="1:5" x14ac:dyDescent="0.25">
      <c r="A704" t="s">
        <v>718</v>
      </c>
      <c r="B704" s="3">
        <v>39326</v>
      </c>
      <c r="C704" t="s">
        <v>652</v>
      </c>
      <c r="D704">
        <v>230</v>
      </c>
      <c r="E704">
        <v>235</v>
      </c>
    </row>
    <row r="705" spans="1:5" x14ac:dyDescent="0.25">
      <c r="A705" t="s">
        <v>717</v>
      </c>
      <c r="B705" s="3">
        <v>39326</v>
      </c>
      <c r="C705" t="s">
        <v>652</v>
      </c>
      <c r="D705">
        <v>250</v>
      </c>
      <c r="E705">
        <v>347</v>
      </c>
    </row>
    <row r="706" spans="1:5" x14ac:dyDescent="0.25">
      <c r="A706" t="s">
        <v>716</v>
      </c>
      <c r="B706" s="3">
        <v>39326</v>
      </c>
      <c r="C706" t="s">
        <v>652</v>
      </c>
      <c r="D706">
        <v>180</v>
      </c>
      <c r="E706">
        <v>299</v>
      </c>
    </row>
    <row r="707" spans="1:5" x14ac:dyDescent="0.25">
      <c r="A707" t="s">
        <v>715</v>
      </c>
      <c r="B707" s="3">
        <v>39326</v>
      </c>
      <c r="C707" t="s">
        <v>652</v>
      </c>
      <c r="D707">
        <v>170</v>
      </c>
      <c r="E707">
        <v>41</v>
      </c>
    </row>
    <row r="708" spans="1:5" x14ac:dyDescent="0.25">
      <c r="A708" t="s">
        <v>714</v>
      </c>
      <c r="B708" s="3">
        <v>39326</v>
      </c>
      <c r="C708" t="s">
        <v>652</v>
      </c>
      <c r="D708">
        <v>270</v>
      </c>
      <c r="E708">
        <v>1052</v>
      </c>
    </row>
    <row r="709" spans="1:5" x14ac:dyDescent="0.25">
      <c r="A709" t="s">
        <v>761</v>
      </c>
      <c r="B709" s="3">
        <v>39326</v>
      </c>
      <c r="C709" t="s">
        <v>652</v>
      </c>
      <c r="D709">
        <v>270</v>
      </c>
      <c r="E709">
        <v>315</v>
      </c>
    </row>
    <row r="710" spans="1:5" x14ac:dyDescent="0.25">
      <c r="A710" t="s">
        <v>760</v>
      </c>
      <c r="B710" s="3">
        <v>39326</v>
      </c>
      <c r="C710" t="s">
        <v>652</v>
      </c>
      <c r="D710">
        <v>275</v>
      </c>
      <c r="E710">
        <v>547</v>
      </c>
    </row>
    <row r="711" spans="1:5" x14ac:dyDescent="0.25">
      <c r="A711" t="s">
        <v>759</v>
      </c>
      <c r="B711" s="3">
        <v>39326</v>
      </c>
      <c r="C711" t="s">
        <v>652</v>
      </c>
      <c r="D711">
        <v>270</v>
      </c>
      <c r="E711">
        <v>190</v>
      </c>
    </row>
    <row r="712" spans="1:5" x14ac:dyDescent="0.25">
      <c r="A712" t="s">
        <v>758</v>
      </c>
      <c r="B712" s="3">
        <v>39326</v>
      </c>
      <c r="C712" t="s">
        <v>652</v>
      </c>
      <c r="D712">
        <v>235</v>
      </c>
      <c r="E712">
        <v>293</v>
      </c>
    </row>
    <row r="713" spans="1:5" x14ac:dyDescent="0.25">
      <c r="A713" t="s">
        <v>710</v>
      </c>
      <c r="B713" s="3">
        <v>39326</v>
      </c>
      <c r="C713" t="s">
        <v>652</v>
      </c>
      <c r="D713">
        <v>200</v>
      </c>
      <c r="E713">
        <v>521</v>
      </c>
    </row>
    <row r="714" spans="1:5" x14ac:dyDescent="0.25">
      <c r="A714" t="s">
        <v>709</v>
      </c>
      <c r="B714" s="3">
        <v>39326</v>
      </c>
      <c r="C714" t="s">
        <v>652</v>
      </c>
      <c r="D714">
        <v>240</v>
      </c>
      <c r="E714">
        <v>376</v>
      </c>
    </row>
    <row r="715" spans="1:5" x14ac:dyDescent="0.25">
      <c r="A715" t="s">
        <v>708</v>
      </c>
      <c r="B715" s="3">
        <v>39326</v>
      </c>
      <c r="C715" t="s">
        <v>652</v>
      </c>
      <c r="D715">
        <v>170</v>
      </c>
      <c r="E715">
        <v>75</v>
      </c>
    </row>
    <row r="716" spans="1:5" x14ac:dyDescent="0.25">
      <c r="A716" t="s">
        <v>635</v>
      </c>
      <c r="B716" s="3">
        <v>39417</v>
      </c>
      <c r="C716" t="s">
        <v>649</v>
      </c>
      <c r="D716">
        <v>250</v>
      </c>
      <c r="E716">
        <v>3801</v>
      </c>
    </row>
    <row r="717" spans="1:5" x14ac:dyDescent="0.25">
      <c r="A717" t="s">
        <v>755</v>
      </c>
      <c r="B717" s="3">
        <v>39417</v>
      </c>
      <c r="C717" t="s">
        <v>649</v>
      </c>
      <c r="D717">
        <v>195</v>
      </c>
      <c r="E717">
        <v>59</v>
      </c>
    </row>
    <row r="718" spans="1:5" x14ac:dyDescent="0.25">
      <c r="A718" t="s">
        <v>754</v>
      </c>
      <c r="B718" s="3">
        <v>39417</v>
      </c>
      <c r="C718" t="s">
        <v>649</v>
      </c>
      <c r="D718">
        <v>320</v>
      </c>
      <c r="E718">
        <v>1700</v>
      </c>
    </row>
    <row r="719" spans="1:5" x14ac:dyDescent="0.25">
      <c r="A719" t="s">
        <v>753</v>
      </c>
      <c r="B719" s="3">
        <v>39417</v>
      </c>
      <c r="C719" t="s">
        <v>649</v>
      </c>
      <c r="D719">
        <v>220</v>
      </c>
      <c r="E719">
        <v>702</v>
      </c>
    </row>
    <row r="720" spans="1:5" x14ac:dyDescent="0.25">
      <c r="A720" t="s">
        <v>752</v>
      </c>
      <c r="B720" s="3">
        <v>39417</v>
      </c>
      <c r="C720" t="s">
        <v>649</v>
      </c>
      <c r="D720">
        <v>210</v>
      </c>
      <c r="E720">
        <v>146</v>
      </c>
    </row>
    <row r="721" spans="1:5" x14ac:dyDescent="0.25">
      <c r="A721" t="s">
        <v>751</v>
      </c>
      <c r="B721" s="3">
        <v>39417</v>
      </c>
      <c r="C721" t="s">
        <v>649</v>
      </c>
      <c r="D721">
        <v>230</v>
      </c>
      <c r="E721">
        <v>104</v>
      </c>
    </row>
    <row r="722" spans="1:5" x14ac:dyDescent="0.25">
      <c r="A722" t="s">
        <v>750</v>
      </c>
      <c r="B722" s="3">
        <v>39417</v>
      </c>
      <c r="C722" t="s">
        <v>649</v>
      </c>
      <c r="D722">
        <v>215</v>
      </c>
      <c r="E722">
        <v>41</v>
      </c>
    </row>
    <row r="723" spans="1:5" x14ac:dyDescent="0.25">
      <c r="A723" t="s">
        <v>749</v>
      </c>
      <c r="B723" s="3">
        <v>39417</v>
      </c>
      <c r="C723" t="s">
        <v>649</v>
      </c>
      <c r="D723">
        <v>220</v>
      </c>
      <c r="E723">
        <v>360</v>
      </c>
    </row>
    <row r="724" spans="1:5" x14ac:dyDescent="0.25">
      <c r="A724" t="s">
        <v>748</v>
      </c>
      <c r="B724" s="3">
        <v>39417</v>
      </c>
      <c r="C724" t="s">
        <v>649</v>
      </c>
      <c r="D724">
        <v>215</v>
      </c>
      <c r="E724">
        <v>46</v>
      </c>
    </row>
    <row r="725" spans="1:5" x14ac:dyDescent="0.25">
      <c r="A725" t="s">
        <v>747</v>
      </c>
      <c r="B725" s="3">
        <v>39417</v>
      </c>
      <c r="C725" t="s">
        <v>649</v>
      </c>
      <c r="D725">
        <v>235</v>
      </c>
      <c r="E725">
        <v>390</v>
      </c>
    </row>
    <row r="726" spans="1:5" x14ac:dyDescent="0.25">
      <c r="A726" t="s">
        <v>746</v>
      </c>
      <c r="B726" s="3">
        <v>39417</v>
      </c>
      <c r="C726" t="s">
        <v>649</v>
      </c>
      <c r="D726">
        <v>190</v>
      </c>
      <c r="E726">
        <v>8</v>
      </c>
    </row>
    <row r="727" spans="1:5" x14ac:dyDescent="0.25">
      <c r="A727" t="s">
        <v>745</v>
      </c>
      <c r="B727" s="3">
        <v>39417</v>
      </c>
      <c r="C727" t="s">
        <v>649</v>
      </c>
      <c r="D727">
        <v>255</v>
      </c>
      <c r="E727">
        <v>238</v>
      </c>
    </row>
    <row r="728" spans="1:5" x14ac:dyDescent="0.25">
      <c r="A728" t="s">
        <v>744</v>
      </c>
      <c r="B728" s="3">
        <v>39417</v>
      </c>
      <c r="C728" t="s">
        <v>649</v>
      </c>
      <c r="D728">
        <v>190</v>
      </c>
      <c r="E728">
        <v>7</v>
      </c>
    </row>
    <row r="729" spans="1:5" x14ac:dyDescent="0.25">
      <c r="A729" t="s">
        <v>743</v>
      </c>
      <c r="B729" s="3">
        <v>39417</v>
      </c>
      <c r="C729" t="s">
        <v>649</v>
      </c>
      <c r="D729">
        <v>140</v>
      </c>
      <c r="E729">
        <v>26</v>
      </c>
    </row>
    <row r="730" spans="1:5" x14ac:dyDescent="0.25">
      <c r="A730" t="s">
        <v>742</v>
      </c>
      <c r="B730" s="3">
        <v>39417</v>
      </c>
      <c r="C730" t="s">
        <v>649</v>
      </c>
      <c r="D730">
        <v>145</v>
      </c>
      <c r="E730">
        <v>23</v>
      </c>
    </row>
    <row r="731" spans="1:5" x14ac:dyDescent="0.25">
      <c r="A731" t="s">
        <v>741</v>
      </c>
      <c r="B731" s="3">
        <v>39417</v>
      </c>
      <c r="C731" t="s">
        <v>649</v>
      </c>
      <c r="D731">
        <v>150</v>
      </c>
      <c r="E731">
        <v>163</v>
      </c>
    </row>
    <row r="732" spans="1:5" x14ac:dyDescent="0.25">
      <c r="A732" t="s">
        <v>740</v>
      </c>
      <c r="B732" s="3">
        <v>39417</v>
      </c>
      <c r="C732" t="s">
        <v>649</v>
      </c>
      <c r="D732">
        <v>175</v>
      </c>
      <c r="E732">
        <v>149</v>
      </c>
    </row>
    <row r="733" spans="1:5" x14ac:dyDescent="0.25">
      <c r="A733" t="s">
        <v>739</v>
      </c>
      <c r="B733" s="3">
        <v>39417</v>
      </c>
      <c r="C733" t="s">
        <v>649</v>
      </c>
      <c r="D733">
        <v>190</v>
      </c>
      <c r="E733">
        <v>778</v>
      </c>
    </row>
    <row r="734" spans="1:5" x14ac:dyDescent="0.25">
      <c r="A734" t="s">
        <v>738</v>
      </c>
      <c r="B734" s="3">
        <v>39417</v>
      </c>
      <c r="C734" t="s">
        <v>649</v>
      </c>
      <c r="D734">
        <v>145</v>
      </c>
      <c r="E734">
        <v>12</v>
      </c>
    </row>
    <row r="735" spans="1:5" x14ac:dyDescent="0.25">
      <c r="A735" t="s">
        <v>737</v>
      </c>
      <c r="B735" s="3">
        <v>39417</v>
      </c>
      <c r="C735" t="s">
        <v>649</v>
      </c>
      <c r="D735">
        <v>185</v>
      </c>
      <c r="E735">
        <v>41</v>
      </c>
    </row>
    <row r="736" spans="1:5" x14ac:dyDescent="0.25">
      <c r="A736" t="s">
        <v>736</v>
      </c>
      <c r="B736" s="3">
        <v>39417</v>
      </c>
      <c r="C736" t="s">
        <v>649</v>
      </c>
      <c r="D736">
        <v>150</v>
      </c>
      <c r="E736">
        <v>19</v>
      </c>
    </row>
    <row r="737" spans="1:5" x14ac:dyDescent="0.25">
      <c r="A737" t="s">
        <v>735</v>
      </c>
      <c r="B737" s="3">
        <v>39417</v>
      </c>
      <c r="C737" t="s">
        <v>649</v>
      </c>
      <c r="D737">
        <v>155</v>
      </c>
      <c r="E737">
        <v>223</v>
      </c>
    </row>
    <row r="738" spans="1:5" x14ac:dyDescent="0.25">
      <c r="A738" t="s">
        <v>763</v>
      </c>
      <c r="B738" s="3">
        <v>39417</v>
      </c>
      <c r="C738" t="s">
        <v>649</v>
      </c>
      <c r="D738">
        <v>165</v>
      </c>
      <c r="E738">
        <v>75</v>
      </c>
    </row>
    <row r="739" spans="1:5" x14ac:dyDescent="0.25">
      <c r="A739" t="s">
        <v>762</v>
      </c>
      <c r="B739" s="3">
        <v>39417</v>
      </c>
      <c r="C739" t="s">
        <v>649</v>
      </c>
      <c r="D739">
        <v>260</v>
      </c>
      <c r="E739">
        <v>2226</v>
      </c>
    </row>
    <row r="740" spans="1:5" x14ac:dyDescent="0.25">
      <c r="A740" t="s">
        <v>733</v>
      </c>
      <c r="B740" s="3">
        <v>39417</v>
      </c>
      <c r="C740" t="s">
        <v>649</v>
      </c>
      <c r="D740">
        <v>250</v>
      </c>
      <c r="E740">
        <v>195</v>
      </c>
    </row>
    <row r="741" spans="1:5" x14ac:dyDescent="0.25">
      <c r="A741" t="s">
        <v>732</v>
      </c>
      <c r="B741" s="3">
        <v>39417</v>
      </c>
      <c r="C741" t="s">
        <v>649</v>
      </c>
      <c r="D741">
        <v>275</v>
      </c>
      <c r="E741">
        <v>1554</v>
      </c>
    </row>
    <row r="742" spans="1:5" x14ac:dyDescent="0.25">
      <c r="A742" t="s">
        <v>731</v>
      </c>
      <c r="B742" s="3">
        <v>39417</v>
      </c>
      <c r="C742" t="s">
        <v>649</v>
      </c>
      <c r="D742">
        <v>240</v>
      </c>
      <c r="E742">
        <v>401</v>
      </c>
    </row>
    <row r="743" spans="1:5" x14ac:dyDescent="0.25">
      <c r="A743" t="s">
        <v>730</v>
      </c>
      <c r="B743" s="3">
        <v>39417</v>
      </c>
      <c r="C743" t="s">
        <v>649</v>
      </c>
      <c r="D743">
        <v>220</v>
      </c>
      <c r="E743">
        <v>76</v>
      </c>
    </row>
    <row r="744" spans="1:5" x14ac:dyDescent="0.25">
      <c r="A744" t="s">
        <v>729</v>
      </c>
      <c r="B744" s="3">
        <v>39417</v>
      </c>
      <c r="C744" t="s">
        <v>649</v>
      </c>
      <c r="D744">
        <v>140</v>
      </c>
      <c r="E744">
        <v>32</v>
      </c>
    </row>
    <row r="745" spans="1:5" x14ac:dyDescent="0.25">
      <c r="A745" t="s">
        <v>728</v>
      </c>
      <c r="B745" s="3">
        <v>39417</v>
      </c>
      <c r="C745" t="s">
        <v>649</v>
      </c>
      <c r="D745">
        <v>175</v>
      </c>
      <c r="E745">
        <v>116</v>
      </c>
    </row>
    <row r="746" spans="1:5" x14ac:dyDescent="0.25">
      <c r="A746" t="s">
        <v>727</v>
      </c>
      <c r="B746" s="3">
        <v>39417</v>
      </c>
      <c r="C746" t="s">
        <v>649</v>
      </c>
      <c r="D746">
        <v>165</v>
      </c>
      <c r="E746">
        <v>142</v>
      </c>
    </row>
    <row r="747" spans="1:5" x14ac:dyDescent="0.25">
      <c r="A747" t="s">
        <v>726</v>
      </c>
      <c r="B747" s="3">
        <v>39417</v>
      </c>
      <c r="C747" t="s">
        <v>649</v>
      </c>
      <c r="D747">
        <v>150</v>
      </c>
      <c r="E747">
        <v>39</v>
      </c>
    </row>
    <row r="748" spans="1:5" x14ac:dyDescent="0.25">
      <c r="A748" t="s">
        <v>725</v>
      </c>
      <c r="B748" s="3">
        <v>39417</v>
      </c>
      <c r="C748" t="s">
        <v>649</v>
      </c>
      <c r="D748">
        <v>165</v>
      </c>
      <c r="E748">
        <v>225</v>
      </c>
    </row>
    <row r="749" spans="1:5" x14ac:dyDescent="0.25">
      <c r="A749" t="s">
        <v>724</v>
      </c>
      <c r="B749" s="3">
        <v>39417</v>
      </c>
      <c r="C749" t="s">
        <v>649</v>
      </c>
      <c r="D749">
        <v>180</v>
      </c>
      <c r="E749">
        <v>197</v>
      </c>
    </row>
    <row r="750" spans="1:5" x14ac:dyDescent="0.25">
      <c r="A750" t="s">
        <v>723</v>
      </c>
      <c r="B750" s="3">
        <v>39417</v>
      </c>
      <c r="C750" t="s">
        <v>649</v>
      </c>
      <c r="D750">
        <v>140</v>
      </c>
      <c r="E750">
        <v>23</v>
      </c>
    </row>
    <row r="751" spans="1:5" x14ac:dyDescent="0.25">
      <c r="A751" t="s">
        <v>722</v>
      </c>
      <c r="B751" s="3">
        <v>39417</v>
      </c>
      <c r="C751" t="s">
        <v>649</v>
      </c>
      <c r="D751">
        <v>130</v>
      </c>
      <c r="E751">
        <v>40</v>
      </c>
    </row>
    <row r="752" spans="1:5" x14ac:dyDescent="0.25">
      <c r="A752" t="s">
        <v>721</v>
      </c>
      <c r="B752" s="3">
        <v>39417</v>
      </c>
      <c r="C752" t="s">
        <v>649</v>
      </c>
      <c r="D752">
        <v>160</v>
      </c>
      <c r="E752">
        <v>110</v>
      </c>
    </row>
    <row r="753" spans="1:5" x14ac:dyDescent="0.25">
      <c r="A753" t="s">
        <v>720</v>
      </c>
      <c r="B753" s="3">
        <v>39417</v>
      </c>
      <c r="C753" t="s">
        <v>649</v>
      </c>
      <c r="D753">
        <v>175</v>
      </c>
      <c r="E753">
        <v>50</v>
      </c>
    </row>
    <row r="754" spans="1:5" x14ac:dyDescent="0.25">
      <c r="A754" t="s">
        <v>719</v>
      </c>
      <c r="B754" s="3">
        <v>39417</v>
      </c>
      <c r="C754" t="s">
        <v>649</v>
      </c>
      <c r="D754">
        <v>180</v>
      </c>
      <c r="E754">
        <v>46</v>
      </c>
    </row>
    <row r="755" spans="1:5" x14ac:dyDescent="0.25">
      <c r="A755" t="s">
        <v>718</v>
      </c>
      <c r="B755" s="3">
        <v>39417</v>
      </c>
      <c r="C755" t="s">
        <v>649</v>
      </c>
      <c r="D755">
        <v>185</v>
      </c>
      <c r="E755">
        <v>167</v>
      </c>
    </row>
    <row r="756" spans="1:5" x14ac:dyDescent="0.25">
      <c r="A756" t="s">
        <v>717</v>
      </c>
      <c r="B756" s="3">
        <v>39417</v>
      </c>
      <c r="C756" t="s">
        <v>649</v>
      </c>
      <c r="D756">
        <v>220</v>
      </c>
      <c r="E756">
        <v>66</v>
      </c>
    </row>
    <row r="757" spans="1:5" x14ac:dyDescent="0.25">
      <c r="A757" t="s">
        <v>716</v>
      </c>
      <c r="B757" s="3">
        <v>39417</v>
      </c>
      <c r="C757" t="s">
        <v>649</v>
      </c>
      <c r="D757">
        <v>140</v>
      </c>
      <c r="E757">
        <v>218</v>
      </c>
    </row>
    <row r="758" spans="1:5" x14ac:dyDescent="0.25">
      <c r="A758" t="s">
        <v>715</v>
      </c>
      <c r="B758" s="3">
        <v>39417</v>
      </c>
      <c r="C758" t="s">
        <v>649</v>
      </c>
      <c r="D758">
        <v>125</v>
      </c>
      <c r="E758">
        <v>29</v>
      </c>
    </row>
    <row r="759" spans="1:5" x14ac:dyDescent="0.25">
      <c r="A759" t="s">
        <v>714</v>
      </c>
      <c r="B759" s="3">
        <v>39417</v>
      </c>
      <c r="C759" t="s">
        <v>649</v>
      </c>
      <c r="D759">
        <v>220</v>
      </c>
      <c r="E759">
        <v>886</v>
      </c>
    </row>
    <row r="760" spans="1:5" x14ac:dyDescent="0.25">
      <c r="A760" t="s">
        <v>761</v>
      </c>
      <c r="B760" s="3">
        <v>39417</v>
      </c>
      <c r="C760" t="s">
        <v>649</v>
      </c>
      <c r="D760">
        <v>220</v>
      </c>
      <c r="E760">
        <v>194</v>
      </c>
    </row>
    <row r="761" spans="1:5" x14ac:dyDescent="0.25">
      <c r="A761" t="s">
        <v>760</v>
      </c>
      <c r="B761" s="3">
        <v>39417</v>
      </c>
      <c r="C761" t="s">
        <v>649</v>
      </c>
      <c r="D761">
        <v>220</v>
      </c>
      <c r="E761">
        <v>558</v>
      </c>
    </row>
    <row r="762" spans="1:5" x14ac:dyDescent="0.25">
      <c r="A762" t="s">
        <v>759</v>
      </c>
      <c r="B762" s="3">
        <v>39417</v>
      </c>
      <c r="C762" t="s">
        <v>649</v>
      </c>
      <c r="D762">
        <v>240</v>
      </c>
      <c r="E762">
        <v>134</v>
      </c>
    </row>
    <row r="763" spans="1:5" x14ac:dyDescent="0.25">
      <c r="A763" t="s">
        <v>758</v>
      </c>
      <c r="B763" s="3">
        <v>39417</v>
      </c>
      <c r="C763" t="s">
        <v>649</v>
      </c>
      <c r="D763">
        <v>165</v>
      </c>
      <c r="E763">
        <v>55</v>
      </c>
    </row>
    <row r="764" spans="1:5" x14ac:dyDescent="0.25">
      <c r="A764" t="s">
        <v>710</v>
      </c>
      <c r="B764" s="3">
        <v>39417</v>
      </c>
      <c r="C764" t="s">
        <v>649</v>
      </c>
      <c r="D764">
        <v>150</v>
      </c>
      <c r="E764">
        <v>341</v>
      </c>
    </row>
    <row r="765" spans="1:5" x14ac:dyDescent="0.25">
      <c r="A765" t="s">
        <v>709</v>
      </c>
      <c r="B765" s="3">
        <v>39417</v>
      </c>
      <c r="C765" t="s">
        <v>649</v>
      </c>
      <c r="D765">
        <v>185</v>
      </c>
      <c r="E765">
        <v>517</v>
      </c>
    </row>
    <row r="766" spans="1:5" x14ac:dyDescent="0.25">
      <c r="A766" t="s">
        <v>708</v>
      </c>
      <c r="B766" s="3">
        <v>39417</v>
      </c>
      <c r="C766" t="s">
        <v>649</v>
      </c>
      <c r="D766">
        <v>150</v>
      </c>
      <c r="E766">
        <v>27</v>
      </c>
    </row>
    <row r="767" spans="1:5" x14ac:dyDescent="0.25">
      <c r="A767" t="s">
        <v>635</v>
      </c>
      <c r="B767" s="3">
        <v>39417</v>
      </c>
      <c r="C767" t="s">
        <v>652</v>
      </c>
      <c r="D767">
        <v>270</v>
      </c>
      <c r="E767">
        <v>3167</v>
      </c>
    </row>
    <row r="768" spans="1:5" x14ac:dyDescent="0.25">
      <c r="A768" t="s">
        <v>755</v>
      </c>
      <c r="B768" s="3">
        <v>39417</v>
      </c>
      <c r="C768" t="s">
        <v>652</v>
      </c>
      <c r="D768">
        <v>260</v>
      </c>
      <c r="E768">
        <v>147</v>
      </c>
    </row>
    <row r="769" spans="1:5" x14ac:dyDescent="0.25">
      <c r="A769" t="s">
        <v>754</v>
      </c>
      <c r="B769" s="3">
        <v>39417</v>
      </c>
      <c r="C769" t="s">
        <v>652</v>
      </c>
      <c r="D769">
        <v>320</v>
      </c>
      <c r="E769">
        <v>247</v>
      </c>
    </row>
    <row r="770" spans="1:5" x14ac:dyDescent="0.25">
      <c r="A770" t="s">
        <v>753</v>
      </c>
      <c r="B770" s="3">
        <v>39417</v>
      </c>
      <c r="C770" t="s">
        <v>652</v>
      </c>
      <c r="D770">
        <v>290</v>
      </c>
      <c r="E770">
        <v>327</v>
      </c>
    </row>
    <row r="771" spans="1:5" x14ac:dyDescent="0.25">
      <c r="A771" t="s">
        <v>752</v>
      </c>
      <c r="B771" s="3">
        <v>39417</v>
      </c>
      <c r="C771" t="s">
        <v>652</v>
      </c>
      <c r="D771">
        <v>250</v>
      </c>
      <c r="E771">
        <v>374</v>
      </c>
    </row>
    <row r="772" spans="1:5" x14ac:dyDescent="0.25">
      <c r="A772" t="s">
        <v>751</v>
      </c>
      <c r="B772" s="3">
        <v>39417</v>
      </c>
      <c r="C772" t="s">
        <v>652</v>
      </c>
      <c r="D772">
        <v>310</v>
      </c>
      <c r="E772">
        <v>137</v>
      </c>
    </row>
    <row r="773" spans="1:5" x14ac:dyDescent="0.25">
      <c r="A773" t="s">
        <v>750</v>
      </c>
      <c r="B773" s="3">
        <v>39417</v>
      </c>
      <c r="C773" t="s">
        <v>652</v>
      </c>
      <c r="D773">
        <v>265</v>
      </c>
      <c r="E773">
        <v>249</v>
      </c>
    </row>
    <row r="774" spans="1:5" x14ac:dyDescent="0.25">
      <c r="A774" t="s">
        <v>749</v>
      </c>
      <c r="B774" s="3">
        <v>39417</v>
      </c>
      <c r="C774" t="s">
        <v>652</v>
      </c>
      <c r="D774">
        <v>270</v>
      </c>
      <c r="E774">
        <v>341</v>
      </c>
    </row>
    <row r="775" spans="1:5" x14ac:dyDescent="0.25">
      <c r="A775" t="s">
        <v>748</v>
      </c>
      <c r="B775" s="3">
        <v>39417</v>
      </c>
      <c r="C775" t="s">
        <v>652</v>
      </c>
      <c r="D775">
        <v>250</v>
      </c>
      <c r="E775">
        <v>381</v>
      </c>
    </row>
    <row r="776" spans="1:5" x14ac:dyDescent="0.25">
      <c r="A776" t="s">
        <v>747</v>
      </c>
      <c r="B776" s="3">
        <v>39417</v>
      </c>
      <c r="C776" t="s">
        <v>652</v>
      </c>
      <c r="D776">
        <v>290</v>
      </c>
      <c r="E776">
        <v>378</v>
      </c>
    </row>
    <row r="777" spans="1:5" x14ac:dyDescent="0.25">
      <c r="A777" t="s">
        <v>746</v>
      </c>
      <c r="B777" s="3">
        <v>39417</v>
      </c>
      <c r="C777" t="s">
        <v>652</v>
      </c>
      <c r="D777">
        <v>260</v>
      </c>
      <c r="E777">
        <v>46</v>
      </c>
    </row>
    <row r="778" spans="1:5" x14ac:dyDescent="0.25">
      <c r="A778" t="s">
        <v>745</v>
      </c>
      <c r="B778" s="3">
        <v>39417</v>
      </c>
      <c r="C778" t="s">
        <v>652</v>
      </c>
      <c r="D778">
        <v>285</v>
      </c>
      <c r="E778">
        <v>126</v>
      </c>
    </row>
    <row r="779" spans="1:5" x14ac:dyDescent="0.25">
      <c r="A779" t="s">
        <v>744</v>
      </c>
      <c r="B779" s="3">
        <v>39417</v>
      </c>
      <c r="C779" t="s">
        <v>652</v>
      </c>
      <c r="D779">
        <v>245</v>
      </c>
      <c r="E779">
        <v>414</v>
      </c>
    </row>
    <row r="780" spans="1:5" x14ac:dyDescent="0.25">
      <c r="A780" t="s">
        <v>743</v>
      </c>
      <c r="B780" s="3">
        <v>39417</v>
      </c>
      <c r="C780" t="s">
        <v>652</v>
      </c>
      <c r="D780">
        <v>200</v>
      </c>
      <c r="E780">
        <v>38</v>
      </c>
    </row>
    <row r="781" spans="1:5" x14ac:dyDescent="0.25">
      <c r="A781" t="s">
        <v>742</v>
      </c>
      <c r="B781" s="3">
        <v>39417</v>
      </c>
      <c r="C781" t="s">
        <v>652</v>
      </c>
      <c r="D781">
        <v>250</v>
      </c>
      <c r="E781">
        <v>117</v>
      </c>
    </row>
    <row r="782" spans="1:5" x14ac:dyDescent="0.25">
      <c r="A782" t="s">
        <v>741</v>
      </c>
      <c r="B782" s="3">
        <v>39417</v>
      </c>
      <c r="C782" t="s">
        <v>652</v>
      </c>
      <c r="D782">
        <v>200</v>
      </c>
      <c r="E782">
        <v>272</v>
      </c>
    </row>
    <row r="783" spans="1:5" x14ac:dyDescent="0.25">
      <c r="A783" t="s">
        <v>740</v>
      </c>
      <c r="B783" s="3">
        <v>39417</v>
      </c>
      <c r="C783" t="s">
        <v>652</v>
      </c>
      <c r="D783">
        <v>220</v>
      </c>
      <c r="E783">
        <v>555</v>
      </c>
    </row>
    <row r="784" spans="1:5" x14ac:dyDescent="0.25">
      <c r="A784" t="s">
        <v>739</v>
      </c>
      <c r="B784" s="3">
        <v>39417</v>
      </c>
      <c r="C784" t="s">
        <v>652</v>
      </c>
      <c r="D784">
        <v>270</v>
      </c>
      <c r="E784">
        <v>492</v>
      </c>
    </row>
    <row r="785" spans="1:5" x14ac:dyDescent="0.25">
      <c r="A785" t="s">
        <v>738</v>
      </c>
      <c r="B785" s="3">
        <v>39417</v>
      </c>
      <c r="C785" t="s">
        <v>652</v>
      </c>
      <c r="D785">
        <v>170</v>
      </c>
      <c r="E785">
        <v>36</v>
      </c>
    </row>
    <row r="786" spans="1:5" x14ac:dyDescent="0.25">
      <c r="A786" t="s">
        <v>737</v>
      </c>
      <c r="B786" s="3">
        <v>39417</v>
      </c>
      <c r="C786" t="s">
        <v>652</v>
      </c>
      <c r="D786">
        <v>310</v>
      </c>
      <c r="E786">
        <v>58</v>
      </c>
    </row>
    <row r="787" spans="1:5" x14ac:dyDescent="0.25">
      <c r="A787" t="s">
        <v>736</v>
      </c>
      <c r="B787" s="3">
        <v>39417</v>
      </c>
      <c r="C787" t="s">
        <v>652</v>
      </c>
      <c r="D787">
        <v>190</v>
      </c>
      <c r="E787">
        <v>53</v>
      </c>
    </row>
    <row r="788" spans="1:5" x14ac:dyDescent="0.25">
      <c r="A788" t="s">
        <v>735</v>
      </c>
      <c r="B788" s="3">
        <v>39417</v>
      </c>
      <c r="C788" t="s">
        <v>652</v>
      </c>
      <c r="D788">
        <v>210</v>
      </c>
      <c r="E788">
        <v>192</v>
      </c>
    </row>
    <row r="789" spans="1:5" x14ac:dyDescent="0.25">
      <c r="A789" t="s">
        <v>763</v>
      </c>
      <c r="B789" s="3">
        <v>39417</v>
      </c>
      <c r="C789" t="s">
        <v>652</v>
      </c>
      <c r="D789">
        <v>230</v>
      </c>
      <c r="E789">
        <v>234</v>
      </c>
    </row>
    <row r="790" spans="1:5" x14ac:dyDescent="0.25">
      <c r="A790" t="s">
        <v>762</v>
      </c>
      <c r="B790" s="3">
        <v>39417</v>
      </c>
      <c r="C790" t="s">
        <v>652</v>
      </c>
      <c r="D790">
        <v>320</v>
      </c>
      <c r="E790">
        <v>1152</v>
      </c>
    </row>
    <row r="791" spans="1:5" x14ac:dyDescent="0.25">
      <c r="A791" t="s">
        <v>733</v>
      </c>
      <c r="B791" s="3">
        <v>39417</v>
      </c>
      <c r="C791" t="s">
        <v>652</v>
      </c>
      <c r="D791">
        <v>310</v>
      </c>
      <c r="E791">
        <v>232</v>
      </c>
    </row>
    <row r="792" spans="1:5" x14ac:dyDescent="0.25">
      <c r="A792" t="s">
        <v>732</v>
      </c>
      <c r="B792" s="3">
        <v>39417</v>
      </c>
      <c r="C792" t="s">
        <v>652</v>
      </c>
      <c r="D792">
        <v>330</v>
      </c>
      <c r="E792">
        <v>595</v>
      </c>
    </row>
    <row r="793" spans="1:5" x14ac:dyDescent="0.25">
      <c r="A793" t="s">
        <v>731</v>
      </c>
      <c r="B793" s="3">
        <v>39417</v>
      </c>
      <c r="C793" t="s">
        <v>652</v>
      </c>
      <c r="D793">
        <v>330</v>
      </c>
      <c r="E793">
        <v>109</v>
      </c>
    </row>
    <row r="794" spans="1:5" x14ac:dyDescent="0.25">
      <c r="A794" t="s">
        <v>730</v>
      </c>
      <c r="B794" s="3">
        <v>39417</v>
      </c>
      <c r="C794" t="s">
        <v>652</v>
      </c>
      <c r="D794">
        <v>300</v>
      </c>
      <c r="E794">
        <v>216</v>
      </c>
    </row>
    <row r="795" spans="1:5" x14ac:dyDescent="0.25">
      <c r="A795" t="s">
        <v>729</v>
      </c>
      <c r="B795" s="3">
        <v>39417</v>
      </c>
      <c r="C795" t="s">
        <v>652</v>
      </c>
      <c r="D795">
        <v>195</v>
      </c>
      <c r="E795">
        <v>123</v>
      </c>
    </row>
    <row r="796" spans="1:5" x14ac:dyDescent="0.25">
      <c r="A796" t="s">
        <v>728</v>
      </c>
      <c r="B796" s="3">
        <v>39417</v>
      </c>
      <c r="C796" t="s">
        <v>652</v>
      </c>
      <c r="D796">
        <v>220</v>
      </c>
      <c r="E796">
        <v>253</v>
      </c>
    </row>
    <row r="797" spans="1:5" x14ac:dyDescent="0.25">
      <c r="A797" t="s">
        <v>727</v>
      </c>
      <c r="B797" s="3">
        <v>39417</v>
      </c>
      <c r="C797" t="s">
        <v>652</v>
      </c>
      <c r="D797">
        <v>200</v>
      </c>
      <c r="E797">
        <v>712</v>
      </c>
    </row>
    <row r="798" spans="1:5" x14ac:dyDescent="0.25">
      <c r="A798" t="s">
        <v>726</v>
      </c>
      <c r="B798" s="3">
        <v>39417</v>
      </c>
      <c r="C798" t="s">
        <v>652</v>
      </c>
      <c r="D798">
        <v>200</v>
      </c>
      <c r="E798">
        <v>54</v>
      </c>
    </row>
    <row r="799" spans="1:5" x14ac:dyDescent="0.25">
      <c r="A799" t="s">
        <v>725</v>
      </c>
      <c r="B799" s="3">
        <v>39417</v>
      </c>
      <c r="C799" t="s">
        <v>652</v>
      </c>
      <c r="D799">
        <v>230</v>
      </c>
      <c r="E799">
        <v>681</v>
      </c>
    </row>
    <row r="800" spans="1:5" x14ac:dyDescent="0.25">
      <c r="A800" t="s">
        <v>724</v>
      </c>
      <c r="B800" s="3">
        <v>39417</v>
      </c>
      <c r="C800" t="s">
        <v>652</v>
      </c>
      <c r="D800">
        <v>280</v>
      </c>
      <c r="E800">
        <v>311</v>
      </c>
    </row>
    <row r="801" spans="1:5" x14ac:dyDescent="0.25">
      <c r="A801" t="s">
        <v>723</v>
      </c>
      <c r="B801" s="3">
        <v>39417</v>
      </c>
      <c r="C801" t="s">
        <v>652</v>
      </c>
      <c r="D801">
        <v>175</v>
      </c>
      <c r="E801">
        <v>24</v>
      </c>
    </row>
    <row r="802" spans="1:5" x14ac:dyDescent="0.25">
      <c r="A802" t="s">
        <v>722</v>
      </c>
      <c r="B802" s="3">
        <v>39417</v>
      </c>
      <c r="C802" t="s">
        <v>652</v>
      </c>
      <c r="D802">
        <v>190</v>
      </c>
      <c r="E802">
        <v>113</v>
      </c>
    </row>
    <row r="803" spans="1:5" x14ac:dyDescent="0.25">
      <c r="A803" t="s">
        <v>721</v>
      </c>
      <c r="B803" s="3">
        <v>39417</v>
      </c>
      <c r="C803" t="s">
        <v>652</v>
      </c>
      <c r="D803">
        <v>260</v>
      </c>
      <c r="E803">
        <v>94</v>
      </c>
    </row>
    <row r="804" spans="1:5" x14ac:dyDescent="0.25">
      <c r="A804" t="s">
        <v>720</v>
      </c>
      <c r="B804" s="3">
        <v>39417</v>
      </c>
      <c r="C804" t="s">
        <v>652</v>
      </c>
      <c r="D804">
        <v>255</v>
      </c>
      <c r="E804">
        <v>98</v>
      </c>
    </row>
    <row r="805" spans="1:5" x14ac:dyDescent="0.25">
      <c r="A805" t="s">
        <v>719</v>
      </c>
      <c r="B805" s="3">
        <v>39417</v>
      </c>
      <c r="C805" t="s">
        <v>652</v>
      </c>
      <c r="D805">
        <v>245</v>
      </c>
      <c r="E805">
        <v>342</v>
      </c>
    </row>
    <row r="806" spans="1:5" x14ac:dyDescent="0.25">
      <c r="A806" t="s">
        <v>718</v>
      </c>
      <c r="B806" s="3">
        <v>39417</v>
      </c>
      <c r="C806" t="s">
        <v>652</v>
      </c>
      <c r="D806">
        <v>230</v>
      </c>
      <c r="E806">
        <v>195</v>
      </c>
    </row>
    <row r="807" spans="1:5" x14ac:dyDescent="0.25">
      <c r="A807" t="s">
        <v>717</v>
      </c>
      <c r="B807" s="3">
        <v>39417</v>
      </c>
      <c r="C807" t="s">
        <v>652</v>
      </c>
      <c r="D807">
        <v>250</v>
      </c>
      <c r="E807">
        <v>319</v>
      </c>
    </row>
    <row r="808" spans="1:5" x14ac:dyDescent="0.25">
      <c r="A808" t="s">
        <v>716</v>
      </c>
      <c r="B808" s="3">
        <v>39417</v>
      </c>
      <c r="C808" t="s">
        <v>652</v>
      </c>
      <c r="D808">
        <v>190</v>
      </c>
      <c r="E808">
        <v>291</v>
      </c>
    </row>
    <row r="809" spans="1:5" x14ac:dyDescent="0.25">
      <c r="A809" t="s">
        <v>715</v>
      </c>
      <c r="B809" s="3">
        <v>39417</v>
      </c>
      <c r="C809" t="s">
        <v>652</v>
      </c>
      <c r="D809">
        <v>190</v>
      </c>
      <c r="E809">
        <v>32</v>
      </c>
    </row>
    <row r="810" spans="1:5" x14ac:dyDescent="0.25">
      <c r="A810" t="s">
        <v>714</v>
      </c>
      <c r="B810" s="3">
        <v>39417</v>
      </c>
      <c r="C810" t="s">
        <v>652</v>
      </c>
      <c r="D810">
        <v>280</v>
      </c>
      <c r="E810">
        <v>985</v>
      </c>
    </row>
    <row r="811" spans="1:5" x14ac:dyDescent="0.25">
      <c r="A811" t="s">
        <v>761</v>
      </c>
      <c r="B811" s="3">
        <v>39417</v>
      </c>
      <c r="C811" t="s">
        <v>652</v>
      </c>
      <c r="D811">
        <v>280</v>
      </c>
      <c r="E811">
        <v>306</v>
      </c>
    </row>
    <row r="812" spans="1:5" x14ac:dyDescent="0.25">
      <c r="A812" t="s">
        <v>760</v>
      </c>
      <c r="B812" s="3">
        <v>39417</v>
      </c>
      <c r="C812" t="s">
        <v>652</v>
      </c>
      <c r="D812">
        <v>280</v>
      </c>
      <c r="E812">
        <v>520</v>
      </c>
    </row>
    <row r="813" spans="1:5" x14ac:dyDescent="0.25">
      <c r="A813" t="s">
        <v>759</v>
      </c>
      <c r="B813" s="3">
        <v>39417</v>
      </c>
      <c r="C813" t="s">
        <v>652</v>
      </c>
      <c r="D813">
        <v>275</v>
      </c>
      <c r="E813">
        <v>159</v>
      </c>
    </row>
    <row r="814" spans="1:5" x14ac:dyDescent="0.25">
      <c r="A814" t="s">
        <v>758</v>
      </c>
      <c r="B814" s="3">
        <v>39417</v>
      </c>
      <c r="C814" t="s">
        <v>652</v>
      </c>
      <c r="D814">
        <v>240</v>
      </c>
      <c r="E814">
        <v>288</v>
      </c>
    </row>
    <row r="815" spans="1:5" x14ac:dyDescent="0.25">
      <c r="A815" t="s">
        <v>710</v>
      </c>
      <c r="B815" s="3">
        <v>39417</v>
      </c>
      <c r="C815" t="s">
        <v>652</v>
      </c>
      <c r="D815">
        <v>215</v>
      </c>
      <c r="E815">
        <v>466</v>
      </c>
    </row>
    <row r="816" spans="1:5" x14ac:dyDescent="0.25">
      <c r="A816" t="s">
        <v>709</v>
      </c>
      <c r="B816" s="3">
        <v>39417</v>
      </c>
      <c r="C816" t="s">
        <v>652</v>
      </c>
      <c r="D816">
        <v>240</v>
      </c>
      <c r="E816">
        <v>348</v>
      </c>
    </row>
    <row r="817" spans="1:5" x14ac:dyDescent="0.25">
      <c r="A817" t="s">
        <v>708</v>
      </c>
      <c r="B817" s="3">
        <v>39417</v>
      </c>
      <c r="C817" t="s">
        <v>652</v>
      </c>
      <c r="D817">
        <v>185</v>
      </c>
      <c r="E817">
        <v>63</v>
      </c>
    </row>
    <row r="818" spans="1:5" x14ac:dyDescent="0.25">
      <c r="A818" t="s">
        <v>635</v>
      </c>
      <c r="B818" s="3">
        <v>39508</v>
      </c>
      <c r="C818" t="s">
        <v>649</v>
      </c>
      <c r="D818">
        <v>260</v>
      </c>
      <c r="E818">
        <v>5115</v>
      </c>
    </row>
    <row r="819" spans="1:5" x14ac:dyDescent="0.25">
      <c r="A819" t="s">
        <v>755</v>
      </c>
      <c r="B819" s="3">
        <v>39508</v>
      </c>
      <c r="C819" t="s">
        <v>649</v>
      </c>
      <c r="D819">
        <v>215</v>
      </c>
      <c r="E819">
        <v>56</v>
      </c>
    </row>
    <row r="820" spans="1:5" x14ac:dyDescent="0.25">
      <c r="A820" t="s">
        <v>754</v>
      </c>
      <c r="B820" s="3">
        <v>39508</v>
      </c>
      <c r="C820" t="s">
        <v>649</v>
      </c>
      <c r="D820">
        <v>320</v>
      </c>
      <c r="E820">
        <v>2460</v>
      </c>
    </row>
    <row r="821" spans="1:5" x14ac:dyDescent="0.25">
      <c r="A821" t="s">
        <v>753</v>
      </c>
      <c r="B821" s="3">
        <v>39508</v>
      </c>
      <c r="C821" t="s">
        <v>649</v>
      </c>
      <c r="D821">
        <v>230</v>
      </c>
      <c r="E821">
        <v>789</v>
      </c>
    </row>
    <row r="822" spans="1:5" x14ac:dyDescent="0.25">
      <c r="A822" t="s">
        <v>752</v>
      </c>
      <c r="B822" s="3">
        <v>39508</v>
      </c>
      <c r="C822" t="s">
        <v>649</v>
      </c>
      <c r="D822">
        <v>220</v>
      </c>
      <c r="E822">
        <v>187</v>
      </c>
    </row>
    <row r="823" spans="1:5" x14ac:dyDescent="0.25">
      <c r="A823" t="s">
        <v>751</v>
      </c>
      <c r="B823" s="3">
        <v>39508</v>
      </c>
      <c r="C823" t="s">
        <v>649</v>
      </c>
      <c r="D823">
        <v>230</v>
      </c>
      <c r="E823">
        <v>159</v>
      </c>
    </row>
    <row r="824" spans="1:5" x14ac:dyDescent="0.25">
      <c r="A824" t="s">
        <v>750</v>
      </c>
      <c r="B824" s="3">
        <v>39508</v>
      </c>
      <c r="C824" t="s">
        <v>649</v>
      </c>
      <c r="D824">
        <v>220</v>
      </c>
      <c r="E824">
        <v>61</v>
      </c>
    </row>
    <row r="825" spans="1:5" x14ac:dyDescent="0.25">
      <c r="A825" t="s">
        <v>749</v>
      </c>
      <c r="B825" s="3">
        <v>39508</v>
      </c>
      <c r="C825" t="s">
        <v>649</v>
      </c>
      <c r="D825">
        <v>225</v>
      </c>
      <c r="E825">
        <v>446</v>
      </c>
    </row>
    <row r="826" spans="1:5" x14ac:dyDescent="0.25">
      <c r="A826" t="s">
        <v>748</v>
      </c>
      <c r="B826" s="3">
        <v>39508</v>
      </c>
      <c r="C826" t="s">
        <v>649</v>
      </c>
      <c r="D826">
        <v>220</v>
      </c>
      <c r="E826">
        <v>64</v>
      </c>
    </row>
    <row r="827" spans="1:5" x14ac:dyDescent="0.25">
      <c r="A827" t="s">
        <v>747</v>
      </c>
      <c r="B827" s="3">
        <v>39508</v>
      </c>
      <c r="C827" t="s">
        <v>649</v>
      </c>
      <c r="D827">
        <v>245</v>
      </c>
      <c r="E827">
        <v>458</v>
      </c>
    </row>
    <row r="828" spans="1:5" x14ac:dyDescent="0.25">
      <c r="A828" t="s">
        <v>746</v>
      </c>
      <c r="B828" s="3">
        <v>39508</v>
      </c>
      <c r="C828" t="s">
        <v>649</v>
      </c>
      <c r="D828">
        <v>195</v>
      </c>
      <c r="E828">
        <v>9</v>
      </c>
    </row>
    <row r="829" spans="1:5" x14ac:dyDescent="0.25">
      <c r="A829" t="s">
        <v>745</v>
      </c>
      <c r="B829" s="3">
        <v>39508</v>
      </c>
      <c r="C829" t="s">
        <v>649</v>
      </c>
      <c r="D829">
        <v>250</v>
      </c>
      <c r="E829">
        <v>399</v>
      </c>
    </row>
    <row r="830" spans="1:5" x14ac:dyDescent="0.25">
      <c r="A830" t="s">
        <v>744</v>
      </c>
      <c r="B830" s="3">
        <v>39508</v>
      </c>
      <c r="C830" t="s">
        <v>649</v>
      </c>
      <c r="D830">
        <v>240</v>
      </c>
      <c r="E830">
        <v>27</v>
      </c>
    </row>
    <row r="831" spans="1:5" x14ac:dyDescent="0.25">
      <c r="A831" t="s">
        <v>743</v>
      </c>
      <c r="B831" s="3">
        <v>39508</v>
      </c>
      <c r="C831" t="s">
        <v>649</v>
      </c>
      <c r="D831">
        <v>145</v>
      </c>
      <c r="E831">
        <v>19</v>
      </c>
    </row>
    <row r="832" spans="1:5" x14ac:dyDescent="0.25">
      <c r="A832" t="s">
        <v>742</v>
      </c>
      <c r="B832" s="3">
        <v>39508</v>
      </c>
      <c r="C832" t="s">
        <v>649</v>
      </c>
      <c r="D832">
        <v>150</v>
      </c>
      <c r="E832">
        <v>40</v>
      </c>
    </row>
    <row r="833" spans="1:5" x14ac:dyDescent="0.25">
      <c r="A833" t="s">
        <v>741</v>
      </c>
      <c r="B833" s="3">
        <v>39508</v>
      </c>
      <c r="C833" t="s">
        <v>649</v>
      </c>
      <c r="D833">
        <v>150</v>
      </c>
      <c r="E833">
        <v>168</v>
      </c>
    </row>
    <row r="834" spans="1:5" x14ac:dyDescent="0.25">
      <c r="A834" t="s">
        <v>740</v>
      </c>
      <c r="B834" s="3">
        <v>39508</v>
      </c>
      <c r="C834" t="s">
        <v>649</v>
      </c>
      <c r="D834">
        <v>175</v>
      </c>
      <c r="E834">
        <v>167</v>
      </c>
    </row>
    <row r="835" spans="1:5" x14ac:dyDescent="0.25">
      <c r="A835" t="s">
        <v>739</v>
      </c>
      <c r="B835" s="3">
        <v>39508</v>
      </c>
      <c r="C835" t="s">
        <v>649</v>
      </c>
      <c r="D835">
        <v>200</v>
      </c>
      <c r="E835">
        <v>849</v>
      </c>
    </row>
    <row r="836" spans="1:5" x14ac:dyDescent="0.25">
      <c r="A836" t="s">
        <v>738</v>
      </c>
      <c r="B836" s="3">
        <v>39508</v>
      </c>
      <c r="C836" t="s">
        <v>649</v>
      </c>
      <c r="D836">
        <v>150</v>
      </c>
      <c r="E836">
        <v>26</v>
      </c>
    </row>
    <row r="837" spans="1:5" x14ac:dyDescent="0.25">
      <c r="A837" t="s">
        <v>737</v>
      </c>
      <c r="B837" s="3">
        <v>39508</v>
      </c>
      <c r="C837" t="s">
        <v>649</v>
      </c>
      <c r="D837">
        <v>190</v>
      </c>
      <c r="E837">
        <v>38</v>
      </c>
    </row>
    <row r="838" spans="1:5" x14ac:dyDescent="0.25">
      <c r="A838" t="s">
        <v>736</v>
      </c>
      <c r="B838" s="3">
        <v>39508</v>
      </c>
      <c r="C838" t="s">
        <v>649</v>
      </c>
      <c r="D838">
        <v>155</v>
      </c>
      <c r="E838">
        <v>26</v>
      </c>
    </row>
    <row r="839" spans="1:5" x14ac:dyDescent="0.25">
      <c r="A839" t="s">
        <v>735</v>
      </c>
      <c r="B839" s="3">
        <v>39508</v>
      </c>
      <c r="C839" t="s">
        <v>649</v>
      </c>
      <c r="D839">
        <v>160</v>
      </c>
      <c r="E839">
        <v>200</v>
      </c>
    </row>
    <row r="840" spans="1:5" x14ac:dyDescent="0.25">
      <c r="A840" t="s">
        <v>763</v>
      </c>
      <c r="B840" s="3">
        <v>39508</v>
      </c>
      <c r="C840" t="s">
        <v>649</v>
      </c>
      <c r="D840">
        <v>165</v>
      </c>
      <c r="E840">
        <v>64</v>
      </c>
    </row>
    <row r="841" spans="1:5" x14ac:dyDescent="0.25">
      <c r="A841" t="s">
        <v>762</v>
      </c>
      <c r="B841" s="3">
        <v>39508</v>
      </c>
      <c r="C841" t="s">
        <v>649</v>
      </c>
      <c r="D841">
        <v>280</v>
      </c>
      <c r="E841">
        <v>2541</v>
      </c>
    </row>
    <row r="842" spans="1:5" x14ac:dyDescent="0.25">
      <c r="A842" t="s">
        <v>733</v>
      </c>
      <c r="B842" s="3">
        <v>39508</v>
      </c>
      <c r="C842" t="s">
        <v>649</v>
      </c>
      <c r="D842">
        <v>270</v>
      </c>
      <c r="E842">
        <v>220</v>
      </c>
    </row>
    <row r="843" spans="1:5" x14ac:dyDescent="0.25">
      <c r="A843" t="s">
        <v>732</v>
      </c>
      <c r="B843" s="3">
        <v>39508</v>
      </c>
      <c r="C843" t="s">
        <v>649</v>
      </c>
      <c r="D843">
        <v>290</v>
      </c>
      <c r="E843">
        <v>1900</v>
      </c>
    </row>
    <row r="844" spans="1:5" x14ac:dyDescent="0.25">
      <c r="A844" t="s">
        <v>731</v>
      </c>
      <c r="B844" s="3">
        <v>39508</v>
      </c>
      <c r="C844" t="s">
        <v>649</v>
      </c>
      <c r="D844">
        <v>250</v>
      </c>
      <c r="E844">
        <v>360</v>
      </c>
    </row>
    <row r="845" spans="1:5" x14ac:dyDescent="0.25">
      <c r="A845" t="s">
        <v>730</v>
      </c>
      <c r="B845" s="3">
        <v>39508</v>
      </c>
      <c r="C845" t="s">
        <v>649</v>
      </c>
      <c r="D845">
        <v>220</v>
      </c>
      <c r="E845">
        <v>61</v>
      </c>
    </row>
    <row r="846" spans="1:5" x14ac:dyDescent="0.25">
      <c r="A846" t="s">
        <v>729</v>
      </c>
      <c r="B846" s="3">
        <v>39508</v>
      </c>
      <c r="C846" t="s">
        <v>649</v>
      </c>
      <c r="D846">
        <v>140</v>
      </c>
      <c r="E846">
        <v>17</v>
      </c>
    </row>
    <row r="847" spans="1:5" x14ac:dyDescent="0.25">
      <c r="A847" t="s">
        <v>728</v>
      </c>
      <c r="B847" s="3">
        <v>39508</v>
      </c>
      <c r="C847" t="s">
        <v>649</v>
      </c>
      <c r="D847">
        <v>180</v>
      </c>
      <c r="E847">
        <v>138</v>
      </c>
    </row>
    <row r="848" spans="1:5" x14ac:dyDescent="0.25">
      <c r="A848" t="s">
        <v>727</v>
      </c>
      <c r="B848" s="3">
        <v>39508</v>
      </c>
      <c r="C848" t="s">
        <v>649</v>
      </c>
      <c r="D848">
        <v>165</v>
      </c>
      <c r="E848">
        <v>176</v>
      </c>
    </row>
    <row r="849" spans="1:5" x14ac:dyDescent="0.25">
      <c r="A849" t="s">
        <v>726</v>
      </c>
      <c r="B849" s="3">
        <v>39508</v>
      </c>
      <c r="C849" t="s">
        <v>649</v>
      </c>
      <c r="D849">
        <v>160</v>
      </c>
      <c r="E849">
        <v>40</v>
      </c>
    </row>
    <row r="850" spans="1:5" x14ac:dyDescent="0.25">
      <c r="A850" t="s">
        <v>725</v>
      </c>
      <c r="B850" s="3">
        <v>39508</v>
      </c>
      <c r="C850" t="s">
        <v>649</v>
      </c>
      <c r="D850">
        <v>170</v>
      </c>
      <c r="E850">
        <v>213</v>
      </c>
    </row>
    <row r="851" spans="1:5" x14ac:dyDescent="0.25">
      <c r="A851" t="s">
        <v>724</v>
      </c>
      <c r="B851" s="3">
        <v>39508</v>
      </c>
      <c r="C851" t="s">
        <v>649</v>
      </c>
      <c r="D851">
        <v>200</v>
      </c>
      <c r="E851">
        <v>229</v>
      </c>
    </row>
    <row r="852" spans="1:5" x14ac:dyDescent="0.25">
      <c r="A852" t="s">
        <v>723</v>
      </c>
      <c r="B852" s="3">
        <v>39508</v>
      </c>
      <c r="C852" t="s">
        <v>649</v>
      </c>
      <c r="D852">
        <v>140</v>
      </c>
      <c r="E852">
        <v>20</v>
      </c>
    </row>
    <row r="853" spans="1:5" x14ac:dyDescent="0.25">
      <c r="A853" t="s">
        <v>722</v>
      </c>
      <c r="B853" s="3">
        <v>39508</v>
      </c>
      <c r="C853" t="s">
        <v>649</v>
      </c>
      <c r="D853">
        <v>130</v>
      </c>
      <c r="E853">
        <v>53</v>
      </c>
    </row>
    <row r="854" spans="1:5" x14ac:dyDescent="0.25">
      <c r="A854" t="s">
        <v>721</v>
      </c>
      <c r="B854" s="3">
        <v>39508</v>
      </c>
      <c r="C854" t="s">
        <v>649</v>
      </c>
      <c r="D854">
        <v>165</v>
      </c>
      <c r="E854">
        <v>102</v>
      </c>
    </row>
    <row r="855" spans="1:5" x14ac:dyDescent="0.25">
      <c r="A855" t="s">
        <v>720</v>
      </c>
      <c r="B855" s="3">
        <v>39508</v>
      </c>
      <c r="C855" t="s">
        <v>649</v>
      </c>
      <c r="D855">
        <v>180</v>
      </c>
      <c r="E855">
        <v>41</v>
      </c>
    </row>
    <row r="856" spans="1:5" x14ac:dyDescent="0.25">
      <c r="A856" t="s">
        <v>719</v>
      </c>
      <c r="B856" s="3">
        <v>39508</v>
      </c>
      <c r="C856" t="s">
        <v>649</v>
      </c>
      <c r="D856">
        <v>190</v>
      </c>
      <c r="E856">
        <v>52</v>
      </c>
    </row>
    <row r="857" spans="1:5" x14ac:dyDescent="0.25">
      <c r="A857" t="s">
        <v>718</v>
      </c>
      <c r="B857" s="3">
        <v>39508</v>
      </c>
      <c r="C857" t="s">
        <v>649</v>
      </c>
      <c r="D857">
        <v>180</v>
      </c>
      <c r="E857">
        <v>161</v>
      </c>
    </row>
    <row r="858" spans="1:5" x14ac:dyDescent="0.25">
      <c r="A858" t="s">
        <v>717</v>
      </c>
      <c r="B858" s="3">
        <v>39508</v>
      </c>
      <c r="C858" t="s">
        <v>649</v>
      </c>
      <c r="D858">
        <v>225</v>
      </c>
      <c r="E858">
        <v>54</v>
      </c>
    </row>
    <row r="859" spans="1:5" x14ac:dyDescent="0.25">
      <c r="A859" t="s">
        <v>716</v>
      </c>
      <c r="B859" s="3">
        <v>39508</v>
      </c>
      <c r="C859" t="s">
        <v>649</v>
      </c>
      <c r="D859">
        <v>145</v>
      </c>
      <c r="E859">
        <v>217</v>
      </c>
    </row>
    <row r="860" spans="1:5" x14ac:dyDescent="0.25">
      <c r="A860" t="s">
        <v>715</v>
      </c>
      <c r="B860" s="3">
        <v>39508</v>
      </c>
      <c r="C860" t="s">
        <v>649</v>
      </c>
      <c r="D860">
        <v>125</v>
      </c>
      <c r="E860">
        <v>33</v>
      </c>
    </row>
    <row r="861" spans="1:5" x14ac:dyDescent="0.25">
      <c r="A861" t="s">
        <v>714</v>
      </c>
      <c r="B861" s="3">
        <v>39508</v>
      </c>
      <c r="C861" t="s">
        <v>649</v>
      </c>
      <c r="D861">
        <v>230</v>
      </c>
      <c r="E861">
        <v>938</v>
      </c>
    </row>
    <row r="862" spans="1:5" x14ac:dyDescent="0.25">
      <c r="A862" t="s">
        <v>761</v>
      </c>
      <c r="B862" s="3">
        <v>39508</v>
      </c>
      <c r="C862" t="s">
        <v>649</v>
      </c>
      <c r="D862">
        <v>230</v>
      </c>
      <c r="E862">
        <v>187</v>
      </c>
    </row>
    <row r="863" spans="1:5" x14ac:dyDescent="0.25">
      <c r="A863" t="s">
        <v>760</v>
      </c>
      <c r="B863" s="3">
        <v>39508</v>
      </c>
      <c r="C863" t="s">
        <v>649</v>
      </c>
      <c r="D863">
        <v>220</v>
      </c>
      <c r="E863">
        <v>598</v>
      </c>
    </row>
    <row r="864" spans="1:5" x14ac:dyDescent="0.25">
      <c r="A864" t="s">
        <v>759</v>
      </c>
      <c r="B864" s="3">
        <v>39508</v>
      </c>
      <c r="C864" t="s">
        <v>649</v>
      </c>
      <c r="D864">
        <v>250</v>
      </c>
      <c r="E864">
        <v>153</v>
      </c>
    </row>
    <row r="865" spans="1:5" x14ac:dyDescent="0.25">
      <c r="A865" t="s">
        <v>758</v>
      </c>
      <c r="B865" s="3">
        <v>39508</v>
      </c>
      <c r="C865" t="s">
        <v>649</v>
      </c>
      <c r="D865">
        <v>160</v>
      </c>
      <c r="E865">
        <v>72</v>
      </c>
    </row>
    <row r="866" spans="1:5" x14ac:dyDescent="0.25">
      <c r="A866" t="s">
        <v>710</v>
      </c>
      <c r="B866" s="3">
        <v>39508</v>
      </c>
      <c r="C866" t="s">
        <v>649</v>
      </c>
      <c r="D866">
        <v>155</v>
      </c>
      <c r="E866">
        <v>436</v>
      </c>
    </row>
    <row r="867" spans="1:5" x14ac:dyDescent="0.25">
      <c r="A867" t="s">
        <v>709</v>
      </c>
      <c r="B867" s="3">
        <v>39508</v>
      </c>
      <c r="C867" t="s">
        <v>649</v>
      </c>
      <c r="D867">
        <v>190</v>
      </c>
      <c r="E867">
        <v>621</v>
      </c>
    </row>
    <row r="868" spans="1:5" x14ac:dyDescent="0.25">
      <c r="A868" t="s">
        <v>708</v>
      </c>
      <c r="B868" s="3">
        <v>39508</v>
      </c>
      <c r="C868" t="s">
        <v>649</v>
      </c>
      <c r="D868">
        <v>140</v>
      </c>
      <c r="E868">
        <v>46</v>
      </c>
    </row>
    <row r="869" spans="1:5" x14ac:dyDescent="0.25">
      <c r="A869" t="s">
        <v>635</v>
      </c>
      <c r="B869" s="3">
        <v>39508</v>
      </c>
      <c r="C869" t="s">
        <v>652</v>
      </c>
      <c r="D869">
        <v>280</v>
      </c>
      <c r="E869">
        <v>3757</v>
      </c>
    </row>
    <row r="870" spans="1:5" x14ac:dyDescent="0.25">
      <c r="A870" t="s">
        <v>755</v>
      </c>
      <c r="B870" s="3">
        <v>39508</v>
      </c>
      <c r="C870" t="s">
        <v>652</v>
      </c>
      <c r="D870">
        <v>270</v>
      </c>
      <c r="E870">
        <v>152</v>
      </c>
    </row>
    <row r="871" spans="1:5" x14ac:dyDescent="0.25">
      <c r="A871" t="s">
        <v>754</v>
      </c>
      <c r="B871" s="3">
        <v>39508</v>
      </c>
      <c r="C871" t="s">
        <v>652</v>
      </c>
      <c r="D871">
        <v>330</v>
      </c>
      <c r="E871">
        <v>460</v>
      </c>
    </row>
    <row r="872" spans="1:5" x14ac:dyDescent="0.25">
      <c r="A872" t="s">
        <v>753</v>
      </c>
      <c r="B872" s="3">
        <v>39508</v>
      </c>
      <c r="C872" t="s">
        <v>652</v>
      </c>
      <c r="D872">
        <v>290</v>
      </c>
      <c r="E872">
        <v>371</v>
      </c>
    </row>
    <row r="873" spans="1:5" x14ac:dyDescent="0.25">
      <c r="A873" t="s">
        <v>752</v>
      </c>
      <c r="B873" s="3">
        <v>39508</v>
      </c>
      <c r="C873" t="s">
        <v>652</v>
      </c>
      <c r="D873">
        <v>260</v>
      </c>
      <c r="E873">
        <v>371</v>
      </c>
    </row>
    <row r="874" spans="1:5" x14ac:dyDescent="0.25">
      <c r="A874" t="s">
        <v>751</v>
      </c>
      <c r="B874" s="3">
        <v>39508</v>
      </c>
      <c r="C874" t="s">
        <v>652</v>
      </c>
      <c r="D874">
        <v>320</v>
      </c>
      <c r="E874">
        <v>214</v>
      </c>
    </row>
    <row r="875" spans="1:5" x14ac:dyDescent="0.25">
      <c r="A875" t="s">
        <v>750</v>
      </c>
      <c r="B875" s="3">
        <v>39508</v>
      </c>
      <c r="C875" t="s">
        <v>652</v>
      </c>
      <c r="D875">
        <v>270</v>
      </c>
      <c r="E875">
        <v>297</v>
      </c>
    </row>
    <row r="876" spans="1:5" x14ac:dyDescent="0.25">
      <c r="A876" t="s">
        <v>749</v>
      </c>
      <c r="B876" s="3">
        <v>39508</v>
      </c>
      <c r="C876" t="s">
        <v>652</v>
      </c>
      <c r="D876">
        <v>270</v>
      </c>
      <c r="E876">
        <v>471</v>
      </c>
    </row>
    <row r="877" spans="1:5" x14ac:dyDescent="0.25">
      <c r="A877" t="s">
        <v>748</v>
      </c>
      <c r="B877" s="3">
        <v>39508</v>
      </c>
      <c r="C877" t="s">
        <v>652</v>
      </c>
      <c r="D877">
        <v>255</v>
      </c>
      <c r="E877">
        <v>332</v>
      </c>
    </row>
    <row r="878" spans="1:5" x14ac:dyDescent="0.25">
      <c r="A878" t="s">
        <v>747</v>
      </c>
      <c r="B878" s="3">
        <v>39508</v>
      </c>
      <c r="C878" t="s">
        <v>652</v>
      </c>
      <c r="D878">
        <v>300</v>
      </c>
      <c r="E878">
        <v>404</v>
      </c>
    </row>
    <row r="879" spans="1:5" x14ac:dyDescent="0.25">
      <c r="A879" t="s">
        <v>746</v>
      </c>
      <c r="B879" s="3">
        <v>39508</v>
      </c>
      <c r="C879" t="s">
        <v>652</v>
      </c>
      <c r="D879">
        <v>280</v>
      </c>
      <c r="E879">
        <v>51</v>
      </c>
    </row>
    <row r="880" spans="1:5" x14ac:dyDescent="0.25">
      <c r="A880" t="s">
        <v>745</v>
      </c>
      <c r="B880" s="3">
        <v>39508</v>
      </c>
      <c r="C880" t="s">
        <v>652</v>
      </c>
      <c r="D880">
        <v>300</v>
      </c>
      <c r="E880">
        <v>189</v>
      </c>
    </row>
    <row r="881" spans="1:5" x14ac:dyDescent="0.25">
      <c r="A881" t="s">
        <v>744</v>
      </c>
      <c r="B881" s="3">
        <v>39508</v>
      </c>
      <c r="C881" t="s">
        <v>652</v>
      </c>
      <c r="D881">
        <v>250</v>
      </c>
      <c r="E881">
        <v>444</v>
      </c>
    </row>
    <row r="882" spans="1:5" x14ac:dyDescent="0.25">
      <c r="A882" t="s">
        <v>743</v>
      </c>
      <c r="B882" s="3">
        <v>39508</v>
      </c>
      <c r="C882" t="s">
        <v>652</v>
      </c>
      <c r="D882">
        <v>220</v>
      </c>
      <c r="E882">
        <v>37</v>
      </c>
    </row>
    <row r="883" spans="1:5" x14ac:dyDescent="0.25">
      <c r="A883" t="s">
        <v>742</v>
      </c>
      <c r="B883" s="3">
        <v>39508</v>
      </c>
      <c r="C883" t="s">
        <v>652</v>
      </c>
      <c r="D883">
        <v>250</v>
      </c>
      <c r="E883">
        <v>120</v>
      </c>
    </row>
    <row r="884" spans="1:5" x14ac:dyDescent="0.25">
      <c r="A884" t="s">
        <v>741</v>
      </c>
      <c r="B884" s="3">
        <v>39508</v>
      </c>
      <c r="C884" t="s">
        <v>652</v>
      </c>
      <c r="D884">
        <v>200</v>
      </c>
      <c r="E884">
        <v>311</v>
      </c>
    </row>
    <row r="885" spans="1:5" x14ac:dyDescent="0.25">
      <c r="A885" t="s">
        <v>740</v>
      </c>
      <c r="B885" s="3">
        <v>39508</v>
      </c>
      <c r="C885" t="s">
        <v>652</v>
      </c>
      <c r="D885">
        <v>220</v>
      </c>
      <c r="E885">
        <v>524</v>
      </c>
    </row>
    <row r="886" spans="1:5" x14ac:dyDescent="0.25">
      <c r="A886" t="s">
        <v>739</v>
      </c>
      <c r="B886" s="3">
        <v>39508</v>
      </c>
      <c r="C886" t="s">
        <v>652</v>
      </c>
      <c r="D886">
        <v>265</v>
      </c>
      <c r="E886">
        <v>490</v>
      </c>
    </row>
    <row r="887" spans="1:5" x14ac:dyDescent="0.25">
      <c r="A887" t="s">
        <v>738</v>
      </c>
      <c r="B887" s="3">
        <v>39508</v>
      </c>
      <c r="C887" t="s">
        <v>652</v>
      </c>
      <c r="D887">
        <v>170</v>
      </c>
      <c r="E887">
        <v>62</v>
      </c>
    </row>
    <row r="888" spans="1:5" x14ac:dyDescent="0.25">
      <c r="A888" t="s">
        <v>737</v>
      </c>
      <c r="B888" s="3">
        <v>39508</v>
      </c>
      <c r="C888" t="s">
        <v>652</v>
      </c>
      <c r="D888">
        <v>330</v>
      </c>
      <c r="E888">
        <v>49</v>
      </c>
    </row>
    <row r="889" spans="1:5" x14ac:dyDescent="0.25">
      <c r="A889" t="s">
        <v>736</v>
      </c>
      <c r="B889" s="3">
        <v>39508</v>
      </c>
      <c r="C889" t="s">
        <v>652</v>
      </c>
      <c r="D889">
        <v>180</v>
      </c>
      <c r="E889">
        <v>75</v>
      </c>
    </row>
    <row r="890" spans="1:5" x14ac:dyDescent="0.25">
      <c r="A890" t="s">
        <v>735</v>
      </c>
      <c r="B890" s="3">
        <v>39508</v>
      </c>
      <c r="C890" t="s">
        <v>652</v>
      </c>
      <c r="D890">
        <v>220</v>
      </c>
      <c r="E890">
        <v>216</v>
      </c>
    </row>
    <row r="891" spans="1:5" x14ac:dyDescent="0.25">
      <c r="A891" t="s">
        <v>763</v>
      </c>
      <c r="B891" s="3">
        <v>39508</v>
      </c>
      <c r="C891" t="s">
        <v>652</v>
      </c>
      <c r="D891">
        <v>240</v>
      </c>
      <c r="E891">
        <v>246</v>
      </c>
    </row>
    <row r="892" spans="1:5" x14ac:dyDescent="0.25">
      <c r="A892" t="s">
        <v>762</v>
      </c>
      <c r="B892" s="3">
        <v>39508</v>
      </c>
      <c r="C892" t="s">
        <v>652</v>
      </c>
      <c r="D892">
        <v>325</v>
      </c>
      <c r="E892">
        <v>1105</v>
      </c>
    </row>
    <row r="893" spans="1:5" x14ac:dyDescent="0.25">
      <c r="A893" t="s">
        <v>733</v>
      </c>
      <c r="B893" s="3">
        <v>39508</v>
      </c>
      <c r="C893" t="s">
        <v>652</v>
      </c>
      <c r="D893">
        <v>315</v>
      </c>
      <c r="E893">
        <v>237</v>
      </c>
    </row>
    <row r="894" spans="1:5" x14ac:dyDescent="0.25">
      <c r="A894" t="s">
        <v>732</v>
      </c>
      <c r="B894" s="3">
        <v>39508</v>
      </c>
      <c r="C894" t="s">
        <v>652</v>
      </c>
      <c r="D894">
        <v>340</v>
      </c>
      <c r="E894">
        <v>571</v>
      </c>
    </row>
    <row r="895" spans="1:5" x14ac:dyDescent="0.25">
      <c r="A895" t="s">
        <v>731</v>
      </c>
      <c r="B895" s="3">
        <v>39508</v>
      </c>
      <c r="C895" t="s">
        <v>652</v>
      </c>
      <c r="D895">
        <v>330</v>
      </c>
      <c r="E895">
        <v>100</v>
      </c>
    </row>
    <row r="896" spans="1:5" x14ac:dyDescent="0.25">
      <c r="A896" t="s">
        <v>730</v>
      </c>
      <c r="B896" s="3">
        <v>39508</v>
      </c>
      <c r="C896" t="s">
        <v>652</v>
      </c>
      <c r="D896">
        <v>300</v>
      </c>
      <c r="E896">
        <v>197</v>
      </c>
    </row>
    <row r="897" spans="1:5" x14ac:dyDescent="0.25">
      <c r="A897" t="s">
        <v>729</v>
      </c>
      <c r="B897" s="3">
        <v>39508</v>
      </c>
      <c r="C897" t="s">
        <v>652</v>
      </c>
      <c r="D897">
        <v>190</v>
      </c>
      <c r="E897">
        <v>159</v>
      </c>
    </row>
    <row r="898" spans="1:5" x14ac:dyDescent="0.25">
      <c r="A898" t="s">
        <v>728</v>
      </c>
      <c r="B898" s="3">
        <v>39508</v>
      </c>
      <c r="C898" t="s">
        <v>652</v>
      </c>
      <c r="D898">
        <v>210</v>
      </c>
      <c r="E898">
        <v>245</v>
      </c>
    </row>
    <row r="899" spans="1:5" x14ac:dyDescent="0.25">
      <c r="A899" t="s">
        <v>727</v>
      </c>
      <c r="B899" s="3">
        <v>39508</v>
      </c>
      <c r="C899" t="s">
        <v>652</v>
      </c>
      <c r="D899">
        <v>210</v>
      </c>
      <c r="E899">
        <v>744</v>
      </c>
    </row>
    <row r="900" spans="1:5" x14ac:dyDescent="0.25">
      <c r="A900" t="s">
        <v>726</v>
      </c>
      <c r="B900" s="3">
        <v>39508</v>
      </c>
      <c r="C900" t="s">
        <v>652</v>
      </c>
      <c r="D900">
        <v>190</v>
      </c>
      <c r="E900">
        <v>63</v>
      </c>
    </row>
    <row r="901" spans="1:5" x14ac:dyDescent="0.25">
      <c r="A901" t="s">
        <v>725</v>
      </c>
      <c r="B901" s="3">
        <v>39508</v>
      </c>
      <c r="C901" t="s">
        <v>652</v>
      </c>
      <c r="D901">
        <v>230</v>
      </c>
      <c r="E901">
        <v>666</v>
      </c>
    </row>
    <row r="902" spans="1:5" x14ac:dyDescent="0.25">
      <c r="A902" t="s">
        <v>724</v>
      </c>
      <c r="B902" s="3">
        <v>39508</v>
      </c>
      <c r="C902" t="s">
        <v>652</v>
      </c>
      <c r="D902">
        <v>300</v>
      </c>
      <c r="E902">
        <v>335</v>
      </c>
    </row>
    <row r="903" spans="1:5" x14ac:dyDescent="0.25">
      <c r="A903" t="s">
        <v>723</v>
      </c>
      <c r="B903" s="3">
        <v>39508</v>
      </c>
      <c r="C903" t="s">
        <v>652</v>
      </c>
      <c r="D903">
        <v>180</v>
      </c>
      <c r="E903">
        <v>34</v>
      </c>
    </row>
    <row r="904" spans="1:5" x14ac:dyDescent="0.25">
      <c r="A904" t="s">
        <v>722</v>
      </c>
      <c r="B904" s="3">
        <v>39508</v>
      </c>
      <c r="C904" t="s">
        <v>652</v>
      </c>
      <c r="D904">
        <v>195</v>
      </c>
      <c r="E904">
        <v>142</v>
      </c>
    </row>
    <row r="905" spans="1:5" x14ac:dyDescent="0.25">
      <c r="A905" t="s">
        <v>721</v>
      </c>
      <c r="B905" s="3">
        <v>39508</v>
      </c>
      <c r="C905" t="s">
        <v>652</v>
      </c>
      <c r="D905">
        <v>260</v>
      </c>
      <c r="E905">
        <v>92</v>
      </c>
    </row>
    <row r="906" spans="1:5" x14ac:dyDescent="0.25">
      <c r="A906" t="s">
        <v>720</v>
      </c>
      <c r="B906" s="3">
        <v>39508</v>
      </c>
      <c r="C906" t="s">
        <v>652</v>
      </c>
      <c r="D906">
        <v>260</v>
      </c>
      <c r="E906">
        <v>111</v>
      </c>
    </row>
    <row r="907" spans="1:5" x14ac:dyDescent="0.25">
      <c r="A907" t="s">
        <v>719</v>
      </c>
      <c r="B907" s="3">
        <v>39508</v>
      </c>
      <c r="C907" t="s">
        <v>652</v>
      </c>
      <c r="D907">
        <v>255</v>
      </c>
      <c r="E907">
        <v>331</v>
      </c>
    </row>
    <row r="908" spans="1:5" x14ac:dyDescent="0.25">
      <c r="A908" t="s">
        <v>718</v>
      </c>
      <c r="B908" s="3">
        <v>39508</v>
      </c>
      <c r="C908" t="s">
        <v>652</v>
      </c>
      <c r="D908">
        <v>240</v>
      </c>
      <c r="E908">
        <v>217</v>
      </c>
    </row>
    <row r="909" spans="1:5" x14ac:dyDescent="0.25">
      <c r="A909" t="s">
        <v>717</v>
      </c>
      <c r="B909" s="3">
        <v>39508</v>
      </c>
      <c r="C909" t="s">
        <v>652</v>
      </c>
      <c r="D909">
        <v>255</v>
      </c>
      <c r="E909">
        <v>383</v>
      </c>
    </row>
    <row r="910" spans="1:5" x14ac:dyDescent="0.25">
      <c r="A910" t="s">
        <v>716</v>
      </c>
      <c r="B910" s="3">
        <v>39508</v>
      </c>
      <c r="C910" t="s">
        <v>652</v>
      </c>
      <c r="D910">
        <v>200</v>
      </c>
      <c r="E910">
        <v>289</v>
      </c>
    </row>
    <row r="911" spans="1:5" x14ac:dyDescent="0.25">
      <c r="A911" t="s">
        <v>715</v>
      </c>
      <c r="B911" s="3">
        <v>39508</v>
      </c>
      <c r="C911" t="s">
        <v>652</v>
      </c>
      <c r="D911">
        <v>190</v>
      </c>
      <c r="E911">
        <v>32</v>
      </c>
    </row>
    <row r="912" spans="1:5" x14ac:dyDescent="0.25">
      <c r="A912" t="s">
        <v>714</v>
      </c>
      <c r="B912" s="3">
        <v>39508</v>
      </c>
      <c r="C912" t="s">
        <v>652</v>
      </c>
      <c r="D912">
        <v>280</v>
      </c>
      <c r="E912">
        <v>908</v>
      </c>
    </row>
    <row r="913" spans="1:5" x14ac:dyDescent="0.25">
      <c r="A913" t="s">
        <v>761</v>
      </c>
      <c r="B913" s="3">
        <v>39508</v>
      </c>
      <c r="C913" t="s">
        <v>652</v>
      </c>
      <c r="D913">
        <v>280</v>
      </c>
      <c r="E913">
        <v>261</v>
      </c>
    </row>
    <row r="914" spans="1:5" x14ac:dyDescent="0.25">
      <c r="A914" t="s">
        <v>760</v>
      </c>
      <c r="B914" s="3">
        <v>39508</v>
      </c>
      <c r="C914" t="s">
        <v>652</v>
      </c>
      <c r="D914">
        <v>280</v>
      </c>
      <c r="E914">
        <v>520</v>
      </c>
    </row>
    <row r="915" spans="1:5" x14ac:dyDescent="0.25">
      <c r="A915" t="s">
        <v>759</v>
      </c>
      <c r="B915" s="3">
        <v>39508</v>
      </c>
      <c r="C915" t="s">
        <v>652</v>
      </c>
      <c r="D915">
        <v>280</v>
      </c>
      <c r="E915">
        <v>127</v>
      </c>
    </row>
    <row r="916" spans="1:5" x14ac:dyDescent="0.25">
      <c r="A916" t="s">
        <v>758</v>
      </c>
      <c r="B916" s="3">
        <v>39508</v>
      </c>
      <c r="C916" t="s">
        <v>652</v>
      </c>
      <c r="D916">
        <v>250</v>
      </c>
      <c r="E916">
        <v>327</v>
      </c>
    </row>
    <row r="917" spans="1:5" x14ac:dyDescent="0.25">
      <c r="A917" t="s">
        <v>710</v>
      </c>
      <c r="B917" s="3">
        <v>39508</v>
      </c>
      <c r="C917" t="s">
        <v>652</v>
      </c>
      <c r="D917">
        <v>215</v>
      </c>
      <c r="E917">
        <v>615</v>
      </c>
    </row>
    <row r="918" spans="1:5" x14ac:dyDescent="0.25">
      <c r="A918" t="s">
        <v>709</v>
      </c>
      <c r="B918" s="3">
        <v>39508</v>
      </c>
      <c r="C918" t="s">
        <v>652</v>
      </c>
      <c r="D918">
        <v>250</v>
      </c>
      <c r="E918">
        <v>458</v>
      </c>
    </row>
    <row r="919" spans="1:5" x14ac:dyDescent="0.25">
      <c r="A919" t="s">
        <v>708</v>
      </c>
      <c r="B919" s="3">
        <v>39508</v>
      </c>
      <c r="C919" t="s">
        <v>652</v>
      </c>
      <c r="D919">
        <v>180</v>
      </c>
      <c r="E919">
        <v>87</v>
      </c>
    </row>
    <row r="920" spans="1:5" x14ac:dyDescent="0.25">
      <c r="A920" t="s">
        <v>635</v>
      </c>
      <c r="B920" s="3">
        <v>39600</v>
      </c>
      <c r="C920" t="s">
        <v>649</v>
      </c>
      <c r="D920">
        <v>260</v>
      </c>
      <c r="E920">
        <v>3680</v>
      </c>
    </row>
    <row r="921" spans="1:5" x14ac:dyDescent="0.25">
      <c r="A921" t="s">
        <v>755</v>
      </c>
      <c r="B921" s="3">
        <v>39600</v>
      </c>
      <c r="C921" t="s">
        <v>649</v>
      </c>
      <c r="D921">
        <v>220</v>
      </c>
      <c r="E921">
        <v>37</v>
      </c>
    </row>
    <row r="922" spans="1:5" x14ac:dyDescent="0.25">
      <c r="A922" t="s">
        <v>754</v>
      </c>
      <c r="B922" s="3">
        <v>39600</v>
      </c>
      <c r="C922" t="s">
        <v>649</v>
      </c>
      <c r="D922">
        <v>340</v>
      </c>
      <c r="E922">
        <v>1596</v>
      </c>
    </row>
    <row r="923" spans="1:5" x14ac:dyDescent="0.25">
      <c r="A923" t="s">
        <v>753</v>
      </c>
      <c r="B923" s="3">
        <v>39600</v>
      </c>
      <c r="C923" t="s">
        <v>649</v>
      </c>
      <c r="D923">
        <v>230</v>
      </c>
      <c r="E923">
        <v>699</v>
      </c>
    </row>
    <row r="924" spans="1:5" x14ac:dyDescent="0.25">
      <c r="A924" t="s">
        <v>752</v>
      </c>
      <c r="B924" s="3">
        <v>39600</v>
      </c>
      <c r="C924" t="s">
        <v>649</v>
      </c>
      <c r="D924">
        <v>210</v>
      </c>
      <c r="E924">
        <v>154</v>
      </c>
    </row>
    <row r="925" spans="1:5" x14ac:dyDescent="0.25">
      <c r="A925" t="s">
        <v>751</v>
      </c>
      <c r="B925" s="3">
        <v>39600</v>
      </c>
      <c r="C925" t="s">
        <v>649</v>
      </c>
      <c r="D925">
        <v>250</v>
      </c>
      <c r="E925">
        <v>113</v>
      </c>
    </row>
    <row r="926" spans="1:5" x14ac:dyDescent="0.25">
      <c r="A926" t="s">
        <v>750</v>
      </c>
      <c r="B926" s="3">
        <v>39600</v>
      </c>
      <c r="C926" t="s">
        <v>649</v>
      </c>
      <c r="D926">
        <v>215</v>
      </c>
      <c r="E926">
        <v>38</v>
      </c>
    </row>
    <row r="927" spans="1:5" x14ac:dyDescent="0.25">
      <c r="A927" t="s">
        <v>749</v>
      </c>
      <c r="B927" s="3">
        <v>39600</v>
      </c>
      <c r="C927" t="s">
        <v>649</v>
      </c>
      <c r="D927">
        <v>225</v>
      </c>
      <c r="E927">
        <v>385</v>
      </c>
    </row>
    <row r="928" spans="1:5" x14ac:dyDescent="0.25">
      <c r="A928" t="s">
        <v>748</v>
      </c>
      <c r="B928" s="3">
        <v>39600</v>
      </c>
      <c r="C928" t="s">
        <v>649</v>
      </c>
      <c r="D928">
        <v>290</v>
      </c>
      <c r="E928">
        <v>48</v>
      </c>
    </row>
    <row r="929" spans="1:5" x14ac:dyDescent="0.25">
      <c r="A929" t="s">
        <v>747</v>
      </c>
      <c r="B929" s="3">
        <v>39600</v>
      </c>
      <c r="C929" t="s">
        <v>649</v>
      </c>
      <c r="D929">
        <v>250</v>
      </c>
      <c r="E929">
        <v>381</v>
      </c>
    </row>
    <row r="930" spans="1:5" x14ac:dyDescent="0.25">
      <c r="A930" t="s">
        <v>746</v>
      </c>
      <c r="B930" s="3">
        <v>39600</v>
      </c>
      <c r="C930" t="s">
        <v>649</v>
      </c>
      <c r="D930">
        <v>190</v>
      </c>
      <c r="E930">
        <v>7</v>
      </c>
    </row>
    <row r="931" spans="1:5" x14ac:dyDescent="0.25">
      <c r="A931" t="s">
        <v>745</v>
      </c>
      <c r="B931" s="3">
        <v>39600</v>
      </c>
      <c r="C931" t="s">
        <v>649</v>
      </c>
      <c r="D931">
        <v>260</v>
      </c>
      <c r="E931">
        <v>206</v>
      </c>
    </row>
    <row r="932" spans="1:5" x14ac:dyDescent="0.25">
      <c r="A932" t="s">
        <v>744</v>
      </c>
      <c r="B932" s="3">
        <v>39600</v>
      </c>
      <c r="C932" t="s">
        <v>649</v>
      </c>
      <c r="D932">
        <v>225</v>
      </c>
      <c r="E932">
        <v>16</v>
      </c>
    </row>
    <row r="933" spans="1:5" x14ac:dyDescent="0.25">
      <c r="A933" t="s">
        <v>743</v>
      </c>
      <c r="B933" s="3">
        <v>39600</v>
      </c>
      <c r="C933" t="s">
        <v>649</v>
      </c>
      <c r="D933">
        <v>160</v>
      </c>
      <c r="E933">
        <v>24</v>
      </c>
    </row>
    <row r="934" spans="1:5" x14ac:dyDescent="0.25">
      <c r="A934" t="s">
        <v>742</v>
      </c>
      <c r="B934" s="3">
        <v>39600</v>
      </c>
      <c r="C934" t="s">
        <v>649</v>
      </c>
      <c r="D934">
        <v>150</v>
      </c>
      <c r="E934">
        <v>35</v>
      </c>
    </row>
    <row r="935" spans="1:5" x14ac:dyDescent="0.25">
      <c r="A935" t="s">
        <v>741</v>
      </c>
      <c r="B935" s="3">
        <v>39600</v>
      </c>
      <c r="C935" t="s">
        <v>649</v>
      </c>
      <c r="D935">
        <v>155</v>
      </c>
      <c r="E935">
        <v>135</v>
      </c>
    </row>
    <row r="936" spans="1:5" x14ac:dyDescent="0.25">
      <c r="A936" t="s">
        <v>740</v>
      </c>
      <c r="B936" s="3">
        <v>39600</v>
      </c>
      <c r="C936" t="s">
        <v>649</v>
      </c>
      <c r="D936">
        <v>175</v>
      </c>
      <c r="E936">
        <v>142</v>
      </c>
    </row>
    <row r="937" spans="1:5" x14ac:dyDescent="0.25">
      <c r="A937" t="s">
        <v>739</v>
      </c>
      <c r="B937" s="3">
        <v>39600</v>
      </c>
      <c r="C937" t="s">
        <v>649</v>
      </c>
      <c r="D937">
        <v>210</v>
      </c>
      <c r="E937">
        <v>928</v>
      </c>
    </row>
    <row r="938" spans="1:5" x14ac:dyDescent="0.25">
      <c r="A938" t="s">
        <v>738</v>
      </c>
      <c r="B938" s="3">
        <v>39600</v>
      </c>
      <c r="C938" t="s">
        <v>649</v>
      </c>
      <c r="D938">
        <v>140</v>
      </c>
      <c r="E938">
        <v>25</v>
      </c>
    </row>
    <row r="939" spans="1:5" x14ac:dyDescent="0.25">
      <c r="A939" t="s">
        <v>737</v>
      </c>
      <c r="B939" s="3">
        <v>39600</v>
      </c>
      <c r="C939" t="s">
        <v>649</v>
      </c>
      <c r="D939">
        <v>200</v>
      </c>
      <c r="E939">
        <v>35</v>
      </c>
    </row>
    <row r="940" spans="1:5" x14ac:dyDescent="0.25">
      <c r="A940" t="s">
        <v>736</v>
      </c>
      <c r="B940" s="3">
        <v>39600</v>
      </c>
      <c r="C940" t="s">
        <v>649</v>
      </c>
      <c r="D940">
        <v>140</v>
      </c>
      <c r="E940">
        <v>12</v>
      </c>
    </row>
    <row r="941" spans="1:5" x14ac:dyDescent="0.25">
      <c r="A941" t="s">
        <v>735</v>
      </c>
      <c r="B941" s="3">
        <v>39600</v>
      </c>
      <c r="C941" t="s">
        <v>649</v>
      </c>
      <c r="D941">
        <v>165</v>
      </c>
      <c r="E941">
        <v>179</v>
      </c>
    </row>
    <row r="942" spans="1:5" x14ac:dyDescent="0.25">
      <c r="A942" t="s">
        <v>734</v>
      </c>
      <c r="B942" s="3">
        <v>39600</v>
      </c>
      <c r="C942" t="s">
        <v>649</v>
      </c>
      <c r="D942">
        <v>280</v>
      </c>
      <c r="E942">
        <v>2154</v>
      </c>
    </row>
    <row r="943" spans="1:5" x14ac:dyDescent="0.25">
      <c r="A943" t="s">
        <v>733</v>
      </c>
      <c r="B943" s="3">
        <v>39600</v>
      </c>
      <c r="C943" t="s">
        <v>649</v>
      </c>
      <c r="D943">
        <v>270</v>
      </c>
      <c r="E943">
        <v>189</v>
      </c>
    </row>
    <row r="944" spans="1:5" x14ac:dyDescent="0.25">
      <c r="A944" t="s">
        <v>732</v>
      </c>
      <c r="B944" s="3">
        <v>39600</v>
      </c>
      <c r="C944" t="s">
        <v>649</v>
      </c>
      <c r="D944">
        <v>290</v>
      </c>
      <c r="E944">
        <v>1524</v>
      </c>
    </row>
    <row r="945" spans="1:5" x14ac:dyDescent="0.25">
      <c r="A945" t="s">
        <v>731</v>
      </c>
      <c r="B945" s="3">
        <v>39600</v>
      </c>
      <c r="C945" t="s">
        <v>649</v>
      </c>
      <c r="D945">
        <v>250</v>
      </c>
      <c r="E945">
        <v>353</v>
      </c>
    </row>
    <row r="946" spans="1:5" x14ac:dyDescent="0.25">
      <c r="A946" t="s">
        <v>730</v>
      </c>
      <c r="B946" s="3">
        <v>39600</v>
      </c>
      <c r="C946" t="s">
        <v>649</v>
      </c>
      <c r="D946">
        <v>225</v>
      </c>
      <c r="E946">
        <v>88</v>
      </c>
    </row>
    <row r="947" spans="1:5" x14ac:dyDescent="0.25">
      <c r="A947" t="s">
        <v>729</v>
      </c>
      <c r="B947" s="3">
        <v>39600</v>
      </c>
      <c r="C947" t="s">
        <v>649</v>
      </c>
      <c r="D947">
        <v>140</v>
      </c>
      <c r="E947">
        <v>27</v>
      </c>
    </row>
    <row r="948" spans="1:5" x14ac:dyDescent="0.25">
      <c r="A948" t="s">
        <v>728</v>
      </c>
      <c r="B948" s="3">
        <v>39600</v>
      </c>
      <c r="C948" t="s">
        <v>649</v>
      </c>
      <c r="D948">
        <v>180</v>
      </c>
      <c r="E948">
        <v>115</v>
      </c>
    </row>
    <row r="949" spans="1:5" x14ac:dyDescent="0.25">
      <c r="A949" t="s">
        <v>727</v>
      </c>
      <c r="B949" s="3">
        <v>39600</v>
      </c>
      <c r="C949" t="s">
        <v>649</v>
      </c>
      <c r="D949">
        <v>165</v>
      </c>
      <c r="E949">
        <v>125</v>
      </c>
    </row>
    <row r="950" spans="1:5" x14ac:dyDescent="0.25">
      <c r="A950" t="s">
        <v>726</v>
      </c>
      <c r="B950" s="3">
        <v>39600</v>
      </c>
      <c r="C950" t="s">
        <v>649</v>
      </c>
      <c r="D950">
        <v>150</v>
      </c>
      <c r="E950">
        <v>47</v>
      </c>
    </row>
    <row r="951" spans="1:5" x14ac:dyDescent="0.25">
      <c r="A951" t="s">
        <v>725</v>
      </c>
      <c r="B951" s="3">
        <v>39600</v>
      </c>
      <c r="C951" t="s">
        <v>649</v>
      </c>
      <c r="D951">
        <v>175</v>
      </c>
      <c r="E951">
        <v>245</v>
      </c>
    </row>
    <row r="952" spans="1:5" x14ac:dyDescent="0.25">
      <c r="A952" t="s">
        <v>724</v>
      </c>
      <c r="B952" s="3">
        <v>39600</v>
      </c>
      <c r="C952" t="s">
        <v>649</v>
      </c>
      <c r="D952">
        <v>200</v>
      </c>
      <c r="E952">
        <v>180</v>
      </c>
    </row>
    <row r="953" spans="1:5" x14ac:dyDescent="0.25">
      <c r="A953" t="s">
        <v>723</v>
      </c>
      <c r="B953" s="3">
        <v>39600</v>
      </c>
      <c r="C953" t="s">
        <v>649</v>
      </c>
      <c r="D953">
        <v>140</v>
      </c>
      <c r="E953">
        <v>29</v>
      </c>
    </row>
    <row r="954" spans="1:5" x14ac:dyDescent="0.25">
      <c r="A954" t="s">
        <v>722</v>
      </c>
      <c r="B954" s="3">
        <v>39600</v>
      </c>
      <c r="C954" t="s">
        <v>649</v>
      </c>
      <c r="D954">
        <v>140</v>
      </c>
      <c r="E954">
        <v>39</v>
      </c>
    </row>
    <row r="955" spans="1:5" x14ac:dyDescent="0.25">
      <c r="A955" t="s">
        <v>721</v>
      </c>
      <c r="B955" s="3">
        <v>39600</v>
      </c>
      <c r="C955" t="s">
        <v>649</v>
      </c>
      <c r="D955">
        <v>180</v>
      </c>
      <c r="E955">
        <v>114</v>
      </c>
    </row>
    <row r="956" spans="1:5" x14ac:dyDescent="0.25">
      <c r="A956" t="s">
        <v>720</v>
      </c>
      <c r="B956" s="3">
        <v>39600</v>
      </c>
      <c r="C956" t="s">
        <v>649</v>
      </c>
      <c r="D956">
        <v>185</v>
      </c>
      <c r="E956">
        <v>49</v>
      </c>
    </row>
    <row r="957" spans="1:5" x14ac:dyDescent="0.25">
      <c r="A957" t="s">
        <v>719</v>
      </c>
      <c r="B957" s="3">
        <v>39600</v>
      </c>
      <c r="C957" t="s">
        <v>649</v>
      </c>
      <c r="D957">
        <v>195</v>
      </c>
      <c r="E957">
        <v>69</v>
      </c>
    </row>
    <row r="958" spans="1:5" x14ac:dyDescent="0.25">
      <c r="A958" t="s">
        <v>718</v>
      </c>
      <c r="B958" s="3">
        <v>39600</v>
      </c>
      <c r="C958" t="s">
        <v>649</v>
      </c>
      <c r="D958">
        <v>185</v>
      </c>
      <c r="E958">
        <v>136</v>
      </c>
    </row>
    <row r="959" spans="1:5" x14ac:dyDescent="0.25">
      <c r="A959" t="s">
        <v>717</v>
      </c>
      <c r="B959" s="3">
        <v>39600</v>
      </c>
      <c r="C959" t="s">
        <v>649</v>
      </c>
      <c r="D959">
        <v>230</v>
      </c>
      <c r="E959">
        <v>66</v>
      </c>
    </row>
    <row r="960" spans="1:5" x14ac:dyDescent="0.25">
      <c r="A960" t="s">
        <v>716</v>
      </c>
      <c r="B960" s="3">
        <v>39600</v>
      </c>
      <c r="C960" t="s">
        <v>649</v>
      </c>
      <c r="D960">
        <v>150</v>
      </c>
      <c r="E960">
        <v>174</v>
      </c>
    </row>
    <row r="961" spans="1:5" x14ac:dyDescent="0.25">
      <c r="A961" t="s">
        <v>715</v>
      </c>
      <c r="B961" s="3">
        <v>39600</v>
      </c>
      <c r="C961" t="s">
        <v>649</v>
      </c>
      <c r="D961">
        <v>120</v>
      </c>
      <c r="E961">
        <v>21</v>
      </c>
    </row>
    <row r="962" spans="1:5" x14ac:dyDescent="0.25">
      <c r="A962" t="s">
        <v>714</v>
      </c>
      <c r="B962" s="3">
        <v>39600</v>
      </c>
      <c r="C962" t="s">
        <v>649</v>
      </c>
      <c r="D962">
        <v>230</v>
      </c>
      <c r="E962">
        <v>903</v>
      </c>
    </row>
    <row r="963" spans="1:5" x14ac:dyDescent="0.25">
      <c r="A963" t="s">
        <v>713</v>
      </c>
      <c r="B963" s="3">
        <v>39600</v>
      </c>
      <c r="C963" t="s">
        <v>649</v>
      </c>
      <c r="D963">
        <v>230</v>
      </c>
      <c r="E963">
        <v>180</v>
      </c>
    </row>
    <row r="964" spans="1:5" x14ac:dyDescent="0.25">
      <c r="A964" t="s">
        <v>712</v>
      </c>
      <c r="B964" s="3">
        <v>39600</v>
      </c>
      <c r="C964" t="s">
        <v>649</v>
      </c>
      <c r="D964">
        <v>230</v>
      </c>
      <c r="E964">
        <v>557</v>
      </c>
    </row>
    <row r="965" spans="1:5" x14ac:dyDescent="0.25">
      <c r="A965" t="s">
        <v>711</v>
      </c>
      <c r="B965" s="3">
        <v>39600</v>
      </c>
      <c r="C965" t="s">
        <v>649</v>
      </c>
      <c r="D965">
        <v>245</v>
      </c>
      <c r="E965">
        <v>166</v>
      </c>
    </row>
    <row r="966" spans="1:5" x14ac:dyDescent="0.25">
      <c r="A966" t="s">
        <v>756</v>
      </c>
      <c r="B966" s="3">
        <v>39600</v>
      </c>
      <c r="C966" t="s">
        <v>649</v>
      </c>
      <c r="D966">
        <v>165</v>
      </c>
      <c r="E966">
        <v>54</v>
      </c>
    </row>
    <row r="967" spans="1:5" x14ac:dyDescent="0.25">
      <c r="A967" t="s">
        <v>710</v>
      </c>
      <c r="B967" s="3">
        <v>39600</v>
      </c>
      <c r="C967" t="s">
        <v>649</v>
      </c>
      <c r="D967">
        <v>160</v>
      </c>
      <c r="E967">
        <v>298</v>
      </c>
    </row>
    <row r="968" spans="1:5" x14ac:dyDescent="0.25">
      <c r="A968" t="s">
        <v>709</v>
      </c>
      <c r="B968" s="3">
        <v>39600</v>
      </c>
      <c r="C968" t="s">
        <v>649</v>
      </c>
      <c r="D968">
        <v>195</v>
      </c>
      <c r="E968">
        <v>638</v>
      </c>
    </row>
    <row r="969" spans="1:5" x14ac:dyDescent="0.25">
      <c r="A969" t="s">
        <v>708</v>
      </c>
      <c r="B969" s="3">
        <v>39600</v>
      </c>
      <c r="C969" t="s">
        <v>649</v>
      </c>
      <c r="D969">
        <v>140</v>
      </c>
      <c r="E969">
        <v>37</v>
      </c>
    </row>
    <row r="970" spans="1:5" x14ac:dyDescent="0.25">
      <c r="A970" t="s">
        <v>635</v>
      </c>
      <c r="B970" s="3">
        <v>39600</v>
      </c>
      <c r="C970" t="s">
        <v>652</v>
      </c>
      <c r="D970">
        <v>280</v>
      </c>
      <c r="E970">
        <v>3172</v>
      </c>
    </row>
    <row r="971" spans="1:5" x14ac:dyDescent="0.25">
      <c r="A971" t="s">
        <v>755</v>
      </c>
      <c r="B971" s="3">
        <v>39600</v>
      </c>
      <c r="C971" t="s">
        <v>652</v>
      </c>
      <c r="D971">
        <v>280</v>
      </c>
      <c r="E971">
        <v>172</v>
      </c>
    </row>
    <row r="972" spans="1:5" x14ac:dyDescent="0.25">
      <c r="A972" t="s">
        <v>754</v>
      </c>
      <c r="B972" s="3">
        <v>39600</v>
      </c>
      <c r="C972" t="s">
        <v>652</v>
      </c>
      <c r="D972">
        <v>350</v>
      </c>
      <c r="E972">
        <v>262</v>
      </c>
    </row>
    <row r="973" spans="1:5" x14ac:dyDescent="0.25">
      <c r="A973" t="s">
        <v>753</v>
      </c>
      <c r="B973" s="3">
        <v>39600</v>
      </c>
      <c r="C973" t="s">
        <v>652</v>
      </c>
      <c r="D973">
        <v>300</v>
      </c>
      <c r="E973">
        <v>350</v>
      </c>
    </row>
    <row r="974" spans="1:5" x14ac:dyDescent="0.25">
      <c r="A974" t="s">
        <v>752</v>
      </c>
      <c r="B974" s="3">
        <v>39600</v>
      </c>
      <c r="C974" t="s">
        <v>652</v>
      </c>
      <c r="D974">
        <v>260</v>
      </c>
      <c r="E974">
        <v>370</v>
      </c>
    </row>
    <row r="975" spans="1:5" x14ac:dyDescent="0.25">
      <c r="A975" t="s">
        <v>751</v>
      </c>
      <c r="B975" s="3">
        <v>39600</v>
      </c>
      <c r="C975" t="s">
        <v>652</v>
      </c>
      <c r="D975">
        <v>350</v>
      </c>
      <c r="E975">
        <v>109</v>
      </c>
    </row>
    <row r="976" spans="1:5" x14ac:dyDescent="0.25">
      <c r="A976" t="s">
        <v>750</v>
      </c>
      <c r="B976" s="3">
        <v>39600</v>
      </c>
      <c r="C976" t="s">
        <v>652</v>
      </c>
      <c r="D976">
        <v>280</v>
      </c>
      <c r="E976">
        <v>239</v>
      </c>
    </row>
    <row r="977" spans="1:5" x14ac:dyDescent="0.25">
      <c r="A977" t="s">
        <v>749</v>
      </c>
      <c r="B977" s="3">
        <v>39600</v>
      </c>
      <c r="C977" t="s">
        <v>652</v>
      </c>
      <c r="D977">
        <v>280</v>
      </c>
      <c r="E977">
        <v>356</v>
      </c>
    </row>
    <row r="978" spans="1:5" x14ac:dyDescent="0.25">
      <c r="A978" t="s">
        <v>748</v>
      </c>
      <c r="B978" s="3">
        <v>39600</v>
      </c>
      <c r="C978" t="s">
        <v>652</v>
      </c>
      <c r="D978">
        <v>260</v>
      </c>
      <c r="E978">
        <v>347</v>
      </c>
    </row>
    <row r="979" spans="1:5" x14ac:dyDescent="0.25">
      <c r="A979" t="s">
        <v>747</v>
      </c>
      <c r="B979" s="3">
        <v>39600</v>
      </c>
      <c r="C979" t="s">
        <v>652</v>
      </c>
      <c r="D979">
        <v>310</v>
      </c>
      <c r="E979">
        <v>382</v>
      </c>
    </row>
    <row r="980" spans="1:5" x14ac:dyDescent="0.25">
      <c r="A980" t="s">
        <v>746</v>
      </c>
      <c r="B980" s="3">
        <v>39600</v>
      </c>
      <c r="C980" t="s">
        <v>652</v>
      </c>
      <c r="D980">
        <v>280</v>
      </c>
      <c r="E980">
        <v>69</v>
      </c>
    </row>
    <row r="981" spans="1:5" x14ac:dyDescent="0.25">
      <c r="A981" t="s">
        <v>745</v>
      </c>
      <c r="B981" s="3">
        <v>39600</v>
      </c>
      <c r="C981" t="s">
        <v>652</v>
      </c>
      <c r="D981">
        <v>285</v>
      </c>
      <c r="E981">
        <v>127</v>
      </c>
    </row>
    <row r="982" spans="1:5" x14ac:dyDescent="0.25">
      <c r="A982" t="s">
        <v>744</v>
      </c>
      <c r="B982" s="3">
        <v>39600</v>
      </c>
      <c r="C982" t="s">
        <v>652</v>
      </c>
      <c r="D982">
        <v>250</v>
      </c>
      <c r="E982">
        <v>388</v>
      </c>
    </row>
    <row r="983" spans="1:5" x14ac:dyDescent="0.25">
      <c r="A983" t="s">
        <v>743</v>
      </c>
      <c r="B983" s="3">
        <v>39600</v>
      </c>
      <c r="C983" t="s">
        <v>652</v>
      </c>
      <c r="D983">
        <v>220</v>
      </c>
      <c r="E983">
        <v>35</v>
      </c>
    </row>
    <row r="984" spans="1:5" x14ac:dyDescent="0.25">
      <c r="A984" t="s">
        <v>742</v>
      </c>
      <c r="B984" s="3">
        <v>39600</v>
      </c>
      <c r="C984" t="s">
        <v>652</v>
      </c>
      <c r="D984">
        <v>265</v>
      </c>
      <c r="E984">
        <v>124</v>
      </c>
    </row>
    <row r="985" spans="1:5" x14ac:dyDescent="0.25">
      <c r="A985" t="s">
        <v>741</v>
      </c>
      <c r="B985" s="3">
        <v>39600</v>
      </c>
      <c r="C985" t="s">
        <v>652</v>
      </c>
      <c r="D985">
        <v>215</v>
      </c>
      <c r="E985">
        <v>316</v>
      </c>
    </row>
    <row r="986" spans="1:5" x14ac:dyDescent="0.25">
      <c r="A986" t="s">
        <v>740</v>
      </c>
      <c r="B986" s="3">
        <v>39600</v>
      </c>
      <c r="C986" t="s">
        <v>652</v>
      </c>
      <c r="D986">
        <v>225</v>
      </c>
      <c r="E986">
        <v>568</v>
      </c>
    </row>
    <row r="987" spans="1:5" x14ac:dyDescent="0.25">
      <c r="A987" t="s">
        <v>739</v>
      </c>
      <c r="B987" s="3">
        <v>39600</v>
      </c>
      <c r="C987" t="s">
        <v>652</v>
      </c>
      <c r="D987">
        <v>270</v>
      </c>
      <c r="E987">
        <v>546</v>
      </c>
    </row>
    <row r="988" spans="1:5" x14ac:dyDescent="0.25">
      <c r="A988" t="s">
        <v>738</v>
      </c>
      <c r="B988" s="3">
        <v>39600</v>
      </c>
      <c r="C988" t="s">
        <v>652</v>
      </c>
      <c r="D988">
        <v>170</v>
      </c>
      <c r="E988">
        <v>46</v>
      </c>
    </row>
    <row r="989" spans="1:5" x14ac:dyDescent="0.25">
      <c r="A989" t="s">
        <v>737</v>
      </c>
      <c r="B989" s="3">
        <v>39600</v>
      </c>
      <c r="C989" t="s">
        <v>652</v>
      </c>
      <c r="D989">
        <v>340</v>
      </c>
      <c r="E989">
        <v>61</v>
      </c>
    </row>
    <row r="990" spans="1:5" x14ac:dyDescent="0.25">
      <c r="A990" t="s">
        <v>736</v>
      </c>
      <c r="B990" s="3">
        <v>39600</v>
      </c>
      <c r="C990" t="s">
        <v>652</v>
      </c>
      <c r="D990">
        <v>185</v>
      </c>
      <c r="E990">
        <v>53</v>
      </c>
    </row>
    <row r="991" spans="1:5" x14ac:dyDescent="0.25">
      <c r="A991" t="s">
        <v>735</v>
      </c>
      <c r="B991" s="3">
        <v>39600</v>
      </c>
      <c r="C991" t="s">
        <v>652</v>
      </c>
      <c r="D991">
        <v>225</v>
      </c>
      <c r="E991">
        <v>207</v>
      </c>
    </row>
    <row r="992" spans="1:5" x14ac:dyDescent="0.25">
      <c r="A992" t="s">
        <v>734</v>
      </c>
      <c r="B992" s="3">
        <v>39600</v>
      </c>
      <c r="C992" t="s">
        <v>652</v>
      </c>
      <c r="D992">
        <v>330</v>
      </c>
      <c r="E992">
        <v>1067</v>
      </c>
    </row>
    <row r="993" spans="1:5" x14ac:dyDescent="0.25">
      <c r="A993" t="s">
        <v>733</v>
      </c>
      <c r="B993" s="3">
        <v>39600</v>
      </c>
      <c r="C993" t="s">
        <v>652</v>
      </c>
      <c r="D993">
        <v>320</v>
      </c>
      <c r="E993">
        <v>183</v>
      </c>
    </row>
    <row r="994" spans="1:5" x14ac:dyDescent="0.25">
      <c r="A994" t="s">
        <v>732</v>
      </c>
      <c r="B994" s="3">
        <v>39600</v>
      </c>
      <c r="C994" t="s">
        <v>652</v>
      </c>
      <c r="D994">
        <v>345</v>
      </c>
      <c r="E994">
        <v>557</v>
      </c>
    </row>
    <row r="995" spans="1:5" x14ac:dyDescent="0.25">
      <c r="A995" t="s">
        <v>731</v>
      </c>
      <c r="B995" s="3">
        <v>39600</v>
      </c>
      <c r="C995" t="s">
        <v>652</v>
      </c>
      <c r="D995">
        <v>340</v>
      </c>
      <c r="E995">
        <v>117</v>
      </c>
    </row>
    <row r="996" spans="1:5" x14ac:dyDescent="0.25">
      <c r="A996" t="s">
        <v>730</v>
      </c>
      <c r="B996" s="3">
        <v>39600</v>
      </c>
      <c r="C996" t="s">
        <v>652</v>
      </c>
      <c r="D996">
        <v>320</v>
      </c>
      <c r="E996">
        <v>210</v>
      </c>
    </row>
    <row r="997" spans="1:5" x14ac:dyDescent="0.25">
      <c r="A997" t="s">
        <v>729</v>
      </c>
      <c r="B997" s="3">
        <v>39600</v>
      </c>
      <c r="C997" t="s">
        <v>652</v>
      </c>
      <c r="D997">
        <v>200</v>
      </c>
      <c r="E997">
        <v>141</v>
      </c>
    </row>
    <row r="998" spans="1:5" x14ac:dyDescent="0.25">
      <c r="A998" t="s">
        <v>728</v>
      </c>
      <c r="B998" s="3">
        <v>39600</v>
      </c>
      <c r="C998" t="s">
        <v>652</v>
      </c>
      <c r="D998">
        <v>220</v>
      </c>
      <c r="E998">
        <v>223</v>
      </c>
    </row>
    <row r="999" spans="1:5" x14ac:dyDescent="0.25">
      <c r="A999" t="s">
        <v>727</v>
      </c>
      <c r="B999" s="3">
        <v>39600</v>
      </c>
      <c r="C999" t="s">
        <v>652</v>
      </c>
      <c r="D999">
        <v>210</v>
      </c>
      <c r="E999">
        <v>636</v>
      </c>
    </row>
    <row r="1000" spans="1:5" x14ac:dyDescent="0.25">
      <c r="A1000" t="s">
        <v>726</v>
      </c>
      <c r="B1000" s="3">
        <v>39600</v>
      </c>
      <c r="C1000" t="s">
        <v>652</v>
      </c>
      <c r="D1000">
        <v>200</v>
      </c>
      <c r="E1000">
        <v>66</v>
      </c>
    </row>
    <row r="1001" spans="1:5" x14ac:dyDescent="0.25">
      <c r="A1001" t="s">
        <v>725</v>
      </c>
      <c r="B1001" s="3">
        <v>39600</v>
      </c>
      <c r="C1001" t="s">
        <v>652</v>
      </c>
      <c r="D1001">
        <v>235</v>
      </c>
      <c r="E1001">
        <v>725</v>
      </c>
    </row>
    <row r="1002" spans="1:5" x14ac:dyDescent="0.25">
      <c r="A1002" t="s">
        <v>724</v>
      </c>
      <c r="B1002" s="3">
        <v>39600</v>
      </c>
      <c r="C1002" t="s">
        <v>652</v>
      </c>
      <c r="D1002">
        <v>310</v>
      </c>
      <c r="E1002">
        <v>292</v>
      </c>
    </row>
    <row r="1003" spans="1:5" x14ac:dyDescent="0.25">
      <c r="A1003" t="s">
        <v>723</v>
      </c>
      <c r="B1003" s="3">
        <v>39600</v>
      </c>
      <c r="C1003" t="s">
        <v>652</v>
      </c>
      <c r="D1003">
        <v>180</v>
      </c>
      <c r="E1003">
        <v>23</v>
      </c>
    </row>
    <row r="1004" spans="1:5" x14ac:dyDescent="0.25">
      <c r="A1004" t="s">
        <v>722</v>
      </c>
      <c r="B1004" s="3">
        <v>39600</v>
      </c>
      <c r="C1004" t="s">
        <v>652</v>
      </c>
      <c r="D1004">
        <v>190</v>
      </c>
      <c r="E1004">
        <v>114</v>
      </c>
    </row>
    <row r="1005" spans="1:5" x14ac:dyDescent="0.25">
      <c r="A1005" t="s">
        <v>721</v>
      </c>
      <c r="B1005" s="3">
        <v>39600</v>
      </c>
      <c r="C1005" t="s">
        <v>652</v>
      </c>
      <c r="D1005">
        <v>280</v>
      </c>
      <c r="E1005">
        <v>80</v>
      </c>
    </row>
    <row r="1006" spans="1:5" x14ac:dyDescent="0.25">
      <c r="A1006" t="s">
        <v>720</v>
      </c>
      <c r="B1006" s="3">
        <v>39600</v>
      </c>
      <c r="C1006" t="s">
        <v>652</v>
      </c>
      <c r="D1006">
        <v>260</v>
      </c>
      <c r="E1006">
        <v>93</v>
      </c>
    </row>
    <row r="1007" spans="1:5" x14ac:dyDescent="0.25">
      <c r="A1007" t="s">
        <v>719</v>
      </c>
      <c r="B1007" s="3">
        <v>39600</v>
      </c>
      <c r="C1007" t="s">
        <v>652</v>
      </c>
      <c r="D1007">
        <v>250</v>
      </c>
      <c r="E1007">
        <v>349</v>
      </c>
    </row>
    <row r="1008" spans="1:5" x14ac:dyDescent="0.25">
      <c r="A1008" t="s">
        <v>718</v>
      </c>
      <c r="B1008" s="3">
        <v>39600</v>
      </c>
      <c r="C1008" t="s">
        <v>652</v>
      </c>
      <c r="D1008">
        <v>240</v>
      </c>
      <c r="E1008">
        <v>202</v>
      </c>
    </row>
    <row r="1009" spans="1:5" x14ac:dyDescent="0.25">
      <c r="A1009" t="s">
        <v>717</v>
      </c>
      <c r="B1009" s="3">
        <v>39600</v>
      </c>
      <c r="C1009" t="s">
        <v>652</v>
      </c>
      <c r="D1009">
        <v>265</v>
      </c>
      <c r="E1009">
        <v>379</v>
      </c>
    </row>
    <row r="1010" spans="1:5" x14ac:dyDescent="0.25">
      <c r="A1010" t="s">
        <v>716</v>
      </c>
      <c r="B1010" s="3">
        <v>39600</v>
      </c>
      <c r="C1010" t="s">
        <v>652</v>
      </c>
      <c r="D1010">
        <v>210</v>
      </c>
      <c r="E1010">
        <v>272</v>
      </c>
    </row>
    <row r="1011" spans="1:5" x14ac:dyDescent="0.25">
      <c r="A1011" t="s">
        <v>715</v>
      </c>
      <c r="B1011" s="3">
        <v>39600</v>
      </c>
      <c r="C1011" t="s">
        <v>652</v>
      </c>
      <c r="D1011">
        <v>210</v>
      </c>
      <c r="E1011">
        <v>26</v>
      </c>
    </row>
    <row r="1012" spans="1:5" x14ac:dyDescent="0.25">
      <c r="A1012" t="s">
        <v>714</v>
      </c>
      <c r="B1012" s="3">
        <v>39600</v>
      </c>
      <c r="C1012" t="s">
        <v>652</v>
      </c>
      <c r="D1012">
        <v>290</v>
      </c>
      <c r="E1012">
        <v>942</v>
      </c>
    </row>
    <row r="1013" spans="1:5" x14ac:dyDescent="0.25">
      <c r="A1013" t="s">
        <v>713</v>
      </c>
      <c r="B1013" s="3">
        <v>39600</v>
      </c>
      <c r="C1013" t="s">
        <v>652</v>
      </c>
      <c r="D1013">
        <v>290</v>
      </c>
      <c r="E1013">
        <v>292</v>
      </c>
    </row>
    <row r="1014" spans="1:5" x14ac:dyDescent="0.25">
      <c r="A1014" t="s">
        <v>712</v>
      </c>
      <c r="B1014" s="3">
        <v>39600</v>
      </c>
      <c r="C1014" t="s">
        <v>652</v>
      </c>
      <c r="D1014">
        <v>290</v>
      </c>
      <c r="E1014">
        <v>500</v>
      </c>
    </row>
    <row r="1015" spans="1:5" x14ac:dyDescent="0.25">
      <c r="A1015" t="s">
        <v>711</v>
      </c>
      <c r="B1015" s="3">
        <v>39600</v>
      </c>
      <c r="C1015" t="s">
        <v>652</v>
      </c>
      <c r="D1015">
        <v>290</v>
      </c>
      <c r="E1015">
        <v>150</v>
      </c>
    </row>
    <row r="1016" spans="1:5" x14ac:dyDescent="0.25">
      <c r="A1016" t="s">
        <v>756</v>
      </c>
      <c r="B1016" s="3">
        <v>39600</v>
      </c>
      <c r="C1016" t="s">
        <v>652</v>
      </c>
      <c r="D1016">
        <v>245</v>
      </c>
      <c r="E1016">
        <v>285</v>
      </c>
    </row>
    <row r="1017" spans="1:5" x14ac:dyDescent="0.25">
      <c r="A1017" t="s">
        <v>710</v>
      </c>
      <c r="B1017" s="3">
        <v>39600</v>
      </c>
      <c r="C1017" t="s">
        <v>652</v>
      </c>
      <c r="D1017">
        <v>215</v>
      </c>
      <c r="E1017">
        <v>472</v>
      </c>
    </row>
    <row r="1018" spans="1:5" x14ac:dyDescent="0.25">
      <c r="A1018" t="s">
        <v>709</v>
      </c>
      <c r="B1018" s="3">
        <v>39600</v>
      </c>
      <c r="C1018" t="s">
        <v>652</v>
      </c>
      <c r="D1018">
        <v>260</v>
      </c>
      <c r="E1018">
        <v>364</v>
      </c>
    </row>
    <row r="1019" spans="1:5" x14ac:dyDescent="0.25">
      <c r="A1019" t="s">
        <v>708</v>
      </c>
      <c r="B1019" s="3">
        <v>39600</v>
      </c>
      <c r="C1019" t="s">
        <v>652</v>
      </c>
      <c r="D1019">
        <v>180</v>
      </c>
      <c r="E1019">
        <v>85</v>
      </c>
    </row>
    <row r="1020" spans="1:5" x14ac:dyDescent="0.25">
      <c r="A1020" t="s">
        <v>635</v>
      </c>
      <c r="B1020" s="3">
        <v>39692</v>
      </c>
      <c r="C1020" t="s">
        <v>649</v>
      </c>
      <c r="D1020">
        <v>280</v>
      </c>
      <c r="E1020">
        <v>4654</v>
      </c>
    </row>
    <row r="1021" spans="1:5" x14ac:dyDescent="0.25">
      <c r="A1021" t="s">
        <v>755</v>
      </c>
      <c r="B1021" s="3">
        <v>39692</v>
      </c>
      <c r="C1021" t="s">
        <v>649</v>
      </c>
      <c r="D1021">
        <v>230</v>
      </c>
      <c r="E1021">
        <v>54</v>
      </c>
    </row>
    <row r="1022" spans="1:5" x14ac:dyDescent="0.25">
      <c r="A1022" t="s">
        <v>754</v>
      </c>
      <c r="B1022" s="3">
        <v>39692</v>
      </c>
      <c r="C1022" t="s">
        <v>649</v>
      </c>
      <c r="D1022">
        <v>360</v>
      </c>
      <c r="E1022">
        <v>2338</v>
      </c>
    </row>
    <row r="1023" spans="1:5" x14ac:dyDescent="0.25">
      <c r="A1023" t="s">
        <v>753</v>
      </c>
      <c r="B1023" s="3">
        <v>39692</v>
      </c>
      <c r="C1023" t="s">
        <v>649</v>
      </c>
      <c r="D1023">
        <v>240</v>
      </c>
      <c r="E1023">
        <v>686</v>
      </c>
    </row>
    <row r="1024" spans="1:5" x14ac:dyDescent="0.25">
      <c r="A1024" t="s">
        <v>752</v>
      </c>
      <c r="B1024" s="3">
        <v>39692</v>
      </c>
      <c r="C1024" t="s">
        <v>649</v>
      </c>
      <c r="D1024">
        <v>230</v>
      </c>
      <c r="E1024">
        <v>169</v>
      </c>
    </row>
    <row r="1025" spans="1:5" x14ac:dyDescent="0.25">
      <c r="A1025" t="s">
        <v>751</v>
      </c>
      <c r="B1025" s="3">
        <v>39692</v>
      </c>
      <c r="C1025" t="s">
        <v>649</v>
      </c>
      <c r="D1025">
        <v>260</v>
      </c>
      <c r="E1025">
        <v>116</v>
      </c>
    </row>
    <row r="1026" spans="1:5" x14ac:dyDescent="0.25">
      <c r="A1026" t="s">
        <v>750</v>
      </c>
      <c r="B1026" s="3">
        <v>39692</v>
      </c>
      <c r="C1026" t="s">
        <v>649</v>
      </c>
      <c r="D1026">
        <v>225</v>
      </c>
      <c r="E1026">
        <v>53</v>
      </c>
    </row>
    <row r="1027" spans="1:5" x14ac:dyDescent="0.25">
      <c r="A1027" t="s">
        <v>749</v>
      </c>
      <c r="B1027" s="3">
        <v>39692</v>
      </c>
      <c r="C1027" t="s">
        <v>649</v>
      </c>
      <c r="D1027">
        <v>240</v>
      </c>
      <c r="E1027">
        <v>468</v>
      </c>
    </row>
    <row r="1028" spans="1:5" x14ac:dyDescent="0.25">
      <c r="A1028" t="s">
        <v>748</v>
      </c>
      <c r="B1028" s="3">
        <v>39692</v>
      </c>
      <c r="C1028" t="s">
        <v>649</v>
      </c>
      <c r="D1028">
        <v>230</v>
      </c>
      <c r="E1028">
        <v>59</v>
      </c>
    </row>
    <row r="1029" spans="1:5" x14ac:dyDescent="0.25">
      <c r="A1029" t="s">
        <v>747</v>
      </c>
      <c r="B1029" s="3">
        <v>39692</v>
      </c>
      <c r="C1029" t="s">
        <v>649</v>
      </c>
      <c r="D1029">
        <v>250</v>
      </c>
      <c r="E1029">
        <v>402</v>
      </c>
    </row>
    <row r="1030" spans="1:5" x14ac:dyDescent="0.25">
      <c r="A1030" t="s">
        <v>746</v>
      </c>
      <c r="B1030" s="3">
        <v>39692</v>
      </c>
      <c r="C1030" t="s">
        <v>649</v>
      </c>
      <c r="D1030">
        <v>230</v>
      </c>
      <c r="E1030">
        <v>5</v>
      </c>
    </row>
    <row r="1031" spans="1:5" x14ac:dyDescent="0.25">
      <c r="A1031" t="s">
        <v>745</v>
      </c>
      <c r="B1031" s="3">
        <v>39692</v>
      </c>
      <c r="C1031" t="s">
        <v>649</v>
      </c>
      <c r="D1031">
        <v>255</v>
      </c>
      <c r="E1031">
        <v>290</v>
      </c>
    </row>
    <row r="1032" spans="1:5" x14ac:dyDescent="0.25">
      <c r="A1032" t="s">
        <v>744</v>
      </c>
      <c r="B1032" s="3">
        <v>39692</v>
      </c>
      <c r="C1032" t="s">
        <v>649</v>
      </c>
      <c r="D1032">
        <v>240</v>
      </c>
      <c r="E1032">
        <v>14</v>
      </c>
    </row>
    <row r="1033" spans="1:5" x14ac:dyDescent="0.25">
      <c r="A1033" t="s">
        <v>743</v>
      </c>
      <c r="B1033" s="3">
        <v>39692</v>
      </c>
      <c r="C1033" t="s">
        <v>649</v>
      </c>
      <c r="D1033">
        <v>145</v>
      </c>
      <c r="E1033">
        <v>33</v>
      </c>
    </row>
    <row r="1034" spans="1:5" x14ac:dyDescent="0.25">
      <c r="A1034" t="s">
        <v>742</v>
      </c>
      <c r="B1034" s="3">
        <v>39692</v>
      </c>
      <c r="C1034" t="s">
        <v>649</v>
      </c>
      <c r="D1034">
        <v>165</v>
      </c>
      <c r="E1034">
        <v>41</v>
      </c>
    </row>
    <row r="1035" spans="1:5" x14ac:dyDescent="0.25">
      <c r="A1035" t="s">
        <v>741</v>
      </c>
      <c r="B1035" s="3">
        <v>39692</v>
      </c>
      <c r="C1035" t="s">
        <v>649</v>
      </c>
      <c r="D1035">
        <v>160</v>
      </c>
      <c r="E1035">
        <v>145</v>
      </c>
    </row>
    <row r="1036" spans="1:5" x14ac:dyDescent="0.25">
      <c r="A1036" t="s">
        <v>740</v>
      </c>
      <c r="B1036" s="3">
        <v>39692</v>
      </c>
      <c r="C1036" t="s">
        <v>649</v>
      </c>
      <c r="D1036">
        <v>180</v>
      </c>
      <c r="E1036">
        <v>134</v>
      </c>
    </row>
    <row r="1037" spans="1:5" x14ac:dyDescent="0.25">
      <c r="A1037" t="s">
        <v>739</v>
      </c>
      <c r="B1037" s="3">
        <v>39692</v>
      </c>
      <c r="C1037" t="s">
        <v>649</v>
      </c>
      <c r="D1037">
        <v>210</v>
      </c>
      <c r="E1037">
        <v>842</v>
      </c>
    </row>
    <row r="1038" spans="1:5" x14ac:dyDescent="0.25">
      <c r="A1038" t="s">
        <v>738</v>
      </c>
      <c r="B1038" s="3">
        <v>39692</v>
      </c>
      <c r="C1038" t="s">
        <v>649</v>
      </c>
      <c r="D1038">
        <v>140</v>
      </c>
      <c r="E1038">
        <v>22</v>
      </c>
    </row>
    <row r="1039" spans="1:5" x14ac:dyDescent="0.25">
      <c r="A1039" t="s">
        <v>737</v>
      </c>
      <c r="B1039" s="3">
        <v>39692</v>
      </c>
      <c r="C1039" t="s">
        <v>649</v>
      </c>
      <c r="D1039">
        <v>220</v>
      </c>
      <c r="E1039">
        <v>34</v>
      </c>
    </row>
    <row r="1040" spans="1:5" x14ac:dyDescent="0.25">
      <c r="A1040" t="s">
        <v>736</v>
      </c>
      <c r="B1040" s="3">
        <v>39692</v>
      </c>
      <c r="C1040" t="s">
        <v>649</v>
      </c>
      <c r="D1040">
        <v>155</v>
      </c>
      <c r="E1040">
        <v>20</v>
      </c>
    </row>
    <row r="1041" spans="1:5" x14ac:dyDescent="0.25">
      <c r="A1041" t="s">
        <v>735</v>
      </c>
      <c r="B1041" s="3">
        <v>39692</v>
      </c>
      <c r="C1041" t="s">
        <v>649</v>
      </c>
      <c r="D1041">
        <v>170</v>
      </c>
      <c r="E1041">
        <v>197</v>
      </c>
    </row>
    <row r="1042" spans="1:5" x14ac:dyDescent="0.25">
      <c r="A1042" t="s">
        <v>734</v>
      </c>
      <c r="B1042" s="3">
        <v>39692</v>
      </c>
      <c r="C1042" t="s">
        <v>649</v>
      </c>
      <c r="D1042">
        <v>280</v>
      </c>
      <c r="E1042">
        <v>2441</v>
      </c>
    </row>
    <row r="1043" spans="1:5" x14ac:dyDescent="0.25">
      <c r="A1043" t="s">
        <v>733</v>
      </c>
      <c r="B1043" s="3">
        <v>39692</v>
      </c>
      <c r="C1043" t="s">
        <v>649</v>
      </c>
      <c r="D1043">
        <v>275</v>
      </c>
      <c r="E1043">
        <v>245</v>
      </c>
    </row>
    <row r="1044" spans="1:5" x14ac:dyDescent="0.25">
      <c r="A1044" t="s">
        <v>732</v>
      </c>
      <c r="B1044" s="3">
        <v>39692</v>
      </c>
      <c r="C1044" t="s">
        <v>649</v>
      </c>
      <c r="D1044">
        <v>295</v>
      </c>
      <c r="E1044">
        <v>1737</v>
      </c>
    </row>
    <row r="1045" spans="1:5" x14ac:dyDescent="0.25">
      <c r="A1045" t="s">
        <v>731</v>
      </c>
      <c r="B1045" s="3">
        <v>39692</v>
      </c>
      <c r="C1045" t="s">
        <v>649</v>
      </c>
      <c r="D1045">
        <v>250</v>
      </c>
      <c r="E1045">
        <v>406</v>
      </c>
    </row>
    <row r="1046" spans="1:5" x14ac:dyDescent="0.25">
      <c r="A1046" t="s">
        <v>730</v>
      </c>
      <c r="B1046" s="3">
        <v>39692</v>
      </c>
      <c r="C1046" t="s">
        <v>649</v>
      </c>
      <c r="D1046">
        <v>230</v>
      </c>
      <c r="E1046">
        <v>53</v>
      </c>
    </row>
    <row r="1047" spans="1:5" x14ac:dyDescent="0.25">
      <c r="A1047" t="s">
        <v>729</v>
      </c>
      <c r="B1047" s="3">
        <v>39692</v>
      </c>
      <c r="C1047" t="s">
        <v>649</v>
      </c>
      <c r="D1047">
        <v>145</v>
      </c>
      <c r="E1047">
        <v>30</v>
      </c>
    </row>
    <row r="1048" spans="1:5" x14ac:dyDescent="0.25">
      <c r="A1048" t="s">
        <v>728</v>
      </c>
      <c r="B1048" s="3">
        <v>39692</v>
      </c>
      <c r="C1048" t="s">
        <v>649</v>
      </c>
      <c r="D1048">
        <v>180</v>
      </c>
      <c r="E1048">
        <v>123</v>
      </c>
    </row>
    <row r="1049" spans="1:5" x14ac:dyDescent="0.25">
      <c r="A1049" t="s">
        <v>727</v>
      </c>
      <c r="B1049" s="3">
        <v>39692</v>
      </c>
      <c r="C1049" t="s">
        <v>649</v>
      </c>
      <c r="D1049">
        <v>170</v>
      </c>
      <c r="E1049">
        <v>144</v>
      </c>
    </row>
    <row r="1050" spans="1:5" x14ac:dyDescent="0.25">
      <c r="A1050" t="s">
        <v>726</v>
      </c>
      <c r="B1050" s="3">
        <v>39692</v>
      </c>
      <c r="C1050" t="s">
        <v>649</v>
      </c>
      <c r="D1050">
        <v>165</v>
      </c>
      <c r="E1050">
        <v>34</v>
      </c>
    </row>
    <row r="1051" spans="1:5" x14ac:dyDescent="0.25">
      <c r="A1051" t="s">
        <v>725</v>
      </c>
      <c r="B1051" s="3">
        <v>39692</v>
      </c>
      <c r="C1051" t="s">
        <v>649</v>
      </c>
      <c r="D1051">
        <v>175</v>
      </c>
      <c r="E1051">
        <v>206</v>
      </c>
    </row>
    <row r="1052" spans="1:5" x14ac:dyDescent="0.25">
      <c r="A1052" t="s">
        <v>724</v>
      </c>
      <c r="B1052" s="3">
        <v>39692</v>
      </c>
      <c r="C1052" t="s">
        <v>649</v>
      </c>
      <c r="D1052">
        <v>240</v>
      </c>
      <c r="E1052">
        <v>220</v>
      </c>
    </row>
    <row r="1053" spans="1:5" x14ac:dyDescent="0.25">
      <c r="A1053" t="s">
        <v>723</v>
      </c>
      <c r="B1053" s="3">
        <v>39692</v>
      </c>
      <c r="C1053" t="s">
        <v>649</v>
      </c>
      <c r="D1053">
        <v>140</v>
      </c>
      <c r="E1053">
        <v>26</v>
      </c>
    </row>
    <row r="1054" spans="1:5" x14ac:dyDescent="0.25">
      <c r="A1054" t="s">
        <v>722</v>
      </c>
      <c r="B1054" s="3">
        <v>39692</v>
      </c>
      <c r="C1054" t="s">
        <v>649</v>
      </c>
      <c r="D1054">
        <v>140</v>
      </c>
      <c r="E1054">
        <v>52</v>
      </c>
    </row>
    <row r="1055" spans="1:5" x14ac:dyDescent="0.25">
      <c r="A1055" t="s">
        <v>721</v>
      </c>
      <c r="B1055" s="3">
        <v>39692</v>
      </c>
      <c r="C1055" t="s">
        <v>649</v>
      </c>
      <c r="D1055">
        <v>200</v>
      </c>
      <c r="E1055">
        <v>103</v>
      </c>
    </row>
    <row r="1056" spans="1:5" x14ac:dyDescent="0.25">
      <c r="A1056" t="s">
        <v>720</v>
      </c>
      <c r="B1056" s="3">
        <v>39692</v>
      </c>
      <c r="C1056" t="s">
        <v>649</v>
      </c>
      <c r="D1056">
        <v>175</v>
      </c>
      <c r="E1056">
        <v>47</v>
      </c>
    </row>
    <row r="1057" spans="1:5" x14ac:dyDescent="0.25">
      <c r="A1057" t="s">
        <v>719</v>
      </c>
      <c r="B1057" s="3">
        <v>39692</v>
      </c>
      <c r="C1057" t="s">
        <v>649</v>
      </c>
      <c r="D1057">
        <v>200</v>
      </c>
      <c r="E1057">
        <v>66</v>
      </c>
    </row>
    <row r="1058" spans="1:5" x14ac:dyDescent="0.25">
      <c r="A1058" t="s">
        <v>718</v>
      </c>
      <c r="B1058" s="3">
        <v>39692</v>
      </c>
      <c r="C1058" t="s">
        <v>649</v>
      </c>
      <c r="D1058">
        <v>200</v>
      </c>
      <c r="E1058">
        <v>209</v>
      </c>
    </row>
    <row r="1059" spans="1:5" x14ac:dyDescent="0.25">
      <c r="A1059" t="s">
        <v>717</v>
      </c>
      <c r="B1059" s="3">
        <v>39692</v>
      </c>
      <c r="C1059" t="s">
        <v>649</v>
      </c>
      <c r="D1059">
        <v>240</v>
      </c>
      <c r="E1059">
        <v>75</v>
      </c>
    </row>
    <row r="1060" spans="1:5" x14ac:dyDescent="0.25">
      <c r="A1060" t="s">
        <v>716</v>
      </c>
      <c r="B1060" s="3">
        <v>39692</v>
      </c>
      <c r="C1060" t="s">
        <v>649</v>
      </c>
      <c r="D1060">
        <v>160</v>
      </c>
      <c r="E1060">
        <v>146</v>
      </c>
    </row>
    <row r="1061" spans="1:5" x14ac:dyDescent="0.25">
      <c r="A1061" t="s">
        <v>715</v>
      </c>
      <c r="B1061" s="3">
        <v>39692</v>
      </c>
      <c r="C1061" t="s">
        <v>649</v>
      </c>
      <c r="D1061">
        <v>130</v>
      </c>
      <c r="E1061">
        <v>39</v>
      </c>
    </row>
    <row r="1062" spans="1:5" x14ac:dyDescent="0.25">
      <c r="A1062" t="s">
        <v>714</v>
      </c>
      <c r="B1062" s="3">
        <v>39692</v>
      </c>
      <c r="C1062" t="s">
        <v>649</v>
      </c>
      <c r="D1062">
        <v>230</v>
      </c>
      <c r="E1062">
        <v>1001</v>
      </c>
    </row>
    <row r="1063" spans="1:5" x14ac:dyDescent="0.25">
      <c r="A1063" t="s">
        <v>713</v>
      </c>
      <c r="B1063" s="3">
        <v>39692</v>
      </c>
      <c r="C1063" t="s">
        <v>649</v>
      </c>
      <c r="D1063">
        <v>230</v>
      </c>
      <c r="E1063">
        <v>214</v>
      </c>
    </row>
    <row r="1064" spans="1:5" x14ac:dyDescent="0.25">
      <c r="A1064" t="s">
        <v>712</v>
      </c>
      <c r="B1064" s="3">
        <v>39692</v>
      </c>
      <c r="C1064" t="s">
        <v>649</v>
      </c>
      <c r="D1064">
        <v>230</v>
      </c>
      <c r="E1064">
        <v>609</v>
      </c>
    </row>
    <row r="1065" spans="1:5" x14ac:dyDescent="0.25">
      <c r="A1065" t="s">
        <v>711</v>
      </c>
      <c r="B1065" s="3">
        <v>39692</v>
      </c>
      <c r="C1065" t="s">
        <v>649</v>
      </c>
      <c r="D1065">
        <v>245</v>
      </c>
      <c r="E1065">
        <v>178</v>
      </c>
    </row>
    <row r="1066" spans="1:5" x14ac:dyDescent="0.25">
      <c r="A1066" t="s">
        <v>756</v>
      </c>
      <c r="B1066" s="3">
        <v>39692</v>
      </c>
      <c r="C1066" t="s">
        <v>649</v>
      </c>
      <c r="D1066">
        <v>170</v>
      </c>
      <c r="E1066">
        <v>69</v>
      </c>
    </row>
    <row r="1067" spans="1:5" x14ac:dyDescent="0.25">
      <c r="A1067" t="s">
        <v>710</v>
      </c>
      <c r="B1067" s="3">
        <v>39692</v>
      </c>
      <c r="C1067" t="s">
        <v>649</v>
      </c>
      <c r="D1067">
        <v>155</v>
      </c>
      <c r="E1067">
        <v>396</v>
      </c>
    </row>
    <row r="1068" spans="1:5" x14ac:dyDescent="0.25">
      <c r="A1068" t="s">
        <v>709</v>
      </c>
      <c r="B1068" s="3">
        <v>39692</v>
      </c>
      <c r="C1068" t="s">
        <v>649</v>
      </c>
      <c r="D1068">
        <v>200</v>
      </c>
      <c r="E1068">
        <v>653</v>
      </c>
    </row>
    <row r="1069" spans="1:5" x14ac:dyDescent="0.25">
      <c r="A1069" t="s">
        <v>708</v>
      </c>
      <c r="B1069" s="3">
        <v>39692</v>
      </c>
      <c r="C1069" t="s">
        <v>649</v>
      </c>
      <c r="D1069">
        <v>150</v>
      </c>
      <c r="E1069">
        <v>22</v>
      </c>
    </row>
    <row r="1070" spans="1:5" x14ac:dyDescent="0.25">
      <c r="A1070" t="s">
        <v>635</v>
      </c>
      <c r="B1070" s="3">
        <v>39692</v>
      </c>
      <c r="C1070" t="s">
        <v>652</v>
      </c>
      <c r="D1070">
        <v>285</v>
      </c>
      <c r="E1070">
        <v>3213</v>
      </c>
    </row>
    <row r="1071" spans="1:5" x14ac:dyDescent="0.25">
      <c r="A1071" t="s">
        <v>755</v>
      </c>
      <c r="B1071" s="3">
        <v>39692</v>
      </c>
      <c r="C1071" t="s">
        <v>652</v>
      </c>
      <c r="D1071">
        <v>280</v>
      </c>
      <c r="E1071">
        <v>169</v>
      </c>
    </row>
    <row r="1072" spans="1:5" x14ac:dyDescent="0.25">
      <c r="A1072" t="s">
        <v>754</v>
      </c>
      <c r="B1072" s="3">
        <v>39692</v>
      </c>
      <c r="C1072" t="s">
        <v>652</v>
      </c>
      <c r="D1072">
        <v>350</v>
      </c>
      <c r="E1072">
        <v>291</v>
      </c>
    </row>
    <row r="1073" spans="1:5" x14ac:dyDescent="0.25">
      <c r="A1073" t="s">
        <v>753</v>
      </c>
      <c r="B1073" s="3">
        <v>39692</v>
      </c>
      <c r="C1073" t="s">
        <v>652</v>
      </c>
      <c r="D1073">
        <v>300</v>
      </c>
      <c r="E1073">
        <v>341</v>
      </c>
    </row>
    <row r="1074" spans="1:5" x14ac:dyDescent="0.25">
      <c r="A1074" t="s">
        <v>752</v>
      </c>
      <c r="B1074" s="3">
        <v>39692</v>
      </c>
      <c r="C1074" t="s">
        <v>652</v>
      </c>
      <c r="D1074">
        <v>270</v>
      </c>
      <c r="E1074">
        <v>390</v>
      </c>
    </row>
    <row r="1075" spans="1:5" x14ac:dyDescent="0.25">
      <c r="A1075" t="s">
        <v>751</v>
      </c>
      <c r="B1075" s="3">
        <v>39692</v>
      </c>
      <c r="C1075" t="s">
        <v>652</v>
      </c>
      <c r="D1075">
        <v>330</v>
      </c>
      <c r="E1075">
        <v>152</v>
      </c>
    </row>
    <row r="1076" spans="1:5" x14ac:dyDescent="0.25">
      <c r="A1076" t="s">
        <v>750</v>
      </c>
      <c r="B1076" s="3">
        <v>39692</v>
      </c>
      <c r="C1076" t="s">
        <v>652</v>
      </c>
      <c r="D1076">
        <v>280</v>
      </c>
      <c r="E1076">
        <v>255</v>
      </c>
    </row>
    <row r="1077" spans="1:5" x14ac:dyDescent="0.25">
      <c r="A1077" t="s">
        <v>749</v>
      </c>
      <c r="B1077" s="3">
        <v>39692</v>
      </c>
      <c r="C1077" t="s">
        <v>652</v>
      </c>
      <c r="D1077">
        <v>285</v>
      </c>
      <c r="E1077">
        <v>352</v>
      </c>
    </row>
    <row r="1078" spans="1:5" x14ac:dyDescent="0.25">
      <c r="A1078" t="s">
        <v>748</v>
      </c>
      <c r="B1078" s="3">
        <v>39692</v>
      </c>
      <c r="C1078" t="s">
        <v>652</v>
      </c>
      <c r="D1078">
        <v>260</v>
      </c>
      <c r="E1078">
        <v>333</v>
      </c>
    </row>
    <row r="1079" spans="1:5" x14ac:dyDescent="0.25">
      <c r="A1079" t="s">
        <v>747</v>
      </c>
      <c r="B1079" s="3">
        <v>39692</v>
      </c>
      <c r="C1079" t="s">
        <v>652</v>
      </c>
      <c r="D1079">
        <v>310</v>
      </c>
      <c r="E1079">
        <v>364</v>
      </c>
    </row>
    <row r="1080" spans="1:5" x14ac:dyDescent="0.25">
      <c r="A1080" t="s">
        <v>746</v>
      </c>
      <c r="B1080" s="3">
        <v>39692</v>
      </c>
      <c r="C1080" t="s">
        <v>652</v>
      </c>
      <c r="D1080">
        <v>280</v>
      </c>
      <c r="E1080">
        <v>51</v>
      </c>
    </row>
    <row r="1081" spans="1:5" x14ac:dyDescent="0.25">
      <c r="A1081" t="s">
        <v>745</v>
      </c>
      <c r="B1081" s="3">
        <v>39692</v>
      </c>
      <c r="C1081" t="s">
        <v>652</v>
      </c>
      <c r="D1081">
        <v>300</v>
      </c>
      <c r="E1081">
        <v>124</v>
      </c>
    </row>
    <row r="1082" spans="1:5" x14ac:dyDescent="0.25">
      <c r="A1082" t="s">
        <v>744</v>
      </c>
      <c r="B1082" s="3">
        <v>39692</v>
      </c>
      <c r="C1082" t="s">
        <v>652</v>
      </c>
      <c r="D1082">
        <v>260</v>
      </c>
      <c r="E1082">
        <v>390</v>
      </c>
    </row>
    <row r="1083" spans="1:5" x14ac:dyDescent="0.25">
      <c r="A1083" t="s">
        <v>743</v>
      </c>
      <c r="B1083" s="3">
        <v>39692</v>
      </c>
      <c r="C1083" t="s">
        <v>652</v>
      </c>
      <c r="D1083">
        <v>230</v>
      </c>
      <c r="E1083">
        <v>39</v>
      </c>
    </row>
    <row r="1084" spans="1:5" x14ac:dyDescent="0.25">
      <c r="A1084" t="s">
        <v>742</v>
      </c>
      <c r="B1084" s="3">
        <v>39692</v>
      </c>
      <c r="C1084" t="s">
        <v>652</v>
      </c>
      <c r="D1084">
        <v>270</v>
      </c>
      <c r="E1084">
        <v>125</v>
      </c>
    </row>
    <row r="1085" spans="1:5" x14ac:dyDescent="0.25">
      <c r="A1085" t="s">
        <v>741</v>
      </c>
      <c r="B1085" s="3">
        <v>39692</v>
      </c>
      <c r="C1085" t="s">
        <v>652</v>
      </c>
      <c r="D1085">
        <v>215</v>
      </c>
      <c r="E1085">
        <v>313</v>
      </c>
    </row>
    <row r="1086" spans="1:5" x14ac:dyDescent="0.25">
      <c r="A1086" t="s">
        <v>740</v>
      </c>
      <c r="B1086" s="3">
        <v>39692</v>
      </c>
      <c r="C1086" t="s">
        <v>652</v>
      </c>
      <c r="D1086">
        <v>225</v>
      </c>
      <c r="E1086">
        <v>523</v>
      </c>
    </row>
    <row r="1087" spans="1:5" x14ac:dyDescent="0.25">
      <c r="A1087" t="s">
        <v>739</v>
      </c>
      <c r="B1087" s="3">
        <v>39692</v>
      </c>
      <c r="C1087" t="s">
        <v>652</v>
      </c>
      <c r="D1087">
        <v>280</v>
      </c>
      <c r="E1087">
        <v>549</v>
      </c>
    </row>
    <row r="1088" spans="1:5" x14ac:dyDescent="0.25">
      <c r="A1088" t="s">
        <v>738</v>
      </c>
      <c r="B1088" s="3">
        <v>39692</v>
      </c>
      <c r="C1088" t="s">
        <v>652</v>
      </c>
      <c r="D1088">
        <v>170</v>
      </c>
      <c r="E1088">
        <v>56</v>
      </c>
    </row>
    <row r="1089" spans="1:5" x14ac:dyDescent="0.25">
      <c r="A1089" t="s">
        <v>737</v>
      </c>
      <c r="B1089" s="3">
        <v>39692</v>
      </c>
      <c r="C1089" t="s">
        <v>652</v>
      </c>
      <c r="D1089">
        <v>350</v>
      </c>
      <c r="E1089">
        <v>59</v>
      </c>
    </row>
    <row r="1090" spans="1:5" x14ac:dyDescent="0.25">
      <c r="A1090" t="s">
        <v>736</v>
      </c>
      <c r="B1090" s="3">
        <v>39692</v>
      </c>
      <c r="C1090" t="s">
        <v>652</v>
      </c>
      <c r="D1090">
        <v>185</v>
      </c>
      <c r="E1090">
        <v>54</v>
      </c>
    </row>
    <row r="1091" spans="1:5" x14ac:dyDescent="0.25">
      <c r="A1091" t="s">
        <v>735</v>
      </c>
      <c r="B1091" s="3">
        <v>39692</v>
      </c>
      <c r="C1091" t="s">
        <v>652</v>
      </c>
      <c r="D1091">
        <v>240</v>
      </c>
      <c r="E1091">
        <v>229</v>
      </c>
    </row>
    <row r="1092" spans="1:5" x14ac:dyDescent="0.25">
      <c r="A1092" t="s">
        <v>734</v>
      </c>
      <c r="B1092" s="3">
        <v>39692</v>
      </c>
      <c r="C1092" t="s">
        <v>652</v>
      </c>
      <c r="D1092">
        <v>335</v>
      </c>
      <c r="E1092">
        <v>1176</v>
      </c>
    </row>
    <row r="1093" spans="1:5" x14ac:dyDescent="0.25">
      <c r="A1093" t="s">
        <v>733</v>
      </c>
      <c r="B1093" s="3">
        <v>39692</v>
      </c>
      <c r="C1093" t="s">
        <v>652</v>
      </c>
      <c r="D1093">
        <v>310</v>
      </c>
      <c r="E1093">
        <v>220</v>
      </c>
    </row>
    <row r="1094" spans="1:5" x14ac:dyDescent="0.25">
      <c r="A1094" t="s">
        <v>732</v>
      </c>
      <c r="B1094" s="3">
        <v>39692</v>
      </c>
      <c r="C1094" t="s">
        <v>652</v>
      </c>
      <c r="D1094">
        <v>350</v>
      </c>
      <c r="E1094">
        <v>585</v>
      </c>
    </row>
    <row r="1095" spans="1:5" x14ac:dyDescent="0.25">
      <c r="A1095" t="s">
        <v>731</v>
      </c>
      <c r="B1095" s="3">
        <v>39692</v>
      </c>
      <c r="C1095" t="s">
        <v>652</v>
      </c>
      <c r="D1095">
        <v>350</v>
      </c>
      <c r="E1095">
        <v>132</v>
      </c>
    </row>
    <row r="1096" spans="1:5" x14ac:dyDescent="0.25">
      <c r="A1096" t="s">
        <v>730</v>
      </c>
      <c r="B1096" s="3">
        <v>39692</v>
      </c>
      <c r="C1096" t="s">
        <v>652</v>
      </c>
      <c r="D1096">
        <v>320</v>
      </c>
      <c r="E1096">
        <v>239</v>
      </c>
    </row>
    <row r="1097" spans="1:5" x14ac:dyDescent="0.25">
      <c r="A1097" t="s">
        <v>729</v>
      </c>
      <c r="B1097" s="3">
        <v>39692</v>
      </c>
      <c r="C1097" t="s">
        <v>652</v>
      </c>
      <c r="D1097">
        <v>200</v>
      </c>
      <c r="E1097">
        <v>131</v>
      </c>
    </row>
    <row r="1098" spans="1:5" x14ac:dyDescent="0.25">
      <c r="A1098" t="s">
        <v>728</v>
      </c>
      <c r="B1098" s="3">
        <v>39692</v>
      </c>
      <c r="C1098" t="s">
        <v>652</v>
      </c>
      <c r="D1098">
        <v>230</v>
      </c>
      <c r="E1098">
        <v>277</v>
      </c>
    </row>
    <row r="1099" spans="1:5" x14ac:dyDescent="0.25">
      <c r="A1099" t="s">
        <v>727</v>
      </c>
      <c r="B1099" s="3">
        <v>39692</v>
      </c>
      <c r="C1099" t="s">
        <v>652</v>
      </c>
      <c r="D1099">
        <v>215</v>
      </c>
      <c r="E1099">
        <v>779</v>
      </c>
    </row>
    <row r="1100" spans="1:5" x14ac:dyDescent="0.25">
      <c r="A1100" t="s">
        <v>726</v>
      </c>
      <c r="B1100" s="3">
        <v>39692</v>
      </c>
      <c r="C1100" t="s">
        <v>652</v>
      </c>
      <c r="D1100">
        <v>200</v>
      </c>
      <c r="E1100">
        <v>68</v>
      </c>
    </row>
    <row r="1101" spans="1:5" x14ac:dyDescent="0.25">
      <c r="A1101" t="s">
        <v>725</v>
      </c>
      <c r="B1101" s="3">
        <v>39692</v>
      </c>
      <c r="C1101" t="s">
        <v>652</v>
      </c>
      <c r="D1101">
        <v>240</v>
      </c>
      <c r="E1101">
        <v>713</v>
      </c>
    </row>
    <row r="1102" spans="1:5" x14ac:dyDescent="0.25">
      <c r="A1102" t="s">
        <v>724</v>
      </c>
      <c r="B1102" s="3">
        <v>39692</v>
      </c>
      <c r="C1102" t="s">
        <v>652</v>
      </c>
      <c r="D1102">
        <v>320</v>
      </c>
      <c r="E1102">
        <v>314</v>
      </c>
    </row>
    <row r="1103" spans="1:5" x14ac:dyDescent="0.25">
      <c r="A1103" t="s">
        <v>723</v>
      </c>
      <c r="B1103" s="3">
        <v>39692</v>
      </c>
      <c r="C1103" t="s">
        <v>652</v>
      </c>
      <c r="D1103">
        <v>195</v>
      </c>
      <c r="E1103">
        <v>22</v>
      </c>
    </row>
    <row r="1104" spans="1:5" x14ac:dyDescent="0.25">
      <c r="A1104" t="s">
        <v>722</v>
      </c>
      <c r="B1104" s="3">
        <v>39692</v>
      </c>
      <c r="C1104" t="s">
        <v>652</v>
      </c>
      <c r="D1104">
        <v>190</v>
      </c>
      <c r="E1104">
        <v>111</v>
      </c>
    </row>
    <row r="1105" spans="1:5" x14ac:dyDescent="0.25">
      <c r="A1105" t="s">
        <v>721</v>
      </c>
      <c r="B1105" s="3">
        <v>39692</v>
      </c>
      <c r="C1105" t="s">
        <v>652</v>
      </c>
      <c r="D1105">
        <v>280</v>
      </c>
      <c r="E1105">
        <v>73</v>
      </c>
    </row>
    <row r="1106" spans="1:5" x14ac:dyDescent="0.25">
      <c r="A1106" t="s">
        <v>720</v>
      </c>
      <c r="B1106" s="3">
        <v>39692</v>
      </c>
      <c r="C1106" t="s">
        <v>652</v>
      </c>
      <c r="D1106">
        <v>270</v>
      </c>
      <c r="E1106">
        <v>81</v>
      </c>
    </row>
    <row r="1107" spans="1:5" x14ac:dyDescent="0.25">
      <c r="A1107" t="s">
        <v>719</v>
      </c>
      <c r="B1107" s="3">
        <v>39692</v>
      </c>
      <c r="C1107" t="s">
        <v>652</v>
      </c>
      <c r="D1107">
        <v>260</v>
      </c>
      <c r="E1107">
        <v>380</v>
      </c>
    </row>
    <row r="1108" spans="1:5" x14ac:dyDescent="0.25">
      <c r="A1108" t="s">
        <v>718</v>
      </c>
      <c r="B1108" s="3">
        <v>39692</v>
      </c>
      <c r="C1108" t="s">
        <v>652</v>
      </c>
      <c r="D1108">
        <v>250</v>
      </c>
      <c r="E1108">
        <v>231</v>
      </c>
    </row>
    <row r="1109" spans="1:5" x14ac:dyDescent="0.25">
      <c r="A1109" t="s">
        <v>717</v>
      </c>
      <c r="B1109" s="3">
        <v>39692</v>
      </c>
      <c r="C1109" t="s">
        <v>652</v>
      </c>
      <c r="D1109">
        <v>275</v>
      </c>
      <c r="E1109">
        <v>370</v>
      </c>
    </row>
    <row r="1110" spans="1:5" x14ac:dyDescent="0.25">
      <c r="A1110" t="s">
        <v>716</v>
      </c>
      <c r="B1110" s="3">
        <v>39692</v>
      </c>
      <c r="C1110" t="s">
        <v>652</v>
      </c>
      <c r="D1110">
        <v>220</v>
      </c>
      <c r="E1110">
        <v>281</v>
      </c>
    </row>
    <row r="1111" spans="1:5" x14ac:dyDescent="0.25">
      <c r="A1111" t="s">
        <v>715</v>
      </c>
      <c r="B1111" s="3">
        <v>39692</v>
      </c>
      <c r="C1111" t="s">
        <v>652</v>
      </c>
      <c r="D1111">
        <v>210</v>
      </c>
      <c r="E1111">
        <v>40</v>
      </c>
    </row>
    <row r="1112" spans="1:5" x14ac:dyDescent="0.25">
      <c r="A1112" t="s">
        <v>714</v>
      </c>
      <c r="B1112" s="3">
        <v>39692</v>
      </c>
      <c r="C1112" t="s">
        <v>652</v>
      </c>
      <c r="D1112">
        <v>290</v>
      </c>
      <c r="E1112">
        <v>949</v>
      </c>
    </row>
    <row r="1113" spans="1:5" x14ac:dyDescent="0.25">
      <c r="A1113" t="s">
        <v>713</v>
      </c>
      <c r="B1113" s="3">
        <v>39692</v>
      </c>
      <c r="C1113" t="s">
        <v>652</v>
      </c>
      <c r="D1113">
        <v>290</v>
      </c>
      <c r="E1113">
        <v>300</v>
      </c>
    </row>
    <row r="1114" spans="1:5" x14ac:dyDescent="0.25">
      <c r="A1114" t="s">
        <v>712</v>
      </c>
      <c r="B1114" s="3">
        <v>39692</v>
      </c>
      <c r="C1114" t="s">
        <v>652</v>
      </c>
      <c r="D1114">
        <v>285</v>
      </c>
      <c r="E1114">
        <v>518</v>
      </c>
    </row>
    <row r="1115" spans="1:5" x14ac:dyDescent="0.25">
      <c r="A1115" t="s">
        <v>711</v>
      </c>
      <c r="B1115" s="3">
        <v>39692</v>
      </c>
      <c r="C1115" t="s">
        <v>652</v>
      </c>
      <c r="D1115">
        <v>290</v>
      </c>
      <c r="E1115">
        <v>131</v>
      </c>
    </row>
    <row r="1116" spans="1:5" x14ac:dyDescent="0.25">
      <c r="A1116" t="s">
        <v>756</v>
      </c>
      <c r="B1116" s="3">
        <v>39692</v>
      </c>
      <c r="C1116" t="s">
        <v>652</v>
      </c>
      <c r="D1116">
        <v>250</v>
      </c>
      <c r="E1116">
        <v>284</v>
      </c>
    </row>
    <row r="1117" spans="1:5" x14ac:dyDescent="0.25">
      <c r="A1117" t="s">
        <v>710</v>
      </c>
      <c r="B1117" s="3">
        <v>39692</v>
      </c>
      <c r="C1117" t="s">
        <v>652</v>
      </c>
      <c r="D1117">
        <v>215</v>
      </c>
      <c r="E1117">
        <v>506</v>
      </c>
    </row>
    <row r="1118" spans="1:5" x14ac:dyDescent="0.25">
      <c r="A1118" t="s">
        <v>709</v>
      </c>
      <c r="B1118" s="3">
        <v>39692</v>
      </c>
      <c r="C1118" t="s">
        <v>652</v>
      </c>
      <c r="D1118">
        <v>260</v>
      </c>
      <c r="E1118">
        <v>398</v>
      </c>
    </row>
    <row r="1119" spans="1:5" x14ac:dyDescent="0.25">
      <c r="A1119" t="s">
        <v>708</v>
      </c>
      <c r="B1119" s="3">
        <v>39692</v>
      </c>
      <c r="C1119" t="s">
        <v>652</v>
      </c>
      <c r="D1119">
        <v>180</v>
      </c>
      <c r="E1119">
        <v>80</v>
      </c>
    </row>
    <row r="1120" spans="1:5" x14ac:dyDescent="0.25">
      <c r="A1120" t="s">
        <v>635</v>
      </c>
      <c r="B1120" s="3">
        <v>39783</v>
      </c>
      <c r="C1120" t="s">
        <v>649</v>
      </c>
      <c r="D1120">
        <v>280</v>
      </c>
      <c r="E1120">
        <v>3781</v>
      </c>
    </row>
    <row r="1121" spans="1:5" x14ac:dyDescent="0.25">
      <c r="A1121" t="s">
        <v>755</v>
      </c>
      <c r="B1121" s="3">
        <v>39783</v>
      </c>
      <c r="C1121" t="s">
        <v>649</v>
      </c>
      <c r="D1121">
        <v>235</v>
      </c>
      <c r="E1121">
        <v>43</v>
      </c>
    </row>
    <row r="1122" spans="1:5" x14ac:dyDescent="0.25">
      <c r="A1122" t="s">
        <v>754</v>
      </c>
      <c r="B1122" s="3">
        <v>39783</v>
      </c>
      <c r="C1122" t="s">
        <v>649</v>
      </c>
      <c r="D1122">
        <v>360</v>
      </c>
      <c r="E1122">
        <v>1726</v>
      </c>
    </row>
    <row r="1123" spans="1:5" x14ac:dyDescent="0.25">
      <c r="A1123" t="s">
        <v>753</v>
      </c>
      <c r="B1123" s="3">
        <v>39783</v>
      </c>
      <c r="C1123" t="s">
        <v>649</v>
      </c>
      <c r="D1123">
        <v>245</v>
      </c>
      <c r="E1123">
        <v>693</v>
      </c>
    </row>
    <row r="1124" spans="1:5" x14ac:dyDescent="0.25">
      <c r="A1124" t="s">
        <v>752</v>
      </c>
      <c r="B1124" s="3">
        <v>39783</v>
      </c>
      <c r="C1124" t="s">
        <v>649</v>
      </c>
      <c r="D1124">
        <v>230</v>
      </c>
      <c r="E1124">
        <v>164</v>
      </c>
    </row>
    <row r="1125" spans="1:5" x14ac:dyDescent="0.25">
      <c r="A1125" t="s">
        <v>751</v>
      </c>
      <c r="B1125" s="3">
        <v>39783</v>
      </c>
      <c r="C1125" t="s">
        <v>649</v>
      </c>
      <c r="D1125">
        <v>260</v>
      </c>
      <c r="E1125">
        <v>124</v>
      </c>
    </row>
    <row r="1126" spans="1:5" x14ac:dyDescent="0.25">
      <c r="A1126" t="s">
        <v>750</v>
      </c>
      <c r="B1126" s="3">
        <v>39783</v>
      </c>
      <c r="C1126" t="s">
        <v>649</v>
      </c>
      <c r="D1126">
        <v>235</v>
      </c>
      <c r="E1126">
        <v>44</v>
      </c>
    </row>
    <row r="1127" spans="1:5" x14ac:dyDescent="0.25">
      <c r="A1127" t="s">
        <v>749</v>
      </c>
      <c r="B1127" s="3">
        <v>39783</v>
      </c>
      <c r="C1127" t="s">
        <v>649</v>
      </c>
      <c r="D1127">
        <v>240</v>
      </c>
      <c r="E1127">
        <v>365</v>
      </c>
    </row>
    <row r="1128" spans="1:5" x14ac:dyDescent="0.25">
      <c r="A1128" t="s">
        <v>748</v>
      </c>
      <c r="B1128" s="3">
        <v>39783</v>
      </c>
      <c r="C1128" t="s">
        <v>649</v>
      </c>
      <c r="D1128">
        <v>230</v>
      </c>
      <c r="E1128">
        <v>46</v>
      </c>
    </row>
    <row r="1129" spans="1:5" x14ac:dyDescent="0.25">
      <c r="A1129" t="s">
        <v>747</v>
      </c>
      <c r="B1129" s="3">
        <v>39783</v>
      </c>
      <c r="C1129" t="s">
        <v>649</v>
      </c>
      <c r="D1129">
        <v>255</v>
      </c>
      <c r="E1129">
        <v>341</v>
      </c>
    </row>
    <row r="1130" spans="1:5" x14ac:dyDescent="0.25">
      <c r="A1130" t="s">
        <v>746</v>
      </c>
      <c r="B1130" s="3">
        <v>39783</v>
      </c>
      <c r="C1130" t="s">
        <v>649</v>
      </c>
      <c r="D1130" t="s">
        <v>757</v>
      </c>
      <c r="E1130">
        <v>3</v>
      </c>
    </row>
    <row r="1131" spans="1:5" x14ac:dyDescent="0.25">
      <c r="A1131" t="s">
        <v>745</v>
      </c>
      <c r="B1131" s="3">
        <v>39783</v>
      </c>
      <c r="C1131" t="s">
        <v>649</v>
      </c>
      <c r="D1131">
        <v>260</v>
      </c>
      <c r="E1131">
        <v>218</v>
      </c>
    </row>
    <row r="1132" spans="1:5" x14ac:dyDescent="0.25">
      <c r="A1132" t="s">
        <v>744</v>
      </c>
      <c r="B1132" s="3">
        <v>39783</v>
      </c>
      <c r="C1132" t="s">
        <v>649</v>
      </c>
      <c r="D1132">
        <v>230</v>
      </c>
      <c r="E1132">
        <v>14</v>
      </c>
    </row>
    <row r="1133" spans="1:5" x14ac:dyDescent="0.25">
      <c r="A1133" t="s">
        <v>743</v>
      </c>
      <c r="B1133" s="3">
        <v>39783</v>
      </c>
      <c r="C1133" t="s">
        <v>649</v>
      </c>
      <c r="D1133">
        <v>155</v>
      </c>
      <c r="E1133">
        <v>20</v>
      </c>
    </row>
    <row r="1134" spans="1:5" x14ac:dyDescent="0.25">
      <c r="A1134" t="s">
        <v>742</v>
      </c>
      <c r="B1134" s="3">
        <v>39783</v>
      </c>
      <c r="C1134" t="s">
        <v>649</v>
      </c>
      <c r="D1134">
        <v>165</v>
      </c>
      <c r="E1134">
        <v>28</v>
      </c>
    </row>
    <row r="1135" spans="1:5" x14ac:dyDescent="0.25">
      <c r="A1135" t="s">
        <v>741</v>
      </c>
      <c r="B1135" s="3">
        <v>39783</v>
      </c>
      <c r="C1135" t="s">
        <v>649</v>
      </c>
      <c r="D1135">
        <v>160</v>
      </c>
      <c r="E1135">
        <v>153</v>
      </c>
    </row>
    <row r="1136" spans="1:5" x14ac:dyDescent="0.25">
      <c r="A1136" t="s">
        <v>740</v>
      </c>
      <c r="B1136" s="3">
        <v>39783</v>
      </c>
      <c r="C1136" t="s">
        <v>649</v>
      </c>
      <c r="D1136">
        <v>180</v>
      </c>
      <c r="E1136">
        <v>136</v>
      </c>
    </row>
    <row r="1137" spans="1:5" x14ac:dyDescent="0.25">
      <c r="A1137" t="s">
        <v>739</v>
      </c>
      <c r="B1137" s="3">
        <v>39783</v>
      </c>
      <c r="C1137" t="s">
        <v>649</v>
      </c>
      <c r="D1137">
        <v>220</v>
      </c>
      <c r="E1137">
        <v>793</v>
      </c>
    </row>
    <row r="1138" spans="1:5" x14ac:dyDescent="0.25">
      <c r="A1138" t="s">
        <v>738</v>
      </c>
      <c r="B1138" s="3">
        <v>39783</v>
      </c>
      <c r="C1138" t="s">
        <v>649</v>
      </c>
      <c r="D1138">
        <v>145</v>
      </c>
      <c r="E1138">
        <v>11</v>
      </c>
    </row>
    <row r="1139" spans="1:5" x14ac:dyDescent="0.25">
      <c r="A1139" t="s">
        <v>737</v>
      </c>
      <c r="B1139" s="3">
        <v>39783</v>
      </c>
      <c r="C1139" t="s">
        <v>649</v>
      </c>
      <c r="D1139">
        <v>230</v>
      </c>
      <c r="E1139">
        <v>31</v>
      </c>
    </row>
    <row r="1140" spans="1:5" x14ac:dyDescent="0.25">
      <c r="A1140" t="s">
        <v>736</v>
      </c>
      <c r="B1140" s="3">
        <v>39783</v>
      </c>
      <c r="C1140" t="s">
        <v>649</v>
      </c>
      <c r="D1140">
        <v>155</v>
      </c>
      <c r="E1140">
        <v>22</v>
      </c>
    </row>
    <row r="1141" spans="1:5" x14ac:dyDescent="0.25">
      <c r="A1141" t="s">
        <v>735</v>
      </c>
      <c r="B1141" s="3">
        <v>39783</v>
      </c>
      <c r="C1141" t="s">
        <v>649</v>
      </c>
      <c r="D1141">
        <v>190</v>
      </c>
      <c r="E1141">
        <v>185</v>
      </c>
    </row>
    <row r="1142" spans="1:5" x14ac:dyDescent="0.25">
      <c r="A1142" t="s">
        <v>734</v>
      </c>
      <c r="B1142" s="3">
        <v>39783</v>
      </c>
      <c r="C1142" t="s">
        <v>649</v>
      </c>
      <c r="D1142">
        <v>290</v>
      </c>
      <c r="E1142">
        <v>2126</v>
      </c>
    </row>
    <row r="1143" spans="1:5" x14ac:dyDescent="0.25">
      <c r="A1143" t="s">
        <v>733</v>
      </c>
      <c r="B1143" s="3">
        <v>39783</v>
      </c>
      <c r="C1143" t="s">
        <v>649</v>
      </c>
      <c r="D1143">
        <v>275</v>
      </c>
      <c r="E1143">
        <v>212</v>
      </c>
    </row>
    <row r="1144" spans="1:5" x14ac:dyDescent="0.25">
      <c r="A1144" t="s">
        <v>732</v>
      </c>
      <c r="B1144" s="3">
        <v>39783</v>
      </c>
      <c r="C1144" t="s">
        <v>649</v>
      </c>
      <c r="D1144">
        <v>300</v>
      </c>
      <c r="E1144">
        <v>1513</v>
      </c>
    </row>
    <row r="1145" spans="1:5" x14ac:dyDescent="0.25">
      <c r="A1145" t="s">
        <v>731</v>
      </c>
      <c r="B1145" s="3">
        <v>39783</v>
      </c>
      <c r="C1145" t="s">
        <v>649</v>
      </c>
      <c r="D1145">
        <v>250</v>
      </c>
      <c r="E1145">
        <v>351</v>
      </c>
    </row>
    <row r="1146" spans="1:5" x14ac:dyDescent="0.25">
      <c r="A1146" t="s">
        <v>730</v>
      </c>
      <c r="B1146" s="3">
        <v>39783</v>
      </c>
      <c r="C1146" t="s">
        <v>649</v>
      </c>
      <c r="D1146">
        <v>250</v>
      </c>
      <c r="E1146">
        <v>50</v>
      </c>
    </row>
    <row r="1147" spans="1:5" x14ac:dyDescent="0.25">
      <c r="A1147" t="s">
        <v>729</v>
      </c>
      <c r="B1147" s="3">
        <v>39783</v>
      </c>
      <c r="C1147" t="s">
        <v>649</v>
      </c>
      <c r="D1147">
        <v>140</v>
      </c>
      <c r="E1147">
        <v>27</v>
      </c>
    </row>
    <row r="1148" spans="1:5" x14ac:dyDescent="0.25">
      <c r="A1148" t="s">
        <v>728</v>
      </c>
      <c r="B1148" s="3">
        <v>39783</v>
      </c>
      <c r="C1148" t="s">
        <v>649</v>
      </c>
      <c r="D1148">
        <v>185</v>
      </c>
      <c r="E1148">
        <v>122</v>
      </c>
    </row>
    <row r="1149" spans="1:5" x14ac:dyDescent="0.25">
      <c r="A1149" t="s">
        <v>727</v>
      </c>
      <c r="B1149" s="3">
        <v>39783</v>
      </c>
      <c r="C1149" t="s">
        <v>649</v>
      </c>
      <c r="D1149">
        <v>175</v>
      </c>
      <c r="E1149">
        <v>119</v>
      </c>
    </row>
    <row r="1150" spans="1:5" x14ac:dyDescent="0.25">
      <c r="A1150" t="s">
        <v>726</v>
      </c>
      <c r="B1150" s="3">
        <v>39783</v>
      </c>
      <c r="C1150" t="s">
        <v>649</v>
      </c>
      <c r="D1150">
        <v>165</v>
      </c>
      <c r="E1150">
        <v>53</v>
      </c>
    </row>
    <row r="1151" spans="1:5" x14ac:dyDescent="0.25">
      <c r="A1151" t="s">
        <v>725</v>
      </c>
      <c r="B1151" s="3">
        <v>39783</v>
      </c>
      <c r="C1151" t="s">
        <v>649</v>
      </c>
      <c r="D1151">
        <v>180</v>
      </c>
      <c r="E1151">
        <v>172</v>
      </c>
    </row>
    <row r="1152" spans="1:5" x14ac:dyDescent="0.25">
      <c r="A1152" t="s">
        <v>724</v>
      </c>
      <c r="B1152" s="3">
        <v>39783</v>
      </c>
      <c r="C1152" t="s">
        <v>649</v>
      </c>
      <c r="D1152">
        <v>240</v>
      </c>
      <c r="E1152">
        <v>225</v>
      </c>
    </row>
    <row r="1153" spans="1:5" x14ac:dyDescent="0.25">
      <c r="A1153" t="s">
        <v>723</v>
      </c>
      <c r="B1153" s="3">
        <v>39783</v>
      </c>
      <c r="C1153" t="s">
        <v>649</v>
      </c>
      <c r="D1153">
        <v>150</v>
      </c>
      <c r="E1153">
        <v>26</v>
      </c>
    </row>
    <row r="1154" spans="1:5" x14ac:dyDescent="0.25">
      <c r="A1154" t="s">
        <v>722</v>
      </c>
      <c r="B1154" s="3">
        <v>39783</v>
      </c>
      <c r="C1154" t="s">
        <v>649</v>
      </c>
      <c r="D1154">
        <v>140</v>
      </c>
      <c r="E1154">
        <v>51</v>
      </c>
    </row>
    <row r="1155" spans="1:5" x14ac:dyDescent="0.25">
      <c r="A1155" t="s">
        <v>721</v>
      </c>
      <c r="B1155" s="3">
        <v>39783</v>
      </c>
      <c r="C1155" t="s">
        <v>649</v>
      </c>
      <c r="D1155">
        <v>190</v>
      </c>
      <c r="E1155">
        <v>83</v>
      </c>
    </row>
    <row r="1156" spans="1:5" x14ac:dyDescent="0.25">
      <c r="A1156" t="s">
        <v>720</v>
      </c>
      <c r="B1156" s="3">
        <v>39783</v>
      </c>
      <c r="C1156" t="s">
        <v>649</v>
      </c>
      <c r="D1156">
        <v>175</v>
      </c>
      <c r="E1156">
        <v>28</v>
      </c>
    </row>
    <row r="1157" spans="1:5" x14ac:dyDescent="0.25">
      <c r="A1157" t="s">
        <v>719</v>
      </c>
      <c r="B1157" s="3">
        <v>39783</v>
      </c>
      <c r="C1157" t="s">
        <v>649</v>
      </c>
      <c r="D1157">
        <v>210</v>
      </c>
      <c r="E1157">
        <v>54</v>
      </c>
    </row>
    <row r="1158" spans="1:5" x14ac:dyDescent="0.25">
      <c r="A1158" t="s">
        <v>718</v>
      </c>
      <c r="B1158" s="3">
        <v>39783</v>
      </c>
      <c r="C1158" t="s">
        <v>649</v>
      </c>
      <c r="D1158">
        <v>200</v>
      </c>
      <c r="E1158">
        <v>173</v>
      </c>
    </row>
    <row r="1159" spans="1:5" x14ac:dyDescent="0.25">
      <c r="A1159" t="s">
        <v>717</v>
      </c>
      <c r="B1159" s="3">
        <v>39783</v>
      </c>
      <c r="C1159" t="s">
        <v>649</v>
      </c>
      <c r="D1159">
        <v>240</v>
      </c>
      <c r="E1159">
        <v>85</v>
      </c>
    </row>
    <row r="1160" spans="1:5" x14ac:dyDescent="0.25">
      <c r="A1160" t="s">
        <v>716</v>
      </c>
      <c r="B1160" s="3">
        <v>39783</v>
      </c>
      <c r="C1160" t="s">
        <v>649</v>
      </c>
      <c r="D1160">
        <v>160</v>
      </c>
      <c r="E1160">
        <v>202</v>
      </c>
    </row>
    <row r="1161" spans="1:5" x14ac:dyDescent="0.25">
      <c r="A1161" t="s">
        <v>715</v>
      </c>
      <c r="B1161" s="3">
        <v>39783</v>
      </c>
      <c r="C1161" t="s">
        <v>649</v>
      </c>
      <c r="D1161">
        <v>135</v>
      </c>
      <c r="E1161">
        <v>27</v>
      </c>
    </row>
    <row r="1162" spans="1:5" x14ac:dyDescent="0.25">
      <c r="A1162" t="s">
        <v>714</v>
      </c>
      <c r="B1162" s="3">
        <v>39783</v>
      </c>
      <c r="C1162" t="s">
        <v>649</v>
      </c>
      <c r="D1162">
        <v>240</v>
      </c>
      <c r="E1162">
        <v>910</v>
      </c>
    </row>
    <row r="1163" spans="1:5" x14ac:dyDescent="0.25">
      <c r="A1163" t="s">
        <v>713</v>
      </c>
      <c r="B1163" s="3">
        <v>39783</v>
      </c>
      <c r="C1163" t="s">
        <v>649</v>
      </c>
      <c r="D1163">
        <v>240</v>
      </c>
      <c r="E1163">
        <v>184</v>
      </c>
    </row>
    <row r="1164" spans="1:5" x14ac:dyDescent="0.25">
      <c r="A1164" t="s">
        <v>712</v>
      </c>
      <c r="B1164" s="3">
        <v>39783</v>
      </c>
      <c r="C1164" t="s">
        <v>649</v>
      </c>
      <c r="D1164">
        <v>235</v>
      </c>
      <c r="E1164">
        <v>569</v>
      </c>
    </row>
    <row r="1165" spans="1:5" x14ac:dyDescent="0.25">
      <c r="A1165" t="s">
        <v>711</v>
      </c>
      <c r="B1165" s="3">
        <v>39783</v>
      </c>
      <c r="C1165" t="s">
        <v>649</v>
      </c>
      <c r="D1165">
        <v>250</v>
      </c>
      <c r="E1165">
        <v>157</v>
      </c>
    </row>
    <row r="1166" spans="1:5" x14ac:dyDescent="0.25">
      <c r="A1166" t="s">
        <v>756</v>
      </c>
      <c r="B1166" s="3">
        <v>39783</v>
      </c>
      <c r="C1166" t="s">
        <v>649</v>
      </c>
      <c r="D1166">
        <v>190</v>
      </c>
      <c r="E1166">
        <v>58</v>
      </c>
    </row>
    <row r="1167" spans="1:5" x14ac:dyDescent="0.25">
      <c r="A1167" t="s">
        <v>710</v>
      </c>
      <c r="B1167" s="3">
        <v>39783</v>
      </c>
      <c r="C1167" t="s">
        <v>649</v>
      </c>
      <c r="D1167">
        <v>160</v>
      </c>
      <c r="E1167">
        <v>319</v>
      </c>
    </row>
    <row r="1168" spans="1:5" x14ac:dyDescent="0.25">
      <c r="A1168" t="s">
        <v>709</v>
      </c>
      <c r="B1168" s="3">
        <v>39783</v>
      </c>
      <c r="C1168" t="s">
        <v>649</v>
      </c>
      <c r="D1168">
        <v>210</v>
      </c>
      <c r="E1168">
        <v>498</v>
      </c>
    </row>
    <row r="1169" spans="1:5" x14ac:dyDescent="0.25">
      <c r="A1169" t="s">
        <v>708</v>
      </c>
      <c r="B1169" s="3">
        <v>39783</v>
      </c>
      <c r="C1169" t="s">
        <v>649</v>
      </c>
      <c r="D1169">
        <v>145</v>
      </c>
      <c r="E1169">
        <v>31</v>
      </c>
    </row>
    <row r="1170" spans="1:5" x14ac:dyDescent="0.25">
      <c r="A1170" t="s">
        <v>635</v>
      </c>
      <c r="B1170" s="3">
        <v>39783</v>
      </c>
      <c r="C1170" t="s">
        <v>652</v>
      </c>
      <c r="D1170">
        <v>300</v>
      </c>
      <c r="E1170">
        <v>3068</v>
      </c>
    </row>
    <row r="1171" spans="1:5" x14ac:dyDescent="0.25">
      <c r="A1171" t="s">
        <v>755</v>
      </c>
      <c r="B1171" s="3">
        <v>39783</v>
      </c>
      <c r="C1171" t="s">
        <v>652</v>
      </c>
      <c r="D1171">
        <v>290</v>
      </c>
      <c r="E1171">
        <v>168</v>
      </c>
    </row>
    <row r="1172" spans="1:5" x14ac:dyDescent="0.25">
      <c r="A1172" t="s">
        <v>754</v>
      </c>
      <c r="B1172" s="3">
        <v>39783</v>
      </c>
      <c r="C1172" t="s">
        <v>652</v>
      </c>
      <c r="D1172">
        <v>360</v>
      </c>
      <c r="E1172">
        <v>268</v>
      </c>
    </row>
    <row r="1173" spans="1:5" x14ac:dyDescent="0.25">
      <c r="A1173" t="s">
        <v>753</v>
      </c>
      <c r="B1173" s="3">
        <v>39783</v>
      </c>
      <c r="C1173" t="s">
        <v>652</v>
      </c>
      <c r="D1173">
        <v>320</v>
      </c>
      <c r="E1173">
        <v>335</v>
      </c>
    </row>
    <row r="1174" spans="1:5" x14ac:dyDescent="0.25">
      <c r="A1174" t="s">
        <v>752</v>
      </c>
      <c r="B1174" s="3">
        <v>39783</v>
      </c>
      <c r="C1174" t="s">
        <v>652</v>
      </c>
      <c r="D1174">
        <v>275</v>
      </c>
      <c r="E1174">
        <v>384</v>
      </c>
    </row>
    <row r="1175" spans="1:5" x14ac:dyDescent="0.25">
      <c r="A1175" t="s">
        <v>751</v>
      </c>
      <c r="B1175" s="3">
        <v>39783</v>
      </c>
      <c r="C1175" t="s">
        <v>652</v>
      </c>
      <c r="D1175">
        <v>335</v>
      </c>
      <c r="E1175">
        <v>127</v>
      </c>
    </row>
    <row r="1176" spans="1:5" x14ac:dyDescent="0.25">
      <c r="A1176" t="s">
        <v>750</v>
      </c>
      <c r="B1176" s="3">
        <v>39783</v>
      </c>
      <c r="C1176" t="s">
        <v>652</v>
      </c>
      <c r="D1176">
        <v>290</v>
      </c>
      <c r="E1176">
        <v>254</v>
      </c>
    </row>
    <row r="1177" spans="1:5" x14ac:dyDescent="0.25">
      <c r="A1177" t="s">
        <v>749</v>
      </c>
      <c r="B1177" s="3">
        <v>39783</v>
      </c>
      <c r="C1177" t="s">
        <v>652</v>
      </c>
      <c r="D1177">
        <v>300</v>
      </c>
      <c r="E1177">
        <v>346</v>
      </c>
    </row>
    <row r="1178" spans="1:5" x14ac:dyDescent="0.25">
      <c r="A1178" t="s">
        <v>748</v>
      </c>
      <c r="B1178" s="3">
        <v>39783</v>
      </c>
      <c r="C1178" t="s">
        <v>652</v>
      </c>
      <c r="D1178">
        <v>270</v>
      </c>
      <c r="E1178">
        <v>319</v>
      </c>
    </row>
    <row r="1179" spans="1:5" x14ac:dyDescent="0.25">
      <c r="A1179" t="s">
        <v>747</v>
      </c>
      <c r="B1179" s="3">
        <v>39783</v>
      </c>
      <c r="C1179" t="s">
        <v>652</v>
      </c>
      <c r="D1179">
        <v>320</v>
      </c>
      <c r="E1179">
        <v>349</v>
      </c>
    </row>
    <row r="1180" spans="1:5" x14ac:dyDescent="0.25">
      <c r="A1180" t="s">
        <v>746</v>
      </c>
      <c r="B1180" s="3">
        <v>39783</v>
      </c>
      <c r="C1180" t="s">
        <v>652</v>
      </c>
      <c r="D1180">
        <v>300</v>
      </c>
      <c r="E1180">
        <v>54</v>
      </c>
    </row>
    <row r="1181" spans="1:5" x14ac:dyDescent="0.25">
      <c r="A1181" t="s">
        <v>745</v>
      </c>
      <c r="B1181" s="3">
        <v>39783</v>
      </c>
      <c r="C1181" t="s">
        <v>652</v>
      </c>
      <c r="D1181">
        <v>315</v>
      </c>
      <c r="E1181">
        <v>104</v>
      </c>
    </row>
    <row r="1182" spans="1:5" x14ac:dyDescent="0.25">
      <c r="A1182" t="s">
        <v>744</v>
      </c>
      <c r="B1182" s="3">
        <v>39783</v>
      </c>
      <c r="C1182" t="s">
        <v>652</v>
      </c>
      <c r="D1182">
        <v>265</v>
      </c>
      <c r="E1182">
        <v>360</v>
      </c>
    </row>
    <row r="1183" spans="1:5" x14ac:dyDescent="0.25">
      <c r="A1183" t="s">
        <v>743</v>
      </c>
      <c r="B1183" s="3">
        <v>39783</v>
      </c>
      <c r="C1183" t="s">
        <v>652</v>
      </c>
      <c r="D1183">
        <v>230</v>
      </c>
      <c r="E1183">
        <v>37</v>
      </c>
    </row>
    <row r="1184" spans="1:5" x14ac:dyDescent="0.25">
      <c r="A1184" t="s">
        <v>742</v>
      </c>
      <c r="B1184" s="3">
        <v>39783</v>
      </c>
      <c r="C1184" t="s">
        <v>652</v>
      </c>
      <c r="D1184">
        <v>270</v>
      </c>
      <c r="E1184">
        <v>116</v>
      </c>
    </row>
    <row r="1185" spans="1:5" x14ac:dyDescent="0.25">
      <c r="A1185" t="s">
        <v>741</v>
      </c>
      <c r="B1185" s="3">
        <v>39783</v>
      </c>
      <c r="C1185" t="s">
        <v>652</v>
      </c>
      <c r="D1185">
        <v>220</v>
      </c>
      <c r="E1185">
        <v>293</v>
      </c>
    </row>
    <row r="1186" spans="1:5" x14ac:dyDescent="0.25">
      <c r="A1186" t="s">
        <v>740</v>
      </c>
      <c r="B1186" s="3">
        <v>39783</v>
      </c>
      <c r="C1186" t="s">
        <v>652</v>
      </c>
      <c r="D1186">
        <v>235</v>
      </c>
      <c r="E1186">
        <v>559</v>
      </c>
    </row>
    <row r="1187" spans="1:5" x14ac:dyDescent="0.25">
      <c r="A1187" t="s">
        <v>739</v>
      </c>
      <c r="B1187" s="3">
        <v>39783</v>
      </c>
      <c r="C1187" t="s">
        <v>652</v>
      </c>
      <c r="D1187">
        <v>285</v>
      </c>
      <c r="E1187">
        <v>481</v>
      </c>
    </row>
    <row r="1188" spans="1:5" x14ac:dyDescent="0.25">
      <c r="A1188" t="s">
        <v>738</v>
      </c>
      <c r="B1188" s="3">
        <v>39783</v>
      </c>
      <c r="C1188" t="s">
        <v>652</v>
      </c>
      <c r="D1188">
        <v>185</v>
      </c>
      <c r="E1188">
        <v>47</v>
      </c>
    </row>
    <row r="1189" spans="1:5" x14ac:dyDescent="0.25">
      <c r="A1189" t="s">
        <v>737</v>
      </c>
      <c r="B1189" s="3">
        <v>39783</v>
      </c>
      <c r="C1189" t="s">
        <v>652</v>
      </c>
      <c r="D1189">
        <v>350</v>
      </c>
      <c r="E1189">
        <v>66</v>
      </c>
    </row>
    <row r="1190" spans="1:5" x14ac:dyDescent="0.25">
      <c r="A1190" t="s">
        <v>736</v>
      </c>
      <c r="B1190" s="3">
        <v>39783</v>
      </c>
      <c r="C1190" t="s">
        <v>652</v>
      </c>
      <c r="D1190">
        <v>200</v>
      </c>
      <c r="E1190">
        <v>49</v>
      </c>
    </row>
    <row r="1191" spans="1:5" x14ac:dyDescent="0.25">
      <c r="A1191" t="s">
        <v>735</v>
      </c>
      <c r="B1191" s="3">
        <v>39783</v>
      </c>
      <c r="C1191" t="s">
        <v>652</v>
      </c>
      <c r="D1191">
        <v>260</v>
      </c>
      <c r="E1191">
        <v>200</v>
      </c>
    </row>
    <row r="1192" spans="1:5" x14ac:dyDescent="0.25">
      <c r="A1192" t="s">
        <v>734</v>
      </c>
      <c r="B1192" s="3">
        <v>39783</v>
      </c>
      <c r="C1192" t="s">
        <v>652</v>
      </c>
      <c r="D1192">
        <v>340</v>
      </c>
      <c r="E1192">
        <v>1066</v>
      </c>
    </row>
    <row r="1193" spans="1:5" x14ac:dyDescent="0.25">
      <c r="A1193" t="s">
        <v>733</v>
      </c>
      <c r="B1193" s="3">
        <v>39783</v>
      </c>
      <c r="C1193" t="s">
        <v>652</v>
      </c>
      <c r="D1193">
        <v>320</v>
      </c>
      <c r="E1193">
        <v>239</v>
      </c>
    </row>
    <row r="1194" spans="1:5" x14ac:dyDescent="0.25">
      <c r="A1194" t="s">
        <v>732</v>
      </c>
      <c r="B1194" s="3">
        <v>39783</v>
      </c>
      <c r="C1194" t="s">
        <v>652</v>
      </c>
      <c r="D1194">
        <v>350</v>
      </c>
      <c r="E1194">
        <v>506</v>
      </c>
    </row>
    <row r="1195" spans="1:5" x14ac:dyDescent="0.25">
      <c r="A1195" t="s">
        <v>731</v>
      </c>
      <c r="B1195" s="3">
        <v>39783</v>
      </c>
      <c r="C1195" t="s">
        <v>652</v>
      </c>
      <c r="D1195">
        <v>350</v>
      </c>
      <c r="E1195">
        <v>122</v>
      </c>
    </row>
    <row r="1196" spans="1:5" x14ac:dyDescent="0.25">
      <c r="A1196" t="s">
        <v>730</v>
      </c>
      <c r="B1196" s="3">
        <v>39783</v>
      </c>
      <c r="C1196" t="s">
        <v>652</v>
      </c>
      <c r="D1196">
        <v>320</v>
      </c>
      <c r="E1196">
        <v>199</v>
      </c>
    </row>
    <row r="1197" spans="1:5" x14ac:dyDescent="0.25">
      <c r="A1197" t="s">
        <v>729</v>
      </c>
      <c r="B1197" s="3">
        <v>39783</v>
      </c>
      <c r="C1197" t="s">
        <v>652</v>
      </c>
      <c r="D1197">
        <v>220</v>
      </c>
      <c r="E1197">
        <v>157</v>
      </c>
    </row>
    <row r="1198" spans="1:5" x14ac:dyDescent="0.25">
      <c r="A1198" t="s">
        <v>728</v>
      </c>
      <c r="B1198" s="3">
        <v>39783</v>
      </c>
      <c r="C1198" t="s">
        <v>652</v>
      </c>
      <c r="D1198">
        <v>230</v>
      </c>
      <c r="E1198">
        <v>243</v>
      </c>
    </row>
    <row r="1199" spans="1:5" x14ac:dyDescent="0.25">
      <c r="A1199" t="s">
        <v>727</v>
      </c>
      <c r="B1199" s="3">
        <v>39783</v>
      </c>
      <c r="C1199" t="s">
        <v>652</v>
      </c>
      <c r="D1199">
        <v>220</v>
      </c>
      <c r="E1199">
        <v>691</v>
      </c>
    </row>
    <row r="1200" spans="1:5" x14ac:dyDescent="0.25">
      <c r="A1200" t="s">
        <v>726</v>
      </c>
      <c r="B1200" s="3">
        <v>39783</v>
      </c>
      <c r="C1200" t="s">
        <v>652</v>
      </c>
      <c r="D1200">
        <v>200</v>
      </c>
      <c r="E1200">
        <v>65</v>
      </c>
    </row>
    <row r="1201" spans="1:5" x14ac:dyDescent="0.25">
      <c r="A1201" t="s">
        <v>725</v>
      </c>
      <c r="B1201" s="3">
        <v>39783</v>
      </c>
      <c r="C1201" t="s">
        <v>652</v>
      </c>
      <c r="D1201">
        <v>250</v>
      </c>
      <c r="E1201">
        <v>630</v>
      </c>
    </row>
    <row r="1202" spans="1:5" x14ac:dyDescent="0.25">
      <c r="A1202" t="s">
        <v>724</v>
      </c>
      <c r="B1202" s="3">
        <v>39783</v>
      </c>
      <c r="C1202" t="s">
        <v>652</v>
      </c>
      <c r="D1202">
        <v>340</v>
      </c>
      <c r="E1202">
        <v>307</v>
      </c>
    </row>
    <row r="1203" spans="1:5" x14ac:dyDescent="0.25">
      <c r="A1203" t="s">
        <v>723</v>
      </c>
      <c r="B1203" s="3">
        <v>39783</v>
      </c>
      <c r="C1203" t="s">
        <v>652</v>
      </c>
      <c r="D1203">
        <v>230</v>
      </c>
      <c r="E1203">
        <v>27</v>
      </c>
    </row>
    <row r="1204" spans="1:5" x14ac:dyDescent="0.25">
      <c r="A1204" t="s">
        <v>722</v>
      </c>
      <c r="B1204" s="3">
        <v>39783</v>
      </c>
      <c r="C1204" t="s">
        <v>652</v>
      </c>
      <c r="D1204">
        <v>200</v>
      </c>
      <c r="E1204">
        <v>105</v>
      </c>
    </row>
    <row r="1205" spans="1:5" x14ac:dyDescent="0.25">
      <c r="A1205" t="s">
        <v>721</v>
      </c>
      <c r="B1205" s="3">
        <v>39783</v>
      </c>
      <c r="C1205" t="s">
        <v>652</v>
      </c>
      <c r="D1205">
        <v>300</v>
      </c>
      <c r="E1205">
        <v>53</v>
      </c>
    </row>
    <row r="1206" spans="1:5" x14ac:dyDescent="0.25">
      <c r="A1206" t="s">
        <v>720</v>
      </c>
      <c r="B1206" s="3">
        <v>39783</v>
      </c>
      <c r="C1206" t="s">
        <v>652</v>
      </c>
      <c r="D1206">
        <v>280</v>
      </c>
      <c r="E1206">
        <v>112</v>
      </c>
    </row>
    <row r="1207" spans="1:5" x14ac:dyDescent="0.25">
      <c r="A1207" t="s">
        <v>719</v>
      </c>
      <c r="B1207" s="3">
        <v>39783</v>
      </c>
      <c r="C1207" t="s">
        <v>652</v>
      </c>
      <c r="D1207">
        <v>265</v>
      </c>
      <c r="E1207">
        <v>328</v>
      </c>
    </row>
    <row r="1208" spans="1:5" x14ac:dyDescent="0.25">
      <c r="A1208" t="s">
        <v>718</v>
      </c>
      <c r="B1208" s="3">
        <v>39783</v>
      </c>
      <c r="C1208" t="s">
        <v>652</v>
      </c>
      <c r="D1208">
        <v>255</v>
      </c>
      <c r="E1208">
        <v>216</v>
      </c>
    </row>
    <row r="1209" spans="1:5" x14ac:dyDescent="0.25">
      <c r="A1209" t="s">
        <v>717</v>
      </c>
      <c r="B1209" s="3">
        <v>39783</v>
      </c>
      <c r="C1209" t="s">
        <v>652</v>
      </c>
      <c r="D1209">
        <v>275</v>
      </c>
      <c r="E1209">
        <v>342</v>
      </c>
    </row>
    <row r="1210" spans="1:5" x14ac:dyDescent="0.25">
      <c r="A1210" t="s">
        <v>716</v>
      </c>
      <c r="B1210" s="3">
        <v>39783</v>
      </c>
      <c r="C1210" t="s">
        <v>652</v>
      </c>
      <c r="D1210">
        <v>245</v>
      </c>
      <c r="E1210">
        <v>277</v>
      </c>
    </row>
    <row r="1211" spans="1:5" x14ac:dyDescent="0.25">
      <c r="A1211" t="s">
        <v>715</v>
      </c>
      <c r="B1211" s="3">
        <v>39783</v>
      </c>
      <c r="C1211" t="s">
        <v>652</v>
      </c>
      <c r="D1211">
        <v>230</v>
      </c>
      <c r="E1211">
        <v>45</v>
      </c>
    </row>
    <row r="1212" spans="1:5" x14ac:dyDescent="0.25">
      <c r="A1212" t="s">
        <v>714</v>
      </c>
      <c r="B1212" s="3">
        <v>39783</v>
      </c>
      <c r="C1212" t="s">
        <v>652</v>
      </c>
      <c r="D1212">
        <v>300</v>
      </c>
      <c r="E1212">
        <v>944</v>
      </c>
    </row>
    <row r="1213" spans="1:5" x14ac:dyDescent="0.25">
      <c r="A1213" t="s">
        <v>713</v>
      </c>
      <c r="B1213" s="3">
        <v>39783</v>
      </c>
      <c r="C1213" t="s">
        <v>652</v>
      </c>
      <c r="D1213">
        <v>295</v>
      </c>
      <c r="E1213">
        <v>270</v>
      </c>
    </row>
    <row r="1214" spans="1:5" x14ac:dyDescent="0.25">
      <c r="A1214" t="s">
        <v>712</v>
      </c>
      <c r="B1214" s="3">
        <v>39783</v>
      </c>
      <c r="C1214" t="s">
        <v>652</v>
      </c>
      <c r="D1214">
        <v>300</v>
      </c>
      <c r="E1214">
        <v>515</v>
      </c>
    </row>
    <row r="1215" spans="1:5" x14ac:dyDescent="0.25">
      <c r="A1215" t="s">
        <v>711</v>
      </c>
      <c r="B1215" s="3">
        <v>39783</v>
      </c>
      <c r="C1215" t="s">
        <v>652</v>
      </c>
      <c r="D1215">
        <v>290</v>
      </c>
      <c r="E1215">
        <v>159</v>
      </c>
    </row>
    <row r="1216" spans="1:5" x14ac:dyDescent="0.25">
      <c r="A1216" t="s">
        <v>756</v>
      </c>
      <c r="B1216" s="3">
        <v>39783</v>
      </c>
      <c r="C1216" t="s">
        <v>652</v>
      </c>
      <c r="D1216">
        <v>260</v>
      </c>
      <c r="E1216">
        <v>291</v>
      </c>
    </row>
    <row r="1217" spans="1:5" x14ac:dyDescent="0.25">
      <c r="A1217" t="s">
        <v>710</v>
      </c>
      <c r="B1217" s="3">
        <v>39783</v>
      </c>
      <c r="C1217" t="s">
        <v>652</v>
      </c>
      <c r="D1217">
        <v>220</v>
      </c>
      <c r="E1217">
        <v>482</v>
      </c>
    </row>
    <row r="1218" spans="1:5" x14ac:dyDescent="0.25">
      <c r="A1218" t="s">
        <v>709</v>
      </c>
      <c r="B1218" s="3">
        <v>39783</v>
      </c>
      <c r="C1218" t="s">
        <v>652</v>
      </c>
      <c r="D1218">
        <v>270</v>
      </c>
      <c r="E1218">
        <v>368</v>
      </c>
    </row>
    <row r="1219" spans="1:5" x14ac:dyDescent="0.25">
      <c r="A1219" t="s">
        <v>708</v>
      </c>
      <c r="B1219" s="3">
        <v>39783</v>
      </c>
      <c r="C1219" t="s">
        <v>652</v>
      </c>
      <c r="D1219">
        <v>185</v>
      </c>
      <c r="E1219">
        <v>74</v>
      </c>
    </row>
    <row r="1220" spans="1:5" x14ac:dyDescent="0.25">
      <c r="A1220" t="s">
        <v>635</v>
      </c>
      <c r="B1220" s="3">
        <v>39873</v>
      </c>
      <c r="C1220" t="s">
        <v>649</v>
      </c>
      <c r="D1220">
        <v>300</v>
      </c>
      <c r="E1220">
        <v>3833</v>
      </c>
    </row>
    <row r="1221" spans="1:5" x14ac:dyDescent="0.25">
      <c r="A1221" t="s">
        <v>755</v>
      </c>
      <c r="B1221" s="3">
        <v>39873</v>
      </c>
      <c r="C1221" t="s">
        <v>649</v>
      </c>
      <c r="D1221">
        <v>260</v>
      </c>
      <c r="E1221">
        <v>41</v>
      </c>
    </row>
    <row r="1222" spans="1:5" x14ac:dyDescent="0.25">
      <c r="A1222" t="s">
        <v>754</v>
      </c>
      <c r="B1222" s="3">
        <v>39873</v>
      </c>
      <c r="C1222" t="s">
        <v>649</v>
      </c>
      <c r="D1222">
        <v>380</v>
      </c>
      <c r="E1222">
        <v>1680</v>
      </c>
    </row>
    <row r="1223" spans="1:5" x14ac:dyDescent="0.25">
      <c r="A1223" t="s">
        <v>753</v>
      </c>
      <c r="B1223" s="3">
        <v>39873</v>
      </c>
      <c r="C1223" t="s">
        <v>649</v>
      </c>
      <c r="D1223">
        <v>260</v>
      </c>
      <c r="E1223">
        <v>745</v>
      </c>
    </row>
    <row r="1224" spans="1:5" x14ac:dyDescent="0.25">
      <c r="A1224" t="s">
        <v>752</v>
      </c>
      <c r="B1224" s="3">
        <v>39873</v>
      </c>
      <c r="C1224" t="s">
        <v>649</v>
      </c>
      <c r="D1224">
        <v>250</v>
      </c>
      <c r="E1224">
        <v>170</v>
      </c>
    </row>
    <row r="1225" spans="1:5" x14ac:dyDescent="0.25">
      <c r="A1225" t="s">
        <v>751</v>
      </c>
      <c r="B1225" s="3">
        <v>39873</v>
      </c>
      <c r="C1225" t="s">
        <v>649</v>
      </c>
      <c r="D1225">
        <v>265</v>
      </c>
      <c r="E1225">
        <v>106</v>
      </c>
    </row>
    <row r="1226" spans="1:5" x14ac:dyDescent="0.25">
      <c r="A1226" t="s">
        <v>750</v>
      </c>
      <c r="B1226" s="3">
        <v>39873</v>
      </c>
      <c r="C1226" t="s">
        <v>649</v>
      </c>
      <c r="D1226">
        <v>250</v>
      </c>
      <c r="E1226">
        <v>45</v>
      </c>
    </row>
    <row r="1227" spans="1:5" x14ac:dyDescent="0.25">
      <c r="A1227" t="s">
        <v>749</v>
      </c>
      <c r="B1227" s="3">
        <v>39873</v>
      </c>
      <c r="C1227" t="s">
        <v>649</v>
      </c>
      <c r="D1227">
        <v>260</v>
      </c>
      <c r="E1227">
        <v>400</v>
      </c>
    </row>
    <row r="1228" spans="1:5" x14ac:dyDescent="0.25">
      <c r="A1228" t="s">
        <v>748</v>
      </c>
      <c r="B1228" s="3">
        <v>39873</v>
      </c>
      <c r="C1228" t="s">
        <v>649</v>
      </c>
      <c r="D1228">
        <v>245</v>
      </c>
      <c r="E1228">
        <v>49</v>
      </c>
    </row>
    <row r="1229" spans="1:5" x14ac:dyDescent="0.25">
      <c r="A1229" t="s">
        <v>747</v>
      </c>
      <c r="B1229" s="3">
        <v>39873</v>
      </c>
      <c r="C1229" t="s">
        <v>649</v>
      </c>
      <c r="D1229">
        <v>280</v>
      </c>
      <c r="E1229">
        <v>373</v>
      </c>
    </row>
    <row r="1230" spans="1:5" x14ac:dyDescent="0.25">
      <c r="A1230" t="s">
        <v>746</v>
      </c>
      <c r="B1230" s="3">
        <v>39873</v>
      </c>
      <c r="C1230" t="s">
        <v>649</v>
      </c>
      <c r="D1230">
        <v>245</v>
      </c>
      <c r="E1230">
        <v>7</v>
      </c>
    </row>
    <row r="1231" spans="1:5" x14ac:dyDescent="0.25">
      <c r="A1231" t="s">
        <v>745</v>
      </c>
      <c r="B1231" s="3">
        <v>39873</v>
      </c>
      <c r="C1231" t="s">
        <v>649</v>
      </c>
      <c r="D1231">
        <v>280</v>
      </c>
      <c r="E1231">
        <v>197</v>
      </c>
    </row>
    <row r="1232" spans="1:5" x14ac:dyDescent="0.25">
      <c r="A1232" t="s">
        <v>744</v>
      </c>
      <c r="B1232" s="3">
        <v>39873</v>
      </c>
      <c r="C1232" t="s">
        <v>649</v>
      </c>
      <c r="D1232">
        <v>230</v>
      </c>
      <c r="E1232">
        <v>20</v>
      </c>
    </row>
    <row r="1233" spans="1:5" x14ac:dyDescent="0.25">
      <c r="A1233" t="s">
        <v>743</v>
      </c>
      <c r="B1233" s="3">
        <v>39873</v>
      </c>
      <c r="C1233" t="s">
        <v>649</v>
      </c>
      <c r="D1233">
        <v>170</v>
      </c>
      <c r="E1233">
        <v>21</v>
      </c>
    </row>
    <row r="1234" spans="1:5" x14ac:dyDescent="0.25">
      <c r="A1234" t="s">
        <v>742</v>
      </c>
      <c r="B1234" s="3">
        <v>39873</v>
      </c>
      <c r="C1234" t="s">
        <v>649</v>
      </c>
      <c r="D1234">
        <v>150</v>
      </c>
      <c r="E1234">
        <v>25</v>
      </c>
    </row>
    <row r="1235" spans="1:5" x14ac:dyDescent="0.25">
      <c r="A1235" t="s">
        <v>741</v>
      </c>
      <c r="B1235" s="3">
        <v>39873</v>
      </c>
      <c r="C1235" t="s">
        <v>649</v>
      </c>
      <c r="D1235">
        <v>170</v>
      </c>
      <c r="E1235">
        <v>135</v>
      </c>
    </row>
    <row r="1236" spans="1:5" x14ac:dyDescent="0.25">
      <c r="A1236" t="s">
        <v>740</v>
      </c>
      <c r="B1236" s="3">
        <v>39873</v>
      </c>
      <c r="C1236" t="s">
        <v>649</v>
      </c>
      <c r="D1236">
        <v>210</v>
      </c>
      <c r="E1236">
        <v>138</v>
      </c>
    </row>
    <row r="1237" spans="1:5" x14ac:dyDescent="0.25">
      <c r="A1237" t="s">
        <v>739</v>
      </c>
      <c r="B1237" s="3">
        <v>39873</v>
      </c>
      <c r="C1237" t="s">
        <v>649</v>
      </c>
      <c r="D1237">
        <v>230</v>
      </c>
      <c r="E1237">
        <v>863</v>
      </c>
    </row>
    <row r="1238" spans="1:5" x14ac:dyDescent="0.25">
      <c r="A1238" t="s">
        <v>738</v>
      </c>
      <c r="B1238" s="3">
        <v>39873</v>
      </c>
      <c r="C1238" t="s">
        <v>649</v>
      </c>
      <c r="D1238">
        <v>140</v>
      </c>
      <c r="E1238">
        <v>15</v>
      </c>
    </row>
    <row r="1239" spans="1:5" x14ac:dyDescent="0.25">
      <c r="A1239" t="s">
        <v>737</v>
      </c>
      <c r="B1239" s="3">
        <v>39873</v>
      </c>
      <c r="C1239" t="s">
        <v>649</v>
      </c>
      <c r="D1239">
        <v>240</v>
      </c>
      <c r="E1239">
        <v>29</v>
      </c>
    </row>
    <row r="1240" spans="1:5" x14ac:dyDescent="0.25">
      <c r="A1240" t="s">
        <v>736</v>
      </c>
      <c r="B1240" s="3">
        <v>39873</v>
      </c>
      <c r="C1240" t="s">
        <v>649</v>
      </c>
      <c r="D1240">
        <v>155</v>
      </c>
      <c r="E1240">
        <v>24</v>
      </c>
    </row>
    <row r="1241" spans="1:5" x14ac:dyDescent="0.25">
      <c r="A1241" t="s">
        <v>735</v>
      </c>
      <c r="B1241" s="3">
        <v>39873</v>
      </c>
      <c r="C1241" t="s">
        <v>649</v>
      </c>
      <c r="D1241">
        <v>190</v>
      </c>
      <c r="E1241">
        <v>164</v>
      </c>
    </row>
    <row r="1242" spans="1:5" x14ac:dyDescent="0.25">
      <c r="A1242" t="s">
        <v>734</v>
      </c>
      <c r="B1242" s="3">
        <v>39873</v>
      </c>
      <c r="C1242" t="s">
        <v>649</v>
      </c>
      <c r="D1242">
        <v>300</v>
      </c>
      <c r="E1242">
        <v>2250</v>
      </c>
    </row>
    <row r="1243" spans="1:5" x14ac:dyDescent="0.25">
      <c r="A1243" t="s">
        <v>733</v>
      </c>
      <c r="B1243" s="3">
        <v>39873</v>
      </c>
      <c r="C1243" t="s">
        <v>649</v>
      </c>
      <c r="D1243">
        <v>295</v>
      </c>
      <c r="E1243">
        <v>200</v>
      </c>
    </row>
    <row r="1244" spans="1:5" x14ac:dyDescent="0.25">
      <c r="A1244" t="s">
        <v>732</v>
      </c>
      <c r="B1244" s="3">
        <v>39873</v>
      </c>
      <c r="C1244" t="s">
        <v>649</v>
      </c>
      <c r="D1244">
        <v>320</v>
      </c>
      <c r="E1244">
        <v>1613</v>
      </c>
    </row>
    <row r="1245" spans="1:5" x14ac:dyDescent="0.25">
      <c r="A1245" t="s">
        <v>731</v>
      </c>
      <c r="B1245" s="3">
        <v>39873</v>
      </c>
      <c r="C1245" t="s">
        <v>649</v>
      </c>
      <c r="D1245">
        <v>265</v>
      </c>
      <c r="E1245">
        <v>375</v>
      </c>
    </row>
    <row r="1246" spans="1:5" x14ac:dyDescent="0.25">
      <c r="A1246" t="s">
        <v>730</v>
      </c>
      <c r="B1246" s="3">
        <v>39873</v>
      </c>
      <c r="C1246" t="s">
        <v>649</v>
      </c>
      <c r="D1246">
        <v>260</v>
      </c>
      <c r="E1246">
        <v>62</v>
      </c>
    </row>
    <row r="1247" spans="1:5" x14ac:dyDescent="0.25">
      <c r="A1247" t="s">
        <v>729</v>
      </c>
      <c r="B1247" s="3">
        <v>39873</v>
      </c>
      <c r="C1247" t="s">
        <v>649</v>
      </c>
      <c r="D1247">
        <v>150</v>
      </c>
      <c r="E1247">
        <v>31</v>
      </c>
    </row>
    <row r="1248" spans="1:5" x14ac:dyDescent="0.25">
      <c r="A1248" t="s">
        <v>728</v>
      </c>
      <c r="B1248" s="3">
        <v>39873</v>
      </c>
      <c r="C1248" t="s">
        <v>649</v>
      </c>
      <c r="D1248">
        <v>190</v>
      </c>
      <c r="E1248">
        <v>135</v>
      </c>
    </row>
    <row r="1249" spans="1:5" x14ac:dyDescent="0.25">
      <c r="A1249" t="s">
        <v>727</v>
      </c>
      <c r="B1249" s="3">
        <v>39873</v>
      </c>
      <c r="C1249" t="s">
        <v>649</v>
      </c>
      <c r="D1249">
        <v>180</v>
      </c>
      <c r="E1249">
        <v>118</v>
      </c>
    </row>
    <row r="1250" spans="1:5" x14ac:dyDescent="0.25">
      <c r="A1250" t="s">
        <v>726</v>
      </c>
      <c r="B1250" s="3">
        <v>39873</v>
      </c>
      <c r="C1250" t="s">
        <v>649</v>
      </c>
      <c r="D1250">
        <v>160</v>
      </c>
      <c r="E1250">
        <v>38</v>
      </c>
    </row>
    <row r="1251" spans="1:5" x14ac:dyDescent="0.25">
      <c r="A1251" t="s">
        <v>725</v>
      </c>
      <c r="B1251" s="3">
        <v>39873</v>
      </c>
      <c r="C1251" t="s">
        <v>649</v>
      </c>
      <c r="D1251">
        <v>190</v>
      </c>
      <c r="E1251">
        <v>220</v>
      </c>
    </row>
    <row r="1252" spans="1:5" x14ac:dyDescent="0.25">
      <c r="A1252" t="s">
        <v>724</v>
      </c>
      <c r="B1252" s="3">
        <v>39873</v>
      </c>
      <c r="C1252" t="s">
        <v>649</v>
      </c>
      <c r="D1252">
        <v>250</v>
      </c>
      <c r="E1252">
        <v>198</v>
      </c>
    </row>
    <row r="1253" spans="1:5" x14ac:dyDescent="0.25">
      <c r="A1253" t="s">
        <v>723</v>
      </c>
      <c r="B1253" s="3">
        <v>39873</v>
      </c>
      <c r="C1253" t="s">
        <v>649</v>
      </c>
      <c r="D1253">
        <v>160</v>
      </c>
      <c r="E1253">
        <v>26</v>
      </c>
    </row>
    <row r="1254" spans="1:5" x14ac:dyDescent="0.25">
      <c r="A1254" t="s">
        <v>722</v>
      </c>
      <c r="B1254" s="3">
        <v>39873</v>
      </c>
      <c r="C1254" t="s">
        <v>649</v>
      </c>
      <c r="D1254">
        <v>155</v>
      </c>
      <c r="E1254">
        <v>46</v>
      </c>
    </row>
    <row r="1255" spans="1:5" x14ac:dyDescent="0.25">
      <c r="A1255" t="s">
        <v>721</v>
      </c>
      <c r="B1255" s="3">
        <v>39873</v>
      </c>
      <c r="C1255" t="s">
        <v>649</v>
      </c>
      <c r="D1255">
        <v>230</v>
      </c>
      <c r="E1255">
        <v>73</v>
      </c>
    </row>
    <row r="1256" spans="1:5" x14ac:dyDescent="0.25">
      <c r="A1256" t="s">
        <v>720</v>
      </c>
      <c r="B1256" s="3">
        <v>39873</v>
      </c>
      <c r="C1256" t="s">
        <v>649</v>
      </c>
      <c r="D1256">
        <v>190</v>
      </c>
      <c r="E1256">
        <v>33</v>
      </c>
    </row>
    <row r="1257" spans="1:5" x14ac:dyDescent="0.25">
      <c r="A1257" t="s">
        <v>719</v>
      </c>
      <c r="B1257" s="3">
        <v>39873</v>
      </c>
      <c r="C1257" t="s">
        <v>649</v>
      </c>
      <c r="D1257">
        <v>220</v>
      </c>
      <c r="E1257">
        <v>44</v>
      </c>
    </row>
    <row r="1258" spans="1:5" x14ac:dyDescent="0.25">
      <c r="A1258" t="s">
        <v>718</v>
      </c>
      <c r="B1258" s="3">
        <v>39873</v>
      </c>
      <c r="C1258" t="s">
        <v>649</v>
      </c>
      <c r="D1258">
        <v>225</v>
      </c>
      <c r="E1258">
        <v>168</v>
      </c>
    </row>
    <row r="1259" spans="1:5" x14ac:dyDescent="0.25">
      <c r="A1259" t="s">
        <v>717</v>
      </c>
      <c r="B1259" s="3">
        <v>39873</v>
      </c>
      <c r="C1259" t="s">
        <v>649</v>
      </c>
      <c r="D1259">
        <v>260</v>
      </c>
      <c r="E1259">
        <v>69</v>
      </c>
    </row>
    <row r="1260" spans="1:5" x14ac:dyDescent="0.25">
      <c r="A1260" t="s">
        <v>716</v>
      </c>
      <c r="B1260" s="3">
        <v>39873</v>
      </c>
      <c r="C1260" t="s">
        <v>649</v>
      </c>
      <c r="D1260">
        <v>180</v>
      </c>
      <c r="E1260">
        <v>173</v>
      </c>
    </row>
    <row r="1261" spans="1:5" x14ac:dyDescent="0.25">
      <c r="A1261" t="s">
        <v>715</v>
      </c>
      <c r="B1261" s="3">
        <v>39873</v>
      </c>
      <c r="C1261" t="s">
        <v>649</v>
      </c>
      <c r="D1261">
        <v>150</v>
      </c>
      <c r="E1261">
        <v>26</v>
      </c>
    </row>
    <row r="1262" spans="1:5" x14ac:dyDescent="0.25">
      <c r="A1262" t="s">
        <v>714</v>
      </c>
      <c r="B1262" s="3">
        <v>39873</v>
      </c>
      <c r="C1262" t="s">
        <v>649</v>
      </c>
      <c r="D1262">
        <v>250</v>
      </c>
      <c r="E1262">
        <v>896</v>
      </c>
    </row>
    <row r="1263" spans="1:5" x14ac:dyDescent="0.25">
      <c r="A1263" t="s">
        <v>713</v>
      </c>
      <c r="B1263" s="3">
        <v>39873</v>
      </c>
      <c r="C1263" t="s">
        <v>649</v>
      </c>
      <c r="D1263">
        <v>250</v>
      </c>
      <c r="E1263">
        <v>180</v>
      </c>
    </row>
    <row r="1264" spans="1:5" x14ac:dyDescent="0.25">
      <c r="A1264" t="s">
        <v>712</v>
      </c>
      <c r="B1264" s="3">
        <v>39873</v>
      </c>
      <c r="C1264" t="s">
        <v>649</v>
      </c>
      <c r="D1264">
        <v>250</v>
      </c>
      <c r="E1264">
        <v>572</v>
      </c>
    </row>
    <row r="1265" spans="1:5" x14ac:dyDescent="0.25">
      <c r="A1265" t="s">
        <v>711</v>
      </c>
      <c r="B1265" s="3">
        <v>39873</v>
      </c>
      <c r="C1265" t="s">
        <v>649</v>
      </c>
      <c r="D1265">
        <v>265</v>
      </c>
      <c r="E1265">
        <v>144</v>
      </c>
    </row>
    <row r="1266" spans="1:5" x14ac:dyDescent="0.25">
      <c r="A1266" t="s">
        <v>756</v>
      </c>
      <c r="B1266" s="3">
        <v>39873</v>
      </c>
      <c r="C1266" t="s">
        <v>649</v>
      </c>
      <c r="D1266">
        <v>200</v>
      </c>
      <c r="E1266">
        <v>44</v>
      </c>
    </row>
    <row r="1267" spans="1:5" x14ac:dyDescent="0.25">
      <c r="A1267" t="s">
        <v>710</v>
      </c>
      <c r="B1267" s="3">
        <v>39873</v>
      </c>
      <c r="C1267" t="s">
        <v>649</v>
      </c>
      <c r="D1267">
        <v>160</v>
      </c>
      <c r="E1267">
        <v>376</v>
      </c>
    </row>
    <row r="1268" spans="1:5" x14ac:dyDescent="0.25">
      <c r="A1268" t="s">
        <v>709</v>
      </c>
      <c r="B1268" s="3">
        <v>39873</v>
      </c>
      <c r="C1268" t="s">
        <v>649</v>
      </c>
      <c r="D1268">
        <v>230</v>
      </c>
      <c r="E1268">
        <v>559</v>
      </c>
    </row>
    <row r="1269" spans="1:5" x14ac:dyDescent="0.25">
      <c r="A1269" t="s">
        <v>708</v>
      </c>
      <c r="B1269" s="3">
        <v>39873</v>
      </c>
      <c r="C1269" t="s">
        <v>649</v>
      </c>
      <c r="D1269">
        <v>150</v>
      </c>
      <c r="E1269">
        <v>42</v>
      </c>
    </row>
    <row r="1270" spans="1:5" x14ac:dyDescent="0.25">
      <c r="A1270" t="s">
        <v>635</v>
      </c>
      <c r="B1270" s="3">
        <v>39873</v>
      </c>
      <c r="C1270" t="s">
        <v>652</v>
      </c>
      <c r="D1270">
        <v>315</v>
      </c>
      <c r="E1270">
        <v>2972</v>
      </c>
    </row>
    <row r="1271" spans="1:5" x14ac:dyDescent="0.25">
      <c r="A1271" t="s">
        <v>755</v>
      </c>
      <c r="B1271" s="3">
        <v>39873</v>
      </c>
      <c r="C1271" t="s">
        <v>652</v>
      </c>
      <c r="D1271">
        <v>320</v>
      </c>
      <c r="E1271">
        <v>153</v>
      </c>
    </row>
    <row r="1272" spans="1:5" x14ac:dyDescent="0.25">
      <c r="A1272" t="s">
        <v>754</v>
      </c>
      <c r="B1272" s="3">
        <v>39873</v>
      </c>
      <c r="C1272" t="s">
        <v>652</v>
      </c>
      <c r="D1272">
        <v>380</v>
      </c>
      <c r="E1272">
        <v>234</v>
      </c>
    </row>
    <row r="1273" spans="1:5" x14ac:dyDescent="0.25">
      <c r="A1273" t="s">
        <v>753</v>
      </c>
      <c r="B1273" s="3">
        <v>39873</v>
      </c>
      <c r="C1273" t="s">
        <v>652</v>
      </c>
      <c r="D1273">
        <v>340</v>
      </c>
      <c r="E1273">
        <v>341</v>
      </c>
    </row>
    <row r="1274" spans="1:5" x14ac:dyDescent="0.25">
      <c r="A1274" t="s">
        <v>752</v>
      </c>
      <c r="B1274" s="3">
        <v>39873</v>
      </c>
      <c r="C1274" t="s">
        <v>652</v>
      </c>
      <c r="D1274">
        <v>300</v>
      </c>
      <c r="E1274">
        <v>400</v>
      </c>
    </row>
    <row r="1275" spans="1:5" x14ac:dyDescent="0.25">
      <c r="A1275" t="s">
        <v>751</v>
      </c>
      <c r="B1275" s="3">
        <v>39873</v>
      </c>
      <c r="C1275" t="s">
        <v>652</v>
      </c>
      <c r="D1275">
        <v>360</v>
      </c>
      <c r="E1275">
        <v>129</v>
      </c>
    </row>
    <row r="1276" spans="1:5" x14ac:dyDescent="0.25">
      <c r="A1276" t="s">
        <v>750</v>
      </c>
      <c r="B1276" s="3">
        <v>39873</v>
      </c>
      <c r="C1276" t="s">
        <v>652</v>
      </c>
      <c r="D1276">
        <v>305</v>
      </c>
      <c r="E1276">
        <v>230</v>
      </c>
    </row>
    <row r="1277" spans="1:5" x14ac:dyDescent="0.25">
      <c r="A1277" t="s">
        <v>749</v>
      </c>
      <c r="B1277" s="3">
        <v>39873</v>
      </c>
      <c r="C1277" t="s">
        <v>652</v>
      </c>
      <c r="D1277">
        <v>310</v>
      </c>
      <c r="E1277">
        <v>321</v>
      </c>
    </row>
    <row r="1278" spans="1:5" x14ac:dyDescent="0.25">
      <c r="A1278" t="s">
        <v>748</v>
      </c>
      <c r="B1278" s="3">
        <v>39873</v>
      </c>
      <c r="C1278" t="s">
        <v>652</v>
      </c>
      <c r="D1278">
        <v>290</v>
      </c>
      <c r="E1278">
        <v>326</v>
      </c>
    </row>
    <row r="1279" spans="1:5" x14ac:dyDescent="0.25">
      <c r="A1279" t="s">
        <v>747</v>
      </c>
      <c r="B1279" s="3">
        <v>39873</v>
      </c>
      <c r="C1279" t="s">
        <v>652</v>
      </c>
      <c r="D1279">
        <v>340</v>
      </c>
      <c r="E1279">
        <v>327</v>
      </c>
    </row>
    <row r="1280" spans="1:5" x14ac:dyDescent="0.25">
      <c r="A1280" t="s">
        <v>746</v>
      </c>
      <c r="B1280" s="3">
        <v>39873</v>
      </c>
      <c r="C1280" t="s">
        <v>652</v>
      </c>
      <c r="D1280">
        <v>330</v>
      </c>
      <c r="E1280">
        <v>56</v>
      </c>
    </row>
    <row r="1281" spans="1:5" x14ac:dyDescent="0.25">
      <c r="A1281" t="s">
        <v>745</v>
      </c>
      <c r="B1281" s="3">
        <v>39873</v>
      </c>
      <c r="C1281" t="s">
        <v>652</v>
      </c>
      <c r="D1281">
        <v>320</v>
      </c>
      <c r="E1281">
        <v>107</v>
      </c>
    </row>
    <row r="1282" spans="1:5" x14ac:dyDescent="0.25">
      <c r="A1282" t="s">
        <v>744</v>
      </c>
      <c r="B1282" s="3">
        <v>39873</v>
      </c>
      <c r="C1282" t="s">
        <v>652</v>
      </c>
      <c r="D1282">
        <v>280</v>
      </c>
      <c r="E1282">
        <v>347</v>
      </c>
    </row>
    <row r="1283" spans="1:5" x14ac:dyDescent="0.25">
      <c r="A1283" t="s">
        <v>743</v>
      </c>
      <c r="B1283" s="3">
        <v>39873</v>
      </c>
      <c r="C1283" t="s">
        <v>652</v>
      </c>
      <c r="D1283">
        <v>250</v>
      </c>
      <c r="E1283">
        <v>42</v>
      </c>
    </row>
    <row r="1284" spans="1:5" x14ac:dyDescent="0.25">
      <c r="A1284" t="s">
        <v>742</v>
      </c>
      <c r="B1284" s="3">
        <v>39873</v>
      </c>
      <c r="C1284" t="s">
        <v>652</v>
      </c>
      <c r="D1284">
        <v>300</v>
      </c>
      <c r="E1284">
        <v>119</v>
      </c>
    </row>
    <row r="1285" spans="1:5" x14ac:dyDescent="0.25">
      <c r="A1285" t="s">
        <v>741</v>
      </c>
      <c r="B1285" s="3">
        <v>39873</v>
      </c>
      <c r="C1285" t="s">
        <v>652</v>
      </c>
      <c r="D1285">
        <v>230</v>
      </c>
      <c r="E1285">
        <v>265</v>
      </c>
    </row>
    <row r="1286" spans="1:5" x14ac:dyDescent="0.25">
      <c r="A1286" t="s">
        <v>740</v>
      </c>
      <c r="B1286" s="3">
        <v>39873</v>
      </c>
      <c r="C1286" t="s">
        <v>652</v>
      </c>
      <c r="D1286">
        <v>250</v>
      </c>
      <c r="E1286">
        <v>519</v>
      </c>
    </row>
    <row r="1287" spans="1:5" x14ac:dyDescent="0.25">
      <c r="A1287" t="s">
        <v>739</v>
      </c>
      <c r="B1287" s="3">
        <v>39873</v>
      </c>
      <c r="C1287" t="s">
        <v>652</v>
      </c>
      <c r="D1287">
        <v>295</v>
      </c>
      <c r="E1287">
        <v>470</v>
      </c>
    </row>
    <row r="1288" spans="1:5" x14ac:dyDescent="0.25">
      <c r="A1288" t="s">
        <v>738</v>
      </c>
      <c r="B1288" s="3">
        <v>39873</v>
      </c>
      <c r="C1288" t="s">
        <v>652</v>
      </c>
      <c r="D1288">
        <v>205</v>
      </c>
      <c r="E1288">
        <v>39</v>
      </c>
    </row>
    <row r="1289" spans="1:5" x14ac:dyDescent="0.25">
      <c r="A1289" t="s">
        <v>737</v>
      </c>
      <c r="B1289" s="3">
        <v>39873</v>
      </c>
      <c r="C1289" t="s">
        <v>652</v>
      </c>
      <c r="D1289">
        <v>360</v>
      </c>
      <c r="E1289">
        <v>75</v>
      </c>
    </row>
    <row r="1290" spans="1:5" x14ac:dyDescent="0.25">
      <c r="A1290" t="s">
        <v>736</v>
      </c>
      <c r="B1290" s="3">
        <v>39873</v>
      </c>
      <c r="C1290" t="s">
        <v>652</v>
      </c>
      <c r="D1290">
        <v>210</v>
      </c>
      <c r="E1290">
        <v>53</v>
      </c>
    </row>
    <row r="1291" spans="1:5" x14ac:dyDescent="0.25">
      <c r="A1291" t="s">
        <v>735</v>
      </c>
      <c r="B1291" s="3">
        <v>39873</v>
      </c>
      <c r="C1291" t="s">
        <v>652</v>
      </c>
      <c r="D1291">
        <v>280</v>
      </c>
      <c r="E1291">
        <v>201</v>
      </c>
    </row>
    <row r="1292" spans="1:5" x14ac:dyDescent="0.25">
      <c r="A1292" t="s">
        <v>734</v>
      </c>
      <c r="B1292" s="3">
        <v>39873</v>
      </c>
      <c r="C1292" t="s">
        <v>652</v>
      </c>
      <c r="D1292">
        <v>350</v>
      </c>
      <c r="E1292">
        <v>1138</v>
      </c>
    </row>
    <row r="1293" spans="1:5" x14ac:dyDescent="0.25">
      <c r="A1293" t="s">
        <v>733</v>
      </c>
      <c r="B1293" s="3">
        <v>39873</v>
      </c>
      <c r="C1293" t="s">
        <v>652</v>
      </c>
      <c r="D1293">
        <v>330</v>
      </c>
      <c r="E1293">
        <v>234</v>
      </c>
    </row>
    <row r="1294" spans="1:5" x14ac:dyDescent="0.25">
      <c r="A1294" t="s">
        <v>732</v>
      </c>
      <c r="B1294" s="3">
        <v>39873</v>
      </c>
      <c r="C1294" t="s">
        <v>652</v>
      </c>
      <c r="D1294">
        <v>365</v>
      </c>
      <c r="E1294">
        <v>550</v>
      </c>
    </row>
    <row r="1295" spans="1:5" x14ac:dyDescent="0.25">
      <c r="A1295" t="s">
        <v>731</v>
      </c>
      <c r="B1295" s="3">
        <v>39873</v>
      </c>
      <c r="C1295" t="s">
        <v>652</v>
      </c>
      <c r="D1295">
        <v>380</v>
      </c>
      <c r="E1295">
        <v>117</v>
      </c>
    </row>
    <row r="1296" spans="1:5" x14ac:dyDescent="0.25">
      <c r="A1296" t="s">
        <v>730</v>
      </c>
      <c r="B1296" s="3">
        <v>39873</v>
      </c>
      <c r="C1296" t="s">
        <v>652</v>
      </c>
      <c r="D1296">
        <v>350</v>
      </c>
      <c r="E1296">
        <v>237</v>
      </c>
    </row>
    <row r="1297" spans="1:5" x14ac:dyDescent="0.25">
      <c r="A1297" t="s">
        <v>729</v>
      </c>
      <c r="B1297" s="3">
        <v>39873</v>
      </c>
      <c r="C1297" t="s">
        <v>652</v>
      </c>
      <c r="D1297">
        <v>220</v>
      </c>
      <c r="E1297">
        <v>171</v>
      </c>
    </row>
    <row r="1298" spans="1:5" x14ac:dyDescent="0.25">
      <c r="A1298" t="s">
        <v>728</v>
      </c>
      <c r="B1298" s="3">
        <v>39873</v>
      </c>
      <c r="C1298" t="s">
        <v>652</v>
      </c>
      <c r="D1298">
        <v>240</v>
      </c>
      <c r="E1298">
        <v>248</v>
      </c>
    </row>
    <row r="1299" spans="1:5" x14ac:dyDescent="0.25">
      <c r="A1299" t="s">
        <v>727</v>
      </c>
      <c r="B1299" s="3">
        <v>39873</v>
      </c>
      <c r="C1299" t="s">
        <v>652</v>
      </c>
      <c r="D1299">
        <v>230</v>
      </c>
      <c r="E1299">
        <v>774</v>
      </c>
    </row>
    <row r="1300" spans="1:5" x14ac:dyDescent="0.25">
      <c r="A1300" t="s">
        <v>726</v>
      </c>
      <c r="B1300" s="3">
        <v>39873</v>
      </c>
      <c r="C1300" t="s">
        <v>652</v>
      </c>
      <c r="D1300">
        <v>210</v>
      </c>
      <c r="E1300">
        <v>66</v>
      </c>
    </row>
    <row r="1301" spans="1:5" x14ac:dyDescent="0.25">
      <c r="A1301" t="s">
        <v>725</v>
      </c>
      <c r="B1301" s="3">
        <v>39873</v>
      </c>
      <c r="C1301" t="s">
        <v>652</v>
      </c>
      <c r="D1301">
        <v>265</v>
      </c>
      <c r="E1301">
        <v>698</v>
      </c>
    </row>
    <row r="1302" spans="1:5" x14ac:dyDescent="0.25">
      <c r="A1302" t="s">
        <v>724</v>
      </c>
      <c r="B1302" s="3">
        <v>39873</v>
      </c>
      <c r="C1302" t="s">
        <v>652</v>
      </c>
      <c r="D1302">
        <v>350</v>
      </c>
      <c r="E1302">
        <v>303</v>
      </c>
    </row>
    <row r="1303" spans="1:5" x14ac:dyDescent="0.25">
      <c r="A1303" t="s">
        <v>723</v>
      </c>
      <c r="B1303" s="3">
        <v>39873</v>
      </c>
      <c r="C1303" t="s">
        <v>652</v>
      </c>
      <c r="D1303">
        <v>245</v>
      </c>
      <c r="E1303">
        <v>37</v>
      </c>
    </row>
    <row r="1304" spans="1:5" x14ac:dyDescent="0.25">
      <c r="A1304" t="s">
        <v>722</v>
      </c>
      <c r="B1304" s="3">
        <v>39873</v>
      </c>
      <c r="C1304" t="s">
        <v>652</v>
      </c>
      <c r="D1304">
        <v>200</v>
      </c>
      <c r="E1304">
        <v>111</v>
      </c>
    </row>
    <row r="1305" spans="1:5" x14ac:dyDescent="0.25">
      <c r="A1305" t="s">
        <v>721</v>
      </c>
      <c r="B1305" s="3">
        <v>39873</v>
      </c>
      <c r="C1305" t="s">
        <v>652</v>
      </c>
      <c r="D1305">
        <v>330</v>
      </c>
      <c r="E1305">
        <v>69</v>
      </c>
    </row>
    <row r="1306" spans="1:5" x14ac:dyDescent="0.25">
      <c r="A1306" t="s">
        <v>720</v>
      </c>
      <c r="B1306" s="3">
        <v>39873</v>
      </c>
      <c r="C1306" t="s">
        <v>652</v>
      </c>
      <c r="D1306">
        <v>290</v>
      </c>
      <c r="E1306">
        <v>108</v>
      </c>
    </row>
    <row r="1307" spans="1:5" x14ac:dyDescent="0.25">
      <c r="A1307" t="s">
        <v>719</v>
      </c>
      <c r="B1307" s="3">
        <v>39873</v>
      </c>
      <c r="C1307" t="s">
        <v>652</v>
      </c>
      <c r="D1307">
        <v>290</v>
      </c>
      <c r="E1307">
        <v>307</v>
      </c>
    </row>
    <row r="1308" spans="1:5" x14ac:dyDescent="0.25">
      <c r="A1308" t="s">
        <v>718</v>
      </c>
      <c r="B1308" s="3">
        <v>39873</v>
      </c>
      <c r="C1308" t="s">
        <v>652</v>
      </c>
      <c r="D1308">
        <v>270</v>
      </c>
      <c r="E1308">
        <v>226</v>
      </c>
    </row>
    <row r="1309" spans="1:5" x14ac:dyDescent="0.25">
      <c r="A1309" t="s">
        <v>717</v>
      </c>
      <c r="B1309" s="3">
        <v>39873</v>
      </c>
      <c r="C1309" t="s">
        <v>652</v>
      </c>
      <c r="D1309">
        <v>300</v>
      </c>
      <c r="E1309">
        <v>359</v>
      </c>
    </row>
    <row r="1310" spans="1:5" x14ac:dyDescent="0.25">
      <c r="A1310" t="s">
        <v>716</v>
      </c>
      <c r="B1310" s="3">
        <v>39873</v>
      </c>
      <c r="C1310" t="s">
        <v>652</v>
      </c>
      <c r="D1310">
        <v>250</v>
      </c>
      <c r="E1310">
        <v>285</v>
      </c>
    </row>
    <row r="1311" spans="1:5" x14ac:dyDescent="0.25">
      <c r="A1311" t="s">
        <v>715</v>
      </c>
      <c r="B1311" s="3">
        <v>39873</v>
      </c>
      <c r="C1311" t="s">
        <v>652</v>
      </c>
      <c r="D1311">
        <v>250</v>
      </c>
      <c r="E1311">
        <v>56</v>
      </c>
    </row>
    <row r="1312" spans="1:5" x14ac:dyDescent="0.25">
      <c r="A1312" t="s">
        <v>714</v>
      </c>
      <c r="B1312" s="3">
        <v>39873</v>
      </c>
      <c r="C1312" t="s">
        <v>652</v>
      </c>
      <c r="D1312">
        <v>320</v>
      </c>
      <c r="E1312">
        <v>941</v>
      </c>
    </row>
    <row r="1313" spans="1:5" x14ac:dyDescent="0.25">
      <c r="A1313" t="s">
        <v>713</v>
      </c>
      <c r="B1313" s="3">
        <v>39873</v>
      </c>
      <c r="C1313" t="s">
        <v>652</v>
      </c>
      <c r="D1313">
        <v>320</v>
      </c>
      <c r="E1313">
        <v>296</v>
      </c>
    </row>
    <row r="1314" spans="1:5" x14ac:dyDescent="0.25">
      <c r="A1314" t="s">
        <v>712</v>
      </c>
      <c r="B1314" s="3">
        <v>39873</v>
      </c>
      <c r="C1314" t="s">
        <v>652</v>
      </c>
      <c r="D1314">
        <v>315</v>
      </c>
      <c r="E1314">
        <v>517</v>
      </c>
    </row>
    <row r="1315" spans="1:5" x14ac:dyDescent="0.25">
      <c r="A1315" t="s">
        <v>711</v>
      </c>
      <c r="B1315" s="3">
        <v>39873</v>
      </c>
      <c r="C1315" t="s">
        <v>652</v>
      </c>
      <c r="D1315">
        <v>310</v>
      </c>
      <c r="E1315">
        <v>128</v>
      </c>
    </row>
    <row r="1316" spans="1:5" x14ac:dyDescent="0.25">
      <c r="A1316" t="s">
        <v>756</v>
      </c>
      <c r="B1316" s="3">
        <v>39873</v>
      </c>
      <c r="C1316" t="s">
        <v>652</v>
      </c>
      <c r="D1316">
        <v>275</v>
      </c>
      <c r="E1316">
        <v>251</v>
      </c>
    </row>
    <row r="1317" spans="1:5" x14ac:dyDescent="0.25">
      <c r="A1317" t="s">
        <v>710</v>
      </c>
      <c r="B1317" s="3">
        <v>39873</v>
      </c>
      <c r="C1317" t="s">
        <v>652</v>
      </c>
      <c r="D1317">
        <v>225</v>
      </c>
      <c r="E1317">
        <v>492</v>
      </c>
    </row>
    <row r="1318" spans="1:5" x14ac:dyDescent="0.25">
      <c r="A1318" t="s">
        <v>709</v>
      </c>
      <c r="B1318" s="3">
        <v>39873</v>
      </c>
      <c r="C1318" t="s">
        <v>652</v>
      </c>
      <c r="D1318">
        <v>280</v>
      </c>
      <c r="E1318">
        <v>331</v>
      </c>
    </row>
    <row r="1319" spans="1:5" x14ac:dyDescent="0.25">
      <c r="A1319" t="s">
        <v>708</v>
      </c>
      <c r="B1319" s="3">
        <v>39873</v>
      </c>
      <c r="C1319" t="s">
        <v>652</v>
      </c>
      <c r="D1319">
        <v>185</v>
      </c>
      <c r="E1319">
        <v>71</v>
      </c>
    </row>
    <row r="1320" spans="1:5" x14ac:dyDescent="0.25">
      <c r="A1320" t="s">
        <v>635</v>
      </c>
      <c r="B1320" s="3">
        <v>39965</v>
      </c>
      <c r="C1320" t="s">
        <v>649</v>
      </c>
      <c r="D1320">
        <v>300</v>
      </c>
      <c r="E1320">
        <v>3833</v>
      </c>
    </row>
    <row r="1321" spans="1:5" x14ac:dyDescent="0.25">
      <c r="A1321" t="s">
        <v>755</v>
      </c>
      <c r="B1321" s="3">
        <v>39965</v>
      </c>
      <c r="C1321" t="s">
        <v>649</v>
      </c>
      <c r="D1321">
        <v>260</v>
      </c>
      <c r="E1321">
        <v>41</v>
      </c>
    </row>
    <row r="1322" spans="1:5" x14ac:dyDescent="0.25">
      <c r="A1322" t="s">
        <v>754</v>
      </c>
      <c r="B1322" s="3">
        <v>39965</v>
      </c>
      <c r="C1322" t="s">
        <v>649</v>
      </c>
      <c r="D1322">
        <v>380</v>
      </c>
      <c r="E1322">
        <v>1680</v>
      </c>
    </row>
    <row r="1323" spans="1:5" x14ac:dyDescent="0.25">
      <c r="A1323" t="s">
        <v>753</v>
      </c>
      <c r="B1323" s="3">
        <v>39965</v>
      </c>
      <c r="C1323" t="s">
        <v>649</v>
      </c>
      <c r="D1323">
        <v>260</v>
      </c>
      <c r="E1323">
        <v>745</v>
      </c>
    </row>
    <row r="1324" spans="1:5" x14ac:dyDescent="0.25">
      <c r="A1324" t="s">
        <v>752</v>
      </c>
      <c r="B1324" s="3">
        <v>39965</v>
      </c>
      <c r="C1324" t="s">
        <v>649</v>
      </c>
      <c r="D1324">
        <v>250</v>
      </c>
      <c r="E1324">
        <v>170</v>
      </c>
    </row>
    <row r="1325" spans="1:5" x14ac:dyDescent="0.25">
      <c r="A1325" t="s">
        <v>751</v>
      </c>
      <c r="B1325" s="3">
        <v>39965</v>
      </c>
      <c r="C1325" t="s">
        <v>649</v>
      </c>
      <c r="D1325">
        <v>265</v>
      </c>
      <c r="E1325">
        <v>106</v>
      </c>
    </row>
    <row r="1326" spans="1:5" x14ac:dyDescent="0.25">
      <c r="A1326" t="s">
        <v>750</v>
      </c>
      <c r="B1326" s="3">
        <v>39965</v>
      </c>
      <c r="C1326" t="s">
        <v>649</v>
      </c>
      <c r="D1326">
        <v>250</v>
      </c>
      <c r="E1326">
        <v>45</v>
      </c>
    </row>
    <row r="1327" spans="1:5" x14ac:dyDescent="0.25">
      <c r="A1327" t="s">
        <v>749</v>
      </c>
      <c r="B1327" s="3">
        <v>39965</v>
      </c>
      <c r="C1327" t="s">
        <v>649</v>
      </c>
      <c r="D1327">
        <v>260</v>
      </c>
      <c r="E1327">
        <v>400</v>
      </c>
    </row>
    <row r="1328" spans="1:5" x14ac:dyDescent="0.25">
      <c r="A1328" t="s">
        <v>748</v>
      </c>
      <c r="B1328" s="3">
        <v>39965</v>
      </c>
      <c r="C1328" t="s">
        <v>649</v>
      </c>
      <c r="D1328">
        <v>245</v>
      </c>
      <c r="E1328">
        <v>49</v>
      </c>
    </row>
    <row r="1329" spans="1:5" x14ac:dyDescent="0.25">
      <c r="A1329" t="s">
        <v>747</v>
      </c>
      <c r="B1329" s="3">
        <v>39965</v>
      </c>
      <c r="C1329" t="s">
        <v>649</v>
      </c>
      <c r="D1329">
        <v>280</v>
      </c>
      <c r="E1329">
        <v>373</v>
      </c>
    </row>
    <row r="1330" spans="1:5" x14ac:dyDescent="0.25">
      <c r="A1330" t="s">
        <v>746</v>
      </c>
      <c r="B1330" s="3">
        <v>39965</v>
      </c>
      <c r="C1330" t="s">
        <v>649</v>
      </c>
      <c r="D1330">
        <v>245</v>
      </c>
      <c r="E1330">
        <v>7</v>
      </c>
    </row>
    <row r="1331" spans="1:5" x14ac:dyDescent="0.25">
      <c r="A1331" t="s">
        <v>745</v>
      </c>
      <c r="B1331" s="3">
        <v>39965</v>
      </c>
      <c r="C1331" t="s">
        <v>649</v>
      </c>
      <c r="D1331">
        <v>280</v>
      </c>
      <c r="E1331">
        <v>197</v>
      </c>
    </row>
    <row r="1332" spans="1:5" x14ac:dyDescent="0.25">
      <c r="A1332" t="s">
        <v>744</v>
      </c>
      <c r="B1332" s="3">
        <v>39965</v>
      </c>
      <c r="C1332" t="s">
        <v>649</v>
      </c>
      <c r="D1332">
        <v>230</v>
      </c>
      <c r="E1332">
        <v>20</v>
      </c>
    </row>
    <row r="1333" spans="1:5" x14ac:dyDescent="0.25">
      <c r="A1333" t="s">
        <v>743</v>
      </c>
      <c r="B1333" s="3">
        <v>39965</v>
      </c>
      <c r="C1333" t="s">
        <v>649</v>
      </c>
      <c r="D1333">
        <v>170</v>
      </c>
      <c r="E1333">
        <v>21</v>
      </c>
    </row>
    <row r="1334" spans="1:5" x14ac:dyDescent="0.25">
      <c r="A1334" t="s">
        <v>742</v>
      </c>
      <c r="B1334" s="3">
        <v>39965</v>
      </c>
      <c r="C1334" t="s">
        <v>649</v>
      </c>
      <c r="D1334">
        <v>150</v>
      </c>
      <c r="E1334">
        <v>25</v>
      </c>
    </row>
    <row r="1335" spans="1:5" x14ac:dyDescent="0.25">
      <c r="A1335" t="s">
        <v>741</v>
      </c>
      <c r="B1335" s="3">
        <v>39965</v>
      </c>
      <c r="C1335" t="s">
        <v>649</v>
      </c>
      <c r="D1335">
        <v>170</v>
      </c>
      <c r="E1335">
        <v>135</v>
      </c>
    </row>
    <row r="1336" spans="1:5" x14ac:dyDescent="0.25">
      <c r="A1336" t="s">
        <v>740</v>
      </c>
      <c r="B1336" s="3">
        <v>39965</v>
      </c>
      <c r="C1336" t="s">
        <v>649</v>
      </c>
      <c r="D1336">
        <v>210</v>
      </c>
      <c r="E1336">
        <v>138</v>
      </c>
    </row>
    <row r="1337" spans="1:5" x14ac:dyDescent="0.25">
      <c r="A1337" t="s">
        <v>739</v>
      </c>
      <c r="B1337" s="3">
        <v>39965</v>
      </c>
      <c r="C1337" t="s">
        <v>649</v>
      </c>
      <c r="D1337">
        <v>230</v>
      </c>
      <c r="E1337">
        <v>863</v>
      </c>
    </row>
    <row r="1338" spans="1:5" x14ac:dyDescent="0.25">
      <c r="A1338" t="s">
        <v>738</v>
      </c>
      <c r="B1338" s="3">
        <v>39965</v>
      </c>
      <c r="C1338" t="s">
        <v>649</v>
      </c>
      <c r="D1338">
        <v>140</v>
      </c>
      <c r="E1338">
        <v>15</v>
      </c>
    </row>
    <row r="1339" spans="1:5" x14ac:dyDescent="0.25">
      <c r="A1339" t="s">
        <v>737</v>
      </c>
      <c r="B1339" s="3">
        <v>39965</v>
      </c>
      <c r="C1339" t="s">
        <v>649</v>
      </c>
      <c r="D1339">
        <v>240</v>
      </c>
      <c r="E1339">
        <v>29</v>
      </c>
    </row>
    <row r="1340" spans="1:5" x14ac:dyDescent="0.25">
      <c r="A1340" t="s">
        <v>736</v>
      </c>
      <c r="B1340" s="3">
        <v>39965</v>
      </c>
      <c r="C1340" t="s">
        <v>649</v>
      </c>
      <c r="D1340">
        <v>155</v>
      </c>
      <c r="E1340">
        <v>24</v>
      </c>
    </row>
    <row r="1341" spans="1:5" x14ac:dyDescent="0.25">
      <c r="A1341" t="s">
        <v>735</v>
      </c>
      <c r="B1341" s="3">
        <v>39965</v>
      </c>
      <c r="C1341" t="s">
        <v>649</v>
      </c>
      <c r="D1341">
        <v>190</v>
      </c>
      <c r="E1341">
        <v>164</v>
      </c>
    </row>
    <row r="1342" spans="1:5" x14ac:dyDescent="0.25">
      <c r="A1342" t="s">
        <v>734</v>
      </c>
      <c r="B1342" s="3">
        <v>39965</v>
      </c>
      <c r="C1342" t="s">
        <v>649</v>
      </c>
      <c r="D1342">
        <v>300</v>
      </c>
      <c r="E1342">
        <v>2250</v>
      </c>
    </row>
    <row r="1343" spans="1:5" x14ac:dyDescent="0.25">
      <c r="A1343" t="s">
        <v>733</v>
      </c>
      <c r="B1343" s="3">
        <v>39965</v>
      </c>
      <c r="C1343" t="s">
        <v>649</v>
      </c>
      <c r="D1343">
        <v>295</v>
      </c>
      <c r="E1343">
        <v>200</v>
      </c>
    </row>
    <row r="1344" spans="1:5" x14ac:dyDescent="0.25">
      <c r="A1344" t="s">
        <v>732</v>
      </c>
      <c r="B1344" s="3">
        <v>39965</v>
      </c>
      <c r="C1344" t="s">
        <v>649</v>
      </c>
      <c r="D1344">
        <v>320</v>
      </c>
      <c r="E1344">
        <v>1613</v>
      </c>
    </row>
    <row r="1345" spans="1:5" x14ac:dyDescent="0.25">
      <c r="A1345" t="s">
        <v>731</v>
      </c>
      <c r="B1345" s="3">
        <v>39965</v>
      </c>
      <c r="C1345" t="s">
        <v>649</v>
      </c>
      <c r="D1345">
        <v>265</v>
      </c>
      <c r="E1345">
        <v>375</v>
      </c>
    </row>
    <row r="1346" spans="1:5" x14ac:dyDescent="0.25">
      <c r="A1346" t="s">
        <v>730</v>
      </c>
      <c r="B1346" s="3">
        <v>39965</v>
      </c>
      <c r="C1346" t="s">
        <v>649</v>
      </c>
      <c r="D1346">
        <v>260</v>
      </c>
      <c r="E1346">
        <v>62</v>
      </c>
    </row>
    <row r="1347" spans="1:5" x14ac:dyDescent="0.25">
      <c r="A1347" t="s">
        <v>729</v>
      </c>
      <c r="B1347" s="3">
        <v>39965</v>
      </c>
      <c r="C1347" t="s">
        <v>649</v>
      </c>
      <c r="D1347">
        <v>150</v>
      </c>
      <c r="E1347">
        <v>31</v>
      </c>
    </row>
    <row r="1348" spans="1:5" x14ac:dyDescent="0.25">
      <c r="A1348" t="s">
        <v>728</v>
      </c>
      <c r="B1348" s="3">
        <v>39965</v>
      </c>
      <c r="C1348" t="s">
        <v>649</v>
      </c>
      <c r="D1348">
        <v>190</v>
      </c>
      <c r="E1348">
        <v>135</v>
      </c>
    </row>
    <row r="1349" spans="1:5" x14ac:dyDescent="0.25">
      <c r="A1349" t="s">
        <v>727</v>
      </c>
      <c r="B1349" s="3">
        <v>39965</v>
      </c>
      <c r="C1349" t="s">
        <v>649</v>
      </c>
      <c r="D1349">
        <v>180</v>
      </c>
      <c r="E1349">
        <v>118</v>
      </c>
    </row>
    <row r="1350" spans="1:5" x14ac:dyDescent="0.25">
      <c r="A1350" t="s">
        <v>726</v>
      </c>
      <c r="B1350" s="3">
        <v>39965</v>
      </c>
      <c r="C1350" t="s">
        <v>649</v>
      </c>
      <c r="D1350">
        <v>160</v>
      </c>
      <c r="E1350">
        <v>38</v>
      </c>
    </row>
    <row r="1351" spans="1:5" x14ac:dyDescent="0.25">
      <c r="A1351" t="s">
        <v>725</v>
      </c>
      <c r="B1351" s="3">
        <v>39965</v>
      </c>
      <c r="C1351" t="s">
        <v>649</v>
      </c>
      <c r="D1351">
        <v>190</v>
      </c>
      <c r="E1351">
        <v>220</v>
      </c>
    </row>
    <row r="1352" spans="1:5" x14ac:dyDescent="0.25">
      <c r="A1352" t="s">
        <v>724</v>
      </c>
      <c r="B1352" s="3">
        <v>39965</v>
      </c>
      <c r="C1352" t="s">
        <v>649</v>
      </c>
      <c r="D1352">
        <v>250</v>
      </c>
      <c r="E1352">
        <v>198</v>
      </c>
    </row>
    <row r="1353" spans="1:5" x14ac:dyDescent="0.25">
      <c r="A1353" t="s">
        <v>723</v>
      </c>
      <c r="B1353" s="3">
        <v>39965</v>
      </c>
      <c r="C1353" t="s">
        <v>649</v>
      </c>
      <c r="D1353">
        <v>160</v>
      </c>
      <c r="E1353">
        <v>26</v>
      </c>
    </row>
    <row r="1354" spans="1:5" x14ac:dyDescent="0.25">
      <c r="A1354" t="s">
        <v>722</v>
      </c>
      <c r="B1354" s="3">
        <v>39965</v>
      </c>
      <c r="C1354" t="s">
        <v>649</v>
      </c>
      <c r="D1354">
        <v>155</v>
      </c>
      <c r="E1354">
        <v>46</v>
      </c>
    </row>
    <row r="1355" spans="1:5" x14ac:dyDescent="0.25">
      <c r="A1355" t="s">
        <v>721</v>
      </c>
      <c r="B1355" s="3">
        <v>39965</v>
      </c>
      <c r="C1355" t="s">
        <v>649</v>
      </c>
      <c r="D1355">
        <v>230</v>
      </c>
      <c r="E1355">
        <v>73</v>
      </c>
    </row>
    <row r="1356" spans="1:5" x14ac:dyDescent="0.25">
      <c r="A1356" t="s">
        <v>720</v>
      </c>
      <c r="B1356" s="3">
        <v>39965</v>
      </c>
      <c r="C1356" t="s">
        <v>649</v>
      </c>
      <c r="D1356">
        <v>190</v>
      </c>
      <c r="E1356">
        <v>33</v>
      </c>
    </row>
    <row r="1357" spans="1:5" x14ac:dyDescent="0.25">
      <c r="A1357" t="s">
        <v>719</v>
      </c>
      <c r="B1357" s="3">
        <v>39965</v>
      </c>
      <c r="C1357" t="s">
        <v>649</v>
      </c>
      <c r="D1357">
        <v>220</v>
      </c>
      <c r="E1357">
        <v>44</v>
      </c>
    </row>
    <row r="1358" spans="1:5" x14ac:dyDescent="0.25">
      <c r="A1358" t="s">
        <v>718</v>
      </c>
      <c r="B1358" s="3">
        <v>39965</v>
      </c>
      <c r="C1358" t="s">
        <v>649</v>
      </c>
      <c r="D1358">
        <v>225</v>
      </c>
      <c r="E1358">
        <v>168</v>
      </c>
    </row>
    <row r="1359" spans="1:5" x14ac:dyDescent="0.25">
      <c r="A1359" t="s">
        <v>717</v>
      </c>
      <c r="B1359" s="3">
        <v>39965</v>
      </c>
      <c r="C1359" t="s">
        <v>649</v>
      </c>
      <c r="D1359">
        <v>260</v>
      </c>
      <c r="E1359">
        <v>69</v>
      </c>
    </row>
    <row r="1360" spans="1:5" x14ac:dyDescent="0.25">
      <c r="A1360" t="s">
        <v>716</v>
      </c>
      <c r="B1360" s="3">
        <v>39965</v>
      </c>
      <c r="C1360" t="s">
        <v>649</v>
      </c>
      <c r="D1360">
        <v>180</v>
      </c>
      <c r="E1360">
        <v>173</v>
      </c>
    </row>
    <row r="1361" spans="1:5" x14ac:dyDescent="0.25">
      <c r="A1361" t="s">
        <v>715</v>
      </c>
      <c r="B1361" s="3">
        <v>39965</v>
      </c>
      <c r="C1361" t="s">
        <v>649</v>
      </c>
      <c r="D1361">
        <v>150</v>
      </c>
      <c r="E1361">
        <v>26</v>
      </c>
    </row>
    <row r="1362" spans="1:5" x14ac:dyDescent="0.25">
      <c r="A1362" t="s">
        <v>714</v>
      </c>
      <c r="B1362" s="3">
        <v>39965</v>
      </c>
      <c r="C1362" t="s">
        <v>649</v>
      </c>
      <c r="D1362">
        <v>250</v>
      </c>
      <c r="E1362">
        <v>896</v>
      </c>
    </row>
    <row r="1363" spans="1:5" x14ac:dyDescent="0.25">
      <c r="A1363" t="s">
        <v>713</v>
      </c>
      <c r="B1363" s="3">
        <v>39965</v>
      </c>
      <c r="C1363" t="s">
        <v>649</v>
      </c>
      <c r="D1363">
        <v>250</v>
      </c>
      <c r="E1363">
        <v>180</v>
      </c>
    </row>
    <row r="1364" spans="1:5" x14ac:dyDescent="0.25">
      <c r="A1364" t="s">
        <v>712</v>
      </c>
      <c r="B1364" s="3">
        <v>39965</v>
      </c>
      <c r="C1364" t="s">
        <v>649</v>
      </c>
      <c r="D1364">
        <v>250</v>
      </c>
      <c r="E1364">
        <v>572</v>
      </c>
    </row>
    <row r="1365" spans="1:5" x14ac:dyDescent="0.25">
      <c r="A1365" t="s">
        <v>711</v>
      </c>
      <c r="B1365" s="3">
        <v>39965</v>
      </c>
      <c r="C1365" t="s">
        <v>649</v>
      </c>
      <c r="D1365">
        <v>265</v>
      </c>
      <c r="E1365">
        <v>144</v>
      </c>
    </row>
    <row r="1366" spans="1:5" x14ac:dyDescent="0.25">
      <c r="A1366" t="s">
        <v>756</v>
      </c>
      <c r="B1366" s="3">
        <v>39965</v>
      </c>
      <c r="C1366" t="s">
        <v>649</v>
      </c>
      <c r="D1366">
        <v>200</v>
      </c>
      <c r="E1366">
        <v>44</v>
      </c>
    </row>
    <row r="1367" spans="1:5" x14ac:dyDescent="0.25">
      <c r="A1367" t="s">
        <v>710</v>
      </c>
      <c r="B1367" s="3">
        <v>39965</v>
      </c>
      <c r="C1367" t="s">
        <v>649</v>
      </c>
      <c r="D1367">
        <v>160</v>
      </c>
      <c r="E1367">
        <v>376</v>
      </c>
    </row>
    <row r="1368" spans="1:5" x14ac:dyDescent="0.25">
      <c r="A1368" t="s">
        <v>709</v>
      </c>
      <c r="B1368" s="3">
        <v>39965</v>
      </c>
      <c r="C1368" t="s">
        <v>649</v>
      </c>
      <c r="D1368">
        <v>230</v>
      </c>
      <c r="E1368">
        <v>559</v>
      </c>
    </row>
    <row r="1369" spans="1:5" x14ac:dyDescent="0.25">
      <c r="A1369" t="s">
        <v>708</v>
      </c>
      <c r="B1369" s="3">
        <v>39965</v>
      </c>
      <c r="C1369" t="s">
        <v>649</v>
      </c>
      <c r="D1369">
        <v>150</v>
      </c>
      <c r="E1369">
        <v>42</v>
      </c>
    </row>
    <row r="1370" spans="1:5" x14ac:dyDescent="0.25">
      <c r="A1370" t="s">
        <v>635</v>
      </c>
      <c r="B1370" s="3">
        <v>39965</v>
      </c>
      <c r="C1370" t="s">
        <v>652</v>
      </c>
      <c r="D1370">
        <v>315</v>
      </c>
      <c r="E1370">
        <v>2972</v>
      </c>
    </row>
    <row r="1371" spans="1:5" x14ac:dyDescent="0.25">
      <c r="A1371" t="s">
        <v>755</v>
      </c>
      <c r="B1371" s="3">
        <v>39965</v>
      </c>
      <c r="C1371" t="s">
        <v>652</v>
      </c>
      <c r="D1371">
        <v>320</v>
      </c>
      <c r="E1371">
        <v>153</v>
      </c>
    </row>
    <row r="1372" spans="1:5" x14ac:dyDescent="0.25">
      <c r="A1372" t="s">
        <v>754</v>
      </c>
      <c r="B1372" s="3">
        <v>39965</v>
      </c>
      <c r="C1372" t="s">
        <v>652</v>
      </c>
      <c r="D1372">
        <v>380</v>
      </c>
      <c r="E1372">
        <v>234</v>
      </c>
    </row>
    <row r="1373" spans="1:5" x14ac:dyDescent="0.25">
      <c r="A1373" t="s">
        <v>753</v>
      </c>
      <c r="B1373" s="3">
        <v>39965</v>
      </c>
      <c r="C1373" t="s">
        <v>652</v>
      </c>
      <c r="D1373">
        <v>340</v>
      </c>
      <c r="E1373">
        <v>341</v>
      </c>
    </row>
    <row r="1374" spans="1:5" x14ac:dyDescent="0.25">
      <c r="A1374" t="s">
        <v>752</v>
      </c>
      <c r="B1374" s="3">
        <v>39965</v>
      </c>
      <c r="C1374" t="s">
        <v>652</v>
      </c>
      <c r="D1374">
        <v>300</v>
      </c>
      <c r="E1374">
        <v>400</v>
      </c>
    </row>
    <row r="1375" spans="1:5" x14ac:dyDescent="0.25">
      <c r="A1375" t="s">
        <v>751</v>
      </c>
      <c r="B1375" s="3">
        <v>39965</v>
      </c>
      <c r="C1375" t="s">
        <v>652</v>
      </c>
      <c r="D1375">
        <v>360</v>
      </c>
      <c r="E1375">
        <v>129</v>
      </c>
    </row>
    <row r="1376" spans="1:5" x14ac:dyDescent="0.25">
      <c r="A1376" t="s">
        <v>750</v>
      </c>
      <c r="B1376" s="3">
        <v>39965</v>
      </c>
      <c r="C1376" t="s">
        <v>652</v>
      </c>
      <c r="D1376">
        <v>305</v>
      </c>
      <c r="E1376">
        <v>230</v>
      </c>
    </row>
    <row r="1377" spans="1:5" x14ac:dyDescent="0.25">
      <c r="A1377" t="s">
        <v>749</v>
      </c>
      <c r="B1377" s="3">
        <v>39965</v>
      </c>
      <c r="C1377" t="s">
        <v>652</v>
      </c>
      <c r="D1377">
        <v>310</v>
      </c>
      <c r="E1377">
        <v>321</v>
      </c>
    </row>
    <row r="1378" spans="1:5" x14ac:dyDescent="0.25">
      <c r="A1378" t="s">
        <v>748</v>
      </c>
      <c r="B1378" s="3">
        <v>39965</v>
      </c>
      <c r="C1378" t="s">
        <v>652</v>
      </c>
      <c r="D1378">
        <v>290</v>
      </c>
      <c r="E1378">
        <v>326</v>
      </c>
    </row>
    <row r="1379" spans="1:5" x14ac:dyDescent="0.25">
      <c r="A1379" t="s">
        <v>747</v>
      </c>
      <c r="B1379" s="3">
        <v>39965</v>
      </c>
      <c r="C1379" t="s">
        <v>652</v>
      </c>
      <c r="D1379">
        <v>340</v>
      </c>
      <c r="E1379">
        <v>327</v>
      </c>
    </row>
    <row r="1380" spans="1:5" x14ac:dyDescent="0.25">
      <c r="A1380" t="s">
        <v>746</v>
      </c>
      <c r="B1380" s="3">
        <v>39965</v>
      </c>
      <c r="C1380" t="s">
        <v>652</v>
      </c>
      <c r="D1380">
        <v>330</v>
      </c>
      <c r="E1380">
        <v>56</v>
      </c>
    </row>
    <row r="1381" spans="1:5" x14ac:dyDescent="0.25">
      <c r="A1381" t="s">
        <v>745</v>
      </c>
      <c r="B1381" s="3">
        <v>39965</v>
      </c>
      <c r="C1381" t="s">
        <v>652</v>
      </c>
      <c r="D1381">
        <v>320</v>
      </c>
      <c r="E1381">
        <v>107</v>
      </c>
    </row>
    <row r="1382" spans="1:5" x14ac:dyDescent="0.25">
      <c r="A1382" t="s">
        <v>744</v>
      </c>
      <c r="B1382" s="3">
        <v>39965</v>
      </c>
      <c r="C1382" t="s">
        <v>652</v>
      </c>
      <c r="D1382">
        <v>280</v>
      </c>
      <c r="E1382">
        <v>347</v>
      </c>
    </row>
    <row r="1383" spans="1:5" x14ac:dyDescent="0.25">
      <c r="A1383" t="s">
        <v>743</v>
      </c>
      <c r="B1383" s="3">
        <v>39965</v>
      </c>
      <c r="C1383" t="s">
        <v>652</v>
      </c>
      <c r="D1383">
        <v>250</v>
      </c>
      <c r="E1383">
        <v>42</v>
      </c>
    </row>
    <row r="1384" spans="1:5" x14ac:dyDescent="0.25">
      <c r="A1384" t="s">
        <v>742</v>
      </c>
      <c r="B1384" s="3">
        <v>39965</v>
      </c>
      <c r="C1384" t="s">
        <v>652</v>
      </c>
      <c r="D1384">
        <v>300</v>
      </c>
      <c r="E1384">
        <v>119</v>
      </c>
    </row>
    <row r="1385" spans="1:5" x14ac:dyDescent="0.25">
      <c r="A1385" t="s">
        <v>741</v>
      </c>
      <c r="B1385" s="3">
        <v>39965</v>
      </c>
      <c r="C1385" t="s">
        <v>652</v>
      </c>
      <c r="D1385">
        <v>230</v>
      </c>
      <c r="E1385">
        <v>265</v>
      </c>
    </row>
    <row r="1386" spans="1:5" x14ac:dyDescent="0.25">
      <c r="A1386" t="s">
        <v>740</v>
      </c>
      <c r="B1386" s="3">
        <v>39965</v>
      </c>
      <c r="C1386" t="s">
        <v>652</v>
      </c>
      <c r="D1386">
        <v>250</v>
      </c>
      <c r="E1386">
        <v>519</v>
      </c>
    </row>
    <row r="1387" spans="1:5" x14ac:dyDescent="0.25">
      <c r="A1387" t="s">
        <v>739</v>
      </c>
      <c r="B1387" s="3">
        <v>39965</v>
      </c>
      <c r="C1387" t="s">
        <v>652</v>
      </c>
      <c r="D1387">
        <v>295</v>
      </c>
      <c r="E1387">
        <v>470</v>
      </c>
    </row>
    <row r="1388" spans="1:5" x14ac:dyDescent="0.25">
      <c r="A1388" t="s">
        <v>738</v>
      </c>
      <c r="B1388" s="3">
        <v>39965</v>
      </c>
      <c r="C1388" t="s">
        <v>652</v>
      </c>
      <c r="D1388">
        <v>205</v>
      </c>
      <c r="E1388">
        <v>39</v>
      </c>
    </row>
    <row r="1389" spans="1:5" x14ac:dyDescent="0.25">
      <c r="A1389" t="s">
        <v>737</v>
      </c>
      <c r="B1389" s="3">
        <v>39965</v>
      </c>
      <c r="C1389" t="s">
        <v>652</v>
      </c>
      <c r="D1389">
        <v>360</v>
      </c>
      <c r="E1389">
        <v>75</v>
      </c>
    </row>
    <row r="1390" spans="1:5" x14ac:dyDescent="0.25">
      <c r="A1390" t="s">
        <v>736</v>
      </c>
      <c r="B1390" s="3">
        <v>39965</v>
      </c>
      <c r="C1390" t="s">
        <v>652</v>
      </c>
      <c r="D1390">
        <v>210</v>
      </c>
      <c r="E1390">
        <v>53</v>
      </c>
    </row>
    <row r="1391" spans="1:5" x14ac:dyDescent="0.25">
      <c r="A1391" t="s">
        <v>735</v>
      </c>
      <c r="B1391" s="3">
        <v>39965</v>
      </c>
      <c r="C1391" t="s">
        <v>652</v>
      </c>
      <c r="D1391">
        <v>280</v>
      </c>
      <c r="E1391">
        <v>201</v>
      </c>
    </row>
    <row r="1392" spans="1:5" x14ac:dyDescent="0.25">
      <c r="A1392" t="s">
        <v>734</v>
      </c>
      <c r="B1392" s="3">
        <v>39965</v>
      </c>
      <c r="C1392" t="s">
        <v>652</v>
      </c>
      <c r="D1392">
        <v>350</v>
      </c>
      <c r="E1392">
        <v>1138</v>
      </c>
    </row>
    <row r="1393" spans="1:5" x14ac:dyDescent="0.25">
      <c r="A1393" t="s">
        <v>733</v>
      </c>
      <c r="B1393" s="3">
        <v>39965</v>
      </c>
      <c r="C1393" t="s">
        <v>652</v>
      </c>
      <c r="D1393">
        <v>330</v>
      </c>
      <c r="E1393">
        <v>234</v>
      </c>
    </row>
    <row r="1394" spans="1:5" x14ac:dyDescent="0.25">
      <c r="A1394" t="s">
        <v>732</v>
      </c>
      <c r="B1394" s="3">
        <v>39965</v>
      </c>
      <c r="C1394" t="s">
        <v>652</v>
      </c>
      <c r="D1394">
        <v>365</v>
      </c>
      <c r="E1394">
        <v>550</v>
      </c>
    </row>
    <row r="1395" spans="1:5" x14ac:dyDescent="0.25">
      <c r="A1395" t="s">
        <v>731</v>
      </c>
      <c r="B1395" s="3">
        <v>39965</v>
      </c>
      <c r="C1395" t="s">
        <v>652</v>
      </c>
      <c r="D1395">
        <v>380</v>
      </c>
      <c r="E1395">
        <v>117</v>
      </c>
    </row>
    <row r="1396" spans="1:5" x14ac:dyDescent="0.25">
      <c r="A1396" t="s">
        <v>730</v>
      </c>
      <c r="B1396" s="3">
        <v>39965</v>
      </c>
      <c r="C1396" t="s">
        <v>652</v>
      </c>
      <c r="D1396">
        <v>350</v>
      </c>
      <c r="E1396">
        <v>237</v>
      </c>
    </row>
    <row r="1397" spans="1:5" x14ac:dyDescent="0.25">
      <c r="A1397" t="s">
        <v>729</v>
      </c>
      <c r="B1397" s="3">
        <v>39965</v>
      </c>
      <c r="C1397" t="s">
        <v>652</v>
      </c>
      <c r="D1397">
        <v>220</v>
      </c>
      <c r="E1397">
        <v>171</v>
      </c>
    </row>
    <row r="1398" spans="1:5" x14ac:dyDescent="0.25">
      <c r="A1398" t="s">
        <v>728</v>
      </c>
      <c r="B1398" s="3">
        <v>39965</v>
      </c>
      <c r="C1398" t="s">
        <v>652</v>
      </c>
      <c r="D1398">
        <v>240</v>
      </c>
      <c r="E1398">
        <v>248</v>
      </c>
    </row>
    <row r="1399" spans="1:5" x14ac:dyDescent="0.25">
      <c r="A1399" t="s">
        <v>727</v>
      </c>
      <c r="B1399" s="3">
        <v>39965</v>
      </c>
      <c r="C1399" t="s">
        <v>652</v>
      </c>
      <c r="D1399">
        <v>230</v>
      </c>
      <c r="E1399">
        <v>774</v>
      </c>
    </row>
    <row r="1400" spans="1:5" x14ac:dyDescent="0.25">
      <c r="A1400" t="s">
        <v>726</v>
      </c>
      <c r="B1400" s="3">
        <v>39965</v>
      </c>
      <c r="C1400" t="s">
        <v>652</v>
      </c>
      <c r="D1400">
        <v>210</v>
      </c>
      <c r="E1400">
        <v>66</v>
      </c>
    </row>
    <row r="1401" spans="1:5" x14ac:dyDescent="0.25">
      <c r="A1401" t="s">
        <v>725</v>
      </c>
      <c r="B1401" s="3">
        <v>39965</v>
      </c>
      <c r="C1401" t="s">
        <v>652</v>
      </c>
      <c r="D1401">
        <v>265</v>
      </c>
      <c r="E1401">
        <v>698</v>
      </c>
    </row>
    <row r="1402" spans="1:5" x14ac:dyDescent="0.25">
      <c r="A1402" t="s">
        <v>724</v>
      </c>
      <c r="B1402" s="3">
        <v>39965</v>
      </c>
      <c r="C1402" t="s">
        <v>652</v>
      </c>
      <c r="D1402">
        <v>350</v>
      </c>
      <c r="E1402">
        <v>303</v>
      </c>
    </row>
    <row r="1403" spans="1:5" x14ac:dyDescent="0.25">
      <c r="A1403" t="s">
        <v>723</v>
      </c>
      <c r="B1403" s="3">
        <v>39965</v>
      </c>
      <c r="C1403" t="s">
        <v>652</v>
      </c>
      <c r="D1403">
        <v>245</v>
      </c>
      <c r="E1403">
        <v>37</v>
      </c>
    </row>
    <row r="1404" spans="1:5" x14ac:dyDescent="0.25">
      <c r="A1404" t="s">
        <v>722</v>
      </c>
      <c r="B1404" s="3">
        <v>39965</v>
      </c>
      <c r="C1404" t="s">
        <v>652</v>
      </c>
      <c r="D1404">
        <v>200</v>
      </c>
      <c r="E1404">
        <v>111</v>
      </c>
    </row>
    <row r="1405" spans="1:5" x14ac:dyDescent="0.25">
      <c r="A1405" t="s">
        <v>721</v>
      </c>
      <c r="B1405" s="3">
        <v>39965</v>
      </c>
      <c r="C1405" t="s">
        <v>652</v>
      </c>
      <c r="D1405">
        <v>330</v>
      </c>
      <c r="E1405">
        <v>69</v>
      </c>
    </row>
    <row r="1406" spans="1:5" x14ac:dyDescent="0.25">
      <c r="A1406" t="s">
        <v>720</v>
      </c>
      <c r="B1406" s="3">
        <v>39965</v>
      </c>
      <c r="C1406" t="s">
        <v>652</v>
      </c>
      <c r="D1406">
        <v>290</v>
      </c>
      <c r="E1406">
        <v>108</v>
      </c>
    </row>
    <row r="1407" spans="1:5" x14ac:dyDescent="0.25">
      <c r="A1407" t="s">
        <v>719</v>
      </c>
      <c r="B1407" s="3">
        <v>39965</v>
      </c>
      <c r="C1407" t="s">
        <v>652</v>
      </c>
      <c r="D1407">
        <v>290</v>
      </c>
      <c r="E1407">
        <v>307</v>
      </c>
    </row>
    <row r="1408" spans="1:5" x14ac:dyDescent="0.25">
      <c r="A1408" t="s">
        <v>718</v>
      </c>
      <c r="B1408" s="3">
        <v>39965</v>
      </c>
      <c r="C1408" t="s">
        <v>652</v>
      </c>
      <c r="D1408">
        <v>270</v>
      </c>
      <c r="E1408">
        <v>226</v>
      </c>
    </row>
    <row r="1409" spans="1:5" x14ac:dyDescent="0.25">
      <c r="A1409" t="s">
        <v>717</v>
      </c>
      <c r="B1409" s="3">
        <v>39965</v>
      </c>
      <c r="C1409" t="s">
        <v>652</v>
      </c>
      <c r="D1409">
        <v>300</v>
      </c>
      <c r="E1409">
        <v>359</v>
      </c>
    </row>
    <row r="1410" spans="1:5" x14ac:dyDescent="0.25">
      <c r="A1410" t="s">
        <v>716</v>
      </c>
      <c r="B1410" s="3">
        <v>39965</v>
      </c>
      <c r="C1410" t="s">
        <v>652</v>
      </c>
      <c r="D1410">
        <v>250</v>
      </c>
      <c r="E1410">
        <v>285</v>
      </c>
    </row>
    <row r="1411" spans="1:5" x14ac:dyDescent="0.25">
      <c r="A1411" t="s">
        <v>715</v>
      </c>
      <c r="B1411" s="3">
        <v>39965</v>
      </c>
      <c r="C1411" t="s">
        <v>652</v>
      </c>
      <c r="D1411">
        <v>250</v>
      </c>
      <c r="E1411">
        <v>56</v>
      </c>
    </row>
    <row r="1412" spans="1:5" x14ac:dyDescent="0.25">
      <c r="A1412" t="s">
        <v>714</v>
      </c>
      <c r="B1412" s="3">
        <v>39965</v>
      </c>
      <c r="C1412" t="s">
        <v>652</v>
      </c>
      <c r="D1412">
        <v>320</v>
      </c>
      <c r="E1412">
        <v>941</v>
      </c>
    </row>
    <row r="1413" spans="1:5" x14ac:dyDescent="0.25">
      <c r="A1413" t="s">
        <v>713</v>
      </c>
      <c r="B1413" s="3">
        <v>39965</v>
      </c>
      <c r="C1413" t="s">
        <v>652</v>
      </c>
      <c r="D1413">
        <v>320</v>
      </c>
      <c r="E1413">
        <v>296</v>
      </c>
    </row>
    <row r="1414" spans="1:5" x14ac:dyDescent="0.25">
      <c r="A1414" t="s">
        <v>712</v>
      </c>
      <c r="B1414" s="3">
        <v>39965</v>
      </c>
      <c r="C1414" t="s">
        <v>652</v>
      </c>
      <c r="D1414">
        <v>315</v>
      </c>
      <c r="E1414">
        <v>517</v>
      </c>
    </row>
    <row r="1415" spans="1:5" x14ac:dyDescent="0.25">
      <c r="A1415" t="s">
        <v>711</v>
      </c>
      <c r="B1415" s="3">
        <v>39965</v>
      </c>
      <c r="C1415" t="s">
        <v>652</v>
      </c>
      <c r="D1415">
        <v>310</v>
      </c>
      <c r="E1415">
        <v>128</v>
      </c>
    </row>
    <row r="1416" spans="1:5" x14ac:dyDescent="0.25">
      <c r="A1416" t="s">
        <v>756</v>
      </c>
      <c r="B1416" s="3">
        <v>39965</v>
      </c>
      <c r="C1416" t="s">
        <v>652</v>
      </c>
      <c r="D1416">
        <v>275</v>
      </c>
      <c r="E1416">
        <v>251</v>
      </c>
    </row>
    <row r="1417" spans="1:5" x14ac:dyDescent="0.25">
      <c r="A1417" t="s">
        <v>710</v>
      </c>
      <c r="B1417" s="3">
        <v>39965</v>
      </c>
      <c r="C1417" t="s">
        <v>652</v>
      </c>
      <c r="D1417">
        <v>225</v>
      </c>
      <c r="E1417">
        <v>492</v>
      </c>
    </row>
    <row r="1418" spans="1:5" x14ac:dyDescent="0.25">
      <c r="A1418" t="s">
        <v>709</v>
      </c>
      <c r="B1418" s="3">
        <v>39965</v>
      </c>
      <c r="C1418" t="s">
        <v>652</v>
      </c>
      <c r="D1418">
        <v>280</v>
      </c>
      <c r="E1418">
        <v>331</v>
      </c>
    </row>
    <row r="1419" spans="1:5" x14ac:dyDescent="0.25">
      <c r="A1419" t="s">
        <v>708</v>
      </c>
      <c r="B1419" s="3">
        <v>39965</v>
      </c>
      <c r="C1419" t="s">
        <v>652</v>
      </c>
      <c r="D1419">
        <v>185</v>
      </c>
      <c r="E1419">
        <v>71</v>
      </c>
    </row>
    <row r="1420" spans="1:5" x14ac:dyDescent="0.25">
      <c r="A1420" t="s">
        <v>635</v>
      </c>
      <c r="B1420" s="3">
        <v>40057</v>
      </c>
      <c r="C1420" t="s">
        <v>649</v>
      </c>
      <c r="D1420">
        <v>305</v>
      </c>
      <c r="E1420">
        <v>4413</v>
      </c>
    </row>
    <row r="1421" spans="1:5" x14ac:dyDescent="0.25">
      <c r="A1421" t="s">
        <v>755</v>
      </c>
      <c r="B1421" s="3">
        <v>40057</v>
      </c>
      <c r="C1421" t="s">
        <v>649</v>
      </c>
      <c r="D1421">
        <v>260</v>
      </c>
      <c r="E1421">
        <v>43</v>
      </c>
    </row>
    <row r="1422" spans="1:5" x14ac:dyDescent="0.25">
      <c r="A1422" t="s">
        <v>754</v>
      </c>
      <c r="B1422" s="3">
        <v>40057</v>
      </c>
      <c r="C1422" t="s">
        <v>649</v>
      </c>
      <c r="D1422">
        <v>385</v>
      </c>
      <c r="E1422">
        <v>2057</v>
      </c>
    </row>
    <row r="1423" spans="1:5" x14ac:dyDescent="0.25">
      <c r="A1423" t="s">
        <v>753</v>
      </c>
      <c r="B1423" s="3">
        <v>40057</v>
      </c>
      <c r="C1423" t="s">
        <v>649</v>
      </c>
      <c r="D1423">
        <v>275</v>
      </c>
      <c r="E1423">
        <v>708</v>
      </c>
    </row>
    <row r="1424" spans="1:5" x14ac:dyDescent="0.25">
      <c r="A1424" t="s">
        <v>752</v>
      </c>
      <c r="B1424" s="3">
        <v>40057</v>
      </c>
      <c r="C1424" t="s">
        <v>649</v>
      </c>
      <c r="D1424">
        <v>260</v>
      </c>
      <c r="E1424">
        <v>193</v>
      </c>
    </row>
    <row r="1425" spans="1:5" x14ac:dyDescent="0.25">
      <c r="A1425" t="s">
        <v>751</v>
      </c>
      <c r="B1425" s="3">
        <v>40057</v>
      </c>
      <c r="C1425" t="s">
        <v>649</v>
      </c>
      <c r="D1425">
        <v>290</v>
      </c>
      <c r="E1425">
        <v>126</v>
      </c>
    </row>
    <row r="1426" spans="1:5" x14ac:dyDescent="0.25">
      <c r="A1426" t="s">
        <v>750</v>
      </c>
      <c r="B1426" s="3">
        <v>40057</v>
      </c>
      <c r="C1426" t="s">
        <v>649</v>
      </c>
      <c r="D1426">
        <v>270</v>
      </c>
      <c r="E1426">
        <v>48</v>
      </c>
    </row>
    <row r="1427" spans="1:5" x14ac:dyDescent="0.25">
      <c r="A1427" t="s">
        <v>749</v>
      </c>
      <c r="B1427" s="3">
        <v>40057</v>
      </c>
      <c r="C1427" t="s">
        <v>649</v>
      </c>
      <c r="D1427">
        <v>270</v>
      </c>
      <c r="E1427">
        <v>476</v>
      </c>
    </row>
    <row r="1428" spans="1:5" x14ac:dyDescent="0.25">
      <c r="A1428" t="s">
        <v>748</v>
      </c>
      <c r="B1428" s="3">
        <v>40057</v>
      </c>
      <c r="C1428" t="s">
        <v>649</v>
      </c>
      <c r="D1428">
        <v>240</v>
      </c>
      <c r="E1428">
        <v>54</v>
      </c>
    </row>
    <row r="1429" spans="1:5" x14ac:dyDescent="0.25">
      <c r="A1429" t="s">
        <v>747</v>
      </c>
      <c r="B1429" s="3">
        <v>40057</v>
      </c>
      <c r="C1429" t="s">
        <v>649</v>
      </c>
      <c r="D1429">
        <v>280</v>
      </c>
      <c r="E1429">
        <v>399</v>
      </c>
    </row>
    <row r="1430" spans="1:5" x14ac:dyDescent="0.25">
      <c r="A1430" t="s">
        <v>746</v>
      </c>
      <c r="B1430" s="3">
        <v>40057</v>
      </c>
      <c r="C1430" t="s">
        <v>649</v>
      </c>
      <c r="D1430">
        <v>228</v>
      </c>
      <c r="E1430">
        <v>8</v>
      </c>
    </row>
    <row r="1431" spans="1:5" x14ac:dyDescent="0.25">
      <c r="A1431" t="s">
        <v>745</v>
      </c>
      <c r="B1431" s="3">
        <v>40057</v>
      </c>
      <c r="C1431" t="s">
        <v>649</v>
      </c>
      <c r="D1431">
        <v>290</v>
      </c>
      <c r="E1431">
        <v>254</v>
      </c>
    </row>
    <row r="1432" spans="1:5" x14ac:dyDescent="0.25">
      <c r="A1432" t="s">
        <v>744</v>
      </c>
      <c r="B1432" s="3">
        <v>40057</v>
      </c>
      <c r="C1432" t="s">
        <v>649</v>
      </c>
      <c r="D1432">
        <v>265</v>
      </c>
      <c r="E1432">
        <v>47</v>
      </c>
    </row>
    <row r="1433" spans="1:5" x14ac:dyDescent="0.25">
      <c r="A1433" t="s">
        <v>743</v>
      </c>
      <c r="B1433" s="3">
        <v>40057</v>
      </c>
      <c r="C1433" t="s">
        <v>649</v>
      </c>
      <c r="D1433">
        <v>165</v>
      </c>
      <c r="E1433">
        <v>32</v>
      </c>
    </row>
    <row r="1434" spans="1:5" x14ac:dyDescent="0.25">
      <c r="A1434" t="s">
        <v>742</v>
      </c>
      <c r="B1434" s="3">
        <v>40057</v>
      </c>
      <c r="C1434" t="s">
        <v>649</v>
      </c>
      <c r="D1434">
        <v>160</v>
      </c>
      <c r="E1434">
        <v>24</v>
      </c>
    </row>
    <row r="1435" spans="1:5" x14ac:dyDescent="0.25">
      <c r="A1435" t="s">
        <v>741</v>
      </c>
      <c r="B1435" s="3">
        <v>40057</v>
      </c>
      <c r="C1435" t="s">
        <v>649</v>
      </c>
      <c r="D1435">
        <v>175</v>
      </c>
      <c r="E1435">
        <v>166</v>
      </c>
    </row>
    <row r="1436" spans="1:5" x14ac:dyDescent="0.25">
      <c r="A1436" t="s">
        <v>740</v>
      </c>
      <c r="B1436" s="3">
        <v>40057</v>
      </c>
      <c r="C1436" t="s">
        <v>649</v>
      </c>
      <c r="D1436">
        <v>210</v>
      </c>
      <c r="E1436">
        <v>138</v>
      </c>
    </row>
    <row r="1437" spans="1:5" x14ac:dyDescent="0.25">
      <c r="A1437" t="s">
        <v>739</v>
      </c>
      <c r="B1437" s="3">
        <v>40057</v>
      </c>
      <c r="C1437" t="s">
        <v>649</v>
      </c>
      <c r="D1437">
        <v>240</v>
      </c>
      <c r="E1437">
        <v>899</v>
      </c>
    </row>
    <row r="1438" spans="1:5" x14ac:dyDescent="0.25">
      <c r="A1438" t="s">
        <v>738</v>
      </c>
      <c r="B1438" s="3">
        <v>40057</v>
      </c>
      <c r="C1438" t="s">
        <v>649</v>
      </c>
      <c r="D1438">
        <v>145</v>
      </c>
      <c r="E1438">
        <v>15</v>
      </c>
    </row>
    <row r="1439" spans="1:5" x14ac:dyDescent="0.25">
      <c r="A1439" t="s">
        <v>737</v>
      </c>
      <c r="B1439" s="3">
        <v>40057</v>
      </c>
      <c r="C1439" t="s">
        <v>649</v>
      </c>
      <c r="D1439">
        <v>230</v>
      </c>
      <c r="E1439">
        <v>44</v>
      </c>
    </row>
    <row r="1440" spans="1:5" x14ac:dyDescent="0.25">
      <c r="A1440" t="s">
        <v>736</v>
      </c>
      <c r="B1440" s="3">
        <v>40057</v>
      </c>
      <c r="C1440" t="s">
        <v>649</v>
      </c>
      <c r="D1440">
        <v>165</v>
      </c>
      <c r="E1440">
        <v>22</v>
      </c>
    </row>
    <row r="1441" spans="1:5" x14ac:dyDescent="0.25">
      <c r="A1441" t="s">
        <v>735</v>
      </c>
      <c r="B1441" s="3">
        <v>40057</v>
      </c>
      <c r="C1441" t="s">
        <v>649</v>
      </c>
      <c r="D1441">
        <v>220</v>
      </c>
      <c r="E1441">
        <v>148</v>
      </c>
    </row>
    <row r="1442" spans="1:5" x14ac:dyDescent="0.25">
      <c r="A1442" t="s">
        <v>734</v>
      </c>
      <c r="B1442" s="3">
        <v>40057</v>
      </c>
      <c r="C1442" t="s">
        <v>649</v>
      </c>
      <c r="D1442">
        <v>310</v>
      </c>
      <c r="E1442">
        <v>2507</v>
      </c>
    </row>
    <row r="1443" spans="1:5" x14ac:dyDescent="0.25">
      <c r="A1443" t="s">
        <v>733</v>
      </c>
      <c r="B1443" s="3">
        <v>40057</v>
      </c>
      <c r="C1443" t="s">
        <v>649</v>
      </c>
      <c r="D1443">
        <v>300</v>
      </c>
      <c r="E1443">
        <v>217</v>
      </c>
    </row>
    <row r="1444" spans="1:5" x14ac:dyDescent="0.25">
      <c r="A1444" t="s">
        <v>732</v>
      </c>
      <c r="B1444" s="3">
        <v>40057</v>
      </c>
      <c r="C1444" t="s">
        <v>649</v>
      </c>
      <c r="D1444">
        <v>320</v>
      </c>
      <c r="E1444">
        <v>1851</v>
      </c>
    </row>
    <row r="1445" spans="1:5" x14ac:dyDescent="0.25">
      <c r="A1445" t="s">
        <v>731</v>
      </c>
      <c r="B1445" s="3">
        <v>40057</v>
      </c>
      <c r="C1445" t="s">
        <v>649</v>
      </c>
      <c r="D1445">
        <v>270</v>
      </c>
      <c r="E1445">
        <v>384</v>
      </c>
    </row>
    <row r="1446" spans="1:5" x14ac:dyDescent="0.25">
      <c r="A1446" t="s">
        <v>730</v>
      </c>
      <c r="B1446" s="3">
        <v>40057</v>
      </c>
      <c r="C1446" t="s">
        <v>649</v>
      </c>
      <c r="D1446">
        <v>265</v>
      </c>
      <c r="E1446">
        <v>55</v>
      </c>
    </row>
    <row r="1447" spans="1:5" x14ac:dyDescent="0.25">
      <c r="A1447" t="s">
        <v>729</v>
      </c>
      <c r="B1447" s="3">
        <v>40057</v>
      </c>
      <c r="C1447" t="s">
        <v>649</v>
      </c>
      <c r="D1447">
        <v>160</v>
      </c>
      <c r="E1447">
        <v>33</v>
      </c>
    </row>
    <row r="1448" spans="1:5" x14ac:dyDescent="0.25">
      <c r="A1448" t="s">
        <v>728</v>
      </c>
      <c r="B1448" s="3">
        <v>40057</v>
      </c>
      <c r="C1448" t="s">
        <v>649</v>
      </c>
      <c r="D1448">
        <v>200</v>
      </c>
      <c r="E1448">
        <v>137</v>
      </c>
    </row>
    <row r="1449" spans="1:5" x14ac:dyDescent="0.25">
      <c r="A1449" t="s">
        <v>727</v>
      </c>
      <c r="B1449" s="3">
        <v>40057</v>
      </c>
      <c r="C1449" t="s">
        <v>649</v>
      </c>
      <c r="D1449">
        <v>190</v>
      </c>
      <c r="E1449">
        <v>124</v>
      </c>
    </row>
    <row r="1450" spans="1:5" x14ac:dyDescent="0.25">
      <c r="A1450" t="s">
        <v>726</v>
      </c>
      <c r="B1450" s="3">
        <v>40057</v>
      </c>
      <c r="C1450" t="s">
        <v>649</v>
      </c>
      <c r="D1450">
        <v>160</v>
      </c>
      <c r="E1450">
        <v>44</v>
      </c>
    </row>
    <row r="1451" spans="1:5" x14ac:dyDescent="0.25">
      <c r="A1451" t="s">
        <v>725</v>
      </c>
      <c r="B1451" s="3">
        <v>40057</v>
      </c>
      <c r="C1451" t="s">
        <v>649</v>
      </c>
      <c r="D1451">
        <v>195</v>
      </c>
      <c r="E1451">
        <v>195</v>
      </c>
    </row>
    <row r="1452" spans="1:5" x14ac:dyDescent="0.25">
      <c r="A1452" t="s">
        <v>724</v>
      </c>
      <c r="B1452" s="3">
        <v>40057</v>
      </c>
      <c r="C1452" t="s">
        <v>649</v>
      </c>
      <c r="D1452">
        <v>250</v>
      </c>
      <c r="E1452">
        <v>207</v>
      </c>
    </row>
    <row r="1453" spans="1:5" x14ac:dyDescent="0.25">
      <c r="A1453" t="s">
        <v>723</v>
      </c>
      <c r="B1453" s="3">
        <v>40057</v>
      </c>
      <c r="C1453" t="s">
        <v>649</v>
      </c>
      <c r="D1453">
        <v>165</v>
      </c>
      <c r="E1453">
        <v>21</v>
      </c>
    </row>
    <row r="1454" spans="1:5" x14ac:dyDescent="0.25">
      <c r="A1454" t="s">
        <v>722</v>
      </c>
      <c r="B1454" s="3">
        <v>40057</v>
      </c>
      <c r="C1454" t="s">
        <v>649</v>
      </c>
      <c r="D1454">
        <v>150</v>
      </c>
      <c r="E1454">
        <v>49</v>
      </c>
    </row>
    <row r="1455" spans="1:5" x14ac:dyDescent="0.25">
      <c r="A1455" t="s">
        <v>721</v>
      </c>
      <c r="B1455" s="3">
        <v>40057</v>
      </c>
      <c r="C1455" t="s">
        <v>649</v>
      </c>
      <c r="D1455">
        <v>230</v>
      </c>
      <c r="E1455">
        <v>68</v>
      </c>
    </row>
    <row r="1456" spans="1:5" x14ac:dyDescent="0.25">
      <c r="A1456" t="s">
        <v>720</v>
      </c>
      <c r="B1456" s="3">
        <v>40057</v>
      </c>
      <c r="C1456" t="s">
        <v>649</v>
      </c>
      <c r="D1456">
        <v>210</v>
      </c>
      <c r="E1456">
        <v>27</v>
      </c>
    </row>
    <row r="1457" spans="1:5" x14ac:dyDescent="0.25">
      <c r="A1457" t="s">
        <v>719</v>
      </c>
      <c r="B1457" s="3">
        <v>40057</v>
      </c>
      <c r="C1457" t="s">
        <v>649</v>
      </c>
      <c r="D1457">
        <v>230</v>
      </c>
      <c r="E1457">
        <v>61</v>
      </c>
    </row>
    <row r="1458" spans="1:5" x14ac:dyDescent="0.25">
      <c r="A1458" t="s">
        <v>718</v>
      </c>
      <c r="B1458" s="3">
        <v>40057</v>
      </c>
      <c r="C1458" t="s">
        <v>649</v>
      </c>
      <c r="D1458">
        <v>220</v>
      </c>
      <c r="E1458">
        <v>144</v>
      </c>
    </row>
    <row r="1459" spans="1:5" x14ac:dyDescent="0.25">
      <c r="A1459" t="s">
        <v>717</v>
      </c>
      <c r="B1459" s="3">
        <v>40057</v>
      </c>
      <c r="C1459" t="s">
        <v>649</v>
      </c>
      <c r="D1459">
        <v>260</v>
      </c>
      <c r="E1459">
        <v>74</v>
      </c>
    </row>
    <row r="1460" spans="1:5" x14ac:dyDescent="0.25">
      <c r="A1460" t="s">
        <v>716</v>
      </c>
      <c r="B1460" s="3">
        <v>40057</v>
      </c>
      <c r="C1460" t="s">
        <v>649</v>
      </c>
      <c r="D1460">
        <v>180</v>
      </c>
      <c r="E1460">
        <v>168</v>
      </c>
    </row>
    <row r="1461" spans="1:5" x14ac:dyDescent="0.25">
      <c r="A1461" t="s">
        <v>715</v>
      </c>
      <c r="B1461" s="3">
        <v>40057</v>
      </c>
      <c r="C1461" t="s">
        <v>649</v>
      </c>
      <c r="D1461">
        <v>140</v>
      </c>
      <c r="E1461">
        <v>20</v>
      </c>
    </row>
    <row r="1462" spans="1:5" x14ac:dyDescent="0.25">
      <c r="A1462" t="s">
        <v>714</v>
      </c>
      <c r="B1462" s="3">
        <v>40057</v>
      </c>
      <c r="C1462" t="s">
        <v>649</v>
      </c>
      <c r="D1462">
        <v>260</v>
      </c>
      <c r="E1462">
        <v>853</v>
      </c>
    </row>
    <row r="1463" spans="1:5" x14ac:dyDescent="0.25">
      <c r="A1463" t="s">
        <v>713</v>
      </c>
      <c r="B1463" s="3">
        <v>40057</v>
      </c>
      <c r="C1463" t="s">
        <v>649</v>
      </c>
      <c r="D1463">
        <v>260</v>
      </c>
      <c r="E1463">
        <v>209</v>
      </c>
    </row>
    <row r="1464" spans="1:5" x14ac:dyDescent="0.25">
      <c r="A1464" t="s">
        <v>712</v>
      </c>
      <c r="B1464" s="3">
        <v>40057</v>
      </c>
      <c r="C1464" t="s">
        <v>649</v>
      </c>
      <c r="D1464">
        <v>260</v>
      </c>
      <c r="E1464">
        <v>527</v>
      </c>
    </row>
    <row r="1465" spans="1:5" x14ac:dyDescent="0.25">
      <c r="A1465" t="s">
        <v>711</v>
      </c>
      <c r="B1465" s="3">
        <v>40057</v>
      </c>
      <c r="C1465" t="s">
        <v>649</v>
      </c>
      <c r="D1465">
        <v>280</v>
      </c>
      <c r="E1465">
        <v>117</v>
      </c>
    </row>
    <row r="1466" spans="1:5" x14ac:dyDescent="0.25">
      <c r="A1466" t="s">
        <v>756</v>
      </c>
      <c r="B1466" s="3">
        <v>40057</v>
      </c>
      <c r="C1466" t="s">
        <v>649</v>
      </c>
      <c r="D1466">
        <v>220</v>
      </c>
      <c r="E1466">
        <v>57</v>
      </c>
    </row>
    <row r="1467" spans="1:5" x14ac:dyDescent="0.25">
      <c r="A1467" t="s">
        <v>710</v>
      </c>
      <c r="B1467" s="3">
        <v>40057</v>
      </c>
      <c r="C1467" t="s">
        <v>649</v>
      </c>
      <c r="D1467">
        <v>160</v>
      </c>
      <c r="E1467">
        <v>367</v>
      </c>
    </row>
    <row r="1468" spans="1:5" x14ac:dyDescent="0.25">
      <c r="A1468" t="s">
        <v>709</v>
      </c>
      <c r="B1468" s="3">
        <v>40057</v>
      </c>
      <c r="C1468" t="s">
        <v>649</v>
      </c>
      <c r="D1468">
        <v>245</v>
      </c>
      <c r="E1468">
        <v>620</v>
      </c>
    </row>
    <row r="1469" spans="1:5" x14ac:dyDescent="0.25">
      <c r="A1469" t="s">
        <v>708</v>
      </c>
      <c r="B1469" s="3">
        <v>40057</v>
      </c>
      <c r="C1469" t="s">
        <v>649</v>
      </c>
      <c r="D1469">
        <v>150</v>
      </c>
      <c r="E1469">
        <v>46</v>
      </c>
    </row>
    <row r="1470" spans="1:5" x14ac:dyDescent="0.25">
      <c r="A1470" t="s">
        <v>635</v>
      </c>
      <c r="B1470" s="3">
        <v>40057</v>
      </c>
      <c r="C1470" t="s">
        <v>652</v>
      </c>
      <c r="D1470">
        <v>325</v>
      </c>
      <c r="E1470">
        <v>3251</v>
      </c>
    </row>
    <row r="1471" spans="1:5" x14ac:dyDescent="0.25">
      <c r="A1471" t="s">
        <v>755</v>
      </c>
      <c r="B1471" s="3">
        <v>40057</v>
      </c>
      <c r="C1471" t="s">
        <v>652</v>
      </c>
      <c r="D1471">
        <v>325</v>
      </c>
      <c r="E1471">
        <v>175</v>
      </c>
    </row>
    <row r="1472" spans="1:5" x14ac:dyDescent="0.25">
      <c r="A1472" t="s">
        <v>754</v>
      </c>
      <c r="B1472" s="3">
        <v>40057</v>
      </c>
      <c r="C1472" t="s">
        <v>652</v>
      </c>
      <c r="D1472">
        <v>395</v>
      </c>
      <c r="E1472">
        <v>293</v>
      </c>
    </row>
    <row r="1473" spans="1:5" x14ac:dyDescent="0.25">
      <c r="A1473" t="s">
        <v>753</v>
      </c>
      <c r="B1473" s="3">
        <v>40057</v>
      </c>
      <c r="C1473" t="s">
        <v>652</v>
      </c>
      <c r="D1473">
        <v>340</v>
      </c>
      <c r="E1473">
        <v>354</v>
      </c>
    </row>
    <row r="1474" spans="1:5" x14ac:dyDescent="0.25">
      <c r="A1474" t="s">
        <v>752</v>
      </c>
      <c r="B1474" s="3">
        <v>40057</v>
      </c>
      <c r="C1474" t="s">
        <v>652</v>
      </c>
      <c r="D1474">
        <v>300</v>
      </c>
      <c r="E1474">
        <v>393</v>
      </c>
    </row>
    <row r="1475" spans="1:5" x14ac:dyDescent="0.25">
      <c r="A1475" t="s">
        <v>751</v>
      </c>
      <c r="B1475" s="3">
        <v>40057</v>
      </c>
      <c r="C1475" t="s">
        <v>652</v>
      </c>
      <c r="D1475">
        <v>375</v>
      </c>
      <c r="E1475">
        <v>139</v>
      </c>
    </row>
    <row r="1476" spans="1:5" x14ac:dyDescent="0.25">
      <c r="A1476" t="s">
        <v>750</v>
      </c>
      <c r="B1476" s="3">
        <v>40057</v>
      </c>
      <c r="C1476" t="s">
        <v>652</v>
      </c>
      <c r="D1476">
        <v>320</v>
      </c>
      <c r="E1476">
        <v>223</v>
      </c>
    </row>
    <row r="1477" spans="1:5" x14ac:dyDescent="0.25">
      <c r="A1477" t="s">
        <v>749</v>
      </c>
      <c r="B1477" s="3">
        <v>40057</v>
      </c>
      <c r="C1477" t="s">
        <v>652</v>
      </c>
      <c r="D1477">
        <v>330</v>
      </c>
      <c r="E1477">
        <v>394</v>
      </c>
    </row>
    <row r="1478" spans="1:5" x14ac:dyDescent="0.25">
      <c r="A1478" t="s">
        <v>748</v>
      </c>
      <c r="B1478" s="3">
        <v>40057</v>
      </c>
      <c r="C1478" t="s">
        <v>652</v>
      </c>
      <c r="D1478">
        <v>300</v>
      </c>
      <c r="E1478">
        <v>343</v>
      </c>
    </row>
    <row r="1479" spans="1:5" x14ac:dyDescent="0.25">
      <c r="A1479" t="s">
        <v>747</v>
      </c>
      <c r="B1479" s="3">
        <v>40057</v>
      </c>
      <c r="C1479" t="s">
        <v>652</v>
      </c>
      <c r="D1479">
        <v>350</v>
      </c>
      <c r="E1479">
        <v>408</v>
      </c>
    </row>
    <row r="1480" spans="1:5" x14ac:dyDescent="0.25">
      <c r="A1480" t="s">
        <v>746</v>
      </c>
      <c r="B1480" s="3">
        <v>40057</v>
      </c>
      <c r="C1480" t="s">
        <v>652</v>
      </c>
      <c r="D1480">
        <v>330</v>
      </c>
      <c r="E1480">
        <v>54</v>
      </c>
    </row>
    <row r="1481" spans="1:5" x14ac:dyDescent="0.25">
      <c r="A1481" t="s">
        <v>745</v>
      </c>
      <c r="B1481" s="3">
        <v>40057</v>
      </c>
      <c r="C1481" t="s">
        <v>652</v>
      </c>
      <c r="D1481">
        <v>340</v>
      </c>
      <c r="E1481">
        <v>123</v>
      </c>
    </row>
    <row r="1482" spans="1:5" x14ac:dyDescent="0.25">
      <c r="A1482" t="s">
        <v>744</v>
      </c>
      <c r="B1482" s="3">
        <v>40057</v>
      </c>
      <c r="C1482" t="s">
        <v>652</v>
      </c>
      <c r="D1482">
        <v>285</v>
      </c>
      <c r="E1482">
        <v>352</v>
      </c>
    </row>
    <row r="1483" spans="1:5" x14ac:dyDescent="0.25">
      <c r="A1483" t="s">
        <v>743</v>
      </c>
      <c r="B1483" s="3">
        <v>40057</v>
      </c>
      <c r="C1483" t="s">
        <v>652</v>
      </c>
      <c r="D1483">
        <v>260</v>
      </c>
      <c r="E1483">
        <v>44</v>
      </c>
    </row>
    <row r="1484" spans="1:5" x14ac:dyDescent="0.25">
      <c r="A1484" t="s">
        <v>742</v>
      </c>
      <c r="B1484" s="3">
        <v>40057</v>
      </c>
      <c r="C1484" t="s">
        <v>652</v>
      </c>
      <c r="D1484">
        <v>290</v>
      </c>
      <c r="E1484">
        <v>137</v>
      </c>
    </row>
    <row r="1485" spans="1:5" x14ac:dyDescent="0.25">
      <c r="A1485" t="s">
        <v>741</v>
      </c>
      <c r="B1485" s="3">
        <v>40057</v>
      </c>
      <c r="C1485" t="s">
        <v>652</v>
      </c>
      <c r="D1485">
        <v>240</v>
      </c>
      <c r="E1485">
        <v>378</v>
      </c>
    </row>
    <row r="1486" spans="1:5" x14ac:dyDescent="0.25">
      <c r="A1486" t="s">
        <v>740</v>
      </c>
      <c r="B1486" s="3">
        <v>40057</v>
      </c>
      <c r="C1486" t="s">
        <v>652</v>
      </c>
      <c r="D1486">
        <v>260</v>
      </c>
      <c r="E1486">
        <v>492</v>
      </c>
    </row>
    <row r="1487" spans="1:5" x14ac:dyDescent="0.25">
      <c r="A1487" t="s">
        <v>739</v>
      </c>
      <c r="B1487" s="3">
        <v>40057</v>
      </c>
      <c r="C1487" t="s">
        <v>652</v>
      </c>
      <c r="D1487">
        <v>300</v>
      </c>
      <c r="E1487">
        <v>524</v>
      </c>
    </row>
    <row r="1488" spans="1:5" x14ac:dyDescent="0.25">
      <c r="A1488" t="s">
        <v>738</v>
      </c>
      <c r="B1488" s="3">
        <v>40057</v>
      </c>
      <c r="C1488" t="s">
        <v>652</v>
      </c>
      <c r="D1488">
        <v>200</v>
      </c>
      <c r="E1488">
        <v>51</v>
      </c>
    </row>
    <row r="1489" spans="1:5" x14ac:dyDescent="0.25">
      <c r="A1489" t="s">
        <v>737</v>
      </c>
      <c r="B1489" s="3">
        <v>40057</v>
      </c>
      <c r="C1489" t="s">
        <v>652</v>
      </c>
      <c r="D1489">
        <v>355</v>
      </c>
      <c r="E1489">
        <v>57</v>
      </c>
    </row>
    <row r="1490" spans="1:5" x14ac:dyDescent="0.25">
      <c r="A1490" t="s">
        <v>736</v>
      </c>
      <c r="B1490" s="3">
        <v>40057</v>
      </c>
      <c r="C1490" t="s">
        <v>652</v>
      </c>
      <c r="D1490">
        <v>210</v>
      </c>
      <c r="E1490">
        <v>52</v>
      </c>
    </row>
    <row r="1491" spans="1:5" x14ac:dyDescent="0.25">
      <c r="A1491" t="s">
        <v>735</v>
      </c>
      <c r="B1491" s="3">
        <v>40057</v>
      </c>
      <c r="C1491" t="s">
        <v>652</v>
      </c>
      <c r="D1491">
        <v>280</v>
      </c>
      <c r="E1491">
        <v>234</v>
      </c>
    </row>
    <row r="1492" spans="1:5" x14ac:dyDescent="0.25">
      <c r="A1492" t="s">
        <v>734</v>
      </c>
      <c r="B1492" s="3">
        <v>40057</v>
      </c>
      <c r="C1492" t="s">
        <v>652</v>
      </c>
      <c r="D1492">
        <v>360</v>
      </c>
      <c r="E1492">
        <v>1229</v>
      </c>
    </row>
    <row r="1493" spans="1:5" x14ac:dyDescent="0.25">
      <c r="A1493" t="s">
        <v>733</v>
      </c>
      <c r="B1493" s="3">
        <v>40057</v>
      </c>
      <c r="C1493" t="s">
        <v>652</v>
      </c>
      <c r="D1493">
        <v>345</v>
      </c>
      <c r="E1493">
        <v>270</v>
      </c>
    </row>
    <row r="1494" spans="1:5" x14ac:dyDescent="0.25">
      <c r="A1494" t="s">
        <v>732</v>
      </c>
      <c r="B1494" s="3">
        <v>40057</v>
      </c>
      <c r="C1494" t="s">
        <v>652</v>
      </c>
      <c r="D1494">
        <v>375</v>
      </c>
      <c r="E1494">
        <v>595</v>
      </c>
    </row>
    <row r="1495" spans="1:5" x14ac:dyDescent="0.25">
      <c r="A1495" t="s">
        <v>731</v>
      </c>
      <c r="B1495" s="3">
        <v>40057</v>
      </c>
      <c r="C1495" t="s">
        <v>652</v>
      </c>
      <c r="D1495">
        <v>370</v>
      </c>
      <c r="E1495">
        <v>134</v>
      </c>
    </row>
    <row r="1496" spans="1:5" x14ac:dyDescent="0.25">
      <c r="A1496" t="s">
        <v>730</v>
      </c>
      <c r="B1496" s="3">
        <v>40057</v>
      </c>
      <c r="C1496" t="s">
        <v>652</v>
      </c>
      <c r="D1496">
        <v>350</v>
      </c>
      <c r="E1496">
        <v>230</v>
      </c>
    </row>
    <row r="1497" spans="1:5" x14ac:dyDescent="0.25">
      <c r="A1497" t="s">
        <v>729</v>
      </c>
      <c r="B1497" s="3">
        <v>40057</v>
      </c>
      <c r="C1497" t="s">
        <v>652</v>
      </c>
      <c r="D1497">
        <v>230</v>
      </c>
      <c r="E1497">
        <v>161</v>
      </c>
    </row>
    <row r="1498" spans="1:5" x14ac:dyDescent="0.25">
      <c r="A1498" t="s">
        <v>728</v>
      </c>
      <c r="B1498" s="3">
        <v>40057</v>
      </c>
      <c r="C1498" t="s">
        <v>652</v>
      </c>
      <c r="D1498">
        <v>240</v>
      </c>
      <c r="E1498">
        <v>266</v>
      </c>
    </row>
    <row r="1499" spans="1:5" x14ac:dyDescent="0.25">
      <c r="A1499" t="s">
        <v>727</v>
      </c>
      <c r="B1499" s="3">
        <v>40057</v>
      </c>
      <c r="C1499" t="s">
        <v>652</v>
      </c>
      <c r="D1499">
        <v>245</v>
      </c>
      <c r="E1499">
        <v>787</v>
      </c>
    </row>
    <row r="1500" spans="1:5" x14ac:dyDescent="0.25">
      <c r="A1500" t="s">
        <v>726</v>
      </c>
      <c r="B1500" s="3">
        <v>40057</v>
      </c>
      <c r="C1500" t="s">
        <v>652</v>
      </c>
      <c r="D1500">
        <v>200</v>
      </c>
      <c r="E1500">
        <v>65</v>
      </c>
    </row>
    <row r="1501" spans="1:5" x14ac:dyDescent="0.25">
      <c r="A1501" t="s">
        <v>725</v>
      </c>
      <c r="B1501" s="3">
        <v>40057</v>
      </c>
      <c r="C1501" t="s">
        <v>652</v>
      </c>
      <c r="D1501">
        <v>275</v>
      </c>
      <c r="E1501">
        <v>726</v>
      </c>
    </row>
    <row r="1502" spans="1:5" x14ac:dyDescent="0.25">
      <c r="A1502" t="s">
        <v>724</v>
      </c>
      <c r="B1502" s="3">
        <v>40057</v>
      </c>
      <c r="C1502" t="s">
        <v>652</v>
      </c>
      <c r="D1502">
        <v>350</v>
      </c>
      <c r="E1502">
        <v>340</v>
      </c>
    </row>
    <row r="1503" spans="1:5" x14ac:dyDescent="0.25">
      <c r="A1503" t="s">
        <v>723</v>
      </c>
      <c r="B1503" s="3">
        <v>40057</v>
      </c>
      <c r="C1503" t="s">
        <v>652</v>
      </c>
      <c r="D1503">
        <v>250</v>
      </c>
      <c r="E1503">
        <v>37</v>
      </c>
    </row>
    <row r="1504" spans="1:5" x14ac:dyDescent="0.25">
      <c r="A1504" t="s">
        <v>722</v>
      </c>
      <c r="B1504" s="3">
        <v>40057</v>
      </c>
      <c r="C1504" t="s">
        <v>652</v>
      </c>
      <c r="D1504">
        <v>220</v>
      </c>
      <c r="E1504">
        <v>139</v>
      </c>
    </row>
    <row r="1505" spans="1:5" x14ac:dyDescent="0.25">
      <c r="A1505" t="s">
        <v>721</v>
      </c>
      <c r="B1505" s="3">
        <v>40057</v>
      </c>
      <c r="C1505" t="s">
        <v>652</v>
      </c>
      <c r="D1505">
        <v>360</v>
      </c>
      <c r="E1505">
        <v>57</v>
      </c>
    </row>
    <row r="1506" spans="1:5" x14ac:dyDescent="0.25">
      <c r="A1506" t="s">
        <v>720</v>
      </c>
      <c r="B1506" s="3">
        <v>40057</v>
      </c>
      <c r="C1506" t="s">
        <v>652</v>
      </c>
      <c r="D1506">
        <v>300</v>
      </c>
      <c r="E1506">
        <v>103</v>
      </c>
    </row>
    <row r="1507" spans="1:5" x14ac:dyDescent="0.25">
      <c r="A1507" t="s">
        <v>719</v>
      </c>
      <c r="B1507" s="3">
        <v>40057</v>
      </c>
      <c r="C1507" t="s">
        <v>652</v>
      </c>
      <c r="D1507">
        <v>290</v>
      </c>
      <c r="E1507">
        <v>371</v>
      </c>
    </row>
    <row r="1508" spans="1:5" x14ac:dyDescent="0.25">
      <c r="A1508" t="s">
        <v>718</v>
      </c>
      <c r="B1508" s="3">
        <v>40057</v>
      </c>
      <c r="C1508" t="s">
        <v>652</v>
      </c>
      <c r="D1508">
        <v>280</v>
      </c>
      <c r="E1508">
        <v>220</v>
      </c>
    </row>
    <row r="1509" spans="1:5" x14ac:dyDescent="0.25">
      <c r="A1509" t="s">
        <v>717</v>
      </c>
      <c r="B1509" s="3">
        <v>40057</v>
      </c>
      <c r="C1509" t="s">
        <v>652</v>
      </c>
      <c r="D1509">
        <v>300</v>
      </c>
      <c r="E1509">
        <v>344</v>
      </c>
    </row>
    <row r="1510" spans="1:5" x14ac:dyDescent="0.25">
      <c r="A1510" t="s">
        <v>716</v>
      </c>
      <c r="B1510" s="3">
        <v>40057</v>
      </c>
      <c r="C1510" t="s">
        <v>652</v>
      </c>
      <c r="D1510">
        <v>260</v>
      </c>
      <c r="E1510">
        <v>308</v>
      </c>
    </row>
    <row r="1511" spans="1:5" x14ac:dyDescent="0.25">
      <c r="A1511" t="s">
        <v>715</v>
      </c>
      <c r="B1511" s="3">
        <v>40057</v>
      </c>
      <c r="C1511" t="s">
        <v>652</v>
      </c>
      <c r="D1511">
        <v>260</v>
      </c>
      <c r="E1511">
        <v>39</v>
      </c>
    </row>
    <row r="1512" spans="1:5" x14ac:dyDescent="0.25">
      <c r="A1512" t="s">
        <v>714</v>
      </c>
      <c r="B1512" s="3">
        <v>40057</v>
      </c>
      <c r="C1512" t="s">
        <v>652</v>
      </c>
      <c r="D1512">
        <v>320</v>
      </c>
      <c r="E1512">
        <v>877</v>
      </c>
    </row>
    <row r="1513" spans="1:5" x14ac:dyDescent="0.25">
      <c r="A1513" t="s">
        <v>713</v>
      </c>
      <c r="B1513" s="3">
        <v>40057</v>
      </c>
      <c r="C1513" t="s">
        <v>652</v>
      </c>
      <c r="D1513">
        <v>330</v>
      </c>
      <c r="E1513">
        <v>275</v>
      </c>
    </row>
    <row r="1514" spans="1:5" x14ac:dyDescent="0.25">
      <c r="A1514" t="s">
        <v>712</v>
      </c>
      <c r="B1514" s="3">
        <v>40057</v>
      </c>
      <c r="C1514" t="s">
        <v>652</v>
      </c>
      <c r="D1514">
        <v>320</v>
      </c>
      <c r="E1514">
        <v>490</v>
      </c>
    </row>
    <row r="1515" spans="1:5" x14ac:dyDescent="0.25">
      <c r="A1515" t="s">
        <v>711</v>
      </c>
      <c r="B1515" s="3">
        <v>40057</v>
      </c>
      <c r="C1515" t="s">
        <v>652</v>
      </c>
      <c r="D1515">
        <v>340</v>
      </c>
      <c r="E1515">
        <v>112</v>
      </c>
    </row>
    <row r="1516" spans="1:5" x14ac:dyDescent="0.25">
      <c r="A1516" t="s">
        <v>756</v>
      </c>
      <c r="B1516" s="3">
        <v>40057</v>
      </c>
      <c r="C1516" t="s">
        <v>652</v>
      </c>
      <c r="D1516">
        <v>285</v>
      </c>
      <c r="E1516">
        <v>276</v>
      </c>
    </row>
    <row r="1517" spans="1:5" x14ac:dyDescent="0.25">
      <c r="A1517" t="s">
        <v>710</v>
      </c>
      <c r="B1517" s="3">
        <v>40057</v>
      </c>
      <c r="C1517" t="s">
        <v>652</v>
      </c>
      <c r="D1517">
        <v>220</v>
      </c>
      <c r="E1517">
        <v>556</v>
      </c>
    </row>
    <row r="1518" spans="1:5" x14ac:dyDescent="0.25">
      <c r="A1518" t="s">
        <v>709</v>
      </c>
      <c r="B1518" s="3">
        <v>40057</v>
      </c>
      <c r="C1518" t="s">
        <v>652</v>
      </c>
      <c r="D1518">
        <v>285</v>
      </c>
      <c r="E1518">
        <v>377</v>
      </c>
    </row>
    <row r="1519" spans="1:5" x14ac:dyDescent="0.25">
      <c r="A1519" t="s">
        <v>708</v>
      </c>
      <c r="B1519" s="3">
        <v>40057</v>
      </c>
      <c r="C1519" t="s">
        <v>652</v>
      </c>
      <c r="D1519">
        <v>200</v>
      </c>
      <c r="E1519">
        <v>83</v>
      </c>
    </row>
    <row r="1520" spans="1:5" x14ac:dyDescent="0.25">
      <c r="A1520" t="s">
        <v>635</v>
      </c>
      <c r="B1520" s="3">
        <v>40148</v>
      </c>
      <c r="C1520" t="s">
        <v>649</v>
      </c>
      <c r="D1520">
        <v>310</v>
      </c>
      <c r="E1520">
        <v>3790</v>
      </c>
    </row>
    <row r="1521" spans="1:5" x14ac:dyDescent="0.25">
      <c r="A1521" t="s">
        <v>755</v>
      </c>
      <c r="B1521" s="3">
        <v>40148</v>
      </c>
      <c r="C1521" t="s">
        <v>649</v>
      </c>
      <c r="D1521">
        <v>260</v>
      </c>
      <c r="E1521">
        <v>38</v>
      </c>
    </row>
    <row r="1522" spans="1:5" x14ac:dyDescent="0.25">
      <c r="A1522" t="s">
        <v>754</v>
      </c>
      <c r="B1522" s="3">
        <v>40148</v>
      </c>
      <c r="C1522" t="s">
        <v>649</v>
      </c>
      <c r="D1522">
        <v>390</v>
      </c>
      <c r="E1522">
        <v>1632</v>
      </c>
    </row>
    <row r="1523" spans="1:5" x14ac:dyDescent="0.25">
      <c r="A1523" t="s">
        <v>753</v>
      </c>
      <c r="B1523" s="3">
        <v>40148</v>
      </c>
      <c r="C1523" t="s">
        <v>649</v>
      </c>
      <c r="D1523">
        <v>280</v>
      </c>
      <c r="E1523">
        <v>728</v>
      </c>
    </row>
    <row r="1524" spans="1:5" x14ac:dyDescent="0.25">
      <c r="A1524" t="s">
        <v>752</v>
      </c>
      <c r="B1524" s="3">
        <v>40148</v>
      </c>
      <c r="C1524" t="s">
        <v>649</v>
      </c>
      <c r="D1524">
        <v>270</v>
      </c>
      <c r="E1524">
        <v>168</v>
      </c>
    </row>
    <row r="1525" spans="1:5" x14ac:dyDescent="0.25">
      <c r="A1525" t="s">
        <v>751</v>
      </c>
      <c r="B1525" s="3">
        <v>40148</v>
      </c>
      <c r="C1525" t="s">
        <v>649</v>
      </c>
      <c r="D1525">
        <v>300</v>
      </c>
      <c r="E1525">
        <v>116</v>
      </c>
    </row>
    <row r="1526" spans="1:5" x14ac:dyDescent="0.25">
      <c r="A1526" t="s">
        <v>750</v>
      </c>
      <c r="B1526" s="3">
        <v>40148</v>
      </c>
      <c r="C1526" t="s">
        <v>649</v>
      </c>
      <c r="D1526">
        <v>270</v>
      </c>
      <c r="E1526">
        <v>51</v>
      </c>
    </row>
    <row r="1527" spans="1:5" x14ac:dyDescent="0.25">
      <c r="A1527" t="s">
        <v>749</v>
      </c>
      <c r="B1527" s="3">
        <v>40148</v>
      </c>
      <c r="C1527" t="s">
        <v>649</v>
      </c>
      <c r="D1527">
        <v>275</v>
      </c>
      <c r="E1527">
        <v>382</v>
      </c>
    </row>
    <row r="1528" spans="1:5" x14ac:dyDescent="0.25">
      <c r="A1528" t="s">
        <v>748</v>
      </c>
      <c r="B1528" s="3">
        <v>40148</v>
      </c>
      <c r="C1528" t="s">
        <v>649</v>
      </c>
      <c r="D1528">
        <v>250</v>
      </c>
      <c r="E1528">
        <v>50</v>
      </c>
    </row>
    <row r="1529" spans="1:5" x14ac:dyDescent="0.25">
      <c r="A1529" t="s">
        <v>747</v>
      </c>
      <c r="B1529" s="3">
        <v>40148</v>
      </c>
      <c r="C1529" t="s">
        <v>649</v>
      </c>
      <c r="D1529">
        <v>285</v>
      </c>
      <c r="E1529">
        <v>380</v>
      </c>
    </row>
    <row r="1530" spans="1:5" x14ac:dyDescent="0.25">
      <c r="A1530" t="s">
        <v>746</v>
      </c>
      <c r="B1530" s="3">
        <v>40148</v>
      </c>
      <c r="C1530" t="s">
        <v>649</v>
      </c>
      <c r="D1530">
        <v>230</v>
      </c>
      <c r="E1530">
        <v>6</v>
      </c>
    </row>
    <row r="1531" spans="1:5" x14ac:dyDescent="0.25">
      <c r="A1531" t="s">
        <v>745</v>
      </c>
      <c r="B1531" s="3">
        <v>40148</v>
      </c>
      <c r="C1531" t="s">
        <v>649</v>
      </c>
      <c r="D1531">
        <v>290</v>
      </c>
      <c r="E1531">
        <v>224</v>
      </c>
    </row>
    <row r="1532" spans="1:5" x14ac:dyDescent="0.25">
      <c r="A1532" t="s">
        <v>744</v>
      </c>
      <c r="B1532" s="3">
        <v>40148</v>
      </c>
      <c r="C1532" t="s">
        <v>649</v>
      </c>
      <c r="D1532">
        <v>265</v>
      </c>
      <c r="E1532">
        <v>15</v>
      </c>
    </row>
    <row r="1533" spans="1:5" x14ac:dyDescent="0.25">
      <c r="A1533" t="s">
        <v>743</v>
      </c>
      <c r="B1533" s="3">
        <v>40148</v>
      </c>
      <c r="C1533" t="s">
        <v>649</v>
      </c>
      <c r="D1533">
        <v>170</v>
      </c>
      <c r="E1533">
        <v>25</v>
      </c>
    </row>
    <row r="1534" spans="1:5" x14ac:dyDescent="0.25">
      <c r="A1534" t="s">
        <v>742</v>
      </c>
      <c r="B1534" s="3">
        <v>40148</v>
      </c>
      <c r="C1534" t="s">
        <v>649</v>
      </c>
      <c r="D1534">
        <v>180</v>
      </c>
      <c r="E1534">
        <v>20</v>
      </c>
    </row>
    <row r="1535" spans="1:5" x14ac:dyDescent="0.25">
      <c r="A1535" t="s">
        <v>741</v>
      </c>
      <c r="B1535" s="3">
        <v>40148</v>
      </c>
      <c r="C1535" t="s">
        <v>649</v>
      </c>
      <c r="D1535">
        <v>175</v>
      </c>
      <c r="E1535">
        <v>157</v>
      </c>
    </row>
    <row r="1536" spans="1:5" x14ac:dyDescent="0.25">
      <c r="A1536" t="s">
        <v>740</v>
      </c>
      <c r="B1536" s="3">
        <v>40148</v>
      </c>
      <c r="C1536" t="s">
        <v>649</v>
      </c>
      <c r="D1536">
        <v>200</v>
      </c>
      <c r="E1536">
        <v>118</v>
      </c>
    </row>
    <row r="1537" spans="1:5" x14ac:dyDescent="0.25">
      <c r="A1537" t="s">
        <v>739</v>
      </c>
      <c r="B1537" s="3">
        <v>40148</v>
      </c>
      <c r="C1537" t="s">
        <v>649</v>
      </c>
      <c r="D1537">
        <v>260</v>
      </c>
      <c r="E1537">
        <v>936</v>
      </c>
    </row>
    <row r="1538" spans="1:5" x14ac:dyDescent="0.25">
      <c r="A1538" t="s">
        <v>738</v>
      </c>
      <c r="B1538" s="3">
        <v>40148</v>
      </c>
      <c r="C1538" t="s">
        <v>649</v>
      </c>
      <c r="D1538">
        <v>170</v>
      </c>
      <c r="E1538">
        <v>9</v>
      </c>
    </row>
    <row r="1539" spans="1:5" x14ac:dyDescent="0.25">
      <c r="A1539" t="s">
        <v>737</v>
      </c>
      <c r="B1539" s="3">
        <v>40148</v>
      </c>
      <c r="C1539" t="s">
        <v>649</v>
      </c>
      <c r="D1539">
        <v>245</v>
      </c>
      <c r="E1539">
        <v>54</v>
      </c>
    </row>
    <row r="1540" spans="1:5" x14ac:dyDescent="0.25">
      <c r="A1540" t="s">
        <v>736</v>
      </c>
      <c r="B1540" s="3">
        <v>40148</v>
      </c>
      <c r="C1540" t="s">
        <v>649</v>
      </c>
      <c r="D1540">
        <v>175</v>
      </c>
      <c r="E1540">
        <v>19</v>
      </c>
    </row>
    <row r="1541" spans="1:5" x14ac:dyDescent="0.25">
      <c r="A1541" t="s">
        <v>735</v>
      </c>
      <c r="B1541" s="3">
        <v>40148</v>
      </c>
      <c r="C1541" t="s">
        <v>649</v>
      </c>
      <c r="D1541">
        <v>220</v>
      </c>
      <c r="E1541">
        <v>162</v>
      </c>
    </row>
    <row r="1542" spans="1:5" x14ac:dyDescent="0.25">
      <c r="A1542" t="s">
        <v>734</v>
      </c>
      <c r="B1542" s="3">
        <v>40148</v>
      </c>
      <c r="C1542" t="s">
        <v>649</v>
      </c>
      <c r="D1542">
        <v>310</v>
      </c>
      <c r="E1542">
        <v>2428</v>
      </c>
    </row>
    <row r="1543" spans="1:5" x14ac:dyDescent="0.25">
      <c r="A1543" t="s">
        <v>733</v>
      </c>
      <c r="B1543" s="3">
        <v>40148</v>
      </c>
      <c r="C1543" t="s">
        <v>649</v>
      </c>
      <c r="D1543">
        <v>315</v>
      </c>
      <c r="E1543">
        <v>239</v>
      </c>
    </row>
    <row r="1544" spans="1:5" x14ac:dyDescent="0.25">
      <c r="A1544" t="s">
        <v>732</v>
      </c>
      <c r="B1544" s="3">
        <v>40148</v>
      </c>
      <c r="C1544" t="s">
        <v>649</v>
      </c>
      <c r="D1544">
        <v>320</v>
      </c>
      <c r="E1544">
        <v>1766</v>
      </c>
    </row>
    <row r="1545" spans="1:5" x14ac:dyDescent="0.25">
      <c r="A1545" t="s">
        <v>731</v>
      </c>
      <c r="B1545" s="3">
        <v>40148</v>
      </c>
      <c r="C1545" t="s">
        <v>649</v>
      </c>
      <c r="D1545">
        <v>280</v>
      </c>
      <c r="E1545">
        <v>379</v>
      </c>
    </row>
    <row r="1546" spans="1:5" x14ac:dyDescent="0.25">
      <c r="A1546" t="s">
        <v>730</v>
      </c>
      <c r="B1546" s="3">
        <v>40148</v>
      </c>
      <c r="C1546" t="s">
        <v>649</v>
      </c>
      <c r="D1546">
        <v>270</v>
      </c>
      <c r="E1546">
        <v>44</v>
      </c>
    </row>
    <row r="1547" spans="1:5" x14ac:dyDescent="0.25">
      <c r="A1547" t="s">
        <v>729</v>
      </c>
      <c r="B1547" s="3">
        <v>40148</v>
      </c>
      <c r="C1547" t="s">
        <v>649</v>
      </c>
      <c r="D1547">
        <v>160</v>
      </c>
      <c r="E1547">
        <v>27</v>
      </c>
    </row>
    <row r="1548" spans="1:5" x14ac:dyDescent="0.25">
      <c r="A1548" t="s">
        <v>728</v>
      </c>
      <c r="B1548" s="3">
        <v>40148</v>
      </c>
      <c r="C1548" t="s">
        <v>649</v>
      </c>
      <c r="D1548">
        <v>210</v>
      </c>
      <c r="E1548">
        <v>146</v>
      </c>
    </row>
    <row r="1549" spans="1:5" x14ac:dyDescent="0.25">
      <c r="A1549" t="s">
        <v>727</v>
      </c>
      <c r="B1549" s="3">
        <v>40148</v>
      </c>
      <c r="C1549" t="s">
        <v>649</v>
      </c>
      <c r="D1549">
        <v>200</v>
      </c>
      <c r="E1549">
        <v>134</v>
      </c>
    </row>
    <row r="1550" spans="1:5" x14ac:dyDescent="0.25">
      <c r="A1550" t="s">
        <v>726</v>
      </c>
      <c r="B1550" s="3">
        <v>40148</v>
      </c>
      <c r="C1550" t="s">
        <v>649</v>
      </c>
      <c r="D1550">
        <v>170</v>
      </c>
      <c r="E1550">
        <v>52</v>
      </c>
    </row>
    <row r="1551" spans="1:5" x14ac:dyDescent="0.25">
      <c r="A1551" t="s">
        <v>725</v>
      </c>
      <c r="B1551" s="3">
        <v>40148</v>
      </c>
      <c r="C1551" t="s">
        <v>649</v>
      </c>
      <c r="D1551">
        <v>200</v>
      </c>
      <c r="E1551">
        <v>175</v>
      </c>
    </row>
    <row r="1552" spans="1:5" x14ac:dyDescent="0.25">
      <c r="A1552" t="s">
        <v>724</v>
      </c>
      <c r="B1552" s="3">
        <v>40148</v>
      </c>
      <c r="C1552" t="s">
        <v>649</v>
      </c>
      <c r="D1552">
        <v>255</v>
      </c>
      <c r="E1552">
        <v>211</v>
      </c>
    </row>
    <row r="1553" spans="1:5" x14ac:dyDescent="0.25">
      <c r="A1553" t="s">
        <v>723</v>
      </c>
      <c r="B1553" s="3">
        <v>40148</v>
      </c>
      <c r="C1553" t="s">
        <v>649</v>
      </c>
      <c r="D1553">
        <v>150</v>
      </c>
      <c r="E1553">
        <v>22</v>
      </c>
    </row>
    <row r="1554" spans="1:5" x14ac:dyDescent="0.25">
      <c r="A1554" t="s">
        <v>722</v>
      </c>
      <c r="B1554" s="3">
        <v>40148</v>
      </c>
      <c r="C1554" t="s">
        <v>649</v>
      </c>
      <c r="D1554">
        <v>155</v>
      </c>
      <c r="E1554">
        <v>45</v>
      </c>
    </row>
    <row r="1555" spans="1:5" x14ac:dyDescent="0.25">
      <c r="A1555" t="s">
        <v>721</v>
      </c>
      <c r="B1555" s="3">
        <v>40148</v>
      </c>
      <c r="C1555" t="s">
        <v>649</v>
      </c>
      <c r="D1555">
        <v>280</v>
      </c>
      <c r="E1555">
        <v>81</v>
      </c>
    </row>
    <row r="1556" spans="1:5" x14ac:dyDescent="0.25">
      <c r="A1556" t="s">
        <v>720</v>
      </c>
      <c r="B1556" s="3">
        <v>40148</v>
      </c>
      <c r="C1556" t="s">
        <v>649</v>
      </c>
      <c r="D1556">
        <v>215</v>
      </c>
      <c r="E1556">
        <v>50</v>
      </c>
    </row>
    <row r="1557" spans="1:5" x14ac:dyDescent="0.25">
      <c r="A1557" t="s">
        <v>719</v>
      </c>
      <c r="B1557" s="3">
        <v>40148</v>
      </c>
      <c r="C1557" t="s">
        <v>649</v>
      </c>
      <c r="D1557">
        <v>230</v>
      </c>
      <c r="E1557">
        <v>65</v>
      </c>
    </row>
    <row r="1558" spans="1:5" x14ac:dyDescent="0.25">
      <c r="A1558" t="s">
        <v>718</v>
      </c>
      <c r="B1558" s="3">
        <v>40148</v>
      </c>
      <c r="C1558" t="s">
        <v>649</v>
      </c>
      <c r="D1558">
        <v>230</v>
      </c>
      <c r="E1558">
        <v>161</v>
      </c>
    </row>
    <row r="1559" spans="1:5" x14ac:dyDescent="0.25">
      <c r="A1559" t="s">
        <v>717</v>
      </c>
      <c r="B1559" s="3">
        <v>40148</v>
      </c>
      <c r="C1559" t="s">
        <v>649</v>
      </c>
      <c r="D1559">
        <v>275</v>
      </c>
      <c r="E1559">
        <v>64</v>
      </c>
    </row>
    <row r="1560" spans="1:5" x14ac:dyDescent="0.25">
      <c r="A1560" t="s">
        <v>716</v>
      </c>
      <c r="B1560" s="3">
        <v>40148</v>
      </c>
      <c r="C1560" t="s">
        <v>649</v>
      </c>
      <c r="D1560">
        <v>185</v>
      </c>
      <c r="E1560">
        <v>170</v>
      </c>
    </row>
    <row r="1561" spans="1:5" x14ac:dyDescent="0.25">
      <c r="A1561" t="s">
        <v>715</v>
      </c>
      <c r="B1561" s="3">
        <v>40148</v>
      </c>
      <c r="C1561" t="s">
        <v>649</v>
      </c>
      <c r="D1561">
        <v>150</v>
      </c>
      <c r="E1561">
        <v>20</v>
      </c>
    </row>
    <row r="1562" spans="1:5" x14ac:dyDescent="0.25">
      <c r="A1562" t="s">
        <v>714</v>
      </c>
      <c r="B1562" s="3">
        <v>40148</v>
      </c>
      <c r="C1562" t="s">
        <v>649</v>
      </c>
      <c r="D1562">
        <v>270</v>
      </c>
      <c r="E1562">
        <v>853</v>
      </c>
    </row>
    <row r="1563" spans="1:5" x14ac:dyDescent="0.25">
      <c r="A1563" t="s">
        <v>713</v>
      </c>
      <c r="B1563" s="3">
        <v>40148</v>
      </c>
      <c r="C1563" t="s">
        <v>649</v>
      </c>
      <c r="D1563">
        <v>265</v>
      </c>
      <c r="E1563">
        <v>180</v>
      </c>
    </row>
    <row r="1564" spans="1:5" x14ac:dyDescent="0.25">
      <c r="A1564" t="s">
        <v>712</v>
      </c>
      <c r="B1564" s="3">
        <v>40148</v>
      </c>
      <c r="C1564" t="s">
        <v>649</v>
      </c>
      <c r="D1564">
        <v>260</v>
      </c>
      <c r="E1564">
        <v>550</v>
      </c>
    </row>
    <row r="1565" spans="1:5" x14ac:dyDescent="0.25">
      <c r="A1565" t="s">
        <v>711</v>
      </c>
      <c r="B1565" s="3">
        <v>40148</v>
      </c>
      <c r="C1565" t="s">
        <v>649</v>
      </c>
      <c r="D1565">
        <v>290</v>
      </c>
      <c r="E1565">
        <v>123</v>
      </c>
    </row>
    <row r="1566" spans="1:5" x14ac:dyDescent="0.25">
      <c r="A1566" t="s">
        <v>756</v>
      </c>
      <c r="B1566" s="3">
        <v>40148</v>
      </c>
      <c r="C1566" t="s">
        <v>649</v>
      </c>
      <c r="D1566">
        <v>240</v>
      </c>
      <c r="E1566">
        <v>34</v>
      </c>
    </row>
    <row r="1567" spans="1:5" x14ac:dyDescent="0.25">
      <c r="A1567" t="s">
        <v>710</v>
      </c>
      <c r="B1567" s="3">
        <v>40148</v>
      </c>
      <c r="C1567" t="s">
        <v>649</v>
      </c>
      <c r="D1567">
        <v>170</v>
      </c>
      <c r="E1567">
        <v>338</v>
      </c>
    </row>
    <row r="1568" spans="1:5" x14ac:dyDescent="0.25">
      <c r="A1568" t="s">
        <v>709</v>
      </c>
      <c r="B1568" s="3">
        <v>40148</v>
      </c>
      <c r="C1568" t="s">
        <v>649</v>
      </c>
      <c r="D1568">
        <v>250</v>
      </c>
      <c r="E1568">
        <v>592</v>
      </c>
    </row>
    <row r="1569" spans="1:5" x14ac:dyDescent="0.25">
      <c r="A1569" t="s">
        <v>708</v>
      </c>
      <c r="B1569" s="3">
        <v>40148</v>
      </c>
      <c r="C1569" t="s">
        <v>649</v>
      </c>
      <c r="D1569">
        <v>170</v>
      </c>
      <c r="E1569">
        <v>32</v>
      </c>
    </row>
    <row r="1570" spans="1:5" x14ac:dyDescent="0.25">
      <c r="A1570" t="s">
        <v>635</v>
      </c>
      <c r="B1570" s="3">
        <v>40148</v>
      </c>
      <c r="C1570" t="s">
        <v>652</v>
      </c>
      <c r="D1570">
        <v>330</v>
      </c>
      <c r="E1570">
        <v>3317</v>
      </c>
    </row>
    <row r="1571" spans="1:5" x14ac:dyDescent="0.25">
      <c r="A1571" t="s">
        <v>755</v>
      </c>
      <c r="B1571" s="3">
        <v>40148</v>
      </c>
      <c r="C1571" t="s">
        <v>652</v>
      </c>
      <c r="D1571">
        <v>330</v>
      </c>
      <c r="E1571">
        <v>162</v>
      </c>
    </row>
    <row r="1572" spans="1:5" x14ac:dyDescent="0.25">
      <c r="A1572" t="s">
        <v>754</v>
      </c>
      <c r="B1572" s="3">
        <v>40148</v>
      </c>
      <c r="C1572" t="s">
        <v>652</v>
      </c>
      <c r="D1572">
        <v>400</v>
      </c>
      <c r="E1572">
        <v>274</v>
      </c>
    </row>
    <row r="1573" spans="1:5" x14ac:dyDescent="0.25">
      <c r="A1573" t="s">
        <v>753</v>
      </c>
      <c r="B1573" s="3">
        <v>40148</v>
      </c>
      <c r="C1573" t="s">
        <v>652</v>
      </c>
      <c r="D1573">
        <v>350</v>
      </c>
      <c r="E1573">
        <v>372</v>
      </c>
    </row>
    <row r="1574" spans="1:5" x14ac:dyDescent="0.25">
      <c r="A1574" t="s">
        <v>752</v>
      </c>
      <c r="B1574" s="3">
        <v>40148</v>
      </c>
      <c r="C1574" t="s">
        <v>652</v>
      </c>
      <c r="D1574">
        <v>320</v>
      </c>
      <c r="E1574">
        <v>426</v>
      </c>
    </row>
    <row r="1575" spans="1:5" x14ac:dyDescent="0.25">
      <c r="A1575" t="s">
        <v>751</v>
      </c>
      <c r="B1575" s="3">
        <v>40148</v>
      </c>
      <c r="C1575" t="s">
        <v>652</v>
      </c>
      <c r="D1575">
        <v>380</v>
      </c>
      <c r="E1575">
        <v>118</v>
      </c>
    </row>
    <row r="1576" spans="1:5" x14ac:dyDescent="0.25">
      <c r="A1576" t="s">
        <v>750</v>
      </c>
      <c r="B1576" s="3">
        <v>40148</v>
      </c>
      <c r="C1576" t="s">
        <v>652</v>
      </c>
      <c r="D1576">
        <v>330</v>
      </c>
      <c r="E1576">
        <v>241</v>
      </c>
    </row>
    <row r="1577" spans="1:5" x14ac:dyDescent="0.25">
      <c r="A1577" t="s">
        <v>749</v>
      </c>
      <c r="B1577" s="3">
        <v>40148</v>
      </c>
      <c r="C1577" t="s">
        <v>652</v>
      </c>
      <c r="D1577">
        <v>330</v>
      </c>
      <c r="E1577">
        <v>385</v>
      </c>
    </row>
    <row r="1578" spans="1:5" x14ac:dyDescent="0.25">
      <c r="A1578" t="s">
        <v>748</v>
      </c>
      <c r="B1578" s="3">
        <v>40148</v>
      </c>
      <c r="C1578" t="s">
        <v>652</v>
      </c>
      <c r="D1578">
        <v>310</v>
      </c>
      <c r="E1578">
        <v>362</v>
      </c>
    </row>
    <row r="1579" spans="1:5" x14ac:dyDescent="0.25">
      <c r="A1579" t="s">
        <v>747</v>
      </c>
      <c r="B1579" s="3">
        <v>40148</v>
      </c>
      <c r="C1579" t="s">
        <v>652</v>
      </c>
      <c r="D1579">
        <v>360</v>
      </c>
      <c r="E1579">
        <v>412</v>
      </c>
    </row>
    <row r="1580" spans="1:5" x14ac:dyDescent="0.25">
      <c r="A1580" t="s">
        <v>746</v>
      </c>
      <c r="B1580" s="3">
        <v>40148</v>
      </c>
      <c r="C1580" t="s">
        <v>652</v>
      </c>
      <c r="D1580">
        <v>350</v>
      </c>
      <c r="E1580">
        <v>67</v>
      </c>
    </row>
    <row r="1581" spans="1:5" x14ac:dyDescent="0.25">
      <c r="A1581" t="s">
        <v>745</v>
      </c>
      <c r="B1581" s="3">
        <v>40148</v>
      </c>
      <c r="C1581" t="s">
        <v>652</v>
      </c>
      <c r="D1581">
        <v>350</v>
      </c>
      <c r="E1581">
        <v>106</v>
      </c>
    </row>
    <row r="1582" spans="1:5" x14ac:dyDescent="0.25">
      <c r="A1582" t="s">
        <v>744</v>
      </c>
      <c r="B1582" s="3">
        <v>40148</v>
      </c>
      <c r="C1582" t="s">
        <v>652</v>
      </c>
      <c r="D1582">
        <v>300</v>
      </c>
      <c r="E1582">
        <v>392</v>
      </c>
    </row>
    <row r="1583" spans="1:5" x14ac:dyDescent="0.25">
      <c r="A1583" t="s">
        <v>743</v>
      </c>
      <c r="B1583" s="3">
        <v>40148</v>
      </c>
      <c r="C1583" t="s">
        <v>652</v>
      </c>
      <c r="D1583">
        <v>260</v>
      </c>
      <c r="E1583">
        <v>55</v>
      </c>
    </row>
    <row r="1584" spans="1:5" x14ac:dyDescent="0.25">
      <c r="A1584" t="s">
        <v>742</v>
      </c>
      <c r="B1584" s="3">
        <v>40148</v>
      </c>
      <c r="C1584" t="s">
        <v>652</v>
      </c>
      <c r="D1584">
        <v>300</v>
      </c>
      <c r="E1584">
        <v>127</v>
      </c>
    </row>
    <row r="1585" spans="1:5" x14ac:dyDescent="0.25">
      <c r="A1585" t="s">
        <v>741</v>
      </c>
      <c r="B1585" s="3">
        <v>40148</v>
      </c>
      <c r="C1585" t="s">
        <v>652</v>
      </c>
      <c r="D1585">
        <v>245</v>
      </c>
      <c r="E1585">
        <v>305</v>
      </c>
    </row>
    <row r="1586" spans="1:5" x14ac:dyDescent="0.25">
      <c r="A1586" t="s">
        <v>740</v>
      </c>
      <c r="B1586" s="3">
        <v>40148</v>
      </c>
      <c r="C1586" t="s">
        <v>652</v>
      </c>
      <c r="D1586">
        <v>260</v>
      </c>
      <c r="E1586">
        <v>553</v>
      </c>
    </row>
    <row r="1587" spans="1:5" x14ac:dyDescent="0.25">
      <c r="A1587" t="s">
        <v>739</v>
      </c>
      <c r="B1587" s="3">
        <v>40148</v>
      </c>
      <c r="C1587" t="s">
        <v>652</v>
      </c>
      <c r="D1587">
        <v>310</v>
      </c>
      <c r="E1587">
        <v>497</v>
      </c>
    </row>
    <row r="1588" spans="1:5" x14ac:dyDescent="0.25">
      <c r="A1588" t="s">
        <v>738</v>
      </c>
      <c r="B1588" s="3">
        <v>40148</v>
      </c>
      <c r="C1588" t="s">
        <v>652</v>
      </c>
      <c r="D1588">
        <v>210</v>
      </c>
      <c r="E1588">
        <v>58</v>
      </c>
    </row>
    <row r="1589" spans="1:5" x14ac:dyDescent="0.25">
      <c r="A1589" t="s">
        <v>737</v>
      </c>
      <c r="B1589" s="3">
        <v>40148</v>
      </c>
      <c r="C1589" t="s">
        <v>652</v>
      </c>
      <c r="D1589">
        <v>360</v>
      </c>
      <c r="E1589">
        <v>68</v>
      </c>
    </row>
    <row r="1590" spans="1:5" x14ac:dyDescent="0.25">
      <c r="A1590" t="s">
        <v>736</v>
      </c>
      <c r="B1590" s="3">
        <v>40148</v>
      </c>
      <c r="C1590" t="s">
        <v>652</v>
      </c>
      <c r="D1590">
        <v>220</v>
      </c>
      <c r="E1590">
        <v>58</v>
      </c>
    </row>
    <row r="1591" spans="1:5" x14ac:dyDescent="0.25">
      <c r="A1591" t="s">
        <v>735</v>
      </c>
      <c r="B1591" s="3">
        <v>40148</v>
      </c>
      <c r="C1591" t="s">
        <v>652</v>
      </c>
      <c r="D1591">
        <v>300</v>
      </c>
      <c r="E1591">
        <v>187</v>
      </c>
    </row>
    <row r="1592" spans="1:5" x14ac:dyDescent="0.25">
      <c r="A1592" t="s">
        <v>734</v>
      </c>
      <c r="B1592" s="3">
        <v>40148</v>
      </c>
      <c r="C1592" t="s">
        <v>652</v>
      </c>
      <c r="D1592">
        <v>375</v>
      </c>
      <c r="E1592">
        <v>1095</v>
      </c>
    </row>
    <row r="1593" spans="1:5" x14ac:dyDescent="0.25">
      <c r="A1593" t="s">
        <v>733</v>
      </c>
      <c r="B1593" s="3">
        <v>40148</v>
      </c>
      <c r="C1593" t="s">
        <v>652</v>
      </c>
      <c r="D1593">
        <v>350</v>
      </c>
      <c r="E1593">
        <v>230</v>
      </c>
    </row>
    <row r="1594" spans="1:5" x14ac:dyDescent="0.25">
      <c r="A1594" t="s">
        <v>732</v>
      </c>
      <c r="B1594" s="3">
        <v>40148</v>
      </c>
      <c r="C1594" t="s">
        <v>652</v>
      </c>
      <c r="D1594">
        <v>385</v>
      </c>
      <c r="E1594">
        <v>567</v>
      </c>
    </row>
    <row r="1595" spans="1:5" x14ac:dyDescent="0.25">
      <c r="A1595" t="s">
        <v>731</v>
      </c>
      <c r="B1595" s="3">
        <v>40148</v>
      </c>
      <c r="C1595" t="s">
        <v>652</v>
      </c>
      <c r="D1595">
        <v>380</v>
      </c>
      <c r="E1595">
        <v>98</v>
      </c>
    </row>
    <row r="1596" spans="1:5" x14ac:dyDescent="0.25">
      <c r="A1596" t="s">
        <v>730</v>
      </c>
      <c r="B1596" s="3">
        <v>40148</v>
      </c>
      <c r="C1596" t="s">
        <v>652</v>
      </c>
      <c r="D1596">
        <v>360</v>
      </c>
      <c r="E1596">
        <v>200</v>
      </c>
    </row>
    <row r="1597" spans="1:5" x14ac:dyDescent="0.25">
      <c r="A1597" t="s">
        <v>729</v>
      </c>
      <c r="B1597" s="3">
        <v>40148</v>
      </c>
      <c r="C1597" t="s">
        <v>652</v>
      </c>
      <c r="D1597">
        <v>235</v>
      </c>
      <c r="E1597">
        <v>169</v>
      </c>
    </row>
    <row r="1598" spans="1:5" x14ac:dyDescent="0.25">
      <c r="A1598" t="s">
        <v>728</v>
      </c>
      <c r="B1598" s="3">
        <v>40148</v>
      </c>
      <c r="C1598" t="s">
        <v>652</v>
      </c>
      <c r="D1598">
        <v>250</v>
      </c>
      <c r="E1598">
        <v>248</v>
      </c>
    </row>
    <row r="1599" spans="1:5" x14ac:dyDescent="0.25">
      <c r="A1599" t="s">
        <v>727</v>
      </c>
      <c r="B1599" s="3">
        <v>40148</v>
      </c>
      <c r="C1599" t="s">
        <v>652</v>
      </c>
      <c r="D1599">
        <v>250</v>
      </c>
      <c r="E1599">
        <v>720</v>
      </c>
    </row>
    <row r="1600" spans="1:5" x14ac:dyDescent="0.25">
      <c r="A1600" t="s">
        <v>726</v>
      </c>
      <c r="B1600" s="3">
        <v>40148</v>
      </c>
      <c r="C1600" t="s">
        <v>652</v>
      </c>
      <c r="D1600">
        <v>210</v>
      </c>
      <c r="E1600">
        <v>61</v>
      </c>
    </row>
    <row r="1601" spans="1:5" x14ac:dyDescent="0.25">
      <c r="A1601" t="s">
        <v>725</v>
      </c>
      <c r="B1601" s="3">
        <v>40148</v>
      </c>
      <c r="C1601" t="s">
        <v>652</v>
      </c>
      <c r="D1601">
        <v>280</v>
      </c>
      <c r="E1601">
        <v>765</v>
      </c>
    </row>
    <row r="1602" spans="1:5" x14ac:dyDescent="0.25">
      <c r="A1602" t="s">
        <v>724</v>
      </c>
      <c r="B1602" s="3">
        <v>40148</v>
      </c>
      <c r="C1602" t="s">
        <v>652</v>
      </c>
      <c r="D1602">
        <v>350</v>
      </c>
      <c r="E1602">
        <v>290</v>
      </c>
    </row>
    <row r="1603" spans="1:5" x14ac:dyDescent="0.25">
      <c r="A1603" t="s">
        <v>723</v>
      </c>
      <c r="B1603" s="3">
        <v>40148</v>
      </c>
      <c r="C1603" t="s">
        <v>652</v>
      </c>
      <c r="D1603">
        <v>250</v>
      </c>
      <c r="E1603">
        <v>41</v>
      </c>
    </row>
    <row r="1604" spans="1:5" x14ac:dyDescent="0.25">
      <c r="A1604" t="s">
        <v>722</v>
      </c>
      <c r="B1604" s="3">
        <v>40148</v>
      </c>
      <c r="C1604" t="s">
        <v>652</v>
      </c>
      <c r="D1604">
        <v>220</v>
      </c>
      <c r="E1604">
        <v>114</v>
      </c>
    </row>
    <row r="1605" spans="1:5" x14ac:dyDescent="0.25">
      <c r="A1605" t="s">
        <v>721</v>
      </c>
      <c r="B1605" s="3">
        <v>40148</v>
      </c>
      <c r="C1605" t="s">
        <v>652</v>
      </c>
      <c r="D1605">
        <v>390</v>
      </c>
      <c r="E1605">
        <v>61</v>
      </c>
    </row>
    <row r="1606" spans="1:5" x14ac:dyDescent="0.25">
      <c r="A1606" t="s">
        <v>720</v>
      </c>
      <c r="B1606" s="3">
        <v>40148</v>
      </c>
      <c r="C1606" t="s">
        <v>652</v>
      </c>
      <c r="D1606">
        <v>310</v>
      </c>
      <c r="E1606">
        <v>107</v>
      </c>
    </row>
    <row r="1607" spans="1:5" x14ac:dyDescent="0.25">
      <c r="A1607" t="s">
        <v>719</v>
      </c>
      <c r="B1607" s="3">
        <v>40148</v>
      </c>
      <c r="C1607" t="s">
        <v>652</v>
      </c>
      <c r="D1607">
        <v>300</v>
      </c>
      <c r="E1607">
        <v>352</v>
      </c>
    </row>
    <row r="1608" spans="1:5" x14ac:dyDescent="0.25">
      <c r="A1608" t="s">
        <v>718</v>
      </c>
      <c r="B1608" s="3">
        <v>40148</v>
      </c>
      <c r="C1608" t="s">
        <v>652</v>
      </c>
      <c r="D1608">
        <v>280</v>
      </c>
      <c r="E1608">
        <v>212</v>
      </c>
    </row>
    <row r="1609" spans="1:5" x14ac:dyDescent="0.25">
      <c r="A1609" t="s">
        <v>717</v>
      </c>
      <c r="B1609" s="3">
        <v>40148</v>
      </c>
      <c r="C1609" t="s">
        <v>652</v>
      </c>
      <c r="D1609">
        <v>320</v>
      </c>
      <c r="E1609">
        <v>375</v>
      </c>
    </row>
    <row r="1610" spans="1:5" x14ac:dyDescent="0.25">
      <c r="A1610" t="s">
        <v>716</v>
      </c>
      <c r="B1610" s="3">
        <v>40148</v>
      </c>
      <c r="C1610" t="s">
        <v>652</v>
      </c>
      <c r="D1610">
        <v>270</v>
      </c>
      <c r="E1610">
        <v>264</v>
      </c>
    </row>
    <row r="1611" spans="1:5" x14ac:dyDescent="0.25">
      <c r="A1611" t="s">
        <v>715</v>
      </c>
      <c r="B1611" s="3">
        <v>40148</v>
      </c>
      <c r="C1611" t="s">
        <v>652</v>
      </c>
      <c r="D1611">
        <v>250</v>
      </c>
      <c r="E1611">
        <v>32</v>
      </c>
    </row>
    <row r="1612" spans="1:5" x14ac:dyDescent="0.25">
      <c r="A1612" t="s">
        <v>714</v>
      </c>
      <c r="B1612" s="3">
        <v>40148</v>
      </c>
      <c r="C1612" t="s">
        <v>652</v>
      </c>
      <c r="D1612">
        <v>340</v>
      </c>
      <c r="E1612">
        <v>905</v>
      </c>
    </row>
    <row r="1613" spans="1:5" x14ac:dyDescent="0.25">
      <c r="A1613" t="s">
        <v>713</v>
      </c>
      <c r="B1613" s="3">
        <v>40148</v>
      </c>
      <c r="C1613" t="s">
        <v>652</v>
      </c>
      <c r="D1613">
        <v>345</v>
      </c>
      <c r="E1613">
        <v>295</v>
      </c>
    </row>
    <row r="1614" spans="1:5" x14ac:dyDescent="0.25">
      <c r="A1614" t="s">
        <v>712</v>
      </c>
      <c r="B1614" s="3">
        <v>40148</v>
      </c>
      <c r="C1614" t="s">
        <v>652</v>
      </c>
      <c r="D1614">
        <v>335</v>
      </c>
      <c r="E1614">
        <v>480</v>
      </c>
    </row>
    <row r="1615" spans="1:5" x14ac:dyDescent="0.25">
      <c r="A1615" t="s">
        <v>711</v>
      </c>
      <c r="B1615" s="3">
        <v>40148</v>
      </c>
      <c r="C1615" t="s">
        <v>652</v>
      </c>
      <c r="D1615">
        <v>340</v>
      </c>
      <c r="E1615">
        <v>130</v>
      </c>
    </row>
    <row r="1616" spans="1:5" x14ac:dyDescent="0.25">
      <c r="A1616" t="s">
        <v>756</v>
      </c>
      <c r="B1616" s="3">
        <v>40148</v>
      </c>
      <c r="C1616" t="s">
        <v>652</v>
      </c>
      <c r="D1616">
        <v>300</v>
      </c>
      <c r="E1616">
        <v>232</v>
      </c>
    </row>
    <row r="1617" spans="1:5" x14ac:dyDescent="0.25">
      <c r="A1617" t="s">
        <v>710</v>
      </c>
      <c r="B1617" s="3">
        <v>40148</v>
      </c>
      <c r="C1617" t="s">
        <v>652</v>
      </c>
      <c r="D1617">
        <v>230</v>
      </c>
      <c r="E1617">
        <v>489</v>
      </c>
    </row>
    <row r="1618" spans="1:5" x14ac:dyDescent="0.25">
      <c r="A1618" t="s">
        <v>709</v>
      </c>
      <c r="B1618" s="3">
        <v>40148</v>
      </c>
      <c r="C1618" t="s">
        <v>652</v>
      </c>
      <c r="D1618">
        <v>300</v>
      </c>
      <c r="E1618">
        <v>345</v>
      </c>
    </row>
    <row r="1619" spans="1:5" x14ac:dyDescent="0.25">
      <c r="A1619" t="s">
        <v>708</v>
      </c>
      <c r="B1619" s="3">
        <v>40148</v>
      </c>
      <c r="C1619" t="s">
        <v>652</v>
      </c>
      <c r="D1619">
        <v>195</v>
      </c>
      <c r="E1619">
        <v>89</v>
      </c>
    </row>
    <row r="1620" spans="1:5" x14ac:dyDescent="0.25">
      <c r="A1620" t="s">
        <v>635</v>
      </c>
      <c r="B1620" s="3">
        <v>40238</v>
      </c>
      <c r="C1620" t="s">
        <v>649</v>
      </c>
      <c r="D1620">
        <v>320</v>
      </c>
      <c r="E1620">
        <v>4753</v>
      </c>
    </row>
    <row r="1621" spans="1:5" x14ac:dyDescent="0.25">
      <c r="A1621" t="s">
        <v>755</v>
      </c>
      <c r="B1621" s="3">
        <v>40238</v>
      </c>
      <c r="C1621" t="s">
        <v>649</v>
      </c>
      <c r="D1621">
        <v>275</v>
      </c>
      <c r="E1621">
        <v>55</v>
      </c>
    </row>
    <row r="1622" spans="1:5" x14ac:dyDescent="0.25">
      <c r="A1622" t="s">
        <v>754</v>
      </c>
      <c r="B1622" s="3">
        <v>40238</v>
      </c>
      <c r="C1622" t="s">
        <v>649</v>
      </c>
      <c r="D1622">
        <v>385</v>
      </c>
      <c r="E1622">
        <v>2202</v>
      </c>
    </row>
    <row r="1623" spans="1:5" x14ac:dyDescent="0.25">
      <c r="A1623" t="s">
        <v>753</v>
      </c>
      <c r="B1623" s="3">
        <v>40238</v>
      </c>
      <c r="C1623" t="s">
        <v>649</v>
      </c>
      <c r="D1623">
        <v>290</v>
      </c>
      <c r="E1623">
        <v>818</v>
      </c>
    </row>
    <row r="1624" spans="1:5" x14ac:dyDescent="0.25">
      <c r="A1624" t="s">
        <v>752</v>
      </c>
      <c r="B1624" s="3">
        <v>40238</v>
      </c>
      <c r="C1624" t="s">
        <v>649</v>
      </c>
      <c r="D1624">
        <v>280</v>
      </c>
      <c r="E1624">
        <v>149</v>
      </c>
    </row>
    <row r="1625" spans="1:5" x14ac:dyDescent="0.25">
      <c r="A1625" t="s">
        <v>751</v>
      </c>
      <c r="B1625" s="3">
        <v>40238</v>
      </c>
      <c r="C1625" t="s">
        <v>649</v>
      </c>
      <c r="D1625">
        <v>300</v>
      </c>
      <c r="E1625">
        <v>176</v>
      </c>
    </row>
    <row r="1626" spans="1:5" x14ac:dyDescent="0.25">
      <c r="A1626" t="s">
        <v>750</v>
      </c>
      <c r="B1626" s="3">
        <v>40238</v>
      </c>
      <c r="C1626" t="s">
        <v>649</v>
      </c>
      <c r="D1626">
        <v>260</v>
      </c>
      <c r="E1626">
        <v>38</v>
      </c>
    </row>
    <row r="1627" spans="1:5" x14ac:dyDescent="0.25">
      <c r="A1627" t="s">
        <v>749</v>
      </c>
      <c r="B1627" s="3">
        <v>40238</v>
      </c>
      <c r="C1627" t="s">
        <v>649</v>
      </c>
      <c r="D1627">
        <v>280</v>
      </c>
      <c r="E1627">
        <v>429</v>
      </c>
    </row>
    <row r="1628" spans="1:5" x14ac:dyDescent="0.25">
      <c r="A1628" t="s">
        <v>748</v>
      </c>
      <c r="B1628" s="3">
        <v>40238</v>
      </c>
      <c r="C1628" t="s">
        <v>649</v>
      </c>
      <c r="D1628">
        <v>260</v>
      </c>
      <c r="E1628">
        <v>30</v>
      </c>
    </row>
    <row r="1629" spans="1:5" x14ac:dyDescent="0.25">
      <c r="A1629" t="s">
        <v>747</v>
      </c>
      <c r="B1629" s="3">
        <v>40238</v>
      </c>
      <c r="C1629" t="s">
        <v>649</v>
      </c>
      <c r="D1629">
        <v>300</v>
      </c>
      <c r="E1629">
        <v>438</v>
      </c>
    </row>
    <row r="1630" spans="1:5" x14ac:dyDescent="0.25">
      <c r="A1630" t="s">
        <v>746</v>
      </c>
      <c r="B1630" s="3">
        <v>40238</v>
      </c>
      <c r="C1630" t="s">
        <v>649</v>
      </c>
      <c r="D1630">
        <v>250</v>
      </c>
      <c r="E1630">
        <v>10</v>
      </c>
    </row>
    <row r="1631" spans="1:5" x14ac:dyDescent="0.25">
      <c r="A1631" t="s">
        <v>745</v>
      </c>
      <c r="B1631" s="3">
        <v>40238</v>
      </c>
      <c r="C1631" t="s">
        <v>649</v>
      </c>
      <c r="D1631">
        <v>300</v>
      </c>
      <c r="E1631">
        <v>379</v>
      </c>
    </row>
    <row r="1632" spans="1:5" x14ac:dyDescent="0.25">
      <c r="A1632" t="s">
        <v>744</v>
      </c>
      <c r="B1632" s="3">
        <v>40238</v>
      </c>
      <c r="C1632" t="s">
        <v>649</v>
      </c>
      <c r="D1632">
        <v>275</v>
      </c>
      <c r="E1632">
        <v>29</v>
      </c>
    </row>
    <row r="1633" spans="1:5" x14ac:dyDescent="0.25">
      <c r="A1633" t="s">
        <v>743</v>
      </c>
      <c r="B1633" s="3">
        <v>40238</v>
      </c>
      <c r="C1633" t="s">
        <v>649</v>
      </c>
      <c r="D1633">
        <v>180</v>
      </c>
      <c r="E1633">
        <v>28</v>
      </c>
    </row>
    <row r="1634" spans="1:5" x14ac:dyDescent="0.25">
      <c r="A1634" t="s">
        <v>742</v>
      </c>
      <c r="B1634" s="3">
        <v>40238</v>
      </c>
      <c r="C1634" t="s">
        <v>649</v>
      </c>
      <c r="D1634">
        <v>200</v>
      </c>
      <c r="E1634">
        <v>28</v>
      </c>
    </row>
    <row r="1635" spans="1:5" x14ac:dyDescent="0.25">
      <c r="A1635" t="s">
        <v>741</v>
      </c>
      <c r="B1635" s="3">
        <v>40238</v>
      </c>
      <c r="C1635" t="s">
        <v>649</v>
      </c>
      <c r="D1635">
        <v>180</v>
      </c>
      <c r="E1635">
        <v>156</v>
      </c>
    </row>
    <row r="1636" spans="1:5" x14ac:dyDescent="0.25">
      <c r="A1636" t="s">
        <v>740</v>
      </c>
      <c r="B1636" s="3">
        <v>40238</v>
      </c>
      <c r="C1636" t="s">
        <v>649</v>
      </c>
      <c r="D1636">
        <v>220</v>
      </c>
      <c r="E1636">
        <v>126</v>
      </c>
    </row>
    <row r="1637" spans="1:5" x14ac:dyDescent="0.25">
      <c r="A1637" t="s">
        <v>739</v>
      </c>
      <c r="B1637" s="3">
        <v>40238</v>
      </c>
      <c r="C1637" t="s">
        <v>649</v>
      </c>
      <c r="D1637">
        <v>250</v>
      </c>
      <c r="E1637">
        <v>892</v>
      </c>
    </row>
    <row r="1638" spans="1:5" x14ac:dyDescent="0.25">
      <c r="A1638" t="s">
        <v>738</v>
      </c>
      <c r="B1638" s="3">
        <v>40238</v>
      </c>
      <c r="C1638" t="s">
        <v>649</v>
      </c>
      <c r="D1638">
        <v>170</v>
      </c>
      <c r="E1638">
        <v>30</v>
      </c>
    </row>
    <row r="1639" spans="1:5" x14ac:dyDescent="0.25">
      <c r="A1639" t="s">
        <v>737</v>
      </c>
      <c r="B1639" s="3">
        <v>40238</v>
      </c>
      <c r="C1639" t="s">
        <v>649</v>
      </c>
      <c r="D1639">
        <v>250</v>
      </c>
      <c r="E1639">
        <v>41</v>
      </c>
    </row>
    <row r="1640" spans="1:5" x14ac:dyDescent="0.25">
      <c r="A1640" t="s">
        <v>736</v>
      </c>
      <c r="B1640" s="3">
        <v>40238</v>
      </c>
      <c r="C1640" t="s">
        <v>649</v>
      </c>
      <c r="D1640">
        <v>175</v>
      </c>
      <c r="E1640">
        <v>20</v>
      </c>
    </row>
    <row r="1641" spans="1:5" x14ac:dyDescent="0.25">
      <c r="A1641" t="s">
        <v>735</v>
      </c>
      <c r="B1641" s="3">
        <v>40238</v>
      </c>
      <c r="C1641" t="s">
        <v>649</v>
      </c>
      <c r="D1641">
        <v>220</v>
      </c>
      <c r="E1641">
        <v>145</v>
      </c>
    </row>
    <row r="1642" spans="1:5" x14ac:dyDescent="0.25">
      <c r="A1642" t="s">
        <v>734</v>
      </c>
      <c r="B1642" s="3">
        <v>40238</v>
      </c>
      <c r="C1642" t="s">
        <v>649</v>
      </c>
      <c r="D1642">
        <v>330</v>
      </c>
      <c r="E1642">
        <v>2553</v>
      </c>
    </row>
    <row r="1643" spans="1:5" x14ac:dyDescent="0.25">
      <c r="A1643" t="s">
        <v>733</v>
      </c>
      <c r="B1643" s="3">
        <v>40238</v>
      </c>
      <c r="C1643" t="s">
        <v>649</v>
      </c>
      <c r="D1643">
        <v>320</v>
      </c>
      <c r="E1643">
        <v>282</v>
      </c>
    </row>
    <row r="1644" spans="1:5" x14ac:dyDescent="0.25">
      <c r="A1644" t="s">
        <v>732</v>
      </c>
      <c r="B1644" s="3">
        <v>40238</v>
      </c>
      <c r="C1644" t="s">
        <v>649</v>
      </c>
      <c r="D1644">
        <v>340</v>
      </c>
      <c r="E1644">
        <v>1863</v>
      </c>
    </row>
    <row r="1645" spans="1:5" x14ac:dyDescent="0.25">
      <c r="A1645" t="s">
        <v>731</v>
      </c>
      <c r="B1645" s="3">
        <v>40238</v>
      </c>
      <c r="C1645" t="s">
        <v>649</v>
      </c>
      <c r="D1645">
        <v>280</v>
      </c>
      <c r="E1645">
        <v>367</v>
      </c>
    </row>
    <row r="1646" spans="1:5" x14ac:dyDescent="0.25">
      <c r="A1646" t="s">
        <v>730</v>
      </c>
      <c r="B1646" s="3">
        <v>40238</v>
      </c>
      <c r="C1646" t="s">
        <v>649</v>
      </c>
      <c r="D1646">
        <v>285</v>
      </c>
      <c r="E1646">
        <v>41</v>
      </c>
    </row>
    <row r="1647" spans="1:5" x14ac:dyDescent="0.25">
      <c r="A1647" t="s">
        <v>729</v>
      </c>
      <c r="B1647" s="3">
        <v>40238</v>
      </c>
      <c r="C1647" t="s">
        <v>649</v>
      </c>
      <c r="D1647">
        <v>170</v>
      </c>
      <c r="E1647">
        <v>25</v>
      </c>
    </row>
    <row r="1648" spans="1:5" x14ac:dyDescent="0.25">
      <c r="A1648" t="s">
        <v>728</v>
      </c>
      <c r="B1648" s="3">
        <v>40238</v>
      </c>
      <c r="C1648" t="s">
        <v>649</v>
      </c>
      <c r="D1648">
        <v>215</v>
      </c>
      <c r="E1648">
        <v>147</v>
      </c>
    </row>
    <row r="1649" spans="1:5" x14ac:dyDescent="0.25">
      <c r="A1649" t="s">
        <v>727</v>
      </c>
      <c r="B1649" s="3">
        <v>40238</v>
      </c>
      <c r="C1649" t="s">
        <v>649</v>
      </c>
      <c r="D1649">
        <v>200</v>
      </c>
      <c r="E1649">
        <v>151</v>
      </c>
    </row>
    <row r="1650" spans="1:5" x14ac:dyDescent="0.25">
      <c r="A1650" t="s">
        <v>726</v>
      </c>
      <c r="B1650" s="3">
        <v>40238</v>
      </c>
      <c r="C1650" t="s">
        <v>649</v>
      </c>
      <c r="D1650">
        <v>175</v>
      </c>
      <c r="E1650">
        <v>68</v>
      </c>
    </row>
    <row r="1651" spans="1:5" x14ac:dyDescent="0.25">
      <c r="A1651" t="s">
        <v>725</v>
      </c>
      <c r="B1651" s="3">
        <v>40238</v>
      </c>
      <c r="C1651" t="s">
        <v>649</v>
      </c>
      <c r="D1651">
        <v>210</v>
      </c>
      <c r="E1651">
        <v>185</v>
      </c>
    </row>
    <row r="1652" spans="1:5" x14ac:dyDescent="0.25">
      <c r="A1652" t="s">
        <v>724</v>
      </c>
      <c r="B1652" s="3">
        <v>40238</v>
      </c>
      <c r="C1652" t="s">
        <v>649</v>
      </c>
      <c r="D1652">
        <v>250</v>
      </c>
      <c r="E1652">
        <v>214</v>
      </c>
    </row>
    <row r="1653" spans="1:5" x14ac:dyDescent="0.25">
      <c r="A1653" t="s">
        <v>723</v>
      </c>
      <c r="B1653" s="3">
        <v>40238</v>
      </c>
      <c r="C1653" t="s">
        <v>649</v>
      </c>
      <c r="D1653">
        <v>175</v>
      </c>
      <c r="E1653">
        <v>21</v>
      </c>
    </row>
    <row r="1654" spans="1:5" x14ac:dyDescent="0.25">
      <c r="A1654" t="s">
        <v>722</v>
      </c>
      <c r="B1654" s="3">
        <v>40238</v>
      </c>
      <c r="C1654" t="s">
        <v>649</v>
      </c>
      <c r="D1654">
        <v>155</v>
      </c>
      <c r="E1654">
        <v>47</v>
      </c>
    </row>
    <row r="1655" spans="1:5" x14ac:dyDescent="0.25">
      <c r="A1655" t="s">
        <v>721</v>
      </c>
      <c r="B1655" s="3">
        <v>40238</v>
      </c>
      <c r="C1655" t="s">
        <v>649</v>
      </c>
      <c r="D1655">
        <v>280</v>
      </c>
      <c r="E1655">
        <v>102</v>
      </c>
    </row>
    <row r="1656" spans="1:5" x14ac:dyDescent="0.25">
      <c r="A1656" t="s">
        <v>720</v>
      </c>
      <c r="B1656" s="3">
        <v>40238</v>
      </c>
      <c r="C1656" t="s">
        <v>649</v>
      </c>
      <c r="D1656">
        <v>220</v>
      </c>
      <c r="E1656">
        <v>37</v>
      </c>
    </row>
    <row r="1657" spans="1:5" x14ac:dyDescent="0.25">
      <c r="A1657" t="s">
        <v>719</v>
      </c>
      <c r="B1657" s="3">
        <v>40238</v>
      </c>
      <c r="C1657" t="s">
        <v>649</v>
      </c>
      <c r="D1657">
        <v>230</v>
      </c>
      <c r="E1657">
        <v>53</v>
      </c>
    </row>
    <row r="1658" spans="1:5" x14ac:dyDescent="0.25">
      <c r="A1658" t="s">
        <v>718</v>
      </c>
      <c r="B1658" s="3">
        <v>40238</v>
      </c>
      <c r="C1658" t="s">
        <v>649</v>
      </c>
      <c r="D1658">
        <v>230</v>
      </c>
      <c r="E1658">
        <v>152</v>
      </c>
    </row>
    <row r="1659" spans="1:5" x14ac:dyDescent="0.25">
      <c r="A1659" t="s">
        <v>717</v>
      </c>
      <c r="B1659" s="3">
        <v>40238</v>
      </c>
      <c r="C1659" t="s">
        <v>649</v>
      </c>
      <c r="D1659">
        <v>285</v>
      </c>
      <c r="E1659">
        <v>69</v>
      </c>
    </row>
    <row r="1660" spans="1:5" x14ac:dyDescent="0.25">
      <c r="A1660" t="s">
        <v>716</v>
      </c>
      <c r="B1660" s="3">
        <v>40238</v>
      </c>
      <c r="C1660" t="s">
        <v>649</v>
      </c>
      <c r="D1660">
        <v>190</v>
      </c>
      <c r="E1660">
        <v>176</v>
      </c>
    </row>
    <row r="1661" spans="1:5" x14ac:dyDescent="0.25">
      <c r="A1661" t="s">
        <v>715</v>
      </c>
      <c r="B1661" s="3">
        <v>40238</v>
      </c>
      <c r="C1661" t="s">
        <v>649</v>
      </c>
      <c r="D1661">
        <v>160</v>
      </c>
      <c r="E1661">
        <v>27</v>
      </c>
    </row>
    <row r="1662" spans="1:5" x14ac:dyDescent="0.25">
      <c r="A1662" t="s">
        <v>714</v>
      </c>
      <c r="B1662" s="3">
        <v>40238</v>
      </c>
      <c r="C1662" t="s">
        <v>649</v>
      </c>
      <c r="D1662">
        <v>280</v>
      </c>
      <c r="E1662">
        <v>913</v>
      </c>
    </row>
    <row r="1663" spans="1:5" x14ac:dyDescent="0.25">
      <c r="A1663" t="s">
        <v>713</v>
      </c>
      <c r="B1663" s="3">
        <v>40238</v>
      </c>
      <c r="C1663" t="s">
        <v>649</v>
      </c>
      <c r="D1663">
        <v>280</v>
      </c>
      <c r="E1663">
        <v>190</v>
      </c>
    </row>
    <row r="1664" spans="1:5" x14ac:dyDescent="0.25">
      <c r="A1664" t="s">
        <v>712</v>
      </c>
      <c r="B1664" s="3">
        <v>40238</v>
      </c>
      <c r="C1664" t="s">
        <v>649</v>
      </c>
      <c r="D1664">
        <v>280</v>
      </c>
      <c r="E1664">
        <v>597</v>
      </c>
    </row>
    <row r="1665" spans="1:5" x14ac:dyDescent="0.25">
      <c r="A1665" t="s">
        <v>711</v>
      </c>
      <c r="B1665" s="3">
        <v>40238</v>
      </c>
      <c r="C1665" t="s">
        <v>649</v>
      </c>
      <c r="D1665">
        <v>300</v>
      </c>
      <c r="E1665">
        <v>126</v>
      </c>
    </row>
    <row r="1666" spans="1:5" x14ac:dyDescent="0.25">
      <c r="A1666" t="s">
        <v>756</v>
      </c>
      <c r="B1666" s="3">
        <v>40238</v>
      </c>
      <c r="C1666" t="s">
        <v>649</v>
      </c>
      <c r="D1666">
        <v>220</v>
      </c>
      <c r="E1666">
        <v>45</v>
      </c>
    </row>
    <row r="1667" spans="1:5" x14ac:dyDescent="0.25">
      <c r="A1667" t="s">
        <v>710</v>
      </c>
      <c r="B1667" s="3">
        <v>40238</v>
      </c>
      <c r="C1667" t="s">
        <v>649</v>
      </c>
      <c r="D1667">
        <v>170</v>
      </c>
      <c r="E1667">
        <v>442</v>
      </c>
    </row>
    <row r="1668" spans="1:5" x14ac:dyDescent="0.25">
      <c r="A1668" t="s">
        <v>709</v>
      </c>
      <c r="B1668" s="3">
        <v>40238</v>
      </c>
      <c r="C1668" t="s">
        <v>649</v>
      </c>
      <c r="D1668">
        <v>260</v>
      </c>
      <c r="E1668">
        <v>683</v>
      </c>
    </row>
    <row r="1669" spans="1:5" x14ac:dyDescent="0.25">
      <c r="A1669" t="s">
        <v>708</v>
      </c>
      <c r="B1669" s="3">
        <v>40238</v>
      </c>
      <c r="C1669" t="s">
        <v>649</v>
      </c>
      <c r="D1669">
        <v>160</v>
      </c>
      <c r="E1669">
        <v>30</v>
      </c>
    </row>
    <row r="1670" spans="1:5" x14ac:dyDescent="0.25">
      <c r="A1670" t="s">
        <v>635</v>
      </c>
      <c r="B1670" s="3">
        <v>40238</v>
      </c>
      <c r="C1670" t="s">
        <v>652</v>
      </c>
      <c r="D1670">
        <v>350</v>
      </c>
      <c r="E1670">
        <v>3674</v>
      </c>
    </row>
    <row r="1671" spans="1:5" x14ac:dyDescent="0.25">
      <c r="A1671" t="s">
        <v>755</v>
      </c>
      <c r="B1671" s="3">
        <v>40238</v>
      </c>
      <c r="C1671" t="s">
        <v>652</v>
      </c>
      <c r="D1671">
        <v>350</v>
      </c>
      <c r="E1671">
        <v>150</v>
      </c>
    </row>
    <row r="1672" spans="1:5" x14ac:dyDescent="0.25">
      <c r="A1672" t="s">
        <v>754</v>
      </c>
      <c r="B1672" s="3">
        <v>40238</v>
      </c>
      <c r="C1672" t="s">
        <v>652</v>
      </c>
      <c r="D1672">
        <v>410</v>
      </c>
      <c r="E1672">
        <v>383</v>
      </c>
    </row>
    <row r="1673" spans="1:5" x14ac:dyDescent="0.25">
      <c r="A1673" t="s">
        <v>753</v>
      </c>
      <c r="B1673" s="3">
        <v>40238</v>
      </c>
      <c r="C1673" t="s">
        <v>652</v>
      </c>
      <c r="D1673">
        <v>380</v>
      </c>
      <c r="E1673">
        <v>402</v>
      </c>
    </row>
    <row r="1674" spans="1:5" x14ac:dyDescent="0.25">
      <c r="A1674" t="s">
        <v>752</v>
      </c>
      <c r="B1674" s="3">
        <v>40238</v>
      </c>
      <c r="C1674" t="s">
        <v>652</v>
      </c>
      <c r="D1674">
        <v>325</v>
      </c>
      <c r="E1674">
        <v>381</v>
      </c>
    </row>
    <row r="1675" spans="1:5" x14ac:dyDescent="0.25">
      <c r="A1675" t="s">
        <v>751</v>
      </c>
      <c r="B1675" s="3">
        <v>40238</v>
      </c>
      <c r="C1675" t="s">
        <v>652</v>
      </c>
      <c r="D1675">
        <v>400</v>
      </c>
      <c r="E1675">
        <v>205</v>
      </c>
    </row>
    <row r="1676" spans="1:5" x14ac:dyDescent="0.25">
      <c r="A1676" t="s">
        <v>750</v>
      </c>
      <c r="B1676" s="3">
        <v>40238</v>
      </c>
      <c r="C1676" t="s">
        <v>652</v>
      </c>
      <c r="D1676">
        <v>340</v>
      </c>
      <c r="E1676">
        <v>269</v>
      </c>
    </row>
    <row r="1677" spans="1:5" x14ac:dyDescent="0.25">
      <c r="A1677" t="s">
        <v>749</v>
      </c>
      <c r="B1677" s="3">
        <v>40238</v>
      </c>
      <c r="C1677" t="s">
        <v>652</v>
      </c>
      <c r="D1677">
        <v>350</v>
      </c>
      <c r="E1677">
        <v>447</v>
      </c>
    </row>
    <row r="1678" spans="1:5" x14ac:dyDescent="0.25">
      <c r="A1678" t="s">
        <v>748</v>
      </c>
      <c r="B1678" s="3">
        <v>40238</v>
      </c>
      <c r="C1678" t="s">
        <v>652</v>
      </c>
      <c r="D1678">
        <v>320</v>
      </c>
      <c r="E1678">
        <v>351</v>
      </c>
    </row>
    <row r="1679" spans="1:5" x14ac:dyDescent="0.25">
      <c r="A1679" t="s">
        <v>747</v>
      </c>
      <c r="B1679" s="3">
        <v>40238</v>
      </c>
      <c r="C1679" t="s">
        <v>652</v>
      </c>
      <c r="D1679">
        <v>380</v>
      </c>
      <c r="E1679">
        <v>407</v>
      </c>
    </row>
    <row r="1680" spans="1:5" x14ac:dyDescent="0.25">
      <c r="A1680" t="s">
        <v>746</v>
      </c>
      <c r="B1680" s="3">
        <v>40238</v>
      </c>
      <c r="C1680" t="s">
        <v>652</v>
      </c>
      <c r="D1680">
        <v>350</v>
      </c>
      <c r="E1680">
        <v>65</v>
      </c>
    </row>
    <row r="1681" spans="1:5" x14ac:dyDescent="0.25">
      <c r="A1681" t="s">
        <v>745</v>
      </c>
      <c r="B1681" s="3">
        <v>40238</v>
      </c>
      <c r="C1681" t="s">
        <v>652</v>
      </c>
      <c r="D1681">
        <v>360</v>
      </c>
      <c r="E1681">
        <v>178</v>
      </c>
    </row>
    <row r="1682" spans="1:5" x14ac:dyDescent="0.25">
      <c r="A1682" t="s">
        <v>744</v>
      </c>
      <c r="B1682" s="3">
        <v>40238</v>
      </c>
      <c r="C1682" t="s">
        <v>652</v>
      </c>
      <c r="D1682">
        <v>310</v>
      </c>
      <c r="E1682">
        <v>436</v>
      </c>
    </row>
    <row r="1683" spans="1:5" x14ac:dyDescent="0.25">
      <c r="A1683" t="s">
        <v>743</v>
      </c>
      <c r="B1683" s="3">
        <v>40238</v>
      </c>
      <c r="C1683" t="s">
        <v>652</v>
      </c>
      <c r="D1683">
        <v>280</v>
      </c>
      <c r="E1683">
        <v>50</v>
      </c>
    </row>
    <row r="1684" spans="1:5" x14ac:dyDescent="0.25">
      <c r="A1684" t="s">
        <v>742</v>
      </c>
      <c r="B1684" s="3">
        <v>40238</v>
      </c>
      <c r="C1684" t="s">
        <v>652</v>
      </c>
      <c r="D1684">
        <v>320</v>
      </c>
      <c r="E1684">
        <v>136</v>
      </c>
    </row>
    <row r="1685" spans="1:5" x14ac:dyDescent="0.25">
      <c r="A1685" t="s">
        <v>741</v>
      </c>
      <c r="B1685" s="3">
        <v>40238</v>
      </c>
      <c r="C1685" t="s">
        <v>652</v>
      </c>
      <c r="D1685">
        <v>250</v>
      </c>
      <c r="E1685">
        <v>340</v>
      </c>
    </row>
    <row r="1686" spans="1:5" x14ac:dyDescent="0.25">
      <c r="A1686" t="s">
        <v>740</v>
      </c>
      <c r="B1686" s="3">
        <v>40238</v>
      </c>
      <c r="C1686" t="s">
        <v>652</v>
      </c>
      <c r="D1686">
        <v>270</v>
      </c>
      <c r="E1686">
        <v>493</v>
      </c>
    </row>
    <row r="1687" spans="1:5" x14ac:dyDescent="0.25">
      <c r="A1687" t="s">
        <v>739</v>
      </c>
      <c r="B1687" s="3">
        <v>40238</v>
      </c>
      <c r="C1687" t="s">
        <v>652</v>
      </c>
      <c r="D1687">
        <v>310</v>
      </c>
      <c r="E1687">
        <v>453</v>
      </c>
    </row>
    <row r="1688" spans="1:5" x14ac:dyDescent="0.25">
      <c r="A1688" t="s">
        <v>738</v>
      </c>
      <c r="B1688" s="3">
        <v>40238</v>
      </c>
      <c r="C1688" t="s">
        <v>652</v>
      </c>
      <c r="D1688">
        <v>220</v>
      </c>
      <c r="E1688">
        <v>53</v>
      </c>
    </row>
    <row r="1689" spans="1:5" x14ac:dyDescent="0.25">
      <c r="A1689" t="s">
        <v>737</v>
      </c>
      <c r="B1689" s="3">
        <v>40238</v>
      </c>
      <c r="C1689" t="s">
        <v>652</v>
      </c>
      <c r="D1689">
        <v>360</v>
      </c>
      <c r="E1689">
        <v>62</v>
      </c>
    </row>
    <row r="1690" spans="1:5" x14ac:dyDescent="0.25">
      <c r="A1690" t="s">
        <v>736</v>
      </c>
      <c r="B1690" s="3">
        <v>40238</v>
      </c>
      <c r="C1690" t="s">
        <v>652</v>
      </c>
      <c r="D1690">
        <v>220</v>
      </c>
      <c r="E1690">
        <v>61</v>
      </c>
    </row>
    <row r="1691" spans="1:5" x14ac:dyDescent="0.25">
      <c r="A1691" t="s">
        <v>735</v>
      </c>
      <c r="B1691" s="3">
        <v>40238</v>
      </c>
      <c r="C1691" t="s">
        <v>652</v>
      </c>
      <c r="D1691">
        <v>300</v>
      </c>
      <c r="E1691">
        <v>224</v>
      </c>
    </row>
    <row r="1692" spans="1:5" x14ac:dyDescent="0.25">
      <c r="A1692" t="s">
        <v>734</v>
      </c>
      <c r="B1692" s="3">
        <v>40238</v>
      </c>
      <c r="C1692" t="s">
        <v>652</v>
      </c>
      <c r="D1692">
        <v>380</v>
      </c>
      <c r="E1692">
        <v>1132</v>
      </c>
    </row>
    <row r="1693" spans="1:5" x14ac:dyDescent="0.25">
      <c r="A1693" t="s">
        <v>733</v>
      </c>
      <c r="B1693" s="3">
        <v>40238</v>
      </c>
      <c r="C1693" t="s">
        <v>652</v>
      </c>
      <c r="D1693">
        <v>350</v>
      </c>
      <c r="E1693">
        <v>244</v>
      </c>
    </row>
    <row r="1694" spans="1:5" x14ac:dyDescent="0.25">
      <c r="A1694" t="s">
        <v>732</v>
      </c>
      <c r="B1694" s="3">
        <v>40238</v>
      </c>
      <c r="C1694" t="s">
        <v>652</v>
      </c>
      <c r="D1694">
        <v>400</v>
      </c>
      <c r="E1694">
        <v>558</v>
      </c>
    </row>
    <row r="1695" spans="1:5" x14ac:dyDescent="0.25">
      <c r="A1695" t="s">
        <v>731</v>
      </c>
      <c r="B1695" s="3">
        <v>40238</v>
      </c>
      <c r="C1695" t="s">
        <v>652</v>
      </c>
      <c r="D1695">
        <v>395</v>
      </c>
      <c r="E1695">
        <v>122</v>
      </c>
    </row>
    <row r="1696" spans="1:5" x14ac:dyDescent="0.25">
      <c r="A1696" t="s">
        <v>730</v>
      </c>
      <c r="B1696" s="3">
        <v>40238</v>
      </c>
      <c r="C1696" t="s">
        <v>652</v>
      </c>
      <c r="D1696">
        <v>360</v>
      </c>
      <c r="E1696">
        <v>208</v>
      </c>
    </row>
    <row r="1697" spans="1:5" x14ac:dyDescent="0.25">
      <c r="A1697" t="s">
        <v>729</v>
      </c>
      <c r="B1697" s="3">
        <v>40238</v>
      </c>
      <c r="C1697" t="s">
        <v>652</v>
      </c>
      <c r="D1697">
        <v>240</v>
      </c>
      <c r="E1697">
        <v>166</v>
      </c>
    </row>
    <row r="1698" spans="1:5" x14ac:dyDescent="0.25">
      <c r="A1698" t="s">
        <v>728</v>
      </c>
      <c r="B1698" s="3">
        <v>40238</v>
      </c>
      <c r="C1698" t="s">
        <v>652</v>
      </c>
      <c r="D1698">
        <v>250</v>
      </c>
      <c r="E1698">
        <v>229</v>
      </c>
    </row>
    <row r="1699" spans="1:5" x14ac:dyDescent="0.25">
      <c r="A1699" t="s">
        <v>727</v>
      </c>
      <c r="B1699" s="3">
        <v>40238</v>
      </c>
      <c r="C1699" t="s">
        <v>652</v>
      </c>
      <c r="D1699">
        <v>260</v>
      </c>
      <c r="E1699">
        <v>757</v>
      </c>
    </row>
    <row r="1700" spans="1:5" x14ac:dyDescent="0.25">
      <c r="A1700" t="s">
        <v>726</v>
      </c>
      <c r="B1700" s="3">
        <v>40238</v>
      </c>
      <c r="C1700" t="s">
        <v>652</v>
      </c>
      <c r="D1700">
        <v>220</v>
      </c>
      <c r="E1700">
        <v>81</v>
      </c>
    </row>
    <row r="1701" spans="1:5" x14ac:dyDescent="0.25">
      <c r="A1701" t="s">
        <v>725</v>
      </c>
      <c r="B1701" s="3">
        <v>40238</v>
      </c>
      <c r="C1701" t="s">
        <v>652</v>
      </c>
      <c r="D1701">
        <v>295</v>
      </c>
      <c r="E1701">
        <v>740</v>
      </c>
    </row>
    <row r="1702" spans="1:5" x14ac:dyDescent="0.25">
      <c r="A1702" t="s">
        <v>724</v>
      </c>
      <c r="B1702" s="3">
        <v>40238</v>
      </c>
      <c r="C1702" t="s">
        <v>652</v>
      </c>
      <c r="D1702">
        <v>360</v>
      </c>
      <c r="E1702">
        <v>304</v>
      </c>
    </row>
    <row r="1703" spans="1:5" x14ac:dyDescent="0.25">
      <c r="A1703" t="s">
        <v>723</v>
      </c>
      <c r="B1703" s="3">
        <v>40238</v>
      </c>
      <c r="C1703" t="s">
        <v>652</v>
      </c>
      <c r="D1703">
        <v>250</v>
      </c>
      <c r="E1703">
        <v>48</v>
      </c>
    </row>
    <row r="1704" spans="1:5" x14ac:dyDescent="0.25">
      <c r="A1704" t="s">
        <v>722</v>
      </c>
      <c r="B1704" s="3">
        <v>40238</v>
      </c>
      <c r="C1704" t="s">
        <v>652</v>
      </c>
      <c r="D1704">
        <v>220</v>
      </c>
      <c r="E1704">
        <v>126</v>
      </c>
    </row>
    <row r="1705" spans="1:5" x14ac:dyDescent="0.25">
      <c r="A1705" t="s">
        <v>721</v>
      </c>
      <c r="B1705" s="3">
        <v>40238</v>
      </c>
      <c r="C1705" t="s">
        <v>652</v>
      </c>
      <c r="D1705">
        <v>380</v>
      </c>
      <c r="E1705">
        <v>76</v>
      </c>
    </row>
    <row r="1706" spans="1:5" x14ac:dyDescent="0.25">
      <c r="A1706" t="s">
        <v>720</v>
      </c>
      <c r="B1706" s="3">
        <v>40238</v>
      </c>
      <c r="C1706" t="s">
        <v>652</v>
      </c>
      <c r="D1706">
        <v>320</v>
      </c>
      <c r="E1706">
        <v>84</v>
      </c>
    </row>
    <row r="1707" spans="1:5" x14ac:dyDescent="0.25">
      <c r="A1707" t="s">
        <v>719</v>
      </c>
      <c r="B1707" s="3">
        <v>40238</v>
      </c>
      <c r="C1707" t="s">
        <v>652</v>
      </c>
      <c r="D1707">
        <v>320</v>
      </c>
      <c r="E1707">
        <v>315</v>
      </c>
    </row>
    <row r="1708" spans="1:5" x14ac:dyDescent="0.25">
      <c r="A1708" t="s">
        <v>718</v>
      </c>
      <c r="B1708" s="3">
        <v>40238</v>
      </c>
      <c r="C1708" t="s">
        <v>652</v>
      </c>
      <c r="D1708">
        <v>290</v>
      </c>
      <c r="E1708">
        <v>200</v>
      </c>
    </row>
    <row r="1709" spans="1:5" x14ac:dyDescent="0.25">
      <c r="A1709" t="s">
        <v>717</v>
      </c>
      <c r="B1709" s="3">
        <v>40238</v>
      </c>
      <c r="C1709" t="s">
        <v>652</v>
      </c>
      <c r="D1709">
        <v>325</v>
      </c>
      <c r="E1709">
        <v>348</v>
      </c>
    </row>
    <row r="1710" spans="1:5" x14ac:dyDescent="0.25">
      <c r="A1710" t="s">
        <v>716</v>
      </c>
      <c r="B1710" s="3">
        <v>40238</v>
      </c>
      <c r="C1710" t="s">
        <v>652</v>
      </c>
      <c r="D1710">
        <v>270</v>
      </c>
      <c r="E1710">
        <v>283</v>
      </c>
    </row>
    <row r="1711" spans="1:5" x14ac:dyDescent="0.25">
      <c r="A1711" t="s">
        <v>715</v>
      </c>
      <c r="B1711" s="3">
        <v>40238</v>
      </c>
      <c r="C1711" t="s">
        <v>652</v>
      </c>
      <c r="D1711">
        <v>260</v>
      </c>
      <c r="E1711">
        <v>45</v>
      </c>
    </row>
    <row r="1712" spans="1:5" x14ac:dyDescent="0.25">
      <c r="A1712" t="s">
        <v>714</v>
      </c>
      <c r="B1712" s="3">
        <v>40238</v>
      </c>
      <c r="C1712" t="s">
        <v>652</v>
      </c>
      <c r="D1712">
        <v>350</v>
      </c>
      <c r="E1712">
        <v>819</v>
      </c>
    </row>
    <row r="1713" spans="1:5" x14ac:dyDescent="0.25">
      <c r="A1713" t="s">
        <v>713</v>
      </c>
      <c r="B1713" s="3">
        <v>40238</v>
      </c>
      <c r="C1713" t="s">
        <v>652</v>
      </c>
      <c r="D1713">
        <v>350</v>
      </c>
      <c r="E1713">
        <v>272</v>
      </c>
    </row>
    <row r="1714" spans="1:5" x14ac:dyDescent="0.25">
      <c r="A1714" t="s">
        <v>712</v>
      </c>
      <c r="B1714" s="3">
        <v>40238</v>
      </c>
      <c r="C1714" t="s">
        <v>652</v>
      </c>
      <c r="D1714">
        <v>340</v>
      </c>
      <c r="E1714">
        <v>419</v>
      </c>
    </row>
    <row r="1715" spans="1:5" x14ac:dyDescent="0.25">
      <c r="A1715" t="s">
        <v>711</v>
      </c>
      <c r="B1715" s="3">
        <v>40238</v>
      </c>
      <c r="C1715" t="s">
        <v>652</v>
      </c>
      <c r="D1715">
        <v>350</v>
      </c>
      <c r="E1715">
        <v>128</v>
      </c>
    </row>
    <row r="1716" spans="1:5" x14ac:dyDescent="0.25">
      <c r="A1716" t="s">
        <v>756</v>
      </c>
      <c r="B1716" s="3">
        <v>40238</v>
      </c>
      <c r="C1716" t="s">
        <v>652</v>
      </c>
      <c r="D1716">
        <v>305</v>
      </c>
      <c r="E1716">
        <v>288</v>
      </c>
    </row>
    <row r="1717" spans="1:5" x14ac:dyDescent="0.25">
      <c r="A1717" t="s">
        <v>710</v>
      </c>
      <c r="B1717" s="3">
        <v>40238</v>
      </c>
      <c r="C1717" t="s">
        <v>652</v>
      </c>
      <c r="D1717">
        <v>235</v>
      </c>
      <c r="E1717">
        <v>580</v>
      </c>
    </row>
    <row r="1718" spans="1:5" x14ac:dyDescent="0.25">
      <c r="A1718" t="s">
        <v>709</v>
      </c>
      <c r="B1718" s="3">
        <v>40238</v>
      </c>
      <c r="C1718" t="s">
        <v>652</v>
      </c>
      <c r="D1718">
        <v>305</v>
      </c>
      <c r="E1718">
        <v>465</v>
      </c>
    </row>
    <row r="1719" spans="1:5" x14ac:dyDescent="0.25">
      <c r="A1719" t="s">
        <v>708</v>
      </c>
      <c r="B1719" s="3">
        <v>40238</v>
      </c>
      <c r="C1719" t="s">
        <v>652</v>
      </c>
      <c r="D1719">
        <v>200</v>
      </c>
      <c r="E1719">
        <v>89</v>
      </c>
    </row>
    <row r="1720" spans="1:5" x14ac:dyDescent="0.25">
      <c r="A1720" t="s">
        <v>635</v>
      </c>
      <c r="B1720" s="3">
        <v>40330</v>
      </c>
      <c r="C1720" t="s">
        <v>649</v>
      </c>
      <c r="D1720">
        <v>340</v>
      </c>
      <c r="E1720">
        <v>3790</v>
      </c>
    </row>
    <row r="1721" spans="1:5" x14ac:dyDescent="0.25">
      <c r="A1721" t="s">
        <v>755</v>
      </c>
      <c r="B1721" s="3">
        <v>40330</v>
      </c>
      <c r="C1721" t="s">
        <v>649</v>
      </c>
      <c r="D1721">
        <v>275</v>
      </c>
      <c r="E1721">
        <v>48</v>
      </c>
    </row>
    <row r="1722" spans="1:5" x14ac:dyDescent="0.25">
      <c r="A1722" t="s">
        <v>754</v>
      </c>
      <c r="B1722" s="3">
        <v>40330</v>
      </c>
      <c r="C1722" t="s">
        <v>649</v>
      </c>
      <c r="D1722">
        <v>420</v>
      </c>
      <c r="E1722">
        <v>1659</v>
      </c>
    </row>
    <row r="1723" spans="1:5" x14ac:dyDescent="0.25">
      <c r="A1723" t="s">
        <v>753</v>
      </c>
      <c r="B1723" s="3">
        <v>40330</v>
      </c>
      <c r="C1723" t="s">
        <v>649</v>
      </c>
      <c r="D1723">
        <v>300</v>
      </c>
      <c r="E1723">
        <v>734</v>
      </c>
    </row>
    <row r="1724" spans="1:5" x14ac:dyDescent="0.25">
      <c r="A1724" t="s">
        <v>752</v>
      </c>
      <c r="B1724" s="3">
        <v>40330</v>
      </c>
      <c r="C1724" t="s">
        <v>649</v>
      </c>
      <c r="D1724">
        <v>285</v>
      </c>
      <c r="E1724">
        <v>142</v>
      </c>
    </row>
    <row r="1725" spans="1:5" x14ac:dyDescent="0.25">
      <c r="A1725" t="s">
        <v>751</v>
      </c>
      <c r="B1725" s="3">
        <v>40330</v>
      </c>
      <c r="C1725" t="s">
        <v>649</v>
      </c>
      <c r="D1725">
        <v>345</v>
      </c>
      <c r="E1725">
        <v>111</v>
      </c>
    </row>
    <row r="1726" spans="1:5" x14ac:dyDescent="0.25">
      <c r="A1726" t="s">
        <v>750</v>
      </c>
      <c r="B1726" s="3">
        <v>40330</v>
      </c>
      <c r="C1726" t="s">
        <v>649</v>
      </c>
      <c r="D1726">
        <v>270</v>
      </c>
      <c r="E1726">
        <v>49</v>
      </c>
    </row>
    <row r="1727" spans="1:5" x14ac:dyDescent="0.25">
      <c r="A1727" t="s">
        <v>749</v>
      </c>
      <c r="B1727" s="3">
        <v>40330</v>
      </c>
      <c r="C1727" t="s">
        <v>649</v>
      </c>
      <c r="D1727">
        <v>300</v>
      </c>
      <c r="E1727">
        <v>382</v>
      </c>
    </row>
    <row r="1728" spans="1:5" x14ac:dyDescent="0.25">
      <c r="A1728" t="s">
        <v>748</v>
      </c>
      <c r="B1728" s="3">
        <v>40330</v>
      </c>
      <c r="C1728" t="s">
        <v>649</v>
      </c>
      <c r="D1728">
        <v>290</v>
      </c>
      <c r="E1728">
        <v>51</v>
      </c>
    </row>
    <row r="1729" spans="1:5" x14ac:dyDescent="0.25">
      <c r="A1729" t="s">
        <v>747</v>
      </c>
      <c r="B1729" s="3">
        <v>40330</v>
      </c>
      <c r="C1729" t="s">
        <v>649</v>
      </c>
      <c r="D1729">
        <v>310</v>
      </c>
      <c r="E1729">
        <v>389</v>
      </c>
    </row>
    <row r="1730" spans="1:5" x14ac:dyDescent="0.25">
      <c r="A1730" t="s">
        <v>746</v>
      </c>
      <c r="B1730" s="3">
        <v>40330</v>
      </c>
      <c r="C1730" t="s">
        <v>649</v>
      </c>
      <c r="D1730" t="s">
        <v>757</v>
      </c>
      <c r="E1730">
        <v>3</v>
      </c>
    </row>
    <row r="1731" spans="1:5" x14ac:dyDescent="0.25">
      <c r="A1731" t="s">
        <v>745</v>
      </c>
      <c r="B1731" s="3">
        <v>40330</v>
      </c>
      <c r="C1731" t="s">
        <v>649</v>
      </c>
      <c r="D1731">
        <v>310</v>
      </c>
      <c r="E1731">
        <v>209</v>
      </c>
    </row>
    <row r="1732" spans="1:5" x14ac:dyDescent="0.25">
      <c r="A1732" t="s">
        <v>744</v>
      </c>
      <c r="B1732" s="3">
        <v>40330</v>
      </c>
      <c r="C1732" t="s">
        <v>649</v>
      </c>
      <c r="D1732">
        <v>290</v>
      </c>
      <c r="E1732">
        <v>13</v>
      </c>
    </row>
    <row r="1733" spans="1:5" x14ac:dyDescent="0.25">
      <c r="A1733" t="s">
        <v>743</v>
      </c>
      <c r="B1733" s="3">
        <v>40330</v>
      </c>
      <c r="C1733" t="s">
        <v>649</v>
      </c>
      <c r="D1733">
        <v>200</v>
      </c>
      <c r="E1733">
        <v>25</v>
      </c>
    </row>
    <row r="1734" spans="1:5" x14ac:dyDescent="0.25">
      <c r="A1734" t="s">
        <v>742</v>
      </c>
      <c r="B1734" s="3">
        <v>40330</v>
      </c>
      <c r="C1734" t="s">
        <v>649</v>
      </c>
      <c r="D1734">
        <v>170</v>
      </c>
      <c r="E1734">
        <v>22</v>
      </c>
    </row>
    <row r="1735" spans="1:5" x14ac:dyDescent="0.25">
      <c r="A1735" t="s">
        <v>741</v>
      </c>
      <c r="B1735" s="3">
        <v>40330</v>
      </c>
      <c r="C1735" t="s">
        <v>649</v>
      </c>
      <c r="D1735">
        <v>180</v>
      </c>
      <c r="E1735">
        <v>137</v>
      </c>
    </row>
    <row r="1736" spans="1:5" x14ac:dyDescent="0.25">
      <c r="A1736" t="s">
        <v>740</v>
      </c>
      <c r="B1736" s="3">
        <v>40330</v>
      </c>
      <c r="C1736" t="s">
        <v>649</v>
      </c>
      <c r="D1736">
        <v>220</v>
      </c>
      <c r="E1736">
        <v>102</v>
      </c>
    </row>
    <row r="1737" spans="1:5" x14ac:dyDescent="0.25">
      <c r="A1737" t="s">
        <v>739</v>
      </c>
      <c r="B1737" s="3">
        <v>40330</v>
      </c>
      <c r="C1737" t="s">
        <v>649</v>
      </c>
      <c r="D1737">
        <v>260</v>
      </c>
      <c r="E1737">
        <v>971</v>
      </c>
    </row>
    <row r="1738" spans="1:5" x14ac:dyDescent="0.25">
      <c r="A1738" t="s">
        <v>738</v>
      </c>
      <c r="B1738" s="3">
        <v>40330</v>
      </c>
      <c r="C1738" t="s">
        <v>649</v>
      </c>
      <c r="D1738">
        <v>175</v>
      </c>
      <c r="E1738">
        <v>16</v>
      </c>
    </row>
    <row r="1739" spans="1:5" x14ac:dyDescent="0.25">
      <c r="A1739" t="s">
        <v>737</v>
      </c>
      <c r="B1739" s="3">
        <v>40330</v>
      </c>
      <c r="C1739" t="s">
        <v>649</v>
      </c>
      <c r="D1739">
        <v>250</v>
      </c>
      <c r="E1739">
        <v>42</v>
      </c>
    </row>
    <row r="1740" spans="1:5" x14ac:dyDescent="0.25">
      <c r="A1740" t="s">
        <v>736</v>
      </c>
      <c r="B1740" s="3">
        <v>40330</v>
      </c>
      <c r="C1740" t="s">
        <v>649</v>
      </c>
      <c r="D1740">
        <v>190</v>
      </c>
      <c r="E1740">
        <v>19</v>
      </c>
    </row>
    <row r="1741" spans="1:5" x14ac:dyDescent="0.25">
      <c r="A1741" t="s">
        <v>735</v>
      </c>
      <c r="B1741" s="3">
        <v>40330</v>
      </c>
      <c r="C1741" t="s">
        <v>649</v>
      </c>
      <c r="D1741">
        <v>220</v>
      </c>
      <c r="E1741">
        <v>195</v>
      </c>
    </row>
    <row r="1742" spans="1:5" x14ac:dyDescent="0.25">
      <c r="A1742" t="s">
        <v>734</v>
      </c>
      <c r="B1742" s="3">
        <v>40330</v>
      </c>
      <c r="C1742" t="s">
        <v>649</v>
      </c>
      <c r="D1742">
        <v>330</v>
      </c>
      <c r="E1742">
        <v>2365</v>
      </c>
    </row>
    <row r="1743" spans="1:5" x14ac:dyDescent="0.25">
      <c r="A1743" t="s">
        <v>733</v>
      </c>
      <c r="B1743" s="3">
        <v>40330</v>
      </c>
      <c r="C1743" t="s">
        <v>649</v>
      </c>
      <c r="D1743">
        <v>330</v>
      </c>
      <c r="E1743">
        <v>241</v>
      </c>
    </row>
    <row r="1744" spans="1:5" x14ac:dyDescent="0.25">
      <c r="A1744" t="s">
        <v>732</v>
      </c>
      <c r="B1744" s="3">
        <v>40330</v>
      </c>
      <c r="C1744" t="s">
        <v>649</v>
      </c>
      <c r="D1744">
        <v>340</v>
      </c>
      <c r="E1744">
        <v>1706</v>
      </c>
    </row>
    <row r="1745" spans="1:5" x14ac:dyDescent="0.25">
      <c r="A1745" t="s">
        <v>731</v>
      </c>
      <c r="B1745" s="3">
        <v>40330</v>
      </c>
      <c r="C1745" t="s">
        <v>649</v>
      </c>
      <c r="D1745">
        <v>290</v>
      </c>
      <c r="E1745">
        <v>372</v>
      </c>
    </row>
    <row r="1746" spans="1:5" x14ac:dyDescent="0.25">
      <c r="A1746" t="s">
        <v>730</v>
      </c>
      <c r="B1746" s="3">
        <v>40330</v>
      </c>
      <c r="C1746" t="s">
        <v>649</v>
      </c>
      <c r="D1746">
        <v>280</v>
      </c>
      <c r="E1746">
        <v>46</v>
      </c>
    </row>
    <row r="1747" spans="1:5" x14ac:dyDescent="0.25">
      <c r="A1747" t="s">
        <v>729</v>
      </c>
      <c r="B1747" s="3">
        <v>40330</v>
      </c>
      <c r="C1747" t="s">
        <v>649</v>
      </c>
      <c r="D1747">
        <v>175</v>
      </c>
      <c r="E1747">
        <v>21</v>
      </c>
    </row>
    <row r="1748" spans="1:5" x14ac:dyDescent="0.25">
      <c r="A1748" t="s">
        <v>728</v>
      </c>
      <c r="B1748" s="3">
        <v>40330</v>
      </c>
      <c r="C1748" t="s">
        <v>649</v>
      </c>
      <c r="D1748">
        <v>215</v>
      </c>
      <c r="E1748">
        <v>154</v>
      </c>
    </row>
    <row r="1749" spans="1:5" x14ac:dyDescent="0.25">
      <c r="A1749" t="s">
        <v>727</v>
      </c>
      <c r="B1749" s="3">
        <v>40330</v>
      </c>
      <c r="C1749" t="s">
        <v>649</v>
      </c>
      <c r="D1749">
        <v>220</v>
      </c>
      <c r="E1749">
        <v>119</v>
      </c>
    </row>
    <row r="1750" spans="1:5" x14ac:dyDescent="0.25">
      <c r="A1750" t="s">
        <v>726</v>
      </c>
      <c r="B1750" s="3">
        <v>40330</v>
      </c>
      <c r="C1750" t="s">
        <v>649</v>
      </c>
      <c r="D1750">
        <v>170</v>
      </c>
      <c r="E1750">
        <v>35</v>
      </c>
    </row>
    <row r="1751" spans="1:5" x14ac:dyDescent="0.25">
      <c r="A1751" t="s">
        <v>725</v>
      </c>
      <c r="B1751" s="3">
        <v>40330</v>
      </c>
      <c r="C1751" t="s">
        <v>649</v>
      </c>
      <c r="D1751">
        <v>220</v>
      </c>
      <c r="E1751">
        <v>193</v>
      </c>
    </row>
    <row r="1752" spans="1:5" x14ac:dyDescent="0.25">
      <c r="A1752" t="s">
        <v>724</v>
      </c>
      <c r="B1752" s="3">
        <v>40330</v>
      </c>
      <c r="C1752" t="s">
        <v>649</v>
      </c>
      <c r="D1752">
        <v>270</v>
      </c>
      <c r="E1752">
        <v>215</v>
      </c>
    </row>
    <row r="1753" spans="1:5" x14ac:dyDescent="0.25">
      <c r="A1753" t="s">
        <v>723</v>
      </c>
      <c r="B1753" s="3">
        <v>40330</v>
      </c>
      <c r="C1753" t="s">
        <v>649</v>
      </c>
      <c r="D1753">
        <v>160</v>
      </c>
      <c r="E1753">
        <v>31</v>
      </c>
    </row>
    <row r="1754" spans="1:5" x14ac:dyDescent="0.25">
      <c r="A1754" t="s">
        <v>722</v>
      </c>
      <c r="B1754" s="3">
        <v>40330</v>
      </c>
      <c r="C1754" t="s">
        <v>649</v>
      </c>
      <c r="D1754">
        <v>160</v>
      </c>
      <c r="E1754">
        <v>54</v>
      </c>
    </row>
    <row r="1755" spans="1:5" x14ac:dyDescent="0.25">
      <c r="A1755" t="s">
        <v>721</v>
      </c>
      <c r="B1755" s="3">
        <v>40330</v>
      </c>
      <c r="C1755" t="s">
        <v>649</v>
      </c>
      <c r="D1755">
        <v>270</v>
      </c>
      <c r="E1755">
        <v>78</v>
      </c>
    </row>
    <row r="1756" spans="1:5" x14ac:dyDescent="0.25">
      <c r="A1756" t="s">
        <v>720</v>
      </c>
      <c r="B1756" s="3">
        <v>40330</v>
      </c>
      <c r="C1756" t="s">
        <v>649</v>
      </c>
      <c r="D1756">
        <v>250</v>
      </c>
      <c r="E1756">
        <v>66</v>
      </c>
    </row>
    <row r="1757" spans="1:5" x14ac:dyDescent="0.25">
      <c r="A1757" t="s">
        <v>719</v>
      </c>
      <c r="B1757" s="3">
        <v>40330</v>
      </c>
      <c r="C1757" t="s">
        <v>649</v>
      </c>
      <c r="D1757">
        <v>250</v>
      </c>
      <c r="E1757">
        <v>60</v>
      </c>
    </row>
    <row r="1758" spans="1:5" x14ac:dyDescent="0.25">
      <c r="A1758" t="s">
        <v>718</v>
      </c>
      <c r="B1758" s="3">
        <v>40330</v>
      </c>
      <c r="C1758" t="s">
        <v>649</v>
      </c>
      <c r="D1758">
        <v>230</v>
      </c>
      <c r="E1758">
        <v>145</v>
      </c>
    </row>
    <row r="1759" spans="1:5" x14ac:dyDescent="0.25">
      <c r="A1759" t="s">
        <v>717</v>
      </c>
      <c r="B1759" s="3">
        <v>40330</v>
      </c>
      <c r="C1759" t="s">
        <v>649</v>
      </c>
      <c r="D1759">
        <v>280</v>
      </c>
      <c r="E1759">
        <v>57</v>
      </c>
    </row>
    <row r="1760" spans="1:5" x14ac:dyDescent="0.25">
      <c r="A1760" t="s">
        <v>716</v>
      </c>
      <c r="B1760" s="3">
        <v>40330</v>
      </c>
      <c r="C1760" t="s">
        <v>649</v>
      </c>
      <c r="D1760">
        <v>200</v>
      </c>
      <c r="E1760">
        <v>161</v>
      </c>
    </row>
    <row r="1761" spans="1:5" x14ac:dyDescent="0.25">
      <c r="A1761" t="s">
        <v>715</v>
      </c>
      <c r="B1761" s="3">
        <v>40330</v>
      </c>
      <c r="C1761" t="s">
        <v>649</v>
      </c>
      <c r="D1761">
        <v>160</v>
      </c>
      <c r="E1761">
        <v>26</v>
      </c>
    </row>
    <row r="1762" spans="1:5" x14ac:dyDescent="0.25">
      <c r="A1762" t="s">
        <v>714</v>
      </c>
      <c r="B1762" s="3">
        <v>40330</v>
      </c>
      <c r="C1762" t="s">
        <v>649</v>
      </c>
      <c r="D1762">
        <v>285</v>
      </c>
      <c r="E1762">
        <v>877</v>
      </c>
    </row>
    <row r="1763" spans="1:5" x14ac:dyDescent="0.25">
      <c r="A1763" t="s">
        <v>713</v>
      </c>
      <c r="B1763" s="3">
        <v>40330</v>
      </c>
      <c r="C1763" t="s">
        <v>649</v>
      </c>
      <c r="D1763">
        <v>280</v>
      </c>
      <c r="E1763">
        <v>208</v>
      </c>
    </row>
    <row r="1764" spans="1:5" x14ac:dyDescent="0.25">
      <c r="A1764" t="s">
        <v>712</v>
      </c>
      <c r="B1764" s="3">
        <v>40330</v>
      </c>
      <c r="C1764" t="s">
        <v>649</v>
      </c>
      <c r="D1764">
        <v>280</v>
      </c>
      <c r="E1764">
        <v>536</v>
      </c>
    </row>
    <row r="1765" spans="1:5" x14ac:dyDescent="0.25">
      <c r="A1765" t="s">
        <v>711</v>
      </c>
      <c r="B1765" s="3">
        <v>40330</v>
      </c>
      <c r="C1765" t="s">
        <v>649</v>
      </c>
      <c r="D1765">
        <v>295</v>
      </c>
      <c r="E1765">
        <v>118</v>
      </c>
    </row>
    <row r="1766" spans="1:5" x14ac:dyDescent="0.25">
      <c r="A1766" t="s">
        <v>756</v>
      </c>
      <c r="B1766" s="3">
        <v>40330</v>
      </c>
      <c r="C1766" t="s">
        <v>649</v>
      </c>
      <c r="D1766">
        <v>230</v>
      </c>
      <c r="E1766">
        <v>56</v>
      </c>
    </row>
    <row r="1767" spans="1:5" x14ac:dyDescent="0.25">
      <c r="A1767" t="s">
        <v>710</v>
      </c>
      <c r="B1767" s="3">
        <v>40330</v>
      </c>
      <c r="C1767" t="s">
        <v>649</v>
      </c>
      <c r="D1767">
        <v>170</v>
      </c>
      <c r="E1767">
        <v>325</v>
      </c>
    </row>
    <row r="1768" spans="1:5" x14ac:dyDescent="0.25">
      <c r="A1768" t="s">
        <v>709</v>
      </c>
      <c r="B1768" s="3">
        <v>40330</v>
      </c>
      <c r="C1768" t="s">
        <v>649</v>
      </c>
      <c r="D1768">
        <v>260</v>
      </c>
      <c r="E1768">
        <v>560</v>
      </c>
    </row>
    <row r="1769" spans="1:5" x14ac:dyDescent="0.25">
      <c r="A1769" t="s">
        <v>708</v>
      </c>
      <c r="B1769" s="3">
        <v>40330</v>
      </c>
      <c r="C1769" t="s">
        <v>649</v>
      </c>
      <c r="D1769">
        <v>150</v>
      </c>
      <c r="E1769">
        <v>34</v>
      </c>
    </row>
    <row r="1770" spans="1:5" x14ac:dyDescent="0.25">
      <c r="A1770" t="s">
        <v>635</v>
      </c>
      <c r="B1770" s="3">
        <v>40330</v>
      </c>
      <c r="C1770" t="s">
        <v>652</v>
      </c>
      <c r="D1770">
        <v>350</v>
      </c>
      <c r="E1770">
        <v>3081</v>
      </c>
    </row>
    <row r="1771" spans="1:5" x14ac:dyDescent="0.25">
      <c r="A1771" t="s">
        <v>755</v>
      </c>
      <c r="B1771" s="3">
        <v>40330</v>
      </c>
      <c r="C1771" t="s">
        <v>652</v>
      </c>
      <c r="D1771">
        <v>350</v>
      </c>
      <c r="E1771">
        <v>156</v>
      </c>
    </row>
    <row r="1772" spans="1:5" x14ac:dyDescent="0.25">
      <c r="A1772" t="s">
        <v>754</v>
      </c>
      <c r="B1772" s="3">
        <v>40330</v>
      </c>
      <c r="C1772" t="s">
        <v>652</v>
      </c>
      <c r="D1772">
        <v>430</v>
      </c>
      <c r="E1772">
        <v>251</v>
      </c>
    </row>
    <row r="1773" spans="1:5" x14ac:dyDescent="0.25">
      <c r="A1773" t="s">
        <v>753</v>
      </c>
      <c r="B1773" s="3">
        <v>40330</v>
      </c>
      <c r="C1773" t="s">
        <v>652</v>
      </c>
      <c r="D1773">
        <v>380</v>
      </c>
      <c r="E1773">
        <v>340</v>
      </c>
    </row>
    <row r="1774" spans="1:5" x14ac:dyDescent="0.25">
      <c r="A1774" t="s">
        <v>752</v>
      </c>
      <c r="B1774" s="3">
        <v>40330</v>
      </c>
      <c r="C1774" t="s">
        <v>652</v>
      </c>
      <c r="D1774">
        <v>340</v>
      </c>
      <c r="E1774">
        <v>383</v>
      </c>
    </row>
    <row r="1775" spans="1:5" x14ac:dyDescent="0.25">
      <c r="A1775" t="s">
        <v>751</v>
      </c>
      <c r="B1775" s="3">
        <v>40330</v>
      </c>
      <c r="C1775" t="s">
        <v>652</v>
      </c>
      <c r="D1775">
        <v>400</v>
      </c>
      <c r="E1775">
        <v>102</v>
      </c>
    </row>
    <row r="1776" spans="1:5" x14ac:dyDescent="0.25">
      <c r="A1776" t="s">
        <v>750</v>
      </c>
      <c r="B1776" s="3">
        <v>40330</v>
      </c>
      <c r="C1776" t="s">
        <v>652</v>
      </c>
      <c r="D1776">
        <v>345</v>
      </c>
      <c r="E1776">
        <v>256</v>
      </c>
    </row>
    <row r="1777" spans="1:5" x14ac:dyDescent="0.25">
      <c r="A1777" t="s">
        <v>749</v>
      </c>
      <c r="B1777" s="3">
        <v>40330</v>
      </c>
      <c r="C1777" t="s">
        <v>652</v>
      </c>
      <c r="D1777">
        <v>360</v>
      </c>
      <c r="E1777">
        <v>360</v>
      </c>
    </row>
    <row r="1778" spans="1:5" x14ac:dyDescent="0.25">
      <c r="A1778" t="s">
        <v>748</v>
      </c>
      <c r="B1778" s="3">
        <v>40330</v>
      </c>
      <c r="C1778" t="s">
        <v>652</v>
      </c>
      <c r="D1778">
        <v>330</v>
      </c>
      <c r="E1778">
        <v>348</v>
      </c>
    </row>
    <row r="1779" spans="1:5" x14ac:dyDescent="0.25">
      <c r="A1779" t="s">
        <v>747</v>
      </c>
      <c r="B1779" s="3">
        <v>40330</v>
      </c>
      <c r="C1779" t="s">
        <v>652</v>
      </c>
      <c r="D1779">
        <v>380</v>
      </c>
      <c r="E1779">
        <v>369</v>
      </c>
    </row>
    <row r="1780" spans="1:5" x14ac:dyDescent="0.25">
      <c r="A1780" t="s">
        <v>746</v>
      </c>
      <c r="B1780" s="3">
        <v>40330</v>
      </c>
      <c r="C1780" t="s">
        <v>652</v>
      </c>
      <c r="D1780">
        <v>365</v>
      </c>
      <c r="E1780">
        <v>49</v>
      </c>
    </row>
    <row r="1781" spans="1:5" x14ac:dyDescent="0.25">
      <c r="A1781" t="s">
        <v>745</v>
      </c>
      <c r="B1781" s="3">
        <v>40330</v>
      </c>
      <c r="C1781" t="s">
        <v>652</v>
      </c>
      <c r="D1781">
        <v>365</v>
      </c>
      <c r="E1781">
        <v>117</v>
      </c>
    </row>
    <row r="1782" spans="1:5" x14ac:dyDescent="0.25">
      <c r="A1782" t="s">
        <v>744</v>
      </c>
      <c r="B1782" s="3">
        <v>40330</v>
      </c>
      <c r="C1782" t="s">
        <v>652</v>
      </c>
      <c r="D1782">
        <v>320</v>
      </c>
      <c r="E1782">
        <v>350</v>
      </c>
    </row>
    <row r="1783" spans="1:5" x14ac:dyDescent="0.25">
      <c r="A1783" t="s">
        <v>743</v>
      </c>
      <c r="B1783" s="3">
        <v>40330</v>
      </c>
      <c r="C1783" t="s">
        <v>652</v>
      </c>
      <c r="D1783">
        <v>290</v>
      </c>
      <c r="E1783">
        <v>38</v>
      </c>
    </row>
    <row r="1784" spans="1:5" x14ac:dyDescent="0.25">
      <c r="A1784" t="s">
        <v>742</v>
      </c>
      <c r="B1784" s="3">
        <v>40330</v>
      </c>
      <c r="C1784" t="s">
        <v>652</v>
      </c>
      <c r="D1784">
        <v>310</v>
      </c>
      <c r="E1784">
        <v>88</v>
      </c>
    </row>
    <row r="1785" spans="1:5" x14ac:dyDescent="0.25">
      <c r="A1785" t="s">
        <v>741</v>
      </c>
      <c r="B1785" s="3">
        <v>40330</v>
      </c>
      <c r="C1785" t="s">
        <v>652</v>
      </c>
      <c r="D1785">
        <v>255</v>
      </c>
      <c r="E1785">
        <v>325</v>
      </c>
    </row>
    <row r="1786" spans="1:5" x14ac:dyDescent="0.25">
      <c r="A1786" t="s">
        <v>740</v>
      </c>
      <c r="B1786" s="3">
        <v>40330</v>
      </c>
      <c r="C1786" t="s">
        <v>652</v>
      </c>
      <c r="D1786">
        <v>280</v>
      </c>
      <c r="E1786">
        <v>495</v>
      </c>
    </row>
    <row r="1787" spans="1:5" x14ac:dyDescent="0.25">
      <c r="A1787" t="s">
        <v>739</v>
      </c>
      <c r="B1787" s="3">
        <v>40330</v>
      </c>
      <c r="C1787" t="s">
        <v>652</v>
      </c>
      <c r="D1787">
        <v>320</v>
      </c>
      <c r="E1787">
        <v>541</v>
      </c>
    </row>
    <row r="1788" spans="1:5" x14ac:dyDescent="0.25">
      <c r="A1788" t="s">
        <v>738</v>
      </c>
      <c r="B1788" s="3">
        <v>40330</v>
      </c>
      <c r="C1788" t="s">
        <v>652</v>
      </c>
      <c r="D1788">
        <v>210</v>
      </c>
      <c r="E1788">
        <v>47</v>
      </c>
    </row>
    <row r="1789" spans="1:5" x14ac:dyDescent="0.25">
      <c r="A1789" t="s">
        <v>737</v>
      </c>
      <c r="B1789" s="3">
        <v>40330</v>
      </c>
      <c r="C1789" t="s">
        <v>652</v>
      </c>
      <c r="D1789">
        <v>360</v>
      </c>
      <c r="E1789">
        <v>84</v>
      </c>
    </row>
    <row r="1790" spans="1:5" x14ac:dyDescent="0.25">
      <c r="A1790" t="s">
        <v>736</v>
      </c>
      <c r="B1790" s="3">
        <v>40330</v>
      </c>
      <c r="C1790" t="s">
        <v>652</v>
      </c>
      <c r="D1790">
        <v>225</v>
      </c>
      <c r="E1790">
        <v>56</v>
      </c>
    </row>
    <row r="1791" spans="1:5" x14ac:dyDescent="0.25">
      <c r="A1791" t="s">
        <v>735</v>
      </c>
      <c r="B1791" s="3">
        <v>40330</v>
      </c>
      <c r="C1791" t="s">
        <v>652</v>
      </c>
      <c r="D1791">
        <v>300</v>
      </c>
      <c r="E1791">
        <v>196</v>
      </c>
    </row>
    <row r="1792" spans="1:5" x14ac:dyDescent="0.25">
      <c r="A1792" t="s">
        <v>734</v>
      </c>
      <c r="B1792" s="3">
        <v>40330</v>
      </c>
      <c r="C1792" t="s">
        <v>652</v>
      </c>
      <c r="D1792">
        <v>385</v>
      </c>
      <c r="E1792">
        <v>1159</v>
      </c>
    </row>
    <row r="1793" spans="1:5" x14ac:dyDescent="0.25">
      <c r="A1793" t="s">
        <v>733</v>
      </c>
      <c r="B1793" s="3">
        <v>40330</v>
      </c>
      <c r="C1793" t="s">
        <v>652</v>
      </c>
      <c r="D1793">
        <v>360</v>
      </c>
      <c r="E1793">
        <v>303</v>
      </c>
    </row>
    <row r="1794" spans="1:5" x14ac:dyDescent="0.25">
      <c r="A1794" t="s">
        <v>732</v>
      </c>
      <c r="B1794" s="3">
        <v>40330</v>
      </c>
      <c r="C1794" t="s">
        <v>652</v>
      </c>
      <c r="D1794">
        <v>400</v>
      </c>
      <c r="E1794">
        <v>556</v>
      </c>
    </row>
    <row r="1795" spans="1:5" x14ac:dyDescent="0.25">
      <c r="A1795" t="s">
        <v>731</v>
      </c>
      <c r="B1795" s="3">
        <v>40330</v>
      </c>
      <c r="C1795" t="s">
        <v>652</v>
      </c>
      <c r="D1795">
        <v>400</v>
      </c>
      <c r="E1795">
        <v>110</v>
      </c>
    </row>
    <row r="1796" spans="1:5" x14ac:dyDescent="0.25">
      <c r="A1796" t="s">
        <v>730</v>
      </c>
      <c r="B1796" s="3">
        <v>40330</v>
      </c>
      <c r="C1796" t="s">
        <v>652</v>
      </c>
      <c r="D1796">
        <v>370</v>
      </c>
      <c r="E1796">
        <v>190</v>
      </c>
    </row>
    <row r="1797" spans="1:5" x14ac:dyDescent="0.25">
      <c r="A1797" t="s">
        <v>729</v>
      </c>
      <c r="B1797" s="3">
        <v>40330</v>
      </c>
      <c r="C1797" t="s">
        <v>652</v>
      </c>
      <c r="D1797">
        <v>240</v>
      </c>
      <c r="E1797">
        <v>152</v>
      </c>
    </row>
    <row r="1798" spans="1:5" x14ac:dyDescent="0.25">
      <c r="A1798" t="s">
        <v>728</v>
      </c>
      <c r="B1798" s="3">
        <v>40330</v>
      </c>
      <c r="C1798" t="s">
        <v>652</v>
      </c>
      <c r="D1798">
        <v>250</v>
      </c>
      <c r="E1798">
        <v>253</v>
      </c>
    </row>
    <row r="1799" spans="1:5" x14ac:dyDescent="0.25">
      <c r="A1799" t="s">
        <v>727</v>
      </c>
      <c r="B1799" s="3">
        <v>40330</v>
      </c>
      <c r="C1799" t="s">
        <v>652</v>
      </c>
      <c r="D1799">
        <v>260</v>
      </c>
      <c r="E1799">
        <v>741</v>
      </c>
    </row>
    <row r="1800" spans="1:5" x14ac:dyDescent="0.25">
      <c r="A1800" t="s">
        <v>726</v>
      </c>
      <c r="B1800" s="3">
        <v>40330</v>
      </c>
      <c r="C1800" t="s">
        <v>652</v>
      </c>
      <c r="D1800">
        <v>220</v>
      </c>
      <c r="E1800">
        <v>64</v>
      </c>
    </row>
    <row r="1801" spans="1:5" x14ac:dyDescent="0.25">
      <c r="A1801" t="s">
        <v>725</v>
      </c>
      <c r="B1801" s="3">
        <v>40330</v>
      </c>
      <c r="C1801" t="s">
        <v>652</v>
      </c>
      <c r="D1801">
        <v>300</v>
      </c>
      <c r="E1801">
        <v>765</v>
      </c>
    </row>
    <row r="1802" spans="1:5" x14ac:dyDescent="0.25">
      <c r="A1802" t="s">
        <v>724</v>
      </c>
      <c r="B1802" s="3">
        <v>40330</v>
      </c>
      <c r="C1802" t="s">
        <v>652</v>
      </c>
      <c r="D1802">
        <v>360</v>
      </c>
      <c r="E1802">
        <v>288</v>
      </c>
    </row>
    <row r="1803" spans="1:5" x14ac:dyDescent="0.25">
      <c r="A1803" t="s">
        <v>723</v>
      </c>
      <c r="B1803" s="3">
        <v>40330</v>
      </c>
      <c r="C1803" t="s">
        <v>652</v>
      </c>
      <c r="D1803">
        <v>280</v>
      </c>
      <c r="E1803">
        <v>37</v>
      </c>
    </row>
    <row r="1804" spans="1:5" x14ac:dyDescent="0.25">
      <c r="A1804" t="s">
        <v>722</v>
      </c>
      <c r="B1804" s="3">
        <v>40330</v>
      </c>
      <c r="C1804" t="s">
        <v>652</v>
      </c>
      <c r="D1804">
        <v>225</v>
      </c>
      <c r="E1804">
        <v>130</v>
      </c>
    </row>
    <row r="1805" spans="1:5" x14ac:dyDescent="0.25">
      <c r="A1805" t="s">
        <v>721</v>
      </c>
      <c r="B1805" s="3">
        <v>40330</v>
      </c>
      <c r="C1805" t="s">
        <v>652</v>
      </c>
      <c r="D1805">
        <v>450</v>
      </c>
      <c r="E1805">
        <v>62</v>
      </c>
    </row>
    <row r="1806" spans="1:5" x14ac:dyDescent="0.25">
      <c r="A1806" t="s">
        <v>720</v>
      </c>
      <c r="B1806" s="3">
        <v>40330</v>
      </c>
      <c r="C1806" t="s">
        <v>652</v>
      </c>
      <c r="D1806">
        <v>325</v>
      </c>
      <c r="E1806">
        <v>97</v>
      </c>
    </row>
    <row r="1807" spans="1:5" x14ac:dyDescent="0.25">
      <c r="A1807" t="s">
        <v>719</v>
      </c>
      <c r="B1807" s="3">
        <v>40330</v>
      </c>
      <c r="C1807" t="s">
        <v>652</v>
      </c>
      <c r="D1807">
        <v>330</v>
      </c>
      <c r="E1807">
        <v>349</v>
      </c>
    </row>
    <row r="1808" spans="1:5" x14ac:dyDescent="0.25">
      <c r="A1808" t="s">
        <v>718</v>
      </c>
      <c r="B1808" s="3">
        <v>40330</v>
      </c>
      <c r="C1808" t="s">
        <v>652</v>
      </c>
      <c r="D1808">
        <v>300</v>
      </c>
      <c r="E1808">
        <v>224</v>
      </c>
    </row>
    <row r="1809" spans="1:5" x14ac:dyDescent="0.25">
      <c r="A1809" t="s">
        <v>717</v>
      </c>
      <c r="B1809" s="3">
        <v>40330</v>
      </c>
      <c r="C1809" t="s">
        <v>652</v>
      </c>
      <c r="D1809">
        <v>340</v>
      </c>
      <c r="E1809">
        <v>314</v>
      </c>
    </row>
    <row r="1810" spans="1:5" x14ac:dyDescent="0.25">
      <c r="A1810" t="s">
        <v>716</v>
      </c>
      <c r="B1810" s="3">
        <v>40330</v>
      </c>
      <c r="C1810" t="s">
        <v>652</v>
      </c>
      <c r="D1810">
        <v>270</v>
      </c>
      <c r="E1810">
        <v>239</v>
      </c>
    </row>
    <row r="1811" spans="1:5" x14ac:dyDescent="0.25">
      <c r="A1811" t="s">
        <v>715</v>
      </c>
      <c r="B1811" s="3">
        <v>40330</v>
      </c>
      <c r="C1811" t="s">
        <v>652</v>
      </c>
      <c r="D1811">
        <v>260</v>
      </c>
      <c r="E1811">
        <v>43</v>
      </c>
    </row>
    <row r="1812" spans="1:5" x14ac:dyDescent="0.25">
      <c r="A1812" t="s">
        <v>714</v>
      </c>
      <c r="B1812" s="3">
        <v>40330</v>
      </c>
      <c r="C1812" t="s">
        <v>652</v>
      </c>
      <c r="D1812">
        <v>350</v>
      </c>
      <c r="E1812">
        <v>1033</v>
      </c>
    </row>
    <row r="1813" spans="1:5" x14ac:dyDescent="0.25">
      <c r="A1813" t="s">
        <v>713</v>
      </c>
      <c r="B1813" s="3">
        <v>40330</v>
      </c>
      <c r="C1813" t="s">
        <v>652</v>
      </c>
      <c r="D1813">
        <v>360</v>
      </c>
      <c r="E1813">
        <v>263</v>
      </c>
    </row>
    <row r="1814" spans="1:5" x14ac:dyDescent="0.25">
      <c r="A1814" t="s">
        <v>712</v>
      </c>
      <c r="B1814" s="3">
        <v>40330</v>
      </c>
      <c r="C1814" t="s">
        <v>652</v>
      </c>
      <c r="D1814">
        <v>350</v>
      </c>
      <c r="E1814">
        <v>451</v>
      </c>
    </row>
    <row r="1815" spans="1:5" x14ac:dyDescent="0.25">
      <c r="A1815" t="s">
        <v>711</v>
      </c>
      <c r="B1815" s="3">
        <v>40330</v>
      </c>
      <c r="C1815" t="s">
        <v>652</v>
      </c>
      <c r="D1815">
        <v>360</v>
      </c>
      <c r="E1815">
        <v>138</v>
      </c>
    </row>
    <row r="1816" spans="1:5" x14ac:dyDescent="0.25">
      <c r="A1816" t="s">
        <v>756</v>
      </c>
      <c r="B1816" s="3">
        <v>40330</v>
      </c>
      <c r="C1816" t="s">
        <v>652</v>
      </c>
      <c r="D1816">
        <v>310</v>
      </c>
      <c r="E1816">
        <v>292</v>
      </c>
    </row>
    <row r="1817" spans="1:5" x14ac:dyDescent="0.25">
      <c r="A1817" t="s">
        <v>710</v>
      </c>
      <c r="B1817" s="3">
        <v>40330</v>
      </c>
      <c r="C1817" t="s">
        <v>652</v>
      </c>
      <c r="D1817">
        <v>235</v>
      </c>
      <c r="E1817">
        <v>501</v>
      </c>
    </row>
    <row r="1818" spans="1:5" x14ac:dyDescent="0.25">
      <c r="A1818" t="s">
        <v>709</v>
      </c>
      <c r="B1818" s="3">
        <v>40330</v>
      </c>
      <c r="C1818" t="s">
        <v>652</v>
      </c>
      <c r="D1818">
        <v>320</v>
      </c>
      <c r="E1818">
        <v>417</v>
      </c>
    </row>
    <row r="1819" spans="1:5" x14ac:dyDescent="0.25">
      <c r="A1819" t="s">
        <v>708</v>
      </c>
      <c r="B1819" s="3">
        <v>40330</v>
      </c>
      <c r="C1819" t="s">
        <v>652</v>
      </c>
      <c r="D1819">
        <v>210</v>
      </c>
      <c r="E1819">
        <v>71</v>
      </c>
    </row>
    <row r="1820" spans="1:5" x14ac:dyDescent="0.25">
      <c r="A1820" t="s">
        <v>635</v>
      </c>
      <c r="B1820" s="3">
        <v>40422</v>
      </c>
      <c r="C1820" t="s">
        <v>649</v>
      </c>
      <c r="D1820">
        <v>345</v>
      </c>
      <c r="E1820">
        <v>3919</v>
      </c>
    </row>
    <row r="1821" spans="1:5" x14ac:dyDescent="0.25">
      <c r="A1821" t="s">
        <v>755</v>
      </c>
      <c r="B1821" s="3">
        <v>40422</v>
      </c>
      <c r="C1821" t="s">
        <v>649</v>
      </c>
      <c r="D1821">
        <v>280</v>
      </c>
      <c r="E1821">
        <v>39</v>
      </c>
    </row>
    <row r="1822" spans="1:5" x14ac:dyDescent="0.25">
      <c r="A1822" t="s">
        <v>754</v>
      </c>
      <c r="B1822" s="3">
        <v>40422</v>
      </c>
      <c r="C1822" t="s">
        <v>649</v>
      </c>
      <c r="D1822">
        <v>425</v>
      </c>
      <c r="E1822">
        <v>1678</v>
      </c>
    </row>
    <row r="1823" spans="1:5" x14ac:dyDescent="0.25">
      <c r="A1823" t="s">
        <v>753</v>
      </c>
      <c r="B1823" s="3">
        <v>40422</v>
      </c>
      <c r="C1823" t="s">
        <v>649</v>
      </c>
      <c r="D1823">
        <v>310</v>
      </c>
      <c r="E1823">
        <v>742</v>
      </c>
    </row>
    <row r="1824" spans="1:5" x14ac:dyDescent="0.25">
      <c r="A1824" t="s">
        <v>752</v>
      </c>
      <c r="B1824" s="3">
        <v>40422</v>
      </c>
      <c r="C1824" t="s">
        <v>649</v>
      </c>
      <c r="D1824">
        <v>300</v>
      </c>
      <c r="E1824">
        <v>182</v>
      </c>
    </row>
    <row r="1825" spans="1:5" x14ac:dyDescent="0.25">
      <c r="A1825" t="s">
        <v>751</v>
      </c>
      <c r="B1825" s="3">
        <v>40422</v>
      </c>
      <c r="C1825" t="s">
        <v>649</v>
      </c>
      <c r="D1825">
        <v>350</v>
      </c>
      <c r="E1825">
        <v>118</v>
      </c>
    </row>
    <row r="1826" spans="1:5" x14ac:dyDescent="0.25">
      <c r="A1826" t="s">
        <v>750</v>
      </c>
      <c r="B1826" s="3">
        <v>40422</v>
      </c>
      <c r="C1826" t="s">
        <v>649</v>
      </c>
      <c r="D1826">
        <v>310</v>
      </c>
      <c r="E1826">
        <v>52</v>
      </c>
    </row>
    <row r="1827" spans="1:5" x14ac:dyDescent="0.25">
      <c r="A1827" t="s">
        <v>749</v>
      </c>
      <c r="B1827" s="3">
        <v>40422</v>
      </c>
      <c r="C1827" t="s">
        <v>649</v>
      </c>
      <c r="D1827">
        <v>300</v>
      </c>
      <c r="E1827">
        <v>383</v>
      </c>
    </row>
    <row r="1828" spans="1:5" x14ac:dyDescent="0.25">
      <c r="A1828" t="s">
        <v>748</v>
      </c>
      <c r="B1828" s="3">
        <v>40422</v>
      </c>
      <c r="C1828" t="s">
        <v>649</v>
      </c>
      <c r="D1828">
        <v>310</v>
      </c>
      <c r="E1828">
        <v>43</v>
      </c>
    </row>
    <row r="1829" spans="1:5" x14ac:dyDescent="0.25">
      <c r="A1829" t="s">
        <v>747</v>
      </c>
      <c r="B1829" s="3">
        <v>40422</v>
      </c>
      <c r="C1829" t="s">
        <v>649</v>
      </c>
      <c r="D1829">
        <v>320</v>
      </c>
      <c r="E1829">
        <v>390</v>
      </c>
    </row>
    <row r="1830" spans="1:5" x14ac:dyDescent="0.25">
      <c r="A1830" t="s">
        <v>746</v>
      </c>
      <c r="B1830" s="3">
        <v>40422</v>
      </c>
      <c r="C1830" t="s">
        <v>649</v>
      </c>
      <c r="D1830">
        <v>340</v>
      </c>
      <c r="E1830">
        <v>25</v>
      </c>
    </row>
    <row r="1831" spans="1:5" x14ac:dyDescent="0.25">
      <c r="A1831" t="s">
        <v>745</v>
      </c>
      <c r="B1831" s="3">
        <v>40422</v>
      </c>
      <c r="C1831" t="s">
        <v>649</v>
      </c>
      <c r="D1831">
        <v>330</v>
      </c>
      <c r="E1831">
        <v>235</v>
      </c>
    </row>
    <row r="1832" spans="1:5" x14ac:dyDescent="0.25">
      <c r="A1832" t="s">
        <v>744</v>
      </c>
      <c r="B1832" s="3">
        <v>40422</v>
      </c>
      <c r="C1832" t="s">
        <v>649</v>
      </c>
      <c r="D1832">
        <v>295</v>
      </c>
      <c r="E1832">
        <v>32</v>
      </c>
    </row>
    <row r="1833" spans="1:5" x14ac:dyDescent="0.25">
      <c r="A1833" t="s">
        <v>743</v>
      </c>
      <c r="B1833" s="3">
        <v>40422</v>
      </c>
      <c r="C1833" t="s">
        <v>649</v>
      </c>
      <c r="D1833">
        <v>200</v>
      </c>
      <c r="E1833">
        <v>24</v>
      </c>
    </row>
    <row r="1834" spans="1:5" x14ac:dyDescent="0.25">
      <c r="A1834" t="s">
        <v>742</v>
      </c>
      <c r="B1834" s="3">
        <v>40422</v>
      </c>
      <c r="C1834" t="s">
        <v>649</v>
      </c>
      <c r="D1834">
        <v>180</v>
      </c>
      <c r="E1834">
        <v>29</v>
      </c>
    </row>
    <row r="1835" spans="1:5" x14ac:dyDescent="0.25">
      <c r="A1835" t="s">
        <v>741</v>
      </c>
      <c r="B1835" s="3">
        <v>40422</v>
      </c>
      <c r="C1835" t="s">
        <v>649</v>
      </c>
      <c r="D1835">
        <v>190</v>
      </c>
      <c r="E1835">
        <v>168</v>
      </c>
    </row>
    <row r="1836" spans="1:5" x14ac:dyDescent="0.25">
      <c r="A1836" t="s">
        <v>740</v>
      </c>
      <c r="B1836" s="3">
        <v>40422</v>
      </c>
      <c r="C1836" t="s">
        <v>649</v>
      </c>
      <c r="D1836">
        <v>230</v>
      </c>
      <c r="E1836">
        <v>142</v>
      </c>
    </row>
    <row r="1837" spans="1:5" x14ac:dyDescent="0.25">
      <c r="A1837" t="s">
        <v>739</v>
      </c>
      <c r="B1837" s="3">
        <v>40422</v>
      </c>
      <c r="C1837" t="s">
        <v>649</v>
      </c>
      <c r="D1837">
        <v>260</v>
      </c>
      <c r="E1837">
        <v>892</v>
      </c>
    </row>
    <row r="1838" spans="1:5" x14ac:dyDescent="0.25">
      <c r="A1838" t="s">
        <v>738</v>
      </c>
      <c r="B1838" s="3">
        <v>40422</v>
      </c>
      <c r="C1838" t="s">
        <v>649</v>
      </c>
      <c r="D1838">
        <v>160</v>
      </c>
      <c r="E1838">
        <v>13</v>
      </c>
    </row>
    <row r="1839" spans="1:5" x14ac:dyDescent="0.25">
      <c r="A1839" t="s">
        <v>737</v>
      </c>
      <c r="B1839" s="3">
        <v>40422</v>
      </c>
      <c r="C1839" t="s">
        <v>649</v>
      </c>
      <c r="D1839">
        <v>280</v>
      </c>
      <c r="E1839">
        <v>46</v>
      </c>
    </row>
    <row r="1840" spans="1:5" x14ac:dyDescent="0.25">
      <c r="A1840" t="s">
        <v>736</v>
      </c>
      <c r="B1840" s="3">
        <v>40422</v>
      </c>
      <c r="C1840" t="s">
        <v>649</v>
      </c>
      <c r="D1840">
        <v>175</v>
      </c>
      <c r="E1840">
        <v>18</v>
      </c>
    </row>
    <row r="1841" spans="1:5" x14ac:dyDescent="0.25">
      <c r="A1841" t="s">
        <v>735</v>
      </c>
      <c r="B1841" s="3">
        <v>40422</v>
      </c>
      <c r="C1841" t="s">
        <v>649</v>
      </c>
      <c r="D1841">
        <v>230</v>
      </c>
      <c r="E1841">
        <v>180</v>
      </c>
    </row>
    <row r="1842" spans="1:5" x14ac:dyDescent="0.25">
      <c r="A1842" t="s">
        <v>734</v>
      </c>
      <c r="B1842" s="3">
        <v>40422</v>
      </c>
      <c r="C1842" t="s">
        <v>649</v>
      </c>
      <c r="D1842">
        <v>340</v>
      </c>
      <c r="E1842">
        <v>2371</v>
      </c>
    </row>
    <row r="1843" spans="1:5" x14ac:dyDescent="0.25">
      <c r="A1843" t="s">
        <v>733</v>
      </c>
      <c r="B1843" s="3">
        <v>40422</v>
      </c>
      <c r="C1843" t="s">
        <v>649</v>
      </c>
      <c r="D1843">
        <v>330</v>
      </c>
      <c r="E1843">
        <v>199</v>
      </c>
    </row>
    <row r="1844" spans="1:5" x14ac:dyDescent="0.25">
      <c r="A1844" t="s">
        <v>732</v>
      </c>
      <c r="B1844" s="3">
        <v>40422</v>
      </c>
      <c r="C1844" t="s">
        <v>649</v>
      </c>
      <c r="D1844">
        <v>350</v>
      </c>
      <c r="E1844">
        <v>1741</v>
      </c>
    </row>
    <row r="1845" spans="1:5" x14ac:dyDescent="0.25">
      <c r="A1845" t="s">
        <v>731</v>
      </c>
      <c r="B1845" s="3">
        <v>40422</v>
      </c>
      <c r="C1845" t="s">
        <v>649</v>
      </c>
      <c r="D1845">
        <v>295</v>
      </c>
      <c r="E1845">
        <v>378</v>
      </c>
    </row>
    <row r="1846" spans="1:5" x14ac:dyDescent="0.25">
      <c r="A1846" t="s">
        <v>730</v>
      </c>
      <c r="B1846" s="3">
        <v>40422</v>
      </c>
      <c r="C1846" t="s">
        <v>649</v>
      </c>
      <c r="D1846">
        <v>280</v>
      </c>
      <c r="E1846">
        <v>53</v>
      </c>
    </row>
    <row r="1847" spans="1:5" x14ac:dyDescent="0.25">
      <c r="A1847" t="s">
        <v>729</v>
      </c>
      <c r="B1847" s="3">
        <v>40422</v>
      </c>
      <c r="C1847" t="s">
        <v>649</v>
      </c>
      <c r="D1847">
        <v>170</v>
      </c>
      <c r="E1847">
        <v>32</v>
      </c>
    </row>
    <row r="1848" spans="1:5" x14ac:dyDescent="0.25">
      <c r="A1848" t="s">
        <v>728</v>
      </c>
      <c r="B1848" s="3">
        <v>40422</v>
      </c>
      <c r="C1848" t="s">
        <v>649</v>
      </c>
      <c r="D1848">
        <v>220</v>
      </c>
      <c r="E1848">
        <v>163</v>
      </c>
    </row>
    <row r="1849" spans="1:5" x14ac:dyDescent="0.25">
      <c r="A1849" t="s">
        <v>727</v>
      </c>
      <c r="B1849" s="3">
        <v>40422</v>
      </c>
      <c r="C1849" t="s">
        <v>649</v>
      </c>
      <c r="D1849">
        <v>220</v>
      </c>
      <c r="E1849">
        <v>130</v>
      </c>
    </row>
    <row r="1850" spans="1:5" x14ac:dyDescent="0.25">
      <c r="A1850" t="s">
        <v>726</v>
      </c>
      <c r="B1850" s="3">
        <v>40422</v>
      </c>
      <c r="C1850" t="s">
        <v>649</v>
      </c>
      <c r="D1850">
        <v>175</v>
      </c>
      <c r="E1850">
        <v>50</v>
      </c>
    </row>
    <row r="1851" spans="1:5" x14ac:dyDescent="0.25">
      <c r="A1851" t="s">
        <v>725</v>
      </c>
      <c r="B1851" s="3">
        <v>40422</v>
      </c>
      <c r="C1851" t="s">
        <v>649</v>
      </c>
      <c r="D1851">
        <v>230</v>
      </c>
      <c r="E1851">
        <v>174</v>
      </c>
    </row>
    <row r="1852" spans="1:5" x14ac:dyDescent="0.25">
      <c r="A1852" t="s">
        <v>724</v>
      </c>
      <c r="B1852" s="3">
        <v>40422</v>
      </c>
      <c r="C1852" t="s">
        <v>649</v>
      </c>
      <c r="D1852">
        <v>275</v>
      </c>
      <c r="E1852">
        <v>228</v>
      </c>
    </row>
    <row r="1853" spans="1:5" x14ac:dyDescent="0.25">
      <c r="A1853" t="s">
        <v>723</v>
      </c>
      <c r="B1853" s="3">
        <v>40422</v>
      </c>
      <c r="C1853" t="s">
        <v>649</v>
      </c>
      <c r="D1853">
        <v>170</v>
      </c>
      <c r="E1853">
        <v>28</v>
      </c>
    </row>
    <row r="1854" spans="1:5" x14ac:dyDescent="0.25">
      <c r="A1854" t="s">
        <v>722</v>
      </c>
      <c r="B1854" s="3">
        <v>40422</v>
      </c>
      <c r="C1854" t="s">
        <v>649</v>
      </c>
      <c r="D1854">
        <v>160</v>
      </c>
      <c r="E1854">
        <v>41</v>
      </c>
    </row>
    <row r="1855" spans="1:5" x14ac:dyDescent="0.25">
      <c r="A1855" t="s">
        <v>721</v>
      </c>
      <c r="B1855" s="3">
        <v>40422</v>
      </c>
      <c r="C1855" t="s">
        <v>649</v>
      </c>
      <c r="D1855">
        <v>300</v>
      </c>
      <c r="E1855">
        <v>89</v>
      </c>
    </row>
    <row r="1856" spans="1:5" x14ac:dyDescent="0.25">
      <c r="A1856" t="s">
        <v>720</v>
      </c>
      <c r="B1856" s="3">
        <v>40422</v>
      </c>
      <c r="C1856" t="s">
        <v>649</v>
      </c>
      <c r="D1856">
        <v>230</v>
      </c>
      <c r="E1856">
        <v>40</v>
      </c>
    </row>
    <row r="1857" spans="1:5" x14ac:dyDescent="0.25">
      <c r="A1857" t="s">
        <v>719</v>
      </c>
      <c r="B1857" s="3">
        <v>40422</v>
      </c>
      <c r="C1857" t="s">
        <v>649</v>
      </c>
      <c r="D1857">
        <v>250</v>
      </c>
      <c r="E1857">
        <v>60</v>
      </c>
    </row>
    <row r="1858" spans="1:5" x14ac:dyDescent="0.25">
      <c r="A1858" t="s">
        <v>718</v>
      </c>
      <c r="B1858" s="3">
        <v>40422</v>
      </c>
      <c r="C1858" t="s">
        <v>649</v>
      </c>
      <c r="D1858">
        <v>250</v>
      </c>
      <c r="E1858">
        <v>177</v>
      </c>
    </row>
    <row r="1859" spans="1:5" x14ac:dyDescent="0.25">
      <c r="A1859" t="s">
        <v>717</v>
      </c>
      <c r="B1859" s="3">
        <v>40422</v>
      </c>
      <c r="C1859" t="s">
        <v>649</v>
      </c>
      <c r="D1859">
        <v>290</v>
      </c>
      <c r="E1859">
        <v>68</v>
      </c>
    </row>
    <row r="1860" spans="1:5" x14ac:dyDescent="0.25">
      <c r="A1860" t="s">
        <v>716</v>
      </c>
      <c r="B1860" s="3">
        <v>40422</v>
      </c>
      <c r="C1860" t="s">
        <v>649</v>
      </c>
      <c r="D1860">
        <v>200</v>
      </c>
      <c r="E1860">
        <v>153</v>
      </c>
    </row>
    <row r="1861" spans="1:5" x14ac:dyDescent="0.25">
      <c r="A1861" t="s">
        <v>715</v>
      </c>
      <c r="B1861" s="3">
        <v>40422</v>
      </c>
      <c r="C1861" t="s">
        <v>649</v>
      </c>
      <c r="D1861">
        <v>150</v>
      </c>
      <c r="E1861">
        <v>24</v>
      </c>
    </row>
    <row r="1862" spans="1:5" x14ac:dyDescent="0.25">
      <c r="A1862" t="s">
        <v>714</v>
      </c>
      <c r="B1862" s="3">
        <v>40422</v>
      </c>
      <c r="C1862" t="s">
        <v>649</v>
      </c>
      <c r="D1862">
        <v>285</v>
      </c>
      <c r="E1862">
        <v>929</v>
      </c>
    </row>
    <row r="1863" spans="1:5" x14ac:dyDescent="0.25">
      <c r="A1863" t="s">
        <v>713</v>
      </c>
      <c r="B1863" s="3">
        <v>40422</v>
      </c>
      <c r="C1863" t="s">
        <v>649</v>
      </c>
      <c r="D1863">
        <v>290</v>
      </c>
      <c r="E1863">
        <v>219</v>
      </c>
    </row>
    <row r="1864" spans="1:5" x14ac:dyDescent="0.25">
      <c r="A1864" t="s">
        <v>712</v>
      </c>
      <c r="B1864" s="3">
        <v>40422</v>
      </c>
      <c r="C1864" t="s">
        <v>649</v>
      </c>
      <c r="D1864">
        <v>280</v>
      </c>
      <c r="E1864">
        <v>554</v>
      </c>
    </row>
    <row r="1865" spans="1:5" x14ac:dyDescent="0.25">
      <c r="A1865" t="s">
        <v>711</v>
      </c>
      <c r="B1865" s="3">
        <v>40422</v>
      </c>
      <c r="C1865" t="s">
        <v>649</v>
      </c>
      <c r="D1865">
        <v>295</v>
      </c>
      <c r="E1865">
        <v>138</v>
      </c>
    </row>
    <row r="1866" spans="1:5" x14ac:dyDescent="0.25">
      <c r="A1866" t="s">
        <v>756</v>
      </c>
      <c r="B1866" s="3">
        <v>40422</v>
      </c>
      <c r="C1866" t="s">
        <v>649</v>
      </c>
      <c r="D1866">
        <v>250</v>
      </c>
      <c r="E1866">
        <v>52</v>
      </c>
    </row>
    <row r="1867" spans="1:5" x14ac:dyDescent="0.25">
      <c r="A1867" t="s">
        <v>710</v>
      </c>
      <c r="B1867" s="3">
        <v>40422</v>
      </c>
      <c r="C1867" t="s">
        <v>649</v>
      </c>
      <c r="D1867">
        <v>175</v>
      </c>
      <c r="E1867">
        <v>387</v>
      </c>
    </row>
    <row r="1868" spans="1:5" x14ac:dyDescent="0.25">
      <c r="A1868" t="s">
        <v>709</v>
      </c>
      <c r="B1868" s="3">
        <v>40422</v>
      </c>
      <c r="C1868" t="s">
        <v>649</v>
      </c>
      <c r="D1868">
        <v>270</v>
      </c>
      <c r="E1868">
        <v>589</v>
      </c>
    </row>
    <row r="1869" spans="1:5" x14ac:dyDescent="0.25">
      <c r="A1869" t="s">
        <v>708</v>
      </c>
      <c r="B1869" s="3">
        <v>40422</v>
      </c>
      <c r="C1869" t="s">
        <v>649</v>
      </c>
      <c r="D1869">
        <v>165</v>
      </c>
      <c r="E1869">
        <v>29</v>
      </c>
    </row>
    <row r="1870" spans="1:5" x14ac:dyDescent="0.25">
      <c r="A1870" t="s">
        <v>635</v>
      </c>
      <c r="B1870" s="3">
        <v>40422</v>
      </c>
      <c r="C1870" t="s">
        <v>652</v>
      </c>
      <c r="D1870">
        <v>360</v>
      </c>
      <c r="E1870">
        <v>3008</v>
      </c>
    </row>
    <row r="1871" spans="1:5" x14ac:dyDescent="0.25">
      <c r="A1871" t="s">
        <v>755</v>
      </c>
      <c r="B1871" s="3">
        <v>40422</v>
      </c>
      <c r="C1871" t="s">
        <v>652</v>
      </c>
      <c r="D1871">
        <v>350</v>
      </c>
      <c r="E1871">
        <v>151</v>
      </c>
    </row>
    <row r="1872" spans="1:5" x14ac:dyDescent="0.25">
      <c r="A1872" t="s">
        <v>754</v>
      </c>
      <c r="B1872" s="3">
        <v>40422</v>
      </c>
      <c r="C1872" t="s">
        <v>652</v>
      </c>
      <c r="D1872">
        <v>450</v>
      </c>
      <c r="E1872">
        <v>268</v>
      </c>
    </row>
    <row r="1873" spans="1:5" x14ac:dyDescent="0.25">
      <c r="A1873" t="s">
        <v>753</v>
      </c>
      <c r="B1873" s="3">
        <v>40422</v>
      </c>
      <c r="C1873" t="s">
        <v>652</v>
      </c>
      <c r="D1873">
        <v>380</v>
      </c>
      <c r="E1873">
        <v>340</v>
      </c>
    </row>
    <row r="1874" spans="1:5" x14ac:dyDescent="0.25">
      <c r="A1874" t="s">
        <v>752</v>
      </c>
      <c r="B1874" s="3">
        <v>40422</v>
      </c>
      <c r="C1874" t="s">
        <v>652</v>
      </c>
      <c r="D1874">
        <v>340</v>
      </c>
      <c r="E1874">
        <v>349</v>
      </c>
    </row>
    <row r="1875" spans="1:5" x14ac:dyDescent="0.25">
      <c r="A1875" t="s">
        <v>751</v>
      </c>
      <c r="B1875" s="3">
        <v>40422</v>
      </c>
      <c r="C1875" t="s">
        <v>652</v>
      </c>
      <c r="D1875">
        <v>420</v>
      </c>
      <c r="E1875">
        <v>116</v>
      </c>
    </row>
    <row r="1876" spans="1:5" x14ac:dyDescent="0.25">
      <c r="A1876" t="s">
        <v>750</v>
      </c>
      <c r="B1876" s="3">
        <v>40422</v>
      </c>
      <c r="C1876" t="s">
        <v>652</v>
      </c>
      <c r="D1876">
        <v>350</v>
      </c>
      <c r="E1876">
        <v>231</v>
      </c>
    </row>
    <row r="1877" spans="1:5" x14ac:dyDescent="0.25">
      <c r="A1877" t="s">
        <v>749</v>
      </c>
      <c r="B1877" s="3">
        <v>40422</v>
      </c>
      <c r="C1877" t="s">
        <v>652</v>
      </c>
      <c r="D1877">
        <v>360</v>
      </c>
      <c r="E1877">
        <v>357</v>
      </c>
    </row>
    <row r="1878" spans="1:5" x14ac:dyDescent="0.25">
      <c r="A1878" t="s">
        <v>748</v>
      </c>
      <c r="B1878" s="3">
        <v>40422</v>
      </c>
      <c r="C1878" t="s">
        <v>652</v>
      </c>
      <c r="D1878">
        <v>340</v>
      </c>
      <c r="E1878">
        <v>319</v>
      </c>
    </row>
    <row r="1879" spans="1:5" x14ac:dyDescent="0.25">
      <c r="A1879" t="s">
        <v>747</v>
      </c>
      <c r="B1879" s="3">
        <v>40422</v>
      </c>
      <c r="C1879" t="s">
        <v>652</v>
      </c>
      <c r="D1879">
        <v>380</v>
      </c>
      <c r="E1879">
        <v>357</v>
      </c>
    </row>
    <row r="1880" spans="1:5" x14ac:dyDescent="0.25">
      <c r="A1880" t="s">
        <v>746</v>
      </c>
      <c r="B1880" s="3">
        <v>40422</v>
      </c>
      <c r="C1880" t="s">
        <v>652</v>
      </c>
      <c r="D1880">
        <v>365</v>
      </c>
      <c r="E1880">
        <v>52</v>
      </c>
    </row>
    <row r="1881" spans="1:5" x14ac:dyDescent="0.25">
      <c r="A1881" t="s">
        <v>745</v>
      </c>
      <c r="B1881" s="3">
        <v>40422</v>
      </c>
      <c r="C1881" t="s">
        <v>652</v>
      </c>
      <c r="D1881">
        <v>370</v>
      </c>
      <c r="E1881">
        <v>104</v>
      </c>
    </row>
    <row r="1882" spans="1:5" x14ac:dyDescent="0.25">
      <c r="A1882" t="s">
        <v>744</v>
      </c>
      <c r="B1882" s="3">
        <v>40422</v>
      </c>
      <c r="C1882" t="s">
        <v>652</v>
      </c>
      <c r="D1882">
        <v>325</v>
      </c>
      <c r="E1882">
        <v>364</v>
      </c>
    </row>
    <row r="1883" spans="1:5" x14ac:dyDescent="0.25">
      <c r="A1883" t="s">
        <v>743</v>
      </c>
      <c r="B1883" s="3">
        <v>40422</v>
      </c>
      <c r="C1883" t="s">
        <v>652</v>
      </c>
      <c r="D1883">
        <v>270</v>
      </c>
      <c r="E1883">
        <v>46</v>
      </c>
    </row>
    <row r="1884" spans="1:5" x14ac:dyDescent="0.25">
      <c r="A1884" t="s">
        <v>742</v>
      </c>
      <c r="B1884" s="3">
        <v>40422</v>
      </c>
      <c r="C1884" t="s">
        <v>652</v>
      </c>
      <c r="D1884">
        <v>320</v>
      </c>
      <c r="E1884">
        <v>86</v>
      </c>
    </row>
    <row r="1885" spans="1:5" x14ac:dyDescent="0.25">
      <c r="A1885" t="s">
        <v>741</v>
      </c>
      <c r="B1885" s="3">
        <v>40422</v>
      </c>
      <c r="C1885" t="s">
        <v>652</v>
      </c>
      <c r="D1885">
        <v>250</v>
      </c>
      <c r="E1885">
        <v>350</v>
      </c>
    </row>
    <row r="1886" spans="1:5" x14ac:dyDescent="0.25">
      <c r="A1886" t="s">
        <v>740</v>
      </c>
      <c r="B1886" s="3">
        <v>40422</v>
      </c>
      <c r="C1886" t="s">
        <v>652</v>
      </c>
      <c r="D1886">
        <v>280</v>
      </c>
      <c r="E1886">
        <v>471</v>
      </c>
    </row>
    <row r="1887" spans="1:5" x14ac:dyDescent="0.25">
      <c r="A1887" t="s">
        <v>739</v>
      </c>
      <c r="B1887" s="3">
        <v>40422</v>
      </c>
      <c r="C1887" t="s">
        <v>652</v>
      </c>
      <c r="D1887">
        <v>320</v>
      </c>
      <c r="E1887">
        <v>512</v>
      </c>
    </row>
    <row r="1888" spans="1:5" x14ac:dyDescent="0.25">
      <c r="A1888" t="s">
        <v>738</v>
      </c>
      <c r="B1888" s="3">
        <v>40422</v>
      </c>
      <c r="C1888" t="s">
        <v>652</v>
      </c>
      <c r="D1888">
        <v>220</v>
      </c>
      <c r="E1888">
        <v>51</v>
      </c>
    </row>
    <row r="1889" spans="1:5" x14ac:dyDescent="0.25">
      <c r="A1889" t="s">
        <v>737</v>
      </c>
      <c r="B1889" s="3">
        <v>40422</v>
      </c>
      <c r="C1889" t="s">
        <v>652</v>
      </c>
      <c r="D1889">
        <v>380</v>
      </c>
      <c r="E1889">
        <v>90</v>
      </c>
    </row>
    <row r="1890" spans="1:5" x14ac:dyDescent="0.25">
      <c r="A1890" t="s">
        <v>736</v>
      </c>
      <c r="B1890" s="3">
        <v>40422</v>
      </c>
      <c r="C1890" t="s">
        <v>652</v>
      </c>
      <c r="D1890">
        <v>220</v>
      </c>
      <c r="E1890">
        <v>61</v>
      </c>
    </row>
    <row r="1891" spans="1:5" x14ac:dyDescent="0.25">
      <c r="A1891" t="s">
        <v>735</v>
      </c>
      <c r="B1891" s="3">
        <v>40422</v>
      </c>
      <c r="C1891" t="s">
        <v>652</v>
      </c>
      <c r="D1891">
        <v>300</v>
      </c>
      <c r="E1891">
        <v>189</v>
      </c>
    </row>
    <row r="1892" spans="1:5" x14ac:dyDescent="0.25">
      <c r="A1892" t="s">
        <v>734</v>
      </c>
      <c r="B1892" s="3">
        <v>40422</v>
      </c>
      <c r="C1892" t="s">
        <v>652</v>
      </c>
      <c r="D1892">
        <v>390</v>
      </c>
      <c r="E1892">
        <v>1181</v>
      </c>
    </row>
    <row r="1893" spans="1:5" x14ac:dyDescent="0.25">
      <c r="A1893" t="s">
        <v>733</v>
      </c>
      <c r="B1893" s="3">
        <v>40422</v>
      </c>
      <c r="C1893" t="s">
        <v>652</v>
      </c>
      <c r="D1893">
        <v>370</v>
      </c>
      <c r="E1893">
        <v>273</v>
      </c>
    </row>
    <row r="1894" spans="1:5" x14ac:dyDescent="0.25">
      <c r="A1894" t="s">
        <v>732</v>
      </c>
      <c r="B1894" s="3">
        <v>40422</v>
      </c>
      <c r="C1894" t="s">
        <v>652</v>
      </c>
      <c r="D1894">
        <v>400</v>
      </c>
      <c r="E1894">
        <v>552</v>
      </c>
    </row>
    <row r="1895" spans="1:5" x14ac:dyDescent="0.25">
      <c r="A1895" t="s">
        <v>731</v>
      </c>
      <c r="B1895" s="3">
        <v>40422</v>
      </c>
      <c r="C1895" t="s">
        <v>652</v>
      </c>
      <c r="D1895">
        <v>400</v>
      </c>
      <c r="E1895">
        <v>121</v>
      </c>
    </row>
    <row r="1896" spans="1:5" x14ac:dyDescent="0.25">
      <c r="A1896" t="s">
        <v>730</v>
      </c>
      <c r="B1896" s="3">
        <v>40422</v>
      </c>
      <c r="C1896" t="s">
        <v>652</v>
      </c>
      <c r="D1896">
        <v>380</v>
      </c>
      <c r="E1896">
        <v>235</v>
      </c>
    </row>
    <row r="1897" spans="1:5" x14ac:dyDescent="0.25">
      <c r="A1897" t="s">
        <v>729</v>
      </c>
      <c r="B1897" s="3">
        <v>40422</v>
      </c>
      <c r="C1897" t="s">
        <v>652</v>
      </c>
      <c r="D1897">
        <v>250</v>
      </c>
      <c r="E1897">
        <v>161</v>
      </c>
    </row>
    <row r="1898" spans="1:5" x14ac:dyDescent="0.25">
      <c r="A1898" t="s">
        <v>728</v>
      </c>
      <c r="B1898" s="3">
        <v>40422</v>
      </c>
      <c r="C1898" t="s">
        <v>652</v>
      </c>
      <c r="D1898">
        <v>250</v>
      </c>
      <c r="E1898">
        <v>282</v>
      </c>
    </row>
    <row r="1899" spans="1:5" x14ac:dyDescent="0.25">
      <c r="A1899" t="s">
        <v>727</v>
      </c>
      <c r="B1899" s="3">
        <v>40422</v>
      </c>
      <c r="C1899" t="s">
        <v>652</v>
      </c>
      <c r="D1899">
        <v>270</v>
      </c>
      <c r="E1899">
        <v>766</v>
      </c>
    </row>
    <row r="1900" spans="1:5" x14ac:dyDescent="0.25">
      <c r="A1900" t="s">
        <v>726</v>
      </c>
      <c r="B1900" s="3">
        <v>40422</v>
      </c>
      <c r="C1900" t="s">
        <v>652</v>
      </c>
      <c r="D1900">
        <v>230</v>
      </c>
      <c r="E1900">
        <v>68</v>
      </c>
    </row>
    <row r="1901" spans="1:5" x14ac:dyDescent="0.25">
      <c r="A1901" t="s">
        <v>725</v>
      </c>
      <c r="B1901" s="3">
        <v>40422</v>
      </c>
      <c r="C1901" t="s">
        <v>652</v>
      </c>
      <c r="D1901">
        <v>310</v>
      </c>
      <c r="E1901">
        <v>720</v>
      </c>
    </row>
    <row r="1902" spans="1:5" x14ac:dyDescent="0.25">
      <c r="A1902" t="s">
        <v>724</v>
      </c>
      <c r="B1902" s="3">
        <v>40422</v>
      </c>
      <c r="C1902" t="s">
        <v>652</v>
      </c>
      <c r="D1902">
        <v>380</v>
      </c>
      <c r="E1902">
        <v>315</v>
      </c>
    </row>
    <row r="1903" spans="1:5" x14ac:dyDescent="0.25">
      <c r="A1903" t="s">
        <v>723</v>
      </c>
      <c r="B1903" s="3">
        <v>40422</v>
      </c>
      <c r="C1903" t="s">
        <v>652</v>
      </c>
      <c r="D1903">
        <v>270</v>
      </c>
      <c r="E1903">
        <v>32</v>
      </c>
    </row>
    <row r="1904" spans="1:5" x14ac:dyDescent="0.25">
      <c r="A1904" t="s">
        <v>722</v>
      </c>
      <c r="B1904" s="3">
        <v>40422</v>
      </c>
      <c r="C1904" t="s">
        <v>652</v>
      </c>
      <c r="D1904">
        <v>230</v>
      </c>
      <c r="E1904">
        <v>134</v>
      </c>
    </row>
    <row r="1905" spans="1:5" x14ac:dyDescent="0.25">
      <c r="A1905" t="s">
        <v>721</v>
      </c>
      <c r="B1905" s="3">
        <v>40422</v>
      </c>
      <c r="C1905" t="s">
        <v>652</v>
      </c>
      <c r="D1905">
        <v>430</v>
      </c>
      <c r="E1905">
        <v>76</v>
      </c>
    </row>
    <row r="1906" spans="1:5" x14ac:dyDescent="0.25">
      <c r="A1906" t="s">
        <v>720</v>
      </c>
      <c r="B1906" s="3">
        <v>40422</v>
      </c>
      <c r="C1906" t="s">
        <v>652</v>
      </c>
      <c r="D1906">
        <v>320</v>
      </c>
      <c r="E1906">
        <v>102</v>
      </c>
    </row>
    <row r="1907" spans="1:5" x14ac:dyDescent="0.25">
      <c r="A1907" t="s">
        <v>719</v>
      </c>
      <c r="B1907" s="3">
        <v>40422</v>
      </c>
      <c r="C1907" t="s">
        <v>652</v>
      </c>
      <c r="D1907">
        <v>330</v>
      </c>
      <c r="E1907">
        <v>373</v>
      </c>
    </row>
    <row r="1908" spans="1:5" x14ac:dyDescent="0.25">
      <c r="A1908" t="s">
        <v>718</v>
      </c>
      <c r="B1908" s="3">
        <v>40422</v>
      </c>
      <c r="C1908" t="s">
        <v>652</v>
      </c>
      <c r="D1908">
        <v>310</v>
      </c>
      <c r="E1908">
        <v>225</v>
      </c>
    </row>
    <row r="1909" spans="1:5" x14ac:dyDescent="0.25">
      <c r="A1909" t="s">
        <v>717</v>
      </c>
      <c r="B1909" s="3">
        <v>40422</v>
      </c>
      <c r="C1909" t="s">
        <v>652</v>
      </c>
      <c r="D1909">
        <v>345</v>
      </c>
      <c r="E1909">
        <v>325</v>
      </c>
    </row>
    <row r="1910" spans="1:5" x14ac:dyDescent="0.25">
      <c r="A1910" t="s">
        <v>716</v>
      </c>
      <c r="B1910" s="3">
        <v>40422</v>
      </c>
      <c r="C1910" t="s">
        <v>652</v>
      </c>
      <c r="D1910">
        <v>275</v>
      </c>
      <c r="E1910">
        <v>319</v>
      </c>
    </row>
    <row r="1911" spans="1:5" x14ac:dyDescent="0.25">
      <c r="A1911" t="s">
        <v>715</v>
      </c>
      <c r="B1911" s="3">
        <v>40422</v>
      </c>
      <c r="C1911" t="s">
        <v>652</v>
      </c>
      <c r="D1911">
        <v>260</v>
      </c>
      <c r="E1911">
        <v>61</v>
      </c>
    </row>
    <row r="1912" spans="1:5" x14ac:dyDescent="0.25">
      <c r="A1912" t="s">
        <v>714</v>
      </c>
      <c r="B1912" s="3">
        <v>40422</v>
      </c>
      <c r="C1912" t="s">
        <v>652</v>
      </c>
      <c r="D1912">
        <v>350</v>
      </c>
      <c r="E1912">
        <v>1084</v>
      </c>
    </row>
    <row r="1913" spans="1:5" x14ac:dyDescent="0.25">
      <c r="A1913" t="s">
        <v>713</v>
      </c>
      <c r="B1913" s="3">
        <v>40422</v>
      </c>
      <c r="C1913" t="s">
        <v>652</v>
      </c>
      <c r="D1913">
        <v>360</v>
      </c>
      <c r="E1913">
        <v>289</v>
      </c>
    </row>
    <row r="1914" spans="1:5" x14ac:dyDescent="0.25">
      <c r="A1914" t="s">
        <v>712</v>
      </c>
      <c r="B1914" s="3">
        <v>40422</v>
      </c>
      <c r="C1914" t="s">
        <v>652</v>
      </c>
      <c r="D1914">
        <v>350</v>
      </c>
      <c r="E1914">
        <v>480</v>
      </c>
    </row>
    <row r="1915" spans="1:5" x14ac:dyDescent="0.25">
      <c r="A1915" t="s">
        <v>711</v>
      </c>
      <c r="B1915" s="3">
        <v>40422</v>
      </c>
      <c r="C1915" t="s">
        <v>652</v>
      </c>
      <c r="D1915">
        <v>360</v>
      </c>
      <c r="E1915">
        <v>147</v>
      </c>
    </row>
    <row r="1916" spans="1:5" x14ac:dyDescent="0.25">
      <c r="A1916" t="s">
        <v>756</v>
      </c>
      <c r="B1916" s="3">
        <v>40422</v>
      </c>
      <c r="C1916" t="s">
        <v>652</v>
      </c>
      <c r="D1916">
        <v>320</v>
      </c>
      <c r="E1916">
        <v>266</v>
      </c>
    </row>
    <row r="1917" spans="1:5" x14ac:dyDescent="0.25">
      <c r="A1917" t="s">
        <v>710</v>
      </c>
      <c r="B1917" s="3">
        <v>40422</v>
      </c>
      <c r="C1917" t="s">
        <v>652</v>
      </c>
      <c r="D1917">
        <v>240</v>
      </c>
      <c r="E1917">
        <v>478</v>
      </c>
    </row>
    <row r="1918" spans="1:5" x14ac:dyDescent="0.25">
      <c r="A1918" t="s">
        <v>709</v>
      </c>
      <c r="B1918" s="3">
        <v>40422</v>
      </c>
      <c r="C1918" t="s">
        <v>652</v>
      </c>
      <c r="D1918">
        <v>330</v>
      </c>
      <c r="E1918">
        <v>354</v>
      </c>
    </row>
    <row r="1919" spans="1:5" x14ac:dyDescent="0.25">
      <c r="A1919" t="s">
        <v>708</v>
      </c>
      <c r="B1919" s="3">
        <v>40422</v>
      </c>
      <c r="C1919" t="s">
        <v>652</v>
      </c>
      <c r="D1919">
        <v>220</v>
      </c>
      <c r="E1919">
        <v>100</v>
      </c>
    </row>
    <row r="1920" spans="1:5" x14ac:dyDescent="0.25">
      <c r="A1920" t="s">
        <v>635</v>
      </c>
      <c r="B1920" s="3">
        <v>40513</v>
      </c>
      <c r="C1920" t="s">
        <v>649</v>
      </c>
      <c r="D1920">
        <v>350</v>
      </c>
      <c r="E1920">
        <v>3634</v>
      </c>
    </row>
    <row r="1921" spans="1:5" x14ac:dyDescent="0.25">
      <c r="A1921" t="s">
        <v>755</v>
      </c>
      <c r="B1921" s="3">
        <v>40513</v>
      </c>
      <c r="C1921" t="s">
        <v>649</v>
      </c>
      <c r="D1921">
        <v>275</v>
      </c>
      <c r="E1921">
        <v>37</v>
      </c>
    </row>
    <row r="1922" spans="1:5" x14ac:dyDescent="0.25">
      <c r="A1922" t="s">
        <v>754</v>
      </c>
      <c r="B1922" s="3">
        <v>40513</v>
      </c>
      <c r="C1922" t="s">
        <v>649</v>
      </c>
      <c r="D1922">
        <v>430</v>
      </c>
      <c r="E1922">
        <v>1581</v>
      </c>
    </row>
    <row r="1923" spans="1:5" x14ac:dyDescent="0.25">
      <c r="A1923" t="s">
        <v>753</v>
      </c>
      <c r="B1923" s="3">
        <v>40513</v>
      </c>
      <c r="C1923" t="s">
        <v>649</v>
      </c>
      <c r="D1923">
        <v>320</v>
      </c>
      <c r="E1923">
        <v>676</v>
      </c>
    </row>
    <row r="1924" spans="1:5" x14ac:dyDescent="0.25">
      <c r="A1924" t="s">
        <v>752</v>
      </c>
      <c r="B1924" s="3">
        <v>40513</v>
      </c>
      <c r="C1924" t="s">
        <v>649</v>
      </c>
      <c r="D1924">
        <v>295</v>
      </c>
      <c r="E1924">
        <v>185</v>
      </c>
    </row>
    <row r="1925" spans="1:5" x14ac:dyDescent="0.25">
      <c r="A1925" t="s">
        <v>751</v>
      </c>
      <c r="B1925" s="3">
        <v>40513</v>
      </c>
      <c r="C1925" t="s">
        <v>649</v>
      </c>
      <c r="D1925">
        <v>350</v>
      </c>
      <c r="E1925">
        <v>107</v>
      </c>
    </row>
    <row r="1926" spans="1:5" x14ac:dyDescent="0.25">
      <c r="A1926" t="s">
        <v>750</v>
      </c>
      <c r="B1926" s="3">
        <v>40513</v>
      </c>
      <c r="C1926" t="s">
        <v>649</v>
      </c>
      <c r="D1926">
        <v>280</v>
      </c>
      <c r="E1926">
        <v>48</v>
      </c>
    </row>
    <row r="1927" spans="1:5" x14ac:dyDescent="0.25">
      <c r="A1927" t="s">
        <v>749</v>
      </c>
      <c r="B1927" s="3">
        <v>40513</v>
      </c>
      <c r="C1927" t="s">
        <v>649</v>
      </c>
      <c r="D1927">
        <v>300</v>
      </c>
      <c r="E1927">
        <v>366</v>
      </c>
    </row>
    <row r="1928" spans="1:5" x14ac:dyDescent="0.25">
      <c r="A1928" t="s">
        <v>748</v>
      </c>
      <c r="B1928" s="3">
        <v>40513</v>
      </c>
      <c r="C1928" t="s">
        <v>649</v>
      </c>
      <c r="D1928">
        <v>320</v>
      </c>
      <c r="E1928">
        <v>36</v>
      </c>
    </row>
    <row r="1929" spans="1:5" x14ac:dyDescent="0.25">
      <c r="A1929" t="s">
        <v>747</v>
      </c>
      <c r="B1929" s="3">
        <v>40513</v>
      </c>
      <c r="C1929" t="s">
        <v>649</v>
      </c>
      <c r="D1929">
        <v>330</v>
      </c>
      <c r="E1929">
        <v>383</v>
      </c>
    </row>
    <row r="1930" spans="1:5" x14ac:dyDescent="0.25">
      <c r="A1930" t="s">
        <v>746</v>
      </c>
      <c r="B1930" s="3">
        <v>40513</v>
      </c>
      <c r="C1930" t="s">
        <v>649</v>
      </c>
      <c r="D1930">
        <v>285</v>
      </c>
      <c r="E1930">
        <v>12</v>
      </c>
    </row>
    <row r="1931" spans="1:5" x14ac:dyDescent="0.25">
      <c r="A1931" t="s">
        <v>745</v>
      </c>
      <c r="B1931" s="3">
        <v>40513</v>
      </c>
      <c r="C1931" t="s">
        <v>649</v>
      </c>
      <c r="D1931">
        <v>350</v>
      </c>
      <c r="E1931">
        <v>188</v>
      </c>
    </row>
    <row r="1932" spans="1:5" x14ac:dyDescent="0.25">
      <c r="A1932" t="s">
        <v>744</v>
      </c>
      <c r="B1932" s="3">
        <v>40513</v>
      </c>
      <c r="C1932" t="s">
        <v>649</v>
      </c>
      <c r="D1932">
        <v>325</v>
      </c>
      <c r="E1932">
        <v>15</v>
      </c>
    </row>
    <row r="1933" spans="1:5" x14ac:dyDescent="0.25">
      <c r="A1933" t="s">
        <v>743</v>
      </c>
      <c r="B1933" s="3">
        <v>40513</v>
      </c>
      <c r="C1933" t="s">
        <v>649</v>
      </c>
      <c r="D1933">
        <v>200</v>
      </c>
      <c r="E1933">
        <v>31</v>
      </c>
    </row>
    <row r="1934" spans="1:5" x14ac:dyDescent="0.25">
      <c r="A1934" t="s">
        <v>742</v>
      </c>
      <c r="B1934" s="3">
        <v>40513</v>
      </c>
      <c r="C1934" t="s">
        <v>649</v>
      </c>
      <c r="D1934">
        <v>185</v>
      </c>
      <c r="E1934">
        <v>22</v>
      </c>
    </row>
    <row r="1935" spans="1:5" x14ac:dyDescent="0.25">
      <c r="A1935" t="s">
        <v>741</v>
      </c>
      <c r="B1935" s="3">
        <v>40513</v>
      </c>
      <c r="C1935" t="s">
        <v>649</v>
      </c>
      <c r="D1935">
        <v>195</v>
      </c>
      <c r="E1935">
        <v>143</v>
      </c>
    </row>
    <row r="1936" spans="1:5" x14ac:dyDescent="0.25">
      <c r="A1936" t="s">
        <v>740</v>
      </c>
      <c r="B1936" s="3">
        <v>40513</v>
      </c>
      <c r="C1936" t="s">
        <v>649</v>
      </c>
      <c r="D1936">
        <v>240</v>
      </c>
      <c r="E1936">
        <v>127</v>
      </c>
    </row>
    <row r="1937" spans="1:5" x14ac:dyDescent="0.25">
      <c r="A1937" t="s">
        <v>739</v>
      </c>
      <c r="B1937" s="3">
        <v>40513</v>
      </c>
      <c r="C1937" t="s">
        <v>649</v>
      </c>
      <c r="D1937">
        <v>260</v>
      </c>
      <c r="E1937">
        <v>890</v>
      </c>
    </row>
    <row r="1938" spans="1:5" x14ac:dyDescent="0.25">
      <c r="A1938" t="s">
        <v>738</v>
      </c>
      <c r="B1938" s="3">
        <v>40513</v>
      </c>
      <c r="C1938" t="s">
        <v>649</v>
      </c>
      <c r="D1938">
        <v>170</v>
      </c>
      <c r="E1938">
        <v>15</v>
      </c>
    </row>
    <row r="1939" spans="1:5" x14ac:dyDescent="0.25">
      <c r="A1939" t="s">
        <v>737</v>
      </c>
      <c r="B1939" s="3">
        <v>40513</v>
      </c>
      <c r="C1939" t="s">
        <v>649</v>
      </c>
      <c r="D1939">
        <v>370</v>
      </c>
      <c r="E1939">
        <v>38</v>
      </c>
    </row>
    <row r="1940" spans="1:5" x14ac:dyDescent="0.25">
      <c r="A1940" t="s">
        <v>736</v>
      </c>
      <c r="B1940" s="3">
        <v>40513</v>
      </c>
      <c r="C1940" t="s">
        <v>649</v>
      </c>
      <c r="D1940">
        <v>180</v>
      </c>
      <c r="E1940">
        <v>16</v>
      </c>
    </row>
    <row r="1941" spans="1:5" x14ac:dyDescent="0.25">
      <c r="A1941" t="s">
        <v>735</v>
      </c>
      <c r="B1941" s="3">
        <v>40513</v>
      </c>
      <c r="C1941" t="s">
        <v>649</v>
      </c>
      <c r="D1941">
        <v>250</v>
      </c>
      <c r="E1941">
        <v>163</v>
      </c>
    </row>
    <row r="1942" spans="1:5" x14ac:dyDescent="0.25">
      <c r="A1942" t="s">
        <v>734</v>
      </c>
      <c r="B1942" s="3">
        <v>40513</v>
      </c>
      <c r="C1942" t="s">
        <v>649</v>
      </c>
      <c r="D1942">
        <v>340</v>
      </c>
      <c r="E1942">
        <v>2397</v>
      </c>
    </row>
    <row r="1943" spans="1:5" x14ac:dyDescent="0.25">
      <c r="A1943" t="s">
        <v>733</v>
      </c>
      <c r="B1943" s="3">
        <v>40513</v>
      </c>
      <c r="C1943" t="s">
        <v>649</v>
      </c>
      <c r="D1943">
        <v>340</v>
      </c>
      <c r="E1943">
        <v>225</v>
      </c>
    </row>
    <row r="1944" spans="1:5" x14ac:dyDescent="0.25">
      <c r="A1944" t="s">
        <v>732</v>
      </c>
      <c r="B1944" s="3">
        <v>40513</v>
      </c>
      <c r="C1944" t="s">
        <v>649</v>
      </c>
      <c r="D1944">
        <v>350</v>
      </c>
      <c r="E1944">
        <v>1762</v>
      </c>
    </row>
    <row r="1945" spans="1:5" x14ac:dyDescent="0.25">
      <c r="A1945" t="s">
        <v>731</v>
      </c>
      <c r="B1945" s="3">
        <v>40513</v>
      </c>
      <c r="C1945" t="s">
        <v>649</v>
      </c>
      <c r="D1945">
        <v>295</v>
      </c>
      <c r="E1945">
        <v>373</v>
      </c>
    </row>
    <row r="1946" spans="1:5" x14ac:dyDescent="0.25">
      <c r="A1946" t="s">
        <v>730</v>
      </c>
      <c r="B1946" s="3">
        <v>40513</v>
      </c>
      <c r="C1946" t="s">
        <v>649</v>
      </c>
      <c r="D1946">
        <v>285</v>
      </c>
      <c r="E1946">
        <v>37</v>
      </c>
    </row>
    <row r="1947" spans="1:5" x14ac:dyDescent="0.25">
      <c r="A1947" t="s">
        <v>729</v>
      </c>
      <c r="B1947" s="3">
        <v>40513</v>
      </c>
      <c r="C1947" t="s">
        <v>649</v>
      </c>
      <c r="D1947">
        <v>180</v>
      </c>
      <c r="E1947">
        <v>30</v>
      </c>
    </row>
    <row r="1948" spans="1:5" x14ac:dyDescent="0.25">
      <c r="A1948" t="s">
        <v>728</v>
      </c>
      <c r="B1948" s="3">
        <v>40513</v>
      </c>
      <c r="C1948" t="s">
        <v>649</v>
      </c>
      <c r="D1948">
        <v>210</v>
      </c>
      <c r="E1948">
        <v>152</v>
      </c>
    </row>
    <row r="1949" spans="1:5" x14ac:dyDescent="0.25">
      <c r="A1949" t="s">
        <v>727</v>
      </c>
      <c r="B1949" s="3">
        <v>40513</v>
      </c>
      <c r="C1949" t="s">
        <v>649</v>
      </c>
      <c r="D1949">
        <v>225</v>
      </c>
      <c r="E1949">
        <v>119</v>
      </c>
    </row>
    <row r="1950" spans="1:5" x14ac:dyDescent="0.25">
      <c r="A1950" t="s">
        <v>726</v>
      </c>
      <c r="B1950" s="3">
        <v>40513</v>
      </c>
      <c r="C1950" t="s">
        <v>649</v>
      </c>
      <c r="D1950">
        <v>180</v>
      </c>
      <c r="E1950">
        <v>36</v>
      </c>
    </row>
    <row r="1951" spans="1:5" x14ac:dyDescent="0.25">
      <c r="A1951" t="s">
        <v>725</v>
      </c>
      <c r="B1951" s="3">
        <v>40513</v>
      </c>
      <c r="C1951" t="s">
        <v>649</v>
      </c>
      <c r="D1951">
        <v>235</v>
      </c>
      <c r="E1951">
        <v>183</v>
      </c>
    </row>
    <row r="1952" spans="1:5" x14ac:dyDescent="0.25">
      <c r="A1952" t="s">
        <v>724</v>
      </c>
      <c r="B1952" s="3">
        <v>40513</v>
      </c>
      <c r="C1952" t="s">
        <v>649</v>
      </c>
      <c r="D1952">
        <v>280</v>
      </c>
      <c r="E1952">
        <v>275</v>
      </c>
    </row>
    <row r="1953" spans="1:5" x14ac:dyDescent="0.25">
      <c r="A1953" t="s">
        <v>723</v>
      </c>
      <c r="B1953" s="3">
        <v>40513</v>
      </c>
      <c r="C1953" t="s">
        <v>649</v>
      </c>
      <c r="D1953">
        <v>185</v>
      </c>
      <c r="E1953">
        <v>28</v>
      </c>
    </row>
    <row r="1954" spans="1:5" x14ac:dyDescent="0.25">
      <c r="A1954" t="s">
        <v>722</v>
      </c>
      <c r="B1954" s="3">
        <v>40513</v>
      </c>
      <c r="C1954" t="s">
        <v>649</v>
      </c>
      <c r="D1954">
        <v>160</v>
      </c>
      <c r="E1954">
        <v>42</v>
      </c>
    </row>
    <row r="1955" spans="1:5" x14ac:dyDescent="0.25">
      <c r="A1955" t="s">
        <v>721</v>
      </c>
      <c r="B1955" s="3">
        <v>40513</v>
      </c>
      <c r="C1955" t="s">
        <v>649</v>
      </c>
      <c r="D1955">
        <v>300</v>
      </c>
      <c r="E1955">
        <v>82</v>
      </c>
    </row>
    <row r="1956" spans="1:5" x14ac:dyDescent="0.25">
      <c r="A1956" t="s">
        <v>720</v>
      </c>
      <c r="B1956" s="3">
        <v>40513</v>
      </c>
      <c r="C1956" t="s">
        <v>649</v>
      </c>
      <c r="D1956">
        <v>240</v>
      </c>
      <c r="E1956">
        <v>42</v>
      </c>
    </row>
    <row r="1957" spans="1:5" x14ac:dyDescent="0.25">
      <c r="A1957" t="s">
        <v>719</v>
      </c>
      <c r="B1957" s="3">
        <v>40513</v>
      </c>
      <c r="C1957" t="s">
        <v>649</v>
      </c>
      <c r="D1957">
        <v>260</v>
      </c>
      <c r="E1957">
        <v>58</v>
      </c>
    </row>
    <row r="1958" spans="1:5" x14ac:dyDescent="0.25">
      <c r="A1958" t="s">
        <v>718</v>
      </c>
      <c r="B1958" s="3">
        <v>40513</v>
      </c>
      <c r="C1958" t="s">
        <v>649</v>
      </c>
      <c r="D1958">
        <v>265</v>
      </c>
      <c r="E1958">
        <v>168</v>
      </c>
    </row>
    <row r="1959" spans="1:5" x14ac:dyDescent="0.25">
      <c r="A1959" t="s">
        <v>717</v>
      </c>
      <c r="B1959" s="3">
        <v>40513</v>
      </c>
      <c r="C1959" t="s">
        <v>649</v>
      </c>
      <c r="D1959">
        <v>300</v>
      </c>
      <c r="E1959">
        <v>71</v>
      </c>
    </row>
    <row r="1960" spans="1:5" x14ac:dyDescent="0.25">
      <c r="A1960" t="s">
        <v>716</v>
      </c>
      <c r="B1960" s="3">
        <v>40513</v>
      </c>
      <c r="C1960" t="s">
        <v>649</v>
      </c>
      <c r="D1960">
        <v>200</v>
      </c>
      <c r="E1960">
        <v>173</v>
      </c>
    </row>
    <row r="1961" spans="1:5" x14ac:dyDescent="0.25">
      <c r="A1961" t="s">
        <v>715</v>
      </c>
      <c r="B1961" s="3">
        <v>40513</v>
      </c>
      <c r="C1961" t="s">
        <v>649</v>
      </c>
      <c r="D1961">
        <v>150</v>
      </c>
      <c r="E1961">
        <v>28</v>
      </c>
    </row>
    <row r="1962" spans="1:5" x14ac:dyDescent="0.25">
      <c r="A1962" t="s">
        <v>714</v>
      </c>
      <c r="B1962" s="3">
        <v>40513</v>
      </c>
      <c r="C1962" t="s">
        <v>649</v>
      </c>
      <c r="D1962">
        <v>295</v>
      </c>
      <c r="E1962">
        <v>803</v>
      </c>
    </row>
    <row r="1963" spans="1:5" x14ac:dyDescent="0.25">
      <c r="A1963" t="s">
        <v>713</v>
      </c>
      <c r="B1963" s="3">
        <v>40513</v>
      </c>
      <c r="C1963" t="s">
        <v>649</v>
      </c>
      <c r="D1963">
        <v>290</v>
      </c>
      <c r="E1963">
        <v>174</v>
      </c>
    </row>
    <row r="1964" spans="1:5" x14ac:dyDescent="0.25">
      <c r="A1964" t="s">
        <v>712</v>
      </c>
      <c r="B1964" s="3">
        <v>40513</v>
      </c>
      <c r="C1964" t="s">
        <v>649</v>
      </c>
      <c r="D1964">
        <v>290</v>
      </c>
      <c r="E1964">
        <v>504</v>
      </c>
    </row>
    <row r="1965" spans="1:5" x14ac:dyDescent="0.25">
      <c r="A1965" t="s">
        <v>711</v>
      </c>
      <c r="B1965" s="3">
        <v>40513</v>
      </c>
      <c r="C1965" t="s">
        <v>649</v>
      </c>
      <c r="D1965">
        <v>300</v>
      </c>
      <c r="E1965">
        <v>114</v>
      </c>
    </row>
    <row r="1966" spans="1:5" x14ac:dyDescent="0.25">
      <c r="A1966" t="s">
        <v>756</v>
      </c>
      <c r="B1966" s="3">
        <v>40513</v>
      </c>
      <c r="C1966" t="s">
        <v>649</v>
      </c>
      <c r="D1966">
        <v>250</v>
      </c>
      <c r="E1966">
        <v>48</v>
      </c>
    </row>
    <row r="1967" spans="1:5" x14ac:dyDescent="0.25">
      <c r="A1967" t="s">
        <v>710</v>
      </c>
      <c r="B1967" s="3">
        <v>40513</v>
      </c>
      <c r="C1967" t="s">
        <v>649</v>
      </c>
      <c r="D1967">
        <v>175</v>
      </c>
      <c r="E1967">
        <v>292</v>
      </c>
    </row>
    <row r="1968" spans="1:5" x14ac:dyDescent="0.25">
      <c r="A1968" t="s">
        <v>709</v>
      </c>
      <c r="B1968" s="3">
        <v>40513</v>
      </c>
      <c r="C1968" t="s">
        <v>649</v>
      </c>
      <c r="D1968">
        <v>290</v>
      </c>
      <c r="E1968">
        <v>645</v>
      </c>
    </row>
    <row r="1969" spans="1:5" x14ac:dyDescent="0.25">
      <c r="A1969" t="s">
        <v>708</v>
      </c>
      <c r="B1969" s="3">
        <v>40513</v>
      </c>
      <c r="C1969" t="s">
        <v>649</v>
      </c>
      <c r="D1969">
        <v>165</v>
      </c>
      <c r="E1969">
        <v>32</v>
      </c>
    </row>
    <row r="1970" spans="1:5" x14ac:dyDescent="0.25">
      <c r="A1970" t="s">
        <v>635</v>
      </c>
      <c r="B1970" s="3">
        <v>40513</v>
      </c>
      <c r="C1970" t="s">
        <v>652</v>
      </c>
      <c r="D1970">
        <v>360</v>
      </c>
      <c r="E1970">
        <v>2920</v>
      </c>
    </row>
    <row r="1971" spans="1:5" x14ac:dyDescent="0.25">
      <c r="A1971" t="s">
        <v>755</v>
      </c>
      <c r="B1971" s="3">
        <v>40513</v>
      </c>
      <c r="C1971" t="s">
        <v>652</v>
      </c>
      <c r="D1971">
        <v>360</v>
      </c>
      <c r="E1971">
        <v>167</v>
      </c>
    </row>
    <row r="1972" spans="1:5" x14ac:dyDescent="0.25">
      <c r="A1972" t="s">
        <v>754</v>
      </c>
      <c r="B1972" s="3">
        <v>40513</v>
      </c>
      <c r="C1972" t="s">
        <v>652</v>
      </c>
      <c r="D1972">
        <v>450</v>
      </c>
      <c r="E1972">
        <v>230</v>
      </c>
    </row>
    <row r="1973" spans="1:5" x14ac:dyDescent="0.25">
      <c r="A1973" t="s">
        <v>753</v>
      </c>
      <c r="B1973" s="3">
        <v>40513</v>
      </c>
      <c r="C1973" t="s">
        <v>652</v>
      </c>
      <c r="D1973">
        <v>390</v>
      </c>
      <c r="E1973">
        <v>330</v>
      </c>
    </row>
    <row r="1974" spans="1:5" x14ac:dyDescent="0.25">
      <c r="A1974" t="s">
        <v>752</v>
      </c>
      <c r="B1974" s="3">
        <v>40513</v>
      </c>
      <c r="C1974" t="s">
        <v>652</v>
      </c>
      <c r="D1974">
        <v>350</v>
      </c>
      <c r="E1974">
        <v>356</v>
      </c>
    </row>
    <row r="1975" spans="1:5" x14ac:dyDescent="0.25">
      <c r="A1975" t="s">
        <v>751</v>
      </c>
      <c r="B1975" s="3">
        <v>40513</v>
      </c>
      <c r="C1975" t="s">
        <v>652</v>
      </c>
      <c r="D1975">
        <v>440</v>
      </c>
      <c r="E1975">
        <v>100</v>
      </c>
    </row>
    <row r="1976" spans="1:5" x14ac:dyDescent="0.25">
      <c r="A1976" t="s">
        <v>750</v>
      </c>
      <c r="B1976" s="3">
        <v>40513</v>
      </c>
      <c r="C1976" t="s">
        <v>652</v>
      </c>
      <c r="D1976">
        <v>360</v>
      </c>
      <c r="E1976">
        <v>210</v>
      </c>
    </row>
    <row r="1977" spans="1:5" x14ac:dyDescent="0.25">
      <c r="A1977" t="s">
        <v>749</v>
      </c>
      <c r="B1977" s="3">
        <v>40513</v>
      </c>
      <c r="C1977" t="s">
        <v>652</v>
      </c>
      <c r="D1977">
        <v>370</v>
      </c>
      <c r="E1977">
        <v>350</v>
      </c>
    </row>
    <row r="1978" spans="1:5" x14ac:dyDescent="0.25">
      <c r="A1978" t="s">
        <v>748</v>
      </c>
      <c r="B1978" s="3">
        <v>40513</v>
      </c>
      <c r="C1978" t="s">
        <v>652</v>
      </c>
      <c r="D1978">
        <v>340</v>
      </c>
      <c r="E1978">
        <v>309</v>
      </c>
    </row>
    <row r="1979" spans="1:5" x14ac:dyDescent="0.25">
      <c r="A1979" t="s">
        <v>747</v>
      </c>
      <c r="B1979" s="3">
        <v>40513</v>
      </c>
      <c r="C1979" t="s">
        <v>652</v>
      </c>
      <c r="D1979">
        <v>390</v>
      </c>
      <c r="E1979">
        <v>332</v>
      </c>
    </row>
    <row r="1980" spans="1:5" x14ac:dyDescent="0.25">
      <c r="A1980" t="s">
        <v>746</v>
      </c>
      <c r="B1980" s="3">
        <v>40513</v>
      </c>
      <c r="C1980" t="s">
        <v>652</v>
      </c>
      <c r="D1980">
        <v>360</v>
      </c>
      <c r="E1980">
        <v>52</v>
      </c>
    </row>
    <row r="1981" spans="1:5" x14ac:dyDescent="0.25">
      <c r="A1981" t="s">
        <v>745</v>
      </c>
      <c r="B1981" s="3">
        <v>40513</v>
      </c>
      <c r="C1981" t="s">
        <v>652</v>
      </c>
      <c r="D1981">
        <v>380</v>
      </c>
      <c r="E1981">
        <v>116</v>
      </c>
    </row>
    <row r="1982" spans="1:5" x14ac:dyDescent="0.25">
      <c r="A1982" t="s">
        <v>744</v>
      </c>
      <c r="B1982" s="3">
        <v>40513</v>
      </c>
      <c r="C1982" t="s">
        <v>652</v>
      </c>
      <c r="D1982">
        <v>330</v>
      </c>
      <c r="E1982">
        <v>368</v>
      </c>
    </row>
    <row r="1983" spans="1:5" x14ac:dyDescent="0.25">
      <c r="A1983" t="s">
        <v>743</v>
      </c>
      <c r="B1983" s="3">
        <v>40513</v>
      </c>
      <c r="C1983" t="s">
        <v>652</v>
      </c>
      <c r="D1983">
        <v>280</v>
      </c>
      <c r="E1983">
        <v>65</v>
      </c>
    </row>
    <row r="1984" spans="1:5" x14ac:dyDescent="0.25">
      <c r="A1984" t="s">
        <v>742</v>
      </c>
      <c r="B1984" s="3">
        <v>40513</v>
      </c>
      <c r="C1984" t="s">
        <v>652</v>
      </c>
      <c r="D1984">
        <v>320</v>
      </c>
      <c r="E1984">
        <v>96</v>
      </c>
    </row>
    <row r="1985" spans="1:5" x14ac:dyDescent="0.25">
      <c r="A1985" t="s">
        <v>741</v>
      </c>
      <c r="B1985" s="3">
        <v>40513</v>
      </c>
      <c r="C1985" t="s">
        <v>652</v>
      </c>
      <c r="D1985">
        <v>250</v>
      </c>
      <c r="E1985">
        <v>347</v>
      </c>
    </row>
    <row r="1986" spans="1:5" x14ac:dyDescent="0.25">
      <c r="A1986" t="s">
        <v>740</v>
      </c>
      <c r="B1986" s="3">
        <v>40513</v>
      </c>
      <c r="C1986" t="s">
        <v>652</v>
      </c>
      <c r="D1986">
        <v>280</v>
      </c>
      <c r="E1986">
        <v>490</v>
      </c>
    </row>
    <row r="1987" spans="1:5" x14ac:dyDescent="0.25">
      <c r="A1987" t="s">
        <v>739</v>
      </c>
      <c r="B1987" s="3">
        <v>40513</v>
      </c>
      <c r="C1987" t="s">
        <v>652</v>
      </c>
      <c r="D1987">
        <v>320</v>
      </c>
      <c r="E1987">
        <v>520</v>
      </c>
    </row>
    <row r="1988" spans="1:5" x14ac:dyDescent="0.25">
      <c r="A1988" t="s">
        <v>738</v>
      </c>
      <c r="B1988" s="3">
        <v>40513</v>
      </c>
      <c r="C1988" t="s">
        <v>652</v>
      </c>
      <c r="D1988">
        <v>240</v>
      </c>
      <c r="E1988">
        <v>37</v>
      </c>
    </row>
    <row r="1989" spans="1:5" x14ac:dyDescent="0.25">
      <c r="A1989" t="s">
        <v>737</v>
      </c>
      <c r="B1989" s="3">
        <v>40513</v>
      </c>
      <c r="C1989" t="s">
        <v>652</v>
      </c>
      <c r="D1989">
        <v>380</v>
      </c>
      <c r="E1989">
        <v>53</v>
      </c>
    </row>
    <row r="1990" spans="1:5" x14ac:dyDescent="0.25">
      <c r="A1990" t="s">
        <v>736</v>
      </c>
      <c r="B1990" s="3">
        <v>40513</v>
      </c>
      <c r="C1990" t="s">
        <v>652</v>
      </c>
      <c r="D1990">
        <v>240</v>
      </c>
      <c r="E1990">
        <v>50</v>
      </c>
    </row>
    <row r="1991" spans="1:5" x14ac:dyDescent="0.25">
      <c r="A1991" t="s">
        <v>735</v>
      </c>
      <c r="B1991" s="3">
        <v>40513</v>
      </c>
      <c r="C1991" t="s">
        <v>652</v>
      </c>
      <c r="D1991">
        <v>300</v>
      </c>
      <c r="E1991">
        <v>196</v>
      </c>
    </row>
    <row r="1992" spans="1:5" x14ac:dyDescent="0.25">
      <c r="A1992" t="s">
        <v>734</v>
      </c>
      <c r="B1992" s="3">
        <v>40513</v>
      </c>
      <c r="C1992" t="s">
        <v>652</v>
      </c>
      <c r="D1992">
        <v>390</v>
      </c>
      <c r="E1992">
        <v>1152</v>
      </c>
    </row>
    <row r="1993" spans="1:5" x14ac:dyDescent="0.25">
      <c r="A1993" t="s">
        <v>733</v>
      </c>
      <c r="B1993" s="3">
        <v>40513</v>
      </c>
      <c r="C1993" t="s">
        <v>652</v>
      </c>
      <c r="D1993">
        <v>370</v>
      </c>
      <c r="E1993">
        <v>269</v>
      </c>
    </row>
    <row r="1994" spans="1:5" x14ac:dyDescent="0.25">
      <c r="A1994" t="s">
        <v>732</v>
      </c>
      <c r="B1994" s="3">
        <v>40513</v>
      </c>
      <c r="C1994" t="s">
        <v>652</v>
      </c>
      <c r="D1994">
        <v>400</v>
      </c>
      <c r="E1994">
        <v>554</v>
      </c>
    </row>
    <row r="1995" spans="1:5" x14ac:dyDescent="0.25">
      <c r="A1995" t="s">
        <v>731</v>
      </c>
      <c r="B1995" s="3">
        <v>40513</v>
      </c>
      <c r="C1995" t="s">
        <v>652</v>
      </c>
      <c r="D1995">
        <v>400</v>
      </c>
      <c r="E1995">
        <v>117</v>
      </c>
    </row>
    <row r="1996" spans="1:5" x14ac:dyDescent="0.25">
      <c r="A1996" t="s">
        <v>730</v>
      </c>
      <c r="B1996" s="3">
        <v>40513</v>
      </c>
      <c r="C1996" t="s">
        <v>652</v>
      </c>
      <c r="D1996">
        <v>380</v>
      </c>
      <c r="E1996">
        <v>212</v>
      </c>
    </row>
    <row r="1997" spans="1:5" x14ac:dyDescent="0.25">
      <c r="A1997" t="s">
        <v>729</v>
      </c>
      <c r="B1997" s="3">
        <v>40513</v>
      </c>
      <c r="C1997" t="s">
        <v>652</v>
      </c>
      <c r="D1997">
        <v>245</v>
      </c>
      <c r="E1997">
        <v>143</v>
      </c>
    </row>
    <row r="1998" spans="1:5" x14ac:dyDescent="0.25">
      <c r="A1998" t="s">
        <v>728</v>
      </c>
      <c r="B1998" s="3">
        <v>40513</v>
      </c>
      <c r="C1998" t="s">
        <v>652</v>
      </c>
      <c r="D1998">
        <v>250</v>
      </c>
      <c r="E1998">
        <v>240</v>
      </c>
    </row>
    <row r="1999" spans="1:5" x14ac:dyDescent="0.25">
      <c r="A1999" t="s">
        <v>727</v>
      </c>
      <c r="B1999" s="3">
        <v>40513</v>
      </c>
      <c r="C1999" t="s">
        <v>652</v>
      </c>
      <c r="D1999">
        <v>270</v>
      </c>
      <c r="E1999">
        <v>727</v>
      </c>
    </row>
    <row r="2000" spans="1:5" x14ac:dyDescent="0.25">
      <c r="A2000" t="s">
        <v>726</v>
      </c>
      <c r="B2000" s="3">
        <v>40513</v>
      </c>
      <c r="C2000" t="s">
        <v>652</v>
      </c>
      <c r="D2000">
        <v>230</v>
      </c>
      <c r="E2000">
        <v>60</v>
      </c>
    </row>
    <row r="2001" spans="1:5" x14ac:dyDescent="0.25">
      <c r="A2001" t="s">
        <v>725</v>
      </c>
      <c r="B2001" s="3">
        <v>40513</v>
      </c>
      <c r="C2001" t="s">
        <v>652</v>
      </c>
      <c r="D2001">
        <v>310</v>
      </c>
      <c r="E2001">
        <v>692</v>
      </c>
    </row>
    <row r="2002" spans="1:5" x14ac:dyDescent="0.25">
      <c r="A2002" t="s">
        <v>724</v>
      </c>
      <c r="B2002" s="3">
        <v>40513</v>
      </c>
      <c r="C2002" t="s">
        <v>652</v>
      </c>
      <c r="D2002">
        <v>380</v>
      </c>
      <c r="E2002">
        <v>278</v>
      </c>
    </row>
    <row r="2003" spans="1:5" x14ac:dyDescent="0.25">
      <c r="A2003" t="s">
        <v>723</v>
      </c>
      <c r="B2003" s="3">
        <v>40513</v>
      </c>
      <c r="C2003" t="s">
        <v>652</v>
      </c>
      <c r="D2003">
        <v>280</v>
      </c>
      <c r="E2003">
        <v>43</v>
      </c>
    </row>
    <row r="2004" spans="1:5" x14ac:dyDescent="0.25">
      <c r="A2004" t="s">
        <v>722</v>
      </c>
      <c r="B2004" s="3">
        <v>40513</v>
      </c>
      <c r="C2004" t="s">
        <v>652</v>
      </c>
      <c r="D2004">
        <v>225</v>
      </c>
      <c r="E2004">
        <v>118</v>
      </c>
    </row>
    <row r="2005" spans="1:5" x14ac:dyDescent="0.25">
      <c r="A2005" t="s">
        <v>721</v>
      </c>
      <c r="B2005" s="3">
        <v>40513</v>
      </c>
      <c r="C2005" t="s">
        <v>652</v>
      </c>
      <c r="D2005">
        <v>450</v>
      </c>
      <c r="E2005">
        <v>94</v>
      </c>
    </row>
    <row r="2006" spans="1:5" x14ac:dyDescent="0.25">
      <c r="A2006" t="s">
        <v>720</v>
      </c>
      <c r="B2006" s="3">
        <v>40513</v>
      </c>
      <c r="C2006" t="s">
        <v>652</v>
      </c>
      <c r="D2006">
        <v>330</v>
      </c>
      <c r="E2006">
        <v>89</v>
      </c>
    </row>
    <row r="2007" spans="1:5" x14ac:dyDescent="0.25">
      <c r="A2007" t="s">
        <v>719</v>
      </c>
      <c r="B2007" s="3">
        <v>40513</v>
      </c>
      <c r="C2007" t="s">
        <v>652</v>
      </c>
      <c r="D2007">
        <v>340</v>
      </c>
      <c r="E2007">
        <v>358</v>
      </c>
    </row>
    <row r="2008" spans="1:5" x14ac:dyDescent="0.25">
      <c r="A2008" t="s">
        <v>718</v>
      </c>
      <c r="B2008" s="3">
        <v>40513</v>
      </c>
      <c r="C2008" t="s">
        <v>652</v>
      </c>
      <c r="D2008">
        <v>310</v>
      </c>
      <c r="E2008">
        <v>221</v>
      </c>
    </row>
    <row r="2009" spans="1:5" x14ac:dyDescent="0.25">
      <c r="A2009" t="s">
        <v>717</v>
      </c>
      <c r="B2009" s="3">
        <v>40513</v>
      </c>
      <c r="C2009" t="s">
        <v>652</v>
      </c>
      <c r="D2009">
        <v>350</v>
      </c>
      <c r="E2009">
        <v>308</v>
      </c>
    </row>
    <row r="2010" spans="1:5" x14ac:dyDescent="0.25">
      <c r="A2010" t="s">
        <v>716</v>
      </c>
      <c r="B2010" s="3">
        <v>40513</v>
      </c>
      <c r="C2010" t="s">
        <v>652</v>
      </c>
      <c r="D2010">
        <v>270</v>
      </c>
      <c r="E2010">
        <v>264</v>
      </c>
    </row>
    <row r="2011" spans="1:5" x14ac:dyDescent="0.25">
      <c r="A2011" t="s">
        <v>715</v>
      </c>
      <c r="B2011" s="3">
        <v>40513</v>
      </c>
      <c r="C2011" t="s">
        <v>652</v>
      </c>
      <c r="D2011">
        <v>270</v>
      </c>
      <c r="E2011">
        <v>52</v>
      </c>
    </row>
    <row r="2012" spans="1:5" x14ac:dyDescent="0.25">
      <c r="A2012" t="s">
        <v>714</v>
      </c>
      <c r="B2012" s="3">
        <v>40513</v>
      </c>
      <c r="C2012" t="s">
        <v>652</v>
      </c>
      <c r="D2012">
        <v>360</v>
      </c>
      <c r="E2012">
        <v>984</v>
      </c>
    </row>
    <row r="2013" spans="1:5" x14ac:dyDescent="0.25">
      <c r="A2013" t="s">
        <v>713</v>
      </c>
      <c r="B2013" s="3">
        <v>40513</v>
      </c>
      <c r="C2013" t="s">
        <v>652</v>
      </c>
      <c r="D2013">
        <v>370</v>
      </c>
      <c r="E2013">
        <v>264</v>
      </c>
    </row>
    <row r="2014" spans="1:5" x14ac:dyDescent="0.25">
      <c r="A2014" t="s">
        <v>712</v>
      </c>
      <c r="B2014" s="3">
        <v>40513</v>
      </c>
      <c r="C2014" t="s">
        <v>652</v>
      </c>
      <c r="D2014">
        <v>350</v>
      </c>
      <c r="E2014">
        <v>439</v>
      </c>
    </row>
    <row r="2015" spans="1:5" x14ac:dyDescent="0.25">
      <c r="A2015" t="s">
        <v>711</v>
      </c>
      <c r="B2015" s="3">
        <v>40513</v>
      </c>
      <c r="C2015" t="s">
        <v>652</v>
      </c>
      <c r="D2015">
        <v>380</v>
      </c>
      <c r="E2015">
        <v>109</v>
      </c>
    </row>
    <row r="2016" spans="1:5" x14ac:dyDescent="0.25">
      <c r="A2016" t="s">
        <v>756</v>
      </c>
      <c r="B2016" s="3">
        <v>40513</v>
      </c>
      <c r="C2016" t="s">
        <v>652</v>
      </c>
      <c r="D2016">
        <v>330</v>
      </c>
      <c r="E2016">
        <v>265</v>
      </c>
    </row>
    <row r="2017" spans="1:5" x14ac:dyDescent="0.25">
      <c r="A2017" t="s">
        <v>710</v>
      </c>
      <c r="B2017" s="3">
        <v>40513</v>
      </c>
      <c r="C2017" t="s">
        <v>652</v>
      </c>
      <c r="D2017">
        <v>240</v>
      </c>
      <c r="E2017">
        <v>467</v>
      </c>
    </row>
    <row r="2018" spans="1:5" x14ac:dyDescent="0.25">
      <c r="A2018" t="s">
        <v>709</v>
      </c>
      <c r="B2018" s="3">
        <v>40513</v>
      </c>
      <c r="C2018" t="s">
        <v>652</v>
      </c>
      <c r="D2018">
        <v>335</v>
      </c>
      <c r="E2018">
        <v>359</v>
      </c>
    </row>
    <row r="2019" spans="1:5" x14ac:dyDescent="0.25">
      <c r="A2019" t="s">
        <v>708</v>
      </c>
      <c r="B2019" s="3">
        <v>40513</v>
      </c>
      <c r="C2019" t="s">
        <v>652</v>
      </c>
      <c r="D2019">
        <v>215</v>
      </c>
      <c r="E2019">
        <v>58</v>
      </c>
    </row>
    <row r="2020" spans="1:5" x14ac:dyDescent="0.25">
      <c r="A2020" t="s">
        <v>635</v>
      </c>
      <c r="B2020" s="3">
        <v>40603</v>
      </c>
      <c r="C2020" t="s">
        <v>649</v>
      </c>
      <c r="D2020">
        <v>360</v>
      </c>
      <c r="E2020">
        <v>4840</v>
      </c>
    </row>
    <row r="2021" spans="1:5" x14ac:dyDescent="0.25">
      <c r="A2021" t="s">
        <v>755</v>
      </c>
      <c r="B2021" s="3">
        <v>40603</v>
      </c>
      <c r="C2021" t="s">
        <v>649</v>
      </c>
      <c r="D2021">
        <v>290</v>
      </c>
      <c r="E2021">
        <v>44</v>
      </c>
    </row>
    <row r="2022" spans="1:5" x14ac:dyDescent="0.25">
      <c r="A2022" t="s">
        <v>754</v>
      </c>
      <c r="B2022" s="3">
        <v>40603</v>
      </c>
      <c r="C2022" t="s">
        <v>649</v>
      </c>
      <c r="D2022">
        <v>420</v>
      </c>
      <c r="E2022">
        <v>2287</v>
      </c>
    </row>
    <row r="2023" spans="1:5" x14ac:dyDescent="0.25">
      <c r="A2023" t="s">
        <v>753</v>
      </c>
      <c r="B2023" s="3">
        <v>40603</v>
      </c>
      <c r="C2023" t="s">
        <v>649</v>
      </c>
      <c r="D2023">
        <v>320</v>
      </c>
      <c r="E2023">
        <v>790</v>
      </c>
    </row>
    <row r="2024" spans="1:5" x14ac:dyDescent="0.25">
      <c r="A2024" t="s">
        <v>752</v>
      </c>
      <c r="B2024" s="3">
        <v>40603</v>
      </c>
      <c r="C2024" t="s">
        <v>649</v>
      </c>
      <c r="D2024">
        <v>310</v>
      </c>
      <c r="E2024">
        <v>198</v>
      </c>
    </row>
    <row r="2025" spans="1:5" x14ac:dyDescent="0.25">
      <c r="A2025" t="s">
        <v>751</v>
      </c>
      <c r="B2025" s="3">
        <v>40603</v>
      </c>
      <c r="C2025" t="s">
        <v>649</v>
      </c>
      <c r="D2025">
        <v>325</v>
      </c>
      <c r="E2025">
        <v>147</v>
      </c>
    </row>
    <row r="2026" spans="1:5" x14ac:dyDescent="0.25">
      <c r="A2026" t="s">
        <v>750</v>
      </c>
      <c r="B2026" s="3">
        <v>40603</v>
      </c>
      <c r="C2026" t="s">
        <v>649</v>
      </c>
      <c r="D2026">
        <v>300</v>
      </c>
      <c r="E2026">
        <v>49</v>
      </c>
    </row>
    <row r="2027" spans="1:5" x14ac:dyDescent="0.25">
      <c r="A2027" t="s">
        <v>749</v>
      </c>
      <c r="B2027" s="3">
        <v>40603</v>
      </c>
      <c r="C2027" t="s">
        <v>649</v>
      </c>
      <c r="D2027">
        <v>310</v>
      </c>
      <c r="E2027">
        <v>406</v>
      </c>
    </row>
    <row r="2028" spans="1:5" x14ac:dyDescent="0.25">
      <c r="A2028" t="s">
        <v>748</v>
      </c>
      <c r="B2028" s="3">
        <v>40603</v>
      </c>
      <c r="C2028" t="s">
        <v>649</v>
      </c>
      <c r="D2028">
        <v>320</v>
      </c>
      <c r="E2028">
        <v>49</v>
      </c>
    </row>
    <row r="2029" spans="1:5" x14ac:dyDescent="0.25">
      <c r="A2029" t="s">
        <v>747</v>
      </c>
      <c r="B2029" s="3">
        <v>40603</v>
      </c>
      <c r="C2029" t="s">
        <v>649</v>
      </c>
      <c r="D2029">
        <v>330</v>
      </c>
      <c r="E2029">
        <v>385</v>
      </c>
    </row>
    <row r="2030" spans="1:5" x14ac:dyDescent="0.25">
      <c r="A2030" t="s">
        <v>746</v>
      </c>
      <c r="B2030" s="3">
        <v>40603</v>
      </c>
      <c r="C2030" t="s">
        <v>649</v>
      </c>
      <c r="D2030">
        <v>350</v>
      </c>
      <c r="E2030">
        <v>13</v>
      </c>
    </row>
    <row r="2031" spans="1:5" x14ac:dyDescent="0.25">
      <c r="A2031" t="s">
        <v>745</v>
      </c>
      <c r="B2031" s="3">
        <v>40603</v>
      </c>
      <c r="C2031" t="s">
        <v>649</v>
      </c>
      <c r="D2031">
        <v>350</v>
      </c>
      <c r="E2031">
        <v>443</v>
      </c>
    </row>
    <row r="2032" spans="1:5" x14ac:dyDescent="0.25">
      <c r="A2032" t="s">
        <v>744</v>
      </c>
      <c r="B2032" s="3">
        <v>40603</v>
      </c>
      <c r="C2032" t="s">
        <v>649</v>
      </c>
      <c r="D2032">
        <v>300</v>
      </c>
      <c r="E2032">
        <v>29</v>
      </c>
    </row>
    <row r="2033" spans="1:5" x14ac:dyDescent="0.25">
      <c r="A2033" t="s">
        <v>743</v>
      </c>
      <c r="B2033" s="3">
        <v>40603</v>
      </c>
      <c r="C2033" t="s">
        <v>649</v>
      </c>
      <c r="D2033">
        <v>200</v>
      </c>
      <c r="E2033">
        <v>21</v>
      </c>
    </row>
    <row r="2034" spans="1:5" x14ac:dyDescent="0.25">
      <c r="A2034" t="s">
        <v>742</v>
      </c>
      <c r="B2034" s="3">
        <v>40603</v>
      </c>
      <c r="C2034" t="s">
        <v>649</v>
      </c>
      <c r="D2034">
        <v>185</v>
      </c>
      <c r="E2034">
        <v>29</v>
      </c>
    </row>
    <row r="2035" spans="1:5" x14ac:dyDescent="0.25">
      <c r="A2035" t="s">
        <v>741</v>
      </c>
      <c r="B2035" s="3">
        <v>40603</v>
      </c>
      <c r="C2035" t="s">
        <v>649</v>
      </c>
      <c r="D2035">
        <v>190</v>
      </c>
      <c r="E2035">
        <v>158</v>
      </c>
    </row>
    <row r="2036" spans="1:5" x14ac:dyDescent="0.25">
      <c r="A2036" t="s">
        <v>740</v>
      </c>
      <c r="B2036" s="3">
        <v>40603</v>
      </c>
      <c r="C2036" t="s">
        <v>649</v>
      </c>
      <c r="D2036">
        <v>240</v>
      </c>
      <c r="E2036">
        <v>150</v>
      </c>
    </row>
    <row r="2037" spans="1:5" x14ac:dyDescent="0.25">
      <c r="A2037" t="s">
        <v>739</v>
      </c>
      <c r="B2037" s="3">
        <v>40603</v>
      </c>
      <c r="C2037" t="s">
        <v>649</v>
      </c>
      <c r="D2037">
        <v>250</v>
      </c>
      <c r="E2037">
        <v>945</v>
      </c>
    </row>
    <row r="2038" spans="1:5" x14ac:dyDescent="0.25">
      <c r="A2038" t="s">
        <v>738</v>
      </c>
      <c r="B2038" s="3">
        <v>40603</v>
      </c>
      <c r="C2038" t="s">
        <v>649</v>
      </c>
      <c r="D2038">
        <v>170</v>
      </c>
      <c r="E2038">
        <v>16</v>
      </c>
    </row>
    <row r="2039" spans="1:5" x14ac:dyDescent="0.25">
      <c r="A2039" t="s">
        <v>737</v>
      </c>
      <c r="B2039" s="3">
        <v>40603</v>
      </c>
      <c r="C2039" t="s">
        <v>649</v>
      </c>
      <c r="D2039">
        <v>260</v>
      </c>
      <c r="E2039">
        <v>55</v>
      </c>
    </row>
    <row r="2040" spans="1:5" x14ac:dyDescent="0.25">
      <c r="A2040" t="s">
        <v>736</v>
      </c>
      <c r="B2040" s="3">
        <v>40603</v>
      </c>
      <c r="C2040" t="s">
        <v>649</v>
      </c>
      <c r="D2040">
        <v>195</v>
      </c>
      <c r="E2040">
        <v>21</v>
      </c>
    </row>
    <row r="2041" spans="1:5" x14ac:dyDescent="0.25">
      <c r="A2041" t="s">
        <v>735</v>
      </c>
      <c r="B2041" s="3">
        <v>40603</v>
      </c>
      <c r="C2041" t="s">
        <v>649</v>
      </c>
      <c r="D2041">
        <v>240</v>
      </c>
      <c r="E2041">
        <v>153</v>
      </c>
    </row>
    <row r="2042" spans="1:5" x14ac:dyDescent="0.25">
      <c r="A2042" t="s">
        <v>734</v>
      </c>
      <c r="B2042" s="3">
        <v>40603</v>
      </c>
      <c r="C2042" t="s">
        <v>649</v>
      </c>
      <c r="D2042">
        <v>350</v>
      </c>
      <c r="E2042">
        <v>2660</v>
      </c>
    </row>
    <row r="2043" spans="1:5" x14ac:dyDescent="0.25">
      <c r="A2043" t="s">
        <v>733</v>
      </c>
      <c r="B2043" s="3">
        <v>40603</v>
      </c>
      <c r="C2043" t="s">
        <v>649</v>
      </c>
      <c r="D2043">
        <v>340</v>
      </c>
      <c r="E2043">
        <v>262</v>
      </c>
    </row>
    <row r="2044" spans="1:5" x14ac:dyDescent="0.25">
      <c r="A2044" t="s">
        <v>732</v>
      </c>
      <c r="B2044" s="3">
        <v>40603</v>
      </c>
      <c r="C2044" t="s">
        <v>649</v>
      </c>
      <c r="D2044">
        <v>350</v>
      </c>
      <c r="E2044">
        <v>1985</v>
      </c>
    </row>
    <row r="2045" spans="1:5" x14ac:dyDescent="0.25">
      <c r="A2045" t="s">
        <v>731</v>
      </c>
      <c r="B2045" s="3">
        <v>40603</v>
      </c>
      <c r="C2045" t="s">
        <v>649</v>
      </c>
      <c r="D2045">
        <v>310</v>
      </c>
      <c r="E2045">
        <v>369</v>
      </c>
    </row>
    <row r="2046" spans="1:5" x14ac:dyDescent="0.25">
      <c r="A2046" t="s">
        <v>730</v>
      </c>
      <c r="B2046" s="3">
        <v>40603</v>
      </c>
      <c r="C2046" t="s">
        <v>649</v>
      </c>
      <c r="D2046">
        <v>280</v>
      </c>
      <c r="E2046">
        <v>44</v>
      </c>
    </row>
    <row r="2047" spans="1:5" x14ac:dyDescent="0.25">
      <c r="A2047" t="s">
        <v>729</v>
      </c>
      <c r="B2047" s="3">
        <v>40603</v>
      </c>
      <c r="C2047" t="s">
        <v>649</v>
      </c>
      <c r="D2047">
        <v>175</v>
      </c>
      <c r="E2047">
        <v>33</v>
      </c>
    </row>
    <row r="2048" spans="1:5" x14ac:dyDescent="0.25">
      <c r="A2048" t="s">
        <v>728</v>
      </c>
      <c r="B2048" s="3">
        <v>40603</v>
      </c>
      <c r="C2048" t="s">
        <v>649</v>
      </c>
      <c r="D2048">
        <v>220</v>
      </c>
      <c r="E2048">
        <v>164</v>
      </c>
    </row>
    <row r="2049" spans="1:5" x14ac:dyDescent="0.25">
      <c r="A2049" t="s">
        <v>727</v>
      </c>
      <c r="B2049" s="3">
        <v>40603</v>
      </c>
      <c r="C2049" t="s">
        <v>649</v>
      </c>
      <c r="D2049">
        <v>230</v>
      </c>
      <c r="E2049">
        <v>142</v>
      </c>
    </row>
    <row r="2050" spans="1:5" x14ac:dyDescent="0.25">
      <c r="A2050" t="s">
        <v>726</v>
      </c>
      <c r="B2050" s="3">
        <v>40603</v>
      </c>
      <c r="C2050" t="s">
        <v>649</v>
      </c>
      <c r="D2050">
        <v>175</v>
      </c>
      <c r="E2050">
        <v>46</v>
      </c>
    </row>
    <row r="2051" spans="1:5" x14ac:dyDescent="0.25">
      <c r="A2051" t="s">
        <v>725</v>
      </c>
      <c r="B2051" s="3">
        <v>40603</v>
      </c>
      <c r="C2051" t="s">
        <v>649</v>
      </c>
      <c r="D2051">
        <v>240</v>
      </c>
      <c r="E2051">
        <v>186</v>
      </c>
    </row>
    <row r="2052" spans="1:5" x14ac:dyDescent="0.25">
      <c r="A2052" t="s">
        <v>724</v>
      </c>
      <c r="B2052" s="3">
        <v>40603</v>
      </c>
      <c r="C2052" t="s">
        <v>649</v>
      </c>
      <c r="D2052">
        <v>290</v>
      </c>
      <c r="E2052">
        <v>251</v>
      </c>
    </row>
    <row r="2053" spans="1:5" x14ac:dyDescent="0.25">
      <c r="A2053" t="s">
        <v>723</v>
      </c>
      <c r="B2053" s="3">
        <v>40603</v>
      </c>
      <c r="C2053" t="s">
        <v>649</v>
      </c>
      <c r="D2053">
        <v>175</v>
      </c>
      <c r="E2053">
        <v>37</v>
      </c>
    </row>
    <row r="2054" spans="1:5" x14ac:dyDescent="0.25">
      <c r="A2054" t="s">
        <v>722</v>
      </c>
      <c r="B2054" s="3">
        <v>40603</v>
      </c>
      <c r="C2054" t="s">
        <v>649</v>
      </c>
      <c r="D2054">
        <v>165</v>
      </c>
      <c r="E2054">
        <v>38</v>
      </c>
    </row>
    <row r="2055" spans="1:5" x14ac:dyDescent="0.25">
      <c r="A2055" t="s">
        <v>721</v>
      </c>
      <c r="B2055" s="3">
        <v>40603</v>
      </c>
      <c r="C2055" t="s">
        <v>649</v>
      </c>
      <c r="D2055">
        <v>300</v>
      </c>
      <c r="E2055">
        <v>103</v>
      </c>
    </row>
    <row r="2056" spans="1:5" x14ac:dyDescent="0.25">
      <c r="A2056" t="s">
        <v>720</v>
      </c>
      <c r="B2056" s="3">
        <v>40603</v>
      </c>
      <c r="C2056" t="s">
        <v>649</v>
      </c>
      <c r="D2056">
        <v>230</v>
      </c>
      <c r="E2056">
        <v>50</v>
      </c>
    </row>
    <row r="2057" spans="1:5" x14ac:dyDescent="0.25">
      <c r="A2057" t="s">
        <v>719</v>
      </c>
      <c r="B2057" s="3">
        <v>40603</v>
      </c>
      <c r="C2057" t="s">
        <v>649</v>
      </c>
      <c r="D2057">
        <v>259</v>
      </c>
      <c r="E2057">
        <v>61</v>
      </c>
    </row>
    <row r="2058" spans="1:5" x14ac:dyDescent="0.25">
      <c r="A2058" t="s">
        <v>718</v>
      </c>
      <c r="B2058" s="3">
        <v>40603</v>
      </c>
      <c r="C2058" t="s">
        <v>649</v>
      </c>
      <c r="D2058">
        <v>260</v>
      </c>
      <c r="E2058">
        <v>158</v>
      </c>
    </row>
    <row r="2059" spans="1:5" x14ac:dyDescent="0.25">
      <c r="A2059" t="s">
        <v>717</v>
      </c>
      <c r="B2059" s="3">
        <v>40603</v>
      </c>
      <c r="C2059" t="s">
        <v>649</v>
      </c>
      <c r="D2059">
        <v>300</v>
      </c>
      <c r="E2059">
        <v>83</v>
      </c>
    </row>
    <row r="2060" spans="1:5" x14ac:dyDescent="0.25">
      <c r="A2060" t="s">
        <v>716</v>
      </c>
      <c r="B2060" s="3">
        <v>40603</v>
      </c>
      <c r="C2060" t="s">
        <v>649</v>
      </c>
      <c r="D2060">
        <v>210</v>
      </c>
      <c r="E2060">
        <v>174</v>
      </c>
    </row>
    <row r="2061" spans="1:5" x14ac:dyDescent="0.25">
      <c r="A2061" t="s">
        <v>715</v>
      </c>
      <c r="B2061" s="3">
        <v>40603</v>
      </c>
      <c r="C2061" t="s">
        <v>649</v>
      </c>
      <c r="D2061">
        <v>165</v>
      </c>
      <c r="E2061">
        <v>16</v>
      </c>
    </row>
    <row r="2062" spans="1:5" x14ac:dyDescent="0.25">
      <c r="A2062" t="s">
        <v>714</v>
      </c>
      <c r="B2062" s="3">
        <v>40603</v>
      </c>
      <c r="C2062" t="s">
        <v>649</v>
      </c>
      <c r="D2062">
        <v>295</v>
      </c>
      <c r="E2062">
        <v>930</v>
      </c>
    </row>
    <row r="2063" spans="1:5" x14ac:dyDescent="0.25">
      <c r="A2063" t="s">
        <v>713</v>
      </c>
      <c r="B2063" s="3">
        <v>40603</v>
      </c>
      <c r="C2063" t="s">
        <v>649</v>
      </c>
      <c r="D2063">
        <v>295</v>
      </c>
      <c r="E2063">
        <v>189</v>
      </c>
    </row>
    <row r="2064" spans="1:5" x14ac:dyDescent="0.25">
      <c r="A2064" t="s">
        <v>712</v>
      </c>
      <c r="B2064" s="3">
        <v>40603</v>
      </c>
      <c r="C2064" t="s">
        <v>649</v>
      </c>
      <c r="D2064">
        <v>295</v>
      </c>
      <c r="E2064">
        <v>599</v>
      </c>
    </row>
    <row r="2065" spans="1:5" x14ac:dyDescent="0.25">
      <c r="A2065" t="s">
        <v>711</v>
      </c>
      <c r="B2065" s="3">
        <v>40603</v>
      </c>
      <c r="C2065" t="s">
        <v>649</v>
      </c>
      <c r="D2065">
        <v>300</v>
      </c>
      <c r="E2065">
        <v>123</v>
      </c>
    </row>
    <row r="2066" spans="1:5" x14ac:dyDescent="0.25">
      <c r="A2066" t="s">
        <v>710</v>
      </c>
      <c r="B2066" s="3">
        <v>40603</v>
      </c>
      <c r="C2066" t="s">
        <v>649</v>
      </c>
      <c r="D2066">
        <v>180</v>
      </c>
      <c r="E2066">
        <v>373</v>
      </c>
    </row>
    <row r="2067" spans="1:5" x14ac:dyDescent="0.25">
      <c r="A2067" t="s">
        <v>709</v>
      </c>
      <c r="B2067" s="3">
        <v>40603</v>
      </c>
      <c r="C2067" t="s">
        <v>649</v>
      </c>
      <c r="D2067">
        <v>280</v>
      </c>
      <c r="E2067">
        <v>664</v>
      </c>
    </row>
    <row r="2068" spans="1:5" x14ac:dyDescent="0.25">
      <c r="A2068" t="s">
        <v>708</v>
      </c>
      <c r="B2068" s="3">
        <v>40603</v>
      </c>
      <c r="C2068" t="s">
        <v>649</v>
      </c>
      <c r="D2068">
        <v>170</v>
      </c>
      <c r="E2068">
        <v>34</v>
      </c>
    </row>
    <row r="2069" spans="1:5" x14ac:dyDescent="0.25">
      <c r="A2069" t="s">
        <v>635</v>
      </c>
      <c r="B2069" s="3">
        <v>40603</v>
      </c>
      <c r="C2069" t="s">
        <v>652</v>
      </c>
      <c r="D2069">
        <v>370</v>
      </c>
      <c r="E2069">
        <v>3465</v>
      </c>
    </row>
    <row r="2070" spans="1:5" x14ac:dyDescent="0.25">
      <c r="A2070" t="s">
        <v>755</v>
      </c>
      <c r="B2070" s="3">
        <v>40603</v>
      </c>
      <c r="C2070" t="s">
        <v>652</v>
      </c>
      <c r="D2070">
        <v>365</v>
      </c>
      <c r="E2070">
        <v>163</v>
      </c>
    </row>
    <row r="2071" spans="1:5" x14ac:dyDescent="0.25">
      <c r="A2071" t="s">
        <v>754</v>
      </c>
      <c r="B2071" s="3">
        <v>40603</v>
      </c>
      <c r="C2071" t="s">
        <v>652</v>
      </c>
      <c r="D2071">
        <v>450</v>
      </c>
      <c r="E2071">
        <v>372</v>
      </c>
    </row>
    <row r="2072" spans="1:5" x14ac:dyDescent="0.25">
      <c r="A2072" t="s">
        <v>753</v>
      </c>
      <c r="B2072" s="3">
        <v>40603</v>
      </c>
      <c r="C2072" t="s">
        <v>652</v>
      </c>
      <c r="D2072">
        <v>400</v>
      </c>
      <c r="E2072">
        <v>358</v>
      </c>
    </row>
    <row r="2073" spans="1:5" x14ac:dyDescent="0.25">
      <c r="A2073" t="s">
        <v>752</v>
      </c>
      <c r="B2073" s="3">
        <v>40603</v>
      </c>
      <c r="C2073" t="s">
        <v>652</v>
      </c>
      <c r="D2073">
        <v>350</v>
      </c>
      <c r="E2073">
        <v>376</v>
      </c>
    </row>
    <row r="2074" spans="1:5" x14ac:dyDescent="0.25">
      <c r="A2074" t="s">
        <v>751</v>
      </c>
      <c r="B2074" s="3">
        <v>40603</v>
      </c>
      <c r="C2074" t="s">
        <v>652</v>
      </c>
      <c r="D2074">
        <v>430</v>
      </c>
      <c r="E2074">
        <v>157</v>
      </c>
    </row>
    <row r="2075" spans="1:5" x14ac:dyDescent="0.25">
      <c r="A2075" t="s">
        <v>750</v>
      </c>
      <c r="B2075" s="3">
        <v>40603</v>
      </c>
      <c r="C2075" t="s">
        <v>652</v>
      </c>
      <c r="D2075">
        <v>360</v>
      </c>
      <c r="E2075">
        <v>238</v>
      </c>
    </row>
    <row r="2076" spans="1:5" x14ac:dyDescent="0.25">
      <c r="A2076" t="s">
        <v>749</v>
      </c>
      <c r="B2076" s="3">
        <v>40603</v>
      </c>
      <c r="C2076" t="s">
        <v>652</v>
      </c>
      <c r="D2076">
        <v>375</v>
      </c>
      <c r="E2076">
        <v>442</v>
      </c>
    </row>
    <row r="2077" spans="1:5" x14ac:dyDescent="0.25">
      <c r="A2077" t="s">
        <v>748</v>
      </c>
      <c r="B2077" s="3">
        <v>40603</v>
      </c>
      <c r="C2077" t="s">
        <v>652</v>
      </c>
      <c r="D2077">
        <v>350</v>
      </c>
      <c r="E2077">
        <v>339</v>
      </c>
    </row>
    <row r="2078" spans="1:5" x14ac:dyDescent="0.25">
      <c r="A2078" t="s">
        <v>747</v>
      </c>
      <c r="B2078" s="3">
        <v>40603</v>
      </c>
      <c r="C2078" t="s">
        <v>652</v>
      </c>
      <c r="D2078">
        <v>400</v>
      </c>
      <c r="E2078">
        <v>368</v>
      </c>
    </row>
    <row r="2079" spans="1:5" x14ac:dyDescent="0.25">
      <c r="A2079" t="s">
        <v>746</v>
      </c>
      <c r="B2079" s="3">
        <v>40603</v>
      </c>
      <c r="C2079" t="s">
        <v>652</v>
      </c>
      <c r="D2079">
        <v>365</v>
      </c>
      <c r="E2079">
        <v>63</v>
      </c>
    </row>
    <row r="2080" spans="1:5" x14ac:dyDescent="0.25">
      <c r="A2080" t="s">
        <v>745</v>
      </c>
      <c r="B2080" s="3">
        <v>40603</v>
      </c>
      <c r="C2080" t="s">
        <v>652</v>
      </c>
      <c r="D2080">
        <v>390</v>
      </c>
      <c r="E2080">
        <v>182</v>
      </c>
    </row>
    <row r="2081" spans="1:5" x14ac:dyDescent="0.25">
      <c r="A2081" t="s">
        <v>744</v>
      </c>
      <c r="B2081" s="3">
        <v>40603</v>
      </c>
      <c r="C2081" t="s">
        <v>652</v>
      </c>
      <c r="D2081">
        <v>330</v>
      </c>
      <c r="E2081">
        <v>407</v>
      </c>
    </row>
    <row r="2082" spans="1:5" x14ac:dyDescent="0.25">
      <c r="A2082" t="s">
        <v>743</v>
      </c>
      <c r="B2082" s="3">
        <v>40603</v>
      </c>
      <c r="C2082" t="s">
        <v>652</v>
      </c>
      <c r="D2082">
        <v>270</v>
      </c>
      <c r="E2082">
        <v>45</v>
      </c>
    </row>
    <row r="2083" spans="1:5" x14ac:dyDescent="0.25">
      <c r="A2083" t="s">
        <v>742</v>
      </c>
      <c r="B2083" s="3">
        <v>40603</v>
      </c>
      <c r="C2083" t="s">
        <v>652</v>
      </c>
      <c r="D2083">
        <v>310</v>
      </c>
      <c r="E2083">
        <v>114</v>
      </c>
    </row>
    <row r="2084" spans="1:5" x14ac:dyDescent="0.25">
      <c r="A2084" t="s">
        <v>741</v>
      </c>
      <c r="B2084" s="3">
        <v>40603</v>
      </c>
      <c r="C2084" t="s">
        <v>652</v>
      </c>
      <c r="D2084">
        <v>250</v>
      </c>
      <c r="E2084">
        <v>366</v>
      </c>
    </row>
    <row r="2085" spans="1:5" x14ac:dyDescent="0.25">
      <c r="A2085" t="s">
        <v>740</v>
      </c>
      <c r="B2085" s="3">
        <v>40603</v>
      </c>
      <c r="C2085" t="s">
        <v>652</v>
      </c>
      <c r="D2085">
        <v>285</v>
      </c>
      <c r="E2085">
        <v>490</v>
      </c>
    </row>
    <row r="2086" spans="1:5" x14ac:dyDescent="0.25">
      <c r="A2086" t="s">
        <v>739</v>
      </c>
      <c r="B2086" s="3">
        <v>40603</v>
      </c>
      <c r="C2086" t="s">
        <v>652</v>
      </c>
      <c r="D2086">
        <v>310</v>
      </c>
      <c r="E2086">
        <v>537</v>
      </c>
    </row>
    <row r="2087" spans="1:5" x14ac:dyDescent="0.25">
      <c r="A2087" t="s">
        <v>738</v>
      </c>
      <c r="B2087" s="3">
        <v>40603</v>
      </c>
      <c r="C2087" t="s">
        <v>652</v>
      </c>
      <c r="D2087">
        <v>240</v>
      </c>
      <c r="E2087">
        <v>49</v>
      </c>
    </row>
    <row r="2088" spans="1:5" x14ac:dyDescent="0.25">
      <c r="A2088" t="s">
        <v>737</v>
      </c>
      <c r="B2088" s="3">
        <v>40603</v>
      </c>
      <c r="C2088" t="s">
        <v>652</v>
      </c>
      <c r="D2088">
        <v>380</v>
      </c>
      <c r="E2088">
        <v>68</v>
      </c>
    </row>
    <row r="2089" spans="1:5" x14ac:dyDescent="0.25">
      <c r="A2089" t="s">
        <v>736</v>
      </c>
      <c r="B2089" s="3">
        <v>40603</v>
      </c>
      <c r="C2089" t="s">
        <v>652</v>
      </c>
      <c r="D2089">
        <v>240</v>
      </c>
      <c r="E2089">
        <v>67</v>
      </c>
    </row>
    <row r="2090" spans="1:5" x14ac:dyDescent="0.25">
      <c r="A2090" t="s">
        <v>735</v>
      </c>
      <c r="B2090" s="3">
        <v>40603</v>
      </c>
      <c r="C2090" t="s">
        <v>652</v>
      </c>
      <c r="D2090">
        <v>310</v>
      </c>
      <c r="E2090">
        <v>198</v>
      </c>
    </row>
    <row r="2091" spans="1:5" x14ac:dyDescent="0.25">
      <c r="A2091" t="s">
        <v>734</v>
      </c>
      <c r="B2091" s="3">
        <v>40603</v>
      </c>
      <c r="C2091" t="s">
        <v>652</v>
      </c>
      <c r="D2091">
        <v>390</v>
      </c>
      <c r="E2091">
        <v>1227</v>
      </c>
    </row>
    <row r="2092" spans="1:5" x14ac:dyDescent="0.25">
      <c r="A2092" t="s">
        <v>733</v>
      </c>
      <c r="B2092" s="3">
        <v>40603</v>
      </c>
      <c r="C2092" t="s">
        <v>652</v>
      </c>
      <c r="D2092">
        <v>365</v>
      </c>
      <c r="E2092">
        <v>304</v>
      </c>
    </row>
    <row r="2093" spans="1:5" x14ac:dyDescent="0.25">
      <c r="A2093" t="s">
        <v>732</v>
      </c>
      <c r="B2093" s="3">
        <v>40603</v>
      </c>
      <c r="C2093" t="s">
        <v>652</v>
      </c>
      <c r="D2093">
        <v>400</v>
      </c>
      <c r="E2093">
        <v>593</v>
      </c>
    </row>
    <row r="2094" spans="1:5" x14ac:dyDescent="0.25">
      <c r="A2094" t="s">
        <v>731</v>
      </c>
      <c r="B2094" s="3">
        <v>40603</v>
      </c>
      <c r="C2094" t="s">
        <v>652</v>
      </c>
      <c r="D2094">
        <v>400</v>
      </c>
      <c r="E2094">
        <v>119</v>
      </c>
    </row>
    <row r="2095" spans="1:5" x14ac:dyDescent="0.25">
      <c r="A2095" t="s">
        <v>730</v>
      </c>
      <c r="B2095" s="3">
        <v>40603</v>
      </c>
      <c r="C2095" t="s">
        <v>652</v>
      </c>
      <c r="D2095">
        <v>380</v>
      </c>
      <c r="E2095">
        <v>211</v>
      </c>
    </row>
    <row r="2096" spans="1:5" x14ac:dyDescent="0.25">
      <c r="A2096" t="s">
        <v>729</v>
      </c>
      <c r="B2096" s="3">
        <v>40603</v>
      </c>
      <c r="C2096" t="s">
        <v>652</v>
      </c>
      <c r="D2096">
        <v>250</v>
      </c>
      <c r="E2096">
        <v>161</v>
      </c>
    </row>
    <row r="2097" spans="1:5" x14ac:dyDescent="0.25">
      <c r="A2097" t="s">
        <v>728</v>
      </c>
      <c r="B2097" s="3">
        <v>40603</v>
      </c>
      <c r="C2097" t="s">
        <v>652</v>
      </c>
      <c r="D2097">
        <v>255</v>
      </c>
      <c r="E2097">
        <v>252</v>
      </c>
    </row>
    <row r="2098" spans="1:5" x14ac:dyDescent="0.25">
      <c r="A2098" t="s">
        <v>727</v>
      </c>
      <c r="B2098" s="3">
        <v>40603</v>
      </c>
      <c r="C2098" t="s">
        <v>652</v>
      </c>
      <c r="D2098">
        <v>270</v>
      </c>
      <c r="E2098">
        <v>822</v>
      </c>
    </row>
    <row r="2099" spans="1:5" x14ac:dyDescent="0.25">
      <c r="A2099" t="s">
        <v>726</v>
      </c>
      <c r="B2099" s="3">
        <v>40603</v>
      </c>
      <c r="C2099" t="s">
        <v>652</v>
      </c>
      <c r="D2099">
        <v>240</v>
      </c>
      <c r="E2099">
        <v>53</v>
      </c>
    </row>
    <row r="2100" spans="1:5" x14ac:dyDescent="0.25">
      <c r="A2100" t="s">
        <v>725</v>
      </c>
      <c r="B2100" s="3">
        <v>40603</v>
      </c>
      <c r="C2100" t="s">
        <v>652</v>
      </c>
      <c r="D2100">
        <v>310</v>
      </c>
      <c r="E2100">
        <v>699</v>
      </c>
    </row>
    <row r="2101" spans="1:5" x14ac:dyDescent="0.25">
      <c r="A2101" t="s">
        <v>724</v>
      </c>
      <c r="B2101" s="3">
        <v>40603</v>
      </c>
      <c r="C2101" t="s">
        <v>652</v>
      </c>
      <c r="D2101">
        <v>380</v>
      </c>
      <c r="E2101">
        <v>310</v>
      </c>
    </row>
    <row r="2102" spans="1:5" x14ac:dyDescent="0.25">
      <c r="A2102" t="s">
        <v>723</v>
      </c>
      <c r="B2102" s="3">
        <v>40603</v>
      </c>
      <c r="C2102" t="s">
        <v>652</v>
      </c>
      <c r="D2102">
        <v>280</v>
      </c>
      <c r="E2102">
        <v>34</v>
      </c>
    </row>
    <row r="2103" spans="1:5" x14ac:dyDescent="0.25">
      <c r="A2103" t="s">
        <v>722</v>
      </c>
      <c r="B2103" s="3">
        <v>40603</v>
      </c>
      <c r="C2103" t="s">
        <v>652</v>
      </c>
      <c r="D2103">
        <v>230</v>
      </c>
      <c r="E2103">
        <v>129</v>
      </c>
    </row>
    <row r="2104" spans="1:5" x14ac:dyDescent="0.25">
      <c r="A2104" t="s">
        <v>721</v>
      </c>
      <c r="B2104" s="3">
        <v>40603</v>
      </c>
      <c r="C2104" t="s">
        <v>652</v>
      </c>
      <c r="D2104">
        <v>430</v>
      </c>
      <c r="E2104">
        <v>92</v>
      </c>
    </row>
    <row r="2105" spans="1:5" x14ac:dyDescent="0.25">
      <c r="A2105" t="s">
        <v>720</v>
      </c>
      <c r="B2105" s="3">
        <v>40603</v>
      </c>
      <c r="C2105" t="s">
        <v>652</v>
      </c>
      <c r="D2105">
        <v>335</v>
      </c>
      <c r="E2105">
        <v>99</v>
      </c>
    </row>
    <row r="2106" spans="1:5" x14ac:dyDescent="0.25">
      <c r="A2106" t="s">
        <v>719</v>
      </c>
      <c r="B2106" s="3">
        <v>40603</v>
      </c>
      <c r="C2106" t="s">
        <v>652</v>
      </c>
      <c r="D2106">
        <v>340</v>
      </c>
      <c r="E2106">
        <v>355</v>
      </c>
    </row>
    <row r="2107" spans="1:5" x14ac:dyDescent="0.25">
      <c r="A2107" t="s">
        <v>718</v>
      </c>
      <c r="B2107" s="3">
        <v>40603</v>
      </c>
      <c r="C2107" t="s">
        <v>652</v>
      </c>
      <c r="D2107">
        <v>310</v>
      </c>
      <c r="E2107">
        <v>210</v>
      </c>
    </row>
    <row r="2108" spans="1:5" x14ac:dyDescent="0.25">
      <c r="A2108" t="s">
        <v>717</v>
      </c>
      <c r="B2108" s="3">
        <v>40603</v>
      </c>
      <c r="C2108" t="s">
        <v>652</v>
      </c>
      <c r="D2108">
        <v>350</v>
      </c>
      <c r="E2108">
        <v>342</v>
      </c>
    </row>
    <row r="2109" spans="1:5" x14ac:dyDescent="0.25">
      <c r="A2109" t="s">
        <v>716</v>
      </c>
      <c r="B2109" s="3">
        <v>40603</v>
      </c>
      <c r="C2109" t="s">
        <v>652</v>
      </c>
      <c r="D2109">
        <v>280</v>
      </c>
      <c r="E2109">
        <v>299</v>
      </c>
    </row>
    <row r="2110" spans="1:5" x14ac:dyDescent="0.25">
      <c r="A2110" t="s">
        <v>715</v>
      </c>
      <c r="B2110" s="3">
        <v>40603</v>
      </c>
      <c r="C2110" t="s">
        <v>652</v>
      </c>
      <c r="D2110">
        <v>285</v>
      </c>
      <c r="E2110">
        <v>63</v>
      </c>
    </row>
    <row r="2111" spans="1:5" x14ac:dyDescent="0.25">
      <c r="A2111" t="s">
        <v>714</v>
      </c>
      <c r="B2111" s="3">
        <v>40603</v>
      </c>
      <c r="C2111" t="s">
        <v>652</v>
      </c>
      <c r="D2111">
        <v>360</v>
      </c>
      <c r="E2111">
        <v>1115</v>
      </c>
    </row>
    <row r="2112" spans="1:5" x14ac:dyDescent="0.25">
      <c r="A2112" t="s">
        <v>713</v>
      </c>
      <c r="B2112" s="3">
        <v>40603</v>
      </c>
      <c r="C2112" t="s">
        <v>652</v>
      </c>
      <c r="D2112">
        <v>360</v>
      </c>
      <c r="E2112">
        <v>292</v>
      </c>
    </row>
    <row r="2113" spans="1:5" x14ac:dyDescent="0.25">
      <c r="A2113" t="s">
        <v>712</v>
      </c>
      <c r="B2113" s="3">
        <v>40603</v>
      </c>
      <c r="C2113" t="s">
        <v>652</v>
      </c>
      <c r="D2113">
        <v>360</v>
      </c>
      <c r="E2113">
        <v>487</v>
      </c>
    </row>
    <row r="2114" spans="1:5" x14ac:dyDescent="0.25">
      <c r="A2114" t="s">
        <v>711</v>
      </c>
      <c r="B2114" s="3">
        <v>40603</v>
      </c>
      <c r="C2114" t="s">
        <v>652</v>
      </c>
      <c r="D2114">
        <v>380</v>
      </c>
      <c r="E2114">
        <v>156</v>
      </c>
    </row>
    <row r="2115" spans="1:5" x14ac:dyDescent="0.25">
      <c r="A2115" t="s">
        <v>710</v>
      </c>
      <c r="B2115" s="3">
        <v>40603</v>
      </c>
      <c r="C2115" t="s">
        <v>652</v>
      </c>
      <c r="D2115">
        <v>250</v>
      </c>
      <c r="E2115">
        <v>547</v>
      </c>
    </row>
    <row r="2116" spans="1:5" x14ac:dyDescent="0.25">
      <c r="A2116" t="s">
        <v>709</v>
      </c>
      <c r="B2116" s="3">
        <v>40603</v>
      </c>
      <c r="C2116" t="s">
        <v>652</v>
      </c>
      <c r="D2116">
        <v>340</v>
      </c>
      <c r="E2116">
        <v>434</v>
      </c>
    </row>
    <row r="2117" spans="1:5" x14ac:dyDescent="0.25">
      <c r="A2117" t="s">
        <v>708</v>
      </c>
      <c r="B2117" s="3">
        <v>40603</v>
      </c>
      <c r="C2117" t="s">
        <v>652</v>
      </c>
      <c r="D2117">
        <v>230</v>
      </c>
      <c r="E2117">
        <v>87</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F109"/>
  <sheetViews>
    <sheetView workbookViewId="0">
      <pane ySplit="1" topLeftCell="A2" activePane="bottomLeft" state="frozen"/>
      <selection pane="bottomLeft" activeCell="A5" sqref="A5"/>
    </sheetView>
  </sheetViews>
  <sheetFormatPr defaultRowHeight="15" x14ac:dyDescent="0.25"/>
  <cols>
    <col min="1" max="1" width="33.42578125" bestFit="1" customWidth="1"/>
    <col min="5" max="5" width="11" bestFit="1" customWidth="1"/>
  </cols>
  <sheetData>
    <row r="1" spans="1:6" x14ac:dyDescent="0.25">
      <c r="A1" t="s">
        <v>6</v>
      </c>
      <c r="B1" s="1" t="s">
        <v>1</v>
      </c>
      <c r="C1" s="1" t="s">
        <v>633</v>
      </c>
      <c r="D1" s="1" t="s">
        <v>634</v>
      </c>
      <c r="E1" t="s">
        <v>635</v>
      </c>
      <c r="F1" s="1" t="s">
        <v>707</v>
      </c>
    </row>
    <row r="2" spans="1:6" x14ac:dyDescent="0.25">
      <c r="A2" t="s">
        <v>3</v>
      </c>
      <c r="B2" s="1">
        <v>36220</v>
      </c>
      <c r="C2" s="23">
        <f t="shared" ref="C2:C33" si="0">YEAR(B2)</f>
        <v>1999</v>
      </c>
      <c r="D2" s="23">
        <f t="shared" ref="D2:D33" si="1">MONTH(B2)</f>
        <v>3</v>
      </c>
      <c r="E2" s="46"/>
    </row>
    <row r="3" spans="1:6" x14ac:dyDescent="0.25">
      <c r="A3" t="s">
        <v>0</v>
      </c>
      <c r="B3" s="1">
        <v>36312</v>
      </c>
      <c r="C3" s="23">
        <f t="shared" si="0"/>
        <v>1999</v>
      </c>
      <c r="D3" s="23">
        <f t="shared" si="1"/>
        <v>6</v>
      </c>
      <c r="E3" s="46"/>
    </row>
    <row r="4" spans="1:6" x14ac:dyDescent="0.25">
      <c r="B4" s="1">
        <v>36404</v>
      </c>
      <c r="C4" s="23">
        <f t="shared" si="0"/>
        <v>1999</v>
      </c>
      <c r="D4" s="23">
        <f t="shared" si="1"/>
        <v>9</v>
      </c>
      <c r="E4" s="46"/>
    </row>
    <row r="5" spans="1:6" x14ac:dyDescent="0.25">
      <c r="B5" s="1">
        <v>36495</v>
      </c>
      <c r="C5" s="23">
        <f t="shared" si="0"/>
        <v>1999</v>
      </c>
      <c r="D5" s="23">
        <f t="shared" si="1"/>
        <v>12</v>
      </c>
      <c r="E5" s="46"/>
    </row>
    <row r="6" spans="1:6" x14ac:dyDescent="0.25">
      <c r="B6" s="1">
        <v>36586</v>
      </c>
      <c r="C6" s="23">
        <f t="shared" si="0"/>
        <v>2000</v>
      </c>
      <c r="D6" s="23">
        <f t="shared" si="1"/>
        <v>3</v>
      </c>
      <c r="E6" s="46"/>
    </row>
    <row r="7" spans="1:6" x14ac:dyDescent="0.25">
      <c r="B7" s="1">
        <v>36678</v>
      </c>
      <c r="C7" s="23">
        <f t="shared" si="0"/>
        <v>2000</v>
      </c>
      <c r="D7" s="23">
        <f t="shared" si="1"/>
        <v>6</v>
      </c>
      <c r="E7" s="46"/>
    </row>
    <row r="8" spans="1:6" x14ac:dyDescent="0.25">
      <c r="B8" s="1">
        <v>36770</v>
      </c>
      <c r="C8" s="23">
        <f t="shared" si="0"/>
        <v>2000</v>
      </c>
      <c r="D8" s="23">
        <f t="shared" si="1"/>
        <v>9</v>
      </c>
      <c r="E8" s="46"/>
    </row>
    <row r="9" spans="1:6" x14ac:dyDescent="0.25">
      <c r="B9" s="1">
        <v>36861</v>
      </c>
      <c r="C9" s="23">
        <f t="shared" si="0"/>
        <v>2000</v>
      </c>
      <c r="D9" s="23">
        <f t="shared" si="1"/>
        <v>12</v>
      </c>
      <c r="E9" s="46"/>
    </row>
    <row r="10" spans="1:6" x14ac:dyDescent="0.25">
      <c r="B10" s="1">
        <v>36951</v>
      </c>
      <c r="C10" s="23">
        <f t="shared" si="0"/>
        <v>2001</v>
      </c>
      <c r="D10" s="23">
        <f t="shared" si="1"/>
        <v>3</v>
      </c>
      <c r="E10" s="46"/>
    </row>
    <row r="11" spans="1:6" x14ac:dyDescent="0.25">
      <c r="B11" s="1">
        <v>37043</v>
      </c>
      <c r="C11" s="23">
        <f t="shared" si="0"/>
        <v>2001</v>
      </c>
      <c r="D11" s="23">
        <f t="shared" si="1"/>
        <v>6</v>
      </c>
      <c r="E11" s="46"/>
    </row>
    <row r="12" spans="1:6" x14ac:dyDescent="0.25">
      <c r="B12" s="1">
        <v>37135</v>
      </c>
      <c r="C12" s="23">
        <f t="shared" si="0"/>
        <v>2001</v>
      </c>
      <c r="D12" s="23">
        <f t="shared" si="1"/>
        <v>9</v>
      </c>
      <c r="E12" s="46"/>
    </row>
    <row r="13" spans="1:6" x14ac:dyDescent="0.25">
      <c r="B13" s="1">
        <v>37226</v>
      </c>
      <c r="C13" s="23">
        <f t="shared" si="0"/>
        <v>2001</v>
      </c>
      <c r="D13" s="23">
        <f t="shared" si="1"/>
        <v>12</v>
      </c>
      <c r="E13" s="46"/>
    </row>
    <row r="14" spans="1:6" x14ac:dyDescent="0.25">
      <c r="B14" s="1">
        <v>37316</v>
      </c>
      <c r="C14" s="23">
        <f t="shared" si="0"/>
        <v>2002</v>
      </c>
      <c r="D14" s="23">
        <f t="shared" si="1"/>
        <v>3</v>
      </c>
      <c r="E14" s="46"/>
    </row>
    <row r="15" spans="1:6" x14ac:dyDescent="0.25">
      <c r="B15" s="1">
        <v>37408</v>
      </c>
      <c r="C15" s="23">
        <f t="shared" si="0"/>
        <v>2002</v>
      </c>
      <c r="D15" s="23">
        <f t="shared" si="1"/>
        <v>6</v>
      </c>
      <c r="E15" s="46"/>
    </row>
    <row r="16" spans="1:6" x14ac:dyDescent="0.25">
      <c r="B16" s="1">
        <v>37500</v>
      </c>
      <c r="C16" s="23">
        <f t="shared" si="0"/>
        <v>2002</v>
      </c>
      <c r="D16" s="23">
        <f t="shared" si="1"/>
        <v>9</v>
      </c>
      <c r="E16" s="46"/>
    </row>
    <row r="17" spans="2:6" x14ac:dyDescent="0.25">
      <c r="B17" s="1">
        <v>37591</v>
      </c>
      <c r="C17" s="23">
        <f t="shared" si="0"/>
        <v>2002</v>
      </c>
      <c r="D17" s="23">
        <f t="shared" si="1"/>
        <v>12</v>
      </c>
      <c r="E17" s="46"/>
    </row>
    <row r="18" spans="2:6" x14ac:dyDescent="0.25">
      <c r="B18" s="1">
        <v>37681</v>
      </c>
      <c r="C18" s="23">
        <f t="shared" si="0"/>
        <v>2003</v>
      </c>
      <c r="D18" s="23">
        <f t="shared" si="1"/>
        <v>3</v>
      </c>
      <c r="E18" s="46"/>
    </row>
    <row r="19" spans="2:6" x14ac:dyDescent="0.25">
      <c r="B19" s="1">
        <v>37773</v>
      </c>
      <c r="C19" s="23">
        <f t="shared" si="0"/>
        <v>2003</v>
      </c>
      <c r="D19" s="23">
        <f t="shared" si="1"/>
        <v>6</v>
      </c>
      <c r="E19" s="46"/>
    </row>
    <row r="20" spans="2:6" x14ac:dyDescent="0.25">
      <c r="B20" s="1">
        <v>37865</v>
      </c>
      <c r="C20" s="23">
        <f t="shared" si="0"/>
        <v>2003</v>
      </c>
      <c r="D20" s="23">
        <f t="shared" si="1"/>
        <v>9</v>
      </c>
      <c r="E20" s="46"/>
    </row>
    <row r="21" spans="2:6" x14ac:dyDescent="0.25">
      <c r="B21" s="1">
        <v>37956</v>
      </c>
      <c r="C21" s="23">
        <f t="shared" si="0"/>
        <v>2003</v>
      </c>
      <c r="D21" s="23">
        <f t="shared" si="1"/>
        <v>12</v>
      </c>
      <c r="E21" s="46"/>
    </row>
    <row r="22" spans="2:6" x14ac:dyDescent="0.25">
      <c r="B22" s="1">
        <v>38047</v>
      </c>
      <c r="C22" s="23">
        <f t="shared" si="0"/>
        <v>2004</v>
      </c>
      <c r="D22" s="23">
        <f t="shared" si="1"/>
        <v>3</v>
      </c>
      <c r="E22" s="46"/>
    </row>
    <row r="23" spans="2:6" x14ac:dyDescent="0.25">
      <c r="B23" s="1">
        <v>38139</v>
      </c>
      <c r="C23" s="23">
        <f t="shared" si="0"/>
        <v>2004</v>
      </c>
      <c r="D23" s="23">
        <f t="shared" si="1"/>
        <v>6</v>
      </c>
      <c r="E23" s="46"/>
    </row>
    <row r="24" spans="2:6" x14ac:dyDescent="0.25">
      <c r="B24" s="1">
        <v>38231</v>
      </c>
      <c r="C24" s="23">
        <f t="shared" si="0"/>
        <v>2004</v>
      </c>
      <c r="D24" s="23">
        <f t="shared" si="1"/>
        <v>9</v>
      </c>
      <c r="E24" s="46"/>
    </row>
    <row r="25" spans="2:6" x14ac:dyDescent="0.25">
      <c r="B25" s="1">
        <v>38322</v>
      </c>
      <c r="C25" s="23">
        <f t="shared" si="0"/>
        <v>2004</v>
      </c>
      <c r="D25" s="23">
        <f t="shared" si="1"/>
        <v>12</v>
      </c>
      <c r="E25" s="46"/>
    </row>
    <row r="26" spans="2:6" x14ac:dyDescent="0.25">
      <c r="B26" s="1">
        <v>38412</v>
      </c>
      <c r="C26" s="23">
        <f t="shared" si="0"/>
        <v>2005</v>
      </c>
      <c r="D26" s="23">
        <f t="shared" si="1"/>
        <v>3</v>
      </c>
      <c r="E26" s="45"/>
    </row>
    <row r="27" spans="2:6" x14ac:dyDescent="0.25">
      <c r="B27" s="1">
        <v>38504</v>
      </c>
      <c r="C27" s="23">
        <f t="shared" si="0"/>
        <v>2005</v>
      </c>
      <c r="D27" s="23">
        <f t="shared" si="1"/>
        <v>6</v>
      </c>
      <c r="E27" s="45"/>
    </row>
    <row r="28" spans="2:6" x14ac:dyDescent="0.25">
      <c r="B28" s="1">
        <v>38596</v>
      </c>
      <c r="C28" s="23">
        <f t="shared" si="0"/>
        <v>2005</v>
      </c>
      <c r="D28" s="23">
        <f t="shared" si="1"/>
        <v>9</v>
      </c>
      <c r="E28" s="45"/>
    </row>
    <row r="29" spans="2:6" x14ac:dyDescent="0.25">
      <c r="B29" s="1">
        <v>38687</v>
      </c>
      <c r="C29" s="23">
        <f t="shared" si="0"/>
        <v>2005</v>
      </c>
      <c r="D29" s="23">
        <f t="shared" si="1"/>
        <v>12</v>
      </c>
      <c r="E29" s="45"/>
    </row>
    <row r="30" spans="2:6" x14ac:dyDescent="0.25">
      <c r="B30" s="1">
        <v>38777</v>
      </c>
      <c r="C30" s="23">
        <f t="shared" si="0"/>
        <v>2006</v>
      </c>
      <c r="D30" s="23">
        <f t="shared" si="1"/>
        <v>3</v>
      </c>
      <c r="E30" s="46">
        <f>AVERAGEIFS('qld-rent-combined'!$D:$D,'qld-rent-combined'!$A:$A,"Brisbane",'qld-rent-combined'!$B:$B,$B30,'qld-rent-combined'!$C:$C,"Flat 2")</f>
        <v>220</v>
      </c>
    </row>
    <row r="31" spans="2:6" x14ac:dyDescent="0.25">
      <c r="B31" s="1">
        <v>38869</v>
      </c>
      <c r="C31" s="23">
        <f t="shared" si="0"/>
        <v>2006</v>
      </c>
      <c r="D31" s="23">
        <f t="shared" si="1"/>
        <v>6</v>
      </c>
      <c r="E31" s="46">
        <f>AVERAGEIFS('qld-rent-combined'!$D:$D,'qld-rent-combined'!$A:$A,"Brisbane",'qld-rent-combined'!$B:$B,$B31,'qld-rent-combined'!$C:$C,"Flat 2")</f>
        <v>220</v>
      </c>
      <c r="F31">
        <v>260</v>
      </c>
    </row>
    <row r="32" spans="2:6" x14ac:dyDescent="0.25">
      <c r="B32" s="1">
        <v>38961</v>
      </c>
      <c r="C32" s="23">
        <f t="shared" si="0"/>
        <v>2006</v>
      </c>
      <c r="D32" s="23">
        <f t="shared" si="1"/>
        <v>9</v>
      </c>
      <c r="E32" s="46">
        <f>AVERAGEIFS('qld-rent-combined'!$D:$D,'qld-rent-combined'!$A:$A,"Brisbane",'qld-rent-combined'!$B:$B,$B32,'qld-rent-combined'!$C:$C,"Flat 2")</f>
        <v>230</v>
      </c>
    </row>
    <row r="33" spans="1:6" x14ac:dyDescent="0.25">
      <c r="B33" s="1">
        <v>39052</v>
      </c>
      <c r="C33" s="23">
        <f t="shared" si="0"/>
        <v>2006</v>
      </c>
      <c r="D33" s="23">
        <f t="shared" si="1"/>
        <v>12</v>
      </c>
      <c r="E33" s="46">
        <f>AVERAGEIFS('qld-rent-combined'!$D:$D,'qld-rent-combined'!$A:$A,"Brisbane",'qld-rent-combined'!$B:$B,$B33,'qld-rent-combined'!$C:$C,"Flat 2")</f>
        <v>230</v>
      </c>
    </row>
    <row r="34" spans="1:6" x14ac:dyDescent="0.25">
      <c r="B34" s="1">
        <v>39142</v>
      </c>
      <c r="C34" s="23">
        <f t="shared" ref="C34:C65" si="2">YEAR(B34)</f>
        <v>2007</v>
      </c>
      <c r="D34" s="23">
        <f t="shared" ref="D34:D65" si="3">MONTH(B34)</f>
        <v>3</v>
      </c>
      <c r="E34" s="46">
        <f>AVERAGEIFS('qld-rent-combined'!$D:$D,'qld-rent-combined'!$A:$A,"Brisbane",'qld-rent-combined'!$B:$B,$B34,'qld-rent-combined'!$C:$C,"Flat 2")</f>
        <v>240</v>
      </c>
    </row>
    <row r="35" spans="1:6" x14ac:dyDescent="0.25">
      <c r="B35" s="1">
        <v>39234</v>
      </c>
      <c r="C35" s="23">
        <f t="shared" si="2"/>
        <v>2007</v>
      </c>
      <c r="D35" s="23">
        <f t="shared" si="3"/>
        <v>6</v>
      </c>
      <c r="E35" s="46">
        <f>AVERAGEIFS('qld-rent-combined'!$D:$D,'qld-rent-combined'!$A:$A,"Brisbane",'qld-rent-combined'!$B:$B,$B35,'qld-rent-combined'!$C:$C,"Flat 2")</f>
        <v>240</v>
      </c>
      <c r="F35">
        <v>300</v>
      </c>
    </row>
    <row r="36" spans="1:6" x14ac:dyDescent="0.25">
      <c r="B36" s="1">
        <v>39326</v>
      </c>
      <c r="C36" s="23">
        <f t="shared" si="2"/>
        <v>2007</v>
      </c>
      <c r="D36" s="23">
        <f t="shared" si="3"/>
        <v>9</v>
      </c>
      <c r="E36" s="46">
        <f>AVERAGEIFS('qld-rent-combined'!$D:$D,'qld-rent-combined'!$A:$A,"Brisbane",'qld-rent-combined'!$B:$B,$B36,'qld-rent-combined'!$C:$C,"Flat 2")</f>
        <v>250</v>
      </c>
    </row>
    <row r="37" spans="1:6" x14ac:dyDescent="0.25">
      <c r="B37" s="1">
        <v>39417</v>
      </c>
      <c r="C37" s="23">
        <f t="shared" si="2"/>
        <v>2007</v>
      </c>
      <c r="D37" s="23">
        <f t="shared" si="3"/>
        <v>12</v>
      </c>
      <c r="E37" s="46">
        <f>AVERAGEIFS('qld-rent-combined'!$D:$D,'qld-rent-combined'!$A:$A,"Brisbane",'qld-rent-combined'!$B:$B,$B37,'qld-rent-combined'!$C:$C,"Flat 2")</f>
        <v>250</v>
      </c>
    </row>
    <row r="38" spans="1:6" x14ac:dyDescent="0.25">
      <c r="B38" s="1">
        <v>39508</v>
      </c>
      <c r="C38" s="23">
        <f t="shared" si="2"/>
        <v>2008</v>
      </c>
      <c r="D38" s="23">
        <f t="shared" si="3"/>
        <v>3</v>
      </c>
      <c r="E38" s="46">
        <f>AVERAGEIFS('qld-rent-combined'!$D:$D,'qld-rent-combined'!$A:$A,"Brisbane",'qld-rent-combined'!$B:$B,$B38,'qld-rent-combined'!$C:$C,"Flat 2")</f>
        <v>260</v>
      </c>
    </row>
    <row r="39" spans="1:6" x14ac:dyDescent="0.25">
      <c r="B39" s="1">
        <v>39600</v>
      </c>
      <c r="C39" s="23">
        <f t="shared" si="2"/>
        <v>2008</v>
      </c>
      <c r="D39" s="23">
        <f t="shared" si="3"/>
        <v>6</v>
      </c>
      <c r="E39" s="46">
        <f>AVERAGEIFS('qld-rent-combined'!$D:$D,'qld-rent-combined'!$A:$A,"Brisbane",'qld-rent-combined'!$B:$B,$B39,'qld-rent-combined'!$C:$C,"Flat 2")</f>
        <v>260</v>
      </c>
      <c r="F39">
        <v>340</v>
      </c>
    </row>
    <row r="40" spans="1:6" x14ac:dyDescent="0.25">
      <c r="B40" s="1">
        <v>39692</v>
      </c>
      <c r="C40" s="23">
        <f t="shared" si="2"/>
        <v>2008</v>
      </c>
      <c r="D40" s="23">
        <f t="shared" si="3"/>
        <v>9</v>
      </c>
      <c r="E40" s="46">
        <f>AVERAGEIFS('qld-rent-combined'!$D:$D,'qld-rent-combined'!$A:$A,"Brisbane",'qld-rent-combined'!$B:$B,$B40,'qld-rent-combined'!$C:$C,"Flat 2")</f>
        <v>280</v>
      </c>
    </row>
    <row r="41" spans="1:6" x14ac:dyDescent="0.25">
      <c r="B41" s="1">
        <v>39783</v>
      </c>
      <c r="C41" s="23">
        <f t="shared" si="2"/>
        <v>2008</v>
      </c>
      <c r="D41" s="23">
        <f t="shared" si="3"/>
        <v>12</v>
      </c>
      <c r="E41" s="46">
        <f>AVERAGEIFS('qld-rent-combined'!$D:$D,'qld-rent-combined'!$A:$A,"Brisbane",'qld-rent-combined'!$B:$B,$B41,'qld-rent-combined'!$C:$C,"Flat 2")</f>
        <v>280</v>
      </c>
    </row>
    <row r="42" spans="1:6" x14ac:dyDescent="0.25">
      <c r="B42" s="1">
        <v>39873</v>
      </c>
      <c r="C42" s="23">
        <f t="shared" si="2"/>
        <v>2009</v>
      </c>
      <c r="D42" s="23">
        <f t="shared" si="3"/>
        <v>3</v>
      </c>
      <c r="E42" s="46">
        <f>AVERAGEIFS('qld-rent-combined'!$D:$D,'qld-rent-combined'!$A:$A,"Brisbane",'qld-rent-combined'!$B:$B,$B42,'qld-rent-combined'!$C:$C,"Flat 2")</f>
        <v>300</v>
      </c>
    </row>
    <row r="43" spans="1:6" x14ac:dyDescent="0.25">
      <c r="B43" s="1">
        <v>39965</v>
      </c>
      <c r="C43" s="23">
        <f t="shared" si="2"/>
        <v>2009</v>
      </c>
      <c r="D43" s="23">
        <f t="shared" si="3"/>
        <v>6</v>
      </c>
      <c r="E43" s="46">
        <f>AVERAGEIFS('qld-rent-combined'!$D:$D,'qld-rent-combined'!$A:$A,"Brisbane",'qld-rent-combined'!$B:$B,$B43,'qld-rent-combined'!$C:$C,"Flat 2")</f>
        <v>300</v>
      </c>
      <c r="F43">
        <v>350</v>
      </c>
    </row>
    <row r="44" spans="1:6" x14ac:dyDescent="0.25">
      <c r="B44" s="1">
        <v>40057</v>
      </c>
      <c r="C44" s="23">
        <f t="shared" si="2"/>
        <v>2009</v>
      </c>
      <c r="D44" s="23">
        <f t="shared" si="3"/>
        <v>9</v>
      </c>
      <c r="E44" s="46">
        <f>AVERAGEIFS('qld-rent-combined'!$D:$D,'qld-rent-combined'!$A:$A,"Brisbane",'qld-rent-combined'!$B:$B,$B44,'qld-rent-combined'!$C:$C,"Flat 2")</f>
        <v>305</v>
      </c>
    </row>
    <row r="45" spans="1:6" x14ac:dyDescent="0.25">
      <c r="B45" s="1">
        <v>40148</v>
      </c>
      <c r="C45" s="23">
        <f t="shared" si="2"/>
        <v>2009</v>
      </c>
      <c r="D45" s="23">
        <f t="shared" si="3"/>
        <v>12</v>
      </c>
      <c r="E45" s="46">
        <f>AVERAGEIFS('qld-rent-combined'!$D:$D,'qld-rent-combined'!$A:$A,"Brisbane",'qld-rent-combined'!$B:$B,$B45,'qld-rent-combined'!$C:$C,"Flat 2")</f>
        <v>310</v>
      </c>
    </row>
    <row r="46" spans="1:6" x14ac:dyDescent="0.25">
      <c r="A46" s="3"/>
      <c r="B46" s="1">
        <v>40238</v>
      </c>
      <c r="C46" s="23">
        <f t="shared" si="2"/>
        <v>2010</v>
      </c>
      <c r="D46" s="23">
        <f t="shared" si="3"/>
        <v>3</v>
      </c>
      <c r="E46" s="46">
        <f>AVERAGEIFS('qld-rent-combined'!$D:$D,'qld-rent-combined'!$A:$A,"Brisbane",'qld-rent-combined'!$B:$B,$B46,'qld-rent-combined'!$C:$C,"Flat 2")</f>
        <v>320</v>
      </c>
    </row>
    <row r="47" spans="1:6" x14ac:dyDescent="0.25">
      <c r="A47" s="3"/>
      <c r="B47" s="1">
        <v>40330</v>
      </c>
      <c r="C47" s="23">
        <f t="shared" si="2"/>
        <v>2010</v>
      </c>
      <c r="D47" s="23">
        <f t="shared" si="3"/>
        <v>6</v>
      </c>
      <c r="E47" s="46">
        <f>AVERAGEIFS('qld-rent-combined'!$D:$D,'qld-rent-combined'!$A:$A,"Brisbane",'qld-rent-combined'!$B:$B,$B47,'qld-rent-combined'!$C:$C,"Flat 2")</f>
        <v>340</v>
      </c>
      <c r="F47">
        <v>360</v>
      </c>
    </row>
    <row r="48" spans="1:6" x14ac:dyDescent="0.25">
      <c r="A48" s="3"/>
      <c r="B48" s="1">
        <v>40422</v>
      </c>
      <c r="C48" s="23">
        <f t="shared" si="2"/>
        <v>2010</v>
      </c>
      <c r="D48" s="23">
        <f t="shared" si="3"/>
        <v>9</v>
      </c>
      <c r="E48" s="46">
        <f>AVERAGEIFS('qld-rent-combined'!$D:$D,'qld-rent-combined'!$A:$A,"Brisbane",'qld-rent-combined'!$B:$B,$B48,'qld-rent-combined'!$C:$C,"Flat 2")</f>
        <v>345</v>
      </c>
    </row>
    <row r="49" spans="1:6" x14ac:dyDescent="0.25">
      <c r="A49" s="3"/>
      <c r="B49" s="1">
        <v>40513</v>
      </c>
      <c r="C49" s="23">
        <f t="shared" si="2"/>
        <v>2010</v>
      </c>
      <c r="D49" s="23">
        <f t="shared" si="3"/>
        <v>12</v>
      </c>
      <c r="E49" s="46">
        <f>AVERAGEIFS('qld-rent-combined'!$D:$D,'qld-rent-combined'!$A:$A,"Brisbane",'qld-rent-combined'!$B:$B,$B49,'qld-rent-combined'!$C:$C,"Flat 2")</f>
        <v>350</v>
      </c>
    </row>
    <row r="50" spans="1:6" x14ac:dyDescent="0.25">
      <c r="A50" s="3"/>
      <c r="B50" s="1">
        <v>40603</v>
      </c>
      <c r="C50" s="23">
        <f t="shared" si="2"/>
        <v>2011</v>
      </c>
      <c r="D50" s="23">
        <f t="shared" si="3"/>
        <v>3</v>
      </c>
      <c r="E50" s="46">
        <f>AVERAGEIFS('qld-rent-combined'!$D:$D,'qld-rent-combined'!$A:$A,"Brisbane",'qld-rent-combined'!$B:$B,$B50,'qld-rent-combined'!$C:$C,"Flat 2")</f>
        <v>360</v>
      </c>
    </row>
    <row r="51" spans="1:6" x14ac:dyDescent="0.25">
      <c r="A51" s="3"/>
      <c r="B51" s="1">
        <v>40695</v>
      </c>
      <c r="C51" s="23">
        <f t="shared" si="2"/>
        <v>2011</v>
      </c>
      <c r="D51" s="23">
        <f t="shared" si="3"/>
        <v>6</v>
      </c>
      <c r="E51" s="64">
        <f>E50+(E54-E50)*1/4</f>
        <v>362.84813554077056</v>
      </c>
      <c r="F51">
        <v>380</v>
      </c>
    </row>
    <row r="52" spans="1:6" x14ac:dyDescent="0.25">
      <c r="A52" s="3"/>
      <c r="B52" s="1">
        <v>40787</v>
      </c>
      <c r="C52" s="23">
        <f t="shared" si="2"/>
        <v>2011</v>
      </c>
      <c r="D52" s="23">
        <f t="shared" si="3"/>
        <v>9</v>
      </c>
      <c r="E52" s="64">
        <f>E51+(E51-E50)</f>
        <v>365.69627108154111</v>
      </c>
    </row>
    <row r="53" spans="1:6" x14ac:dyDescent="0.25">
      <c r="A53" s="3"/>
      <c r="B53" s="1">
        <v>40878</v>
      </c>
      <c r="C53" s="23">
        <f t="shared" si="2"/>
        <v>2011</v>
      </c>
      <c r="D53" s="23">
        <f t="shared" si="3"/>
        <v>12</v>
      </c>
      <c r="E53" s="64">
        <f>E52+(E52-E51)</f>
        <v>368.54440662231167</v>
      </c>
    </row>
    <row r="54" spans="1:6" x14ac:dyDescent="0.25">
      <c r="A54" s="3"/>
      <c r="B54" s="1">
        <v>40969</v>
      </c>
      <c r="C54" s="23">
        <f t="shared" si="2"/>
        <v>2012</v>
      </c>
      <c r="D54" s="23">
        <f t="shared" si="3"/>
        <v>3</v>
      </c>
      <c r="E54" s="7" cm="1">
        <f t="array" ref="E54:E109">TRANSPOSE('lga-weighted-average'!$C$31:$BF$31)</f>
        <v>371.39254216308217</v>
      </c>
    </row>
    <row r="55" spans="1:6" x14ac:dyDescent="0.25">
      <c r="A55" s="3"/>
      <c r="B55" s="1">
        <v>41061</v>
      </c>
      <c r="C55" s="23">
        <f t="shared" si="2"/>
        <v>2012</v>
      </c>
      <c r="D55" s="23">
        <f t="shared" si="3"/>
        <v>6</v>
      </c>
      <c r="E55" s="7">
        <v>365.410989010989</v>
      </c>
    </row>
    <row r="56" spans="1:6" x14ac:dyDescent="0.25">
      <c r="A56" s="3"/>
      <c r="B56" s="1">
        <v>41153</v>
      </c>
      <c r="C56" s="23">
        <f t="shared" si="2"/>
        <v>2012</v>
      </c>
      <c r="D56" s="23">
        <f t="shared" si="3"/>
        <v>9</v>
      </c>
      <c r="E56" s="7">
        <v>373.88494045332311</v>
      </c>
    </row>
    <row r="57" spans="1:6" x14ac:dyDescent="0.25">
      <c r="A57" s="3"/>
      <c r="B57" s="1">
        <v>41244</v>
      </c>
      <c r="C57" s="23">
        <f t="shared" si="2"/>
        <v>2012</v>
      </c>
      <c r="D57" s="23">
        <f t="shared" si="3"/>
        <v>12</v>
      </c>
      <c r="E57" s="7">
        <v>365.91248303934873</v>
      </c>
    </row>
    <row r="58" spans="1:6" x14ac:dyDescent="0.25">
      <c r="A58" s="3"/>
      <c r="B58" s="1">
        <v>41334</v>
      </c>
      <c r="C58" s="23">
        <f t="shared" si="2"/>
        <v>2013</v>
      </c>
      <c r="D58" s="23">
        <f t="shared" si="3"/>
        <v>3</v>
      </c>
      <c r="E58" s="7">
        <v>377.24376079108458</v>
      </c>
    </row>
    <row r="59" spans="1:6" x14ac:dyDescent="0.25">
      <c r="A59" s="3"/>
      <c r="B59" s="1">
        <v>41426</v>
      </c>
      <c r="C59" s="23">
        <f t="shared" si="2"/>
        <v>2013</v>
      </c>
      <c r="D59" s="23">
        <f t="shared" si="3"/>
        <v>6</v>
      </c>
      <c r="E59" s="7">
        <v>367.70628473706711</v>
      </c>
    </row>
    <row r="60" spans="1:6" x14ac:dyDescent="0.25">
      <c r="A60" s="3"/>
      <c r="B60" s="1">
        <v>41518</v>
      </c>
      <c r="C60" s="23">
        <f t="shared" si="2"/>
        <v>2013</v>
      </c>
      <c r="D60" s="23">
        <f t="shared" si="3"/>
        <v>9</v>
      </c>
      <c r="E60" s="7">
        <v>373.70840546258898</v>
      </c>
    </row>
    <row r="61" spans="1:6" x14ac:dyDescent="0.25">
      <c r="A61" s="3"/>
      <c r="B61" s="1">
        <v>41609</v>
      </c>
      <c r="C61" s="23">
        <f t="shared" si="2"/>
        <v>2013</v>
      </c>
      <c r="D61" s="23">
        <f t="shared" si="3"/>
        <v>12</v>
      </c>
      <c r="E61" s="7">
        <v>373.86238126794785</v>
      </c>
    </row>
    <row r="62" spans="1:6" x14ac:dyDescent="0.25">
      <c r="A62" s="3"/>
      <c r="B62" s="1">
        <v>41699</v>
      </c>
      <c r="C62" s="23">
        <f t="shared" si="2"/>
        <v>2014</v>
      </c>
      <c r="D62" s="23">
        <f t="shared" si="3"/>
        <v>3</v>
      </c>
      <c r="E62" s="7">
        <v>382.91883752446921</v>
      </c>
    </row>
    <row r="63" spans="1:6" x14ac:dyDescent="0.25">
      <c r="A63" s="3"/>
      <c r="B63" s="1">
        <v>41791</v>
      </c>
      <c r="C63" s="23">
        <f t="shared" si="2"/>
        <v>2014</v>
      </c>
      <c r="D63" s="23">
        <f t="shared" si="3"/>
        <v>6</v>
      </c>
      <c r="E63" s="7">
        <v>372.4828252468871</v>
      </c>
    </row>
    <row r="64" spans="1:6" x14ac:dyDescent="0.25">
      <c r="A64" s="3"/>
      <c r="B64" s="1">
        <v>41883</v>
      </c>
      <c r="C64" s="23">
        <f t="shared" si="2"/>
        <v>2014</v>
      </c>
      <c r="D64" s="23">
        <f t="shared" si="3"/>
        <v>9</v>
      </c>
      <c r="E64" s="7">
        <v>376.81692222427489</v>
      </c>
    </row>
    <row r="65" spans="1:5" x14ac:dyDescent="0.25">
      <c r="A65" s="3"/>
      <c r="B65" s="1">
        <v>41974</v>
      </c>
      <c r="C65" s="23">
        <f t="shared" si="2"/>
        <v>2014</v>
      </c>
      <c r="D65" s="23">
        <f t="shared" si="3"/>
        <v>12</v>
      </c>
      <c r="E65" s="7">
        <v>378.17672682016178</v>
      </c>
    </row>
    <row r="66" spans="1:5" x14ac:dyDescent="0.25">
      <c r="A66" s="3"/>
      <c r="B66" s="1">
        <v>42064</v>
      </c>
      <c r="C66" s="23">
        <f t="shared" ref="C66:C97" si="4">YEAR(B66)</f>
        <v>2015</v>
      </c>
      <c r="D66" s="23">
        <f t="shared" ref="D66:D97" si="5">MONTH(B66)</f>
        <v>3</v>
      </c>
      <c r="E66" s="7">
        <v>383.38621679827708</v>
      </c>
    </row>
    <row r="67" spans="1:5" x14ac:dyDescent="0.25">
      <c r="A67" s="3"/>
      <c r="B67" s="1">
        <v>42156</v>
      </c>
      <c r="C67" s="23">
        <f t="shared" si="4"/>
        <v>2015</v>
      </c>
      <c r="D67" s="23">
        <f t="shared" si="5"/>
        <v>6</v>
      </c>
      <c r="E67" s="7">
        <v>378.66693116445151</v>
      </c>
    </row>
    <row r="68" spans="1:5" x14ac:dyDescent="0.25">
      <c r="A68" s="3"/>
      <c r="B68" s="1">
        <v>42248</v>
      </c>
      <c r="C68" s="23">
        <f t="shared" si="4"/>
        <v>2015</v>
      </c>
      <c r="D68" s="23">
        <f t="shared" si="5"/>
        <v>9</v>
      </c>
      <c r="E68" s="7">
        <v>379.91553465691396</v>
      </c>
    </row>
    <row r="69" spans="1:5" x14ac:dyDescent="0.25">
      <c r="A69" s="3"/>
      <c r="B69" s="1">
        <v>42339</v>
      </c>
      <c r="C69" s="23">
        <f t="shared" si="4"/>
        <v>2015</v>
      </c>
      <c r="D69" s="23">
        <f t="shared" si="5"/>
        <v>12</v>
      </c>
      <c r="E69" s="7">
        <v>379.33762737935012</v>
      </c>
    </row>
    <row r="70" spans="1:5" x14ac:dyDescent="0.25">
      <c r="A70" s="3"/>
      <c r="B70" s="1">
        <v>42430</v>
      </c>
      <c r="C70" s="23">
        <f t="shared" si="4"/>
        <v>2016</v>
      </c>
      <c r="D70" s="23">
        <f t="shared" si="5"/>
        <v>3</v>
      </c>
      <c r="E70" s="7">
        <v>392.7373461012312</v>
      </c>
    </row>
    <row r="71" spans="1:5" x14ac:dyDescent="0.25">
      <c r="A71" s="3"/>
      <c r="B71" s="1">
        <v>42522</v>
      </c>
      <c r="C71" s="23">
        <f t="shared" si="4"/>
        <v>2016</v>
      </c>
      <c r="D71" s="23">
        <f t="shared" si="5"/>
        <v>6</v>
      </c>
      <c r="E71" s="7">
        <v>380.62956871345028</v>
      </c>
    </row>
    <row r="72" spans="1:5" x14ac:dyDescent="0.25">
      <c r="A72" s="3"/>
      <c r="B72" s="1">
        <v>42614</v>
      </c>
      <c r="C72" s="23">
        <f t="shared" si="4"/>
        <v>2016</v>
      </c>
      <c r="D72" s="23">
        <f t="shared" si="5"/>
        <v>9</v>
      </c>
      <c r="E72" s="7">
        <v>381.9736842105263</v>
      </c>
    </row>
    <row r="73" spans="1:5" x14ac:dyDescent="0.25">
      <c r="A73" s="3"/>
      <c r="B73" s="1">
        <v>42705</v>
      </c>
      <c r="C73" s="23">
        <f t="shared" si="4"/>
        <v>2016</v>
      </c>
      <c r="D73" s="23">
        <f t="shared" si="5"/>
        <v>12</v>
      </c>
      <c r="E73" s="7">
        <v>400.0148887721142</v>
      </c>
    </row>
    <row r="74" spans="1:5" x14ac:dyDescent="0.25">
      <c r="A74" s="3"/>
      <c r="B74" s="1">
        <v>42795</v>
      </c>
      <c r="C74" s="23">
        <f t="shared" si="4"/>
        <v>2017</v>
      </c>
      <c r="D74" s="23">
        <f t="shared" si="5"/>
        <v>3</v>
      </c>
      <c r="E74" s="7">
        <v>403.78747501665555</v>
      </c>
    </row>
    <row r="75" spans="1:5" x14ac:dyDescent="0.25">
      <c r="A75" s="3"/>
      <c r="B75" s="1">
        <v>42887</v>
      </c>
      <c r="C75" s="23">
        <f t="shared" si="4"/>
        <v>2017</v>
      </c>
      <c r="D75" s="23">
        <f t="shared" si="5"/>
        <v>6</v>
      </c>
      <c r="E75" s="7">
        <v>382.58409014463507</v>
      </c>
    </row>
    <row r="76" spans="1:5" x14ac:dyDescent="0.25">
      <c r="A76" s="3"/>
      <c r="B76" s="1">
        <v>42979</v>
      </c>
      <c r="C76" s="23">
        <f t="shared" si="4"/>
        <v>2017</v>
      </c>
      <c r="D76" s="23">
        <f t="shared" si="5"/>
        <v>9</v>
      </c>
      <c r="E76" s="7">
        <v>383.55452674897117</v>
      </c>
    </row>
    <row r="77" spans="1:5" x14ac:dyDescent="0.25">
      <c r="A77" s="3"/>
      <c r="B77" s="1">
        <v>43070</v>
      </c>
      <c r="C77" s="23">
        <f t="shared" si="4"/>
        <v>2017</v>
      </c>
      <c r="D77" s="23">
        <f t="shared" si="5"/>
        <v>12</v>
      </c>
      <c r="E77" s="7">
        <v>383.44907026493337</v>
      </c>
    </row>
    <row r="78" spans="1:5" x14ac:dyDescent="0.25">
      <c r="A78" s="3"/>
      <c r="B78" s="1">
        <v>43160</v>
      </c>
      <c r="C78" s="23">
        <f t="shared" si="4"/>
        <v>2018</v>
      </c>
      <c r="D78" s="23">
        <f t="shared" si="5"/>
        <v>3</v>
      </c>
      <c r="E78" s="7">
        <v>405.29803145276588</v>
      </c>
    </row>
    <row r="79" spans="1:5" x14ac:dyDescent="0.25">
      <c r="A79" s="3"/>
      <c r="B79" s="1">
        <v>43252</v>
      </c>
      <c r="C79" s="23">
        <f t="shared" si="4"/>
        <v>2018</v>
      </c>
      <c r="D79" s="23">
        <f t="shared" si="5"/>
        <v>6</v>
      </c>
      <c r="E79" s="7">
        <v>390.59054749649039</v>
      </c>
    </row>
    <row r="80" spans="1:5" x14ac:dyDescent="0.25">
      <c r="A80" s="3"/>
      <c r="B80" s="1">
        <v>43344</v>
      </c>
      <c r="C80" s="23">
        <f t="shared" si="4"/>
        <v>2018</v>
      </c>
      <c r="D80" s="23">
        <f t="shared" si="5"/>
        <v>9</v>
      </c>
      <c r="E80" s="7">
        <v>401.02602905569006</v>
      </c>
    </row>
    <row r="81" spans="1:5" x14ac:dyDescent="0.25">
      <c r="A81" s="3"/>
      <c r="B81" s="1">
        <v>43435</v>
      </c>
      <c r="C81" s="23">
        <f t="shared" si="4"/>
        <v>2018</v>
      </c>
      <c r="D81" s="23">
        <f t="shared" si="5"/>
        <v>12</v>
      </c>
      <c r="E81" s="7">
        <v>399.74854063762911</v>
      </c>
    </row>
    <row r="82" spans="1:5" x14ac:dyDescent="0.25">
      <c r="A82" s="3"/>
      <c r="B82" s="1">
        <v>43525</v>
      </c>
      <c r="C82" s="23">
        <f t="shared" si="4"/>
        <v>2019</v>
      </c>
      <c r="D82" s="23">
        <f t="shared" si="5"/>
        <v>3</v>
      </c>
      <c r="E82" s="7">
        <v>414.52888995444738</v>
      </c>
    </row>
    <row r="83" spans="1:5" x14ac:dyDescent="0.25">
      <c r="A83" s="3"/>
      <c r="B83" s="1">
        <v>43617</v>
      </c>
      <c r="C83" s="23">
        <f t="shared" si="4"/>
        <v>2019</v>
      </c>
      <c r="D83" s="23">
        <f t="shared" si="5"/>
        <v>6</v>
      </c>
      <c r="E83" s="7">
        <v>399.31354964943745</v>
      </c>
    </row>
    <row r="84" spans="1:5" x14ac:dyDescent="0.25">
      <c r="A84" s="3"/>
      <c r="B84" s="1">
        <v>43709</v>
      </c>
      <c r="C84" s="23">
        <f t="shared" si="4"/>
        <v>2019</v>
      </c>
      <c r="D84" s="23">
        <f t="shared" si="5"/>
        <v>9</v>
      </c>
      <c r="E84" s="7">
        <v>407.70040160642571</v>
      </c>
    </row>
    <row r="85" spans="1:5" x14ac:dyDescent="0.25">
      <c r="A85" s="3"/>
      <c r="B85" s="1">
        <v>43800</v>
      </c>
      <c r="C85" s="23">
        <f t="shared" si="4"/>
        <v>2019</v>
      </c>
      <c r="D85" s="23">
        <f t="shared" si="5"/>
        <v>12</v>
      </c>
      <c r="E85" s="7">
        <v>398.31415929203541</v>
      </c>
    </row>
    <row r="86" spans="1:5" x14ac:dyDescent="0.25">
      <c r="A86" s="3"/>
      <c r="B86" s="1">
        <v>43891</v>
      </c>
      <c r="C86" s="23">
        <f t="shared" si="4"/>
        <v>2020</v>
      </c>
      <c r="D86" s="23">
        <f t="shared" si="5"/>
        <v>3</v>
      </c>
      <c r="E86" s="7">
        <v>422.45527452190004</v>
      </c>
    </row>
    <row r="87" spans="1:5" x14ac:dyDescent="0.25">
      <c r="A87" s="3"/>
      <c r="B87" s="1">
        <v>43983</v>
      </c>
      <c r="C87" s="23">
        <f t="shared" si="4"/>
        <v>2020</v>
      </c>
      <c r="D87" s="23">
        <f t="shared" si="5"/>
        <v>6</v>
      </c>
      <c r="E87" s="7">
        <v>390.56280712530713</v>
      </c>
    </row>
    <row r="88" spans="1:5" x14ac:dyDescent="0.25">
      <c r="A88" s="3"/>
      <c r="B88" s="1">
        <v>44075</v>
      </c>
      <c r="C88" s="23">
        <f t="shared" si="4"/>
        <v>2020</v>
      </c>
      <c r="D88" s="23">
        <f t="shared" si="5"/>
        <v>9</v>
      </c>
      <c r="E88" s="7">
        <v>403.66463414634148</v>
      </c>
    </row>
    <row r="89" spans="1:5" x14ac:dyDescent="0.25">
      <c r="A89" s="3"/>
      <c r="B89" s="1">
        <v>44166</v>
      </c>
      <c r="C89" s="23">
        <f t="shared" si="4"/>
        <v>2020</v>
      </c>
      <c r="D89" s="23">
        <f t="shared" si="5"/>
        <v>12</v>
      </c>
      <c r="E89" s="7">
        <v>408.22685512367491</v>
      </c>
    </row>
    <row r="90" spans="1:5" x14ac:dyDescent="0.25">
      <c r="A90" s="3"/>
      <c r="B90" s="1">
        <v>44256</v>
      </c>
      <c r="C90" s="23">
        <f t="shared" si="4"/>
        <v>2021</v>
      </c>
      <c r="D90" s="23">
        <f t="shared" si="5"/>
        <v>3</v>
      </c>
      <c r="E90" s="7">
        <v>421.41623284429721</v>
      </c>
    </row>
    <row r="91" spans="1:5" x14ac:dyDescent="0.25">
      <c r="A91" s="3"/>
      <c r="B91" s="1">
        <v>44348</v>
      </c>
      <c r="C91" s="23">
        <f t="shared" si="4"/>
        <v>2021</v>
      </c>
      <c r="D91" s="23">
        <f t="shared" si="5"/>
        <v>6</v>
      </c>
      <c r="E91" s="7">
        <v>413.78804347826087</v>
      </c>
    </row>
    <row r="92" spans="1:5" x14ac:dyDescent="0.25">
      <c r="A92" s="3"/>
      <c r="B92" s="1">
        <v>44440</v>
      </c>
      <c r="C92" s="23">
        <f t="shared" si="4"/>
        <v>2021</v>
      </c>
      <c r="D92" s="23">
        <f t="shared" si="5"/>
        <v>9</v>
      </c>
      <c r="E92" s="7">
        <v>431.51789865178989</v>
      </c>
    </row>
    <row r="93" spans="1:5" x14ac:dyDescent="0.25">
      <c r="A93" s="3"/>
      <c r="B93" s="1">
        <v>44531</v>
      </c>
      <c r="C93" s="23">
        <f t="shared" si="4"/>
        <v>2021</v>
      </c>
      <c r="D93" s="23">
        <f t="shared" si="5"/>
        <v>12</v>
      </c>
      <c r="E93" s="7">
        <v>433.07956542578688</v>
      </c>
    </row>
    <row r="94" spans="1:5" x14ac:dyDescent="0.25">
      <c r="A94" s="3"/>
      <c r="B94" s="1">
        <v>44621</v>
      </c>
      <c r="C94" s="23">
        <f t="shared" si="4"/>
        <v>2022</v>
      </c>
      <c r="D94" s="23">
        <f t="shared" si="5"/>
        <v>3</v>
      </c>
      <c r="E94" s="7">
        <v>446.08034593388197</v>
      </c>
    </row>
    <row r="95" spans="1:5" x14ac:dyDescent="0.25">
      <c r="A95" s="3"/>
      <c r="B95" s="1">
        <v>44713</v>
      </c>
      <c r="C95" s="23">
        <f t="shared" si="4"/>
        <v>2022</v>
      </c>
      <c r="D95" s="23">
        <f t="shared" si="5"/>
        <v>6</v>
      </c>
      <c r="E95" s="7">
        <v>461.9064499394778</v>
      </c>
    </row>
    <row r="96" spans="1:5" x14ac:dyDescent="0.25">
      <c r="A96" s="3"/>
      <c r="B96" s="1">
        <v>44805</v>
      </c>
      <c r="C96" s="23">
        <f t="shared" si="4"/>
        <v>2022</v>
      </c>
      <c r="D96" s="23">
        <f t="shared" si="5"/>
        <v>9</v>
      </c>
      <c r="E96" s="7">
        <v>481.55121951219513</v>
      </c>
    </row>
    <row r="97" spans="1:5" x14ac:dyDescent="0.25">
      <c r="A97" s="3"/>
      <c r="B97" s="1">
        <v>44896</v>
      </c>
      <c r="C97" s="23">
        <f t="shared" si="4"/>
        <v>2022</v>
      </c>
      <c r="D97" s="23">
        <f t="shared" si="5"/>
        <v>12</v>
      </c>
      <c r="E97" s="7">
        <v>498.72424557752339</v>
      </c>
    </row>
    <row r="98" spans="1:5" x14ac:dyDescent="0.25">
      <c r="B98" s="1">
        <v>44986</v>
      </c>
      <c r="C98" s="23">
        <f t="shared" ref="C98:C109" si="6">YEAR(B98)</f>
        <v>2023</v>
      </c>
      <c r="D98" s="23">
        <f t="shared" ref="D98:D109" si="7">MONTH(B98)</f>
        <v>3</v>
      </c>
      <c r="E98" s="7">
        <v>529.66630395357276</v>
      </c>
    </row>
    <row r="99" spans="1:5" x14ac:dyDescent="0.25">
      <c r="B99" s="1">
        <v>45078</v>
      </c>
      <c r="C99" s="23">
        <f t="shared" si="6"/>
        <v>2023</v>
      </c>
      <c r="D99" s="23">
        <f t="shared" si="7"/>
        <v>6</v>
      </c>
      <c r="E99" s="7">
        <v>549.84795321637432</v>
      </c>
    </row>
    <row r="100" spans="1:5" x14ac:dyDescent="0.25">
      <c r="B100" s="1">
        <v>45170</v>
      </c>
      <c r="C100" s="23">
        <f t="shared" si="6"/>
        <v>2023</v>
      </c>
      <c r="D100" s="23">
        <f t="shared" si="7"/>
        <v>9</v>
      </c>
      <c r="E100" s="7">
        <v>569.62572674418607</v>
      </c>
    </row>
    <row r="101" spans="1:5" x14ac:dyDescent="0.25">
      <c r="B101" s="1">
        <v>45261</v>
      </c>
      <c r="C101" s="23">
        <f t="shared" si="6"/>
        <v>2023</v>
      </c>
      <c r="D101" s="23">
        <f t="shared" si="7"/>
        <v>12</v>
      </c>
      <c r="E101" s="7">
        <v>570.99659284497443</v>
      </c>
    </row>
    <row r="102" spans="1:5" x14ac:dyDescent="0.25">
      <c r="B102" s="1">
        <v>45352</v>
      </c>
      <c r="C102" s="23">
        <f t="shared" si="6"/>
        <v>2024</v>
      </c>
      <c r="D102" s="23">
        <f t="shared" si="7"/>
        <v>3</v>
      </c>
      <c r="E102" s="7">
        <v>614.76835236541604</v>
      </c>
    </row>
    <row r="103" spans="1:5" x14ac:dyDescent="0.25">
      <c r="B103" s="1">
        <v>45444</v>
      </c>
      <c r="C103" s="23">
        <f t="shared" si="6"/>
        <v>2024</v>
      </c>
      <c r="D103" s="23">
        <f t="shared" si="7"/>
        <v>6</v>
      </c>
      <c r="E103" s="7">
        <v>600.74889867841409</v>
      </c>
    </row>
    <row r="104" spans="1:5" x14ac:dyDescent="0.25">
      <c r="B104" s="1">
        <v>45536</v>
      </c>
      <c r="C104" s="23">
        <f t="shared" si="6"/>
        <v>2024</v>
      </c>
      <c r="D104" s="23">
        <f t="shared" si="7"/>
        <v>9</v>
      </c>
      <c r="E104" s="7">
        <v>602.50047465350292</v>
      </c>
    </row>
    <row r="105" spans="1:5" x14ac:dyDescent="0.25">
      <c r="B105" s="1">
        <v>45627</v>
      </c>
      <c r="C105" s="23">
        <f t="shared" si="6"/>
        <v>2024</v>
      </c>
      <c r="D105" s="23">
        <f t="shared" si="7"/>
        <v>12</v>
      </c>
      <c r="E105" s="7">
        <v>620.86740770146889</v>
      </c>
    </row>
    <row r="106" spans="1:5" x14ac:dyDescent="0.25">
      <c r="B106" s="1">
        <v>45717</v>
      </c>
      <c r="C106" s="23">
        <f t="shared" si="6"/>
        <v>2025</v>
      </c>
      <c r="D106" s="23">
        <f t="shared" si="7"/>
        <v>3</v>
      </c>
      <c r="E106" s="7">
        <v>648.04511278195491</v>
      </c>
    </row>
    <row r="107" spans="1:5" x14ac:dyDescent="0.25">
      <c r="B107" s="1">
        <v>45809</v>
      </c>
      <c r="C107" s="23">
        <f t="shared" si="6"/>
        <v>2025</v>
      </c>
      <c r="D107" s="23">
        <f t="shared" si="7"/>
        <v>6</v>
      </c>
      <c r="E107" s="7">
        <v>635.62795275590554</v>
      </c>
    </row>
    <row r="108" spans="1:5" x14ac:dyDescent="0.25">
      <c r="B108" s="1">
        <v>45901</v>
      </c>
      <c r="C108" s="23">
        <f t="shared" si="6"/>
        <v>2025</v>
      </c>
      <c r="D108" s="23">
        <f t="shared" si="7"/>
        <v>9</v>
      </c>
      <c r="E108" s="7">
        <v>646.06879129420906</v>
      </c>
    </row>
    <row r="109" spans="1:5" x14ac:dyDescent="0.25">
      <c r="B109" s="1">
        <v>45992</v>
      </c>
      <c r="C109" s="23">
        <f t="shared" si="6"/>
        <v>2025</v>
      </c>
      <c r="D109" s="23">
        <f t="shared" si="7"/>
        <v>12</v>
      </c>
      <c r="E109" s="7">
        <v>656.57393292682923</v>
      </c>
    </row>
  </sheetData>
  <autoFilter ref="A1:E97" xr:uid="{57ABFE4F-8ED8-46E2-A3E7-D09420486E88}"/>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F109"/>
  <sheetViews>
    <sheetView workbookViewId="0">
      <pane ySplit="1" topLeftCell="A2" activePane="bottomLeft" state="frozen"/>
      <selection pane="bottomLeft" activeCell="G9" sqref="G9"/>
    </sheetView>
  </sheetViews>
  <sheetFormatPr defaultRowHeight="15" x14ac:dyDescent="0.25"/>
  <cols>
    <col min="1" max="1" width="33.42578125" bestFit="1" customWidth="1"/>
    <col min="5" max="5" width="11" bestFit="1" customWidth="1"/>
  </cols>
  <sheetData>
    <row r="1" spans="1:6" x14ac:dyDescent="0.25">
      <c r="A1" t="s">
        <v>5</v>
      </c>
      <c r="B1" s="1" t="s">
        <v>1</v>
      </c>
      <c r="C1" s="1" t="s">
        <v>633</v>
      </c>
      <c r="D1" s="1" t="s">
        <v>634</v>
      </c>
      <c r="E1" t="s">
        <v>635</v>
      </c>
      <c r="F1" s="1" t="s">
        <v>707</v>
      </c>
    </row>
    <row r="2" spans="1:6" x14ac:dyDescent="0.25">
      <c r="A2" t="s">
        <v>4</v>
      </c>
      <c r="B2" s="1">
        <v>36220</v>
      </c>
      <c r="C2" s="23">
        <f t="shared" ref="C2:C33" si="0">YEAR(B2)</f>
        <v>1999</v>
      </c>
      <c r="D2" s="23">
        <f t="shared" ref="D2:D33" si="1">MONTH(B2)</f>
        <v>3</v>
      </c>
      <c r="E2" s="46"/>
    </row>
    <row r="3" spans="1:6" x14ac:dyDescent="0.25">
      <c r="A3" t="s">
        <v>0</v>
      </c>
      <c r="B3" s="1">
        <v>36312</v>
      </c>
      <c r="C3" s="23">
        <f t="shared" si="0"/>
        <v>1999</v>
      </c>
      <c r="D3" s="23">
        <f t="shared" si="1"/>
        <v>6</v>
      </c>
      <c r="E3" s="46"/>
    </row>
    <row r="4" spans="1:6" x14ac:dyDescent="0.25">
      <c r="B4" s="1">
        <v>36404</v>
      </c>
      <c r="C4" s="23">
        <f t="shared" si="0"/>
        <v>1999</v>
      </c>
      <c r="D4" s="23">
        <f t="shared" si="1"/>
        <v>9</v>
      </c>
      <c r="E4" s="46"/>
    </row>
    <row r="5" spans="1:6" x14ac:dyDescent="0.25">
      <c r="B5" s="1">
        <v>36495</v>
      </c>
      <c r="C5" s="23">
        <f t="shared" si="0"/>
        <v>1999</v>
      </c>
      <c r="D5" s="23">
        <f t="shared" si="1"/>
        <v>12</v>
      </c>
      <c r="E5" s="46"/>
    </row>
    <row r="6" spans="1:6" x14ac:dyDescent="0.25">
      <c r="B6" s="1">
        <v>36586</v>
      </c>
      <c r="C6" s="23">
        <f t="shared" si="0"/>
        <v>2000</v>
      </c>
      <c r="D6" s="23">
        <f t="shared" si="1"/>
        <v>3</v>
      </c>
      <c r="E6" s="46"/>
    </row>
    <row r="7" spans="1:6" x14ac:dyDescent="0.25">
      <c r="B7" s="1">
        <v>36678</v>
      </c>
      <c r="C7" s="23">
        <f t="shared" si="0"/>
        <v>2000</v>
      </c>
      <c r="D7" s="23">
        <f t="shared" si="1"/>
        <v>6</v>
      </c>
      <c r="E7" s="46"/>
    </row>
    <row r="8" spans="1:6" x14ac:dyDescent="0.25">
      <c r="B8" s="1">
        <v>36770</v>
      </c>
      <c r="C8" s="23">
        <f t="shared" si="0"/>
        <v>2000</v>
      </c>
      <c r="D8" s="23">
        <f t="shared" si="1"/>
        <v>9</v>
      </c>
      <c r="E8" s="46"/>
    </row>
    <row r="9" spans="1:6" x14ac:dyDescent="0.25">
      <c r="B9" s="1">
        <v>36861</v>
      </c>
      <c r="C9" s="23">
        <f t="shared" si="0"/>
        <v>2000</v>
      </c>
      <c r="D9" s="23">
        <f t="shared" si="1"/>
        <v>12</v>
      </c>
      <c r="E9" s="46"/>
    </row>
    <row r="10" spans="1:6" x14ac:dyDescent="0.25">
      <c r="B10" s="1">
        <v>36951</v>
      </c>
      <c r="C10" s="23">
        <f t="shared" si="0"/>
        <v>2001</v>
      </c>
      <c r="D10" s="23">
        <f t="shared" si="1"/>
        <v>3</v>
      </c>
      <c r="E10" s="46"/>
    </row>
    <row r="11" spans="1:6" x14ac:dyDescent="0.25">
      <c r="B11" s="1">
        <v>37043</v>
      </c>
      <c r="C11" s="23">
        <f t="shared" si="0"/>
        <v>2001</v>
      </c>
      <c r="D11" s="23">
        <f t="shared" si="1"/>
        <v>6</v>
      </c>
      <c r="E11" s="46"/>
    </row>
    <row r="12" spans="1:6" x14ac:dyDescent="0.25">
      <c r="B12" s="1">
        <v>37135</v>
      </c>
      <c r="C12" s="23">
        <f t="shared" si="0"/>
        <v>2001</v>
      </c>
      <c r="D12" s="23">
        <f t="shared" si="1"/>
        <v>9</v>
      </c>
      <c r="E12" s="46"/>
    </row>
    <row r="13" spans="1:6" x14ac:dyDescent="0.25">
      <c r="B13" s="1">
        <v>37226</v>
      </c>
      <c r="C13" s="23">
        <f t="shared" si="0"/>
        <v>2001</v>
      </c>
      <c r="D13" s="23">
        <f t="shared" si="1"/>
        <v>12</v>
      </c>
      <c r="E13" s="46"/>
    </row>
    <row r="14" spans="1:6" x14ac:dyDescent="0.25">
      <c r="B14" s="1">
        <v>37316</v>
      </c>
      <c r="C14" s="23">
        <f t="shared" si="0"/>
        <v>2002</v>
      </c>
      <c r="D14" s="23">
        <f t="shared" si="1"/>
        <v>3</v>
      </c>
      <c r="E14" s="46"/>
    </row>
    <row r="15" spans="1:6" x14ac:dyDescent="0.25">
      <c r="B15" s="1">
        <v>37408</v>
      </c>
      <c r="C15" s="23">
        <f t="shared" si="0"/>
        <v>2002</v>
      </c>
      <c r="D15" s="23">
        <f t="shared" si="1"/>
        <v>6</v>
      </c>
      <c r="E15" s="46"/>
    </row>
    <row r="16" spans="1:6" x14ac:dyDescent="0.25">
      <c r="B16" s="1">
        <v>37500</v>
      </c>
      <c r="C16" s="23">
        <f t="shared" si="0"/>
        <v>2002</v>
      </c>
      <c r="D16" s="23">
        <f t="shared" si="1"/>
        <v>9</v>
      </c>
      <c r="E16" s="46"/>
    </row>
    <row r="17" spans="2:6" x14ac:dyDescent="0.25">
      <c r="B17" s="1">
        <v>37591</v>
      </c>
      <c r="C17" s="23">
        <f t="shared" si="0"/>
        <v>2002</v>
      </c>
      <c r="D17" s="23">
        <f t="shared" si="1"/>
        <v>12</v>
      </c>
      <c r="E17" s="46"/>
    </row>
    <row r="18" spans="2:6" x14ac:dyDescent="0.25">
      <c r="B18" s="1">
        <v>37681</v>
      </c>
      <c r="C18" s="23">
        <f t="shared" si="0"/>
        <v>2003</v>
      </c>
      <c r="D18" s="23">
        <f t="shared" si="1"/>
        <v>3</v>
      </c>
      <c r="E18" s="46"/>
    </row>
    <row r="19" spans="2:6" x14ac:dyDescent="0.25">
      <c r="B19" s="1">
        <v>37773</v>
      </c>
      <c r="C19" s="23">
        <f t="shared" si="0"/>
        <v>2003</v>
      </c>
      <c r="D19" s="23">
        <f t="shared" si="1"/>
        <v>6</v>
      </c>
      <c r="E19" s="46"/>
    </row>
    <row r="20" spans="2:6" x14ac:dyDescent="0.25">
      <c r="B20" s="1">
        <v>37865</v>
      </c>
      <c r="C20" s="23">
        <f t="shared" si="0"/>
        <v>2003</v>
      </c>
      <c r="D20" s="23">
        <f t="shared" si="1"/>
        <v>9</v>
      </c>
      <c r="E20" s="46"/>
    </row>
    <row r="21" spans="2:6" x14ac:dyDescent="0.25">
      <c r="B21" s="1">
        <v>37956</v>
      </c>
      <c r="C21" s="23">
        <f t="shared" si="0"/>
        <v>2003</v>
      </c>
      <c r="D21" s="23">
        <f t="shared" si="1"/>
        <v>12</v>
      </c>
      <c r="E21" s="46"/>
    </row>
    <row r="22" spans="2:6" x14ac:dyDescent="0.25">
      <c r="B22" s="1">
        <v>38047</v>
      </c>
      <c r="C22" s="23">
        <f t="shared" si="0"/>
        <v>2004</v>
      </c>
      <c r="D22" s="23">
        <f t="shared" si="1"/>
        <v>3</v>
      </c>
      <c r="E22" s="46"/>
    </row>
    <row r="23" spans="2:6" x14ac:dyDescent="0.25">
      <c r="B23" s="1">
        <v>38139</v>
      </c>
      <c r="C23" s="23">
        <f t="shared" si="0"/>
        <v>2004</v>
      </c>
      <c r="D23" s="23">
        <f t="shared" si="1"/>
        <v>6</v>
      </c>
      <c r="E23" s="45"/>
    </row>
    <row r="24" spans="2:6" x14ac:dyDescent="0.25">
      <c r="B24" s="1">
        <v>38231</v>
      </c>
      <c r="C24" s="23">
        <f t="shared" si="0"/>
        <v>2004</v>
      </c>
      <c r="D24" s="23">
        <f t="shared" si="1"/>
        <v>9</v>
      </c>
      <c r="E24" s="45"/>
    </row>
    <row r="25" spans="2:6" x14ac:dyDescent="0.25">
      <c r="B25" s="1">
        <v>38322</v>
      </c>
      <c r="C25" s="23">
        <f t="shared" si="0"/>
        <v>2004</v>
      </c>
      <c r="D25" s="23">
        <f t="shared" si="1"/>
        <v>12</v>
      </c>
      <c r="E25" s="45"/>
    </row>
    <row r="26" spans="2:6" x14ac:dyDescent="0.25">
      <c r="B26" s="1">
        <v>38412</v>
      </c>
      <c r="C26" s="23">
        <f t="shared" si="0"/>
        <v>2005</v>
      </c>
      <c r="D26" s="23">
        <f t="shared" si="1"/>
        <v>3</v>
      </c>
      <c r="E26" s="45"/>
    </row>
    <row r="27" spans="2:6" x14ac:dyDescent="0.25">
      <c r="B27" s="1">
        <v>38504</v>
      </c>
      <c r="C27" s="23">
        <f t="shared" si="0"/>
        <v>2005</v>
      </c>
      <c r="D27" s="23">
        <f t="shared" si="1"/>
        <v>6</v>
      </c>
      <c r="E27" s="45"/>
    </row>
    <row r="28" spans="2:6" x14ac:dyDescent="0.25">
      <c r="B28" s="1">
        <v>38596</v>
      </c>
      <c r="C28" s="23">
        <f t="shared" si="0"/>
        <v>2005</v>
      </c>
      <c r="D28" s="23">
        <f t="shared" si="1"/>
        <v>9</v>
      </c>
      <c r="E28" s="45"/>
    </row>
    <row r="29" spans="2:6" x14ac:dyDescent="0.25">
      <c r="B29" s="1">
        <v>38687</v>
      </c>
      <c r="C29" s="23">
        <f t="shared" si="0"/>
        <v>2005</v>
      </c>
      <c r="D29" s="23">
        <f t="shared" si="1"/>
        <v>12</v>
      </c>
      <c r="E29" s="45"/>
    </row>
    <row r="30" spans="2:6" x14ac:dyDescent="0.25">
      <c r="B30" s="1">
        <v>38777</v>
      </c>
      <c r="C30" s="23">
        <f t="shared" si="0"/>
        <v>2006</v>
      </c>
      <c r="D30" s="23">
        <f t="shared" si="1"/>
        <v>3</v>
      </c>
      <c r="E30" s="45">
        <f>AVERAGEIFS('qld-rent-combined'!$D:$D,'qld-rent-combined'!$A:$A,"Brisbane",'qld-rent-combined'!$B:$B,$B30,'qld-rent-combined'!$C:$C,"House 3")</f>
        <v>245</v>
      </c>
    </row>
    <row r="31" spans="2:6" x14ac:dyDescent="0.25">
      <c r="B31" s="1">
        <v>38869</v>
      </c>
      <c r="C31" s="23">
        <f t="shared" si="0"/>
        <v>2006</v>
      </c>
      <c r="D31" s="23">
        <f t="shared" si="1"/>
        <v>6</v>
      </c>
      <c r="E31" s="45">
        <f>AVERAGEIFS('qld-rent-combined'!$D:$D,'qld-rent-combined'!$A:$A,"Brisbane",'qld-rent-combined'!$B:$B,$B31,'qld-rent-combined'!$C:$C,"House 3")</f>
        <v>240</v>
      </c>
      <c r="F31">
        <v>270</v>
      </c>
    </row>
    <row r="32" spans="2:6" x14ac:dyDescent="0.25">
      <c r="B32" s="1">
        <v>38961</v>
      </c>
      <c r="C32" s="23">
        <f t="shared" si="0"/>
        <v>2006</v>
      </c>
      <c r="D32" s="23">
        <f t="shared" si="1"/>
        <v>9</v>
      </c>
      <c r="E32" s="45">
        <f>AVERAGEIFS('qld-rent-combined'!$D:$D,'qld-rent-combined'!$A:$A,"Brisbane",'qld-rent-combined'!$B:$B,$B32,'qld-rent-combined'!$C:$C,"House 3")</f>
        <v>250</v>
      </c>
    </row>
    <row r="33" spans="1:6" x14ac:dyDescent="0.25">
      <c r="B33" s="1">
        <v>39052</v>
      </c>
      <c r="C33" s="23">
        <f t="shared" si="0"/>
        <v>2006</v>
      </c>
      <c r="D33" s="23">
        <f t="shared" si="1"/>
        <v>12</v>
      </c>
      <c r="E33" s="45">
        <f>AVERAGEIFS('qld-rent-combined'!$D:$D,'qld-rent-combined'!$A:$A,"Brisbane",'qld-rent-combined'!$B:$B,$B33,'qld-rent-combined'!$C:$C,"House 3")</f>
        <v>250</v>
      </c>
    </row>
    <row r="34" spans="1:6" x14ac:dyDescent="0.25">
      <c r="B34" s="1">
        <v>39142</v>
      </c>
      <c r="C34" s="23">
        <f t="shared" ref="C34:C65" si="2">YEAR(B34)</f>
        <v>2007</v>
      </c>
      <c r="D34" s="23">
        <f t="shared" ref="D34:D65" si="3">MONTH(B34)</f>
        <v>3</v>
      </c>
      <c r="E34" s="45">
        <f>AVERAGEIFS('qld-rent-combined'!$D:$D,'qld-rent-combined'!$A:$A,"Brisbane",'qld-rent-combined'!$B:$B,$B34,'qld-rent-combined'!$C:$C,"House 3")</f>
        <v>260</v>
      </c>
    </row>
    <row r="35" spans="1:6" x14ac:dyDescent="0.25">
      <c r="B35" s="1">
        <v>39234</v>
      </c>
      <c r="C35" s="23">
        <f t="shared" si="2"/>
        <v>2007</v>
      </c>
      <c r="D35" s="23">
        <f t="shared" si="3"/>
        <v>6</v>
      </c>
      <c r="E35" s="45">
        <f>AVERAGEIFS('qld-rent-combined'!$D:$D,'qld-rent-combined'!$A:$A,"Brisbane",'qld-rent-combined'!$B:$B,$B35,'qld-rent-combined'!$C:$C,"House 3")</f>
        <v>260</v>
      </c>
      <c r="F35">
        <v>320</v>
      </c>
    </row>
    <row r="36" spans="1:6" x14ac:dyDescent="0.25">
      <c r="B36" s="1">
        <v>39326</v>
      </c>
      <c r="C36" s="23">
        <f t="shared" si="2"/>
        <v>2007</v>
      </c>
      <c r="D36" s="23">
        <f t="shared" si="3"/>
        <v>9</v>
      </c>
      <c r="E36" s="45">
        <f>AVERAGEIFS('qld-rent-combined'!$D:$D,'qld-rent-combined'!$A:$A,"Brisbane",'qld-rent-combined'!$B:$B,$B36,'qld-rent-combined'!$C:$C,"House 3")</f>
        <v>265</v>
      </c>
    </row>
    <row r="37" spans="1:6" x14ac:dyDescent="0.25">
      <c r="B37" s="1">
        <v>39417</v>
      </c>
      <c r="C37" s="23">
        <f t="shared" si="2"/>
        <v>2007</v>
      </c>
      <c r="D37" s="23">
        <f t="shared" si="3"/>
        <v>12</v>
      </c>
      <c r="E37" s="45">
        <f>AVERAGEIFS('qld-rent-combined'!$D:$D,'qld-rent-combined'!$A:$A,"Brisbane",'qld-rent-combined'!$B:$B,$B37,'qld-rent-combined'!$C:$C,"House 3")</f>
        <v>270</v>
      </c>
    </row>
    <row r="38" spans="1:6" x14ac:dyDescent="0.25">
      <c r="B38" s="1">
        <v>39508</v>
      </c>
      <c r="C38" s="23">
        <f t="shared" si="2"/>
        <v>2008</v>
      </c>
      <c r="D38" s="23">
        <f t="shared" si="3"/>
        <v>3</v>
      </c>
      <c r="E38" s="45">
        <f>AVERAGEIFS('qld-rent-combined'!$D:$D,'qld-rent-combined'!$A:$A,"Brisbane",'qld-rent-combined'!$B:$B,$B38,'qld-rent-combined'!$C:$C,"House 3")</f>
        <v>280</v>
      </c>
    </row>
    <row r="39" spans="1:6" x14ac:dyDescent="0.25">
      <c r="B39" s="1">
        <v>39600</v>
      </c>
      <c r="C39" s="23">
        <f t="shared" si="2"/>
        <v>2008</v>
      </c>
      <c r="D39" s="23">
        <f t="shared" si="3"/>
        <v>6</v>
      </c>
      <c r="E39" s="45">
        <f>AVERAGEIFS('qld-rent-combined'!$D:$D,'qld-rent-combined'!$A:$A,"Brisbane",'qld-rent-combined'!$B:$B,$B39,'qld-rent-combined'!$C:$C,"House 3")</f>
        <v>280</v>
      </c>
      <c r="F39">
        <v>350</v>
      </c>
    </row>
    <row r="40" spans="1:6" x14ac:dyDescent="0.25">
      <c r="B40" s="1">
        <v>39692</v>
      </c>
      <c r="C40" s="23">
        <f t="shared" si="2"/>
        <v>2008</v>
      </c>
      <c r="D40" s="23">
        <f t="shared" si="3"/>
        <v>9</v>
      </c>
      <c r="E40" s="45">
        <f>AVERAGEIFS('qld-rent-combined'!$D:$D,'qld-rent-combined'!$A:$A,"Brisbane",'qld-rent-combined'!$B:$B,$B40,'qld-rent-combined'!$C:$C,"House 3")</f>
        <v>285</v>
      </c>
    </row>
    <row r="41" spans="1:6" x14ac:dyDescent="0.25">
      <c r="B41" s="1">
        <v>39783</v>
      </c>
      <c r="C41" s="23">
        <f t="shared" si="2"/>
        <v>2008</v>
      </c>
      <c r="D41" s="23">
        <f t="shared" si="3"/>
        <v>12</v>
      </c>
      <c r="E41" s="45">
        <f>AVERAGEIFS('qld-rent-combined'!$D:$D,'qld-rent-combined'!$A:$A,"Brisbane",'qld-rent-combined'!$B:$B,$B41,'qld-rent-combined'!$C:$C,"House 3")</f>
        <v>300</v>
      </c>
    </row>
    <row r="42" spans="1:6" x14ac:dyDescent="0.25">
      <c r="B42" s="1">
        <v>39873</v>
      </c>
      <c r="C42" s="23">
        <f t="shared" si="2"/>
        <v>2009</v>
      </c>
      <c r="D42" s="23">
        <f t="shared" si="3"/>
        <v>3</v>
      </c>
      <c r="E42" s="45">
        <f>AVERAGEIFS('qld-rent-combined'!$D:$D,'qld-rent-combined'!$A:$A,"Brisbane",'qld-rent-combined'!$B:$B,$B42,'qld-rent-combined'!$C:$C,"House 3")</f>
        <v>315</v>
      </c>
    </row>
    <row r="43" spans="1:6" x14ac:dyDescent="0.25">
      <c r="B43" s="1">
        <v>39965</v>
      </c>
      <c r="C43" s="23">
        <f t="shared" si="2"/>
        <v>2009</v>
      </c>
      <c r="D43" s="23">
        <f t="shared" si="3"/>
        <v>6</v>
      </c>
      <c r="E43" s="45">
        <f>AVERAGEIFS('qld-rent-combined'!$D:$D,'qld-rent-combined'!$A:$A,"Brisbane",'qld-rent-combined'!$B:$B,$B43,'qld-rent-combined'!$C:$C,"House 3")</f>
        <v>315</v>
      </c>
      <c r="F43">
        <v>370</v>
      </c>
    </row>
    <row r="44" spans="1:6" x14ac:dyDescent="0.25">
      <c r="B44" s="1">
        <v>40057</v>
      </c>
      <c r="C44" s="23">
        <f t="shared" si="2"/>
        <v>2009</v>
      </c>
      <c r="D44" s="23">
        <f t="shared" si="3"/>
        <v>9</v>
      </c>
      <c r="E44" s="45">
        <f>AVERAGEIFS('qld-rent-combined'!$D:$D,'qld-rent-combined'!$A:$A,"Brisbane",'qld-rent-combined'!$B:$B,$B44,'qld-rent-combined'!$C:$C,"House 3")</f>
        <v>325</v>
      </c>
    </row>
    <row r="45" spans="1:6" x14ac:dyDescent="0.25">
      <c r="B45" s="1">
        <v>40148</v>
      </c>
      <c r="C45" s="23">
        <f t="shared" si="2"/>
        <v>2009</v>
      </c>
      <c r="D45" s="23">
        <f t="shared" si="3"/>
        <v>12</v>
      </c>
      <c r="E45" s="45">
        <f>AVERAGEIFS('qld-rent-combined'!$D:$D,'qld-rent-combined'!$A:$A,"Brisbane",'qld-rent-combined'!$B:$B,$B45,'qld-rent-combined'!$C:$C,"House 3")</f>
        <v>330</v>
      </c>
    </row>
    <row r="46" spans="1:6" x14ac:dyDescent="0.25">
      <c r="A46" s="3"/>
      <c r="B46" s="1">
        <v>40238</v>
      </c>
      <c r="C46" s="23">
        <f t="shared" si="2"/>
        <v>2010</v>
      </c>
      <c r="D46" s="23">
        <f t="shared" si="3"/>
        <v>3</v>
      </c>
      <c r="E46" s="45">
        <f>AVERAGEIFS('qld-rent-combined'!$D:$D,'qld-rent-combined'!$A:$A,"Brisbane",'qld-rent-combined'!$B:$B,$B46,'qld-rent-combined'!$C:$C,"House 3")</f>
        <v>350</v>
      </c>
    </row>
    <row r="47" spans="1:6" x14ac:dyDescent="0.25">
      <c r="A47" s="3"/>
      <c r="B47" s="1">
        <v>40330</v>
      </c>
      <c r="C47" s="23">
        <f t="shared" si="2"/>
        <v>2010</v>
      </c>
      <c r="D47" s="23">
        <f t="shared" si="3"/>
        <v>6</v>
      </c>
      <c r="E47" s="45">
        <f>AVERAGEIFS('qld-rent-combined'!$D:$D,'qld-rent-combined'!$A:$A,"Brisbane",'qld-rent-combined'!$B:$B,$B47,'qld-rent-combined'!$C:$C,"House 3")</f>
        <v>350</v>
      </c>
      <c r="F47">
        <v>380</v>
      </c>
    </row>
    <row r="48" spans="1:6" x14ac:dyDescent="0.25">
      <c r="A48" s="3"/>
      <c r="B48" s="1">
        <v>40422</v>
      </c>
      <c r="C48" s="23">
        <f t="shared" si="2"/>
        <v>2010</v>
      </c>
      <c r="D48" s="23">
        <f t="shared" si="3"/>
        <v>9</v>
      </c>
      <c r="E48" s="45">
        <f>AVERAGEIFS('qld-rent-combined'!$D:$D,'qld-rent-combined'!$A:$A,"Brisbane",'qld-rent-combined'!$B:$B,$B48,'qld-rent-combined'!$C:$C,"House 3")</f>
        <v>360</v>
      </c>
    </row>
    <row r="49" spans="1:6" x14ac:dyDescent="0.25">
      <c r="A49" s="3"/>
      <c r="B49" s="1">
        <v>40513</v>
      </c>
      <c r="C49" s="23">
        <f t="shared" si="2"/>
        <v>2010</v>
      </c>
      <c r="D49" s="23">
        <f t="shared" si="3"/>
        <v>12</v>
      </c>
      <c r="E49" s="45">
        <f>AVERAGEIFS('qld-rent-combined'!$D:$D,'qld-rent-combined'!$A:$A,"Brisbane",'qld-rent-combined'!$B:$B,$B49,'qld-rent-combined'!$C:$C,"House 3")</f>
        <v>360</v>
      </c>
    </row>
    <row r="50" spans="1:6" x14ac:dyDescent="0.25">
      <c r="A50" s="3"/>
      <c r="B50" s="1">
        <v>40603</v>
      </c>
      <c r="C50" s="23">
        <f t="shared" si="2"/>
        <v>2011</v>
      </c>
      <c r="D50" s="23">
        <f t="shared" si="3"/>
        <v>3</v>
      </c>
      <c r="E50" s="45">
        <f>AVERAGEIFS('qld-rent-combined'!$D:$D,'qld-rent-combined'!$A:$A,"Brisbane",'qld-rent-combined'!$B:$B,$B50,'qld-rent-combined'!$C:$C,"House 3")</f>
        <v>370</v>
      </c>
    </row>
    <row r="51" spans="1:6" x14ac:dyDescent="0.25">
      <c r="A51" s="3"/>
      <c r="B51" s="1">
        <v>40695</v>
      </c>
      <c r="C51" s="23">
        <f t="shared" si="2"/>
        <v>2011</v>
      </c>
      <c r="D51" s="23">
        <f t="shared" si="3"/>
        <v>6</v>
      </c>
      <c r="E51" s="64">
        <f>E50+(E54-E50)*1/4</f>
        <v>368.02414833980163</v>
      </c>
      <c r="F51">
        <v>390</v>
      </c>
    </row>
    <row r="52" spans="1:6" x14ac:dyDescent="0.25">
      <c r="A52" s="3"/>
      <c r="B52" s="1">
        <v>40787</v>
      </c>
      <c r="C52" s="23">
        <f t="shared" si="2"/>
        <v>2011</v>
      </c>
      <c r="D52" s="23">
        <f t="shared" si="3"/>
        <v>9</v>
      </c>
      <c r="E52" s="64">
        <f>E51+(E51-E50)</f>
        <v>366.04829667960325</v>
      </c>
    </row>
    <row r="53" spans="1:6" x14ac:dyDescent="0.25">
      <c r="A53" s="3"/>
      <c r="B53" s="1">
        <v>40878</v>
      </c>
      <c r="C53" s="23">
        <f t="shared" si="2"/>
        <v>2011</v>
      </c>
      <c r="D53" s="23">
        <f t="shared" si="3"/>
        <v>12</v>
      </c>
      <c r="E53" s="64">
        <f>E52+(E52-E51)</f>
        <v>364.07244501940488</v>
      </c>
    </row>
    <row r="54" spans="1:6" x14ac:dyDescent="0.25">
      <c r="A54" s="3"/>
      <c r="B54" s="1">
        <v>40969</v>
      </c>
      <c r="C54" s="23">
        <f t="shared" si="2"/>
        <v>2012</v>
      </c>
      <c r="D54" s="23">
        <f t="shared" si="3"/>
        <v>3</v>
      </c>
      <c r="E54" s="7" cm="1">
        <f t="array" ref="E54:E109">TRANSPOSE('lga-weighted-average'!$C$32:$BF$32)</f>
        <v>362.09659335920657</v>
      </c>
    </row>
    <row r="55" spans="1:6" x14ac:dyDescent="0.25">
      <c r="A55" s="3"/>
      <c r="B55" s="1">
        <v>41061</v>
      </c>
      <c r="C55" s="23">
        <f t="shared" si="2"/>
        <v>2012</v>
      </c>
      <c r="D55" s="23">
        <f t="shared" si="3"/>
        <v>6</v>
      </c>
      <c r="E55" s="7">
        <v>352.71793054571225</v>
      </c>
    </row>
    <row r="56" spans="1:6" x14ac:dyDescent="0.25">
      <c r="A56" s="3"/>
      <c r="B56" s="1">
        <v>41153</v>
      </c>
      <c r="C56" s="23">
        <f t="shared" si="2"/>
        <v>2012</v>
      </c>
      <c r="D56" s="23">
        <f t="shared" si="3"/>
        <v>9</v>
      </c>
      <c r="E56" s="7">
        <v>358.10837118754057</v>
      </c>
    </row>
    <row r="57" spans="1:6" x14ac:dyDescent="0.25">
      <c r="A57" s="3"/>
      <c r="B57" s="1">
        <v>41244</v>
      </c>
      <c r="C57" s="23">
        <f t="shared" si="2"/>
        <v>2012</v>
      </c>
      <c r="D57" s="23">
        <f t="shared" si="3"/>
        <v>12</v>
      </c>
      <c r="E57" s="7">
        <v>360.26912691269126</v>
      </c>
    </row>
    <row r="58" spans="1:6" x14ac:dyDescent="0.25">
      <c r="A58" s="3"/>
      <c r="B58" s="1">
        <v>41334</v>
      </c>
      <c r="C58" s="23">
        <f t="shared" si="2"/>
        <v>2013</v>
      </c>
      <c r="D58" s="23">
        <f t="shared" si="3"/>
        <v>3</v>
      </c>
      <c r="E58" s="7">
        <v>371.55948314272985</v>
      </c>
    </row>
    <row r="59" spans="1:6" x14ac:dyDescent="0.25">
      <c r="A59" s="3"/>
      <c r="B59" s="1">
        <v>41426</v>
      </c>
      <c r="C59" s="23">
        <f t="shared" si="2"/>
        <v>2013</v>
      </c>
      <c r="D59" s="23">
        <f t="shared" si="3"/>
        <v>6</v>
      </c>
      <c r="E59" s="7">
        <v>362.18946266573624</v>
      </c>
    </row>
    <row r="60" spans="1:6" x14ac:dyDescent="0.25">
      <c r="A60" s="3"/>
      <c r="B60" s="1">
        <v>41518</v>
      </c>
      <c r="C60" s="23">
        <f t="shared" si="2"/>
        <v>2013</v>
      </c>
      <c r="D60" s="23">
        <f t="shared" si="3"/>
        <v>9</v>
      </c>
      <c r="E60" s="7">
        <v>367.98432703183067</v>
      </c>
    </row>
    <row r="61" spans="1:6" x14ac:dyDescent="0.25">
      <c r="A61" s="3"/>
      <c r="B61" s="1">
        <v>41609</v>
      </c>
      <c r="C61" s="23">
        <f t="shared" si="2"/>
        <v>2013</v>
      </c>
      <c r="D61" s="23">
        <f t="shared" si="3"/>
        <v>12</v>
      </c>
      <c r="E61" s="7">
        <v>368.57789855072463</v>
      </c>
    </row>
    <row r="62" spans="1:6" x14ac:dyDescent="0.25">
      <c r="A62" s="3"/>
      <c r="B62" s="1">
        <v>41699</v>
      </c>
      <c r="C62" s="23">
        <f t="shared" si="2"/>
        <v>2014</v>
      </c>
      <c r="D62" s="23">
        <f t="shared" si="3"/>
        <v>3</v>
      </c>
      <c r="E62" s="7">
        <v>376.53270171149143</v>
      </c>
    </row>
    <row r="63" spans="1:6" x14ac:dyDescent="0.25">
      <c r="A63" s="3"/>
      <c r="B63" s="1">
        <v>41791</v>
      </c>
      <c r="C63" s="23">
        <f t="shared" si="2"/>
        <v>2014</v>
      </c>
      <c r="D63" s="23">
        <f t="shared" si="3"/>
        <v>6</v>
      </c>
      <c r="E63" s="7">
        <v>370.15855658829963</v>
      </c>
    </row>
    <row r="64" spans="1:6" x14ac:dyDescent="0.25">
      <c r="A64" s="3"/>
      <c r="B64" s="1">
        <v>41883</v>
      </c>
      <c r="C64" s="23">
        <f t="shared" si="2"/>
        <v>2014</v>
      </c>
      <c r="D64" s="23">
        <f t="shared" si="3"/>
        <v>9</v>
      </c>
      <c r="E64" s="7">
        <v>372.53434861777851</v>
      </c>
    </row>
    <row r="65" spans="1:5" x14ac:dyDescent="0.25">
      <c r="A65" s="3"/>
      <c r="B65" s="1">
        <v>41974</v>
      </c>
      <c r="C65" s="23">
        <f t="shared" si="2"/>
        <v>2014</v>
      </c>
      <c r="D65" s="23">
        <f t="shared" si="3"/>
        <v>12</v>
      </c>
      <c r="E65" s="7">
        <v>375.41411327762302</v>
      </c>
    </row>
    <row r="66" spans="1:5" x14ac:dyDescent="0.25">
      <c r="A66" s="3"/>
      <c r="B66" s="1">
        <v>42064</v>
      </c>
      <c r="C66" s="23">
        <f t="shared" ref="C66:C97" si="4">YEAR(B66)</f>
        <v>2015</v>
      </c>
      <c r="D66" s="23">
        <f t="shared" ref="D66:D97" si="5">MONTH(B66)</f>
        <v>3</v>
      </c>
      <c r="E66" s="7">
        <v>385.76418523786947</v>
      </c>
    </row>
    <row r="67" spans="1:5" x14ac:dyDescent="0.25">
      <c r="A67" s="3"/>
      <c r="B67" s="1">
        <v>42156</v>
      </c>
      <c r="C67" s="23">
        <f t="shared" si="4"/>
        <v>2015</v>
      </c>
      <c r="D67" s="23">
        <f t="shared" si="5"/>
        <v>6</v>
      </c>
      <c r="E67" s="7">
        <v>377.69061985737795</v>
      </c>
    </row>
    <row r="68" spans="1:5" x14ac:dyDescent="0.25">
      <c r="A68" s="3"/>
      <c r="B68" s="1">
        <v>42248</v>
      </c>
      <c r="C68" s="23">
        <f t="shared" si="4"/>
        <v>2015</v>
      </c>
      <c r="D68" s="23">
        <f t="shared" si="5"/>
        <v>9</v>
      </c>
      <c r="E68" s="7">
        <v>379.11856602532481</v>
      </c>
    </row>
    <row r="69" spans="1:5" x14ac:dyDescent="0.25">
      <c r="A69" s="3"/>
      <c r="B69" s="1">
        <v>42339</v>
      </c>
      <c r="C69" s="23">
        <f t="shared" si="4"/>
        <v>2015</v>
      </c>
      <c r="D69" s="23">
        <f t="shared" si="5"/>
        <v>12</v>
      </c>
      <c r="E69" s="7">
        <v>380.03407899335895</v>
      </c>
    </row>
    <row r="70" spans="1:5" x14ac:dyDescent="0.25">
      <c r="A70" s="3"/>
      <c r="B70" s="1">
        <v>42430</v>
      </c>
      <c r="C70" s="23">
        <f t="shared" si="4"/>
        <v>2016</v>
      </c>
      <c r="D70" s="23">
        <f t="shared" si="5"/>
        <v>3</v>
      </c>
      <c r="E70" s="7">
        <v>392.60130922693264</v>
      </c>
    </row>
    <row r="71" spans="1:5" x14ac:dyDescent="0.25">
      <c r="A71" s="3"/>
      <c r="B71" s="1">
        <v>42522</v>
      </c>
      <c r="C71" s="23">
        <f t="shared" si="4"/>
        <v>2016</v>
      </c>
      <c r="D71" s="23">
        <f t="shared" si="5"/>
        <v>6</v>
      </c>
      <c r="E71" s="7">
        <v>378.64815491413958</v>
      </c>
    </row>
    <row r="72" spans="1:5" x14ac:dyDescent="0.25">
      <c r="A72" s="3"/>
      <c r="B72" s="1">
        <v>42614</v>
      </c>
      <c r="C72" s="23">
        <f t="shared" si="4"/>
        <v>2016</v>
      </c>
      <c r="D72" s="23">
        <f t="shared" si="5"/>
        <v>9</v>
      </c>
      <c r="E72" s="7">
        <v>385.78683710485404</v>
      </c>
    </row>
    <row r="73" spans="1:5" x14ac:dyDescent="0.25">
      <c r="A73" s="3"/>
      <c r="B73" s="1">
        <v>42705</v>
      </c>
      <c r="C73" s="23">
        <f t="shared" si="4"/>
        <v>2016</v>
      </c>
      <c r="D73" s="23">
        <f t="shared" si="5"/>
        <v>12</v>
      </c>
      <c r="E73" s="7">
        <v>381.60815402038503</v>
      </c>
    </row>
    <row r="74" spans="1:5" x14ac:dyDescent="0.25">
      <c r="A74" s="3"/>
      <c r="B74" s="1">
        <v>42795</v>
      </c>
      <c r="C74" s="23">
        <f t="shared" si="4"/>
        <v>2017</v>
      </c>
      <c r="D74" s="23">
        <f t="shared" si="5"/>
        <v>3</v>
      </c>
      <c r="E74" s="7">
        <v>395.69596520173991</v>
      </c>
    </row>
    <row r="75" spans="1:5" x14ac:dyDescent="0.25">
      <c r="A75" s="3"/>
      <c r="B75" s="1">
        <v>42887</v>
      </c>
      <c r="C75" s="23">
        <f t="shared" si="4"/>
        <v>2017</v>
      </c>
      <c r="D75" s="23">
        <f t="shared" si="5"/>
        <v>6</v>
      </c>
      <c r="E75" s="7">
        <v>381.18278631284915</v>
      </c>
    </row>
    <row r="76" spans="1:5" x14ac:dyDescent="0.25">
      <c r="A76" s="3"/>
      <c r="B76" s="1">
        <v>42979</v>
      </c>
      <c r="C76" s="23">
        <f t="shared" si="4"/>
        <v>2017</v>
      </c>
      <c r="D76" s="23">
        <f t="shared" si="5"/>
        <v>9</v>
      </c>
      <c r="E76" s="7">
        <v>382.14948363381762</v>
      </c>
    </row>
    <row r="77" spans="1:5" x14ac:dyDescent="0.25">
      <c r="A77" s="3"/>
      <c r="B77" s="1">
        <v>43070</v>
      </c>
      <c r="C77" s="23">
        <f t="shared" si="4"/>
        <v>2017</v>
      </c>
      <c r="D77" s="23">
        <f t="shared" si="5"/>
        <v>12</v>
      </c>
      <c r="E77" s="7">
        <v>382.47985004686035</v>
      </c>
    </row>
    <row r="78" spans="1:5" x14ac:dyDescent="0.25">
      <c r="A78" s="3"/>
      <c r="B78" s="1">
        <v>43160</v>
      </c>
      <c r="C78" s="23">
        <f t="shared" si="4"/>
        <v>2018</v>
      </c>
      <c r="D78" s="23">
        <f t="shared" si="5"/>
        <v>3</v>
      </c>
      <c r="E78" s="7">
        <v>395.01840588988478</v>
      </c>
    </row>
    <row r="79" spans="1:5" x14ac:dyDescent="0.25">
      <c r="A79" s="3"/>
      <c r="B79" s="1">
        <v>43252</v>
      </c>
      <c r="C79" s="23">
        <f t="shared" si="4"/>
        <v>2018</v>
      </c>
      <c r="D79" s="23">
        <f t="shared" si="5"/>
        <v>6</v>
      </c>
      <c r="E79" s="7">
        <v>384.39705107951551</v>
      </c>
    </row>
    <row r="80" spans="1:5" x14ac:dyDescent="0.25">
      <c r="A80" s="3"/>
      <c r="B80" s="1">
        <v>43344</v>
      </c>
      <c r="C80" s="23">
        <f t="shared" si="4"/>
        <v>2018</v>
      </c>
      <c r="D80" s="23">
        <f t="shared" si="5"/>
        <v>9</v>
      </c>
      <c r="E80" s="7">
        <v>385.65232784563642</v>
      </c>
    </row>
    <row r="81" spans="1:5" x14ac:dyDescent="0.25">
      <c r="A81" s="3"/>
      <c r="B81" s="1">
        <v>43435</v>
      </c>
      <c r="C81" s="23">
        <f t="shared" si="4"/>
        <v>2018</v>
      </c>
      <c r="D81" s="23">
        <f t="shared" si="5"/>
        <v>12</v>
      </c>
      <c r="E81" s="7">
        <v>388.41040462427748</v>
      </c>
    </row>
    <row r="82" spans="1:5" x14ac:dyDescent="0.25">
      <c r="A82" s="3"/>
      <c r="B82" s="1">
        <v>43525</v>
      </c>
      <c r="C82" s="23">
        <f t="shared" si="4"/>
        <v>2019</v>
      </c>
      <c r="D82" s="23">
        <f t="shared" si="5"/>
        <v>3</v>
      </c>
      <c r="E82" s="7">
        <v>400.61833869057688</v>
      </c>
    </row>
    <row r="83" spans="1:5" x14ac:dyDescent="0.25">
      <c r="A83" s="3"/>
      <c r="B83" s="1">
        <v>43617</v>
      </c>
      <c r="C83" s="23">
        <f t="shared" si="4"/>
        <v>2019</v>
      </c>
      <c r="D83" s="23">
        <f t="shared" si="5"/>
        <v>6</v>
      </c>
      <c r="E83" s="7">
        <v>387.90104662226452</v>
      </c>
    </row>
    <row r="84" spans="1:5" x14ac:dyDescent="0.25">
      <c r="A84" s="3"/>
      <c r="B84" s="1">
        <v>43709</v>
      </c>
      <c r="C84" s="23">
        <f t="shared" si="4"/>
        <v>2019</v>
      </c>
      <c r="D84" s="23">
        <f t="shared" si="5"/>
        <v>9</v>
      </c>
      <c r="E84" s="7">
        <v>387.72017184143721</v>
      </c>
    </row>
    <row r="85" spans="1:5" x14ac:dyDescent="0.25">
      <c r="A85" s="3"/>
      <c r="B85" s="1">
        <v>43800</v>
      </c>
      <c r="C85" s="23">
        <f t="shared" si="4"/>
        <v>2019</v>
      </c>
      <c r="D85" s="23">
        <f t="shared" si="5"/>
        <v>12</v>
      </c>
      <c r="E85" s="7">
        <v>397.23078170613041</v>
      </c>
    </row>
    <row r="86" spans="1:5" x14ac:dyDescent="0.25">
      <c r="A86" s="3"/>
      <c r="B86" s="1">
        <v>43891</v>
      </c>
      <c r="C86" s="23">
        <f t="shared" si="4"/>
        <v>2020</v>
      </c>
      <c r="D86" s="23">
        <f t="shared" si="5"/>
        <v>3</v>
      </c>
      <c r="E86" s="7">
        <v>404.26059001512857</v>
      </c>
    </row>
    <row r="87" spans="1:5" x14ac:dyDescent="0.25">
      <c r="A87" s="3"/>
      <c r="B87" s="1">
        <v>43983</v>
      </c>
      <c r="C87" s="23">
        <f t="shared" si="4"/>
        <v>2020</v>
      </c>
      <c r="D87" s="23">
        <f t="shared" si="5"/>
        <v>6</v>
      </c>
      <c r="E87" s="7">
        <v>388.74624874958317</v>
      </c>
    </row>
    <row r="88" spans="1:5" x14ac:dyDescent="0.25">
      <c r="A88" s="3"/>
      <c r="B88" s="1">
        <v>44075</v>
      </c>
      <c r="C88" s="23">
        <f t="shared" si="4"/>
        <v>2020</v>
      </c>
      <c r="D88" s="23">
        <f t="shared" si="5"/>
        <v>9</v>
      </c>
      <c r="E88" s="7">
        <v>402.53276792598302</v>
      </c>
    </row>
    <row r="89" spans="1:5" x14ac:dyDescent="0.25">
      <c r="A89" s="3"/>
      <c r="B89" s="1">
        <v>44166</v>
      </c>
      <c r="C89" s="23">
        <f t="shared" si="4"/>
        <v>2020</v>
      </c>
      <c r="D89" s="23">
        <f t="shared" si="5"/>
        <v>12</v>
      </c>
      <c r="E89" s="7">
        <v>411.12756952841596</v>
      </c>
    </row>
    <row r="90" spans="1:5" x14ac:dyDescent="0.25">
      <c r="A90" s="3"/>
      <c r="B90" s="1">
        <v>44256</v>
      </c>
      <c r="C90" s="23">
        <f t="shared" si="4"/>
        <v>2021</v>
      </c>
      <c r="D90" s="23">
        <f t="shared" si="5"/>
        <v>3</v>
      </c>
      <c r="E90" s="7">
        <v>424.74896187240466</v>
      </c>
    </row>
    <row r="91" spans="1:5" x14ac:dyDescent="0.25">
      <c r="A91" s="3"/>
      <c r="B91" s="1">
        <v>44348</v>
      </c>
      <c r="C91" s="23">
        <f t="shared" si="4"/>
        <v>2021</v>
      </c>
      <c r="D91" s="23">
        <f t="shared" si="5"/>
        <v>6</v>
      </c>
      <c r="E91" s="7">
        <v>427.69645448890731</v>
      </c>
    </row>
    <row r="92" spans="1:5" x14ac:dyDescent="0.25">
      <c r="A92" s="3"/>
      <c r="B92" s="1">
        <v>44440</v>
      </c>
      <c r="C92" s="23">
        <f t="shared" si="4"/>
        <v>2021</v>
      </c>
      <c r="D92" s="23">
        <f t="shared" si="5"/>
        <v>9</v>
      </c>
      <c r="E92" s="7">
        <v>441.22423742786481</v>
      </c>
    </row>
    <row r="93" spans="1:5" x14ac:dyDescent="0.25">
      <c r="A93" s="3"/>
      <c r="B93" s="1">
        <v>44531</v>
      </c>
      <c r="C93" s="23">
        <f t="shared" si="4"/>
        <v>2021</v>
      </c>
      <c r="D93" s="23">
        <f t="shared" si="5"/>
        <v>12</v>
      </c>
      <c r="E93" s="7">
        <v>453.82841328413286</v>
      </c>
    </row>
    <row r="94" spans="1:5" x14ac:dyDescent="0.25">
      <c r="A94" s="3"/>
      <c r="B94" s="1">
        <v>44621</v>
      </c>
      <c r="C94" s="23">
        <f t="shared" si="4"/>
        <v>2022</v>
      </c>
      <c r="D94" s="23">
        <f t="shared" si="5"/>
        <v>3</v>
      </c>
      <c r="E94" s="7">
        <v>473.89864728447407</v>
      </c>
    </row>
    <row r="95" spans="1:5" x14ac:dyDescent="0.25">
      <c r="A95" s="3"/>
      <c r="B95" s="1">
        <v>44713</v>
      </c>
      <c r="C95" s="23">
        <f t="shared" si="4"/>
        <v>2022</v>
      </c>
      <c r="D95" s="23">
        <f t="shared" si="5"/>
        <v>6</v>
      </c>
      <c r="E95" s="7">
        <v>494.07716371220022</v>
      </c>
    </row>
    <row r="96" spans="1:5" x14ac:dyDescent="0.25">
      <c r="A96" s="3"/>
      <c r="B96" s="1">
        <v>44805</v>
      </c>
      <c r="C96" s="23">
        <f t="shared" si="4"/>
        <v>2022</v>
      </c>
      <c r="D96" s="23">
        <f t="shared" si="5"/>
        <v>9</v>
      </c>
      <c r="E96" s="7">
        <v>503.0238726790451</v>
      </c>
    </row>
    <row r="97" spans="1:5" x14ac:dyDescent="0.25">
      <c r="A97" s="3"/>
      <c r="B97" s="1">
        <v>44896</v>
      </c>
      <c r="C97" s="23">
        <f t="shared" si="4"/>
        <v>2022</v>
      </c>
      <c r="D97" s="23">
        <f t="shared" si="5"/>
        <v>12</v>
      </c>
      <c r="E97" s="7">
        <v>520.03557927507222</v>
      </c>
    </row>
    <row r="98" spans="1:5" x14ac:dyDescent="0.25">
      <c r="B98" s="1">
        <v>44986</v>
      </c>
      <c r="C98" s="23">
        <f t="shared" ref="C98:C109" si="6">YEAR(B98)</f>
        <v>2023</v>
      </c>
      <c r="D98" s="23">
        <f t="shared" ref="D98:D109" si="7">MONTH(B98)</f>
        <v>3</v>
      </c>
      <c r="E98" s="7">
        <v>541.48725212464592</v>
      </c>
    </row>
    <row r="99" spans="1:5" x14ac:dyDescent="0.25">
      <c r="B99" s="1">
        <v>45078</v>
      </c>
      <c r="C99" s="23">
        <f t="shared" si="6"/>
        <v>2023</v>
      </c>
      <c r="D99" s="23">
        <f t="shared" si="7"/>
        <v>6</v>
      </c>
      <c r="E99" s="7">
        <v>541.47558163906933</v>
      </c>
    </row>
    <row r="100" spans="1:5" x14ac:dyDescent="0.25">
      <c r="B100" s="1">
        <v>45170</v>
      </c>
      <c r="C100" s="23">
        <f t="shared" si="6"/>
        <v>2023</v>
      </c>
      <c r="D100" s="23">
        <f t="shared" si="7"/>
        <v>9</v>
      </c>
      <c r="E100" s="7">
        <v>544.98244889531281</v>
      </c>
    </row>
    <row r="101" spans="1:5" x14ac:dyDescent="0.25">
      <c r="B101" s="1">
        <v>45261</v>
      </c>
      <c r="C101" s="23">
        <f t="shared" si="6"/>
        <v>2023</v>
      </c>
      <c r="D101" s="23">
        <f t="shared" si="7"/>
        <v>12</v>
      </c>
      <c r="E101" s="7">
        <v>568.57050313107322</v>
      </c>
    </row>
    <row r="102" spans="1:5" x14ac:dyDescent="0.25">
      <c r="B102" s="1">
        <v>45352</v>
      </c>
      <c r="C102" s="23">
        <f t="shared" si="6"/>
        <v>2024</v>
      </c>
      <c r="D102" s="23">
        <f t="shared" si="7"/>
        <v>3</v>
      </c>
      <c r="E102" s="7">
        <v>590.23241336376839</v>
      </c>
    </row>
    <row r="103" spans="1:5" x14ac:dyDescent="0.25">
      <c r="B103" s="1">
        <v>45444</v>
      </c>
      <c r="C103" s="23">
        <f t="shared" si="6"/>
        <v>2024</v>
      </c>
      <c r="D103" s="23">
        <f t="shared" si="7"/>
        <v>6</v>
      </c>
      <c r="E103" s="7">
        <v>588.86416124291418</v>
      </c>
    </row>
    <row r="104" spans="1:5" x14ac:dyDescent="0.25">
      <c r="B104" s="1">
        <v>45536</v>
      </c>
      <c r="C104" s="23">
        <f t="shared" si="6"/>
        <v>2024</v>
      </c>
      <c r="D104" s="23">
        <f t="shared" si="7"/>
        <v>9</v>
      </c>
      <c r="E104" s="7">
        <v>588.05578512396698</v>
      </c>
    </row>
    <row r="105" spans="1:5" x14ac:dyDescent="0.25">
      <c r="B105" s="1">
        <v>45627</v>
      </c>
      <c r="C105" s="23">
        <f t="shared" si="6"/>
        <v>2024</v>
      </c>
      <c r="D105" s="23">
        <f t="shared" si="7"/>
        <v>12</v>
      </c>
      <c r="E105" s="7">
        <v>595.73780741975827</v>
      </c>
    </row>
    <row r="106" spans="1:5" x14ac:dyDescent="0.25">
      <c r="B106" s="1">
        <v>45717</v>
      </c>
      <c r="C106" s="23">
        <f t="shared" si="6"/>
        <v>2025</v>
      </c>
      <c r="D106" s="23">
        <f t="shared" si="7"/>
        <v>3</v>
      </c>
      <c r="E106" s="7">
        <v>611.98415881291362</v>
      </c>
    </row>
    <row r="107" spans="1:5" x14ac:dyDescent="0.25">
      <c r="B107" s="1">
        <v>45809</v>
      </c>
      <c r="C107" s="23">
        <f t="shared" si="6"/>
        <v>2025</v>
      </c>
      <c r="D107" s="23">
        <f t="shared" si="7"/>
        <v>6</v>
      </c>
      <c r="E107" s="7">
        <v>616.56766687078994</v>
      </c>
    </row>
    <row r="108" spans="1:5" x14ac:dyDescent="0.25">
      <c r="B108" s="1">
        <v>45901</v>
      </c>
      <c r="C108" s="23">
        <f t="shared" si="6"/>
        <v>2025</v>
      </c>
      <c r="D108" s="23">
        <f t="shared" si="7"/>
        <v>9</v>
      </c>
      <c r="E108" s="7">
        <v>628.71047430830038</v>
      </c>
    </row>
    <row r="109" spans="1:5" x14ac:dyDescent="0.25">
      <c r="B109" s="1">
        <v>45992</v>
      </c>
      <c r="C109" s="23">
        <f t="shared" si="6"/>
        <v>2025</v>
      </c>
      <c r="D109" s="23">
        <f t="shared" si="7"/>
        <v>12</v>
      </c>
      <c r="E109" s="7">
        <v>640.07833920877397</v>
      </c>
    </row>
  </sheetData>
  <autoFilter ref="A1:E97" xr:uid="{57ABFE4F-8ED8-46E2-A3E7-D09420486E88}"/>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W36" sqref="W36"/>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B86" activePane="bottomRight" state="frozen"/>
      <selection pane="topRight" activeCell="B1" sqref="B1"/>
      <selection pane="bottomLeft" activeCell="A11" sqref="A11"/>
      <selection pane="bottomRight" activeCell="F112" sqref="F112"/>
    </sheetView>
  </sheetViews>
  <sheetFormatPr defaultColWidth="14.7109375" defaultRowHeight="11.25" x14ac:dyDescent="0.2"/>
  <cols>
    <col min="1" max="16384" width="14.7109375" style="39"/>
  </cols>
  <sheetData>
    <row r="1" spans="1:61" s="35" customFormat="1" ht="99.95" customHeight="1" x14ac:dyDescent="0.2">
      <c r="B1" s="36" t="s">
        <v>498</v>
      </c>
      <c r="C1" s="36" t="s">
        <v>499</v>
      </c>
      <c r="D1" s="36" t="s">
        <v>500</v>
      </c>
      <c r="E1" s="36" t="s">
        <v>501</v>
      </c>
      <c r="F1" s="36" t="s">
        <v>502</v>
      </c>
      <c r="G1" s="36" t="s">
        <v>503</v>
      </c>
      <c r="H1" s="36" t="s">
        <v>504</v>
      </c>
      <c r="I1" s="36" t="s">
        <v>505</v>
      </c>
      <c r="J1" s="36" t="s">
        <v>506</v>
      </c>
      <c r="K1" s="36" t="s">
        <v>507</v>
      </c>
      <c r="L1" s="36" t="s">
        <v>508</v>
      </c>
      <c r="M1" s="36" t="s">
        <v>509</v>
      </c>
      <c r="N1" s="36" t="s">
        <v>510</v>
      </c>
      <c r="O1" s="36" t="s">
        <v>511</v>
      </c>
      <c r="P1" s="36" t="s">
        <v>512</v>
      </c>
      <c r="Q1" s="36" t="s">
        <v>513</v>
      </c>
      <c r="R1" s="36" t="s">
        <v>514</v>
      </c>
      <c r="S1" s="36" t="s">
        <v>515</v>
      </c>
      <c r="T1" s="36" t="s">
        <v>516</v>
      </c>
      <c r="U1" s="36" t="s">
        <v>517</v>
      </c>
      <c r="V1" s="36" t="s">
        <v>518</v>
      </c>
      <c r="W1" s="36" t="s">
        <v>519</v>
      </c>
      <c r="X1" s="36" t="s">
        <v>520</v>
      </c>
      <c r="Y1" s="36" t="s">
        <v>521</v>
      </c>
      <c r="Z1" s="36" t="s">
        <v>522</v>
      </c>
      <c r="AA1" s="36" t="s">
        <v>523</v>
      </c>
      <c r="AB1" s="36" t="s">
        <v>524</v>
      </c>
      <c r="AC1" s="36" t="s">
        <v>525</v>
      </c>
      <c r="AD1" s="36" t="s">
        <v>526</v>
      </c>
      <c r="AE1" s="36" t="s">
        <v>527</v>
      </c>
      <c r="AF1" s="36" t="s">
        <v>528</v>
      </c>
      <c r="AG1" s="36" t="s">
        <v>529</v>
      </c>
      <c r="AH1" s="36" t="s">
        <v>530</v>
      </c>
      <c r="AI1" s="36" t="s">
        <v>531</v>
      </c>
      <c r="AJ1" s="36" t="s">
        <v>532</v>
      </c>
      <c r="AK1" s="36" t="s">
        <v>533</v>
      </c>
      <c r="AL1" s="36" t="s">
        <v>534</v>
      </c>
      <c r="AM1" s="36" t="s">
        <v>535</v>
      </c>
      <c r="AN1" s="36" t="s">
        <v>536</v>
      </c>
      <c r="AO1" s="36" t="s">
        <v>537</v>
      </c>
      <c r="AP1" s="36" t="s">
        <v>538</v>
      </c>
      <c r="AQ1" s="36" t="s">
        <v>539</v>
      </c>
      <c r="AR1" s="36" t="s">
        <v>540</v>
      </c>
      <c r="AS1" s="36" t="s">
        <v>541</v>
      </c>
      <c r="AT1" s="36" t="s">
        <v>542</v>
      </c>
      <c r="AU1" s="36" t="s">
        <v>543</v>
      </c>
      <c r="AV1" s="36" t="s">
        <v>544</v>
      </c>
      <c r="AW1" s="36" t="s">
        <v>545</v>
      </c>
      <c r="AX1" s="36" t="s">
        <v>546</v>
      </c>
      <c r="AY1" s="36" t="s">
        <v>547</v>
      </c>
      <c r="AZ1" s="36" t="s">
        <v>548</v>
      </c>
      <c r="BA1" s="36" t="s">
        <v>549</v>
      </c>
      <c r="BB1" s="36" t="s">
        <v>550</v>
      </c>
      <c r="BC1" s="36" t="s">
        <v>551</v>
      </c>
      <c r="BD1" s="36" t="s">
        <v>552</v>
      </c>
      <c r="BE1" s="36" t="s">
        <v>553</v>
      </c>
      <c r="BF1" s="36" t="s">
        <v>554</v>
      </c>
      <c r="BG1" s="36" t="s">
        <v>555</v>
      </c>
      <c r="BH1" s="36" t="s">
        <v>556</v>
      </c>
      <c r="BI1" s="36" t="s">
        <v>557</v>
      </c>
    </row>
    <row r="2" spans="1:61" x14ac:dyDescent="0.2">
      <c r="A2" s="37" t="s">
        <v>558</v>
      </c>
      <c r="B2" s="38" t="s">
        <v>559</v>
      </c>
      <c r="C2" s="38" t="s">
        <v>559</v>
      </c>
      <c r="D2" s="38" t="s">
        <v>559</v>
      </c>
      <c r="E2" s="38" t="s">
        <v>559</v>
      </c>
      <c r="F2" s="38" t="s">
        <v>559</v>
      </c>
      <c r="G2" s="38" t="s">
        <v>559</v>
      </c>
      <c r="H2" s="38" t="s">
        <v>559</v>
      </c>
      <c r="I2" s="38" t="s">
        <v>559</v>
      </c>
      <c r="J2" s="38" t="s">
        <v>559</v>
      </c>
      <c r="K2" s="38" t="s">
        <v>559</v>
      </c>
      <c r="L2" s="38" t="s">
        <v>559</v>
      </c>
      <c r="M2" s="38" t="s">
        <v>559</v>
      </c>
      <c r="N2" s="38" t="s">
        <v>559</v>
      </c>
      <c r="O2" s="38" t="s">
        <v>559</v>
      </c>
      <c r="P2" s="38" t="s">
        <v>559</v>
      </c>
      <c r="Q2" s="38" t="s">
        <v>559</v>
      </c>
      <c r="R2" s="38" t="s">
        <v>559</v>
      </c>
      <c r="S2" s="38" t="s">
        <v>559</v>
      </c>
      <c r="T2" s="38" t="s">
        <v>559</v>
      </c>
      <c r="U2" s="38" t="s">
        <v>559</v>
      </c>
      <c r="V2" s="38" t="s">
        <v>559</v>
      </c>
      <c r="W2" s="38" t="s">
        <v>559</v>
      </c>
      <c r="X2" s="38" t="s">
        <v>559</v>
      </c>
      <c r="Y2" s="38" t="s">
        <v>559</v>
      </c>
      <c r="Z2" s="38" t="s">
        <v>559</v>
      </c>
      <c r="AA2" s="38" t="s">
        <v>559</v>
      </c>
      <c r="AB2" s="38" t="s">
        <v>559</v>
      </c>
      <c r="AC2" s="38" t="s">
        <v>559</v>
      </c>
      <c r="AD2" s="38" t="s">
        <v>559</v>
      </c>
      <c r="AE2" s="38" t="s">
        <v>559</v>
      </c>
      <c r="AF2" s="38" t="s">
        <v>560</v>
      </c>
      <c r="AG2" s="38" t="s">
        <v>560</v>
      </c>
      <c r="AH2" s="38" t="s">
        <v>560</v>
      </c>
      <c r="AI2" s="38" t="s">
        <v>560</v>
      </c>
      <c r="AJ2" s="38" t="s">
        <v>560</v>
      </c>
      <c r="AK2" s="38" t="s">
        <v>560</v>
      </c>
      <c r="AL2" s="38" t="s">
        <v>560</v>
      </c>
      <c r="AM2" s="38" t="s">
        <v>560</v>
      </c>
      <c r="AN2" s="38" t="s">
        <v>560</v>
      </c>
      <c r="AO2" s="38" t="s">
        <v>560</v>
      </c>
      <c r="AP2" s="38" t="s">
        <v>560</v>
      </c>
      <c r="AQ2" s="38" t="s">
        <v>560</v>
      </c>
      <c r="AR2" s="38" t="s">
        <v>560</v>
      </c>
      <c r="AS2" s="38" t="s">
        <v>560</v>
      </c>
      <c r="AT2" s="38" t="s">
        <v>560</v>
      </c>
      <c r="AU2" s="38" t="s">
        <v>560</v>
      </c>
      <c r="AV2" s="38" t="s">
        <v>560</v>
      </c>
      <c r="AW2" s="38" t="s">
        <v>560</v>
      </c>
      <c r="AX2" s="38" t="s">
        <v>560</v>
      </c>
      <c r="AY2" s="38" t="s">
        <v>560</v>
      </c>
      <c r="AZ2" s="38" t="s">
        <v>560</v>
      </c>
      <c r="BA2" s="38" t="s">
        <v>560</v>
      </c>
      <c r="BB2" s="38" t="s">
        <v>560</v>
      </c>
      <c r="BC2" s="38" t="s">
        <v>560</v>
      </c>
      <c r="BD2" s="38" t="s">
        <v>560</v>
      </c>
      <c r="BE2" s="38" t="s">
        <v>560</v>
      </c>
      <c r="BF2" s="38" t="s">
        <v>560</v>
      </c>
      <c r="BG2" s="38" t="s">
        <v>560</v>
      </c>
      <c r="BH2" s="38" t="s">
        <v>560</v>
      </c>
      <c r="BI2" s="38" t="s">
        <v>560</v>
      </c>
    </row>
    <row r="3" spans="1:61" x14ac:dyDescent="0.2">
      <c r="A3" s="37" t="s">
        <v>561</v>
      </c>
      <c r="B3" s="38" t="s">
        <v>38</v>
      </c>
      <c r="C3" s="38" t="s">
        <v>38</v>
      </c>
      <c r="D3" s="38" t="s">
        <v>38</v>
      </c>
      <c r="E3" s="38" t="s">
        <v>38</v>
      </c>
      <c r="F3" s="38" t="s">
        <v>38</v>
      </c>
      <c r="G3" s="38" t="s">
        <v>38</v>
      </c>
      <c r="H3" s="38" t="s">
        <v>38</v>
      </c>
      <c r="I3" s="38" t="s">
        <v>38</v>
      </c>
      <c r="J3" s="38" t="s">
        <v>38</v>
      </c>
      <c r="K3" s="38" t="s">
        <v>38</v>
      </c>
      <c r="L3" s="38" t="s">
        <v>38</v>
      </c>
      <c r="M3" s="38" t="s">
        <v>38</v>
      </c>
      <c r="N3" s="38" t="s">
        <v>38</v>
      </c>
      <c r="O3" s="38" t="s">
        <v>38</v>
      </c>
      <c r="P3" s="38" t="s">
        <v>38</v>
      </c>
      <c r="Q3" s="38" t="s">
        <v>38</v>
      </c>
      <c r="R3" s="38" t="s">
        <v>38</v>
      </c>
      <c r="S3" s="38" t="s">
        <v>38</v>
      </c>
      <c r="T3" s="38" t="s">
        <v>38</v>
      </c>
      <c r="U3" s="38" t="s">
        <v>38</v>
      </c>
      <c r="V3" s="38" t="s">
        <v>38</v>
      </c>
      <c r="W3" s="38" t="s">
        <v>38</v>
      </c>
      <c r="X3" s="38" t="s">
        <v>38</v>
      </c>
      <c r="Y3" s="38" t="s">
        <v>38</v>
      </c>
      <c r="Z3" s="38" t="s">
        <v>38</v>
      </c>
      <c r="AA3" s="38" t="s">
        <v>38</v>
      </c>
      <c r="AB3" s="38" t="s">
        <v>38</v>
      </c>
      <c r="AC3" s="38" t="s">
        <v>38</v>
      </c>
      <c r="AD3" s="38" t="s">
        <v>38</v>
      </c>
      <c r="AE3" s="38" t="s">
        <v>38</v>
      </c>
      <c r="AF3" s="38" t="s">
        <v>38</v>
      </c>
      <c r="AG3" s="38" t="s">
        <v>38</v>
      </c>
      <c r="AH3" s="38" t="s">
        <v>38</v>
      </c>
      <c r="AI3" s="38" t="s">
        <v>38</v>
      </c>
      <c r="AJ3" s="38" t="s">
        <v>38</v>
      </c>
      <c r="AK3" s="38" t="s">
        <v>38</v>
      </c>
      <c r="AL3" s="38" t="s">
        <v>38</v>
      </c>
      <c r="AM3" s="38" t="s">
        <v>38</v>
      </c>
      <c r="AN3" s="38" t="s">
        <v>38</v>
      </c>
      <c r="AO3" s="38" t="s">
        <v>38</v>
      </c>
      <c r="AP3" s="38" t="s">
        <v>38</v>
      </c>
      <c r="AQ3" s="38" t="s">
        <v>38</v>
      </c>
      <c r="AR3" s="38" t="s">
        <v>38</v>
      </c>
      <c r="AS3" s="38" t="s">
        <v>38</v>
      </c>
      <c r="AT3" s="38" t="s">
        <v>38</v>
      </c>
      <c r="AU3" s="38" t="s">
        <v>38</v>
      </c>
      <c r="AV3" s="38" t="s">
        <v>38</v>
      </c>
      <c r="AW3" s="38" t="s">
        <v>38</v>
      </c>
      <c r="AX3" s="38" t="s">
        <v>38</v>
      </c>
      <c r="AY3" s="38" t="s">
        <v>38</v>
      </c>
      <c r="AZ3" s="38" t="s">
        <v>38</v>
      </c>
      <c r="BA3" s="38" t="s">
        <v>38</v>
      </c>
      <c r="BB3" s="38" t="s">
        <v>38</v>
      </c>
      <c r="BC3" s="38" t="s">
        <v>38</v>
      </c>
      <c r="BD3" s="38" t="s">
        <v>38</v>
      </c>
      <c r="BE3" s="38" t="s">
        <v>38</v>
      </c>
      <c r="BF3" s="38" t="s">
        <v>38</v>
      </c>
      <c r="BG3" s="38" t="s">
        <v>38</v>
      </c>
      <c r="BH3" s="38" t="s">
        <v>38</v>
      </c>
      <c r="BI3" s="38" t="s">
        <v>38</v>
      </c>
    </row>
    <row r="4" spans="1:61" x14ac:dyDescent="0.2">
      <c r="A4" s="37" t="s">
        <v>562</v>
      </c>
      <c r="B4" s="38" t="s">
        <v>563</v>
      </c>
      <c r="C4" s="38" t="s">
        <v>563</v>
      </c>
      <c r="D4" s="38" t="s">
        <v>563</v>
      </c>
      <c r="E4" s="38" t="s">
        <v>563</v>
      </c>
      <c r="F4" s="38" t="s">
        <v>563</v>
      </c>
      <c r="G4" s="38" t="s">
        <v>563</v>
      </c>
      <c r="H4" s="38" t="s">
        <v>563</v>
      </c>
      <c r="I4" s="38" t="s">
        <v>563</v>
      </c>
      <c r="J4" s="38" t="s">
        <v>563</v>
      </c>
      <c r="K4" s="38" t="s">
        <v>563</v>
      </c>
      <c r="L4" s="38" t="s">
        <v>563</v>
      </c>
      <c r="M4" s="38" t="s">
        <v>563</v>
      </c>
      <c r="N4" s="38" t="s">
        <v>563</v>
      </c>
      <c r="O4" s="38" t="s">
        <v>563</v>
      </c>
      <c r="P4" s="38" t="s">
        <v>563</v>
      </c>
      <c r="Q4" s="38" t="s">
        <v>563</v>
      </c>
      <c r="R4" s="38" t="s">
        <v>563</v>
      </c>
      <c r="S4" s="38" t="s">
        <v>563</v>
      </c>
      <c r="T4" s="38" t="s">
        <v>563</v>
      </c>
      <c r="U4" s="38" t="s">
        <v>563</v>
      </c>
      <c r="V4" s="38" t="s">
        <v>563</v>
      </c>
      <c r="W4" s="38" t="s">
        <v>563</v>
      </c>
      <c r="X4" s="38" t="s">
        <v>563</v>
      </c>
      <c r="Y4" s="38" t="s">
        <v>563</v>
      </c>
      <c r="Z4" s="38" t="s">
        <v>563</v>
      </c>
      <c r="AA4" s="38" t="s">
        <v>563</v>
      </c>
      <c r="AB4" s="38" t="s">
        <v>563</v>
      </c>
      <c r="AC4" s="38" t="s">
        <v>563</v>
      </c>
      <c r="AD4" s="38" t="s">
        <v>563</v>
      </c>
      <c r="AE4" s="38" t="s">
        <v>563</v>
      </c>
      <c r="AF4" s="38" t="s">
        <v>563</v>
      </c>
      <c r="AG4" s="38" t="s">
        <v>563</v>
      </c>
      <c r="AH4" s="38" t="s">
        <v>563</v>
      </c>
      <c r="AI4" s="38" t="s">
        <v>563</v>
      </c>
      <c r="AJ4" s="38" t="s">
        <v>563</v>
      </c>
      <c r="AK4" s="38" t="s">
        <v>563</v>
      </c>
      <c r="AL4" s="38" t="s">
        <v>563</v>
      </c>
      <c r="AM4" s="38" t="s">
        <v>563</v>
      </c>
      <c r="AN4" s="38" t="s">
        <v>563</v>
      </c>
      <c r="AO4" s="38" t="s">
        <v>563</v>
      </c>
      <c r="AP4" s="38" t="s">
        <v>563</v>
      </c>
      <c r="AQ4" s="38" t="s">
        <v>563</v>
      </c>
      <c r="AR4" s="38" t="s">
        <v>563</v>
      </c>
      <c r="AS4" s="38" t="s">
        <v>563</v>
      </c>
      <c r="AT4" s="38" t="s">
        <v>563</v>
      </c>
      <c r="AU4" s="38" t="s">
        <v>563</v>
      </c>
      <c r="AV4" s="38" t="s">
        <v>563</v>
      </c>
      <c r="AW4" s="38" t="s">
        <v>563</v>
      </c>
      <c r="AX4" s="38" t="s">
        <v>563</v>
      </c>
      <c r="AY4" s="38" t="s">
        <v>563</v>
      </c>
      <c r="AZ4" s="38" t="s">
        <v>563</v>
      </c>
      <c r="BA4" s="38" t="s">
        <v>563</v>
      </c>
      <c r="BB4" s="38" t="s">
        <v>563</v>
      </c>
      <c r="BC4" s="38" t="s">
        <v>563</v>
      </c>
      <c r="BD4" s="38" t="s">
        <v>563</v>
      </c>
      <c r="BE4" s="38" t="s">
        <v>563</v>
      </c>
      <c r="BF4" s="38" t="s">
        <v>563</v>
      </c>
      <c r="BG4" s="38" t="s">
        <v>563</v>
      </c>
      <c r="BH4" s="38" t="s">
        <v>563</v>
      </c>
      <c r="BI4" s="38" t="s">
        <v>563</v>
      </c>
    </row>
    <row r="5" spans="1:61" x14ac:dyDescent="0.2">
      <c r="A5" s="37" t="s">
        <v>35</v>
      </c>
      <c r="B5" s="38" t="s">
        <v>2</v>
      </c>
      <c r="C5" s="38" t="s">
        <v>2</v>
      </c>
      <c r="D5" s="38" t="s">
        <v>2</v>
      </c>
      <c r="E5" s="38" t="s">
        <v>2</v>
      </c>
      <c r="F5" s="38" t="s">
        <v>2</v>
      </c>
      <c r="G5" s="38" t="s">
        <v>2</v>
      </c>
      <c r="H5" s="38" t="s">
        <v>2</v>
      </c>
      <c r="I5" s="38" t="s">
        <v>2</v>
      </c>
      <c r="J5" s="38" t="s">
        <v>2</v>
      </c>
      <c r="K5" s="38" t="s">
        <v>2</v>
      </c>
      <c r="L5" s="38" t="s">
        <v>2</v>
      </c>
      <c r="M5" s="38" t="s">
        <v>2</v>
      </c>
      <c r="N5" s="38" t="s">
        <v>2</v>
      </c>
      <c r="O5" s="38" t="s">
        <v>2</v>
      </c>
      <c r="P5" s="38" t="s">
        <v>2</v>
      </c>
      <c r="Q5" s="38" t="s">
        <v>2</v>
      </c>
      <c r="R5" s="38" t="s">
        <v>2</v>
      </c>
      <c r="S5" s="38" t="s">
        <v>2</v>
      </c>
      <c r="T5" s="38" t="s">
        <v>2</v>
      </c>
      <c r="U5" s="38" t="s">
        <v>2</v>
      </c>
      <c r="V5" s="38" t="s">
        <v>2</v>
      </c>
      <c r="W5" s="38" t="s">
        <v>2</v>
      </c>
      <c r="X5" s="38" t="s">
        <v>2</v>
      </c>
      <c r="Y5" s="38" t="s">
        <v>2</v>
      </c>
      <c r="Z5" s="38" t="s">
        <v>2</v>
      </c>
      <c r="AA5" s="38" t="s">
        <v>2</v>
      </c>
      <c r="AB5" s="38" t="s">
        <v>2</v>
      </c>
      <c r="AC5" s="38" t="s">
        <v>2</v>
      </c>
      <c r="AD5" s="38" t="s">
        <v>2</v>
      </c>
      <c r="AE5" s="38" t="s">
        <v>2</v>
      </c>
      <c r="AF5" s="38" t="s">
        <v>2</v>
      </c>
      <c r="AG5" s="38" t="s">
        <v>2</v>
      </c>
      <c r="AH5" s="38" t="s">
        <v>2</v>
      </c>
      <c r="AI5" s="38" t="s">
        <v>2</v>
      </c>
      <c r="AJ5" s="38" t="s">
        <v>2</v>
      </c>
      <c r="AK5" s="38" t="s">
        <v>2</v>
      </c>
      <c r="AL5" s="38" t="s">
        <v>2</v>
      </c>
      <c r="AM5" s="38" t="s">
        <v>2</v>
      </c>
      <c r="AN5" s="38" t="s">
        <v>2</v>
      </c>
      <c r="AO5" s="38" t="s">
        <v>2</v>
      </c>
      <c r="AP5" s="38" t="s">
        <v>2</v>
      </c>
      <c r="AQ5" s="38" t="s">
        <v>2</v>
      </c>
      <c r="AR5" s="38" t="s">
        <v>2</v>
      </c>
      <c r="AS5" s="38" t="s">
        <v>2</v>
      </c>
      <c r="AT5" s="38" t="s">
        <v>2</v>
      </c>
      <c r="AU5" s="38" t="s">
        <v>2</v>
      </c>
      <c r="AV5" s="38" t="s">
        <v>2</v>
      </c>
      <c r="AW5" s="38" t="s">
        <v>2</v>
      </c>
      <c r="AX5" s="38" t="s">
        <v>2</v>
      </c>
      <c r="AY5" s="38" t="s">
        <v>2</v>
      </c>
      <c r="AZ5" s="38" t="s">
        <v>2</v>
      </c>
      <c r="BA5" s="38" t="s">
        <v>2</v>
      </c>
      <c r="BB5" s="38" t="s">
        <v>2</v>
      </c>
      <c r="BC5" s="38" t="s">
        <v>2</v>
      </c>
      <c r="BD5" s="38" t="s">
        <v>2</v>
      </c>
      <c r="BE5" s="38" t="s">
        <v>2</v>
      </c>
      <c r="BF5" s="38" t="s">
        <v>2</v>
      </c>
      <c r="BG5" s="38" t="s">
        <v>2</v>
      </c>
      <c r="BH5" s="38" t="s">
        <v>2</v>
      </c>
      <c r="BI5" s="38" t="s">
        <v>2</v>
      </c>
    </row>
    <row r="6" spans="1:61" x14ac:dyDescent="0.2">
      <c r="A6" s="37" t="s">
        <v>564</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c r="BB6" s="39">
        <v>3</v>
      </c>
      <c r="BC6" s="39">
        <v>3</v>
      </c>
      <c r="BD6" s="39">
        <v>3</v>
      </c>
      <c r="BE6" s="39">
        <v>3</v>
      </c>
      <c r="BF6" s="39">
        <v>3</v>
      </c>
      <c r="BG6" s="39">
        <v>3</v>
      </c>
      <c r="BH6" s="39">
        <v>3</v>
      </c>
      <c r="BI6" s="39">
        <v>3</v>
      </c>
    </row>
    <row r="7" spans="1:61" s="41" customFormat="1" x14ac:dyDescent="0.2">
      <c r="A7" s="40" t="s">
        <v>565</v>
      </c>
      <c r="B7" s="41">
        <v>37316</v>
      </c>
      <c r="C7" s="41">
        <v>37865</v>
      </c>
      <c r="D7" s="41">
        <v>37316</v>
      </c>
      <c r="E7" s="41">
        <v>37865</v>
      </c>
      <c r="F7" s="41">
        <v>37316</v>
      </c>
      <c r="G7" s="41">
        <v>37865</v>
      </c>
      <c r="H7" s="41">
        <v>37316</v>
      </c>
      <c r="I7" s="41">
        <v>37865</v>
      </c>
      <c r="J7" s="41">
        <v>37316</v>
      </c>
      <c r="K7" s="41">
        <v>37865</v>
      </c>
      <c r="L7" s="41">
        <v>37316</v>
      </c>
      <c r="M7" s="41">
        <v>37865</v>
      </c>
      <c r="N7" s="41">
        <v>37316</v>
      </c>
      <c r="O7" s="41">
        <v>37865</v>
      </c>
      <c r="P7" s="41">
        <v>37316</v>
      </c>
      <c r="Q7" s="41">
        <v>37865</v>
      </c>
      <c r="R7" s="41">
        <v>37865</v>
      </c>
      <c r="S7" s="41">
        <v>37865</v>
      </c>
      <c r="T7" s="41">
        <v>37865</v>
      </c>
      <c r="U7" s="41">
        <v>37865</v>
      </c>
      <c r="V7" s="41">
        <v>37865</v>
      </c>
      <c r="W7" s="41">
        <v>37865</v>
      </c>
      <c r="X7" s="41">
        <v>37865</v>
      </c>
      <c r="Y7" s="41">
        <v>37865</v>
      </c>
      <c r="Z7" s="41">
        <v>37865</v>
      </c>
      <c r="AA7" s="41">
        <v>37865</v>
      </c>
      <c r="AB7" s="41">
        <v>37865</v>
      </c>
      <c r="AC7" s="41">
        <v>37865</v>
      </c>
      <c r="AD7" s="41">
        <v>37865</v>
      </c>
      <c r="AE7" s="41">
        <v>37865</v>
      </c>
      <c r="AF7" s="41">
        <v>37316</v>
      </c>
      <c r="AG7" s="41">
        <v>37865</v>
      </c>
      <c r="AH7" s="41">
        <v>37316</v>
      </c>
      <c r="AI7" s="41">
        <v>37865</v>
      </c>
      <c r="AJ7" s="41">
        <v>37316</v>
      </c>
      <c r="AK7" s="41">
        <v>37865</v>
      </c>
      <c r="AL7" s="41">
        <v>37316</v>
      </c>
      <c r="AM7" s="41">
        <v>37865</v>
      </c>
      <c r="AN7" s="41">
        <v>37316</v>
      </c>
      <c r="AO7" s="41">
        <v>37865</v>
      </c>
      <c r="AP7" s="41">
        <v>37316</v>
      </c>
      <c r="AQ7" s="41">
        <v>37865</v>
      </c>
      <c r="AR7" s="41">
        <v>37316</v>
      </c>
      <c r="AS7" s="41">
        <v>37865</v>
      </c>
      <c r="AT7" s="41">
        <v>37316</v>
      </c>
      <c r="AU7" s="41">
        <v>37865</v>
      </c>
      <c r="AV7" s="41">
        <v>37865</v>
      </c>
      <c r="AW7" s="41">
        <v>37865</v>
      </c>
      <c r="AX7" s="41">
        <v>37865</v>
      </c>
      <c r="AY7" s="41">
        <v>37865</v>
      </c>
      <c r="AZ7" s="41">
        <v>37865</v>
      </c>
      <c r="BA7" s="41">
        <v>37865</v>
      </c>
      <c r="BB7" s="41">
        <v>37865</v>
      </c>
      <c r="BC7" s="41">
        <v>37865</v>
      </c>
      <c r="BD7" s="41">
        <v>37865</v>
      </c>
      <c r="BE7" s="41">
        <v>37865</v>
      </c>
      <c r="BF7" s="41">
        <v>37865</v>
      </c>
      <c r="BG7" s="41">
        <v>37865</v>
      </c>
      <c r="BH7" s="41">
        <v>37865</v>
      </c>
      <c r="BI7" s="41">
        <v>37865</v>
      </c>
    </row>
    <row r="8" spans="1:61" s="41" customFormat="1" x14ac:dyDescent="0.2">
      <c r="A8" s="40" t="s">
        <v>566</v>
      </c>
      <c r="B8" s="41">
        <v>45992</v>
      </c>
      <c r="C8" s="41">
        <v>45992</v>
      </c>
      <c r="D8" s="41">
        <v>45992</v>
      </c>
      <c r="E8" s="41">
        <v>45992</v>
      </c>
      <c r="F8" s="41">
        <v>45992</v>
      </c>
      <c r="G8" s="41">
        <v>45992</v>
      </c>
      <c r="H8" s="41">
        <v>45992</v>
      </c>
      <c r="I8" s="41">
        <v>45992</v>
      </c>
      <c r="J8" s="41">
        <v>45992</v>
      </c>
      <c r="K8" s="41">
        <v>45992</v>
      </c>
      <c r="L8" s="41">
        <v>45992</v>
      </c>
      <c r="M8" s="41">
        <v>45992</v>
      </c>
      <c r="N8" s="41">
        <v>45992</v>
      </c>
      <c r="O8" s="41">
        <v>45992</v>
      </c>
      <c r="P8" s="41">
        <v>45992</v>
      </c>
      <c r="Q8" s="41">
        <v>45992</v>
      </c>
      <c r="R8" s="41">
        <v>45992</v>
      </c>
      <c r="S8" s="41">
        <v>45992</v>
      </c>
      <c r="T8" s="41">
        <v>45992</v>
      </c>
      <c r="U8" s="41">
        <v>45992</v>
      </c>
      <c r="V8" s="41">
        <v>45992</v>
      </c>
      <c r="W8" s="41">
        <v>45992</v>
      </c>
      <c r="X8" s="41">
        <v>45992</v>
      </c>
      <c r="Y8" s="41">
        <v>45992</v>
      </c>
      <c r="Z8" s="41">
        <v>45992</v>
      </c>
      <c r="AA8" s="41">
        <v>45992</v>
      </c>
      <c r="AB8" s="41">
        <v>45992</v>
      </c>
      <c r="AC8" s="41">
        <v>45992</v>
      </c>
      <c r="AD8" s="41">
        <v>45992</v>
      </c>
      <c r="AE8" s="41">
        <v>45992</v>
      </c>
      <c r="AF8" s="41">
        <v>45992</v>
      </c>
      <c r="AG8" s="41">
        <v>45992</v>
      </c>
      <c r="AH8" s="41">
        <v>45992</v>
      </c>
      <c r="AI8" s="41">
        <v>45992</v>
      </c>
      <c r="AJ8" s="41">
        <v>45992</v>
      </c>
      <c r="AK8" s="41">
        <v>45992</v>
      </c>
      <c r="AL8" s="41">
        <v>45992</v>
      </c>
      <c r="AM8" s="41">
        <v>45992</v>
      </c>
      <c r="AN8" s="41">
        <v>45992</v>
      </c>
      <c r="AO8" s="41">
        <v>45992</v>
      </c>
      <c r="AP8" s="41">
        <v>45992</v>
      </c>
      <c r="AQ8" s="41">
        <v>45992</v>
      </c>
      <c r="AR8" s="41">
        <v>45992</v>
      </c>
      <c r="AS8" s="41">
        <v>45992</v>
      </c>
      <c r="AT8" s="41">
        <v>45992</v>
      </c>
      <c r="AU8" s="41">
        <v>45992</v>
      </c>
      <c r="AV8" s="41">
        <v>45992</v>
      </c>
      <c r="AW8" s="41">
        <v>45992</v>
      </c>
      <c r="AX8" s="41">
        <v>45992</v>
      </c>
      <c r="AY8" s="41">
        <v>45992</v>
      </c>
      <c r="AZ8" s="41">
        <v>45992</v>
      </c>
      <c r="BA8" s="41">
        <v>45992</v>
      </c>
      <c r="BB8" s="41">
        <v>45992</v>
      </c>
      <c r="BC8" s="41">
        <v>45992</v>
      </c>
      <c r="BD8" s="41">
        <v>45992</v>
      </c>
      <c r="BE8" s="41">
        <v>45992</v>
      </c>
      <c r="BF8" s="41">
        <v>45992</v>
      </c>
      <c r="BG8" s="41">
        <v>45992</v>
      </c>
      <c r="BH8" s="41">
        <v>45992</v>
      </c>
      <c r="BI8" s="41">
        <v>45992</v>
      </c>
    </row>
    <row r="9" spans="1:61" x14ac:dyDescent="0.2">
      <c r="A9" s="37" t="s">
        <v>567</v>
      </c>
      <c r="B9" s="39">
        <v>96</v>
      </c>
      <c r="C9" s="39">
        <v>90</v>
      </c>
      <c r="D9" s="39">
        <v>96</v>
      </c>
      <c r="E9" s="39">
        <v>90</v>
      </c>
      <c r="F9" s="39">
        <v>96</v>
      </c>
      <c r="G9" s="39">
        <v>90</v>
      </c>
      <c r="H9" s="39">
        <v>96</v>
      </c>
      <c r="I9" s="39">
        <v>90</v>
      </c>
      <c r="J9" s="39">
        <v>96</v>
      </c>
      <c r="K9" s="39">
        <v>90</v>
      </c>
      <c r="L9" s="39">
        <v>96</v>
      </c>
      <c r="M9" s="39">
        <v>90</v>
      </c>
      <c r="N9" s="39">
        <v>96</v>
      </c>
      <c r="O9" s="39">
        <v>90</v>
      </c>
      <c r="P9" s="39">
        <v>96</v>
      </c>
      <c r="Q9" s="39">
        <v>90</v>
      </c>
      <c r="R9" s="39">
        <v>90</v>
      </c>
      <c r="S9" s="39">
        <v>90</v>
      </c>
      <c r="T9" s="39">
        <v>90</v>
      </c>
      <c r="U9" s="39">
        <v>90</v>
      </c>
      <c r="V9" s="39">
        <v>90</v>
      </c>
      <c r="W9" s="39">
        <v>90</v>
      </c>
      <c r="X9" s="39">
        <v>90</v>
      </c>
      <c r="Y9" s="39">
        <v>90</v>
      </c>
      <c r="Z9" s="39">
        <v>90</v>
      </c>
      <c r="AA9" s="39">
        <v>90</v>
      </c>
      <c r="AB9" s="39">
        <v>90</v>
      </c>
      <c r="AC9" s="39">
        <v>90</v>
      </c>
      <c r="AD9" s="39">
        <v>90</v>
      </c>
      <c r="AE9" s="39">
        <v>90</v>
      </c>
      <c r="AF9" s="39">
        <v>96</v>
      </c>
      <c r="AG9" s="39">
        <v>90</v>
      </c>
      <c r="AH9" s="39">
        <v>96</v>
      </c>
      <c r="AI9" s="39">
        <v>90</v>
      </c>
      <c r="AJ9" s="39">
        <v>96</v>
      </c>
      <c r="AK9" s="39">
        <v>90</v>
      </c>
      <c r="AL9" s="39">
        <v>96</v>
      </c>
      <c r="AM9" s="39">
        <v>90</v>
      </c>
      <c r="AN9" s="39">
        <v>96</v>
      </c>
      <c r="AO9" s="39">
        <v>90</v>
      </c>
      <c r="AP9" s="39">
        <v>96</v>
      </c>
      <c r="AQ9" s="39">
        <v>90</v>
      </c>
      <c r="AR9" s="39">
        <v>96</v>
      </c>
      <c r="AS9" s="39">
        <v>90</v>
      </c>
      <c r="AT9" s="39">
        <v>96</v>
      </c>
      <c r="AU9" s="39">
        <v>90</v>
      </c>
      <c r="AV9" s="39">
        <v>90</v>
      </c>
      <c r="AW9" s="39">
        <v>90</v>
      </c>
      <c r="AX9" s="39">
        <v>90</v>
      </c>
      <c r="AY9" s="39">
        <v>90</v>
      </c>
      <c r="AZ9" s="39">
        <v>90</v>
      </c>
      <c r="BA9" s="39">
        <v>90</v>
      </c>
      <c r="BB9" s="39">
        <v>90</v>
      </c>
      <c r="BC9" s="39">
        <v>90</v>
      </c>
      <c r="BD9" s="39">
        <v>90</v>
      </c>
      <c r="BE9" s="39">
        <v>90</v>
      </c>
      <c r="BF9" s="39">
        <v>90</v>
      </c>
      <c r="BG9" s="39">
        <v>90</v>
      </c>
      <c r="BH9" s="39">
        <v>90</v>
      </c>
      <c r="BI9" s="39">
        <v>90</v>
      </c>
    </row>
    <row r="10" spans="1:61" x14ac:dyDescent="0.2">
      <c r="A10" s="37" t="s">
        <v>44</v>
      </c>
      <c r="B10" s="38" t="s">
        <v>568</v>
      </c>
      <c r="C10" s="38" t="s">
        <v>569</v>
      </c>
      <c r="D10" s="38" t="s">
        <v>570</v>
      </c>
      <c r="E10" s="38" t="s">
        <v>571</v>
      </c>
      <c r="F10" s="38" t="s">
        <v>572</v>
      </c>
      <c r="G10" s="38" t="s">
        <v>573</v>
      </c>
      <c r="H10" s="38" t="s">
        <v>574</v>
      </c>
      <c r="I10" s="38" t="s">
        <v>575</v>
      </c>
      <c r="J10" s="38" t="s">
        <v>576</v>
      </c>
      <c r="K10" s="38" t="s">
        <v>577</v>
      </c>
      <c r="L10" s="38" t="s">
        <v>578</v>
      </c>
      <c r="M10" s="38" t="s">
        <v>579</v>
      </c>
      <c r="N10" s="38" t="s">
        <v>580</v>
      </c>
      <c r="O10" s="38" t="s">
        <v>581</v>
      </c>
      <c r="P10" s="38" t="s">
        <v>582</v>
      </c>
      <c r="Q10" s="38" t="s">
        <v>583</v>
      </c>
      <c r="R10" s="38" t="s">
        <v>584</v>
      </c>
      <c r="S10" s="38" t="s">
        <v>585</v>
      </c>
      <c r="T10" s="38" t="s">
        <v>586</v>
      </c>
      <c r="U10" s="38" t="s">
        <v>587</v>
      </c>
      <c r="V10" s="38" t="s">
        <v>588</v>
      </c>
      <c r="W10" s="38" t="s">
        <v>589</v>
      </c>
      <c r="X10" s="38" t="s">
        <v>590</v>
      </c>
      <c r="Y10" s="38" t="s">
        <v>591</v>
      </c>
      <c r="Z10" s="38" t="s">
        <v>592</v>
      </c>
      <c r="AA10" s="38" t="s">
        <v>593</v>
      </c>
      <c r="AB10" s="38" t="s">
        <v>594</v>
      </c>
      <c r="AC10" s="38" t="s">
        <v>595</v>
      </c>
      <c r="AD10" s="38" t="s">
        <v>596</v>
      </c>
      <c r="AE10" s="38" t="s">
        <v>597</v>
      </c>
      <c r="AF10" s="38" t="s">
        <v>598</v>
      </c>
      <c r="AG10" s="38" t="s">
        <v>599</v>
      </c>
      <c r="AH10" s="38" t="s">
        <v>600</v>
      </c>
      <c r="AI10" s="38" t="s">
        <v>601</v>
      </c>
      <c r="AJ10" s="38" t="s">
        <v>602</v>
      </c>
      <c r="AK10" s="38" t="s">
        <v>603</v>
      </c>
      <c r="AL10" s="38" t="s">
        <v>604</v>
      </c>
      <c r="AM10" s="38" t="s">
        <v>605</v>
      </c>
      <c r="AN10" s="38" t="s">
        <v>606</v>
      </c>
      <c r="AO10" s="38" t="s">
        <v>607</v>
      </c>
      <c r="AP10" s="38" t="s">
        <v>608</v>
      </c>
      <c r="AQ10" s="38" t="s">
        <v>609</v>
      </c>
      <c r="AR10" s="38" t="s">
        <v>610</v>
      </c>
      <c r="AS10" s="38" t="s">
        <v>611</v>
      </c>
      <c r="AT10" s="38" t="s">
        <v>612</v>
      </c>
      <c r="AU10" s="38" t="s">
        <v>613</v>
      </c>
      <c r="AV10" s="38" t="s">
        <v>614</v>
      </c>
      <c r="AW10" s="38" t="s">
        <v>615</v>
      </c>
      <c r="AX10" s="38" t="s">
        <v>616</v>
      </c>
      <c r="AY10" s="38" t="s">
        <v>617</v>
      </c>
      <c r="AZ10" s="38" t="s">
        <v>618</v>
      </c>
      <c r="BA10" s="38" t="s">
        <v>619</v>
      </c>
      <c r="BB10" s="38" t="s">
        <v>620</v>
      </c>
      <c r="BC10" s="38" t="s">
        <v>621</v>
      </c>
      <c r="BD10" s="38" t="s">
        <v>622</v>
      </c>
      <c r="BE10" s="38" t="s">
        <v>623</v>
      </c>
      <c r="BF10" s="38" t="s">
        <v>624</v>
      </c>
      <c r="BG10" s="38" t="s">
        <v>625</v>
      </c>
      <c r="BH10" s="38" t="s">
        <v>626</v>
      </c>
      <c r="BI10" s="38" t="s">
        <v>627</v>
      </c>
    </row>
    <row r="11" spans="1:61" x14ac:dyDescent="0.2">
      <c r="A11" s="42">
        <v>37316</v>
      </c>
      <c r="B11" s="43">
        <v>365</v>
      </c>
      <c r="D11" s="43">
        <v>241</v>
      </c>
      <c r="F11" s="43">
        <v>185</v>
      </c>
      <c r="H11" s="43">
        <v>166</v>
      </c>
      <c r="J11" s="43">
        <v>190</v>
      </c>
      <c r="L11" s="43">
        <v>123.3</v>
      </c>
      <c r="N11" s="43">
        <v>190</v>
      </c>
      <c r="P11" s="43">
        <v>245</v>
      </c>
      <c r="AF11" s="44">
        <v>13078</v>
      </c>
      <c r="AH11" s="44">
        <v>16024</v>
      </c>
      <c r="AJ11" s="44">
        <v>11042</v>
      </c>
      <c r="AL11" s="44">
        <v>5534</v>
      </c>
      <c r="AN11" s="44">
        <v>8929</v>
      </c>
      <c r="AP11" s="44">
        <v>1482</v>
      </c>
      <c r="AR11" s="44">
        <v>432</v>
      </c>
      <c r="AT11" s="44">
        <v>1553</v>
      </c>
    </row>
    <row r="12" spans="1:61" x14ac:dyDescent="0.2">
      <c r="A12" s="42">
        <v>37408</v>
      </c>
      <c r="B12" s="43">
        <v>393.5</v>
      </c>
      <c r="D12" s="43">
        <v>260</v>
      </c>
      <c r="F12" s="43">
        <v>182.6</v>
      </c>
      <c r="H12" s="43">
        <v>175</v>
      </c>
      <c r="J12" s="43">
        <v>190</v>
      </c>
      <c r="L12" s="43">
        <v>117</v>
      </c>
      <c r="N12" s="43">
        <v>188.3</v>
      </c>
      <c r="P12" s="43">
        <v>258</v>
      </c>
      <c r="AF12" s="44">
        <v>15569</v>
      </c>
      <c r="AH12" s="44">
        <v>17304</v>
      </c>
      <c r="AJ12" s="44">
        <v>11948</v>
      </c>
      <c r="AL12" s="44">
        <v>5574</v>
      </c>
      <c r="AN12" s="44">
        <v>8286</v>
      </c>
      <c r="AP12" s="44">
        <v>1475</v>
      </c>
      <c r="AR12" s="44">
        <v>472</v>
      </c>
      <c r="AT12" s="44">
        <v>1773</v>
      </c>
    </row>
    <row r="13" spans="1:61" x14ac:dyDescent="0.2">
      <c r="A13" s="42">
        <v>37500</v>
      </c>
      <c r="B13" s="43">
        <v>413</v>
      </c>
      <c r="D13" s="43">
        <v>265</v>
      </c>
      <c r="F13" s="43">
        <v>198</v>
      </c>
      <c r="H13" s="43">
        <v>181</v>
      </c>
      <c r="J13" s="43">
        <v>195</v>
      </c>
      <c r="L13" s="43">
        <v>124</v>
      </c>
      <c r="N13" s="43">
        <v>190</v>
      </c>
      <c r="P13" s="43">
        <v>275</v>
      </c>
      <c r="AF13" s="44">
        <v>16761</v>
      </c>
      <c r="AH13" s="44">
        <v>15888</v>
      </c>
      <c r="AJ13" s="44">
        <v>11772</v>
      </c>
      <c r="AL13" s="44">
        <v>4983</v>
      </c>
      <c r="AN13" s="44">
        <v>7340</v>
      </c>
      <c r="AP13" s="44">
        <v>1491</v>
      </c>
      <c r="AR13" s="44">
        <v>512</v>
      </c>
      <c r="AT13" s="44">
        <v>1411</v>
      </c>
    </row>
    <row r="14" spans="1:61" x14ac:dyDescent="0.2">
      <c r="A14" s="42">
        <v>37591</v>
      </c>
      <c r="B14" s="43">
        <v>444</v>
      </c>
      <c r="D14" s="43">
        <v>280</v>
      </c>
      <c r="F14" s="43">
        <v>208</v>
      </c>
      <c r="H14" s="43">
        <v>195</v>
      </c>
      <c r="J14" s="43">
        <v>206</v>
      </c>
      <c r="L14" s="43">
        <v>128</v>
      </c>
      <c r="N14" s="43">
        <v>195</v>
      </c>
      <c r="P14" s="43">
        <v>291</v>
      </c>
      <c r="AF14" s="44">
        <v>15447</v>
      </c>
      <c r="AH14" s="44">
        <v>16320</v>
      </c>
      <c r="AJ14" s="44">
        <v>11552</v>
      </c>
      <c r="AL14" s="44">
        <v>5139</v>
      </c>
      <c r="AN14" s="44">
        <v>7673</v>
      </c>
      <c r="AP14" s="44">
        <v>1474</v>
      </c>
      <c r="AR14" s="44">
        <v>469</v>
      </c>
      <c r="AT14" s="44">
        <v>1504</v>
      </c>
    </row>
    <row r="15" spans="1:61" x14ac:dyDescent="0.2">
      <c r="A15" s="42">
        <v>37681</v>
      </c>
      <c r="B15" s="43">
        <v>434.5</v>
      </c>
      <c r="D15" s="43">
        <v>270</v>
      </c>
      <c r="F15" s="43">
        <v>225</v>
      </c>
      <c r="H15" s="43">
        <v>209.4</v>
      </c>
      <c r="J15" s="43">
        <v>216</v>
      </c>
      <c r="L15" s="43">
        <v>145</v>
      </c>
      <c r="N15" s="43">
        <v>198</v>
      </c>
      <c r="P15" s="43">
        <v>300</v>
      </c>
      <c r="AF15" s="44">
        <v>13734</v>
      </c>
      <c r="AH15" s="44">
        <v>14699</v>
      </c>
      <c r="AJ15" s="44">
        <v>13572</v>
      </c>
      <c r="AL15" s="44">
        <v>5229</v>
      </c>
      <c r="AN15" s="44">
        <v>9446</v>
      </c>
      <c r="AP15" s="44">
        <v>1607</v>
      </c>
      <c r="AR15" s="44">
        <v>497</v>
      </c>
      <c r="AT15" s="44">
        <v>1386</v>
      </c>
    </row>
    <row r="16" spans="1:61" x14ac:dyDescent="0.2">
      <c r="A16" s="42">
        <v>37773</v>
      </c>
      <c r="B16" s="43">
        <v>460</v>
      </c>
      <c r="D16" s="43">
        <v>287.5</v>
      </c>
      <c r="F16" s="43">
        <v>240</v>
      </c>
      <c r="H16" s="43">
        <v>220.5</v>
      </c>
      <c r="J16" s="43">
        <v>225</v>
      </c>
      <c r="L16" s="43">
        <v>149</v>
      </c>
      <c r="N16" s="43">
        <v>200.5</v>
      </c>
      <c r="P16" s="43">
        <v>334.5</v>
      </c>
      <c r="AF16" s="44">
        <v>16415</v>
      </c>
      <c r="AH16" s="44">
        <v>16655</v>
      </c>
      <c r="AJ16" s="44">
        <v>13095</v>
      </c>
      <c r="AL16" s="44">
        <v>5317</v>
      </c>
      <c r="AN16" s="44">
        <v>9902</v>
      </c>
      <c r="AP16" s="44">
        <v>1561</v>
      </c>
      <c r="AR16" s="44">
        <v>562</v>
      </c>
      <c r="AT16" s="44">
        <v>1617</v>
      </c>
    </row>
    <row r="17" spans="1:61" x14ac:dyDescent="0.2">
      <c r="A17" s="42">
        <v>37865</v>
      </c>
      <c r="B17" s="43">
        <v>480</v>
      </c>
      <c r="C17" s="43">
        <v>247.3</v>
      </c>
      <c r="D17" s="43">
        <v>295</v>
      </c>
      <c r="E17" s="43">
        <v>176</v>
      </c>
      <c r="F17" s="43">
        <v>269</v>
      </c>
      <c r="G17" s="43">
        <v>197</v>
      </c>
      <c r="H17" s="43">
        <v>235</v>
      </c>
      <c r="I17" s="43">
        <v>150</v>
      </c>
      <c r="J17" s="43">
        <v>236</v>
      </c>
      <c r="K17" s="43">
        <v>160</v>
      </c>
      <c r="L17" s="43">
        <v>165</v>
      </c>
      <c r="M17" s="43">
        <v>125</v>
      </c>
      <c r="N17" s="43">
        <v>214</v>
      </c>
      <c r="O17" s="43">
        <v>195</v>
      </c>
      <c r="P17" s="43">
        <v>360</v>
      </c>
      <c r="Q17" s="43">
        <v>371</v>
      </c>
      <c r="R17" s="43">
        <v>240</v>
      </c>
      <c r="S17" s="43">
        <v>276</v>
      </c>
      <c r="T17" s="43">
        <v>160</v>
      </c>
      <c r="U17" s="43">
        <v>221</v>
      </c>
      <c r="V17" s="43">
        <v>230</v>
      </c>
      <c r="W17" s="43">
        <v>182.5</v>
      </c>
      <c r="X17" s="43">
        <v>82</v>
      </c>
      <c r="Y17" s="43">
        <v>195</v>
      </c>
      <c r="Z17" s="43">
        <v>135.5</v>
      </c>
      <c r="AA17" s="43">
        <v>165</v>
      </c>
      <c r="AB17" s="43">
        <v>130</v>
      </c>
      <c r="AC17" s="43">
        <v>130</v>
      </c>
      <c r="AD17" s="43">
        <v>136</v>
      </c>
      <c r="AE17" s="43">
        <v>290</v>
      </c>
      <c r="AF17" s="44">
        <v>17027</v>
      </c>
      <c r="AG17" s="44">
        <v>15816</v>
      </c>
      <c r="AH17" s="44">
        <v>17317</v>
      </c>
      <c r="AI17" s="44">
        <v>9910</v>
      </c>
      <c r="AJ17" s="44">
        <v>14494</v>
      </c>
      <c r="AK17" s="44">
        <v>17000</v>
      </c>
      <c r="AL17" s="44">
        <v>4831</v>
      </c>
      <c r="AM17" s="44">
        <v>2254</v>
      </c>
      <c r="AN17" s="44">
        <v>8247</v>
      </c>
      <c r="AO17" s="44">
        <v>3277</v>
      </c>
      <c r="AP17" s="44">
        <v>1594</v>
      </c>
      <c r="AQ17" s="44">
        <v>2968</v>
      </c>
      <c r="AR17" s="44">
        <v>642</v>
      </c>
      <c r="AS17" s="44">
        <v>191</v>
      </c>
      <c r="AT17" s="44">
        <v>1437</v>
      </c>
      <c r="AU17" s="44">
        <v>13969</v>
      </c>
      <c r="AV17" s="44">
        <v>3383</v>
      </c>
      <c r="AW17" s="44">
        <v>8010</v>
      </c>
      <c r="AX17" s="44">
        <v>1163</v>
      </c>
      <c r="AY17" s="44">
        <v>5754</v>
      </c>
      <c r="AZ17" s="44">
        <v>9466</v>
      </c>
      <c r="BA17" s="44">
        <v>1935</v>
      </c>
      <c r="BB17" s="44">
        <v>301</v>
      </c>
      <c r="BC17" s="44">
        <v>2927</v>
      </c>
      <c r="BD17" s="44">
        <v>497</v>
      </c>
      <c r="BE17" s="44">
        <v>477</v>
      </c>
      <c r="BF17" s="44">
        <v>319</v>
      </c>
      <c r="BG17" s="44">
        <v>367</v>
      </c>
      <c r="BH17" s="44">
        <v>86</v>
      </c>
      <c r="BI17" s="44">
        <v>1023</v>
      </c>
    </row>
    <row r="18" spans="1:61" x14ac:dyDescent="0.2">
      <c r="A18" s="42">
        <v>37956</v>
      </c>
      <c r="B18" s="43">
        <v>520</v>
      </c>
      <c r="C18" s="43">
        <v>255</v>
      </c>
      <c r="D18" s="43">
        <v>320</v>
      </c>
      <c r="E18" s="43">
        <v>185</v>
      </c>
      <c r="F18" s="43">
        <v>296.39999999999998</v>
      </c>
      <c r="G18" s="43">
        <v>205</v>
      </c>
      <c r="H18" s="43">
        <v>247.5</v>
      </c>
      <c r="I18" s="43">
        <v>162</v>
      </c>
      <c r="J18" s="43">
        <v>250</v>
      </c>
      <c r="K18" s="43">
        <v>164</v>
      </c>
      <c r="L18" s="43">
        <v>182.3</v>
      </c>
      <c r="M18" s="43">
        <v>139.30000000000001</v>
      </c>
      <c r="N18" s="43">
        <v>226</v>
      </c>
      <c r="O18" s="43">
        <v>204.5</v>
      </c>
      <c r="P18" s="43">
        <v>375</v>
      </c>
      <c r="Q18" s="43">
        <v>387</v>
      </c>
      <c r="R18" s="43">
        <v>250</v>
      </c>
      <c r="S18" s="43">
        <v>285</v>
      </c>
      <c r="T18" s="43">
        <v>170</v>
      </c>
      <c r="U18" s="43">
        <v>241.6</v>
      </c>
      <c r="V18" s="43">
        <v>240</v>
      </c>
      <c r="W18" s="43">
        <v>191</v>
      </c>
      <c r="X18" s="43">
        <v>85</v>
      </c>
      <c r="Y18" s="43">
        <v>198</v>
      </c>
      <c r="Z18" s="43">
        <v>138</v>
      </c>
      <c r="AA18" s="43">
        <v>175</v>
      </c>
      <c r="AB18" s="43">
        <v>120</v>
      </c>
      <c r="AC18" s="43">
        <v>135.5</v>
      </c>
      <c r="AD18" s="43">
        <v>129</v>
      </c>
      <c r="AE18" s="43">
        <v>300</v>
      </c>
      <c r="AF18" s="44">
        <v>11847</v>
      </c>
      <c r="AG18" s="44">
        <v>13175</v>
      </c>
      <c r="AH18" s="44">
        <v>14573</v>
      </c>
      <c r="AI18" s="44">
        <v>8962</v>
      </c>
      <c r="AJ18" s="44">
        <v>9212</v>
      </c>
      <c r="AK18" s="44">
        <v>15007</v>
      </c>
      <c r="AL18" s="44">
        <v>4597</v>
      </c>
      <c r="AM18" s="44">
        <v>2101</v>
      </c>
      <c r="AN18" s="44">
        <v>6893</v>
      </c>
      <c r="AO18" s="44">
        <v>2985</v>
      </c>
      <c r="AP18" s="44">
        <v>1258</v>
      </c>
      <c r="AQ18" s="44">
        <v>2050</v>
      </c>
      <c r="AR18" s="44">
        <v>630</v>
      </c>
      <c r="AS18" s="44">
        <v>194</v>
      </c>
      <c r="AT18" s="44">
        <v>1232</v>
      </c>
      <c r="AU18" s="44">
        <v>9830</v>
      </c>
      <c r="AV18" s="44">
        <v>2730</v>
      </c>
      <c r="AW18" s="44">
        <v>6753</v>
      </c>
      <c r="AX18" s="44">
        <v>1101</v>
      </c>
      <c r="AY18" s="44">
        <v>3663</v>
      </c>
      <c r="AZ18" s="44">
        <v>6382</v>
      </c>
      <c r="BA18" s="44">
        <v>1684</v>
      </c>
      <c r="BB18" s="44">
        <v>297</v>
      </c>
      <c r="BC18" s="44">
        <v>2517</v>
      </c>
      <c r="BD18" s="44">
        <v>461</v>
      </c>
      <c r="BE18" s="44">
        <v>329</v>
      </c>
      <c r="BF18" s="44">
        <v>293</v>
      </c>
      <c r="BG18" s="44">
        <v>372</v>
      </c>
      <c r="BH18" s="44">
        <v>95</v>
      </c>
      <c r="BI18" s="44">
        <v>921</v>
      </c>
    </row>
    <row r="19" spans="1:61" x14ac:dyDescent="0.2">
      <c r="A19" s="42">
        <v>38047</v>
      </c>
      <c r="B19" s="43">
        <v>523</v>
      </c>
      <c r="C19" s="43">
        <v>265</v>
      </c>
      <c r="D19" s="43">
        <v>305</v>
      </c>
      <c r="E19" s="43">
        <v>190</v>
      </c>
      <c r="F19" s="43">
        <v>302.7</v>
      </c>
      <c r="G19" s="43">
        <v>224</v>
      </c>
      <c r="H19" s="43">
        <v>250</v>
      </c>
      <c r="I19" s="43">
        <v>166.6</v>
      </c>
      <c r="J19" s="43">
        <v>255</v>
      </c>
      <c r="K19" s="43">
        <v>178</v>
      </c>
      <c r="L19" s="43">
        <v>200</v>
      </c>
      <c r="M19" s="43">
        <v>156</v>
      </c>
      <c r="N19" s="43">
        <v>239.5</v>
      </c>
      <c r="O19" s="43">
        <v>217.8</v>
      </c>
      <c r="P19" s="43">
        <v>375</v>
      </c>
      <c r="Q19" s="43">
        <v>380</v>
      </c>
      <c r="R19" s="43">
        <v>269</v>
      </c>
      <c r="S19" s="43">
        <v>272.5</v>
      </c>
      <c r="T19" s="43">
        <v>173</v>
      </c>
      <c r="U19" s="43">
        <v>249</v>
      </c>
      <c r="V19" s="43">
        <v>257</v>
      </c>
      <c r="W19" s="43">
        <v>193.5</v>
      </c>
      <c r="X19" s="43">
        <v>82.9</v>
      </c>
      <c r="Y19" s="43">
        <v>208</v>
      </c>
      <c r="Z19" s="43">
        <v>139</v>
      </c>
      <c r="AA19" s="43">
        <v>192</v>
      </c>
      <c r="AB19" s="43">
        <v>145</v>
      </c>
      <c r="AC19" s="43">
        <v>147.1</v>
      </c>
      <c r="AD19" s="43">
        <v>150</v>
      </c>
      <c r="AE19" s="43">
        <v>295</v>
      </c>
      <c r="AF19" s="44">
        <v>10210</v>
      </c>
      <c r="AG19" s="44">
        <v>11193</v>
      </c>
      <c r="AH19" s="44">
        <v>12802</v>
      </c>
      <c r="AI19" s="44">
        <v>8553</v>
      </c>
      <c r="AJ19" s="44">
        <v>9169</v>
      </c>
      <c r="AK19" s="44">
        <v>14930</v>
      </c>
      <c r="AL19" s="44">
        <v>4648</v>
      </c>
      <c r="AM19" s="44">
        <v>2198</v>
      </c>
      <c r="AN19" s="44">
        <v>7688</v>
      </c>
      <c r="AO19" s="44">
        <v>3296</v>
      </c>
      <c r="AP19" s="44">
        <v>1262</v>
      </c>
      <c r="AQ19" s="44">
        <v>2047</v>
      </c>
      <c r="AR19" s="44">
        <v>542</v>
      </c>
      <c r="AS19" s="44">
        <v>182</v>
      </c>
      <c r="AT19" s="44">
        <v>1031</v>
      </c>
      <c r="AU19" s="44">
        <v>7610</v>
      </c>
      <c r="AV19" s="44">
        <v>2369</v>
      </c>
      <c r="AW19" s="44">
        <v>5546</v>
      </c>
      <c r="AX19" s="44">
        <v>1125</v>
      </c>
      <c r="AY19" s="44">
        <v>3160</v>
      </c>
      <c r="AZ19" s="44">
        <v>5802</v>
      </c>
      <c r="BA19" s="44">
        <v>1770</v>
      </c>
      <c r="BB19" s="44">
        <v>294</v>
      </c>
      <c r="BC19" s="44">
        <v>2811</v>
      </c>
      <c r="BD19" s="44">
        <v>455</v>
      </c>
      <c r="BE19" s="44">
        <v>407</v>
      </c>
      <c r="BF19" s="44">
        <v>278</v>
      </c>
      <c r="BG19" s="44">
        <v>272</v>
      </c>
      <c r="BH19" s="44">
        <v>77</v>
      </c>
      <c r="BI19" s="44">
        <v>789</v>
      </c>
    </row>
    <row r="20" spans="1:61" x14ac:dyDescent="0.2">
      <c r="A20" s="42">
        <v>38139</v>
      </c>
      <c r="B20" s="43">
        <v>498</v>
      </c>
      <c r="C20" s="43">
        <v>270</v>
      </c>
      <c r="D20" s="43">
        <v>307.5</v>
      </c>
      <c r="E20" s="43">
        <v>195</v>
      </c>
      <c r="F20" s="43">
        <v>305</v>
      </c>
      <c r="G20" s="43">
        <v>235</v>
      </c>
      <c r="H20" s="43">
        <v>257.5</v>
      </c>
      <c r="I20" s="43">
        <v>169</v>
      </c>
      <c r="J20" s="43">
        <v>262</v>
      </c>
      <c r="K20" s="43">
        <v>178</v>
      </c>
      <c r="L20" s="43">
        <v>225</v>
      </c>
      <c r="M20" s="43">
        <v>156</v>
      </c>
      <c r="N20" s="43">
        <v>248.8</v>
      </c>
      <c r="O20" s="43">
        <v>215</v>
      </c>
      <c r="P20" s="43">
        <v>375</v>
      </c>
      <c r="Q20" s="43">
        <v>380</v>
      </c>
      <c r="R20" s="43">
        <v>265</v>
      </c>
      <c r="S20" s="43">
        <v>280</v>
      </c>
      <c r="T20" s="43">
        <v>172</v>
      </c>
      <c r="U20" s="43">
        <v>249</v>
      </c>
      <c r="V20" s="43">
        <v>264</v>
      </c>
      <c r="W20" s="43">
        <v>200</v>
      </c>
      <c r="X20" s="43">
        <v>81.5</v>
      </c>
      <c r="Y20" s="43">
        <v>215</v>
      </c>
      <c r="Z20" s="43">
        <v>148.5</v>
      </c>
      <c r="AA20" s="43">
        <v>192.8</v>
      </c>
      <c r="AB20" s="43">
        <v>149</v>
      </c>
      <c r="AC20" s="43">
        <v>152</v>
      </c>
      <c r="AD20" s="43">
        <v>130</v>
      </c>
      <c r="AE20" s="43">
        <v>300</v>
      </c>
      <c r="AF20" s="44">
        <v>11922</v>
      </c>
      <c r="AG20" s="44">
        <v>11226</v>
      </c>
      <c r="AH20" s="44">
        <v>13623</v>
      </c>
      <c r="AI20" s="44">
        <v>8079</v>
      </c>
      <c r="AJ20" s="44">
        <v>8421</v>
      </c>
      <c r="AK20" s="44">
        <v>13054</v>
      </c>
      <c r="AL20" s="44">
        <v>4499</v>
      </c>
      <c r="AM20" s="44">
        <v>2074</v>
      </c>
      <c r="AN20" s="44">
        <v>6773</v>
      </c>
      <c r="AO20" s="44">
        <v>2869</v>
      </c>
      <c r="AP20" s="44">
        <v>1094</v>
      </c>
      <c r="AQ20" s="44">
        <v>1654</v>
      </c>
      <c r="AR20" s="44">
        <v>536</v>
      </c>
      <c r="AS20" s="44">
        <v>207</v>
      </c>
      <c r="AT20" s="44">
        <v>1145</v>
      </c>
      <c r="AU20" s="44">
        <v>10106</v>
      </c>
      <c r="AV20" s="44">
        <v>2331</v>
      </c>
      <c r="AW20" s="44">
        <v>6178</v>
      </c>
      <c r="AX20" s="44">
        <v>1027</v>
      </c>
      <c r="AY20" s="44">
        <v>2924</v>
      </c>
      <c r="AZ20" s="44">
        <v>4890</v>
      </c>
      <c r="BA20" s="44">
        <v>1694</v>
      </c>
      <c r="BB20" s="44">
        <v>297</v>
      </c>
      <c r="BC20" s="44">
        <v>2262</v>
      </c>
      <c r="BD20" s="44">
        <v>406</v>
      </c>
      <c r="BE20" s="44">
        <v>336</v>
      </c>
      <c r="BF20" s="44">
        <v>235</v>
      </c>
      <c r="BG20" s="44">
        <v>341</v>
      </c>
      <c r="BH20" s="44">
        <v>69</v>
      </c>
      <c r="BI20" s="44">
        <v>655</v>
      </c>
    </row>
    <row r="21" spans="1:61" x14ac:dyDescent="0.2">
      <c r="A21" s="42">
        <v>38231</v>
      </c>
      <c r="B21" s="43">
        <v>500</v>
      </c>
      <c r="C21" s="43">
        <v>275</v>
      </c>
      <c r="D21" s="43">
        <v>302</v>
      </c>
      <c r="E21" s="43">
        <v>195</v>
      </c>
      <c r="F21" s="43">
        <v>305</v>
      </c>
      <c r="G21" s="43">
        <v>244</v>
      </c>
      <c r="H21" s="43">
        <v>261</v>
      </c>
      <c r="I21" s="43">
        <v>175</v>
      </c>
      <c r="J21" s="43">
        <v>259</v>
      </c>
      <c r="K21" s="43">
        <v>185</v>
      </c>
      <c r="L21" s="43">
        <v>230</v>
      </c>
      <c r="M21" s="43">
        <v>160</v>
      </c>
      <c r="N21" s="43">
        <v>245</v>
      </c>
      <c r="O21" s="43">
        <v>227.5</v>
      </c>
      <c r="P21" s="43">
        <v>352.5</v>
      </c>
      <c r="Q21" s="43">
        <v>380</v>
      </c>
      <c r="R21" s="43">
        <v>260</v>
      </c>
      <c r="S21" s="43">
        <v>276</v>
      </c>
      <c r="T21" s="43">
        <v>175</v>
      </c>
      <c r="U21" s="43">
        <v>264</v>
      </c>
      <c r="V21" s="43">
        <v>269</v>
      </c>
      <c r="W21" s="43">
        <v>220</v>
      </c>
      <c r="X21" s="43">
        <v>90.8</v>
      </c>
      <c r="Y21" s="43">
        <v>215</v>
      </c>
      <c r="Z21" s="43">
        <v>156</v>
      </c>
      <c r="AA21" s="43">
        <v>195</v>
      </c>
      <c r="AB21" s="43">
        <v>155</v>
      </c>
      <c r="AC21" s="43">
        <v>156.5</v>
      </c>
      <c r="AD21" s="43">
        <v>170.3</v>
      </c>
      <c r="AE21" s="43">
        <v>280</v>
      </c>
      <c r="AF21" s="44">
        <v>10240</v>
      </c>
      <c r="AG21" s="44">
        <v>9570</v>
      </c>
      <c r="AH21" s="44">
        <v>13974</v>
      </c>
      <c r="AI21" s="44">
        <v>8461</v>
      </c>
      <c r="AJ21" s="44">
        <v>8546</v>
      </c>
      <c r="AK21" s="44">
        <v>13264</v>
      </c>
      <c r="AL21" s="44">
        <v>4462</v>
      </c>
      <c r="AM21" s="44">
        <v>2016</v>
      </c>
      <c r="AN21" s="44">
        <v>8522</v>
      </c>
      <c r="AO21" s="44">
        <v>3517</v>
      </c>
      <c r="AP21" s="44">
        <v>976</v>
      </c>
      <c r="AQ21" s="44">
        <v>1601</v>
      </c>
      <c r="AR21" s="44">
        <v>586</v>
      </c>
      <c r="AS21" s="44">
        <v>214</v>
      </c>
      <c r="AT21" s="44">
        <v>843</v>
      </c>
      <c r="AU21" s="44">
        <v>8179</v>
      </c>
      <c r="AV21" s="44">
        <v>1758</v>
      </c>
      <c r="AW21" s="44">
        <v>6658</v>
      </c>
      <c r="AX21" s="44">
        <v>1156</v>
      </c>
      <c r="AY21" s="44">
        <v>3188</v>
      </c>
      <c r="AZ21" s="44">
        <v>5176</v>
      </c>
      <c r="BA21" s="44">
        <v>1990</v>
      </c>
      <c r="BB21" s="44">
        <v>272</v>
      </c>
      <c r="BC21" s="44">
        <v>3193</v>
      </c>
      <c r="BD21" s="44">
        <v>454</v>
      </c>
      <c r="BE21" s="44">
        <v>287</v>
      </c>
      <c r="BF21" s="44">
        <v>215</v>
      </c>
      <c r="BG21" s="44">
        <v>387</v>
      </c>
      <c r="BH21" s="44">
        <v>86</v>
      </c>
      <c r="BI21" s="44">
        <v>727</v>
      </c>
    </row>
    <row r="22" spans="1:61" x14ac:dyDescent="0.2">
      <c r="A22" s="42">
        <v>38322</v>
      </c>
      <c r="B22" s="43">
        <v>515</v>
      </c>
      <c r="C22" s="43">
        <v>278</v>
      </c>
      <c r="D22" s="43">
        <v>321</v>
      </c>
      <c r="E22" s="43">
        <v>205</v>
      </c>
      <c r="F22" s="43">
        <v>310</v>
      </c>
      <c r="G22" s="43">
        <v>255</v>
      </c>
      <c r="H22" s="43">
        <v>270</v>
      </c>
      <c r="I22" s="43">
        <v>182</v>
      </c>
      <c r="J22" s="43">
        <v>280</v>
      </c>
      <c r="K22" s="43">
        <v>199.8</v>
      </c>
      <c r="L22" s="43">
        <v>237.3</v>
      </c>
      <c r="M22" s="43">
        <v>166.5</v>
      </c>
      <c r="N22" s="43">
        <v>259</v>
      </c>
      <c r="O22" s="43">
        <v>227</v>
      </c>
      <c r="P22" s="43">
        <v>372</v>
      </c>
      <c r="Q22" s="43">
        <v>390</v>
      </c>
      <c r="R22" s="43">
        <v>265</v>
      </c>
      <c r="S22" s="43">
        <v>281</v>
      </c>
      <c r="T22" s="43">
        <v>180</v>
      </c>
      <c r="U22" s="43">
        <v>267</v>
      </c>
      <c r="V22" s="43">
        <v>278</v>
      </c>
      <c r="W22" s="43">
        <v>220</v>
      </c>
      <c r="X22" s="43">
        <v>112</v>
      </c>
      <c r="Y22" s="43">
        <v>229</v>
      </c>
      <c r="Z22" s="43">
        <v>165</v>
      </c>
      <c r="AA22" s="43">
        <v>200</v>
      </c>
      <c r="AB22" s="43">
        <v>158</v>
      </c>
      <c r="AC22" s="43">
        <v>171</v>
      </c>
      <c r="AD22" s="43">
        <v>175</v>
      </c>
      <c r="AE22" s="43">
        <v>289</v>
      </c>
      <c r="AF22" s="44">
        <v>10843</v>
      </c>
      <c r="AG22" s="44">
        <v>10303</v>
      </c>
      <c r="AH22" s="44">
        <v>14959</v>
      </c>
      <c r="AI22" s="44">
        <v>8369</v>
      </c>
      <c r="AJ22" s="44">
        <v>8295</v>
      </c>
      <c r="AK22" s="44">
        <v>13349</v>
      </c>
      <c r="AL22" s="44">
        <v>4588</v>
      </c>
      <c r="AM22" s="44">
        <v>2066</v>
      </c>
      <c r="AN22" s="44">
        <v>7680</v>
      </c>
      <c r="AO22" s="44">
        <v>3352</v>
      </c>
      <c r="AP22" s="44">
        <v>1000</v>
      </c>
      <c r="AQ22" s="44">
        <v>1518</v>
      </c>
      <c r="AR22" s="44">
        <v>573</v>
      </c>
      <c r="AS22" s="44">
        <v>233</v>
      </c>
      <c r="AT22" s="44">
        <v>1168</v>
      </c>
      <c r="AU22" s="44">
        <v>8506</v>
      </c>
      <c r="AV22" s="44">
        <v>2006</v>
      </c>
      <c r="AW22" s="44">
        <v>7071</v>
      </c>
      <c r="AX22" s="44">
        <v>1123</v>
      </c>
      <c r="AY22" s="44">
        <v>3031</v>
      </c>
      <c r="AZ22" s="44">
        <v>5136</v>
      </c>
      <c r="BA22" s="44">
        <v>1693</v>
      </c>
      <c r="BB22" s="44">
        <v>241</v>
      </c>
      <c r="BC22" s="44">
        <v>2887</v>
      </c>
      <c r="BD22" s="44">
        <v>433</v>
      </c>
      <c r="BE22" s="44">
        <v>267</v>
      </c>
      <c r="BF22" s="44">
        <v>159</v>
      </c>
      <c r="BG22" s="44">
        <v>337</v>
      </c>
      <c r="BH22" s="44">
        <v>93</v>
      </c>
      <c r="BI22" s="44">
        <v>770</v>
      </c>
    </row>
    <row r="23" spans="1:61" x14ac:dyDescent="0.2">
      <c r="A23" s="42">
        <v>38412</v>
      </c>
      <c r="B23" s="43">
        <v>486</v>
      </c>
      <c r="C23" s="43">
        <v>280</v>
      </c>
      <c r="D23" s="43">
        <v>310</v>
      </c>
      <c r="E23" s="43">
        <v>210</v>
      </c>
      <c r="F23" s="43">
        <v>312</v>
      </c>
      <c r="G23" s="43">
        <v>270</v>
      </c>
      <c r="H23" s="43">
        <v>270</v>
      </c>
      <c r="I23" s="43">
        <v>187</v>
      </c>
      <c r="J23" s="43">
        <v>290</v>
      </c>
      <c r="K23" s="43">
        <v>225</v>
      </c>
      <c r="L23" s="43">
        <v>240</v>
      </c>
      <c r="M23" s="43">
        <v>179</v>
      </c>
      <c r="N23" s="43">
        <v>275</v>
      </c>
      <c r="O23" s="43">
        <v>231</v>
      </c>
      <c r="P23" s="43">
        <v>374.7</v>
      </c>
      <c r="Q23" s="43">
        <v>385</v>
      </c>
      <c r="R23" s="43">
        <v>270</v>
      </c>
      <c r="S23" s="43">
        <v>285</v>
      </c>
      <c r="T23" s="43">
        <v>190</v>
      </c>
      <c r="U23" s="43">
        <v>257</v>
      </c>
      <c r="V23" s="43">
        <v>282.5</v>
      </c>
      <c r="W23" s="43">
        <v>212</v>
      </c>
      <c r="X23" s="43">
        <v>125</v>
      </c>
      <c r="Y23" s="43">
        <v>235</v>
      </c>
      <c r="Z23" s="43">
        <v>183</v>
      </c>
      <c r="AA23" s="43">
        <v>220</v>
      </c>
      <c r="AB23" s="43">
        <v>166</v>
      </c>
      <c r="AC23" s="43">
        <v>175</v>
      </c>
      <c r="AD23" s="43">
        <v>170.5</v>
      </c>
      <c r="AE23" s="43">
        <v>304.5</v>
      </c>
      <c r="AF23" s="44">
        <v>8967</v>
      </c>
      <c r="AG23" s="44">
        <v>9110</v>
      </c>
      <c r="AH23" s="44">
        <v>13292</v>
      </c>
      <c r="AI23" s="44">
        <v>8020</v>
      </c>
      <c r="AJ23" s="44">
        <v>8731</v>
      </c>
      <c r="AK23" s="44">
        <v>13591</v>
      </c>
      <c r="AL23" s="44">
        <v>4412</v>
      </c>
      <c r="AM23" s="44">
        <v>2045</v>
      </c>
      <c r="AN23" s="44">
        <v>8619</v>
      </c>
      <c r="AO23" s="44">
        <v>3851</v>
      </c>
      <c r="AP23" s="44">
        <v>875</v>
      </c>
      <c r="AQ23" s="44">
        <v>1514</v>
      </c>
      <c r="AR23" s="44">
        <v>596</v>
      </c>
      <c r="AS23" s="44">
        <v>199</v>
      </c>
      <c r="AT23" s="44">
        <v>1002</v>
      </c>
      <c r="AU23" s="44">
        <v>6743</v>
      </c>
      <c r="AV23" s="44">
        <v>1862</v>
      </c>
      <c r="AW23" s="44">
        <v>6617</v>
      </c>
      <c r="AX23" s="44">
        <v>1188</v>
      </c>
      <c r="AY23" s="44">
        <v>2761</v>
      </c>
      <c r="AZ23" s="44">
        <v>5073</v>
      </c>
      <c r="BA23" s="44">
        <v>1785</v>
      </c>
      <c r="BB23" s="44">
        <v>216</v>
      </c>
      <c r="BC23" s="44">
        <v>3289</v>
      </c>
      <c r="BD23" s="44">
        <v>457</v>
      </c>
      <c r="BE23" s="44">
        <v>239</v>
      </c>
      <c r="BF23" s="44">
        <v>217</v>
      </c>
      <c r="BG23" s="44">
        <v>374</v>
      </c>
      <c r="BH23" s="44">
        <v>102</v>
      </c>
      <c r="BI23" s="44">
        <v>705</v>
      </c>
    </row>
    <row r="24" spans="1:61" x14ac:dyDescent="0.2">
      <c r="A24" s="42">
        <v>38504</v>
      </c>
      <c r="B24" s="43">
        <v>500</v>
      </c>
      <c r="C24" s="43">
        <v>280</v>
      </c>
      <c r="D24" s="43">
        <v>320</v>
      </c>
      <c r="E24" s="43">
        <v>205</v>
      </c>
      <c r="F24" s="43">
        <v>312</v>
      </c>
      <c r="G24" s="43">
        <v>280</v>
      </c>
      <c r="H24" s="43">
        <v>271</v>
      </c>
      <c r="I24" s="43">
        <v>192</v>
      </c>
      <c r="J24" s="43">
        <v>300</v>
      </c>
      <c r="K24" s="43">
        <v>230</v>
      </c>
      <c r="L24" s="43">
        <v>250</v>
      </c>
      <c r="M24" s="43">
        <v>178.3</v>
      </c>
      <c r="N24" s="43">
        <v>280</v>
      </c>
      <c r="O24" s="43">
        <v>230</v>
      </c>
      <c r="P24" s="43">
        <v>373.5</v>
      </c>
      <c r="Q24" s="43">
        <v>387</v>
      </c>
      <c r="R24" s="43">
        <v>262</v>
      </c>
      <c r="S24" s="43">
        <v>287</v>
      </c>
      <c r="T24" s="43">
        <v>190</v>
      </c>
      <c r="U24" s="43">
        <v>265</v>
      </c>
      <c r="V24" s="43">
        <v>282</v>
      </c>
      <c r="W24" s="43">
        <v>216.5</v>
      </c>
      <c r="X24" s="43">
        <v>124.8</v>
      </c>
      <c r="Y24" s="43">
        <v>247.5</v>
      </c>
      <c r="Z24" s="43">
        <v>175</v>
      </c>
      <c r="AA24" s="43">
        <v>233.5</v>
      </c>
      <c r="AB24" s="43">
        <v>170</v>
      </c>
      <c r="AC24" s="43">
        <v>207</v>
      </c>
      <c r="AD24" s="43">
        <v>180</v>
      </c>
      <c r="AE24" s="43">
        <v>307.8</v>
      </c>
      <c r="AF24" s="44">
        <v>10272</v>
      </c>
      <c r="AG24" s="44">
        <v>9338</v>
      </c>
      <c r="AH24" s="44">
        <v>15115</v>
      </c>
      <c r="AI24" s="44">
        <v>8235</v>
      </c>
      <c r="AJ24" s="44">
        <v>8287</v>
      </c>
      <c r="AK24" s="44">
        <v>12026</v>
      </c>
      <c r="AL24" s="44">
        <v>4424</v>
      </c>
      <c r="AM24" s="44">
        <v>1907</v>
      </c>
      <c r="AN24" s="44">
        <v>8604</v>
      </c>
      <c r="AO24" s="44">
        <v>3416</v>
      </c>
      <c r="AP24" s="44">
        <v>852</v>
      </c>
      <c r="AQ24" s="44">
        <v>1256</v>
      </c>
      <c r="AR24" s="44">
        <v>567</v>
      </c>
      <c r="AS24" s="44">
        <v>194</v>
      </c>
      <c r="AT24" s="44">
        <v>1071</v>
      </c>
      <c r="AU24" s="44">
        <v>8076</v>
      </c>
      <c r="AV24" s="44">
        <v>1745</v>
      </c>
      <c r="AW24" s="44">
        <v>7434</v>
      </c>
      <c r="AX24" s="44">
        <v>1078</v>
      </c>
      <c r="AY24" s="44">
        <v>2789</v>
      </c>
      <c r="AZ24" s="44">
        <v>4502</v>
      </c>
      <c r="BA24" s="44">
        <v>1665</v>
      </c>
      <c r="BB24" s="44">
        <v>238</v>
      </c>
      <c r="BC24" s="44">
        <v>3194</v>
      </c>
      <c r="BD24" s="44">
        <v>429</v>
      </c>
      <c r="BE24" s="44">
        <v>242</v>
      </c>
      <c r="BF24" s="44">
        <v>163</v>
      </c>
      <c r="BG24" s="44">
        <v>322</v>
      </c>
      <c r="BH24" s="44">
        <v>82</v>
      </c>
      <c r="BI24" s="44">
        <v>832</v>
      </c>
    </row>
    <row r="25" spans="1:61" x14ac:dyDescent="0.2">
      <c r="A25" s="42">
        <v>38596</v>
      </c>
      <c r="B25" s="43">
        <v>490</v>
      </c>
      <c r="C25" s="43">
        <v>280</v>
      </c>
      <c r="D25" s="43">
        <v>320</v>
      </c>
      <c r="E25" s="43">
        <v>210</v>
      </c>
      <c r="F25" s="43">
        <v>314.89999999999998</v>
      </c>
      <c r="G25" s="43">
        <v>285</v>
      </c>
      <c r="H25" s="43">
        <v>275</v>
      </c>
      <c r="I25" s="43">
        <v>189.3</v>
      </c>
      <c r="J25" s="43">
        <v>315</v>
      </c>
      <c r="K25" s="43">
        <v>245</v>
      </c>
      <c r="L25" s="43">
        <v>245</v>
      </c>
      <c r="M25" s="43">
        <v>180</v>
      </c>
      <c r="N25" s="43">
        <v>295</v>
      </c>
      <c r="O25" s="43">
        <v>232</v>
      </c>
      <c r="P25" s="43">
        <v>365</v>
      </c>
      <c r="Q25" s="43">
        <v>380</v>
      </c>
      <c r="R25" s="43">
        <v>268</v>
      </c>
      <c r="S25" s="43">
        <v>286</v>
      </c>
      <c r="T25" s="43">
        <v>191.3</v>
      </c>
      <c r="U25" s="43">
        <v>271.7</v>
      </c>
      <c r="V25" s="43">
        <v>282</v>
      </c>
      <c r="W25" s="43">
        <v>225.3</v>
      </c>
      <c r="X25" s="43">
        <v>131</v>
      </c>
      <c r="Y25" s="43">
        <v>255</v>
      </c>
      <c r="Z25" s="43">
        <v>190</v>
      </c>
      <c r="AA25" s="43">
        <v>200</v>
      </c>
      <c r="AB25" s="43">
        <v>175</v>
      </c>
      <c r="AC25" s="43">
        <v>195</v>
      </c>
      <c r="AD25" s="43">
        <v>188.5</v>
      </c>
      <c r="AE25" s="43">
        <v>305</v>
      </c>
      <c r="AF25" s="44">
        <v>10834</v>
      </c>
      <c r="AG25" s="44">
        <v>9838</v>
      </c>
      <c r="AH25" s="44">
        <v>14188</v>
      </c>
      <c r="AI25" s="44">
        <v>7820</v>
      </c>
      <c r="AJ25" s="44">
        <v>8955</v>
      </c>
      <c r="AK25" s="44">
        <v>12954</v>
      </c>
      <c r="AL25" s="44">
        <v>4516</v>
      </c>
      <c r="AM25" s="44">
        <v>1950</v>
      </c>
      <c r="AN25" s="44">
        <v>8947</v>
      </c>
      <c r="AO25" s="44">
        <v>3655</v>
      </c>
      <c r="AP25" s="44">
        <v>980</v>
      </c>
      <c r="AQ25" s="44">
        <v>1536</v>
      </c>
      <c r="AR25" s="44">
        <v>586</v>
      </c>
      <c r="AS25" s="44">
        <v>232</v>
      </c>
      <c r="AT25" s="44">
        <v>1037</v>
      </c>
      <c r="AU25" s="44">
        <v>8566</v>
      </c>
      <c r="AV25" s="44">
        <v>2055</v>
      </c>
      <c r="AW25" s="44">
        <v>7295</v>
      </c>
      <c r="AX25" s="44">
        <v>1043</v>
      </c>
      <c r="AY25" s="44">
        <v>2842</v>
      </c>
      <c r="AZ25" s="44">
        <v>4991</v>
      </c>
      <c r="BA25" s="44">
        <v>1704</v>
      </c>
      <c r="BB25" s="44">
        <v>251</v>
      </c>
      <c r="BC25" s="44">
        <v>3396</v>
      </c>
      <c r="BD25" s="44">
        <v>495</v>
      </c>
      <c r="BE25" s="44">
        <v>297</v>
      </c>
      <c r="BF25" s="44">
        <v>174</v>
      </c>
      <c r="BG25" s="44">
        <v>361</v>
      </c>
      <c r="BH25" s="44">
        <v>84</v>
      </c>
      <c r="BI25" s="44">
        <v>778</v>
      </c>
    </row>
    <row r="26" spans="1:61" x14ac:dyDescent="0.2">
      <c r="A26" s="42">
        <v>38687</v>
      </c>
      <c r="B26" s="43">
        <v>500</v>
      </c>
      <c r="C26" s="43">
        <v>285</v>
      </c>
      <c r="D26" s="43">
        <v>332</v>
      </c>
      <c r="E26" s="43">
        <v>220</v>
      </c>
      <c r="F26" s="43">
        <v>320</v>
      </c>
      <c r="G26" s="43">
        <v>290</v>
      </c>
      <c r="H26" s="43">
        <v>280</v>
      </c>
      <c r="I26" s="43">
        <v>199</v>
      </c>
      <c r="J26" s="43">
        <v>340</v>
      </c>
      <c r="K26" s="43">
        <v>265</v>
      </c>
      <c r="L26" s="43">
        <v>252.5</v>
      </c>
      <c r="M26" s="43">
        <v>192</v>
      </c>
      <c r="N26" s="43">
        <v>320</v>
      </c>
      <c r="O26" s="43">
        <v>246</v>
      </c>
      <c r="P26" s="43">
        <v>387</v>
      </c>
      <c r="Q26" s="43">
        <v>383</v>
      </c>
      <c r="R26" s="43">
        <v>270</v>
      </c>
      <c r="S26" s="43">
        <v>290</v>
      </c>
      <c r="T26" s="43">
        <v>195</v>
      </c>
      <c r="U26" s="43">
        <v>280</v>
      </c>
      <c r="V26" s="43">
        <v>290</v>
      </c>
      <c r="W26" s="43">
        <v>228.8</v>
      </c>
      <c r="X26" s="43">
        <v>145</v>
      </c>
      <c r="Y26" s="43">
        <v>276</v>
      </c>
      <c r="Z26" s="43">
        <v>220</v>
      </c>
      <c r="AA26" s="43">
        <v>215</v>
      </c>
      <c r="AB26" s="43">
        <v>165</v>
      </c>
      <c r="AC26" s="43">
        <v>225</v>
      </c>
      <c r="AD26" s="43">
        <v>197.8</v>
      </c>
      <c r="AE26" s="43">
        <v>308</v>
      </c>
      <c r="AF26" s="44">
        <v>9786</v>
      </c>
      <c r="AG26" s="44">
        <v>10586</v>
      </c>
      <c r="AH26" s="44">
        <v>15709</v>
      </c>
      <c r="AI26" s="44">
        <v>8773</v>
      </c>
      <c r="AJ26" s="44">
        <v>8485</v>
      </c>
      <c r="AK26" s="44">
        <v>12749</v>
      </c>
      <c r="AL26" s="44">
        <v>4512</v>
      </c>
      <c r="AM26" s="44">
        <v>2032</v>
      </c>
      <c r="AN26" s="44">
        <v>9147</v>
      </c>
      <c r="AO26" s="44">
        <v>3715</v>
      </c>
      <c r="AP26" s="44">
        <v>1020</v>
      </c>
      <c r="AQ26" s="44">
        <v>1500</v>
      </c>
      <c r="AR26" s="44">
        <v>566</v>
      </c>
      <c r="AS26" s="44">
        <v>253</v>
      </c>
      <c r="AT26" s="44">
        <v>1205</v>
      </c>
      <c r="AU26" s="44">
        <v>7810</v>
      </c>
      <c r="AV26" s="44">
        <v>2081</v>
      </c>
      <c r="AW26" s="44">
        <v>7369</v>
      </c>
      <c r="AX26" s="44">
        <v>1126</v>
      </c>
      <c r="AY26" s="44">
        <v>2706</v>
      </c>
      <c r="AZ26" s="44">
        <v>4559</v>
      </c>
      <c r="BA26" s="44">
        <v>1840</v>
      </c>
      <c r="BB26" s="44">
        <v>281</v>
      </c>
      <c r="BC26" s="44">
        <v>3304</v>
      </c>
      <c r="BD26" s="44">
        <v>492</v>
      </c>
      <c r="BE26" s="44">
        <v>301</v>
      </c>
      <c r="BF26" s="44">
        <v>207</v>
      </c>
      <c r="BG26" s="44">
        <v>399</v>
      </c>
      <c r="BH26" s="44">
        <v>82</v>
      </c>
      <c r="BI26" s="44">
        <v>845</v>
      </c>
    </row>
    <row r="27" spans="1:61" x14ac:dyDescent="0.2">
      <c r="A27" s="42">
        <v>38777</v>
      </c>
      <c r="B27" s="43">
        <v>470</v>
      </c>
      <c r="C27" s="43">
        <v>290</v>
      </c>
      <c r="D27" s="43">
        <v>330</v>
      </c>
      <c r="E27" s="43">
        <v>224</v>
      </c>
      <c r="F27" s="43">
        <v>325</v>
      </c>
      <c r="G27" s="43">
        <v>309</v>
      </c>
      <c r="H27" s="43">
        <v>280</v>
      </c>
      <c r="I27" s="43">
        <v>210</v>
      </c>
      <c r="J27" s="43">
        <v>370</v>
      </c>
      <c r="K27" s="43">
        <v>295</v>
      </c>
      <c r="L27" s="43">
        <v>260</v>
      </c>
      <c r="M27" s="43">
        <v>192</v>
      </c>
      <c r="N27" s="43">
        <v>341.5</v>
      </c>
      <c r="O27" s="43">
        <v>215</v>
      </c>
      <c r="P27" s="43">
        <v>385</v>
      </c>
      <c r="Q27" s="43">
        <v>375</v>
      </c>
      <c r="R27" s="43">
        <v>280</v>
      </c>
      <c r="S27" s="43">
        <v>299.5</v>
      </c>
      <c r="T27" s="43">
        <v>200</v>
      </c>
      <c r="U27" s="43">
        <v>280</v>
      </c>
      <c r="V27" s="43">
        <v>292.60000000000002</v>
      </c>
      <c r="W27" s="43">
        <v>225</v>
      </c>
      <c r="X27" s="43">
        <v>151.30000000000001</v>
      </c>
      <c r="Y27" s="43">
        <v>292</v>
      </c>
      <c r="Z27" s="43">
        <v>235</v>
      </c>
      <c r="AA27" s="43">
        <v>225</v>
      </c>
      <c r="AB27" s="43">
        <v>170</v>
      </c>
      <c r="AC27" s="43">
        <v>235</v>
      </c>
      <c r="AD27" s="43">
        <v>170</v>
      </c>
      <c r="AE27" s="43">
        <v>310</v>
      </c>
      <c r="AF27" s="44">
        <v>10484</v>
      </c>
      <c r="AG27" s="44">
        <v>10290</v>
      </c>
      <c r="AH27" s="44">
        <v>12882</v>
      </c>
      <c r="AI27" s="44">
        <v>7811</v>
      </c>
      <c r="AJ27" s="44">
        <v>10005</v>
      </c>
      <c r="AK27" s="44">
        <v>14329</v>
      </c>
      <c r="AL27" s="44">
        <v>4842</v>
      </c>
      <c r="AM27" s="44">
        <v>2199</v>
      </c>
      <c r="AN27" s="44">
        <v>10203</v>
      </c>
      <c r="AO27" s="44">
        <v>4111</v>
      </c>
      <c r="AP27" s="44">
        <v>1243</v>
      </c>
      <c r="AQ27" s="44">
        <v>1848</v>
      </c>
      <c r="AR27" s="44">
        <v>554</v>
      </c>
      <c r="AS27" s="44">
        <v>271</v>
      </c>
      <c r="AT27" s="44">
        <v>1141</v>
      </c>
      <c r="AU27" s="44">
        <v>7690</v>
      </c>
      <c r="AV27" s="44">
        <v>2185</v>
      </c>
      <c r="AW27" s="44">
        <v>6237</v>
      </c>
      <c r="AX27" s="44">
        <v>1164</v>
      </c>
      <c r="AY27" s="44">
        <v>3157</v>
      </c>
      <c r="AZ27" s="44">
        <v>5372</v>
      </c>
      <c r="BA27" s="44">
        <v>1778</v>
      </c>
      <c r="BB27" s="44">
        <v>300</v>
      </c>
      <c r="BC27" s="44">
        <v>3499</v>
      </c>
      <c r="BD27" s="44">
        <v>455</v>
      </c>
      <c r="BE27" s="44">
        <v>365</v>
      </c>
      <c r="BF27" s="44">
        <v>203</v>
      </c>
      <c r="BG27" s="44">
        <v>354</v>
      </c>
      <c r="BH27" s="44">
        <v>103</v>
      </c>
      <c r="BI27" s="44">
        <v>793</v>
      </c>
    </row>
    <row r="28" spans="1:61" x14ac:dyDescent="0.2">
      <c r="A28" s="42">
        <v>38869</v>
      </c>
      <c r="B28" s="43">
        <v>495</v>
      </c>
      <c r="C28" s="43">
        <v>290</v>
      </c>
      <c r="D28" s="43">
        <v>345</v>
      </c>
      <c r="E28" s="43">
        <v>220</v>
      </c>
      <c r="F28" s="43">
        <v>330</v>
      </c>
      <c r="G28" s="43">
        <v>312.5</v>
      </c>
      <c r="H28" s="43">
        <v>286</v>
      </c>
      <c r="I28" s="43">
        <v>210</v>
      </c>
      <c r="J28" s="43">
        <v>415</v>
      </c>
      <c r="K28" s="43">
        <v>324</v>
      </c>
      <c r="L28" s="43">
        <v>270</v>
      </c>
      <c r="M28" s="43">
        <v>200</v>
      </c>
      <c r="N28" s="43">
        <v>349.5</v>
      </c>
      <c r="O28" s="43">
        <v>240</v>
      </c>
      <c r="P28" s="43">
        <v>399.5</v>
      </c>
      <c r="Q28" s="43">
        <v>390</v>
      </c>
      <c r="R28" s="43">
        <v>277.5</v>
      </c>
      <c r="S28" s="43">
        <v>306.60000000000002</v>
      </c>
      <c r="T28" s="43">
        <v>197.8</v>
      </c>
      <c r="U28" s="43">
        <v>295</v>
      </c>
      <c r="V28" s="43">
        <v>295</v>
      </c>
      <c r="W28" s="43">
        <v>235</v>
      </c>
      <c r="X28" s="43">
        <v>145</v>
      </c>
      <c r="Y28" s="43">
        <v>332.5</v>
      </c>
      <c r="Z28" s="43">
        <v>230</v>
      </c>
      <c r="AA28" s="43">
        <v>229</v>
      </c>
      <c r="AB28" s="43">
        <v>178.5</v>
      </c>
      <c r="AC28" s="43">
        <v>245</v>
      </c>
      <c r="AD28" s="43">
        <v>198</v>
      </c>
      <c r="AE28" s="43">
        <v>325</v>
      </c>
      <c r="AF28" s="44">
        <v>11867</v>
      </c>
      <c r="AG28" s="44">
        <v>10371</v>
      </c>
      <c r="AH28" s="44">
        <v>14022</v>
      </c>
      <c r="AI28" s="44">
        <v>7700</v>
      </c>
      <c r="AJ28" s="44">
        <v>9189</v>
      </c>
      <c r="AK28" s="44">
        <v>13152</v>
      </c>
      <c r="AL28" s="44">
        <v>4928</v>
      </c>
      <c r="AM28" s="44">
        <v>2111</v>
      </c>
      <c r="AN28" s="44">
        <v>8864</v>
      </c>
      <c r="AO28" s="44">
        <v>3574</v>
      </c>
      <c r="AP28" s="44">
        <v>1124</v>
      </c>
      <c r="AQ28" s="44">
        <v>1569</v>
      </c>
      <c r="AR28" s="44">
        <v>514</v>
      </c>
      <c r="AS28" s="44">
        <v>229</v>
      </c>
      <c r="AT28" s="44">
        <v>1294</v>
      </c>
      <c r="AU28" s="44">
        <v>9547</v>
      </c>
      <c r="AV28" s="44">
        <v>2233</v>
      </c>
      <c r="AW28" s="44">
        <v>7092</v>
      </c>
      <c r="AX28" s="44">
        <v>1072</v>
      </c>
      <c r="AY28" s="44">
        <v>3246</v>
      </c>
      <c r="AZ28" s="44">
        <v>4764</v>
      </c>
      <c r="BA28" s="44">
        <v>1988</v>
      </c>
      <c r="BB28" s="44">
        <v>236</v>
      </c>
      <c r="BC28" s="44">
        <v>2903</v>
      </c>
      <c r="BD28" s="44">
        <v>478</v>
      </c>
      <c r="BE28" s="44">
        <v>317</v>
      </c>
      <c r="BF28" s="44">
        <v>226</v>
      </c>
      <c r="BG28" s="44">
        <v>324</v>
      </c>
      <c r="BH28" s="44">
        <v>77</v>
      </c>
      <c r="BI28" s="44">
        <v>1006</v>
      </c>
    </row>
    <row r="29" spans="1:61" x14ac:dyDescent="0.2">
      <c r="A29" s="42">
        <v>38961</v>
      </c>
      <c r="B29" s="43">
        <v>482</v>
      </c>
      <c r="C29" s="43">
        <v>285</v>
      </c>
      <c r="D29" s="43">
        <v>346</v>
      </c>
      <c r="E29" s="43">
        <v>222</v>
      </c>
      <c r="F29" s="43">
        <v>335</v>
      </c>
      <c r="G29" s="43">
        <v>318.39999999999998</v>
      </c>
      <c r="H29" s="43">
        <v>290</v>
      </c>
      <c r="I29" s="43">
        <v>200</v>
      </c>
      <c r="J29" s="43">
        <v>450</v>
      </c>
      <c r="K29" s="43">
        <v>335</v>
      </c>
      <c r="L29" s="43">
        <v>270</v>
      </c>
      <c r="M29" s="43">
        <v>195</v>
      </c>
      <c r="N29" s="43">
        <v>360</v>
      </c>
      <c r="O29" s="43">
        <v>247.5</v>
      </c>
      <c r="P29" s="43">
        <v>413</v>
      </c>
      <c r="Q29" s="43">
        <v>380</v>
      </c>
      <c r="R29" s="43">
        <v>275</v>
      </c>
      <c r="S29" s="43">
        <v>315</v>
      </c>
      <c r="T29" s="43">
        <v>191</v>
      </c>
      <c r="U29" s="43">
        <v>292</v>
      </c>
      <c r="V29" s="43">
        <v>300</v>
      </c>
      <c r="W29" s="43">
        <v>240</v>
      </c>
      <c r="X29" s="43">
        <v>131</v>
      </c>
      <c r="Y29" s="43">
        <v>350</v>
      </c>
      <c r="Z29" s="43">
        <v>260</v>
      </c>
      <c r="AA29" s="43">
        <v>230</v>
      </c>
      <c r="AB29" s="43">
        <v>180.8</v>
      </c>
      <c r="AC29" s="43">
        <v>246.5</v>
      </c>
      <c r="AD29" s="43">
        <v>213.5</v>
      </c>
      <c r="AE29" s="43">
        <v>312</v>
      </c>
      <c r="AF29" s="44">
        <v>11078</v>
      </c>
      <c r="AG29" s="44">
        <v>10226</v>
      </c>
      <c r="AH29" s="44">
        <v>14401</v>
      </c>
      <c r="AI29" s="44">
        <v>7954</v>
      </c>
      <c r="AJ29" s="44">
        <v>9954</v>
      </c>
      <c r="AK29" s="44">
        <v>14102</v>
      </c>
      <c r="AL29" s="44">
        <v>4774</v>
      </c>
      <c r="AM29" s="44">
        <v>2103</v>
      </c>
      <c r="AN29" s="44">
        <v>7184</v>
      </c>
      <c r="AO29" s="44">
        <v>3070</v>
      </c>
      <c r="AP29" s="44">
        <v>956</v>
      </c>
      <c r="AQ29" s="44">
        <v>1619</v>
      </c>
      <c r="AR29" s="44">
        <v>535</v>
      </c>
      <c r="AS29" s="44">
        <v>200</v>
      </c>
      <c r="AT29" s="44">
        <v>1136</v>
      </c>
      <c r="AU29" s="44">
        <v>8849</v>
      </c>
      <c r="AV29" s="44">
        <v>2229</v>
      </c>
      <c r="AW29" s="44">
        <v>7461</v>
      </c>
      <c r="AX29" s="44">
        <v>1136</v>
      </c>
      <c r="AY29" s="44">
        <v>3397</v>
      </c>
      <c r="AZ29" s="44">
        <v>5049</v>
      </c>
      <c r="BA29" s="44">
        <v>2011</v>
      </c>
      <c r="BB29" s="44">
        <v>238</v>
      </c>
      <c r="BC29" s="44">
        <v>2810</v>
      </c>
      <c r="BD29" s="44">
        <v>442</v>
      </c>
      <c r="BE29" s="44">
        <v>337</v>
      </c>
      <c r="BF29" s="44">
        <v>240</v>
      </c>
      <c r="BG29" s="44">
        <v>340</v>
      </c>
      <c r="BH29" s="44">
        <v>91</v>
      </c>
      <c r="BI29" s="44">
        <v>915</v>
      </c>
    </row>
    <row r="30" spans="1:61" x14ac:dyDescent="0.2">
      <c r="A30" s="42">
        <v>39052</v>
      </c>
      <c r="B30" s="43">
        <v>500</v>
      </c>
      <c r="C30" s="43">
        <v>290</v>
      </c>
      <c r="D30" s="43">
        <v>360</v>
      </c>
      <c r="E30" s="43">
        <v>230</v>
      </c>
      <c r="F30" s="43">
        <v>343.5</v>
      </c>
      <c r="G30" s="43">
        <v>330</v>
      </c>
      <c r="H30" s="43">
        <v>300</v>
      </c>
      <c r="I30" s="43">
        <v>215</v>
      </c>
      <c r="J30" s="43">
        <v>470</v>
      </c>
      <c r="K30" s="43">
        <v>350</v>
      </c>
      <c r="L30" s="43">
        <v>278</v>
      </c>
      <c r="M30" s="43">
        <v>199</v>
      </c>
      <c r="N30" s="43">
        <v>380</v>
      </c>
      <c r="O30" s="43">
        <v>260</v>
      </c>
      <c r="P30" s="43">
        <v>420.8</v>
      </c>
      <c r="Q30" s="43">
        <v>393.1</v>
      </c>
      <c r="R30" s="43">
        <v>277</v>
      </c>
      <c r="S30" s="43">
        <v>315</v>
      </c>
      <c r="T30" s="43">
        <v>192</v>
      </c>
      <c r="U30" s="43">
        <v>298</v>
      </c>
      <c r="V30" s="43">
        <v>310</v>
      </c>
      <c r="W30" s="43">
        <v>246</v>
      </c>
      <c r="X30" s="43">
        <v>150</v>
      </c>
      <c r="Y30" s="43">
        <v>362.5</v>
      </c>
      <c r="Z30" s="43">
        <v>297</v>
      </c>
      <c r="AA30" s="43">
        <v>231</v>
      </c>
      <c r="AB30" s="43">
        <v>185.5</v>
      </c>
      <c r="AC30" s="43">
        <v>260</v>
      </c>
      <c r="AD30" s="43">
        <v>198</v>
      </c>
      <c r="AE30" s="43">
        <v>317.5</v>
      </c>
      <c r="AF30" s="44">
        <v>11450</v>
      </c>
      <c r="AG30" s="44">
        <v>10374</v>
      </c>
      <c r="AH30" s="44">
        <v>15088</v>
      </c>
      <c r="AI30" s="44">
        <v>7533</v>
      </c>
      <c r="AJ30" s="44">
        <v>9627</v>
      </c>
      <c r="AK30" s="44">
        <v>13529</v>
      </c>
      <c r="AL30" s="44">
        <v>4955</v>
      </c>
      <c r="AM30" s="44">
        <v>2235</v>
      </c>
      <c r="AN30" s="44">
        <v>5860</v>
      </c>
      <c r="AO30" s="44">
        <v>2513</v>
      </c>
      <c r="AP30" s="44">
        <v>971</v>
      </c>
      <c r="AQ30" s="44">
        <v>1556</v>
      </c>
      <c r="AR30" s="44">
        <v>495</v>
      </c>
      <c r="AS30" s="44">
        <v>204</v>
      </c>
      <c r="AT30" s="44">
        <v>1318</v>
      </c>
      <c r="AU30" s="44">
        <v>8884</v>
      </c>
      <c r="AV30" s="44">
        <v>2166</v>
      </c>
      <c r="AW30" s="44">
        <v>7587</v>
      </c>
      <c r="AX30" s="44">
        <v>1107</v>
      </c>
      <c r="AY30" s="44">
        <v>3314</v>
      </c>
      <c r="AZ30" s="44">
        <v>5026</v>
      </c>
      <c r="BA30" s="44">
        <v>1886</v>
      </c>
      <c r="BB30" s="44">
        <v>259</v>
      </c>
      <c r="BC30" s="44">
        <v>2226</v>
      </c>
      <c r="BD30" s="44">
        <v>362</v>
      </c>
      <c r="BE30" s="44">
        <v>318</v>
      </c>
      <c r="BF30" s="44">
        <v>236</v>
      </c>
      <c r="BG30" s="44">
        <v>306</v>
      </c>
      <c r="BH30" s="44">
        <v>71</v>
      </c>
      <c r="BI30" s="44">
        <v>945</v>
      </c>
    </row>
    <row r="31" spans="1:61" x14ac:dyDescent="0.2">
      <c r="A31" s="42">
        <v>39142</v>
      </c>
      <c r="B31" s="43">
        <v>480</v>
      </c>
      <c r="C31" s="43">
        <v>300</v>
      </c>
      <c r="D31" s="43">
        <v>345</v>
      </c>
      <c r="E31" s="43">
        <v>230</v>
      </c>
      <c r="F31" s="43">
        <v>352</v>
      </c>
      <c r="G31" s="43">
        <v>347</v>
      </c>
      <c r="H31" s="43">
        <v>305</v>
      </c>
      <c r="I31" s="43">
        <v>223</v>
      </c>
      <c r="J31" s="43">
        <v>475</v>
      </c>
      <c r="K31" s="43">
        <v>370</v>
      </c>
      <c r="L31" s="43">
        <v>280</v>
      </c>
      <c r="M31" s="43">
        <v>210</v>
      </c>
      <c r="N31" s="43">
        <v>389.5</v>
      </c>
      <c r="O31" s="43">
        <v>250</v>
      </c>
      <c r="P31" s="43">
        <v>430</v>
      </c>
      <c r="Q31" s="43">
        <v>380</v>
      </c>
      <c r="R31" s="43">
        <v>270</v>
      </c>
      <c r="S31" s="43">
        <v>320</v>
      </c>
      <c r="T31" s="43">
        <v>200</v>
      </c>
      <c r="U31" s="43">
        <v>305</v>
      </c>
      <c r="V31" s="43">
        <v>320</v>
      </c>
      <c r="W31" s="43">
        <v>245</v>
      </c>
      <c r="X31" s="43">
        <v>150</v>
      </c>
      <c r="Y31" s="43">
        <v>370</v>
      </c>
      <c r="Z31" s="43">
        <v>285</v>
      </c>
      <c r="AA31" s="43">
        <v>240</v>
      </c>
      <c r="AB31" s="43">
        <v>184</v>
      </c>
      <c r="AC31" s="43">
        <v>280</v>
      </c>
      <c r="AD31" s="43">
        <v>232.8</v>
      </c>
      <c r="AE31" s="43">
        <v>325</v>
      </c>
      <c r="AF31" s="44">
        <v>11641</v>
      </c>
      <c r="AG31" s="44">
        <v>10605</v>
      </c>
      <c r="AH31" s="44">
        <v>15291</v>
      </c>
      <c r="AI31" s="44">
        <v>8528</v>
      </c>
      <c r="AJ31" s="44">
        <v>12341</v>
      </c>
      <c r="AK31" s="44">
        <v>15869</v>
      </c>
      <c r="AL31" s="44">
        <v>5396</v>
      </c>
      <c r="AM31" s="44">
        <v>2363</v>
      </c>
      <c r="AN31" s="44">
        <v>6548</v>
      </c>
      <c r="AO31" s="44">
        <v>2693</v>
      </c>
      <c r="AP31" s="44">
        <v>1210</v>
      </c>
      <c r="AQ31" s="44">
        <v>1775</v>
      </c>
      <c r="AR31" s="44">
        <v>496</v>
      </c>
      <c r="AS31" s="44">
        <v>183</v>
      </c>
      <c r="AT31" s="44">
        <v>1308</v>
      </c>
      <c r="AU31" s="44">
        <v>9065</v>
      </c>
      <c r="AV31" s="44">
        <v>2339</v>
      </c>
      <c r="AW31" s="44">
        <v>8296</v>
      </c>
      <c r="AX31" s="44">
        <v>1267</v>
      </c>
      <c r="AY31" s="44">
        <v>4020</v>
      </c>
      <c r="AZ31" s="44">
        <v>6339</v>
      </c>
      <c r="BA31" s="44">
        <v>2135</v>
      </c>
      <c r="BB31" s="44">
        <v>303</v>
      </c>
      <c r="BC31" s="44">
        <v>2428</v>
      </c>
      <c r="BD31" s="44">
        <v>362</v>
      </c>
      <c r="BE31" s="44">
        <v>406</v>
      </c>
      <c r="BF31" s="44">
        <v>285</v>
      </c>
      <c r="BG31" s="44">
        <v>406</v>
      </c>
      <c r="BH31" s="44">
        <v>86</v>
      </c>
      <c r="BI31" s="44">
        <v>1076</v>
      </c>
    </row>
    <row r="32" spans="1:61" x14ac:dyDescent="0.2">
      <c r="A32" s="42">
        <v>39234</v>
      </c>
      <c r="B32" s="43">
        <v>512.29999999999995</v>
      </c>
      <c r="C32" s="43">
        <v>300</v>
      </c>
      <c r="D32" s="43">
        <v>362</v>
      </c>
      <c r="E32" s="43">
        <v>230</v>
      </c>
      <c r="F32" s="43">
        <v>375</v>
      </c>
      <c r="G32" s="43">
        <v>365</v>
      </c>
      <c r="H32" s="43">
        <v>315</v>
      </c>
      <c r="I32" s="43">
        <v>223.3</v>
      </c>
      <c r="J32" s="43">
        <v>465</v>
      </c>
      <c r="K32" s="43">
        <v>374</v>
      </c>
      <c r="L32" s="43">
        <v>291.5</v>
      </c>
      <c r="M32" s="43">
        <v>220</v>
      </c>
      <c r="N32" s="43">
        <v>395</v>
      </c>
      <c r="O32" s="43">
        <v>278.8</v>
      </c>
      <c r="P32" s="43">
        <v>445</v>
      </c>
      <c r="Q32" s="43">
        <v>395</v>
      </c>
      <c r="R32" s="43">
        <v>280</v>
      </c>
      <c r="S32" s="43">
        <v>340</v>
      </c>
      <c r="T32" s="43">
        <v>201</v>
      </c>
      <c r="U32" s="43">
        <v>325</v>
      </c>
      <c r="V32" s="43">
        <v>327</v>
      </c>
      <c r="W32" s="43">
        <v>265</v>
      </c>
      <c r="X32" s="43">
        <v>156</v>
      </c>
      <c r="Y32" s="43">
        <v>370</v>
      </c>
      <c r="Z32" s="43">
        <v>299</v>
      </c>
      <c r="AA32" s="43">
        <v>240</v>
      </c>
      <c r="AB32" s="43">
        <v>191</v>
      </c>
      <c r="AC32" s="43">
        <v>302.5</v>
      </c>
      <c r="AD32" s="43">
        <v>213</v>
      </c>
      <c r="AE32" s="43">
        <v>355</v>
      </c>
      <c r="AF32" s="44">
        <v>13978</v>
      </c>
      <c r="AG32" s="44">
        <v>11810</v>
      </c>
      <c r="AH32" s="44">
        <v>17528</v>
      </c>
      <c r="AI32" s="44">
        <v>8752</v>
      </c>
      <c r="AJ32" s="44">
        <v>11698</v>
      </c>
      <c r="AK32" s="44">
        <v>14731</v>
      </c>
      <c r="AL32" s="44">
        <v>5762</v>
      </c>
      <c r="AM32" s="44">
        <v>2464</v>
      </c>
      <c r="AN32" s="44">
        <v>6139</v>
      </c>
      <c r="AO32" s="44">
        <v>2753</v>
      </c>
      <c r="AP32" s="44">
        <v>1195</v>
      </c>
      <c r="AQ32" s="44">
        <v>1665</v>
      </c>
      <c r="AR32" s="44">
        <v>450</v>
      </c>
      <c r="AS32" s="44">
        <v>172</v>
      </c>
      <c r="AT32" s="44">
        <v>1260</v>
      </c>
      <c r="AU32" s="44">
        <v>11923</v>
      </c>
      <c r="AV32" s="44">
        <v>2541</v>
      </c>
      <c r="AW32" s="44">
        <v>10408</v>
      </c>
      <c r="AX32" s="44">
        <v>1188</v>
      </c>
      <c r="AY32" s="44">
        <v>4227</v>
      </c>
      <c r="AZ32" s="44">
        <v>6132</v>
      </c>
      <c r="BA32" s="44">
        <v>2196</v>
      </c>
      <c r="BB32" s="44">
        <v>348</v>
      </c>
      <c r="BC32" s="44">
        <v>2206</v>
      </c>
      <c r="BD32" s="44">
        <v>339</v>
      </c>
      <c r="BE32" s="44">
        <v>394</v>
      </c>
      <c r="BF32" s="44">
        <v>253</v>
      </c>
      <c r="BG32" s="44">
        <v>450</v>
      </c>
      <c r="BH32" s="44">
        <v>85</v>
      </c>
      <c r="BI32" s="44">
        <v>1136</v>
      </c>
    </row>
    <row r="33" spans="1:61" x14ac:dyDescent="0.2">
      <c r="A33" s="42">
        <v>39326</v>
      </c>
      <c r="B33" s="43">
        <v>514</v>
      </c>
      <c r="C33" s="43">
        <v>300</v>
      </c>
      <c r="D33" s="43">
        <v>370</v>
      </c>
      <c r="E33" s="43">
        <v>233.5</v>
      </c>
      <c r="F33" s="43">
        <v>390</v>
      </c>
      <c r="G33" s="43">
        <v>376</v>
      </c>
      <c r="H33" s="43">
        <v>335</v>
      </c>
      <c r="I33" s="43">
        <v>228</v>
      </c>
      <c r="J33" s="43">
        <v>475</v>
      </c>
      <c r="K33" s="43">
        <v>376.4</v>
      </c>
      <c r="L33" s="43">
        <v>285</v>
      </c>
      <c r="M33" s="43">
        <v>220</v>
      </c>
      <c r="N33" s="43">
        <v>400</v>
      </c>
      <c r="O33" s="43">
        <v>270</v>
      </c>
      <c r="P33" s="43">
        <v>460</v>
      </c>
      <c r="Q33" s="43">
        <v>400</v>
      </c>
      <c r="R33" s="43">
        <v>275</v>
      </c>
      <c r="S33" s="43">
        <v>345</v>
      </c>
      <c r="T33" s="43">
        <v>205</v>
      </c>
      <c r="U33" s="43">
        <v>340</v>
      </c>
      <c r="V33" s="43">
        <v>330</v>
      </c>
      <c r="W33" s="43">
        <v>285</v>
      </c>
      <c r="X33" s="43">
        <v>166.6</v>
      </c>
      <c r="Y33" s="43">
        <v>376</v>
      </c>
      <c r="Z33" s="43">
        <v>307.3</v>
      </c>
      <c r="AA33" s="43">
        <v>250</v>
      </c>
      <c r="AB33" s="43">
        <v>190</v>
      </c>
      <c r="AC33" s="43">
        <v>310</v>
      </c>
      <c r="AD33" s="43">
        <v>219</v>
      </c>
      <c r="AE33" s="43">
        <v>365</v>
      </c>
      <c r="AF33" s="44">
        <v>13014</v>
      </c>
      <c r="AG33" s="44">
        <v>11531</v>
      </c>
      <c r="AH33" s="44">
        <v>17375</v>
      </c>
      <c r="AI33" s="44">
        <v>8675</v>
      </c>
      <c r="AJ33" s="44">
        <v>11840</v>
      </c>
      <c r="AK33" s="44">
        <v>15139</v>
      </c>
      <c r="AL33" s="44">
        <v>5457</v>
      </c>
      <c r="AM33" s="44">
        <v>2394</v>
      </c>
      <c r="AN33" s="44">
        <v>6151</v>
      </c>
      <c r="AO33" s="44">
        <v>2813</v>
      </c>
      <c r="AP33" s="44">
        <v>1062</v>
      </c>
      <c r="AQ33" s="44">
        <v>1738</v>
      </c>
      <c r="AR33" s="44">
        <v>464</v>
      </c>
      <c r="AS33" s="44">
        <v>211</v>
      </c>
      <c r="AT33" s="44">
        <v>1259</v>
      </c>
      <c r="AU33" s="44">
        <v>11817</v>
      </c>
      <c r="AV33" s="44">
        <v>2552</v>
      </c>
      <c r="AW33" s="44">
        <v>11507</v>
      </c>
      <c r="AX33" s="44">
        <v>1369</v>
      </c>
      <c r="AY33" s="44">
        <v>4321</v>
      </c>
      <c r="AZ33" s="44">
        <v>6512</v>
      </c>
      <c r="BA33" s="44">
        <v>2136</v>
      </c>
      <c r="BB33" s="44">
        <v>324</v>
      </c>
      <c r="BC33" s="44">
        <v>2041</v>
      </c>
      <c r="BD33" s="44">
        <v>426</v>
      </c>
      <c r="BE33" s="44">
        <v>414</v>
      </c>
      <c r="BF33" s="44">
        <v>301</v>
      </c>
      <c r="BG33" s="44">
        <v>452</v>
      </c>
      <c r="BH33" s="44">
        <v>95</v>
      </c>
      <c r="BI33" s="44">
        <v>959</v>
      </c>
    </row>
    <row r="34" spans="1:61" x14ac:dyDescent="0.2">
      <c r="A34" s="42">
        <v>39417</v>
      </c>
      <c r="B34" s="43">
        <v>540</v>
      </c>
      <c r="C34" s="43">
        <v>310</v>
      </c>
      <c r="D34" s="43">
        <v>410</v>
      </c>
      <c r="E34" s="43">
        <v>245</v>
      </c>
      <c r="F34" s="43">
        <v>415</v>
      </c>
      <c r="G34" s="43">
        <v>380</v>
      </c>
      <c r="H34" s="43">
        <v>358</v>
      </c>
      <c r="I34" s="43">
        <v>245</v>
      </c>
      <c r="J34" s="43">
        <v>480</v>
      </c>
      <c r="K34" s="43">
        <v>379.5</v>
      </c>
      <c r="L34" s="43">
        <v>310</v>
      </c>
      <c r="M34" s="43">
        <v>230</v>
      </c>
      <c r="N34" s="43">
        <v>418.5</v>
      </c>
      <c r="O34" s="43">
        <v>289</v>
      </c>
      <c r="P34" s="43">
        <v>468</v>
      </c>
      <c r="Q34" s="43">
        <v>410</v>
      </c>
      <c r="R34" s="43">
        <v>292</v>
      </c>
      <c r="S34" s="43">
        <v>365</v>
      </c>
      <c r="T34" s="43">
        <v>210</v>
      </c>
      <c r="U34" s="43">
        <v>357</v>
      </c>
      <c r="V34" s="43">
        <v>348</v>
      </c>
      <c r="W34" s="43">
        <v>290</v>
      </c>
      <c r="X34" s="43">
        <v>169.5</v>
      </c>
      <c r="Y34" s="43">
        <v>385</v>
      </c>
      <c r="Z34" s="43">
        <v>319.5</v>
      </c>
      <c r="AA34" s="43">
        <v>260</v>
      </c>
      <c r="AB34" s="43">
        <v>196.3</v>
      </c>
      <c r="AC34" s="43">
        <v>307.5</v>
      </c>
      <c r="AD34" s="43">
        <v>210</v>
      </c>
      <c r="AE34" s="43">
        <v>365</v>
      </c>
      <c r="AF34" s="44">
        <v>12960</v>
      </c>
      <c r="AG34" s="44">
        <v>11322</v>
      </c>
      <c r="AH34" s="44">
        <v>18143</v>
      </c>
      <c r="AI34" s="44">
        <v>8973</v>
      </c>
      <c r="AJ34" s="44">
        <v>10406</v>
      </c>
      <c r="AK34" s="44">
        <v>13608</v>
      </c>
      <c r="AL34" s="44">
        <v>5334</v>
      </c>
      <c r="AM34" s="44">
        <v>2373</v>
      </c>
      <c r="AN34" s="44">
        <v>6314</v>
      </c>
      <c r="AO34" s="44">
        <v>2500</v>
      </c>
      <c r="AP34" s="44">
        <v>1096</v>
      </c>
      <c r="AQ34" s="44">
        <v>1669</v>
      </c>
      <c r="AR34" s="44">
        <v>411</v>
      </c>
      <c r="AS34" s="44">
        <v>187</v>
      </c>
      <c r="AT34" s="44">
        <v>1380</v>
      </c>
      <c r="AU34" s="44">
        <v>11523</v>
      </c>
      <c r="AV34" s="44">
        <v>2470</v>
      </c>
      <c r="AW34" s="44">
        <v>11227</v>
      </c>
      <c r="AX34" s="44">
        <v>1372</v>
      </c>
      <c r="AY34" s="44">
        <v>3686</v>
      </c>
      <c r="AZ34" s="44">
        <v>5485</v>
      </c>
      <c r="BA34" s="44">
        <v>2029</v>
      </c>
      <c r="BB34" s="44">
        <v>330</v>
      </c>
      <c r="BC34" s="44">
        <v>2106</v>
      </c>
      <c r="BD34" s="44">
        <v>320</v>
      </c>
      <c r="BE34" s="44">
        <v>311</v>
      </c>
      <c r="BF34" s="44">
        <v>252</v>
      </c>
      <c r="BG34" s="44">
        <v>375</v>
      </c>
      <c r="BH34" s="44">
        <v>73</v>
      </c>
      <c r="BI34" s="44">
        <v>1022</v>
      </c>
    </row>
    <row r="35" spans="1:61" x14ac:dyDescent="0.2">
      <c r="A35" s="42">
        <v>39508</v>
      </c>
      <c r="B35" s="43">
        <v>495</v>
      </c>
      <c r="C35" s="43">
        <v>308</v>
      </c>
      <c r="D35" s="43">
        <v>385</v>
      </c>
      <c r="E35" s="43">
        <v>243.5</v>
      </c>
      <c r="F35" s="43">
        <v>425</v>
      </c>
      <c r="G35" s="43">
        <v>380</v>
      </c>
      <c r="H35" s="43">
        <v>360</v>
      </c>
      <c r="I35" s="43">
        <v>250</v>
      </c>
      <c r="J35" s="43">
        <v>470</v>
      </c>
      <c r="K35" s="43">
        <v>390</v>
      </c>
      <c r="L35" s="43">
        <v>308.5</v>
      </c>
      <c r="M35" s="43">
        <v>239.5</v>
      </c>
      <c r="N35" s="43">
        <v>420</v>
      </c>
      <c r="O35" s="43">
        <v>285</v>
      </c>
      <c r="P35" s="43">
        <v>470</v>
      </c>
      <c r="Q35" s="43">
        <v>397.5</v>
      </c>
      <c r="R35" s="43">
        <v>288.3</v>
      </c>
      <c r="S35" s="43">
        <v>360</v>
      </c>
      <c r="T35" s="43">
        <v>229</v>
      </c>
      <c r="U35" s="43">
        <v>360</v>
      </c>
      <c r="V35" s="43">
        <v>355</v>
      </c>
      <c r="W35" s="43">
        <v>295</v>
      </c>
      <c r="X35" s="43">
        <v>175</v>
      </c>
      <c r="Y35" s="43">
        <v>380</v>
      </c>
      <c r="Z35" s="43">
        <v>320</v>
      </c>
      <c r="AA35" s="43">
        <v>245</v>
      </c>
      <c r="AB35" s="43">
        <v>200</v>
      </c>
      <c r="AC35" s="43">
        <v>306.3</v>
      </c>
      <c r="AD35" s="43">
        <v>225</v>
      </c>
      <c r="AE35" s="43">
        <v>370</v>
      </c>
      <c r="AF35" s="44">
        <v>9631</v>
      </c>
      <c r="AG35" s="44">
        <v>9338</v>
      </c>
      <c r="AH35" s="44">
        <v>13154</v>
      </c>
      <c r="AI35" s="44">
        <v>7639</v>
      </c>
      <c r="AJ35" s="44">
        <v>8405</v>
      </c>
      <c r="AK35" s="44">
        <v>10820</v>
      </c>
      <c r="AL35" s="44">
        <v>4567</v>
      </c>
      <c r="AM35" s="44">
        <v>2156</v>
      </c>
      <c r="AN35" s="44">
        <v>5487</v>
      </c>
      <c r="AO35" s="44">
        <v>2139</v>
      </c>
      <c r="AP35" s="44">
        <v>939</v>
      </c>
      <c r="AQ35" s="44">
        <v>1488</v>
      </c>
      <c r="AR35" s="44">
        <v>357</v>
      </c>
      <c r="AS35" s="44">
        <v>174</v>
      </c>
      <c r="AT35" s="44">
        <v>960</v>
      </c>
      <c r="AU35" s="44">
        <v>8753</v>
      </c>
      <c r="AV35" s="44">
        <v>2166</v>
      </c>
      <c r="AW35" s="44">
        <v>7886</v>
      </c>
      <c r="AX35" s="44">
        <v>1159</v>
      </c>
      <c r="AY35" s="44">
        <v>2691</v>
      </c>
      <c r="AZ35" s="44">
        <v>4622</v>
      </c>
      <c r="BA35" s="44">
        <v>1834</v>
      </c>
      <c r="BB35" s="44">
        <v>307</v>
      </c>
      <c r="BC35" s="44">
        <v>1901</v>
      </c>
      <c r="BD35" s="44">
        <v>308</v>
      </c>
      <c r="BE35" s="44">
        <v>325</v>
      </c>
      <c r="BF35" s="44">
        <v>223</v>
      </c>
      <c r="BG35" s="44">
        <v>348</v>
      </c>
      <c r="BH35" s="44">
        <v>87</v>
      </c>
      <c r="BI35" s="44">
        <v>776</v>
      </c>
    </row>
    <row r="36" spans="1:61" x14ac:dyDescent="0.2">
      <c r="A36" s="42">
        <v>39600</v>
      </c>
      <c r="B36" s="43">
        <v>517</v>
      </c>
      <c r="C36" s="43">
        <v>305</v>
      </c>
      <c r="D36" s="43">
        <v>400</v>
      </c>
      <c r="E36" s="43">
        <v>239</v>
      </c>
      <c r="F36" s="43">
        <v>425</v>
      </c>
      <c r="G36" s="43">
        <v>380</v>
      </c>
      <c r="H36" s="43">
        <v>365</v>
      </c>
      <c r="I36" s="43">
        <v>240</v>
      </c>
      <c r="J36" s="43">
        <v>455</v>
      </c>
      <c r="K36" s="43">
        <v>360</v>
      </c>
      <c r="L36" s="43">
        <v>305</v>
      </c>
      <c r="M36" s="43">
        <v>230</v>
      </c>
      <c r="N36" s="43">
        <v>422.3</v>
      </c>
      <c r="O36" s="43">
        <v>285</v>
      </c>
      <c r="P36" s="43">
        <v>474</v>
      </c>
      <c r="Q36" s="43">
        <v>395</v>
      </c>
      <c r="R36" s="43">
        <v>272.3</v>
      </c>
      <c r="S36" s="43">
        <v>360</v>
      </c>
      <c r="T36" s="43">
        <v>210</v>
      </c>
      <c r="U36" s="43">
        <v>367</v>
      </c>
      <c r="V36" s="43">
        <v>355</v>
      </c>
      <c r="W36" s="43">
        <v>290</v>
      </c>
      <c r="X36" s="43">
        <v>173.8</v>
      </c>
      <c r="Y36" s="43">
        <v>372.3</v>
      </c>
      <c r="Z36" s="43">
        <v>313</v>
      </c>
      <c r="AA36" s="43">
        <v>257</v>
      </c>
      <c r="AB36" s="43">
        <v>205</v>
      </c>
      <c r="AC36" s="43">
        <v>310</v>
      </c>
      <c r="AD36" s="43">
        <v>222.5</v>
      </c>
      <c r="AE36" s="43">
        <v>352</v>
      </c>
      <c r="AF36" s="44">
        <v>10618</v>
      </c>
      <c r="AG36" s="44">
        <v>8501</v>
      </c>
      <c r="AH36" s="44">
        <v>14039</v>
      </c>
      <c r="AI36" s="44">
        <v>7134</v>
      </c>
      <c r="AJ36" s="44">
        <v>6616</v>
      </c>
      <c r="AK36" s="44">
        <v>7770</v>
      </c>
      <c r="AL36" s="44">
        <v>4437</v>
      </c>
      <c r="AM36" s="44">
        <v>1703</v>
      </c>
      <c r="AN36" s="44">
        <v>4356</v>
      </c>
      <c r="AO36" s="44">
        <v>1738</v>
      </c>
      <c r="AP36" s="44">
        <v>811</v>
      </c>
      <c r="AQ36" s="44">
        <v>1369</v>
      </c>
      <c r="AR36" s="44">
        <v>388</v>
      </c>
      <c r="AS36" s="44">
        <v>175</v>
      </c>
      <c r="AT36" s="44">
        <v>1021</v>
      </c>
      <c r="AU36" s="44">
        <v>9971</v>
      </c>
      <c r="AV36" s="44">
        <v>1842</v>
      </c>
      <c r="AW36" s="44">
        <v>8465</v>
      </c>
      <c r="AX36" s="44">
        <v>1082</v>
      </c>
      <c r="AY36" s="44">
        <v>2198</v>
      </c>
      <c r="AZ36" s="44">
        <v>3266</v>
      </c>
      <c r="BA36" s="44">
        <v>1662</v>
      </c>
      <c r="BB36" s="44">
        <v>202</v>
      </c>
      <c r="BC36" s="44">
        <v>1478</v>
      </c>
      <c r="BD36" s="44">
        <v>240</v>
      </c>
      <c r="BE36" s="44">
        <v>267</v>
      </c>
      <c r="BF36" s="44">
        <v>172</v>
      </c>
      <c r="BG36" s="44">
        <v>296</v>
      </c>
      <c r="BH36" s="44">
        <v>80</v>
      </c>
      <c r="BI36" s="44">
        <v>965</v>
      </c>
    </row>
    <row r="37" spans="1:61" x14ac:dyDescent="0.2">
      <c r="A37" s="42">
        <v>39692</v>
      </c>
      <c r="B37" s="43">
        <v>482</v>
      </c>
      <c r="C37" s="43">
        <v>297.5</v>
      </c>
      <c r="D37" s="43">
        <v>385</v>
      </c>
      <c r="E37" s="43">
        <v>235</v>
      </c>
      <c r="F37" s="43">
        <v>410</v>
      </c>
      <c r="G37" s="43">
        <v>365</v>
      </c>
      <c r="H37" s="43">
        <v>360</v>
      </c>
      <c r="I37" s="43">
        <v>245</v>
      </c>
      <c r="J37" s="43">
        <v>440</v>
      </c>
      <c r="K37" s="43">
        <v>365</v>
      </c>
      <c r="L37" s="43">
        <v>292.5</v>
      </c>
      <c r="M37" s="43">
        <v>235</v>
      </c>
      <c r="N37" s="43">
        <v>430</v>
      </c>
      <c r="O37" s="43">
        <v>285</v>
      </c>
      <c r="P37" s="43">
        <v>447</v>
      </c>
      <c r="Q37" s="43">
        <v>385</v>
      </c>
      <c r="R37" s="43">
        <v>280</v>
      </c>
      <c r="S37" s="43">
        <v>365</v>
      </c>
      <c r="T37" s="43">
        <v>198</v>
      </c>
      <c r="U37" s="43">
        <v>350</v>
      </c>
      <c r="V37" s="43">
        <v>340</v>
      </c>
      <c r="W37" s="43">
        <v>315.10000000000002</v>
      </c>
      <c r="X37" s="43">
        <v>190</v>
      </c>
      <c r="Y37" s="43">
        <v>360</v>
      </c>
      <c r="Z37" s="43">
        <v>300</v>
      </c>
      <c r="AA37" s="43">
        <v>240</v>
      </c>
      <c r="AB37" s="43">
        <v>200</v>
      </c>
      <c r="AC37" s="43">
        <v>348</v>
      </c>
      <c r="AD37" s="43">
        <v>220</v>
      </c>
      <c r="AE37" s="43">
        <v>365</v>
      </c>
      <c r="AF37" s="44">
        <v>10653</v>
      </c>
      <c r="AG37" s="44">
        <v>8156</v>
      </c>
      <c r="AH37" s="44">
        <v>13119</v>
      </c>
      <c r="AI37" s="44">
        <v>6418</v>
      </c>
      <c r="AJ37" s="44">
        <v>7103</v>
      </c>
      <c r="AK37" s="44">
        <v>9421</v>
      </c>
      <c r="AL37" s="44">
        <v>4166</v>
      </c>
      <c r="AM37" s="44">
        <v>1542</v>
      </c>
      <c r="AN37" s="44">
        <v>5020</v>
      </c>
      <c r="AO37" s="44">
        <v>1929</v>
      </c>
      <c r="AP37" s="44">
        <v>782</v>
      </c>
      <c r="AQ37" s="44">
        <v>1220</v>
      </c>
      <c r="AR37" s="44">
        <v>439</v>
      </c>
      <c r="AS37" s="44">
        <v>162</v>
      </c>
      <c r="AT37" s="44">
        <v>1000</v>
      </c>
      <c r="AU37" s="44">
        <v>9828</v>
      </c>
      <c r="AV37" s="44">
        <v>1761</v>
      </c>
      <c r="AW37" s="44">
        <v>7748</v>
      </c>
      <c r="AX37" s="44">
        <v>1003</v>
      </c>
      <c r="AY37" s="44">
        <v>2450</v>
      </c>
      <c r="AZ37" s="44">
        <v>3392</v>
      </c>
      <c r="BA37" s="44">
        <v>1788</v>
      </c>
      <c r="BB37" s="44">
        <v>181</v>
      </c>
      <c r="BC37" s="44">
        <v>1643</v>
      </c>
      <c r="BD37" s="44">
        <v>259</v>
      </c>
      <c r="BE37" s="44">
        <v>251</v>
      </c>
      <c r="BF37" s="44">
        <v>185</v>
      </c>
      <c r="BG37" s="44">
        <v>367</v>
      </c>
      <c r="BH37" s="44">
        <v>72</v>
      </c>
      <c r="BI37" s="44">
        <v>758</v>
      </c>
    </row>
    <row r="38" spans="1:61" x14ac:dyDescent="0.2">
      <c r="A38" s="42">
        <v>39783</v>
      </c>
      <c r="B38" s="43">
        <v>468</v>
      </c>
      <c r="C38" s="43">
        <v>290</v>
      </c>
      <c r="D38" s="43">
        <v>385</v>
      </c>
      <c r="E38" s="43">
        <v>236</v>
      </c>
      <c r="F38" s="43">
        <v>399</v>
      </c>
      <c r="G38" s="43">
        <v>365</v>
      </c>
      <c r="H38" s="43">
        <v>355</v>
      </c>
      <c r="I38" s="43">
        <v>245</v>
      </c>
      <c r="J38" s="43">
        <v>425</v>
      </c>
      <c r="K38" s="43">
        <v>351</v>
      </c>
      <c r="L38" s="43">
        <v>300</v>
      </c>
      <c r="M38" s="43">
        <v>225</v>
      </c>
      <c r="N38" s="43">
        <v>445</v>
      </c>
      <c r="O38" s="43">
        <v>296.8</v>
      </c>
      <c r="P38" s="43">
        <v>450</v>
      </c>
      <c r="Q38" s="43">
        <v>373</v>
      </c>
      <c r="R38" s="43">
        <v>280</v>
      </c>
      <c r="S38" s="43">
        <v>350</v>
      </c>
      <c r="T38" s="43">
        <v>195</v>
      </c>
      <c r="U38" s="43">
        <v>350</v>
      </c>
      <c r="V38" s="43">
        <v>316</v>
      </c>
      <c r="W38" s="43">
        <v>300.8</v>
      </c>
      <c r="X38" s="43">
        <v>202</v>
      </c>
      <c r="Y38" s="43">
        <v>350</v>
      </c>
      <c r="Z38" s="43">
        <v>300</v>
      </c>
      <c r="AA38" s="43">
        <v>245</v>
      </c>
      <c r="AB38" s="43">
        <v>200</v>
      </c>
      <c r="AC38" s="43">
        <v>329</v>
      </c>
      <c r="AD38" s="43">
        <v>240</v>
      </c>
      <c r="AE38" s="43">
        <v>360.5</v>
      </c>
      <c r="AF38" s="44">
        <v>11240</v>
      </c>
      <c r="AG38" s="44">
        <v>8893</v>
      </c>
      <c r="AH38" s="44">
        <v>13092</v>
      </c>
      <c r="AI38" s="44">
        <v>6793</v>
      </c>
      <c r="AJ38" s="44">
        <v>6938</v>
      </c>
      <c r="AK38" s="44">
        <v>9240</v>
      </c>
      <c r="AL38" s="44">
        <v>4225</v>
      </c>
      <c r="AM38" s="44">
        <v>1670</v>
      </c>
      <c r="AN38" s="44">
        <v>4254</v>
      </c>
      <c r="AO38" s="44">
        <v>1707</v>
      </c>
      <c r="AP38" s="44">
        <v>860</v>
      </c>
      <c r="AQ38" s="44">
        <v>1353</v>
      </c>
      <c r="AR38" s="44">
        <v>459</v>
      </c>
      <c r="AS38" s="44">
        <v>169</v>
      </c>
      <c r="AT38" s="44">
        <v>988</v>
      </c>
      <c r="AU38" s="44">
        <v>10127</v>
      </c>
      <c r="AV38" s="44">
        <v>1907</v>
      </c>
      <c r="AW38" s="44">
        <v>7470</v>
      </c>
      <c r="AX38" s="44">
        <v>1029</v>
      </c>
      <c r="AY38" s="44">
        <v>2463</v>
      </c>
      <c r="AZ38" s="44">
        <v>3233</v>
      </c>
      <c r="BA38" s="44">
        <v>1720</v>
      </c>
      <c r="BB38" s="44">
        <v>228</v>
      </c>
      <c r="BC38" s="44">
        <v>1406</v>
      </c>
      <c r="BD38" s="44">
        <v>217</v>
      </c>
      <c r="BE38" s="44">
        <v>320</v>
      </c>
      <c r="BF38" s="44">
        <v>215</v>
      </c>
      <c r="BG38" s="44">
        <v>328</v>
      </c>
      <c r="BH38" s="44">
        <v>71</v>
      </c>
      <c r="BI38" s="44">
        <v>715</v>
      </c>
    </row>
    <row r="39" spans="1:61" x14ac:dyDescent="0.2">
      <c r="A39" s="42">
        <v>39873</v>
      </c>
      <c r="B39" s="43">
        <v>448</v>
      </c>
      <c r="C39" s="43">
        <v>300</v>
      </c>
      <c r="D39" s="43">
        <v>375</v>
      </c>
      <c r="E39" s="43">
        <v>238</v>
      </c>
      <c r="F39" s="43">
        <v>400</v>
      </c>
      <c r="G39" s="43">
        <v>370</v>
      </c>
      <c r="H39" s="43">
        <v>353.5</v>
      </c>
      <c r="I39" s="43">
        <v>248</v>
      </c>
      <c r="J39" s="43">
        <v>439</v>
      </c>
      <c r="K39" s="43">
        <v>360</v>
      </c>
      <c r="L39" s="43">
        <v>296.5</v>
      </c>
      <c r="M39" s="43">
        <v>235</v>
      </c>
      <c r="N39" s="43">
        <v>455</v>
      </c>
      <c r="O39" s="43">
        <v>321</v>
      </c>
      <c r="P39" s="43">
        <v>459.5</v>
      </c>
      <c r="Q39" s="43">
        <v>380</v>
      </c>
      <c r="R39" s="43">
        <v>270.5</v>
      </c>
      <c r="S39" s="43">
        <v>348</v>
      </c>
      <c r="T39" s="43">
        <v>210</v>
      </c>
      <c r="U39" s="43">
        <v>349.8</v>
      </c>
      <c r="V39" s="43">
        <v>324</v>
      </c>
      <c r="W39" s="43">
        <v>300</v>
      </c>
      <c r="X39" s="43">
        <v>175</v>
      </c>
      <c r="Y39" s="43">
        <v>350</v>
      </c>
      <c r="Z39" s="43">
        <v>315</v>
      </c>
      <c r="AA39" s="43">
        <v>255</v>
      </c>
      <c r="AB39" s="43">
        <v>213</v>
      </c>
      <c r="AC39" s="43">
        <v>370</v>
      </c>
      <c r="AD39" s="43">
        <v>249</v>
      </c>
      <c r="AE39" s="43">
        <v>372.5</v>
      </c>
      <c r="AF39" s="44">
        <v>12259</v>
      </c>
      <c r="AG39" s="44">
        <v>10211</v>
      </c>
      <c r="AH39" s="44">
        <v>13091</v>
      </c>
      <c r="AI39" s="44">
        <v>7329</v>
      </c>
      <c r="AJ39" s="44">
        <v>9329</v>
      </c>
      <c r="AK39" s="44">
        <v>11278</v>
      </c>
      <c r="AL39" s="44">
        <v>4585</v>
      </c>
      <c r="AM39" s="44">
        <v>2048</v>
      </c>
      <c r="AN39" s="44">
        <v>5916</v>
      </c>
      <c r="AO39" s="44">
        <v>2164</v>
      </c>
      <c r="AP39" s="44">
        <v>1100</v>
      </c>
      <c r="AQ39" s="44">
        <v>1634</v>
      </c>
      <c r="AR39" s="44">
        <v>425</v>
      </c>
      <c r="AS39" s="44">
        <v>198</v>
      </c>
      <c r="AT39" s="44">
        <v>1122</v>
      </c>
      <c r="AU39" s="44">
        <v>11641</v>
      </c>
      <c r="AV39" s="44">
        <v>2324</v>
      </c>
      <c r="AW39" s="44">
        <v>7684</v>
      </c>
      <c r="AX39" s="44">
        <v>1270</v>
      </c>
      <c r="AY39" s="44">
        <v>3162</v>
      </c>
      <c r="AZ39" s="44">
        <v>4165</v>
      </c>
      <c r="BA39" s="44">
        <v>1865</v>
      </c>
      <c r="BB39" s="44">
        <v>223</v>
      </c>
      <c r="BC39" s="44">
        <v>1989</v>
      </c>
      <c r="BD39" s="44">
        <v>288</v>
      </c>
      <c r="BE39" s="44">
        <v>436</v>
      </c>
      <c r="BF39" s="44">
        <v>312</v>
      </c>
      <c r="BG39" s="44">
        <v>421</v>
      </c>
      <c r="BH39" s="44">
        <v>87</v>
      </c>
      <c r="BI39" s="44">
        <v>849</v>
      </c>
    </row>
    <row r="40" spans="1:61" x14ac:dyDescent="0.2">
      <c r="A40" s="42">
        <v>39965</v>
      </c>
      <c r="B40" s="43">
        <v>490</v>
      </c>
      <c r="C40" s="43">
        <v>300</v>
      </c>
      <c r="D40" s="43">
        <v>400</v>
      </c>
      <c r="E40" s="43">
        <v>245</v>
      </c>
      <c r="F40" s="43">
        <v>420</v>
      </c>
      <c r="G40" s="43">
        <v>372.8</v>
      </c>
      <c r="H40" s="43">
        <v>363</v>
      </c>
      <c r="I40" s="43">
        <v>245</v>
      </c>
      <c r="J40" s="43">
        <v>455</v>
      </c>
      <c r="K40" s="43">
        <v>370</v>
      </c>
      <c r="L40" s="43">
        <v>310</v>
      </c>
      <c r="M40" s="43">
        <v>240</v>
      </c>
      <c r="N40" s="43">
        <v>465</v>
      </c>
      <c r="O40" s="43">
        <v>335</v>
      </c>
      <c r="P40" s="43">
        <v>455</v>
      </c>
      <c r="Q40" s="43">
        <v>398</v>
      </c>
      <c r="R40" s="43">
        <v>280</v>
      </c>
      <c r="S40" s="43">
        <v>379.5</v>
      </c>
      <c r="T40" s="43">
        <v>217.8</v>
      </c>
      <c r="U40" s="43">
        <v>365</v>
      </c>
      <c r="V40" s="43">
        <v>330</v>
      </c>
      <c r="W40" s="43">
        <v>310</v>
      </c>
      <c r="X40" s="43">
        <v>174.5</v>
      </c>
      <c r="Y40" s="43">
        <v>380</v>
      </c>
      <c r="Z40" s="43">
        <v>325</v>
      </c>
      <c r="AA40" s="43">
        <v>260</v>
      </c>
      <c r="AB40" s="43">
        <v>220</v>
      </c>
      <c r="AC40" s="43">
        <v>360</v>
      </c>
      <c r="AD40" s="43">
        <v>300</v>
      </c>
      <c r="AE40" s="43">
        <v>375</v>
      </c>
      <c r="AF40" s="44">
        <v>14318</v>
      </c>
      <c r="AG40" s="44">
        <v>9672</v>
      </c>
      <c r="AH40" s="44">
        <v>15315</v>
      </c>
      <c r="AI40" s="44">
        <v>8359</v>
      </c>
      <c r="AJ40" s="44">
        <v>8806</v>
      </c>
      <c r="AK40" s="44">
        <v>9924</v>
      </c>
      <c r="AL40" s="44">
        <v>4877</v>
      </c>
      <c r="AM40" s="44">
        <v>1885</v>
      </c>
      <c r="AN40" s="44">
        <v>7148</v>
      </c>
      <c r="AO40" s="44">
        <v>2136</v>
      </c>
      <c r="AP40" s="44">
        <v>1001</v>
      </c>
      <c r="AQ40" s="44">
        <v>1609</v>
      </c>
      <c r="AR40" s="44">
        <v>469</v>
      </c>
      <c r="AS40" s="44">
        <v>174</v>
      </c>
      <c r="AT40" s="44">
        <v>1319</v>
      </c>
      <c r="AU40" s="44">
        <v>13995</v>
      </c>
      <c r="AV40" s="44">
        <v>2296</v>
      </c>
      <c r="AW40" s="44">
        <v>9685</v>
      </c>
      <c r="AX40" s="44">
        <v>1402</v>
      </c>
      <c r="AY40" s="44">
        <v>3246</v>
      </c>
      <c r="AZ40" s="44">
        <v>3966</v>
      </c>
      <c r="BA40" s="44">
        <v>1898</v>
      </c>
      <c r="BB40" s="44">
        <v>262</v>
      </c>
      <c r="BC40" s="44">
        <v>2376</v>
      </c>
      <c r="BD40" s="44">
        <v>278</v>
      </c>
      <c r="BE40" s="44">
        <v>348</v>
      </c>
      <c r="BF40" s="44">
        <v>272</v>
      </c>
      <c r="BG40" s="44">
        <v>441</v>
      </c>
      <c r="BH40" s="44">
        <v>91</v>
      </c>
      <c r="BI40" s="44">
        <v>1165</v>
      </c>
    </row>
    <row r="41" spans="1:61" x14ac:dyDescent="0.2">
      <c r="A41" s="42">
        <v>40057</v>
      </c>
      <c r="B41" s="43">
        <v>500</v>
      </c>
      <c r="C41" s="43">
        <v>310</v>
      </c>
      <c r="D41" s="43">
        <v>422</v>
      </c>
      <c r="E41" s="43">
        <v>250</v>
      </c>
      <c r="F41" s="43">
        <v>430</v>
      </c>
      <c r="G41" s="43">
        <v>380</v>
      </c>
      <c r="H41" s="43">
        <v>370</v>
      </c>
      <c r="I41" s="43">
        <v>260</v>
      </c>
      <c r="J41" s="43">
        <v>473</v>
      </c>
      <c r="K41" s="43">
        <v>375</v>
      </c>
      <c r="L41" s="43">
        <v>310.10000000000002</v>
      </c>
      <c r="M41" s="43">
        <v>245</v>
      </c>
      <c r="N41" s="43">
        <v>490</v>
      </c>
      <c r="O41" s="43">
        <v>345</v>
      </c>
      <c r="P41" s="43">
        <v>456</v>
      </c>
      <c r="Q41" s="43">
        <v>423</v>
      </c>
      <c r="R41" s="43">
        <v>289</v>
      </c>
      <c r="S41" s="43">
        <v>392</v>
      </c>
      <c r="T41" s="43">
        <v>221</v>
      </c>
      <c r="U41" s="43">
        <v>370</v>
      </c>
      <c r="V41" s="43">
        <v>345</v>
      </c>
      <c r="W41" s="43">
        <v>310</v>
      </c>
      <c r="X41" s="43">
        <v>170</v>
      </c>
      <c r="Y41" s="43">
        <v>390</v>
      </c>
      <c r="Z41" s="43">
        <v>331</v>
      </c>
      <c r="AA41" s="43">
        <v>270</v>
      </c>
      <c r="AB41" s="43">
        <v>220</v>
      </c>
      <c r="AC41" s="43">
        <v>377</v>
      </c>
      <c r="AD41" s="43">
        <v>307.5</v>
      </c>
      <c r="AE41" s="43">
        <v>378</v>
      </c>
      <c r="AF41" s="44">
        <v>14816</v>
      </c>
      <c r="AG41" s="44">
        <v>12211</v>
      </c>
      <c r="AH41" s="44">
        <v>16313</v>
      </c>
      <c r="AI41" s="44">
        <v>8296</v>
      </c>
      <c r="AJ41" s="44">
        <v>9068</v>
      </c>
      <c r="AK41" s="44">
        <v>10999</v>
      </c>
      <c r="AL41" s="44">
        <v>4473</v>
      </c>
      <c r="AM41" s="44">
        <v>1922</v>
      </c>
      <c r="AN41" s="44">
        <v>7701</v>
      </c>
      <c r="AO41" s="44">
        <v>2348</v>
      </c>
      <c r="AP41" s="44">
        <v>1033</v>
      </c>
      <c r="AQ41" s="44">
        <v>1528</v>
      </c>
      <c r="AR41" s="44">
        <v>436</v>
      </c>
      <c r="AS41" s="44">
        <v>199</v>
      </c>
      <c r="AT41" s="44">
        <v>1381</v>
      </c>
      <c r="AU41" s="44">
        <v>16289</v>
      </c>
      <c r="AV41" s="44">
        <v>2959</v>
      </c>
      <c r="AW41" s="44">
        <v>11517</v>
      </c>
      <c r="AX41" s="44">
        <v>1499</v>
      </c>
      <c r="AY41" s="44">
        <v>3820</v>
      </c>
      <c r="AZ41" s="44">
        <v>4622</v>
      </c>
      <c r="BA41" s="44">
        <v>1818</v>
      </c>
      <c r="BB41" s="44">
        <v>253</v>
      </c>
      <c r="BC41" s="44">
        <v>2842</v>
      </c>
      <c r="BD41" s="44">
        <v>390</v>
      </c>
      <c r="BE41" s="44">
        <v>418</v>
      </c>
      <c r="BF41" s="44">
        <v>288</v>
      </c>
      <c r="BG41" s="44">
        <v>463</v>
      </c>
      <c r="BH41" s="44">
        <v>90</v>
      </c>
      <c r="BI41" s="44">
        <v>1347</v>
      </c>
    </row>
    <row r="42" spans="1:61" x14ac:dyDescent="0.2">
      <c r="A42" s="42">
        <v>40148</v>
      </c>
      <c r="B42" s="43">
        <v>595</v>
      </c>
      <c r="C42" s="43">
        <v>340</v>
      </c>
      <c r="D42" s="43">
        <v>477.5</v>
      </c>
      <c r="E42" s="43">
        <v>266.5</v>
      </c>
      <c r="F42" s="43">
        <v>455</v>
      </c>
      <c r="G42" s="43">
        <v>395</v>
      </c>
      <c r="H42" s="43">
        <v>398.8</v>
      </c>
      <c r="I42" s="43">
        <v>267</v>
      </c>
      <c r="J42" s="43">
        <v>505</v>
      </c>
      <c r="K42" s="43">
        <v>400</v>
      </c>
      <c r="L42" s="43">
        <v>350</v>
      </c>
      <c r="M42" s="43">
        <v>252.3</v>
      </c>
      <c r="N42" s="43">
        <v>520</v>
      </c>
      <c r="O42" s="43">
        <v>368</v>
      </c>
      <c r="P42" s="43">
        <v>509</v>
      </c>
      <c r="Q42" s="43">
        <v>450</v>
      </c>
      <c r="R42" s="43">
        <v>310</v>
      </c>
      <c r="S42" s="43">
        <v>421</v>
      </c>
      <c r="T42" s="43">
        <v>232</v>
      </c>
      <c r="U42" s="43">
        <v>381</v>
      </c>
      <c r="V42" s="43">
        <v>356.1</v>
      </c>
      <c r="W42" s="43">
        <v>326.8</v>
      </c>
      <c r="X42" s="43">
        <v>196</v>
      </c>
      <c r="Y42" s="43">
        <v>415</v>
      </c>
      <c r="Z42" s="43">
        <v>339</v>
      </c>
      <c r="AA42" s="43">
        <v>285</v>
      </c>
      <c r="AB42" s="43">
        <v>220</v>
      </c>
      <c r="AC42" s="43">
        <v>400</v>
      </c>
      <c r="AD42" s="43">
        <v>332.5</v>
      </c>
      <c r="AE42" s="43">
        <v>402.5</v>
      </c>
      <c r="AF42" s="44">
        <v>12786</v>
      </c>
      <c r="AG42" s="44">
        <v>10119</v>
      </c>
      <c r="AH42" s="44">
        <v>16586</v>
      </c>
      <c r="AI42" s="44">
        <v>7422</v>
      </c>
      <c r="AJ42" s="44">
        <v>7844</v>
      </c>
      <c r="AK42" s="44">
        <v>9791</v>
      </c>
      <c r="AL42" s="44">
        <v>4234</v>
      </c>
      <c r="AM42" s="44">
        <v>1718</v>
      </c>
      <c r="AN42" s="44">
        <v>6635</v>
      </c>
      <c r="AO42" s="44">
        <v>2017</v>
      </c>
      <c r="AP42" s="44">
        <v>921</v>
      </c>
      <c r="AQ42" s="44">
        <v>1286</v>
      </c>
      <c r="AR42" s="44">
        <v>363</v>
      </c>
      <c r="AS42" s="44">
        <v>157</v>
      </c>
      <c r="AT42" s="44">
        <v>1297</v>
      </c>
      <c r="AU42" s="44">
        <v>11800</v>
      </c>
      <c r="AV42" s="44">
        <v>2643</v>
      </c>
      <c r="AW42" s="44">
        <v>9724</v>
      </c>
      <c r="AX42" s="44">
        <v>1298</v>
      </c>
      <c r="AY42" s="44">
        <v>3206</v>
      </c>
      <c r="AZ42" s="44">
        <v>3772</v>
      </c>
      <c r="BA42" s="44">
        <v>1770</v>
      </c>
      <c r="BB42" s="44">
        <v>229</v>
      </c>
      <c r="BC42" s="44">
        <v>2383</v>
      </c>
      <c r="BD42" s="44">
        <v>375</v>
      </c>
      <c r="BE42" s="44">
        <v>335</v>
      </c>
      <c r="BF42" s="44">
        <v>230</v>
      </c>
      <c r="BG42" s="44">
        <v>316</v>
      </c>
      <c r="BH42" s="44">
        <v>60</v>
      </c>
      <c r="BI42" s="44">
        <v>1043</v>
      </c>
    </row>
    <row r="43" spans="1:61" x14ac:dyDescent="0.2">
      <c r="A43" s="42">
        <v>40238</v>
      </c>
      <c r="B43" s="43">
        <v>583</v>
      </c>
      <c r="C43" s="43">
        <v>340</v>
      </c>
      <c r="D43" s="43">
        <v>468</v>
      </c>
      <c r="E43" s="43">
        <v>275</v>
      </c>
      <c r="F43" s="43">
        <v>460</v>
      </c>
      <c r="G43" s="43">
        <v>400</v>
      </c>
      <c r="H43" s="43">
        <v>402</v>
      </c>
      <c r="I43" s="43">
        <v>280</v>
      </c>
      <c r="J43" s="43">
        <v>518</v>
      </c>
      <c r="K43" s="43">
        <v>410</v>
      </c>
      <c r="L43" s="43">
        <v>350.5</v>
      </c>
      <c r="M43" s="43">
        <v>262</v>
      </c>
      <c r="N43" s="43">
        <v>529</v>
      </c>
      <c r="O43" s="43">
        <v>364</v>
      </c>
      <c r="P43" s="43">
        <v>530</v>
      </c>
      <c r="Q43" s="43">
        <v>450</v>
      </c>
      <c r="R43" s="43">
        <v>306</v>
      </c>
      <c r="S43" s="43">
        <v>424</v>
      </c>
      <c r="T43" s="43">
        <v>235</v>
      </c>
      <c r="U43" s="43">
        <v>385</v>
      </c>
      <c r="V43" s="43">
        <v>360</v>
      </c>
      <c r="W43" s="43">
        <v>333</v>
      </c>
      <c r="X43" s="43">
        <v>199.5</v>
      </c>
      <c r="Y43" s="43">
        <v>420</v>
      </c>
      <c r="Z43" s="43">
        <v>347.5</v>
      </c>
      <c r="AA43" s="43">
        <v>278.5</v>
      </c>
      <c r="AB43" s="43">
        <v>226.5</v>
      </c>
      <c r="AC43" s="43">
        <v>430.2</v>
      </c>
      <c r="AD43" s="43">
        <v>335</v>
      </c>
      <c r="AE43" s="43">
        <v>410</v>
      </c>
      <c r="AF43" s="44">
        <v>11091</v>
      </c>
      <c r="AG43" s="44">
        <v>8729</v>
      </c>
      <c r="AH43" s="44">
        <v>14148</v>
      </c>
      <c r="AI43" s="44">
        <v>7161</v>
      </c>
      <c r="AJ43" s="44">
        <v>7640</v>
      </c>
      <c r="AK43" s="44">
        <v>9304</v>
      </c>
      <c r="AL43" s="44">
        <v>3993</v>
      </c>
      <c r="AM43" s="44">
        <v>1681</v>
      </c>
      <c r="AN43" s="44">
        <v>6401</v>
      </c>
      <c r="AO43" s="44">
        <v>2010</v>
      </c>
      <c r="AP43" s="44">
        <v>976</v>
      </c>
      <c r="AQ43" s="44">
        <v>1333</v>
      </c>
      <c r="AR43" s="44">
        <v>339</v>
      </c>
      <c r="AS43" s="44">
        <v>86</v>
      </c>
      <c r="AT43" s="44">
        <v>971</v>
      </c>
      <c r="AU43" s="44">
        <v>9925</v>
      </c>
      <c r="AV43" s="44">
        <v>2093</v>
      </c>
      <c r="AW43" s="44">
        <v>9015</v>
      </c>
      <c r="AX43" s="44">
        <v>1271</v>
      </c>
      <c r="AY43" s="44">
        <v>2960</v>
      </c>
      <c r="AZ43" s="44">
        <v>3793</v>
      </c>
      <c r="BA43" s="44">
        <v>1605</v>
      </c>
      <c r="BB43" s="44">
        <v>191</v>
      </c>
      <c r="BC43" s="44">
        <v>2496</v>
      </c>
      <c r="BD43" s="44">
        <v>328</v>
      </c>
      <c r="BE43" s="44">
        <v>296</v>
      </c>
      <c r="BF43" s="44">
        <v>211</v>
      </c>
      <c r="BG43" s="44">
        <v>285</v>
      </c>
      <c r="BH43" s="44">
        <v>23</v>
      </c>
      <c r="BI43" s="44">
        <v>878</v>
      </c>
    </row>
    <row r="44" spans="1:61" x14ac:dyDescent="0.2">
      <c r="A44" s="42">
        <v>40330</v>
      </c>
      <c r="B44" s="43">
        <v>612.5</v>
      </c>
      <c r="C44" s="43">
        <v>340</v>
      </c>
      <c r="D44" s="43">
        <v>500</v>
      </c>
      <c r="E44" s="43">
        <v>278.2</v>
      </c>
      <c r="F44" s="43">
        <v>465</v>
      </c>
      <c r="G44" s="43">
        <v>395</v>
      </c>
      <c r="H44" s="43">
        <v>410</v>
      </c>
      <c r="I44" s="43">
        <v>278</v>
      </c>
      <c r="J44" s="43">
        <v>510</v>
      </c>
      <c r="K44" s="43">
        <v>385</v>
      </c>
      <c r="L44" s="43">
        <v>343.8</v>
      </c>
      <c r="M44" s="43">
        <v>257</v>
      </c>
      <c r="N44" s="43">
        <v>530</v>
      </c>
      <c r="O44" s="43">
        <v>395</v>
      </c>
      <c r="P44" s="43">
        <v>516.20000000000005</v>
      </c>
      <c r="Q44" s="43">
        <v>480</v>
      </c>
      <c r="R44" s="43">
        <v>305</v>
      </c>
      <c r="S44" s="43">
        <v>450</v>
      </c>
      <c r="T44" s="43">
        <v>229.8</v>
      </c>
      <c r="U44" s="43">
        <v>392.5</v>
      </c>
      <c r="V44" s="43">
        <v>355</v>
      </c>
      <c r="W44" s="43">
        <v>337.5</v>
      </c>
      <c r="X44" s="43">
        <v>172.5</v>
      </c>
      <c r="Y44" s="43">
        <v>417</v>
      </c>
      <c r="Z44" s="43">
        <v>348.5</v>
      </c>
      <c r="AA44" s="43">
        <v>280</v>
      </c>
      <c r="AB44" s="43">
        <v>235</v>
      </c>
      <c r="AC44" s="43">
        <v>430</v>
      </c>
      <c r="AD44" s="43">
        <v>320</v>
      </c>
      <c r="AE44" s="43">
        <v>413.5</v>
      </c>
      <c r="AF44" s="44">
        <v>12610</v>
      </c>
      <c r="AG44" s="44">
        <v>9551</v>
      </c>
      <c r="AH44" s="44">
        <v>15641</v>
      </c>
      <c r="AI44" s="44">
        <v>7249</v>
      </c>
      <c r="AJ44" s="44">
        <v>6869</v>
      </c>
      <c r="AK44" s="44">
        <v>8203</v>
      </c>
      <c r="AL44" s="44">
        <v>4197</v>
      </c>
      <c r="AM44" s="44">
        <v>1461</v>
      </c>
      <c r="AN44" s="44">
        <v>5064</v>
      </c>
      <c r="AO44" s="44">
        <v>1468</v>
      </c>
      <c r="AP44" s="44">
        <v>841</v>
      </c>
      <c r="AQ44" s="44">
        <v>1214</v>
      </c>
      <c r="AR44" s="44">
        <v>310</v>
      </c>
      <c r="AS44" s="44">
        <v>122</v>
      </c>
      <c r="AT44" s="44">
        <v>1234</v>
      </c>
      <c r="AU44" s="44">
        <v>12183</v>
      </c>
      <c r="AV44" s="44">
        <v>2379</v>
      </c>
      <c r="AW44" s="44">
        <v>9884</v>
      </c>
      <c r="AX44" s="44">
        <v>1206</v>
      </c>
      <c r="AY44" s="44">
        <v>2823</v>
      </c>
      <c r="AZ44" s="44">
        <v>3224</v>
      </c>
      <c r="BA44" s="44">
        <v>1665</v>
      </c>
      <c r="BB44" s="44">
        <v>150</v>
      </c>
      <c r="BC44" s="44">
        <v>1815</v>
      </c>
      <c r="BD44" s="44">
        <v>196</v>
      </c>
      <c r="BE44" s="44">
        <v>279</v>
      </c>
      <c r="BF44" s="44">
        <v>180</v>
      </c>
      <c r="BG44" s="44">
        <v>296</v>
      </c>
      <c r="BH44" s="44">
        <v>71</v>
      </c>
      <c r="BI44" s="44">
        <v>1509</v>
      </c>
    </row>
    <row r="45" spans="1:61" x14ac:dyDescent="0.2">
      <c r="A45" s="42">
        <v>40422</v>
      </c>
      <c r="B45" s="43">
        <v>598</v>
      </c>
      <c r="C45" s="43">
        <v>340</v>
      </c>
      <c r="D45" s="43">
        <v>488.3</v>
      </c>
      <c r="E45" s="43">
        <v>280</v>
      </c>
      <c r="F45" s="43">
        <v>460</v>
      </c>
      <c r="G45" s="43">
        <v>388</v>
      </c>
      <c r="H45" s="43">
        <v>400</v>
      </c>
      <c r="I45" s="43">
        <v>275</v>
      </c>
      <c r="J45" s="43">
        <v>500</v>
      </c>
      <c r="K45" s="43">
        <v>380</v>
      </c>
      <c r="L45" s="43">
        <v>340</v>
      </c>
      <c r="M45" s="43">
        <v>260</v>
      </c>
      <c r="N45" s="43">
        <v>535</v>
      </c>
      <c r="O45" s="43">
        <v>421.5</v>
      </c>
      <c r="P45" s="43">
        <v>530</v>
      </c>
      <c r="Q45" s="43">
        <v>477</v>
      </c>
      <c r="R45" s="43">
        <v>300</v>
      </c>
      <c r="S45" s="43">
        <v>445</v>
      </c>
      <c r="T45" s="43">
        <v>235</v>
      </c>
      <c r="U45" s="43">
        <v>383.8</v>
      </c>
      <c r="V45" s="43">
        <v>347.5</v>
      </c>
      <c r="W45" s="43">
        <v>330.5</v>
      </c>
      <c r="X45" s="43">
        <v>200</v>
      </c>
      <c r="Y45" s="43">
        <v>410</v>
      </c>
      <c r="Z45" s="43">
        <v>329</v>
      </c>
      <c r="AA45" s="43">
        <v>287.5</v>
      </c>
      <c r="AB45" s="43">
        <v>235</v>
      </c>
      <c r="AC45" s="43">
        <v>400</v>
      </c>
      <c r="AD45" s="43">
        <v>307.3</v>
      </c>
      <c r="AE45" s="43">
        <v>425</v>
      </c>
      <c r="AF45" s="44">
        <v>11334</v>
      </c>
      <c r="AG45" s="44">
        <v>9204</v>
      </c>
      <c r="AH45" s="44">
        <v>13632</v>
      </c>
      <c r="AI45" s="44">
        <v>6607</v>
      </c>
      <c r="AJ45" s="44">
        <v>6930</v>
      </c>
      <c r="AK45" s="44">
        <v>8490</v>
      </c>
      <c r="AL45" s="44">
        <v>4128</v>
      </c>
      <c r="AM45" s="44">
        <v>1513</v>
      </c>
      <c r="AN45" s="44">
        <v>5131</v>
      </c>
      <c r="AO45" s="44">
        <v>1561</v>
      </c>
      <c r="AP45" s="44">
        <v>840</v>
      </c>
      <c r="AQ45" s="44">
        <v>1176</v>
      </c>
      <c r="AR45" s="44">
        <v>278</v>
      </c>
      <c r="AS45" s="44">
        <v>159</v>
      </c>
      <c r="AT45" s="44">
        <v>1042</v>
      </c>
      <c r="AU45" s="44">
        <v>11407</v>
      </c>
      <c r="AV45" s="44">
        <v>2169</v>
      </c>
      <c r="AW45" s="44">
        <v>9544</v>
      </c>
      <c r="AX45" s="44">
        <v>1164</v>
      </c>
      <c r="AY45" s="44">
        <v>2618</v>
      </c>
      <c r="AZ45" s="44">
        <v>2951</v>
      </c>
      <c r="BA45" s="44">
        <v>1615</v>
      </c>
      <c r="BB45" s="44">
        <v>190</v>
      </c>
      <c r="BC45" s="44">
        <v>1810</v>
      </c>
      <c r="BD45" s="44">
        <v>207</v>
      </c>
      <c r="BE45" s="44">
        <v>276</v>
      </c>
      <c r="BF45" s="44">
        <v>241</v>
      </c>
      <c r="BG45" s="44">
        <v>276</v>
      </c>
      <c r="BH45" s="44">
        <v>64</v>
      </c>
      <c r="BI45" s="44">
        <v>955</v>
      </c>
    </row>
    <row r="46" spans="1:61" x14ac:dyDescent="0.2">
      <c r="A46" s="42">
        <v>40513</v>
      </c>
      <c r="B46" s="43">
        <v>620</v>
      </c>
      <c r="C46" s="43">
        <v>340</v>
      </c>
      <c r="D46" s="43">
        <v>520</v>
      </c>
      <c r="E46" s="43">
        <v>292.5</v>
      </c>
      <c r="F46" s="43">
        <v>460</v>
      </c>
      <c r="G46" s="43">
        <v>387.5</v>
      </c>
      <c r="H46" s="43">
        <v>410</v>
      </c>
      <c r="I46" s="43">
        <v>277.3</v>
      </c>
      <c r="J46" s="43">
        <v>500</v>
      </c>
      <c r="K46" s="43">
        <v>385</v>
      </c>
      <c r="L46" s="43">
        <v>345</v>
      </c>
      <c r="M46" s="43">
        <v>260</v>
      </c>
      <c r="N46" s="43">
        <v>545</v>
      </c>
      <c r="O46" s="43">
        <v>435</v>
      </c>
      <c r="P46" s="43">
        <v>534.5</v>
      </c>
      <c r="Q46" s="43">
        <v>487.6</v>
      </c>
      <c r="R46" s="43">
        <v>305</v>
      </c>
      <c r="S46" s="43">
        <v>460</v>
      </c>
      <c r="T46" s="43">
        <v>255</v>
      </c>
      <c r="U46" s="43">
        <v>385</v>
      </c>
      <c r="V46" s="43">
        <v>347.5</v>
      </c>
      <c r="W46" s="43">
        <v>335</v>
      </c>
      <c r="X46" s="43">
        <v>185</v>
      </c>
      <c r="Y46" s="43">
        <v>410</v>
      </c>
      <c r="Z46" s="43">
        <v>335</v>
      </c>
      <c r="AA46" s="43">
        <v>288</v>
      </c>
      <c r="AB46" s="43">
        <v>230</v>
      </c>
      <c r="AC46" s="43">
        <v>420.5</v>
      </c>
      <c r="AD46" s="43">
        <v>350</v>
      </c>
      <c r="AE46" s="43">
        <v>424.9</v>
      </c>
      <c r="AF46" s="44">
        <v>11704</v>
      </c>
      <c r="AG46" s="44">
        <v>9206</v>
      </c>
      <c r="AH46" s="44">
        <v>13141</v>
      </c>
      <c r="AI46" s="44">
        <v>5922</v>
      </c>
      <c r="AJ46" s="44">
        <v>6385</v>
      </c>
      <c r="AK46" s="44">
        <v>8115</v>
      </c>
      <c r="AL46" s="44">
        <v>4009</v>
      </c>
      <c r="AM46" s="44">
        <v>1410</v>
      </c>
      <c r="AN46" s="44">
        <v>4959</v>
      </c>
      <c r="AO46" s="44">
        <v>1585</v>
      </c>
      <c r="AP46" s="44">
        <v>837</v>
      </c>
      <c r="AQ46" s="44">
        <v>1184</v>
      </c>
      <c r="AR46" s="44">
        <v>277</v>
      </c>
      <c r="AS46" s="44">
        <v>139</v>
      </c>
      <c r="AT46" s="44">
        <v>1324</v>
      </c>
      <c r="AU46" s="44">
        <v>10797</v>
      </c>
      <c r="AV46" s="44">
        <v>2162</v>
      </c>
      <c r="AW46" s="44">
        <v>7410</v>
      </c>
      <c r="AX46" s="44">
        <v>876</v>
      </c>
      <c r="AY46" s="44">
        <v>2348</v>
      </c>
      <c r="AZ46" s="44">
        <v>2787</v>
      </c>
      <c r="BA46" s="44">
        <v>1554</v>
      </c>
      <c r="BB46" s="44">
        <v>161</v>
      </c>
      <c r="BC46" s="44">
        <v>1856</v>
      </c>
      <c r="BD46" s="44">
        <v>193</v>
      </c>
      <c r="BE46" s="44">
        <v>315</v>
      </c>
      <c r="BF46" s="44">
        <v>177</v>
      </c>
      <c r="BG46" s="44">
        <v>221</v>
      </c>
      <c r="BH46" s="44">
        <v>64</v>
      </c>
      <c r="BI46" s="44">
        <v>1108</v>
      </c>
    </row>
    <row r="47" spans="1:61" x14ac:dyDescent="0.2">
      <c r="A47" s="42">
        <v>40603</v>
      </c>
      <c r="B47" s="43">
        <v>575</v>
      </c>
      <c r="C47" s="43">
        <v>345</v>
      </c>
      <c r="D47" s="43">
        <v>485</v>
      </c>
      <c r="E47" s="43">
        <v>293</v>
      </c>
      <c r="F47" s="43">
        <v>450</v>
      </c>
      <c r="G47" s="43">
        <v>392.8</v>
      </c>
      <c r="H47" s="43">
        <v>400</v>
      </c>
      <c r="I47" s="43">
        <v>270</v>
      </c>
      <c r="J47" s="43">
        <v>500</v>
      </c>
      <c r="K47" s="43">
        <v>385.3</v>
      </c>
      <c r="L47" s="43">
        <v>338</v>
      </c>
      <c r="M47" s="43">
        <v>263.89999999999998</v>
      </c>
      <c r="N47" s="43">
        <v>510</v>
      </c>
      <c r="O47" s="43">
        <v>430</v>
      </c>
      <c r="P47" s="43">
        <v>530</v>
      </c>
      <c r="Q47" s="43">
        <v>479</v>
      </c>
      <c r="R47" s="43">
        <v>299</v>
      </c>
      <c r="S47" s="43">
        <v>445</v>
      </c>
      <c r="T47" s="43">
        <v>250</v>
      </c>
      <c r="U47" s="43">
        <v>379</v>
      </c>
      <c r="V47" s="43">
        <v>340</v>
      </c>
      <c r="W47" s="43">
        <v>339</v>
      </c>
      <c r="X47" s="43">
        <v>210</v>
      </c>
      <c r="Y47" s="43">
        <v>405</v>
      </c>
      <c r="Z47" s="43">
        <v>310</v>
      </c>
      <c r="AA47" s="43">
        <v>291.5</v>
      </c>
      <c r="AB47" s="43">
        <v>235</v>
      </c>
      <c r="AC47" s="43">
        <v>415</v>
      </c>
      <c r="AD47" s="43">
        <v>335</v>
      </c>
      <c r="AE47" s="43">
        <v>415</v>
      </c>
      <c r="AF47" s="44">
        <v>9917</v>
      </c>
      <c r="AG47" s="44">
        <v>8195</v>
      </c>
      <c r="AH47" s="44">
        <v>10767</v>
      </c>
      <c r="AI47" s="44">
        <v>5715</v>
      </c>
      <c r="AJ47" s="44">
        <v>5874</v>
      </c>
      <c r="AK47" s="44">
        <v>7438</v>
      </c>
      <c r="AL47" s="44">
        <v>3719</v>
      </c>
      <c r="AM47" s="44">
        <v>1437</v>
      </c>
      <c r="AN47" s="44">
        <v>5661</v>
      </c>
      <c r="AO47" s="44">
        <v>1670</v>
      </c>
      <c r="AP47" s="44">
        <v>849</v>
      </c>
      <c r="AQ47" s="44">
        <v>1236</v>
      </c>
      <c r="AR47" s="44">
        <v>270</v>
      </c>
      <c r="AS47" s="44">
        <v>123</v>
      </c>
      <c r="AT47" s="44">
        <v>1001</v>
      </c>
      <c r="AU47" s="44">
        <v>9188</v>
      </c>
      <c r="AV47" s="44">
        <v>1847</v>
      </c>
      <c r="AW47" s="44">
        <v>5680</v>
      </c>
      <c r="AX47" s="44">
        <v>764</v>
      </c>
      <c r="AY47" s="44">
        <v>2039</v>
      </c>
      <c r="AZ47" s="44">
        <v>2556</v>
      </c>
      <c r="BA47" s="44">
        <v>1519</v>
      </c>
      <c r="BB47" s="44">
        <v>154</v>
      </c>
      <c r="BC47" s="44">
        <v>1968</v>
      </c>
      <c r="BD47" s="44">
        <v>200</v>
      </c>
      <c r="BE47" s="44">
        <v>294</v>
      </c>
      <c r="BF47" s="44">
        <v>191</v>
      </c>
      <c r="BG47" s="44">
        <v>191</v>
      </c>
      <c r="BH47" s="44">
        <v>51</v>
      </c>
      <c r="BI47" s="44">
        <v>1103</v>
      </c>
    </row>
    <row r="48" spans="1:61" x14ac:dyDescent="0.2">
      <c r="A48" s="42">
        <v>40695</v>
      </c>
      <c r="B48" s="43">
        <v>592</v>
      </c>
      <c r="C48" s="43">
        <v>342</v>
      </c>
      <c r="D48" s="43">
        <v>502.5</v>
      </c>
      <c r="E48" s="43">
        <v>295</v>
      </c>
      <c r="F48" s="43">
        <v>442</v>
      </c>
      <c r="G48" s="43">
        <v>383</v>
      </c>
      <c r="H48" s="43">
        <v>395</v>
      </c>
      <c r="I48" s="43">
        <v>275</v>
      </c>
      <c r="J48" s="43">
        <v>485</v>
      </c>
      <c r="K48" s="43">
        <v>380</v>
      </c>
      <c r="L48" s="43">
        <v>330</v>
      </c>
      <c r="M48" s="43">
        <v>250</v>
      </c>
      <c r="N48" s="43">
        <v>500</v>
      </c>
      <c r="O48" s="43">
        <v>400</v>
      </c>
      <c r="P48" s="43">
        <v>533</v>
      </c>
      <c r="Q48" s="43">
        <v>485</v>
      </c>
      <c r="R48" s="43">
        <v>297.3</v>
      </c>
      <c r="S48" s="43">
        <v>450</v>
      </c>
      <c r="T48" s="43">
        <v>248.3</v>
      </c>
      <c r="U48" s="43">
        <v>382.5</v>
      </c>
      <c r="V48" s="43">
        <v>335</v>
      </c>
      <c r="W48" s="43">
        <v>328.5</v>
      </c>
      <c r="X48" s="43">
        <v>176.5</v>
      </c>
      <c r="Y48" s="43">
        <v>405</v>
      </c>
      <c r="Z48" s="43">
        <v>335</v>
      </c>
      <c r="AA48" s="43">
        <v>294</v>
      </c>
      <c r="AB48" s="43">
        <v>232.5</v>
      </c>
      <c r="AC48" s="43">
        <v>415</v>
      </c>
      <c r="AD48" s="43">
        <v>315</v>
      </c>
      <c r="AE48" s="43">
        <v>415</v>
      </c>
      <c r="AF48" s="44">
        <v>11165</v>
      </c>
      <c r="AG48" s="44">
        <v>8791</v>
      </c>
      <c r="AH48" s="44">
        <v>12686</v>
      </c>
      <c r="AI48" s="44">
        <v>6235</v>
      </c>
      <c r="AJ48" s="44">
        <v>5954</v>
      </c>
      <c r="AK48" s="44">
        <v>7524</v>
      </c>
      <c r="AL48" s="44">
        <v>3667</v>
      </c>
      <c r="AM48" s="44">
        <v>1329</v>
      </c>
      <c r="AN48" s="44">
        <v>5145</v>
      </c>
      <c r="AO48" s="44">
        <v>1695</v>
      </c>
      <c r="AP48" s="44">
        <v>708</v>
      </c>
      <c r="AQ48" s="44">
        <v>1062</v>
      </c>
      <c r="AR48" s="44">
        <v>315</v>
      </c>
      <c r="AS48" s="44">
        <v>130</v>
      </c>
      <c r="AT48" s="44">
        <v>1187</v>
      </c>
      <c r="AU48" s="44">
        <v>10384</v>
      </c>
      <c r="AV48" s="44">
        <v>1986</v>
      </c>
      <c r="AW48" s="44">
        <v>7118</v>
      </c>
      <c r="AX48" s="44">
        <v>846</v>
      </c>
      <c r="AY48" s="44">
        <v>2064</v>
      </c>
      <c r="AZ48" s="44">
        <v>2539</v>
      </c>
      <c r="BA48" s="44">
        <v>1522</v>
      </c>
      <c r="BB48" s="44">
        <v>162</v>
      </c>
      <c r="BC48" s="44">
        <v>1861</v>
      </c>
      <c r="BD48" s="44">
        <v>217</v>
      </c>
      <c r="BE48" s="44">
        <v>278</v>
      </c>
      <c r="BF48" s="44">
        <v>187</v>
      </c>
      <c r="BG48" s="44">
        <v>241</v>
      </c>
      <c r="BH48" s="44">
        <v>49</v>
      </c>
      <c r="BI48" s="44">
        <v>1146</v>
      </c>
    </row>
    <row r="49" spans="1:61" x14ac:dyDescent="0.2">
      <c r="A49" s="42">
        <v>40787</v>
      </c>
      <c r="B49" s="43">
        <v>567</v>
      </c>
      <c r="C49" s="43">
        <v>335</v>
      </c>
      <c r="D49" s="43">
        <v>487</v>
      </c>
      <c r="E49" s="43">
        <v>286.5</v>
      </c>
      <c r="F49" s="43">
        <v>433</v>
      </c>
      <c r="G49" s="43">
        <v>380</v>
      </c>
      <c r="H49" s="43">
        <v>390</v>
      </c>
      <c r="I49" s="43">
        <v>260</v>
      </c>
      <c r="J49" s="43">
        <v>470</v>
      </c>
      <c r="K49" s="43">
        <v>375</v>
      </c>
      <c r="L49" s="43">
        <v>335</v>
      </c>
      <c r="M49" s="43">
        <v>250</v>
      </c>
      <c r="N49" s="43">
        <v>497</v>
      </c>
      <c r="O49" s="43">
        <v>397</v>
      </c>
      <c r="P49" s="43">
        <v>490</v>
      </c>
      <c r="Q49" s="43">
        <v>480</v>
      </c>
      <c r="R49" s="43">
        <v>290</v>
      </c>
      <c r="S49" s="43">
        <v>437.5</v>
      </c>
      <c r="T49" s="43">
        <v>235</v>
      </c>
      <c r="U49" s="43">
        <v>370</v>
      </c>
      <c r="V49" s="43">
        <v>325.8</v>
      </c>
      <c r="W49" s="43">
        <v>320</v>
      </c>
      <c r="X49" s="43">
        <v>190</v>
      </c>
      <c r="Y49" s="43">
        <v>395</v>
      </c>
      <c r="Z49" s="43">
        <v>315</v>
      </c>
      <c r="AA49" s="43">
        <v>272.5</v>
      </c>
      <c r="AB49" s="43">
        <v>228.5</v>
      </c>
      <c r="AC49" s="43">
        <v>398</v>
      </c>
      <c r="AD49" s="43">
        <v>360.5</v>
      </c>
      <c r="AE49" s="43">
        <v>425</v>
      </c>
      <c r="AF49" s="44">
        <v>11397</v>
      </c>
      <c r="AG49" s="44">
        <v>8934</v>
      </c>
      <c r="AH49" s="44">
        <v>11960</v>
      </c>
      <c r="AI49" s="44">
        <v>5617</v>
      </c>
      <c r="AJ49" s="44">
        <v>6615</v>
      </c>
      <c r="AK49" s="44">
        <v>8598</v>
      </c>
      <c r="AL49" s="44">
        <v>3566</v>
      </c>
      <c r="AM49" s="44">
        <v>1317</v>
      </c>
      <c r="AN49" s="44">
        <v>5454</v>
      </c>
      <c r="AO49" s="44">
        <v>1661</v>
      </c>
      <c r="AP49" s="44">
        <v>680</v>
      </c>
      <c r="AQ49" s="44">
        <v>1025</v>
      </c>
      <c r="AR49" s="44">
        <v>335</v>
      </c>
      <c r="AS49" s="44">
        <v>123</v>
      </c>
      <c r="AT49" s="44">
        <v>1201</v>
      </c>
      <c r="AU49" s="44">
        <v>10565</v>
      </c>
      <c r="AV49" s="44">
        <v>1928</v>
      </c>
      <c r="AW49" s="44">
        <v>6375</v>
      </c>
      <c r="AX49" s="44">
        <v>805</v>
      </c>
      <c r="AY49" s="44">
        <v>2397</v>
      </c>
      <c r="AZ49" s="44">
        <v>2823</v>
      </c>
      <c r="BA49" s="44">
        <v>1371</v>
      </c>
      <c r="BB49" s="44">
        <v>153</v>
      </c>
      <c r="BC49" s="44">
        <v>1767</v>
      </c>
      <c r="BD49" s="44">
        <v>193</v>
      </c>
      <c r="BE49" s="44">
        <v>217</v>
      </c>
      <c r="BF49" s="44">
        <v>189</v>
      </c>
      <c r="BG49" s="44">
        <v>208</v>
      </c>
      <c r="BH49" s="44">
        <v>36</v>
      </c>
      <c r="BI49" s="44">
        <v>871</v>
      </c>
    </row>
    <row r="50" spans="1:61" x14ac:dyDescent="0.2">
      <c r="A50" s="42">
        <v>40878</v>
      </c>
      <c r="B50" s="43">
        <v>533</v>
      </c>
      <c r="C50" s="43">
        <v>330</v>
      </c>
      <c r="D50" s="43">
        <v>495</v>
      </c>
      <c r="E50" s="43">
        <v>290.5</v>
      </c>
      <c r="F50" s="43">
        <v>430</v>
      </c>
      <c r="G50" s="43">
        <v>380</v>
      </c>
      <c r="H50" s="43">
        <v>385</v>
      </c>
      <c r="I50" s="43">
        <v>270</v>
      </c>
      <c r="J50" s="43">
        <v>480</v>
      </c>
      <c r="K50" s="43">
        <v>372.5</v>
      </c>
      <c r="L50" s="43">
        <v>337.5</v>
      </c>
      <c r="M50" s="43">
        <v>250</v>
      </c>
      <c r="N50" s="43">
        <v>515</v>
      </c>
      <c r="O50" s="43">
        <v>410</v>
      </c>
      <c r="P50" s="43">
        <v>500</v>
      </c>
      <c r="Q50" s="43">
        <v>460</v>
      </c>
      <c r="R50" s="43">
        <v>297</v>
      </c>
      <c r="S50" s="43">
        <v>432.5</v>
      </c>
      <c r="T50" s="43">
        <v>245.3</v>
      </c>
      <c r="U50" s="43">
        <v>380</v>
      </c>
      <c r="V50" s="43">
        <v>327.10000000000002</v>
      </c>
      <c r="W50" s="43">
        <v>327.3</v>
      </c>
      <c r="X50" s="43">
        <v>176</v>
      </c>
      <c r="Y50" s="43">
        <v>400</v>
      </c>
      <c r="Z50" s="43">
        <v>328.3</v>
      </c>
      <c r="AA50" s="43">
        <v>275</v>
      </c>
      <c r="AB50" s="43">
        <v>240</v>
      </c>
      <c r="AC50" s="43">
        <v>399.5</v>
      </c>
      <c r="AD50" s="43">
        <v>336.5</v>
      </c>
      <c r="AE50" s="43">
        <v>415</v>
      </c>
      <c r="AF50" s="44">
        <v>13950</v>
      </c>
      <c r="AG50" s="44">
        <v>11050</v>
      </c>
      <c r="AH50" s="44">
        <v>12819</v>
      </c>
      <c r="AI50" s="44">
        <v>6335</v>
      </c>
      <c r="AJ50" s="44">
        <v>6447</v>
      </c>
      <c r="AK50" s="44">
        <v>8498</v>
      </c>
      <c r="AL50" s="44">
        <v>3566</v>
      </c>
      <c r="AM50" s="44">
        <v>1346</v>
      </c>
      <c r="AN50" s="44">
        <v>5784</v>
      </c>
      <c r="AO50" s="44">
        <v>1801</v>
      </c>
      <c r="AP50" s="44">
        <v>769</v>
      </c>
      <c r="AQ50" s="44">
        <v>959</v>
      </c>
      <c r="AR50" s="44">
        <v>425</v>
      </c>
      <c r="AS50" s="44">
        <v>122</v>
      </c>
      <c r="AT50" s="44">
        <v>1214</v>
      </c>
      <c r="AU50" s="44">
        <v>13108</v>
      </c>
      <c r="AV50" s="44">
        <v>2240</v>
      </c>
      <c r="AW50" s="44">
        <v>6840</v>
      </c>
      <c r="AX50" s="44">
        <v>834</v>
      </c>
      <c r="AY50" s="44">
        <v>2619</v>
      </c>
      <c r="AZ50" s="44">
        <v>2964</v>
      </c>
      <c r="BA50" s="44">
        <v>1276</v>
      </c>
      <c r="BB50" s="44">
        <v>170</v>
      </c>
      <c r="BC50" s="44">
        <v>1989</v>
      </c>
      <c r="BD50" s="44">
        <v>240</v>
      </c>
      <c r="BE50" s="44">
        <v>177</v>
      </c>
      <c r="BF50" s="44">
        <v>142</v>
      </c>
      <c r="BG50" s="44">
        <v>266</v>
      </c>
      <c r="BH50" s="44">
        <v>49</v>
      </c>
      <c r="BI50" s="44">
        <v>896</v>
      </c>
    </row>
    <row r="51" spans="1:61" x14ac:dyDescent="0.2">
      <c r="A51" s="42">
        <v>40969</v>
      </c>
      <c r="B51" s="43">
        <v>607.5</v>
      </c>
      <c r="C51" s="43">
        <v>345</v>
      </c>
      <c r="D51" s="43">
        <v>478</v>
      </c>
      <c r="E51" s="43">
        <v>297.5</v>
      </c>
      <c r="F51" s="43">
        <v>430</v>
      </c>
      <c r="G51" s="43">
        <v>380</v>
      </c>
      <c r="H51" s="43">
        <v>382</v>
      </c>
      <c r="I51" s="43">
        <v>270</v>
      </c>
      <c r="J51" s="43">
        <v>489.5</v>
      </c>
      <c r="K51" s="43">
        <v>385</v>
      </c>
      <c r="L51" s="43">
        <v>343</v>
      </c>
      <c r="M51" s="43">
        <v>250</v>
      </c>
      <c r="N51" s="43">
        <v>525</v>
      </c>
      <c r="O51" s="43">
        <v>395</v>
      </c>
      <c r="P51" s="43">
        <v>512.5</v>
      </c>
      <c r="Q51" s="43">
        <v>500</v>
      </c>
      <c r="R51" s="43">
        <v>298.5</v>
      </c>
      <c r="S51" s="43">
        <v>430</v>
      </c>
      <c r="T51" s="43">
        <v>245</v>
      </c>
      <c r="U51" s="43">
        <v>376</v>
      </c>
      <c r="V51" s="43">
        <v>330</v>
      </c>
      <c r="W51" s="43">
        <v>317</v>
      </c>
      <c r="X51" s="43">
        <v>180</v>
      </c>
      <c r="Y51" s="43">
        <v>406</v>
      </c>
      <c r="Z51" s="43">
        <v>325</v>
      </c>
      <c r="AA51" s="43">
        <v>268.8</v>
      </c>
      <c r="AB51" s="43">
        <v>228</v>
      </c>
      <c r="AC51" s="43">
        <v>420</v>
      </c>
      <c r="AD51" s="43">
        <v>310</v>
      </c>
      <c r="AE51" s="43">
        <v>415</v>
      </c>
      <c r="AF51" s="44">
        <v>9593</v>
      </c>
      <c r="AG51" s="44">
        <v>7811</v>
      </c>
      <c r="AH51" s="44">
        <v>11757</v>
      </c>
      <c r="AI51" s="44">
        <v>5919</v>
      </c>
      <c r="AJ51" s="44">
        <v>6811</v>
      </c>
      <c r="AK51" s="44">
        <v>9341</v>
      </c>
      <c r="AL51" s="44">
        <v>3681</v>
      </c>
      <c r="AM51" s="44">
        <v>1415</v>
      </c>
      <c r="AN51" s="44">
        <v>5995</v>
      </c>
      <c r="AO51" s="44">
        <v>1973</v>
      </c>
      <c r="AP51" s="44">
        <v>751</v>
      </c>
      <c r="AQ51" s="44">
        <v>1087</v>
      </c>
      <c r="AR51" s="44">
        <v>458</v>
      </c>
      <c r="AS51" s="44">
        <v>134</v>
      </c>
      <c r="AT51" s="44">
        <v>1099</v>
      </c>
      <c r="AU51" s="44">
        <v>7821</v>
      </c>
      <c r="AV51" s="44">
        <v>1878</v>
      </c>
      <c r="AW51" s="44">
        <v>5399</v>
      </c>
      <c r="AX51" s="44">
        <v>758</v>
      </c>
      <c r="AY51" s="44">
        <v>2858</v>
      </c>
      <c r="AZ51" s="44">
        <v>3103</v>
      </c>
      <c r="BA51" s="44">
        <v>1279</v>
      </c>
      <c r="BB51" s="44">
        <v>180</v>
      </c>
      <c r="BC51" s="44">
        <v>2143</v>
      </c>
      <c r="BD51" s="44">
        <v>203</v>
      </c>
      <c r="BE51" s="44">
        <v>242</v>
      </c>
      <c r="BF51" s="44">
        <v>155</v>
      </c>
      <c r="BG51" s="44">
        <v>323</v>
      </c>
      <c r="BH51" s="44">
        <v>52</v>
      </c>
      <c r="BI51" s="44">
        <v>816</v>
      </c>
    </row>
    <row r="52" spans="1:61" x14ac:dyDescent="0.2">
      <c r="A52" s="42">
        <v>41061</v>
      </c>
      <c r="B52" s="43">
        <v>600</v>
      </c>
      <c r="C52" s="43">
        <v>346</v>
      </c>
      <c r="D52" s="43">
        <v>485</v>
      </c>
      <c r="E52" s="43">
        <v>285</v>
      </c>
      <c r="F52" s="43">
        <v>435</v>
      </c>
      <c r="G52" s="43">
        <v>375</v>
      </c>
      <c r="H52" s="43">
        <v>385</v>
      </c>
      <c r="I52" s="43">
        <v>270</v>
      </c>
      <c r="J52" s="43">
        <v>499</v>
      </c>
      <c r="K52" s="43">
        <v>375</v>
      </c>
      <c r="L52" s="43">
        <v>327.5</v>
      </c>
      <c r="M52" s="43">
        <v>247</v>
      </c>
      <c r="N52" s="43">
        <v>543.5</v>
      </c>
      <c r="O52" s="43">
        <v>392.5</v>
      </c>
      <c r="P52" s="43">
        <v>482.5</v>
      </c>
      <c r="Q52" s="43">
        <v>510</v>
      </c>
      <c r="R52" s="43">
        <v>306.5</v>
      </c>
      <c r="S52" s="43">
        <v>430</v>
      </c>
      <c r="T52" s="43">
        <v>245</v>
      </c>
      <c r="U52" s="43">
        <v>381</v>
      </c>
      <c r="V52" s="43">
        <v>330</v>
      </c>
      <c r="W52" s="43">
        <v>315</v>
      </c>
      <c r="X52" s="43">
        <v>179</v>
      </c>
      <c r="Y52" s="43">
        <v>400</v>
      </c>
      <c r="Z52" s="43">
        <v>326.8</v>
      </c>
      <c r="AA52" s="43">
        <v>275</v>
      </c>
      <c r="AB52" s="43">
        <v>222.5</v>
      </c>
      <c r="AC52" s="43">
        <v>435</v>
      </c>
      <c r="AD52" s="43">
        <v>364.5</v>
      </c>
      <c r="AE52" s="43">
        <v>416.8</v>
      </c>
      <c r="AF52" s="44">
        <v>10923</v>
      </c>
      <c r="AG52" s="44">
        <v>8663</v>
      </c>
      <c r="AH52" s="44">
        <v>12839</v>
      </c>
      <c r="AI52" s="44">
        <v>6050</v>
      </c>
      <c r="AJ52" s="44">
        <v>6179</v>
      </c>
      <c r="AK52" s="44">
        <v>7755</v>
      </c>
      <c r="AL52" s="44">
        <v>3671</v>
      </c>
      <c r="AM52" s="44">
        <v>1283</v>
      </c>
      <c r="AN52" s="44">
        <v>5528</v>
      </c>
      <c r="AO52" s="44">
        <v>1652</v>
      </c>
      <c r="AP52" s="44">
        <v>682</v>
      </c>
      <c r="AQ52" s="44">
        <v>1010</v>
      </c>
      <c r="AR52" s="44">
        <v>388</v>
      </c>
      <c r="AS52" s="44">
        <v>112</v>
      </c>
      <c r="AT52" s="44">
        <v>1235</v>
      </c>
      <c r="AU52" s="44">
        <v>10331</v>
      </c>
      <c r="AV52" s="44">
        <v>1968</v>
      </c>
      <c r="AW52" s="44">
        <v>6314</v>
      </c>
      <c r="AX52" s="44">
        <v>768</v>
      </c>
      <c r="AY52" s="44">
        <v>2684</v>
      </c>
      <c r="AZ52" s="44">
        <v>2885</v>
      </c>
      <c r="BA52" s="44">
        <v>1254</v>
      </c>
      <c r="BB52" s="44">
        <v>165</v>
      </c>
      <c r="BC52" s="44">
        <v>1968</v>
      </c>
      <c r="BD52" s="44">
        <v>172</v>
      </c>
      <c r="BE52" s="44">
        <v>211</v>
      </c>
      <c r="BF52" s="44">
        <v>134</v>
      </c>
      <c r="BG52" s="44">
        <v>327</v>
      </c>
      <c r="BH52" s="44">
        <v>52</v>
      </c>
      <c r="BI52" s="44">
        <v>854</v>
      </c>
    </row>
    <row r="53" spans="1:61" x14ac:dyDescent="0.2">
      <c r="A53" s="42">
        <v>41153</v>
      </c>
      <c r="B53" s="43">
        <v>585</v>
      </c>
      <c r="C53" s="43">
        <v>335</v>
      </c>
      <c r="D53" s="43">
        <v>480</v>
      </c>
      <c r="E53" s="43">
        <v>290</v>
      </c>
      <c r="F53" s="43">
        <v>435</v>
      </c>
      <c r="G53" s="43">
        <v>380</v>
      </c>
      <c r="H53" s="43">
        <v>386</v>
      </c>
      <c r="I53" s="43">
        <v>265</v>
      </c>
      <c r="J53" s="43">
        <v>495</v>
      </c>
      <c r="K53" s="43">
        <v>380</v>
      </c>
      <c r="L53" s="43">
        <v>315</v>
      </c>
      <c r="M53" s="43">
        <v>249</v>
      </c>
      <c r="N53" s="43">
        <v>540</v>
      </c>
      <c r="O53" s="43">
        <v>385.5</v>
      </c>
      <c r="P53" s="43">
        <v>490</v>
      </c>
      <c r="Q53" s="43">
        <v>487</v>
      </c>
      <c r="R53" s="43">
        <v>290</v>
      </c>
      <c r="S53" s="43">
        <v>425</v>
      </c>
      <c r="T53" s="43">
        <v>235</v>
      </c>
      <c r="U53" s="43">
        <v>387.5</v>
      </c>
      <c r="V53" s="43">
        <v>315</v>
      </c>
      <c r="W53" s="43">
        <v>325</v>
      </c>
      <c r="X53" s="43">
        <v>156</v>
      </c>
      <c r="Y53" s="43">
        <v>400</v>
      </c>
      <c r="Z53" s="43">
        <v>322.5</v>
      </c>
      <c r="AA53" s="43">
        <v>275</v>
      </c>
      <c r="AB53" s="43">
        <v>225</v>
      </c>
      <c r="AC53" s="43">
        <v>410</v>
      </c>
      <c r="AD53" s="43">
        <v>315</v>
      </c>
      <c r="AE53" s="43">
        <v>411</v>
      </c>
      <c r="AF53" s="44">
        <v>11449</v>
      </c>
      <c r="AG53" s="44">
        <v>9665</v>
      </c>
      <c r="AH53" s="44">
        <v>12194</v>
      </c>
      <c r="AI53" s="44">
        <v>5676</v>
      </c>
      <c r="AJ53" s="44">
        <v>7809</v>
      </c>
      <c r="AK53" s="44">
        <v>9941</v>
      </c>
      <c r="AL53" s="44">
        <v>3641</v>
      </c>
      <c r="AM53" s="44">
        <v>1249</v>
      </c>
      <c r="AN53" s="44">
        <v>6091</v>
      </c>
      <c r="AO53" s="44">
        <v>1816</v>
      </c>
      <c r="AP53" s="44">
        <v>674</v>
      </c>
      <c r="AQ53" s="44">
        <v>1055</v>
      </c>
      <c r="AR53" s="44">
        <v>432</v>
      </c>
      <c r="AS53" s="44">
        <v>142</v>
      </c>
      <c r="AT53" s="44">
        <v>1125</v>
      </c>
      <c r="AU53" s="44">
        <v>9633</v>
      </c>
      <c r="AV53" s="44">
        <v>2102</v>
      </c>
      <c r="AW53" s="44">
        <v>6167</v>
      </c>
      <c r="AX53" s="44">
        <v>702</v>
      </c>
      <c r="AY53" s="44">
        <v>3008</v>
      </c>
      <c r="AZ53" s="44">
        <v>3320</v>
      </c>
      <c r="BA53" s="44">
        <v>1306</v>
      </c>
      <c r="BB53" s="44">
        <v>150</v>
      </c>
      <c r="BC53" s="44">
        <v>2201</v>
      </c>
      <c r="BD53" s="44">
        <v>218</v>
      </c>
      <c r="BE53" s="44">
        <v>260</v>
      </c>
      <c r="BF53" s="44">
        <v>187</v>
      </c>
      <c r="BG53" s="44">
        <v>422</v>
      </c>
      <c r="BH53" s="44">
        <v>55</v>
      </c>
      <c r="BI53" s="44">
        <v>885</v>
      </c>
    </row>
    <row r="54" spans="1:61" x14ac:dyDescent="0.2">
      <c r="A54" s="42">
        <v>41244</v>
      </c>
      <c r="B54" s="43">
        <v>640</v>
      </c>
      <c r="C54" s="43">
        <v>360</v>
      </c>
      <c r="D54" s="43">
        <v>508</v>
      </c>
      <c r="E54" s="43">
        <v>291.5</v>
      </c>
      <c r="F54" s="43">
        <v>440</v>
      </c>
      <c r="G54" s="43">
        <v>380</v>
      </c>
      <c r="H54" s="43">
        <v>395</v>
      </c>
      <c r="I54" s="43">
        <v>250</v>
      </c>
      <c r="J54" s="43">
        <v>510</v>
      </c>
      <c r="K54" s="43">
        <v>370</v>
      </c>
      <c r="L54" s="43">
        <v>331.3</v>
      </c>
      <c r="M54" s="43">
        <v>252.3</v>
      </c>
      <c r="N54" s="43">
        <v>561</v>
      </c>
      <c r="O54" s="43">
        <v>428</v>
      </c>
      <c r="P54" s="43">
        <v>519</v>
      </c>
      <c r="Q54" s="43">
        <v>525</v>
      </c>
      <c r="R54" s="43">
        <v>308.5</v>
      </c>
      <c r="S54" s="43">
        <v>440</v>
      </c>
      <c r="T54" s="43">
        <v>240</v>
      </c>
      <c r="U54" s="43">
        <v>385</v>
      </c>
      <c r="V54" s="43">
        <v>322.3</v>
      </c>
      <c r="W54" s="43">
        <v>325</v>
      </c>
      <c r="X54" s="43">
        <v>170</v>
      </c>
      <c r="Y54" s="43">
        <v>410</v>
      </c>
      <c r="Z54" s="43">
        <v>310</v>
      </c>
      <c r="AA54" s="43">
        <v>294</v>
      </c>
      <c r="AB54" s="43">
        <v>220</v>
      </c>
      <c r="AC54" s="43">
        <v>410.5</v>
      </c>
      <c r="AD54" s="43">
        <v>300</v>
      </c>
      <c r="AE54" s="43">
        <v>415.5</v>
      </c>
      <c r="AF54" s="44">
        <v>12333</v>
      </c>
      <c r="AG54" s="44">
        <v>8885</v>
      </c>
      <c r="AH54" s="44">
        <v>14223</v>
      </c>
      <c r="AI54" s="44">
        <v>6231</v>
      </c>
      <c r="AJ54" s="44">
        <v>7515</v>
      </c>
      <c r="AK54" s="44">
        <v>8806</v>
      </c>
      <c r="AL54" s="44">
        <v>3874</v>
      </c>
      <c r="AM54" s="44">
        <v>1345</v>
      </c>
      <c r="AN54" s="44">
        <v>6471</v>
      </c>
      <c r="AO54" s="44">
        <v>1515</v>
      </c>
      <c r="AP54" s="44">
        <v>790</v>
      </c>
      <c r="AQ54" s="44">
        <v>1086</v>
      </c>
      <c r="AR54" s="44">
        <v>424</v>
      </c>
      <c r="AS54" s="44">
        <v>167</v>
      </c>
      <c r="AT54" s="44">
        <v>1243</v>
      </c>
      <c r="AU54" s="44">
        <v>10716</v>
      </c>
      <c r="AV54" s="44">
        <v>2064</v>
      </c>
      <c r="AW54" s="44">
        <v>6785</v>
      </c>
      <c r="AX54" s="44">
        <v>787</v>
      </c>
      <c r="AY54" s="44">
        <v>2897</v>
      </c>
      <c r="AZ54" s="44">
        <v>3244</v>
      </c>
      <c r="BA54" s="44">
        <v>1400</v>
      </c>
      <c r="BB54" s="44">
        <v>147</v>
      </c>
      <c r="BC54" s="44">
        <v>2173</v>
      </c>
      <c r="BD54" s="44">
        <v>225</v>
      </c>
      <c r="BE54" s="44">
        <v>206</v>
      </c>
      <c r="BF54" s="44">
        <v>179</v>
      </c>
      <c r="BG54" s="44">
        <v>352</v>
      </c>
      <c r="BH54" s="44">
        <v>54</v>
      </c>
      <c r="BI54" s="44">
        <v>871</v>
      </c>
    </row>
    <row r="55" spans="1:61" x14ac:dyDescent="0.2">
      <c r="A55" s="42">
        <v>41334</v>
      </c>
      <c r="B55" s="43">
        <v>615</v>
      </c>
      <c r="C55" s="43">
        <v>357.5</v>
      </c>
      <c r="D55" s="43">
        <v>486</v>
      </c>
      <c r="E55" s="43">
        <v>298</v>
      </c>
      <c r="F55" s="43">
        <v>440</v>
      </c>
      <c r="G55" s="43">
        <v>390</v>
      </c>
      <c r="H55" s="43">
        <v>395</v>
      </c>
      <c r="I55" s="43">
        <v>247.5</v>
      </c>
      <c r="J55" s="43">
        <v>520</v>
      </c>
      <c r="K55" s="43">
        <v>380.5</v>
      </c>
      <c r="L55" s="43">
        <v>340</v>
      </c>
      <c r="M55" s="43">
        <v>250</v>
      </c>
      <c r="N55" s="43">
        <v>530</v>
      </c>
      <c r="O55" s="43">
        <v>415</v>
      </c>
      <c r="P55" s="43">
        <v>505</v>
      </c>
      <c r="Q55" s="43">
        <v>520</v>
      </c>
      <c r="R55" s="43">
        <v>300</v>
      </c>
      <c r="S55" s="43">
        <v>435</v>
      </c>
      <c r="T55" s="43">
        <v>235</v>
      </c>
      <c r="U55" s="43">
        <v>392</v>
      </c>
      <c r="V55" s="43">
        <v>327.8</v>
      </c>
      <c r="W55" s="43">
        <v>325</v>
      </c>
      <c r="X55" s="43">
        <v>185</v>
      </c>
      <c r="Y55" s="43">
        <v>430</v>
      </c>
      <c r="Z55" s="43">
        <v>315</v>
      </c>
      <c r="AA55" s="43">
        <v>276.8</v>
      </c>
      <c r="AB55" s="43">
        <v>227</v>
      </c>
      <c r="AC55" s="43">
        <v>445</v>
      </c>
      <c r="AD55" s="43">
        <v>331.3</v>
      </c>
      <c r="AE55" s="43">
        <v>410</v>
      </c>
      <c r="AF55" s="44">
        <v>10971</v>
      </c>
      <c r="AG55" s="44">
        <v>8665</v>
      </c>
      <c r="AH55" s="44">
        <v>12584</v>
      </c>
      <c r="AI55" s="44">
        <v>6050</v>
      </c>
      <c r="AJ55" s="44">
        <v>7588</v>
      </c>
      <c r="AK55" s="44">
        <v>8835</v>
      </c>
      <c r="AL55" s="44">
        <v>3851</v>
      </c>
      <c r="AM55" s="44">
        <v>1281</v>
      </c>
      <c r="AN55" s="44">
        <v>7931</v>
      </c>
      <c r="AO55" s="44">
        <v>1692</v>
      </c>
      <c r="AP55" s="44">
        <v>814</v>
      </c>
      <c r="AQ55" s="44">
        <v>1112</v>
      </c>
      <c r="AR55" s="44">
        <v>449</v>
      </c>
      <c r="AS55" s="44">
        <v>125</v>
      </c>
      <c r="AT55" s="44">
        <v>1123</v>
      </c>
      <c r="AU55" s="44">
        <v>10022</v>
      </c>
      <c r="AV55" s="44">
        <v>2088</v>
      </c>
      <c r="AW55" s="44">
        <v>5978</v>
      </c>
      <c r="AX55" s="44">
        <v>761</v>
      </c>
      <c r="AY55" s="44">
        <v>2888</v>
      </c>
      <c r="AZ55" s="44">
        <v>3408</v>
      </c>
      <c r="BA55" s="44">
        <v>1514</v>
      </c>
      <c r="BB55" s="44">
        <v>164</v>
      </c>
      <c r="BC55" s="44">
        <v>2537</v>
      </c>
      <c r="BD55" s="44">
        <v>279</v>
      </c>
      <c r="BE55" s="44">
        <v>272</v>
      </c>
      <c r="BF55" s="44">
        <v>191</v>
      </c>
      <c r="BG55" s="44">
        <v>346</v>
      </c>
      <c r="BH55" s="44">
        <v>56</v>
      </c>
      <c r="BI55" s="44">
        <v>760</v>
      </c>
    </row>
    <row r="56" spans="1:61" x14ac:dyDescent="0.2">
      <c r="A56" s="42">
        <v>41426</v>
      </c>
      <c r="B56" s="43">
        <v>650</v>
      </c>
      <c r="C56" s="43">
        <v>355</v>
      </c>
      <c r="D56" s="43">
        <v>500</v>
      </c>
      <c r="E56" s="43">
        <v>282.5</v>
      </c>
      <c r="F56" s="43">
        <v>445</v>
      </c>
      <c r="G56" s="43">
        <v>385.5</v>
      </c>
      <c r="H56" s="43">
        <v>395</v>
      </c>
      <c r="I56" s="43">
        <v>255</v>
      </c>
      <c r="J56" s="43">
        <v>529</v>
      </c>
      <c r="K56" s="43">
        <v>380</v>
      </c>
      <c r="L56" s="43">
        <v>330</v>
      </c>
      <c r="M56" s="43">
        <v>255</v>
      </c>
      <c r="N56" s="43">
        <v>540</v>
      </c>
      <c r="O56" s="43">
        <v>388</v>
      </c>
      <c r="P56" s="43">
        <v>510</v>
      </c>
      <c r="Q56" s="43">
        <v>530</v>
      </c>
      <c r="R56" s="43">
        <v>305</v>
      </c>
      <c r="S56" s="43">
        <v>442</v>
      </c>
      <c r="T56" s="43">
        <v>245</v>
      </c>
      <c r="U56" s="43">
        <v>395</v>
      </c>
      <c r="V56" s="43">
        <v>325</v>
      </c>
      <c r="W56" s="43">
        <v>330</v>
      </c>
      <c r="X56" s="43">
        <v>160.80000000000001</v>
      </c>
      <c r="Y56" s="43">
        <v>426</v>
      </c>
      <c r="Z56" s="43">
        <v>310</v>
      </c>
      <c r="AA56" s="43">
        <v>285</v>
      </c>
      <c r="AB56" s="43">
        <v>219</v>
      </c>
      <c r="AC56" s="43">
        <v>450</v>
      </c>
      <c r="AD56" s="43">
        <v>320</v>
      </c>
      <c r="AE56" s="43">
        <v>412.5</v>
      </c>
      <c r="AF56" s="44">
        <v>13403</v>
      </c>
      <c r="AG56" s="44">
        <v>9680</v>
      </c>
      <c r="AH56" s="44">
        <v>15568</v>
      </c>
      <c r="AI56" s="44">
        <v>6827</v>
      </c>
      <c r="AJ56" s="44">
        <v>8342</v>
      </c>
      <c r="AK56" s="44">
        <v>9303</v>
      </c>
      <c r="AL56" s="44">
        <v>4314</v>
      </c>
      <c r="AM56" s="44">
        <v>1329</v>
      </c>
      <c r="AN56" s="44">
        <v>7971</v>
      </c>
      <c r="AO56" s="44">
        <v>1656</v>
      </c>
      <c r="AP56" s="44">
        <v>817</v>
      </c>
      <c r="AQ56" s="44">
        <v>1145</v>
      </c>
      <c r="AR56" s="44">
        <v>436</v>
      </c>
      <c r="AS56" s="44">
        <v>146</v>
      </c>
      <c r="AT56" s="44">
        <v>1337</v>
      </c>
      <c r="AU56" s="44">
        <v>11976</v>
      </c>
      <c r="AV56" s="44">
        <v>2415</v>
      </c>
      <c r="AW56" s="44">
        <v>7411</v>
      </c>
      <c r="AX56" s="44">
        <v>763</v>
      </c>
      <c r="AY56" s="44">
        <v>3296</v>
      </c>
      <c r="AZ56" s="44">
        <v>3481</v>
      </c>
      <c r="BA56" s="44">
        <v>1533</v>
      </c>
      <c r="BB56" s="44">
        <v>138</v>
      </c>
      <c r="BC56" s="44">
        <v>2540</v>
      </c>
      <c r="BD56" s="44">
        <v>258</v>
      </c>
      <c r="BE56" s="44">
        <v>285</v>
      </c>
      <c r="BF56" s="44">
        <v>191</v>
      </c>
      <c r="BG56" s="44">
        <v>329</v>
      </c>
      <c r="BH56" s="44">
        <v>62</v>
      </c>
      <c r="BI56" s="44">
        <v>876</v>
      </c>
    </row>
    <row r="57" spans="1:61" x14ac:dyDescent="0.2">
      <c r="A57" s="42">
        <v>41518</v>
      </c>
      <c r="B57" s="43">
        <v>670</v>
      </c>
      <c r="C57" s="43">
        <v>350</v>
      </c>
      <c r="D57" s="43">
        <v>520</v>
      </c>
      <c r="E57" s="43">
        <v>298</v>
      </c>
      <c r="F57" s="43">
        <v>449</v>
      </c>
      <c r="G57" s="43">
        <v>386.3</v>
      </c>
      <c r="H57" s="43">
        <v>395</v>
      </c>
      <c r="I57" s="43">
        <v>253</v>
      </c>
      <c r="J57" s="43">
        <v>520</v>
      </c>
      <c r="K57" s="43">
        <v>375</v>
      </c>
      <c r="L57" s="43">
        <v>325</v>
      </c>
      <c r="M57" s="43">
        <v>249.5</v>
      </c>
      <c r="N57" s="43">
        <v>570</v>
      </c>
      <c r="O57" s="43">
        <v>389.9</v>
      </c>
      <c r="P57" s="43">
        <v>505</v>
      </c>
      <c r="Q57" s="43">
        <v>550</v>
      </c>
      <c r="R57" s="43">
        <v>315</v>
      </c>
      <c r="S57" s="43">
        <v>445</v>
      </c>
      <c r="T57" s="43">
        <v>234.9</v>
      </c>
      <c r="U57" s="43">
        <v>395</v>
      </c>
      <c r="V57" s="43">
        <v>327</v>
      </c>
      <c r="W57" s="43">
        <v>324</v>
      </c>
      <c r="X57" s="43">
        <v>180</v>
      </c>
      <c r="Y57" s="43">
        <v>430</v>
      </c>
      <c r="Z57" s="43">
        <v>314.5</v>
      </c>
      <c r="AA57" s="43">
        <v>266</v>
      </c>
      <c r="AB57" s="43">
        <v>216.5</v>
      </c>
      <c r="AC57" s="43">
        <v>459.8</v>
      </c>
      <c r="AD57" s="43">
        <v>305</v>
      </c>
      <c r="AE57" s="43">
        <v>415</v>
      </c>
      <c r="AF57" s="44">
        <v>13981</v>
      </c>
      <c r="AG57" s="44">
        <v>10071</v>
      </c>
      <c r="AH57" s="44">
        <v>14532</v>
      </c>
      <c r="AI57" s="44">
        <v>5958</v>
      </c>
      <c r="AJ57" s="44">
        <v>9131</v>
      </c>
      <c r="AK57" s="44">
        <v>9830</v>
      </c>
      <c r="AL57" s="44">
        <v>4194</v>
      </c>
      <c r="AM57" s="44">
        <v>1359</v>
      </c>
      <c r="AN57" s="44">
        <v>7945</v>
      </c>
      <c r="AO57" s="44">
        <v>1659</v>
      </c>
      <c r="AP57" s="44">
        <v>857</v>
      </c>
      <c r="AQ57" s="44">
        <v>1230</v>
      </c>
      <c r="AR57" s="44">
        <v>450</v>
      </c>
      <c r="AS57" s="44">
        <v>157</v>
      </c>
      <c r="AT57" s="44">
        <v>1290</v>
      </c>
      <c r="AU57" s="44">
        <v>13263</v>
      </c>
      <c r="AV57" s="44">
        <v>2496</v>
      </c>
      <c r="AW57" s="44">
        <v>6987</v>
      </c>
      <c r="AX57" s="44">
        <v>743</v>
      </c>
      <c r="AY57" s="44">
        <v>3583</v>
      </c>
      <c r="AZ57" s="44">
        <v>3816</v>
      </c>
      <c r="BA57" s="44">
        <v>1507</v>
      </c>
      <c r="BB57" s="44">
        <v>160</v>
      </c>
      <c r="BC57" s="44">
        <v>2579</v>
      </c>
      <c r="BD57" s="44">
        <v>256</v>
      </c>
      <c r="BE57" s="44">
        <v>270</v>
      </c>
      <c r="BF57" s="44">
        <v>214</v>
      </c>
      <c r="BG57" s="44">
        <v>358</v>
      </c>
      <c r="BH57" s="44">
        <v>47</v>
      </c>
      <c r="BI57" s="44">
        <v>895</v>
      </c>
    </row>
    <row r="58" spans="1:61" x14ac:dyDescent="0.2">
      <c r="A58" s="42">
        <v>41609</v>
      </c>
      <c r="B58" s="43">
        <v>745</v>
      </c>
      <c r="C58" s="43">
        <v>370</v>
      </c>
      <c r="D58" s="43">
        <v>561</v>
      </c>
      <c r="E58" s="43">
        <v>308</v>
      </c>
      <c r="F58" s="43">
        <v>465</v>
      </c>
      <c r="G58" s="43">
        <v>395</v>
      </c>
      <c r="H58" s="43">
        <v>412</v>
      </c>
      <c r="I58" s="43">
        <v>268.3</v>
      </c>
      <c r="J58" s="43">
        <v>552</v>
      </c>
      <c r="K58" s="43">
        <v>385</v>
      </c>
      <c r="L58" s="43">
        <v>350</v>
      </c>
      <c r="M58" s="43">
        <v>250</v>
      </c>
      <c r="N58" s="43">
        <v>579</v>
      </c>
      <c r="O58" s="43">
        <v>424</v>
      </c>
      <c r="P58" s="43">
        <v>503.3</v>
      </c>
      <c r="Q58" s="43">
        <v>565</v>
      </c>
      <c r="R58" s="43">
        <v>320</v>
      </c>
      <c r="S58" s="43">
        <v>467</v>
      </c>
      <c r="T58" s="43">
        <v>245</v>
      </c>
      <c r="U58" s="43">
        <v>400</v>
      </c>
      <c r="V58" s="43">
        <v>331</v>
      </c>
      <c r="W58" s="43">
        <v>330</v>
      </c>
      <c r="X58" s="43">
        <v>196</v>
      </c>
      <c r="Y58" s="43">
        <v>450</v>
      </c>
      <c r="Z58" s="43">
        <v>320</v>
      </c>
      <c r="AA58" s="43">
        <v>295</v>
      </c>
      <c r="AB58" s="43">
        <v>220</v>
      </c>
      <c r="AC58" s="43">
        <v>481</v>
      </c>
      <c r="AD58" s="43">
        <v>370</v>
      </c>
      <c r="AE58" s="43">
        <v>420.5</v>
      </c>
      <c r="AF58" s="44">
        <v>15556</v>
      </c>
      <c r="AG58" s="44">
        <v>10805</v>
      </c>
      <c r="AH58" s="44">
        <v>17118</v>
      </c>
      <c r="AI58" s="44">
        <v>6849</v>
      </c>
      <c r="AJ58" s="44">
        <v>9466</v>
      </c>
      <c r="AK58" s="44">
        <v>10332</v>
      </c>
      <c r="AL58" s="44">
        <v>4476</v>
      </c>
      <c r="AM58" s="44">
        <v>1448</v>
      </c>
      <c r="AN58" s="44">
        <v>8020</v>
      </c>
      <c r="AO58" s="44">
        <v>1728</v>
      </c>
      <c r="AP58" s="44">
        <v>829</v>
      </c>
      <c r="AQ58" s="44">
        <v>1168</v>
      </c>
      <c r="AR58" s="44">
        <v>441</v>
      </c>
      <c r="AS58" s="44">
        <v>135</v>
      </c>
      <c r="AT58" s="44">
        <v>1353</v>
      </c>
      <c r="AU58" s="44">
        <v>12353</v>
      </c>
      <c r="AV58" s="44">
        <v>2774</v>
      </c>
      <c r="AW58" s="44">
        <v>7967</v>
      </c>
      <c r="AX58" s="44">
        <v>845</v>
      </c>
      <c r="AY58" s="44">
        <v>3647</v>
      </c>
      <c r="AZ58" s="44">
        <v>4027</v>
      </c>
      <c r="BA58" s="44">
        <v>1581</v>
      </c>
      <c r="BB58" s="44">
        <v>167</v>
      </c>
      <c r="BC58" s="44">
        <v>2592</v>
      </c>
      <c r="BD58" s="44">
        <v>242</v>
      </c>
      <c r="BE58" s="44">
        <v>295</v>
      </c>
      <c r="BF58" s="44">
        <v>167</v>
      </c>
      <c r="BG58" s="44">
        <v>351</v>
      </c>
      <c r="BH58" s="44">
        <v>63</v>
      </c>
      <c r="BI58" s="44">
        <v>808</v>
      </c>
    </row>
    <row r="59" spans="1:61" x14ac:dyDescent="0.2">
      <c r="A59" s="42">
        <v>41699</v>
      </c>
      <c r="B59" s="43">
        <v>680</v>
      </c>
      <c r="C59" s="43">
        <v>362</v>
      </c>
      <c r="D59" s="43">
        <v>504</v>
      </c>
      <c r="E59" s="43">
        <v>290</v>
      </c>
      <c r="F59" s="43">
        <v>448</v>
      </c>
      <c r="G59" s="43">
        <v>390</v>
      </c>
      <c r="H59" s="43">
        <v>407</v>
      </c>
      <c r="I59" s="43">
        <v>265</v>
      </c>
      <c r="J59" s="43">
        <v>530.5</v>
      </c>
      <c r="K59" s="43">
        <v>379</v>
      </c>
      <c r="L59" s="43">
        <v>360</v>
      </c>
      <c r="M59" s="43">
        <v>247</v>
      </c>
      <c r="N59" s="43">
        <v>595</v>
      </c>
      <c r="O59" s="43">
        <v>412.5</v>
      </c>
      <c r="P59" s="43">
        <v>553.70000000000005</v>
      </c>
      <c r="Q59" s="43">
        <v>591.5</v>
      </c>
      <c r="R59" s="43">
        <v>330</v>
      </c>
      <c r="S59" s="43">
        <v>475.5</v>
      </c>
      <c r="T59" s="43">
        <v>250</v>
      </c>
      <c r="U59" s="43">
        <v>405</v>
      </c>
      <c r="V59" s="43">
        <v>338</v>
      </c>
      <c r="W59" s="43">
        <v>326</v>
      </c>
      <c r="X59" s="43">
        <v>178.5</v>
      </c>
      <c r="Y59" s="43">
        <v>445</v>
      </c>
      <c r="Z59" s="43">
        <v>325</v>
      </c>
      <c r="AA59" s="43">
        <v>275</v>
      </c>
      <c r="AB59" s="43">
        <v>230</v>
      </c>
      <c r="AC59" s="43">
        <v>496.1</v>
      </c>
      <c r="AD59" s="43">
        <v>337</v>
      </c>
      <c r="AE59" s="43">
        <v>410</v>
      </c>
      <c r="AF59" s="44">
        <v>13416</v>
      </c>
      <c r="AG59" s="44">
        <v>10484</v>
      </c>
      <c r="AH59" s="44">
        <v>12426</v>
      </c>
      <c r="AI59" s="44">
        <v>5090</v>
      </c>
      <c r="AJ59" s="44">
        <v>9595</v>
      </c>
      <c r="AK59" s="44">
        <v>9890</v>
      </c>
      <c r="AL59" s="44">
        <v>4253</v>
      </c>
      <c r="AM59" s="44">
        <v>1552</v>
      </c>
      <c r="AN59" s="44">
        <v>8222</v>
      </c>
      <c r="AO59" s="44">
        <v>1679</v>
      </c>
      <c r="AP59" s="44">
        <v>935</v>
      </c>
      <c r="AQ59" s="44">
        <v>1307</v>
      </c>
      <c r="AR59" s="44">
        <v>372</v>
      </c>
      <c r="AS59" s="44">
        <v>119</v>
      </c>
      <c r="AT59" s="44">
        <v>982</v>
      </c>
      <c r="AU59" s="44">
        <v>12721</v>
      </c>
      <c r="AV59" s="44">
        <v>2564</v>
      </c>
      <c r="AW59" s="44">
        <v>10203</v>
      </c>
      <c r="AX59" s="44">
        <v>922</v>
      </c>
      <c r="AY59" s="44">
        <v>4557</v>
      </c>
      <c r="AZ59" s="44">
        <v>4857</v>
      </c>
      <c r="BA59" s="44">
        <v>1514</v>
      </c>
      <c r="BB59" s="44">
        <v>188</v>
      </c>
      <c r="BC59" s="44">
        <v>3026</v>
      </c>
      <c r="BD59" s="44">
        <v>261</v>
      </c>
      <c r="BE59" s="44">
        <v>313</v>
      </c>
      <c r="BF59" s="44">
        <v>209</v>
      </c>
      <c r="BG59" s="44">
        <v>329</v>
      </c>
      <c r="BH59" s="44">
        <v>56</v>
      </c>
      <c r="BI59" s="44">
        <v>759</v>
      </c>
    </row>
    <row r="60" spans="1:61" x14ac:dyDescent="0.2">
      <c r="A60" s="42">
        <v>41791</v>
      </c>
      <c r="B60" s="43">
        <v>728</v>
      </c>
      <c r="C60" s="43">
        <v>368</v>
      </c>
      <c r="D60" s="43">
        <v>528.9</v>
      </c>
      <c r="E60" s="43">
        <v>286</v>
      </c>
      <c r="F60" s="43">
        <v>459</v>
      </c>
      <c r="G60" s="43">
        <v>390</v>
      </c>
      <c r="H60" s="43">
        <v>405</v>
      </c>
      <c r="I60" s="43">
        <v>250</v>
      </c>
      <c r="J60" s="43">
        <v>525</v>
      </c>
      <c r="K60" s="43">
        <v>366</v>
      </c>
      <c r="L60" s="43">
        <v>340</v>
      </c>
      <c r="M60" s="43">
        <v>236.3</v>
      </c>
      <c r="N60" s="43">
        <v>557.5</v>
      </c>
      <c r="O60" s="43">
        <v>420</v>
      </c>
      <c r="P60" s="43">
        <v>550</v>
      </c>
      <c r="Q60" s="43">
        <v>610</v>
      </c>
      <c r="R60" s="43">
        <v>330</v>
      </c>
      <c r="S60" s="43">
        <v>479</v>
      </c>
      <c r="T60" s="43">
        <v>245</v>
      </c>
      <c r="U60" s="43">
        <v>414</v>
      </c>
      <c r="V60" s="43">
        <v>345</v>
      </c>
      <c r="W60" s="43">
        <v>345</v>
      </c>
      <c r="X60" s="43">
        <v>190</v>
      </c>
      <c r="Y60" s="43">
        <v>452</v>
      </c>
      <c r="Z60" s="43">
        <v>322</v>
      </c>
      <c r="AA60" s="43">
        <v>282</v>
      </c>
      <c r="AB60" s="43">
        <v>226.3</v>
      </c>
      <c r="AC60" s="43">
        <v>465</v>
      </c>
      <c r="AD60" s="43">
        <v>335</v>
      </c>
      <c r="AE60" s="43">
        <v>410</v>
      </c>
      <c r="AF60" s="44">
        <v>15183</v>
      </c>
      <c r="AG60" s="44">
        <v>10900</v>
      </c>
      <c r="AH60" s="44">
        <v>14354</v>
      </c>
      <c r="AI60" s="44">
        <v>5249</v>
      </c>
      <c r="AJ60" s="44">
        <v>9212</v>
      </c>
      <c r="AK60" s="44">
        <v>8732</v>
      </c>
      <c r="AL60" s="44">
        <v>4230</v>
      </c>
      <c r="AM60" s="44">
        <v>1433</v>
      </c>
      <c r="AN60" s="44">
        <v>7635</v>
      </c>
      <c r="AO60" s="44">
        <v>1577</v>
      </c>
      <c r="AP60" s="44">
        <v>931</v>
      </c>
      <c r="AQ60" s="44">
        <v>1388</v>
      </c>
      <c r="AR60" s="44">
        <v>452</v>
      </c>
      <c r="AS60" s="44">
        <v>113</v>
      </c>
      <c r="AT60" s="44">
        <v>1044</v>
      </c>
      <c r="AU60" s="44">
        <v>14466</v>
      </c>
      <c r="AV60" s="44">
        <v>2551</v>
      </c>
      <c r="AW60" s="44">
        <v>12328</v>
      </c>
      <c r="AX60" s="44">
        <v>913</v>
      </c>
      <c r="AY60" s="44">
        <v>4788</v>
      </c>
      <c r="AZ60" s="44">
        <v>4573</v>
      </c>
      <c r="BA60" s="44">
        <v>1665</v>
      </c>
      <c r="BB60" s="44">
        <v>153</v>
      </c>
      <c r="BC60" s="44">
        <v>2908</v>
      </c>
      <c r="BD60" s="44">
        <v>242</v>
      </c>
      <c r="BE60" s="44">
        <v>314</v>
      </c>
      <c r="BF60" s="44">
        <v>230</v>
      </c>
      <c r="BG60" s="44">
        <v>375</v>
      </c>
      <c r="BH60" s="44">
        <v>40</v>
      </c>
      <c r="BI60" s="44">
        <v>931</v>
      </c>
    </row>
    <row r="61" spans="1:61" x14ac:dyDescent="0.2">
      <c r="A61" s="42">
        <v>41883</v>
      </c>
      <c r="B61" s="43">
        <v>730</v>
      </c>
      <c r="C61" s="43">
        <v>368.6</v>
      </c>
      <c r="D61" s="43">
        <v>505</v>
      </c>
      <c r="E61" s="43">
        <v>280</v>
      </c>
      <c r="F61" s="43">
        <v>451</v>
      </c>
      <c r="G61" s="43">
        <v>390</v>
      </c>
      <c r="H61" s="43">
        <v>410</v>
      </c>
      <c r="I61" s="43">
        <v>255</v>
      </c>
      <c r="J61" s="43">
        <v>530</v>
      </c>
      <c r="K61" s="43">
        <v>370</v>
      </c>
      <c r="L61" s="43">
        <v>345</v>
      </c>
      <c r="M61" s="43">
        <v>262.5</v>
      </c>
      <c r="N61" s="43">
        <v>570</v>
      </c>
      <c r="O61" s="43">
        <v>439</v>
      </c>
      <c r="P61" s="43">
        <v>554</v>
      </c>
      <c r="Q61" s="43">
        <v>620</v>
      </c>
      <c r="R61" s="43">
        <v>326</v>
      </c>
      <c r="S61" s="43">
        <v>478.5</v>
      </c>
      <c r="T61" s="43">
        <v>245</v>
      </c>
      <c r="U61" s="43">
        <v>420</v>
      </c>
      <c r="V61" s="43">
        <v>330</v>
      </c>
      <c r="W61" s="43">
        <v>342.5</v>
      </c>
      <c r="X61" s="43">
        <v>190</v>
      </c>
      <c r="Y61" s="43">
        <v>442</v>
      </c>
      <c r="Z61" s="43">
        <v>325</v>
      </c>
      <c r="AA61" s="43">
        <v>267.5</v>
      </c>
      <c r="AB61" s="43">
        <v>235</v>
      </c>
      <c r="AC61" s="43">
        <v>485</v>
      </c>
      <c r="AD61" s="43">
        <v>377.5</v>
      </c>
      <c r="AE61" s="43">
        <v>410</v>
      </c>
      <c r="AF61" s="44">
        <v>14759</v>
      </c>
      <c r="AG61" s="44">
        <v>11019</v>
      </c>
      <c r="AH61" s="44">
        <v>14032</v>
      </c>
      <c r="AI61" s="44">
        <v>5109</v>
      </c>
      <c r="AJ61" s="44">
        <v>9747</v>
      </c>
      <c r="AK61" s="44">
        <v>9528</v>
      </c>
      <c r="AL61" s="44">
        <v>4096</v>
      </c>
      <c r="AM61" s="44">
        <v>1386</v>
      </c>
      <c r="AN61" s="44">
        <v>7304</v>
      </c>
      <c r="AO61" s="44">
        <v>1592</v>
      </c>
      <c r="AP61" s="44">
        <v>786</v>
      </c>
      <c r="AQ61" s="44">
        <v>1171</v>
      </c>
      <c r="AR61" s="44">
        <v>414</v>
      </c>
      <c r="AS61" s="44">
        <v>152</v>
      </c>
      <c r="AT61" s="44">
        <v>960</v>
      </c>
      <c r="AU61" s="44">
        <v>13328</v>
      </c>
      <c r="AV61" s="44">
        <v>2403</v>
      </c>
      <c r="AW61" s="44">
        <v>11956</v>
      </c>
      <c r="AX61" s="44">
        <v>934</v>
      </c>
      <c r="AY61" s="44">
        <v>4979</v>
      </c>
      <c r="AZ61" s="44">
        <v>4859</v>
      </c>
      <c r="BA61" s="44">
        <v>1744</v>
      </c>
      <c r="BB61" s="44">
        <v>177</v>
      </c>
      <c r="BC61" s="44">
        <v>2798</v>
      </c>
      <c r="BD61" s="44">
        <v>277</v>
      </c>
      <c r="BE61" s="44">
        <v>270</v>
      </c>
      <c r="BF61" s="44">
        <v>236</v>
      </c>
      <c r="BG61" s="44">
        <v>397</v>
      </c>
      <c r="BH61" s="44">
        <v>58</v>
      </c>
      <c r="BI61" s="44">
        <v>887</v>
      </c>
    </row>
    <row r="62" spans="1:61" x14ac:dyDescent="0.2">
      <c r="A62" s="42">
        <v>41974</v>
      </c>
      <c r="B62" s="43">
        <v>816</v>
      </c>
      <c r="C62" s="43">
        <v>380</v>
      </c>
      <c r="D62" s="43">
        <v>552.5</v>
      </c>
      <c r="E62" s="43">
        <v>298</v>
      </c>
      <c r="F62" s="43">
        <v>467</v>
      </c>
      <c r="G62" s="43">
        <v>405</v>
      </c>
      <c r="H62" s="43">
        <v>425</v>
      </c>
      <c r="I62" s="43">
        <v>275</v>
      </c>
      <c r="J62" s="43">
        <v>531</v>
      </c>
      <c r="K62" s="43">
        <v>380</v>
      </c>
      <c r="L62" s="43">
        <v>356.5</v>
      </c>
      <c r="M62" s="43">
        <v>253.5</v>
      </c>
      <c r="N62" s="43">
        <v>581</v>
      </c>
      <c r="O62" s="43">
        <v>420</v>
      </c>
      <c r="P62" s="43">
        <v>570</v>
      </c>
      <c r="Q62" s="43">
        <v>650</v>
      </c>
      <c r="R62" s="43">
        <v>333</v>
      </c>
      <c r="S62" s="43">
        <v>490</v>
      </c>
      <c r="T62" s="43">
        <v>250</v>
      </c>
      <c r="U62" s="43">
        <v>420</v>
      </c>
      <c r="V62" s="43">
        <v>340</v>
      </c>
      <c r="W62" s="43">
        <v>345</v>
      </c>
      <c r="X62" s="43">
        <v>180.1</v>
      </c>
      <c r="Y62" s="43">
        <v>445</v>
      </c>
      <c r="Z62" s="43">
        <v>320</v>
      </c>
      <c r="AA62" s="43">
        <v>279.5</v>
      </c>
      <c r="AB62" s="43">
        <v>235</v>
      </c>
      <c r="AC62" s="43">
        <v>465</v>
      </c>
      <c r="AD62" s="43">
        <v>339.5</v>
      </c>
      <c r="AE62" s="43">
        <v>422</v>
      </c>
      <c r="AF62" s="44">
        <v>16311</v>
      </c>
      <c r="AG62" s="44">
        <v>11864</v>
      </c>
      <c r="AH62" s="44">
        <v>16407</v>
      </c>
      <c r="AI62" s="44">
        <v>5323</v>
      </c>
      <c r="AJ62" s="44">
        <v>9365</v>
      </c>
      <c r="AK62" s="44">
        <v>9246</v>
      </c>
      <c r="AL62" s="44">
        <v>4502</v>
      </c>
      <c r="AM62" s="44">
        <v>1442</v>
      </c>
      <c r="AN62" s="44">
        <v>6864</v>
      </c>
      <c r="AO62" s="44">
        <v>1530</v>
      </c>
      <c r="AP62" s="44">
        <v>940</v>
      </c>
      <c r="AQ62" s="44">
        <v>1264</v>
      </c>
      <c r="AR62" s="44">
        <v>352</v>
      </c>
      <c r="AS62" s="44">
        <v>141</v>
      </c>
      <c r="AT62" s="44">
        <v>1216</v>
      </c>
      <c r="AU62" s="44">
        <v>14730</v>
      </c>
      <c r="AV62" s="44">
        <v>2638</v>
      </c>
      <c r="AW62" s="44">
        <v>11872</v>
      </c>
      <c r="AX62" s="44">
        <v>971</v>
      </c>
      <c r="AY62" s="44">
        <v>4576</v>
      </c>
      <c r="AZ62" s="44">
        <v>4571</v>
      </c>
      <c r="BA62" s="44">
        <v>1608</v>
      </c>
      <c r="BB62" s="44">
        <v>136</v>
      </c>
      <c r="BC62" s="44">
        <v>2459</v>
      </c>
      <c r="BD62" s="44">
        <v>233</v>
      </c>
      <c r="BE62" s="44">
        <v>320</v>
      </c>
      <c r="BF62" s="44">
        <v>214</v>
      </c>
      <c r="BG62" s="44">
        <v>394</v>
      </c>
      <c r="BH62" s="44">
        <v>68</v>
      </c>
      <c r="BI62" s="44">
        <v>1027</v>
      </c>
    </row>
    <row r="63" spans="1:61" x14ac:dyDescent="0.2">
      <c r="A63" s="42">
        <v>42064</v>
      </c>
      <c r="B63" s="43">
        <v>792.5</v>
      </c>
      <c r="C63" s="43">
        <v>390</v>
      </c>
      <c r="D63" s="43">
        <v>525</v>
      </c>
      <c r="E63" s="43">
        <v>299</v>
      </c>
      <c r="F63" s="43">
        <v>462.8</v>
      </c>
      <c r="G63" s="43">
        <v>410</v>
      </c>
      <c r="H63" s="43">
        <v>415.5</v>
      </c>
      <c r="I63" s="43">
        <v>265</v>
      </c>
      <c r="J63" s="43">
        <v>536.5</v>
      </c>
      <c r="K63" s="43">
        <v>370</v>
      </c>
      <c r="L63" s="43">
        <v>360</v>
      </c>
      <c r="M63" s="43">
        <v>255</v>
      </c>
      <c r="N63" s="43">
        <v>570</v>
      </c>
      <c r="O63" s="43">
        <v>430</v>
      </c>
      <c r="P63" s="43">
        <v>585</v>
      </c>
      <c r="Q63" s="43">
        <v>657</v>
      </c>
      <c r="R63" s="43">
        <v>340</v>
      </c>
      <c r="S63" s="43">
        <v>480.8</v>
      </c>
      <c r="T63" s="43">
        <v>250</v>
      </c>
      <c r="U63" s="43">
        <v>420</v>
      </c>
      <c r="V63" s="43">
        <v>350</v>
      </c>
      <c r="W63" s="43">
        <v>345</v>
      </c>
      <c r="X63" s="43">
        <v>185</v>
      </c>
      <c r="Y63" s="43">
        <v>440</v>
      </c>
      <c r="Z63" s="43">
        <v>325</v>
      </c>
      <c r="AA63" s="43">
        <v>285</v>
      </c>
      <c r="AB63" s="43">
        <v>220.5</v>
      </c>
      <c r="AC63" s="43">
        <v>485</v>
      </c>
      <c r="AD63" s="43">
        <v>375</v>
      </c>
      <c r="AE63" s="43">
        <v>420</v>
      </c>
      <c r="AF63" s="44">
        <v>13518</v>
      </c>
      <c r="AG63" s="44">
        <v>10929</v>
      </c>
      <c r="AH63" s="44">
        <v>13871</v>
      </c>
      <c r="AI63" s="44">
        <v>5504</v>
      </c>
      <c r="AJ63" s="44">
        <v>9498</v>
      </c>
      <c r="AK63" s="44">
        <v>9421</v>
      </c>
      <c r="AL63" s="44">
        <v>4383</v>
      </c>
      <c r="AM63" s="44">
        <v>1555</v>
      </c>
      <c r="AN63" s="44">
        <v>6830</v>
      </c>
      <c r="AO63" s="44">
        <v>1590</v>
      </c>
      <c r="AP63" s="44">
        <v>945</v>
      </c>
      <c r="AQ63" s="44">
        <v>1439</v>
      </c>
      <c r="AR63" s="44">
        <v>306</v>
      </c>
      <c r="AS63" s="44">
        <v>89</v>
      </c>
      <c r="AT63" s="44">
        <v>1013</v>
      </c>
      <c r="AU63" s="44">
        <v>12507</v>
      </c>
      <c r="AV63" s="44">
        <v>2663</v>
      </c>
      <c r="AW63" s="44">
        <v>10877</v>
      </c>
      <c r="AX63" s="44">
        <v>1016</v>
      </c>
      <c r="AY63" s="44">
        <v>4537</v>
      </c>
      <c r="AZ63" s="44">
        <v>5268</v>
      </c>
      <c r="BA63" s="44">
        <v>1692</v>
      </c>
      <c r="BB63" s="44">
        <v>205</v>
      </c>
      <c r="BC63" s="44">
        <v>2654</v>
      </c>
      <c r="BD63" s="44">
        <v>230</v>
      </c>
      <c r="BE63" s="44">
        <v>303</v>
      </c>
      <c r="BF63" s="44">
        <v>225</v>
      </c>
      <c r="BG63" s="44">
        <v>316</v>
      </c>
      <c r="BH63" s="44">
        <v>43</v>
      </c>
      <c r="BI63" s="44">
        <v>924</v>
      </c>
    </row>
    <row r="64" spans="1:61" x14ac:dyDescent="0.2">
      <c r="A64" s="42">
        <v>42156</v>
      </c>
      <c r="B64" s="43">
        <v>860</v>
      </c>
      <c r="C64" s="43">
        <v>395</v>
      </c>
      <c r="D64" s="43">
        <v>561</v>
      </c>
      <c r="E64" s="43">
        <v>295</v>
      </c>
      <c r="F64" s="43">
        <v>465</v>
      </c>
      <c r="G64" s="43">
        <v>410.3</v>
      </c>
      <c r="H64" s="43">
        <v>420</v>
      </c>
      <c r="I64" s="43">
        <v>260</v>
      </c>
      <c r="J64" s="43">
        <v>537</v>
      </c>
      <c r="K64" s="43">
        <v>355</v>
      </c>
      <c r="L64" s="43">
        <v>350</v>
      </c>
      <c r="M64" s="43">
        <v>252.5</v>
      </c>
      <c r="N64" s="43">
        <v>595</v>
      </c>
      <c r="O64" s="43">
        <v>450</v>
      </c>
      <c r="P64" s="43">
        <v>580</v>
      </c>
      <c r="Q64" s="43">
        <v>705</v>
      </c>
      <c r="R64" s="43">
        <v>350</v>
      </c>
      <c r="S64" s="43">
        <v>515</v>
      </c>
      <c r="T64" s="43">
        <v>255</v>
      </c>
      <c r="U64" s="43">
        <v>425</v>
      </c>
      <c r="V64" s="43">
        <v>350</v>
      </c>
      <c r="W64" s="43">
        <v>345</v>
      </c>
      <c r="X64" s="43">
        <v>210</v>
      </c>
      <c r="Y64" s="43">
        <v>434.5</v>
      </c>
      <c r="Z64" s="43">
        <v>315</v>
      </c>
      <c r="AA64" s="43">
        <v>286</v>
      </c>
      <c r="AB64" s="43">
        <v>232</v>
      </c>
      <c r="AC64" s="43">
        <v>450</v>
      </c>
      <c r="AD64" s="43">
        <v>321.5</v>
      </c>
      <c r="AE64" s="43">
        <v>425</v>
      </c>
      <c r="AF64" s="44">
        <v>14472</v>
      </c>
      <c r="AG64" s="44">
        <v>12124</v>
      </c>
      <c r="AH64" s="44">
        <v>16787</v>
      </c>
      <c r="AI64" s="44">
        <v>5577</v>
      </c>
      <c r="AJ64" s="44">
        <v>10231</v>
      </c>
      <c r="AK64" s="44">
        <v>9420</v>
      </c>
      <c r="AL64" s="44">
        <v>4489</v>
      </c>
      <c r="AM64" s="44">
        <v>1411</v>
      </c>
      <c r="AN64" s="44">
        <v>6336</v>
      </c>
      <c r="AO64" s="44">
        <v>1398</v>
      </c>
      <c r="AP64" s="44">
        <v>924</v>
      </c>
      <c r="AQ64" s="44">
        <v>1425</v>
      </c>
      <c r="AR64" s="44">
        <v>291</v>
      </c>
      <c r="AS64" s="44">
        <v>64</v>
      </c>
      <c r="AT64" s="44">
        <v>1071</v>
      </c>
      <c r="AU64" s="44">
        <v>15127</v>
      </c>
      <c r="AV64" s="44">
        <v>2996</v>
      </c>
      <c r="AW64" s="44">
        <v>15487</v>
      </c>
      <c r="AX64" s="44">
        <v>1002</v>
      </c>
      <c r="AY64" s="44">
        <v>5159</v>
      </c>
      <c r="AZ64" s="44">
        <v>5251</v>
      </c>
      <c r="BA64" s="44">
        <v>1952</v>
      </c>
      <c r="BB64" s="44">
        <v>155</v>
      </c>
      <c r="BC64" s="44">
        <v>2295</v>
      </c>
      <c r="BD64" s="44">
        <v>198</v>
      </c>
      <c r="BE64" s="44">
        <v>335</v>
      </c>
      <c r="BF64" s="44">
        <v>247</v>
      </c>
      <c r="BG64" s="44">
        <v>287</v>
      </c>
      <c r="BH64" s="44">
        <v>34</v>
      </c>
      <c r="BI64" s="44">
        <v>1076</v>
      </c>
    </row>
    <row r="65" spans="1:61" x14ac:dyDescent="0.2">
      <c r="A65" s="42">
        <v>42248</v>
      </c>
      <c r="B65" s="43">
        <v>888.2</v>
      </c>
      <c r="C65" s="43">
        <v>410</v>
      </c>
      <c r="D65" s="43">
        <v>580</v>
      </c>
      <c r="E65" s="43">
        <v>295.60000000000002</v>
      </c>
      <c r="F65" s="43">
        <v>475</v>
      </c>
      <c r="G65" s="43">
        <v>415</v>
      </c>
      <c r="H65" s="43">
        <v>427.5</v>
      </c>
      <c r="I65" s="43">
        <v>260</v>
      </c>
      <c r="J65" s="43">
        <v>520</v>
      </c>
      <c r="K65" s="43">
        <v>350</v>
      </c>
      <c r="L65" s="43">
        <v>340</v>
      </c>
      <c r="M65" s="43">
        <v>257.5</v>
      </c>
      <c r="N65" s="43">
        <v>580</v>
      </c>
      <c r="O65" s="43">
        <v>455</v>
      </c>
      <c r="P65" s="43">
        <v>587.5</v>
      </c>
      <c r="Q65" s="43">
        <v>710</v>
      </c>
      <c r="R65" s="43">
        <v>360</v>
      </c>
      <c r="S65" s="43">
        <v>500</v>
      </c>
      <c r="T65" s="43">
        <v>256</v>
      </c>
      <c r="U65" s="43">
        <v>425</v>
      </c>
      <c r="V65" s="43">
        <v>350.8</v>
      </c>
      <c r="W65" s="43">
        <v>344.5</v>
      </c>
      <c r="X65" s="43">
        <v>190</v>
      </c>
      <c r="Y65" s="43">
        <v>425</v>
      </c>
      <c r="Z65" s="43">
        <v>330</v>
      </c>
      <c r="AA65" s="43">
        <v>296</v>
      </c>
      <c r="AB65" s="43">
        <v>235</v>
      </c>
      <c r="AC65" s="43">
        <v>475</v>
      </c>
      <c r="AD65" s="43">
        <v>305</v>
      </c>
      <c r="AE65" s="43">
        <v>415</v>
      </c>
      <c r="AF65" s="44">
        <v>15306</v>
      </c>
      <c r="AG65" s="44">
        <v>12705</v>
      </c>
      <c r="AH65" s="44">
        <v>16128</v>
      </c>
      <c r="AI65" s="44">
        <v>5548</v>
      </c>
      <c r="AJ65" s="44">
        <v>10729</v>
      </c>
      <c r="AK65" s="44">
        <v>9968</v>
      </c>
      <c r="AL65" s="44">
        <v>4381</v>
      </c>
      <c r="AM65" s="44">
        <v>1286</v>
      </c>
      <c r="AN65" s="44">
        <v>5539</v>
      </c>
      <c r="AO65" s="44">
        <v>1336</v>
      </c>
      <c r="AP65" s="44">
        <v>885</v>
      </c>
      <c r="AQ65" s="44">
        <v>1403</v>
      </c>
      <c r="AR65" s="44">
        <v>248</v>
      </c>
      <c r="AS65" s="44">
        <v>93</v>
      </c>
      <c r="AT65" s="44">
        <v>1048</v>
      </c>
      <c r="AU65" s="44">
        <v>14807</v>
      </c>
      <c r="AV65" s="44">
        <v>3107</v>
      </c>
      <c r="AW65" s="44">
        <v>11607</v>
      </c>
      <c r="AX65" s="44">
        <v>1003</v>
      </c>
      <c r="AY65" s="44">
        <v>5201</v>
      </c>
      <c r="AZ65" s="44">
        <v>5402</v>
      </c>
      <c r="BA65" s="44">
        <v>1698</v>
      </c>
      <c r="BB65" s="44">
        <v>141</v>
      </c>
      <c r="BC65" s="44">
        <v>1953</v>
      </c>
      <c r="BD65" s="44">
        <v>182</v>
      </c>
      <c r="BE65" s="44">
        <v>298</v>
      </c>
      <c r="BF65" s="44">
        <v>224</v>
      </c>
      <c r="BG65" s="44">
        <v>263</v>
      </c>
      <c r="BH65" s="44">
        <v>29</v>
      </c>
      <c r="BI65" s="44">
        <v>1081</v>
      </c>
    </row>
    <row r="66" spans="1:61" x14ac:dyDescent="0.2">
      <c r="A66" s="42">
        <v>42339</v>
      </c>
      <c r="B66" s="43">
        <v>915</v>
      </c>
      <c r="C66" s="43">
        <v>412</v>
      </c>
      <c r="D66" s="43">
        <v>612.29999999999995</v>
      </c>
      <c r="E66" s="43">
        <v>310</v>
      </c>
      <c r="F66" s="43">
        <v>490</v>
      </c>
      <c r="G66" s="43">
        <v>420</v>
      </c>
      <c r="H66" s="43">
        <v>436</v>
      </c>
      <c r="I66" s="43">
        <v>273.5</v>
      </c>
      <c r="J66" s="43">
        <v>525</v>
      </c>
      <c r="K66" s="43">
        <v>350</v>
      </c>
      <c r="L66" s="43">
        <v>370</v>
      </c>
      <c r="M66" s="43">
        <v>265</v>
      </c>
      <c r="N66" s="43">
        <v>575</v>
      </c>
      <c r="O66" s="43">
        <v>412.5</v>
      </c>
      <c r="P66" s="43">
        <v>615</v>
      </c>
      <c r="Q66" s="43">
        <v>723</v>
      </c>
      <c r="R66" s="43">
        <v>362</v>
      </c>
      <c r="S66" s="43">
        <v>505</v>
      </c>
      <c r="T66" s="43">
        <v>265</v>
      </c>
      <c r="U66" s="43">
        <v>420</v>
      </c>
      <c r="V66" s="43">
        <v>360</v>
      </c>
      <c r="W66" s="43">
        <v>345</v>
      </c>
      <c r="X66" s="43">
        <v>182</v>
      </c>
      <c r="Y66" s="43">
        <v>430</v>
      </c>
      <c r="Z66" s="43">
        <v>295</v>
      </c>
      <c r="AA66" s="43">
        <v>292</v>
      </c>
      <c r="AB66" s="43">
        <v>235</v>
      </c>
      <c r="AC66" s="43">
        <v>460</v>
      </c>
      <c r="AD66" s="43">
        <v>265</v>
      </c>
      <c r="AE66" s="43">
        <v>419.9</v>
      </c>
      <c r="AF66" s="44">
        <v>13527</v>
      </c>
      <c r="AG66" s="44">
        <v>12739</v>
      </c>
      <c r="AH66" s="44">
        <v>16165</v>
      </c>
      <c r="AI66" s="44">
        <v>5631</v>
      </c>
      <c r="AJ66" s="44">
        <v>9829</v>
      </c>
      <c r="AK66" s="44">
        <v>8826</v>
      </c>
      <c r="AL66" s="44">
        <v>4422</v>
      </c>
      <c r="AM66" s="44">
        <v>1403</v>
      </c>
      <c r="AN66" s="44">
        <v>5627</v>
      </c>
      <c r="AO66" s="44">
        <v>1404</v>
      </c>
      <c r="AP66" s="44">
        <v>960</v>
      </c>
      <c r="AQ66" s="44">
        <v>1430</v>
      </c>
      <c r="AR66" s="44">
        <v>244</v>
      </c>
      <c r="AS66" s="44">
        <v>82</v>
      </c>
      <c r="AT66" s="44">
        <v>1262</v>
      </c>
      <c r="AU66" s="44">
        <v>11733</v>
      </c>
      <c r="AV66" s="44">
        <v>2877</v>
      </c>
      <c r="AW66" s="44">
        <v>11064</v>
      </c>
      <c r="AX66" s="44">
        <v>982</v>
      </c>
      <c r="AY66" s="44">
        <v>4358</v>
      </c>
      <c r="AZ66" s="44">
        <v>4908</v>
      </c>
      <c r="BA66" s="44">
        <v>1733</v>
      </c>
      <c r="BB66" s="44">
        <v>123</v>
      </c>
      <c r="BC66" s="44">
        <v>2066</v>
      </c>
      <c r="BD66" s="44">
        <v>175</v>
      </c>
      <c r="BE66" s="44">
        <v>311</v>
      </c>
      <c r="BF66" s="44">
        <v>244</v>
      </c>
      <c r="BG66" s="44">
        <v>311</v>
      </c>
      <c r="BH66" s="44">
        <v>53</v>
      </c>
      <c r="BI66" s="44">
        <v>1154</v>
      </c>
    </row>
    <row r="67" spans="1:61" x14ac:dyDescent="0.2">
      <c r="A67" s="42">
        <v>42430</v>
      </c>
      <c r="B67" s="43">
        <v>850</v>
      </c>
      <c r="C67" s="43">
        <v>415</v>
      </c>
      <c r="D67" s="43">
        <v>568</v>
      </c>
      <c r="E67" s="43">
        <v>311</v>
      </c>
      <c r="F67" s="43">
        <v>483.5</v>
      </c>
      <c r="G67" s="43">
        <v>425</v>
      </c>
      <c r="H67" s="43">
        <v>436</v>
      </c>
      <c r="I67" s="43">
        <v>275</v>
      </c>
      <c r="J67" s="43">
        <v>518</v>
      </c>
      <c r="K67" s="43">
        <v>360.5</v>
      </c>
      <c r="L67" s="43">
        <v>360</v>
      </c>
      <c r="M67" s="43">
        <v>264</v>
      </c>
      <c r="N67" s="43">
        <v>570</v>
      </c>
      <c r="O67" s="43">
        <v>472.5</v>
      </c>
      <c r="P67" s="43">
        <v>590</v>
      </c>
      <c r="Q67" s="43">
        <v>706.5</v>
      </c>
      <c r="R67" s="43">
        <v>365</v>
      </c>
      <c r="S67" s="43">
        <v>490</v>
      </c>
      <c r="T67" s="43">
        <v>270</v>
      </c>
      <c r="U67" s="43">
        <v>415</v>
      </c>
      <c r="V67" s="43">
        <v>363</v>
      </c>
      <c r="W67" s="43">
        <v>345</v>
      </c>
      <c r="X67" s="43">
        <v>187</v>
      </c>
      <c r="Y67" s="43">
        <v>430</v>
      </c>
      <c r="Z67" s="43">
        <v>327.5</v>
      </c>
      <c r="AA67" s="43">
        <v>295.8</v>
      </c>
      <c r="AB67" s="43">
        <v>215</v>
      </c>
      <c r="AC67" s="43">
        <v>469.6</v>
      </c>
      <c r="AD67" s="43">
        <v>310</v>
      </c>
      <c r="AE67" s="43">
        <v>425</v>
      </c>
      <c r="AF67" s="44">
        <v>10527</v>
      </c>
      <c r="AG67" s="44">
        <v>10689</v>
      </c>
      <c r="AH67" s="44">
        <v>11654</v>
      </c>
      <c r="AI67" s="44">
        <v>5188</v>
      </c>
      <c r="AJ67" s="44">
        <v>9405</v>
      </c>
      <c r="AK67" s="44">
        <v>8786</v>
      </c>
      <c r="AL67" s="44">
        <v>4143</v>
      </c>
      <c r="AM67" s="44">
        <v>1354</v>
      </c>
      <c r="AN67" s="44">
        <v>5857</v>
      </c>
      <c r="AO67" s="44">
        <v>1448</v>
      </c>
      <c r="AP67" s="44">
        <v>925</v>
      </c>
      <c r="AQ67" s="44">
        <v>1423</v>
      </c>
      <c r="AR67" s="44">
        <v>226</v>
      </c>
      <c r="AS67" s="44">
        <v>60</v>
      </c>
      <c r="AT67" s="44">
        <v>883</v>
      </c>
      <c r="AU67" s="44">
        <v>8920</v>
      </c>
      <c r="AV67" s="44">
        <v>2485</v>
      </c>
      <c r="AW67" s="44">
        <v>8187</v>
      </c>
      <c r="AX67" s="44">
        <v>912</v>
      </c>
      <c r="AY67" s="44">
        <v>3801</v>
      </c>
      <c r="AZ67" s="44">
        <v>4832</v>
      </c>
      <c r="BA67" s="44">
        <v>1682</v>
      </c>
      <c r="BB67" s="44">
        <v>155</v>
      </c>
      <c r="BC67" s="44">
        <v>1968</v>
      </c>
      <c r="BD67" s="44">
        <v>196</v>
      </c>
      <c r="BE67" s="44">
        <v>320</v>
      </c>
      <c r="BF67" s="44">
        <v>225</v>
      </c>
      <c r="BG67" s="44">
        <v>205</v>
      </c>
      <c r="BH67" s="44">
        <v>57</v>
      </c>
      <c r="BI67" s="44">
        <v>837</v>
      </c>
    </row>
    <row r="68" spans="1:61" x14ac:dyDescent="0.2">
      <c r="A68" s="42">
        <v>42522</v>
      </c>
      <c r="B68" s="43">
        <v>895</v>
      </c>
      <c r="C68" s="43">
        <v>425</v>
      </c>
      <c r="D68" s="43">
        <v>610</v>
      </c>
      <c r="E68" s="43">
        <v>305</v>
      </c>
      <c r="F68" s="43">
        <v>495</v>
      </c>
      <c r="G68" s="43">
        <v>425</v>
      </c>
      <c r="H68" s="43">
        <v>440</v>
      </c>
      <c r="I68" s="43">
        <v>265</v>
      </c>
      <c r="J68" s="43">
        <v>520</v>
      </c>
      <c r="K68" s="43">
        <v>330</v>
      </c>
      <c r="L68" s="43">
        <v>365</v>
      </c>
      <c r="M68" s="43">
        <v>253</v>
      </c>
      <c r="N68" s="43">
        <v>548</v>
      </c>
      <c r="O68" s="43">
        <v>426</v>
      </c>
      <c r="P68" s="43">
        <v>623</v>
      </c>
      <c r="Q68" s="43">
        <v>720</v>
      </c>
      <c r="R68" s="43">
        <v>370</v>
      </c>
      <c r="S68" s="43">
        <v>505</v>
      </c>
      <c r="T68" s="43">
        <v>260.8</v>
      </c>
      <c r="U68" s="43">
        <v>413</v>
      </c>
      <c r="V68" s="43">
        <v>365</v>
      </c>
      <c r="W68" s="43">
        <v>367</v>
      </c>
      <c r="X68" s="43">
        <v>202.5</v>
      </c>
      <c r="Y68" s="43">
        <v>410</v>
      </c>
      <c r="Z68" s="43">
        <v>300</v>
      </c>
      <c r="AA68" s="43">
        <v>307.5</v>
      </c>
      <c r="AB68" s="43">
        <v>220</v>
      </c>
      <c r="AC68" s="43">
        <v>437.5</v>
      </c>
      <c r="AD68" s="43">
        <v>320</v>
      </c>
      <c r="AE68" s="43">
        <v>435</v>
      </c>
      <c r="AF68" s="44">
        <v>12638</v>
      </c>
      <c r="AG68" s="44">
        <v>12279</v>
      </c>
      <c r="AH68" s="44">
        <v>15066</v>
      </c>
      <c r="AI68" s="44">
        <v>5561</v>
      </c>
      <c r="AJ68" s="44">
        <v>9625</v>
      </c>
      <c r="AK68" s="44">
        <v>8869</v>
      </c>
      <c r="AL68" s="44">
        <v>4226</v>
      </c>
      <c r="AM68" s="44">
        <v>1381</v>
      </c>
      <c r="AN68" s="44">
        <v>5969</v>
      </c>
      <c r="AO68" s="44">
        <v>1469</v>
      </c>
      <c r="AP68" s="44">
        <v>922</v>
      </c>
      <c r="AQ68" s="44">
        <v>1427</v>
      </c>
      <c r="AR68" s="44">
        <v>247</v>
      </c>
      <c r="AS68" s="44">
        <v>60</v>
      </c>
      <c r="AT68" s="44">
        <v>1060</v>
      </c>
      <c r="AU68" s="44">
        <v>10590</v>
      </c>
      <c r="AV68" s="44">
        <v>2827</v>
      </c>
      <c r="AW68" s="44">
        <v>10671</v>
      </c>
      <c r="AX68" s="44">
        <v>890</v>
      </c>
      <c r="AY68" s="44">
        <v>3584</v>
      </c>
      <c r="AZ68" s="44">
        <v>4758</v>
      </c>
      <c r="BA68" s="44">
        <v>2008</v>
      </c>
      <c r="BB68" s="44">
        <v>155</v>
      </c>
      <c r="BC68" s="44">
        <v>1982</v>
      </c>
      <c r="BD68" s="44">
        <v>199</v>
      </c>
      <c r="BE68" s="44">
        <v>334</v>
      </c>
      <c r="BF68" s="44">
        <v>227</v>
      </c>
      <c r="BG68" s="44">
        <v>230</v>
      </c>
      <c r="BH68" s="44">
        <v>61</v>
      </c>
      <c r="BI68" s="44">
        <v>1163</v>
      </c>
    </row>
    <row r="69" spans="1:61" x14ac:dyDescent="0.2">
      <c r="A69" s="42">
        <v>42614</v>
      </c>
      <c r="B69" s="43">
        <v>900</v>
      </c>
      <c r="C69" s="43">
        <v>430.5</v>
      </c>
      <c r="D69" s="43">
        <v>605</v>
      </c>
      <c r="E69" s="43">
        <v>310</v>
      </c>
      <c r="F69" s="43">
        <v>500</v>
      </c>
      <c r="G69" s="43">
        <v>435</v>
      </c>
      <c r="H69" s="43">
        <v>445</v>
      </c>
      <c r="I69" s="43">
        <v>270</v>
      </c>
      <c r="J69" s="43">
        <v>510</v>
      </c>
      <c r="K69" s="43">
        <v>327.8</v>
      </c>
      <c r="L69" s="43">
        <v>370</v>
      </c>
      <c r="M69" s="43">
        <v>255</v>
      </c>
      <c r="N69" s="43">
        <v>520</v>
      </c>
      <c r="O69" s="43">
        <v>353.5</v>
      </c>
      <c r="P69" s="43">
        <v>615.79999999999995</v>
      </c>
      <c r="Q69" s="43">
        <v>710</v>
      </c>
      <c r="R69" s="43">
        <v>375</v>
      </c>
      <c r="S69" s="43">
        <v>496</v>
      </c>
      <c r="T69" s="43">
        <v>260</v>
      </c>
      <c r="U69" s="43">
        <v>420</v>
      </c>
      <c r="V69" s="43">
        <v>370</v>
      </c>
      <c r="W69" s="43">
        <v>365</v>
      </c>
      <c r="X69" s="43">
        <v>195</v>
      </c>
      <c r="Y69" s="43">
        <v>425</v>
      </c>
      <c r="Z69" s="43">
        <v>270</v>
      </c>
      <c r="AA69" s="43">
        <v>290</v>
      </c>
      <c r="AB69" s="43">
        <v>235</v>
      </c>
      <c r="AC69" s="43">
        <v>342.5</v>
      </c>
      <c r="AD69" s="43">
        <v>300</v>
      </c>
      <c r="AE69" s="43">
        <v>428.5</v>
      </c>
      <c r="AF69" s="44">
        <v>12351</v>
      </c>
      <c r="AG69" s="44">
        <v>12063</v>
      </c>
      <c r="AH69" s="44">
        <v>14109</v>
      </c>
      <c r="AI69" s="44">
        <v>5627</v>
      </c>
      <c r="AJ69" s="44">
        <v>9588</v>
      </c>
      <c r="AK69" s="44">
        <v>9136</v>
      </c>
      <c r="AL69" s="44">
        <v>4023</v>
      </c>
      <c r="AM69" s="44">
        <v>1284</v>
      </c>
      <c r="AN69" s="44">
        <v>5628</v>
      </c>
      <c r="AO69" s="44">
        <v>1532</v>
      </c>
      <c r="AP69" s="44">
        <v>859</v>
      </c>
      <c r="AQ69" s="44">
        <v>1384</v>
      </c>
      <c r="AR69" s="44">
        <v>261</v>
      </c>
      <c r="AS69" s="44">
        <v>92</v>
      </c>
      <c r="AT69" s="44">
        <v>994</v>
      </c>
      <c r="AU69" s="44">
        <v>10672</v>
      </c>
      <c r="AV69" s="44">
        <v>2914</v>
      </c>
      <c r="AW69" s="44">
        <v>9634</v>
      </c>
      <c r="AX69" s="44">
        <v>1016</v>
      </c>
      <c r="AY69" s="44">
        <v>3480</v>
      </c>
      <c r="AZ69" s="44">
        <v>4793</v>
      </c>
      <c r="BA69" s="44">
        <v>1608</v>
      </c>
      <c r="BB69" s="44">
        <v>119</v>
      </c>
      <c r="BC69" s="44">
        <v>1896</v>
      </c>
      <c r="BD69" s="44">
        <v>213</v>
      </c>
      <c r="BE69" s="44">
        <v>296</v>
      </c>
      <c r="BF69" s="44">
        <v>235</v>
      </c>
      <c r="BG69" s="44">
        <v>294</v>
      </c>
      <c r="BH69" s="44">
        <v>53</v>
      </c>
      <c r="BI69" s="44">
        <v>1064</v>
      </c>
    </row>
    <row r="70" spans="1:61" x14ac:dyDescent="0.2">
      <c r="A70" s="42">
        <v>42705</v>
      </c>
      <c r="B70" s="43">
        <v>985.5</v>
      </c>
      <c r="C70" s="43">
        <v>445</v>
      </c>
      <c r="D70" s="43">
        <v>675</v>
      </c>
      <c r="E70" s="43">
        <v>320.8</v>
      </c>
      <c r="F70" s="43">
        <v>515</v>
      </c>
      <c r="G70" s="43">
        <v>439</v>
      </c>
      <c r="H70" s="43">
        <v>447</v>
      </c>
      <c r="I70" s="43">
        <v>280</v>
      </c>
      <c r="J70" s="43">
        <v>525</v>
      </c>
      <c r="K70" s="43">
        <v>345</v>
      </c>
      <c r="L70" s="43">
        <v>392</v>
      </c>
      <c r="M70" s="43">
        <v>274.5</v>
      </c>
      <c r="N70" s="43">
        <v>522</v>
      </c>
      <c r="O70" s="43">
        <v>454.5</v>
      </c>
      <c r="P70" s="43">
        <v>636</v>
      </c>
      <c r="Q70" s="43">
        <v>735</v>
      </c>
      <c r="R70" s="43">
        <v>385</v>
      </c>
      <c r="S70" s="43">
        <v>501.9</v>
      </c>
      <c r="T70" s="43">
        <v>276</v>
      </c>
      <c r="U70" s="43">
        <v>410</v>
      </c>
      <c r="V70" s="43">
        <v>375</v>
      </c>
      <c r="W70" s="43">
        <v>365</v>
      </c>
      <c r="X70" s="43">
        <v>205</v>
      </c>
      <c r="Y70" s="43">
        <v>410</v>
      </c>
      <c r="Z70" s="43">
        <v>288</v>
      </c>
      <c r="AA70" s="43">
        <v>305</v>
      </c>
      <c r="AB70" s="43">
        <v>240</v>
      </c>
      <c r="AC70" s="43">
        <v>381.1</v>
      </c>
      <c r="AD70" s="43">
        <v>326.3</v>
      </c>
      <c r="AE70" s="43">
        <v>430</v>
      </c>
      <c r="AF70" s="44">
        <v>13846</v>
      </c>
      <c r="AG70" s="44">
        <v>13398</v>
      </c>
      <c r="AH70" s="44">
        <v>16565</v>
      </c>
      <c r="AI70" s="44">
        <v>6270</v>
      </c>
      <c r="AJ70" s="44">
        <v>9476</v>
      </c>
      <c r="AK70" s="44">
        <v>9204</v>
      </c>
      <c r="AL70" s="44">
        <v>4515</v>
      </c>
      <c r="AM70" s="44">
        <v>1419</v>
      </c>
      <c r="AN70" s="44">
        <v>5609</v>
      </c>
      <c r="AO70" s="44">
        <v>1490</v>
      </c>
      <c r="AP70" s="44">
        <v>1063</v>
      </c>
      <c r="AQ70" s="44">
        <v>1645</v>
      </c>
      <c r="AR70" s="44">
        <v>259</v>
      </c>
      <c r="AS70" s="44">
        <v>82</v>
      </c>
      <c r="AT70" s="44">
        <v>1239</v>
      </c>
      <c r="AU70" s="44">
        <v>11420</v>
      </c>
      <c r="AV70" s="44">
        <v>3107</v>
      </c>
      <c r="AW70" s="44">
        <v>10814</v>
      </c>
      <c r="AX70" s="44">
        <v>1128</v>
      </c>
      <c r="AY70" s="44">
        <v>3088</v>
      </c>
      <c r="AZ70" s="44">
        <v>4520</v>
      </c>
      <c r="BA70" s="44">
        <v>1639</v>
      </c>
      <c r="BB70" s="44">
        <v>120</v>
      </c>
      <c r="BC70" s="44">
        <v>1914</v>
      </c>
      <c r="BD70" s="44">
        <v>227</v>
      </c>
      <c r="BE70" s="44">
        <v>362</v>
      </c>
      <c r="BF70" s="44">
        <v>247</v>
      </c>
      <c r="BG70" s="44">
        <v>188</v>
      </c>
      <c r="BH70" s="44">
        <v>48</v>
      </c>
      <c r="BI70" s="44">
        <v>1319</v>
      </c>
    </row>
    <row r="71" spans="1:61" x14ac:dyDescent="0.2">
      <c r="A71" s="42">
        <v>42795</v>
      </c>
      <c r="B71" s="43">
        <v>930</v>
      </c>
      <c r="C71" s="43">
        <v>455</v>
      </c>
      <c r="D71" s="43">
        <v>657.5</v>
      </c>
      <c r="E71" s="43">
        <v>328</v>
      </c>
      <c r="F71" s="43">
        <v>510</v>
      </c>
      <c r="G71" s="43">
        <v>440</v>
      </c>
      <c r="H71" s="43">
        <v>451.3</v>
      </c>
      <c r="I71" s="43">
        <v>285</v>
      </c>
      <c r="J71" s="43">
        <v>510</v>
      </c>
      <c r="K71" s="43">
        <v>350</v>
      </c>
      <c r="L71" s="43">
        <v>389.5</v>
      </c>
      <c r="M71" s="43">
        <v>263</v>
      </c>
      <c r="N71" s="43">
        <v>530</v>
      </c>
      <c r="O71" s="43">
        <v>430.1</v>
      </c>
      <c r="P71" s="43">
        <v>654.5</v>
      </c>
      <c r="Q71" s="43">
        <v>730</v>
      </c>
      <c r="R71" s="43">
        <v>395</v>
      </c>
      <c r="S71" s="43">
        <v>520</v>
      </c>
      <c r="T71" s="43">
        <v>272.5</v>
      </c>
      <c r="U71" s="43">
        <v>405</v>
      </c>
      <c r="V71" s="43">
        <v>389</v>
      </c>
      <c r="W71" s="43">
        <v>365</v>
      </c>
      <c r="X71" s="43">
        <v>180</v>
      </c>
      <c r="Y71" s="43">
        <v>415</v>
      </c>
      <c r="Z71" s="43">
        <v>311.5</v>
      </c>
      <c r="AA71" s="43">
        <v>315</v>
      </c>
      <c r="AB71" s="43">
        <v>249</v>
      </c>
      <c r="AC71" s="43">
        <v>375</v>
      </c>
      <c r="AD71" s="43">
        <v>319</v>
      </c>
      <c r="AE71" s="43">
        <v>429.9</v>
      </c>
      <c r="AF71" s="44">
        <v>11314</v>
      </c>
      <c r="AG71" s="44">
        <v>11995</v>
      </c>
      <c r="AH71" s="44">
        <v>13358</v>
      </c>
      <c r="AI71" s="44">
        <v>6070</v>
      </c>
      <c r="AJ71" s="44">
        <v>9089</v>
      </c>
      <c r="AK71" s="44">
        <v>9025</v>
      </c>
      <c r="AL71" s="44">
        <v>4256</v>
      </c>
      <c r="AM71" s="44">
        <v>1479</v>
      </c>
      <c r="AN71" s="44">
        <v>6206</v>
      </c>
      <c r="AO71" s="44">
        <v>1642</v>
      </c>
      <c r="AP71" s="44">
        <v>1113</v>
      </c>
      <c r="AQ71" s="44">
        <v>1861</v>
      </c>
      <c r="AR71" s="44">
        <v>245</v>
      </c>
      <c r="AS71" s="44">
        <v>97</v>
      </c>
      <c r="AT71" s="44">
        <v>1006</v>
      </c>
      <c r="AU71" s="44">
        <v>10118</v>
      </c>
      <c r="AV71" s="44">
        <v>2916</v>
      </c>
      <c r="AW71" s="44">
        <v>9116</v>
      </c>
      <c r="AX71" s="44">
        <v>1091</v>
      </c>
      <c r="AY71" s="44">
        <v>3133</v>
      </c>
      <c r="AZ71" s="44">
        <v>4830</v>
      </c>
      <c r="BA71" s="44">
        <v>1644</v>
      </c>
      <c r="BB71" s="44">
        <v>117</v>
      </c>
      <c r="BC71" s="44">
        <v>2174</v>
      </c>
      <c r="BD71" s="44">
        <v>272</v>
      </c>
      <c r="BE71" s="44">
        <v>415</v>
      </c>
      <c r="BF71" s="44">
        <v>267</v>
      </c>
      <c r="BG71" s="44">
        <v>189</v>
      </c>
      <c r="BH71" s="44">
        <v>37</v>
      </c>
      <c r="BI71" s="44">
        <v>1065</v>
      </c>
    </row>
    <row r="72" spans="1:61" x14ac:dyDescent="0.2">
      <c r="A72" s="42">
        <v>42887</v>
      </c>
      <c r="B72" s="43">
        <v>1050</v>
      </c>
      <c r="C72" s="43">
        <v>460</v>
      </c>
      <c r="D72" s="43">
        <v>720</v>
      </c>
      <c r="E72" s="43">
        <v>332</v>
      </c>
      <c r="F72" s="43">
        <v>518</v>
      </c>
      <c r="G72" s="43">
        <v>449</v>
      </c>
      <c r="H72" s="43">
        <v>450</v>
      </c>
      <c r="I72" s="43">
        <v>270</v>
      </c>
      <c r="J72" s="43">
        <v>506</v>
      </c>
      <c r="K72" s="43">
        <v>327</v>
      </c>
      <c r="L72" s="43">
        <v>400</v>
      </c>
      <c r="M72" s="43">
        <v>275</v>
      </c>
      <c r="N72" s="43">
        <v>500</v>
      </c>
      <c r="O72" s="43">
        <v>423.5</v>
      </c>
      <c r="P72" s="43">
        <v>670</v>
      </c>
      <c r="Q72" s="43">
        <v>770</v>
      </c>
      <c r="R72" s="43">
        <v>424</v>
      </c>
      <c r="S72" s="43">
        <v>568.9</v>
      </c>
      <c r="T72" s="43">
        <v>262.8</v>
      </c>
      <c r="U72" s="43">
        <v>392.5</v>
      </c>
      <c r="V72" s="43">
        <v>380</v>
      </c>
      <c r="W72" s="43">
        <v>383.5</v>
      </c>
      <c r="X72" s="43">
        <v>200</v>
      </c>
      <c r="Y72" s="43">
        <v>405</v>
      </c>
      <c r="Z72" s="43">
        <v>270</v>
      </c>
      <c r="AA72" s="43">
        <v>300</v>
      </c>
      <c r="AB72" s="43">
        <v>250</v>
      </c>
      <c r="AC72" s="43">
        <v>375</v>
      </c>
      <c r="AD72" s="43">
        <v>307.5</v>
      </c>
      <c r="AE72" s="43">
        <v>445</v>
      </c>
      <c r="AF72" s="44">
        <v>12280</v>
      </c>
      <c r="AG72" s="44">
        <v>11763</v>
      </c>
      <c r="AH72" s="44">
        <v>15375</v>
      </c>
      <c r="AI72" s="44">
        <v>5862</v>
      </c>
      <c r="AJ72" s="44">
        <v>8951</v>
      </c>
      <c r="AK72" s="44">
        <v>8303</v>
      </c>
      <c r="AL72" s="44">
        <v>4221</v>
      </c>
      <c r="AM72" s="44">
        <v>1354</v>
      </c>
      <c r="AN72" s="44">
        <v>5845</v>
      </c>
      <c r="AO72" s="44">
        <v>1501</v>
      </c>
      <c r="AP72" s="44">
        <v>982</v>
      </c>
      <c r="AQ72" s="44">
        <v>1690</v>
      </c>
      <c r="AR72" s="44">
        <v>244</v>
      </c>
      <c r="AS72" s="44">
        <v>86</v>
      </c>
      <c r="AT72" s="44">
        <v>1068</v>
      </c>
      <c r="AU72" s="44">
        <v>11180</v>
      </c>
      <c r="AV72" s="44">
        <v>2848</v>
      </c>
      <c r="AW72" s="44">
        <v>12623</v>
      </c>
      <c r="AX72" s="44">
        <v>1112</v>
      </c>
      <c r="AY72" s="44">
        <v>2846</v>
      </c>
      <c r="AZ72" s="44">
        <v>4380</v>
      </c>
      <c r="BA72" s="44">
        <v>1906</v>
      </c>
      <c r="BB72" s="44">
        <v>126</v>
      </c>
      <c r="BC72" s="44">
        <v>2010</v>
      </c>
      <c r="BD72" s="44">
        <v>224</v>
      </c>
      <c r="BE72" s="44">
        <v>347</v>
      </c>
      <c r="BF72" s="44">
        <v>263</v>
      </c>
      <c r="BG72" s="44">
        <v>173</v>
      </c>
      <c r="BH72" s="44">
        <v>34</v>
      </c>
      <c r="BI72" s="44">
        <v>1144</v>
      </c>
    </row>
    <row r="73" spans="1:61" x14ac:dyDescent="0.2">
      <c r="A73" s="42">
        <v>42979</v>
      </c>
      <c r="B73" s="43">
        <v>950</v>
      </c>
      <c r="C73" s="43">
        <v>460</v>
      </c>
      <c r="D73" s="43">
        <v>692</v>
      </c>
      <c r="E73" s="43">
        <v>328</v>
      </c>
      <c r="F73" s="43">
        <v>525</v>
      </c>
      <c r="G73" s="43">
        <v>445</v>
      </c>
      <c r="H73" s="43">
        <v>451</v>
      </c>
      <c r="I73" s="43">
        <v>277.5</v>
      </c>
      <c r="J73" s="43">
        <v>500</v>
      </c>
      <c r="K73" s="43">
        <v>325</v>
      </c>
      <c r="L73" s="43">
        <v>395</v>
      </c>
      <c r="M73" s="43">
        <v>273.5</v>
      </c>
      <c r="N73" s="43">
        <v>500</v>
      </c>
      <c r="O73" s="43">
        <v>443</v>
      </c>
      <c r="P73" s="43">
        <v>667.5</v>
      </c>
      <c r="Q73" s="43">
        <v>720</v>
      </c>
      <c r="R73" s="43">
        <v>410</v>
      </c>
      <c r="S73" s="43">
        <v>540</v>
      </c>
      <c r="T73" s="43">
        <v>279</v>
      </c>
      <c r="U73" s="43">
        <v>400</v>
      </c>
      <c r="V73" s="43">
        <v>385</v>
      </c>
      <c r="W73" s="43">
        <v>375</v>
      </c>
      <c r="X73" s="43">
        <v>172</v>
      </c>
      <c r="Y73" s="43">
        <v>405</v>
      </c>
      <c r="Z73" s="43">
        <v>268</v>
      </c>
      <c r="AA73" s="43">
        <v>320</v>
      </c>
      <c r="AB73" s="43">
        <v>235</v>
      </c>
      <c r="AC73" s="43">
        <v>375</v>
      </c>
      <c r="AD73" s="43">
        <v>330</v>
      </c>
      <c r="AE73" s="43">
        <v>434.5</v>
      </c>
      <c r="AF73" s="44">
        <v>12582</v>
      </c>
      <c r="AG73" s="44">
        <v>13039</v>
      </c>
      <c r="AH73" s="44">
        <v>14913</v>
      </c>
      <c r="AI73" s="44">
        <v>6447</v>
      </c>
      <c r="AJ73" s="44">
        <v>8971</v>
      </c>
      <c r="AK73" s="44">
        <v>8916</v>
      </c>
      <c r="AL73" s="44">
        <v>4079</v>
      </c>
      <c r="AM73" s="44">
        <v>1355</v>
      </c>
      <c r="AN73" s="44">
        <v>5762</v>
      </c>
      <c r="AO73" s="44">
        <v>1535</v>
      </c>
      <c r="AP73" s="44">
        <v>917</v>
      </c>
      <c r="AQ73" s="44">
        <v>1619</v>
      </c>
      <c r="AR73" s="44">
        <v>252</v>
      </c>
      <c r="AS73" s="44">
        <v>94</v>
      </c>
      <c r="AT73" s="44">
        <v>956</v>
      </c>
      <c r="AU73" s="44">
        <v>11380</v>
      </c>
      <c r="AV73" s="44">
        <v>2826</v>
      </c>
      <c r="AW73" s="44">
        <v>10153</v>
      </c>
      <c r="AX73" s="44">
        <v>1167</v>
      </c>
      <c r="AY73" s="44">
        <v>2746</v>
      </c>
      <c r="AZ73" s="44">
        <v>4422</v>
      </c>
      <c r="BA73" s="44">
        <v>1711</v>
      </c>
      <c r="BB73" s="44">
        <v>169</v>
      </c>
      <c r="BC73" s="44">
        <v>1988</v>
      </c>
      <c r="BD73" s="44">
        <v>225</v>
      </c>
      <c r="BE73" s="44">
        <v>402</v>
      </c>
      <c r="BF73" s="44">
        <v>239</v>
      </c>
      <c r="BG73" s="44">
        <v>150</v>
      </c>
      <c r="BH73" s="44">
        <v>41</v>
      </c>
      <c r="BI73" s="44">
        <v>948</v>
      </c>
    </row>
    <row r="74" spans="1:61" x14ac:dyDescent="0.2">
      <c r="A74" s="42">
        <v>43070</v>
      </c>
      <c r="B74" s="43">
        <v>1029</v>
      </c>
      <c r="C74" s="43">
        <v>471.5</v>
      </c>
      <c r="D74" s="43">
        <v>750</v>
      </c>
      <c r="E74" s="43">
        <v>350</v>
      </c>
      <c r="F74" s="43">
        <v>535</v>
      </c>
      <c r="G74" s="43">
        <v>450</v>
      </c>
      <c r="H74" s="43">
        <v>470</v>
      </c>
      <c r="I74" s="43">
        <v>273.39999999999998</v>
      </c>
      <c r="J74" s="43">
        <v>515</v>
      </c>
      <c r="K74" s="43">
        <v>340</v>
      </c>
      <c r="L74" s="43">
        <v>421</v>
      </c>
      <c r="M74" s="43">
        <v>285</v>
      </c>
      <c r="N74" s="43">
        <v>513.79999999999995</v>
      </c>
      <c r="O74" s="43">
        <v>437.5</v>
      </c>
      <c r="P74" s="43">
        <v>690</v>
      </c>
      <c r="Q74" s="43">
        <v>741</v>
      </c>
      <c r="R74" s="43">
        <v>410</v>
      </c>
      <c r="S74" s="43">
        <v>568</v>
      </c>
      <c r="T74" s="43">
        <v>280</v>
      </c>
      <c r="U74" s="43">
        <v>391</v>
      </c>
      <c r="V74" s="43">
        <v>385</v>
      </c>
      <c r="W74" s="43">
        <v>390</v>
      </c>
      <c r="X74" s="43">
        <v>170</v>
      </c>
      <c r="Y74" s="43">
        <v>410</v>
      </c>
      <c r="Z74" s="43">
        <v>255</v>
      </c>
      <c r="AA74" s="43">
        <v>330</v>
      </c>
      <c r="AB74" s="43">
        <v>250</v>
      </c>
      <c r="AC74" s="43">
        <v>340</v>
      </c>
      <c r="AD74" s="43">
        <v>290</v>
      </c>
      <c r="AE74" s="43">
        <v>445.5</v>
      </c>
      <c r="AF74" s="44">
        <v>12012</v>
      </c>
      <c r="AG74" s="44">
        <v>13159</v>
      </c>
      <c r="AH74" s="44">
        <v>16039</v>
      </c>
      <c r="AI74" s="44">
        <v>6807</v>
      </c>
      <c r="AJ74" s="44">
        <v>9006</v>
      </c>
      <c r="AK74" s="44">
        <v>9008</v>
      </c>
      <c r="AL74" s="44">
        <v>4455</v>
      </c>
      <c r="AM74" s="44">
        <v>1431</v>
      </c>
      <c r="AN74" s="44">
        <v>6030</v>
      </c>
      <c r="AO74" s="44">
        <v>1566</v>
      </c>
      <c r="AP74" s="44">
        <v>1059</v>
      </c>
      <c r="AQ74" s="44">
        <v>1719</v>
      </c>
      <c r="AR74" s="44">
        <v>246</v>
      </c>
      <c r="AS74" s="44">
        <v>105</v>
      </c>
      <c r="AT74" s="44">
        <v>1279</v>
      </c>
      <c r="AU74" s="44">
        <v>9741</v>
      </c>
      <c r="AV74" s="44">
        <v>2844</v>
      </c>
      <c r="AW74" s="44">
        <v>10399</v>
      </c>
      <c r="AX74" s="44">
        <v>1280</v>
      </c>
      <c r="AY74" s="44">
        <v>2607</v>
      </c>
      <c r="AZ74" s="44">
        <v>4385</v>
      </c>
      <c r="BA74" s="44">
        <v>2032</v>
      </c>
      <c r="BB74" s="44">
        <v>163</v>
      </c>
      <c r="BC74" s="44">
        <v>2071</v>
      </c>
      <c r="BD74" s="44">
        <v>241</v>
      </c>
      <c r="BE74" s="44">
        <v>342</v>
      </c>
      <c r="BF74" s="44">
        <v>310</v>
      </c>
      <c r="BG74" s="44">
        <v>168</v>
      </c>
      <c r="BH74" s="44">
        <v>41</v>
      </c>
      <c r="BI74" s="44">
        <v>980</v>
      </c>
    </row>
    <row r="75" spans="1:61" x14ac:dyDescent="0.2">
      <c r="A75" s="42">
        <v>43160</v>
      </c>
      <c r="B75" s="43">
        <v>955</v>
      </c>
      <c r="C75" s="43">
        <v>480</v>
      </c>
      <c r="D75" s="43">
        <v>731</v>
      </c>
      <c r="E75" s="43">
        <v>355</v>
      </c>
      <c r="F75" s="43">
        <v>526</v>
      </c>
      <c r="G75" s="43">
        <v>449</v>
      </c>
      <c r="H75" s="43">
        <v>465</v>
      </c>
      <c r="I75" s="43">
        <v>280</v>
      </c>
      <c r="J75" s="43">
        <v>510</v>
      </c>
      <c r="K75" s="43">
        <v>338</v>
      </c>
      <c r="L75" s="43">
        <v>449</v>
      </c>
      <c r="M75" s="43">
        <v>295</v>
      </c>
      <c r="N75" s="43">
        <v>500</v>
      </c>
      <c r="O75" s="43">
        <v>445</v>
      </c>
      <c r="P75" s="43">
        <v>698.5</v>
      </c>
      <c r="Q75" s="43">
        <v>742</v>
      </c>
      <c r="R75" s="43">
        <v>415</v>
      </c>
      <c r="S75" s="43">
        <v>565</v>
      </c>
      <c r="T75" s="43">
        <v>295</v>
      </c>
      <c r="U75" s="43">
        <v>385</v>
      </c>
      <c r="V75" s="43">
        <v>390</v>
      </c>
      <c r="W75" s="43">
        <v>370</v>
      </c>
      <c r="X75" s="43">
        <v>202.5</v>
      </c>
      <c r="Y75" s="43">
        <v>400</v>
      </c>
      <c r="Z75" s="43">
        <v>255</v>
      </c>
      <c r="AA75" s="43">
        <v>338.5</v>
      </c>
      <c r="AB75" s="43">
        <v>249</v>
      </c>
      <c r="AC75" s="43">
        <v>328</v>
      </c>
      <c r="AD75" s="43">
        <v>341.5</v>
      </c>
      <c r="AE75" s="43">
        <v>436</v>
      </c>
      <c r="AF75" s="44">
        <v>9935</v>
      </c>
      <c r="AG75" s="44">
        <v>11247</v>
      </c>
      <c r="AH75" s="44">
        <v>12344</v>
      </c>
      <c r="AI75" s="44">
        <v>6751</v>
      </c>
      <c r="AJ75" s="44">
        <v>8475</v>
      </c>
      <c r="AK75" s="44">
        <v>8770</v>
      </c>
      <c r="AL75" s="44">
        <v>4097</v>
      </c>
      <c r="AM75" s="44">
        <v>1519</v>
      </c>
      <c r="AN75" s="44">
        <v>6005</v>
      </c>
      <c r="AO75" s="44">
        <v>1631</v>
      </c>
      <c r="AP75" s="44">
        <v>989</v>
      </c>
      <c r="AQ75" s="44">
        <v>1831</v>
      </c>
      <c r="AR75" s="44">
        <v>245</v>
      </c>
      <c r="AS75" s="44">
        <v>81</v>
      </c>
      <c r="AT75" s="44">
        <v>950</v>
      </c>
      <c r="AU75" s="44">
        <v>8076</v>
      </c>
      <c r="AV75" s="44">
        <v>2539</v>
      </c>
      <c r="AW75" s="44">
        <v>8689</v>
      </c>
      <c r="AX75" s="44">
        <v>1290</v>
      </c>
      <c r="AY75" s="44">
        <v>2604</v>
      </c>
      <c r="AZ75" s="44">
        <v>4356</v>
      </c>
      <c r="BA75" s="44">
        <v>1623</v>
      </c>
      <c r="BB75" s="44">
        <v>167</v>
      </c>
      <c r="BC75" s="44">
        <v>2113</v>
      </c>
      <c r="BD75" s="44">
        <v>252</v>
      </c>
      <c r="BE75" s="44">
        <v>362</v>
      </c>
      <c r="BF75" s="44">
        <v>332</v>
      </c>
      <c r="BG75" s="44">
        <v>143</v>
      </c>
      <c r="BH75" s="44">
        <v>38</v>
      </c>
      <c r="BI75" s="44">
        <v>878</v>
      </c>
    </row>
    <row r="76" spans="1:61" x14ac:dyDescent="0.2">
      <c r="A76" s="42">
        <v>43252</v>
      </c>
      <c r="B76" s="43">
        <v>973.1</v>
      </c>
      <c r="C76" s="43">
        <v>480</v>
      </c>
      <c r="D76" s="43">
        <v>750</v>
      </c>
      <c r="E76" s="43">
        <v>355</v>
      </c>
      <c r="F76" s="43">
        <v>532</v>
      </c>
      <c r="G76" s="43">
        <v>435</v>
      </c>
      <c r="H76" s="43">
        <v>468</v>
      </c>
      <c r="I76" s="43">
        <v>276</v>
      </c>
      <c r="J76" s="43">
        <v>510</v>
      </c>
      <c r="K76" s="43">
        <v>310</v>
      </c>
      <c r="L76" s="43">
        <v>457.8</v>
      </c>
      <c r="M76" s="43">
        <v>300</v>
      </c>
      <c r="N76" s="43">
        <v>506</v>
      </c>
      <c r="O76" s="43">
        <v>453.5</v>
      </c>
      <c r="P76" s="43">
        <v>690</v>
      </c>
      <c r="Q76" s="43">
        <v>730</v>
      </c>
      <c r="R76" s="43">
        <v>415</v>
      </c>
      <c r="S76" s="43">
        <v>600</v>
      </c>
      <c r="T76" s="43">
        <v>305</v>
      </c>
      <c r="U76" s="43">
        <v>385</v>
      </c>
      <c r="V76" s="43">
        <v>390.3</v>
      </c>
      <c r="W76" s="43">
        <v>380</v>
      </c>
      <c r="X76" s="43">
        <v>186</v>
      </c>
      <c r="Y76" s="43">
        <v>408</v>
      </c>
      <c r="Z76" s="43">
        <v>233.1</v>
      </c>
      <c r="AA76" s="43">
        <v>356</v>
      </c>
      <c r="AB76" s="43">
        <v>255</v>
      </c>
      <c r="AC76" s="43">
        <v>338</v>
      </c>
      <c r="AD76" s="43">
        <v>345</v>
      </c>
      <c r="AE76" s="43">
        <v>431.5</v>
      </c>
      <c r="AF76" s="44">
        <v>10879</v>
      </c>
      <c r="AG76" s="44">
        <v>11838</v>
      </c>
      <c r="AH76" s="44">
        <v>13531</v>
      </c>
      <c r="AI76" s="44">
        <v>6731</v>
      </c>
      <c r="AJ76" s="44">
        <v>8497</v>
      </c>
      <c r="AK76" s="44">
        <v>8554</v>
      </c>
      <c r="AL76" s="44">
        <v>4149</v>
      </c>
      <c r="AM76" s="44">
        <v>1421</v>
      </c>
      <c r="AN76" s="44">
        <v>5676</v>
      </c>
      <c r="AO76" s="44">
        <v>1488</v>
      </c>
      <c r="AP76" s="44">
        <v>935</v>
      </c>
      <c r="AQ76" s="44">
        <v>1796</v>
      </c>
      <c r="AR76" s="44">
        <v>236</v>
      </c>
      <c r="AS76" s="44">
        <v>81</v>
      </c>
      <c r="AT76" s="44">
        <v>1057</v>
      </c>
      <c r="AU76" s="44">
        <v>9466</v>
      </c>
      <c r="AV76" s="44">
        <v>2569</v>
      </c>
      <c r="AW76" s="44">
        <v>11413</v>
      </c>
      <c r="AX76" s="44">
        <v>1374</v>
      </c>
      <c r="AY76" s="44">
        <v>2760</v>
      </c>
      <c r="AZ76" s="44">
        <v>4250</v>
      </c>
      <c r="BA76" s="44">
        <v>1786</v>
      </c>
      <c r="BB76" s="44">
        <v>145</v>
      </c>
      <c r="BC76" s="44">
        <v>1913</v>
      </c>
      <c r="BD76" s="44">
        <v>240</v>
      </c>
      <c r="BE76" s="44">
        <v>375</v>
      </c>
      <c r="BF76" s="44">
        <v>333</v>
      </c>
      <c r="BG76" s="44">
        <v>140</v>
      </c>
      <c r="BH76" s="44">
        <v>41</v>
      </c>
      <c r="BI76" s="44">
        <v>1091</v>
      </c>
    </row>
    <row r="77" spans="1:61" x14ac:dyDescent="0.2">
      <c r="A77" s="42">
        <v>43344</v>
      </c>
      <c r="B77" s="43">
        <v>950</v>
      </c>
      <c r="C77" s="43">
        <v>475</v>
      </c>
      <c r="D77" s="43">
        <v>720</v>
      </c>
      <c r="E77" s="43">
        <v>355</v>
      </c>
      <c r="F77" s="43">
        <v>540</v>
      </c>
      <c r="G77" s="43">
        <v>440</v>
      </c>
      <c r="H77" s="43">
        <v>466.3</v>
      </c>
      <c r="I77" s="43">
        <v>280</v>
      </c>
      <c r="J77" s="43">
        <v>485</v>
      </c>
      <c r="K77" s="43">
        <v>321.5</v>
      </c>
      <c r="L77" s="43">
        <v>440.3</v>
      </c>
      <c r="M77" s="43">
        <v>293</v>
      </c>
      <c r="N77" s="43">
        <v>500</v>
      </c>
      <c r="O77" s="43">
        <v>417</v>
      </c>
      <c r="P77" s="43">
        <v>700</v>
      </c>
      <c r="Q77" s="43">
        <v>730</v>
      </c>
      <c r="R77" s="43">
        <v>429</v>
      </c>
      <c r="S77" s="43">
        <v>568</v>
      </c>
      <c r="T77" s="43">
        <v>289.8</v>
      </c>
      <c r="U77" s="43">
        <v>385</v>
      </c>
      <c r="V77" s="43">
        <v>385</v>
      </c>
      <c r="W77" s="43">
        <v>380</v>
      </c>
      <c r="X77" s="43">
        <v>190</v>
      </c>
      <c r="Y77" s="43">
        <v>395</v>
      </c>
      <c r="Z77" s="43">
        <v>240</v>
      </c>
      <c r="AA77" s="43">
        <v>358</v>
      </c>
      <c r="AB77" s="43">
        <v>265</v>
      </c>
      <c r="AC77" s="43">
        <v>335</v>
      </c>
      <c r="AD77" s="43">
        <v>357</v>
      </c>
      <c r="AE77" s="43">
        <v>445</v>
      </c>
      <c r="AF77" s="44">
        <v>9720</v>
      </c>
      <c r="AG77" s="44">
        <v>10770</v>
      </c>
      <c r="AH77" s="44">
        <v>12138</v>
      </c>
      <c r="AI77" s="44">
        <v>6219</v>
      </c>
      <c r="AJ77" s="44">
        <v>8337</v>
      </c>
      <c r="AK77" s="44">
        <v>8651</v>
      </c>
      <c r="AL77" s="44">
        <v>4014</v>
      </c>
      <c r="AM77" s="44">
        <v>1322</v>
      </c>
      <c r="AN77" s="44">
        <v>5875</v>
      </c>
      <c r="AO77" s="44">
        <v>1564</v>
      </c>
      <c r="AP77" s="44">
        <v>896</v>
      </c>
      <c r="AQ77" s="44">
        <v>1581</v>
      </c>
      <c r="AR77" s="44">
        <v>257</v>
      </c>
      <c r="AS77" s="44">
        <v>89</v>
      </c>
      <c r="AT77" s="44">
        <v>881</v>
      </c>
      <c r="AU77" s="44">
        <v>7933</v>
      </c>
      <c r="AV77" s="44">
        <v>2293</v>
      </c>
      <c r="AW77" s="44">
        <v>9080</v>
      </c>
      <c r="AX77" s="44">
        <v>1220</v>
      </c>
      <c r="AY77" s="44">
        <v>2648</v>
      </c>
      <c r="AZ77" s="44">
        <v>4201</v>
      </c>
      <c r="BA77" s="44">
        <v>1701</v>
      </c>
      <c r="BB77" s="44">
        <v>160</v>
      </c>
      <c r="BC77" s="44">
        <v>1965</v>
      </c>
      <c r="BD77" s="44">
        <v>294</v>
      </c>
      <c r="BE77" s="44">
        <v>359</v>
      </c>
      <c r="BF77" s="44">
        <v>302</v>
      </c>
      <c r="BG77" s="44">
        <v>155</v>
      </c>
      <c r="BH77" s="44">
        <v>46</v>
      </c>
      <c r="BI77" s="44">
        <v>942</v>
      </c>
    </row>
    <row r="78" spans="1:61" x14ac:dyDescent="0.2">
      <c r="A78" s="42">
        <v>43435</v>
      </c>
      <c r="B78" s="43">
        <v>940</v>
      </c>
      <c r="C78" s="43">
        <v>464.8</v>
      </c>
      <c r="D78" s="43">
        <v>735</v>
      </c>
      <c r="E78" s="43">
        <v>370</v>
      </c>
      <c r="F78" s="43">
        <v>540</v>
      </c>
      <c r="G78" s="43">
        <v>433</v>
      </c>
      <c r="H78" s="43">
        <v>480</v>
      </c>
      <c r="I78" s="43">
        <v>295</v>
      </c>
      <c r="J78" s="43">
        <v>489</v>
      </c>
      <c r="K78" s="43">
        <v>320</v>
      </c>
      <c r="L78" s="43">
        <v>465</v>
      </c>
      <c r="M78" s="43">
        <v>310</v>
      </c>
      <c r="N78" s="43">
        <v>510</v>
      </c>
      <c r="O78" s="43">
        <v>452.5</v>
      </c>
      <c r="P78" s="43">
        <v>720</v>
      </c>
      <c r="Q78" s="43">
        <v>725</v>
      </c>
      <c r="R78" s="43">
        <v>412</v>
      </c>
      <c r="S78" s="43">
        <v>565</v>
      </c>
      <c r="T78" s="43">
        <v>295</v>
      </c>
      <c r="U78" s="43">
        <v>390</v>
      </c>
      <c r="V78" s="43">
        <v>390</v>
      </c>
      <c r="W78" s="43">
        <v>371</v>
      </c>
      <c r="X78" s="43">
        <v>190</v>
      </c>
      <c r="Y78" s="43">
        <v>392</v>
      </c>
      <c r="Z78" s="43">
        <v>265</v>
      </c>
      <c r="AA78" s="43">
        <v>375</v>
      </c>
      <c r="AB78" s="43">
        <v>259.5</v>
      </c>
      <c r="AC78" s="43">
        <v>340</v>
      </c>
      <c r="AD78" s="43">
        <v>360</v>
      </c>
      <c r="AE78" s="43">
        <v>447.9</v>
      </c>
      <c r="AF78" s="44">
        <v>9621</v>
      </c>
      <c r="AG78" s="44">
        <v>11238</v>
      </c>
      <c r="AH78" s="44">
        <v>12270</v>
      </c>
      <c r="AI78" s="44">
        <v>6208</v>
      </c>
      <c r="AJ78" s="44">
        <v>7867</v>
      </c>
      <c r="AK78" s="44">
        <v>8201</v>
      </c>
      <c r="AL78" s="44">
        <v>4282</v>
      </c>
      <c r="AM78" s="44">
        <v>1378</v>
      </c>
      <c r="AN78" s="44">
        <v>5752</v>
      </c>
      <c r="AO78" s="44">
        <v>1634</v>
      </c>
      <c r="AP78" s="44">
        <v>907</v>
      </c>
      <c r="AQ78" s="44">
        <v>1593</v>
      </c>
      <c r="AR78" s="44">
        <v>249</v>
      </c>
      <c r="AS78" s="44">
        <v>78</v>
      </c>
      <c r="AT78" s="44">
        <v>1026</v>
      </c>
      <c r="AU78" s="44">
        <v>7301</v>
      </c>
      <c r="AV78" s="44">
        <v>2351</v>
      </c>
      <c r="AW78" s="44">
        <v>8497</v>
      </c>
      <c r="AX78" s="44">
        <v>1207</v>
      </c>
      <c r="AY78" s="44">
        <v>2455</v>
      </c>
      <c r="AZ78" s="44">
        <v>3749</v>
      </c>
      <c r="BA78" s="44">
        <v>1701</v>
      </c>
      <c r="BB78" s="44">
        <v>159</v>
      </c>
      <c r="BC78" s="44">
        <v>1797</v>
      </c>
      <c r="BD78" s="44">
        <v>270</v>
      </c>
      <c r="BE78" s="44">
        <v>366</v>
      </c>
      <c r="BF78" s="44">
        <v>264</v>
      </c>
      <c r="BG78" s="44">
        <v>125</v>
      </c>
      <c r="BH78" s="44">
        <v>41</v>
      </c>
      <c r="BI78" s="44">
        <v>1043</v>
      </c>
    </row>
    <row r="79" spans="1:61" x14ac:dyDescent="0.2">
      <c r="A79" s="42">
        <v>43525</v>
      </c>
      <c r="B79" s="43">
        <v>870</v>
      </c>
      <c r="C79" s="43">
        <v>462</v>
      </c>
      <c r="D79" s="43">
        <v>685</v>
      </c>
      <c r="E79" s="43">
        <v>370</v>
      </c>
      <c r="F79" s="43">
        <v>533</v>
      </c>
      <c r="G79" s="43">
        <v>434</v>
      </c>
      <c r="H79" s="43">
        <v>475</v>
      </c>
      <c r="I79" s="43">
        <v>285</v>
      </c>
      <c r="J79" s="43">
        <v>490</v>
      </c>
      <c r="K79" s="43">
        <v>330</v>
      </c>
      <c r="L79" s="43">
        <v>471.5</v>
      </c>
      <c r="M79" s="43">
        <v>310</v>
      </c>
      <c r="N79" s="43">
        <v>485</v>
      </c>
      <c r="O79" s="43">
        <v>419.5</v>
      </c>
      <c r="P79" s="43">
        <v>690</v>
      </c>
      <c r="Q79" s="43">
        <v>695</v>
      </c>
      <c r="R79" s="43">
        <v>410</v>
      </c>
      <c r="S79" s="43">
        <v>555</v>
      </c>
      <c r="T79" s="43">
        <v>292.3</v>
      </c>
      <c r="U79" s="43">
        <v>387.8</v>
      </c>
      <c r="V79" s="43">
        <v>388</v>
      </c>
      <c r="W79" s="43">
        <v>400</v>
      </c>
      <c r="X79" s="43">
        <v>185</v>
      </c>
      <c r="Y79" s="43">
        <v>387.5</v>
      </c>
      <c r="Z79" s="43">
        <v>256.5</v>
      </c>
      <c r="AA79" s="43">
        <v>390</v>
      </c>
      <c r="AB79" s="43">
        <v>280</v>
      </c>
      <c r="AC79" s="43">
        <v>292.5</v>
      </c>
      <c r="AD79" s="43">
        <v>362</v>
      </c>
      <c r="AE79" s="43">
        <v>450</v>
      </c>
      <c r="AF79" s="44">
        <v>8565</v>
      </c>
      <c r="AG79" s="44">
        <v>9599</v>
      </c>
      <c r="AH79" s="44">
        <v>10284</v>
      </c>
      <c r="AI79" s="44">
        <v>5534</v>
      </c>
      <c r="AJ79" s="44">
        <v>7380</v>
      </c>
      <c r="AK79" s="44">
        <v>7739</v>
      </c>
      <c r="AL79" s="44">
        <v>3793</v>
      </c>
      <c r="AM79" s="44">
        <v>1410</v>
      </c>
      <c r="AN79" s="44">
        <v>5717</v>
      </c>
      <c r="AO79" s="44">
        <v>1579</v>
      </c>
      <c r="AP79" s="44">
        <v>903</v>
      </c>
      <c r="AQ79" s="44">
        <v>1607</v>
      </c>
      <c r="AR79" s="44">
        <v>221</v>
      </c>
      <c r="AS79" s="44">
        <v>80</v>
      </c>
      <c r="AT79" s="44">
        <v>777</v>
      </c>
      <c r="AU79" s="44">
        <v>6344</v>
      </c>
      <c r="AV79" s="44">
        <v>2003</v>
      </c>
      <c r="AW79" s="44">
        <v>7512</v>
      </c>
      <c r="AX79" s="44">
        <v>1076</v>
      </c>
      <c r="AY79" s="44">
        <v>2346</v>
      </c>
      <c r="AZ79" s="44">
        <v>3758</v>
      </c>
      <c r="BA79" s="44">
        <v>1861</v>
      </c>
      <c r="BB79" s="44">
        <v>149</v>
      </c>
      <c r="BC79" s="44">
        <v>1849</v>
      </c>
      <c r="BD79" s="44">
        <v>230</v>
      </c>
      <c r="BE79" s="44">
        <v>341</v>
      </c>
      <c r="BF79" s="44">
        <v>289</v>
      </c>
      <c r="BG79" s="44">
        <v>120</v>
      </c>
      <c r="BH79" s="44">
        <v>46</v>
      </c>
      <c r="BI79" s="44">
        <v>739</v>
      </c>
    </row>
    <row r="80" spans="1:61" x14ac:dyDescent="0.2">
      <c r="A80" s="42">
        <v>43617</v>
      </c>
      <c r="B80" s="43">
        <v>897</v>
      </c>
      <c r="C80" s="43">
        <v>470</v>
      </c>
      <c r="D80" s="43">
        <v>700</v>
      </c>
      <c r="E80" s="43">
        <v>370</v>
      </c>
      <c r="F80" s="43">
        <v>538</v>
      </c>
      <c r="G80" s="43">
        <v>440</v>
      </c>
      <c r="H80" s="43">
        <v>478.5</v>
      </c>
      <c r="I80" s="43">
        <v>276.5</v>
      </c>
      <c r="J80" s="43">
        <v>480</v>
      </c>
      <c r="K80" s="43">
        <v>320</v>
      </c>
      <c r="L80" s="43">
        <v>490</v>
      </c>
      <c r="M80" s="43">
        <v>310</v>
      </c>
      <c r="N80" s="43">
        <v>470</v>
      </c>
      <c r="O80" s="43">
        <v>422.5</v>
      </c>
      <c r="P80" s="43">
        <v>715</v>
      </c>
      <c r="Q80" s="43">
        <v>700</v>
      </c>
      <c r="R80" s="43">
        <v>422</v>
      </c>
      <c r="S80" s="43">
        <v>560</v>
      </c>
      <c r="T80" s="43">
        <v>290</v>
      </c>
      <c r="U80" s="43">
        <v>390</v>
      </c>
      <c r="V80" s="43">
        <v>385</v>
      </c>
      <c r="W80" s="43">
        <v>390</v>
      </c>
      <c r="X80" s="43">
        <v>192</v>
      </c>
      <c r="Y80" s="43">
        <v>379</v>
      </c>
      <c r="Z80" s="43">
        <v>230</v>
      </c>
      <c r="AA80" s="43">
        <v>382.5</v>
      </c>
      <c r="AB80" s="43">
        <v>267</v>
      </c>
      <c r="AC80" s="43">
        <v>306.5</v>
      </c>
      <c r="AD80" s="43">
        <v>351</v>
      </c>
      <c r="AE80" s="43">
        <v>450</v>
      </c>
      <c r="AF80" s="44">
        <v>10397</v>
      </c>
      <c r="AG80" s="44">
        <v>10152</v>
      </c>
      <c r="AH80" s="44">
        <v>12317</v>
      </c>
      <c r="AI80" s="44">
        <v>5447</v>
      </c>
      <c r="AJ80" s="44">
        <v>7514</v>
      </c>
      <c r="AK80" s="44">
        <v>7731</v>
      </c>
      <c r="AL80" s="44">
        <v>3944</v>
      </c>
      <c r="AM80" s="44">
        <v>1310</v>
      </c>
      <c r="AN80" s="44">
        <v>5676</v>
      </c>
      <c r="AO80" s="44">
        <v>1416</v>
      </c>
      <c r="AP80" s="44">
        <v>836</v>
      </c>
      <c r="AQ80" s="44">
        <v>1435</v>
      </c>
      <c r="AR80" s="44">
        <v>223</v>
      </c>
      <c r="AS80" s="44">
        <v>78</v>
      </c>
      <c r="AT80" s="44">
        <v>979</v>
      </c>
      <c r="AU80" s="44">
        <v>8489</v>
      </c>
      <c r="AV80" s="44">
        <v>2235</v>
      </c>
      <c r="AW80" s="44">
        <v>9095</v>
      </c>
      <c r="AX80" s="44">
        <v>1132</v>
      </c>
      <c r="AY80" s="44">
        <v>2265</v>
      </c>
      <c r="AZ80" s="44">
        <v>3849</v>
      </c>
      <c r="BA80" s="44">
        <v>1843</v>
      </c>
      <c r="BB80" s="44">
        <v>127</v>
      </c>
      <c r="BC80" s="44">
        <v>1738</v>
      </c>
      <c r="BD80" s="44">
        <v>227</v>
      </c>
      <c r="BE80" s="44">
        <v>348</v>
      </c>
      <c r="BF80" s="44">
        <v>284</v>
      </c>
      <c r="BG80" s="44">
        <v>170</v>
      </c>
      <c r="BH80" s="44">
        <v>34</v>
      </c>
      <c r="BI80" s="44">
        <v>855</v>
      </c>
    </row>
    <row r="81" spans="1:61" x14ac:dyDescent="0.2">
      <c r="A81" s="42">
        <v>43709</v>
      </c>
      <c r="B81" s="43">
        <v>900</v>
      </c>
      <c r="C81" s="43">
        <v>475</v>
      </c>
      <c r="D81" s="43">
        <v>705</v>
      </c>
      <c r="E81" s="43">
        <v>375</v>
      </c>
      <c r="F81" s="43">
        <v>540</v>
      </c>
      <c r="G81" s="43">
        <v>441</v>
      </c>
      <c r="H81" s="43">
        <v>474</v>
      </c>
      <c r="I81" s="43">
        <v>287.5</v>
      </c>
      <c r="J81" s="43">
        <v>478</v>
      </c>
      <c r="K81" s="43">
        <v>310</v>
      </c>
      <c r="L81" s="43">
        <v>480</v>
      </c>
      <c r="M81" s="43">
        <v>320</v>
      </c>
      <c r="N81" s="43">
        <v>489</v>
      </c>
      <c r="O81" s="43">
        <v>410</v>
      </c>
      <c r="P81" s="43">
        <v>676</v>
      </c>
      <c r="Q81" s="43">
        <v>710</v>
      </c>
      <c r="R81" s="43">
        <v>426</v>
      </c>
      <c r="S81" s="43">
        <v>570</v>
      </c>
      <c r="T81" s="43">
        <v>305</v>
      </c>
      <c r="U81" s="43">
        <v>397.5</v>
      </c>
      <c r="V81" s="43">
        <v>393</v>
      </c>
      <c r="W81" s="43">
        <v>380</v>
      </c>
      <c r="X81" s="43">
        <v>185</v>
      </c>
      <c r="Y81" s="43">
        <v>380</v>
      </c>
      <c r="Z81" s="43">
        <v>240</v>
      </c>
      <c r="AA81" s="43">
        <v>385</v>
      </c>
      <c r="AB81" s="43">
        <v>270</v>
      </c>
      <c r="AC81" s="43">
        <v>285</v>
      </c>
      <c r="AD81" s="43">
        <v>357.5</v>
      </c>
      <c r="AE81" s="43">
        <v>456.9</v>
      </c>
      <c r="AF81" s="44">
        <v>12196</v>
      </c>
      <c r="AG81" s="44">
        <v>11377</v>
      </c>
      <c r="AH81" s="44">
        <v>12832</v>
      </c>
      <c r="AI81" s="44">
        <v>5898</v>
      </c>
      <c r="AJ81" s="44">
        <v>8520</v>
      </c>
      <c r="AK81" s="44">
        <v>9405</v>
      </c>
      <c r="AL81" s="44">
        <v>4016</v>
      </c>
      <c r="AM81" s="44">
        <v>1374</v>
      </c>
      <c r="AN81" s="44">
        <v>6013</v>
      </c>
      <c r="AO81" s="44">
        <v>1742</v>
      </c>
      <c r="AP81" s="44">
        <v>872</v>
      </c>
      <c r="AQ81" s="44">
        <v>1499</v>
      </c>
      <c r="AR81" s="44">
        <v>230</v>
      </c>
      <c r="AS81" s="44">
        <v>71</v>
      </c>
      <c r="AT81" s="44">
        <v>1207</v>
      </c>
      <c r="AU81" s="44">
        <v>10383</v>
      </c>
      <c r="AV81" s="44">
        <v>2658</v>
      </c>
      <c r="AW81" s="44">
        <v>9594</v>
      </c>
      <c r="AX81" s="44">
        <v>1221</v>
      </c>
      <c r="AY81" s="44">
        <v>2755</v>
      </c>
      <c r="AZ81" s="44">
        <v>4331</v>
      </c>
      <c r="BA81" s="44">
        <v>1751</v>
      </c>
      <c r="BB81" s="44">
        <v>169</v>
      </c>
      <c r="BC81" s="44">
        <v>1974</v>
      </c>
      <c r="BD81" s="44">
        <v>297</v>
      </c>
      <c r="BE81" s="44">
        <v>333</v>
      </c>
      <c r="BF81" s="44">
        <v>314</v>
      </c>
      <c r="BG81" s="44">
        <v>157</v>
      </c>
      <c r="BH81" s="44">
        <v>52</v>
      </c>
      <c r="BI81" s="44">
        <v>1095</v>
      </c>
    </row>
    <row r="82" spans="1:61" x14ac:dyDescent="0.2">
      <c r="A82" s="42">
        <v>43800</v>
      </c>
      <c r="B82" s="43">
        <v>985</v>
      </c>
      <c r="C82" s="43">
        <v>500</v>
      </c>
      <c r="D82" s="43">
        <v>760</v>
      </c>
      <c r="E82" s="43">
        <v>390</v>
      </c>
      <c r="F82" s="43">
        <v>550</v>
      </c>
      <c r="G82" s="43">
        <v>448</v>
      </c>
      <c r="H82" s="43">
        <v>485</v>
      </c>
      <c r="I82" s="43">
        <v>290</v>
      </c>
      <c r="J82" s="43">
        <v>495</v>
      </c>
      <c r="K82" s="43">
        <v>337.8</v>
      </c>
      <c r="L82" s="43">
        <v>517</v>
      </c>
      <c r="M82" s="43">
        <v>340</v>
      </c>
      <c r="N82" s="43">
        <v>470</v>
      </c>
      <c r="O82" s="43">
        <v>434.5</v>
      </c>
      <c r="P82" s="43">
        <v>745</v>
      </c>
      <c r="Q82" s="43">
        <v>736</v>
      </c>
      <c r="R82" s="43">
        <v>440</v>
      </c>
      <c r="S82" s="43">
        <v>600</v>
      </c>
      <c r="T82" s="43">
        <v>340</v>
      </c>
      <c r="U82" s="43">
        <v>399</v>
      </c>
      <c r="V82" s="43">
        <v>395</v>
      </c>
      <c r="W82" s="43">
        <v>385</v>
      </c>
      <c r="X82" s="43">
        <v>190</v>
      </c>
      <c r="Y82" s="43">
        <v>380</v>
      </c>
      <c r="Z82" s="43">
        <v>246.5</v>
      </c>
      <c r="AA82" s="43">
        <v>400</v>
      </c>
      <c r="AB82" s="43">
        <v>295</v>
      </c>
      <c r="AC82" s="43">
        <v>320</v>
      </c>
      <c r="AD82" s="43">
        <v>300</v>
      </c>
      <c r="AE82" s="43">
        <v>473.3</v>
      </c>
      <c r="AF82" s="44">
        <v>13545</v>
      </c>
      <c r="AG82" s="44">
        <v>12304</v>
      </c>
      <c r="AH82" s="44">
        <v>15628</v>
      </c>
      <c r="AI82" s="44">
        <v>6858</v>
      </c>
      <c r="AJ82" s="44">
        <v>8429</v>
      </c>
      <c r="AK82" s="44">
        <v>9111</v>
      </c>
      <c r="AL82" s="44">
        <v>4215</v>
      </c>
      <c r="AM82" s="44">
        <v>1578</v>
      </c>
      <c r="AN82" s="44">
        <v>6229</v>
      </c>
      <c r="AO82" s="44">
        <v>1734</v>
      </c>
      <c r="AP82" s="44">
        <v>877</v>
      </c>
      <c r="AQ82" s="44">
        <v>1616</v>
      </c>
      <c r="AR82" s="44">
        <v>239</v>
      </c>
      <c r="AS82" s="44">
        <v>76</v>
      </c>
      <c r="AT82" s="44">
        <v>1321</v>
      </c>
      <c r="AU82" s="44">
        <v>10963</v>
      </c>
      <c r="AV82" s="44">
        <v>2884</v>
      </c>
      <c r="AW82" s="44">
        <v>11399</v>
      </c>
      <c r="AX82" s="44">
        <v>1447</v>
      </c>
      <c r="AY82" s="44">
        <v>2796</v>
      </c>
      <c r="AZ82" s="44">
        <v>4481</v>
      </c>
      <c r="BA82" s="44">
        <v>1807</v>
      </c>
      <c r="BB82" s="44">
        <v>160</v>
      </c>
      <c r="BC82" s="44">
        <v>2076</v>
      </c>
      <c r="BD82" s="44">
        <v>264</v>
      </c>
      <c r="BE82" s="44">
        <v>330</v>
      </c>
      <c r="BF82" s="44">
        <v>279</v>
      </c>
      <c r="BG82" s="44">
        <v>155</v>
      </c>
      <c r="BH82" s="44">
        <v>36</v>
      </c>
      <c r="BI82" s="44">
        <v>1242</v>
      </c>
    </row>
    <row r="83" spans="1:61" x14ac:dyDescent="0.2">
      <c r="A83" s="42">
        <v>43891</v>
      </c>
      <c r="B83" s="43">
        <v>947.5</v>
      </c>
      <c r="C83" s="43">
        <v>490</v>
      </c>
      <c r="D83" s="43">
        <v>730</v>
      </c>
      <c r="E83" s="43">
        <v>390</v>
      </c>
      <c r="F83" s="43">
        <v>540</v>
      </c>
      <c r="G83" s="43">
        <v>430</v>
      </c>
      <c r="H83" s="43">
        <v>472</v>
      </c>
      <c r="I83" s="43">
        <v>290</v>
      </c>
      <c r="J83" s="43">
        <v>477.5</v>
      </c>
      <c r="K83" s="43">
        <v>337</v>
      </c>
      <c r="L83" s="43">
        <v>529</v>
      </c>
      <c r="M83" s="43">
        <v>335.5</v>
      </c>
      <c r="N83" s="43">
        <v>470</v>
      </c>
      <c r="O83" s="43">
        <v>420</v>
      </c>
      <c r="P83" s="43">
        <v>720.5</v>
      </c>
      <c r="Q83" s="43">
        <v>730</v>
      </c>
      <c r="R83" s="43">
        <v>450</v>
      </c>
      <c r="S83" s="43">
        <v>593</v>
      </c>
      <c r="T83" s="43">
        <v>340</v>
      </c>
      <c r="U83" s="43">
        <v>390</v>
      </c>
      <c r="V83" s="43">
        <v>400</v>
      </c>
      <c r="W83" s="43">
        <v>390</v>
      </c>
      <c r="X83" s="43">
        <v>197</v>
      </c>
      <c r="Y83" s="43">
        <v>380</v>
      </c>
      <c r="Z83" s="43">
        <v>233.3</v>
      </c>
      <c r="AA83" s="43">
        <v>425</v>
      </c>
      <c r="AB83" s="43">
        <v>298</v>
      </c>
      <c r="AC83" s="43">
        <v>299</v>
      </c>
      <c r="AD83" s="43">
        <v>328.5</v>
      </c>
      <c r="AE83" s="43">
        <v>460</v>
      </c>
      <c r="AF83" s="44">
        <v>10009</v>
      </c>
      <c r="AG83" s="44">
        <v>10137</v>
      </c>
      <c r="AH83" s="44">
        <v>11249</v>
      </c>
      <c r="AI83" s="44">
        <v>5978</v>
      </c>
      <c r="AJ83" s="44">
        <v>7605</v>
      </c>
      <c r="AK83" s="44">
        <v>8427</v>
      </c>
      <c r="AL83" s="44">
        <v>3625</v>
      </c>
      <c r="AM83" s="44">
        <v>1368</v>
      </c>
      <c r="AN83" s="44">
        <v>5782</v>
      </c>
      <c r="AO83" s="44">
        <v>1639</v>
      </c>
      <c r="AP83" s="44">
        <v>781</v>
      </c>
      <c r="AQ83" s="44">
        <v>1706</v>
      </c>
      <c r="AR83" s="44">
        <v>221</v>
      </c>
      <c r="AS83" s="44">
        <v>65</v>
      </c>
      <c r="AT83" s="44">
        <v>1035</v>
      </c>
      <c r="AU83" s="44">
        <v>8960</v>
      </c>
      <c r="AV83" s="44">
        <v>2565</v>
      </c>
      <c r="AW83" s="44">
        <v>8764</v>
      </c>
      <c r="AX83" s="44">
        <v>1383</v>
      </c>
      <c r="AY83" s="44">
        <v>2830</v>
      </c>
      <c r="AZ83" s="44">
        <v>4081</v>
      </c>
      <c r="BA83" s="44">
        <v>1671</v>
      </c>
      <c r="BB83" s="44">
        <v>168</v>
      </c>
      <c r="BC83" s="44">
        <v>2027</v>
      </c>
      <c r="BD83" s="44">
        <v>281</v>
      </c>
      <c r="BE83" s="44">
        <v>312</v>
      </c>
      <c r="BF83" s="44">
        <v>261</v>
      </c>
      <c r="BG83" s="44">
        <v>129</v>
      </c>
      <c r="BH83" s="44">
        <v>35</v>
      </c>
      <c r="BI83" s="44">
        <v>1015</v>
      </c>
    </row>
    <row r="84" spans="1:61" x14ac:dyDescent="0.2">
      <c r="A84" s="42">
        <v>43983</v>
      </c>
      <c r="B84" s="43">
        <v>955</v>
      </c>
      <c r="C84" s="43">
        <v>490</v>
      </c>
      <c r="D84" s="43">
        <v>720</v>
      </c>
      <c r="E84" s="43">
        <v>395</v>
      </c>
      <c r="F84" s="43">
        <v>547</v>
      </c>
      <c r="G84" s="43">
        <v>430</v>
      </c>
      <c r="H84" s="43">
        <v>487.5</v>
      </c>
      <c r="I84" s="43">
        <v>280</v>
      </c>
      <c r="J84" s="43">
        <v>475</v>
      </c>
      <c r="K84" s="43">
        <v>327</v>
      </c>
      <c r="L84" s="43">
        <v>520</v>
      </c>
      <c r="M84" s="43">
        <v>340</v>
      </c>
      <c r="N84" s="43">
        <v>465</v>
      </c>
      <c r="O84" s="43">
        <v>434.5</v>
      </c>
      <c r="P84" s="43">
        <v>720</v>
      </c>
      <c r="Q84" s="43">
        <v>730</v>
      </c>
      <c r="R84" s="43">
        <v>471</v>
      </c>
      <c r="S84" s="43">
        <v>600</v>
      </c>
      <c r="T84" s="43">
        <v>371.7</v>
      </c>
      <c r="U84" s="43">
        <v>386.5</v>
      </c>
      <c r="V84" s="43">
        <v>404</v>
      </c>
      <c r="W84" s="43">
        <v>421.3</v>
      </c>
      <c r="X84" s="43">
        <v>170</v>
      </c>
      <c r="Y84" s="43">
        <v>350</v>
      </c>
      <c r="Z84" s="43">
        <v>210</v>
      </c>
      <c r="AA84" s="43">
        <v>394.5</v>
      </c>
      <c r="AB84" s="43">
        <v>293.5</v>
      </c>
      <c r="AC84" s="43">
        <v>272</v>
      </c>
      <c r="AD84" s="43">
        <v>365</v>
      </c>
      <c r="AE84" s="43">
        <v>460</v>
      </c>
      <c r="AF84" s="44">
        <v>9532</v>
      </c>
      <c r="AG84" s="44">
        <v>9623</v>
      </c>
      <c r="AH84" s="44">
        <v>9335</v>
      </c>
      <c r="AI84" s="44">
        <v>4728</v>
      </c>
      <c r="AJ84" s="44">
        <v>6917</v>
      </c>
      <c r="AK84" s="44">
        <v>7961</v>
      </c>
      <c r="AL84" s="44">
        <v>3354</v>
      </c>
      <c r="AM84" s="44">
        <v>1250</v>
      </c>
      <c r="AN84" s="44">
        <v>5297</v>
      </c>
      <c r="AO84" s="44">
        <v>1692</v>
      </c>
      <c r="AP84" s="44">
        <v>647</v>
      </c>
      <c r="AQ84" s="44">
        <v>1095</v>
      </c>
      <c r="AR84" s="44">
        <v>209</v>
      </c>
      <c r="AS84" s="44">
        <v>68</v>
      </c>
      <c r="AT84" s="44">
        <v>1008</v>
      </c>
      <c r="AU84" s="44">
        <v>7010</v>
      </c>
      <c r="AV84" s="44">
        <v>2029</v>
      </c>
      <c r="AW84" s="44">
        <v>7441</v>
      </c>
      <c r="AX84" s="44">
        <v>1046</v>
      </c>
      <c r="AY84" s="44">
        <v>2100</v>
      </c>
      <c r="AZ84" s="44">
        <v>3065</v>
      </c>
      <c r="BA84" s="44">
        <v>1645</v>
      </c>
      <c r="BB84" s="44">
        <v>143</v>
      </c>
      <c r="BC84" s="44">
        <v>1745</v>
      </c>
      <c r="BD84" s="44">
        <v>215</v>
      </c>
      <c r="BE84" s="44">
        <v>248</v>
      </c>
      <c r="BF84" s="44">
        <v>192</v>
      </c>
      <c r="BG84" s="44">
        <v>142</v>
      </c>
      <c r="BH84" s="44">
        <v>31</v>
      </c>
      <c r="BI84" s="44">
        <v>1009</v>
      </c>
    </row>
    <row r="85" spans="1:61" x14ac:dyDescent="0.2">
      <c r="A85" s="42">
        <v>44075</v>
      </c>
      <c r="B85" s="43">
        <v>945</v>
      </c>
      <c r="C85" s="43">
        <v>510</v>
      </c>
      <c r="D85" s="43">
        <v>710</v>
      </c>
      <c r="E85" s="43">
        <v>410</v>
      </c>
      <c r="F85" s="43">
        <v>555</v>
      </c>
      <c r="G85" s="43">
        <v>449</v>
      </c>
      <c r="H85" s="43">
        <v>500</v>
      </c>
      <c r="I85" s="43">
        <v>285</v>
      </c>
      <c r="J85" s="43">
        <v>495</v>
      </c>
      <c r="K85" s="43">
        <v>365</v>
      </c>
      <c r="L85" s="43">
        <v>528.5</v>
      </c>
      <c r="M85" s="43">
        <v>350</v>
      </c>
      <c r="N85" s="43">
        <v>500</v>
      </c>
      <c r="O85" s="43">
        <v>440</v>
      </c>
      <c r="P85" s="43">
        <v>755</v>
      </c>
      <c r="Q85" s="43">
        <v>730</v>
      </c>
      <c r="R85" s="43">
        <v>475</v>
      </c>
      <c r="S85" s="43">
        <v>595</v>
      </c>
      <c r="T85" s="43">
        <v>360</v>
      </c>
      <c r="U85" s="43">
        <v>400</v>
      </c>
      <c r="V85" s="43">
        <v>412.5</v>
      </c>
      <c r="W85" s="43">
        <v>411.8</v>
      </c>
      <c r="X85" s="43">
        <v>201</v>
      </c>
      <c r="Y85" s="43">
        <v>385</v>
      </c>
      <c r="Z85" s="43">
        <v>247</v>
      </c>
      <c r="AA85" s="43">
        <v>420</v>
      </c>
      <c r="AB85" s="43">
        <v>305</v>
      </c>
      <c r="AC85" s="43">
        <v>285</v>
      </c>
      <c r="AD85" s="43">
        <v>290</v>
      </c>
      <c r="AE85" s="43">
        <v>488</v>
      </c>
      <c r="AF85" s="44">
        <v>14050</v>
      </c>
      <c r="AG85" s="44">
        <v>15136</v>
      </c>
      <c r="AH85" s="44">
        <v>7227</v>
      </c>
      <c r="AI85" s="44">
        <v>6624</v>
      </c>
      <c r="AJ85" s="44">
        <v>10023</v>
      </c>
      <c r="AK85" s="44">
        <v>12540</v>
      </c>
      <c r="AL85" s="44">
        <v>4291</v>
      </c>
      <c r="AM85" s="44">
        <v>1874</v>
      </c>
      <c r="AN85" s="44">
        <v>7847</v>
      </c>
      <c r="AO85" s="44">
        <v>2597</v>
      </c>
      <c r="AP85" s="44">
        <v>756</v>
      </c>
      <c r="AQ85" s="44">
        <v>1715</v>
      </c>
      <c r="AR85" s="44">
        <v>262</v>
      </c>
      <c r="AS85" s="44">
        <v>121</v>
      </c>
      <c r="AT85" s="44">
        <v>1424</v>
      </c>
      <c r="AU85" s="44">
        <v>10394</v>
      </c>
      <c r="AV85" s="44">
        <v>3498</v>
      </c>
      <c r="AW85" s="44">
        <v>5485</v>
      </c>
      <c r="AX85" s="44">
        <v>1511</v>
      </c>
      <c r="AY85" s="44">
        <v>3162</v>
      </c>
      <c r="AZ85" s="44">
        <v>5192</v>
      </c>
      <c r="BA85" s="44">
        <v>1984</v>
      </c>
      <c r="BB85" s="44">
        <v>204</v>
      </c>
      <c r="BC85" s="44">
        <v>2466</v>
      </c>
      <c r="BD85" s="44">
        <v>319</v>
      </c>
      <c r="BE85" s="44">
        <v>347</v>
      </c>
      <c r="BF85" s="44">
        <v>341</v>
      </c>
      <c r="BG85" s="44">
        <v>117</v>
      </c>
      <c r="BH85" s="44">
        <v>27</v>
      </c>
      <c r="BI85" s="44">
        <v>1468</v>
      </c>
    </row>
    <row r="86" spans="1:61" x14ac:dyDescent="0.2">
      <c r="A86" s="42">
        <v>44166</v>
      </c>
      <c r="B86" s="43">
        <v>999</v>
      </c>
      <c r="C86" s="43">
        <v>541</v>
      </c>
      <c r="D86" s="43">
        <v>760</v>
      </c>
      <c r="E86" s="43">
        <v>439</v>
      </c>
      <c r="F86" s="43">
        <v>575</v>
      </c>
      <c r="G86" s="43">
        <v>460</v>
      </c>
      <c r="H86" s="43">
        <v>512.5</v>
      </c>
      <c r="I86" s="43">
        <v>307.5</v>
      </c>
      <c r="J86" s="43">
        <v>528</v>
      </c>
      <c r="K86" s="43">
        <v>375</v>
      </c>
      <c r="L86" s="43">
        <v>567.70000000000005</v>
      </c>
      <c r="M86" s="43">
        <v>380</v>
      </c>
      <c r="N86" s="43">
        <v>522.5</v>
      </c>
      <c r="O86" s="43">
        <v>417.5</v>
      </c>
      <c r="P86" s="43">
        <v>785</v>
      </c>
      <c r="Q86" s="43">
        <v>743</v>
      </c>
      <c r="R86" s="43">
        <v>480</v>
      </c>
      <c r="S86" s="43">
        <v>620</v>
      </c>
      <c r="T86" s="43">
        <v>351</v>
      </c>
      <c r="U86" s="43">
        <v>415</v>
      </c>
      <c r="V86" s="43">
        <v>430</v>
      </c>
      <c r="W86" s="43">
        <v>415</v>
      </c>
      <c r="X86" s="43">
        <v>217.5</v>
      </c>
      <c r="Y86" s="43">
        <v>400</v>
      </c>
      <c r="Z86" s="43">
        <v>270</v>
      </c>
      <c r="AA86" s="43">
        <v>441</v>
      </c>
      <c r="AB86" s="43">
        <v>321</v>
      </c>
      <c r="AC86" s="43">
        <v>292.5</v>
      </c>
      <c r="AD86" s="43">
        <v>348.5</v>
      </c>
      <c r="AE86" s="43">
        <v>498</v>
      </c>
      <c r="AF86" s="44">
        <v>16275</v>
      </c>
      <c r="AG86" s="44">
        <v>16545</v>
      </c>
      <c r="AH86" s="44">
        <v>15775</v>
      </c>
      <c r="AI86" s="44">
        <v>7988</v>
      </c>
      <c r="AJ86" s="44">
        <v>10940</v>
      </c>
      <c r="AK86" s="44">
        <v>13594</v>
      </c>
      <c r="AL86" s="44">
        <v>4421</v>
      </c>
      <c r="AM86" s="44">
        <v>2035</v>
      </c>
      <c r="AN86" s="44">
        <v>8873</v>
      </c>
      <c r="AO86" s="44">
        <v>2868</v>
      </c>
      <c r="AP86" s="44">
        <v>787</v>
      </c>
      <c r="AQ86" s="44">
        <v>1693</v>
      </c>
      <c r="AR86" s="44">
        <v>306</v>
      </c>
      <c r="AS86" s="44">
        <v>118</v>
      </c>
      <c r="AT86" s="44">
        <v>1636</v>
      </c>
      <c r="AU86" s="44">
        <v>12117</v>
      </c>
      <c r="AV86" s="44">
        <v>3991</v>
      </c>
      <c r="AW86" s="44">
        <v>12583</v>
      </c>
      <c r="AX86" s="44">
        <v>1484</v>
      </c>
      <c r="AY86" s="44">
        <v>3812</v>
      </c>
      <c r="AZ86" s="44">
        <v>6244</v>
      </c>
      <c r="BA86" s="44">
        <v>1911</v>
      </c>
      <c r="BB86" s="44">
        <v>246</v>
      </c>
      <c r="BC86" s="44">
        <v>3136</v>
      </c>
      <c r="BD86" s="44">
        <v>368</v>
      </c>
      <c r="BE86" s="44">
        <v>365</v>
      </c>
      <c r="BF86" s="44">
        <v>327</v>
      </c>
      <c r="BG86" s="44">
        <v>129</v>
      </c>
      <c r="BH86" s="44">
        <v>32</v>
      </c>
      <c r="BI86" s="44">
        <v>1777</v>
      </c>
    </row>
    <row r="87" spans="1:61" x14ac:dyDescent="0.2">
      <c r="A87" s="42">
        <v>44256</v>
      </c>
      <c r="B87" s="43">
        <v>1052</v>
      </c>
      <c r="C87" s="43">
        <v>560</v>
      </c>
      <c r="D87" s="43">
        <v>800</v>
      </c>
      <c r="E87" s="43">
        <v>455</v>
      </c>
      <c r="F87" s="43">
        <v>600</v>
      </c>
      <c r="G87" s="43">
        <v>465</v>
      </c>
      <c r="H87" s="43">
        <v>523</v>
      </c>
      <c r="I87" s="43">
        <v>300</v>
      </c>
      <c r="J87" s="43">
        <v>535</v>
      </c>
      <c r="K87" s="43">
        <v>392.5</v>
      </c>
      <c r="L87" s="43">
        <v>610</v>
      </c>
      <c r="M87" s="43">
        <v>400</v>
      </c>
      <c r="N87" s="43">
        <v>535</v>
      </c>
      <c r="O87" s="43">
        <v>462</v>
      </c>
      <c r="P87" s="43">
        <v>835</v>
      </c>
      <c r="Q87" s="43">
        <v>750</v>
      </c>
      <c r="R87" s="43">
        <v>510</v>
      </c>
      <c r="S87" s="43">
        <v>630</v>
      </c>
      <c r="T87" s="43">
        <v>360</v>
      </c>
      <c r="U87" s="43">
        <v>420</v>
      </c>
      <c r="V87" s="43">
        <v>440</v>
      </c>
      <c r="W87" s="43">
        <v>420</v>
      </c>
      <c r="X87" s="43">
        <v>220</v>
      </c>
      <c r="Y87" s="43">
        <v>414</v>
      </c>
      <c r="Z87" s="43">
        <v>265</v>
      </c>
      <c r="AA87" s="43">
        <v>471.1</v>
      </c>
      <c r="AB87" s="43">
        <v>330</v>
      </c>
      <c r="AC87" s="43">
        <v>340</v>
      </c>
      <c r="AD87" s="43">
        <v>324.5</v>
      </c>
      <c r="AE87" s="43">
        <v>505</v>
      </c>
      <c r="AF87" s="44">
        <v>15288</v>
      </c>
      <c r="AG87" s="44">
        <v>15289</v>
      </c>
      <c r="AH87" s="44">
        <v>16363</v>
      </c>
      <c r="AI87" s="44">
        <v>7785</v>
      </c>
      <c r="AJ87" s="44">
        <v>11441</v>
      </c>
      <c r="AK87" s="44">
        <v>14411</v>
      </c>
      <c r="AL87" s="44">
        <v>4451</v>
      </c>
      <c r="AM87" s="44">
        <v>2154</v>
      </c>
      <c r="AN87" s="44">
        <v>9064</v>
      </c>
      <c r="AO87" s="44">
        <v>3029</v>
      </c>
      <c r="AP87" s="44">
        <v>868</v>
      </c>
      <c r="AQ87" s="44">
        <v>1825</v>
      </c>
      <c r="AR87" s="44">
        <v>335</v>
      </c>
      <c r="AS87" s="44">
        <v>122</v>
      </c>
      <c r="AT87" s="44">
        <v>1237</v>
      </c>
      <c r="AU87" s="44">
        <v>13030</v>
      </c>
      <c r="AV87" s="44">
        <v>3862</v>
      </c>
      <c r="AW87" s="44">
        <v>13276</v>
      </c>
      <c r="AX87" s="44">
        <v>1513</v>
      </c>
      <c r="AY87" s="44">
        <v>4711</v>
      </c>
      <c r="AZ87" s="44">
        <v>7539</v>
      </c>
      <c r="BA87" s="44">
        <v>2415</v>
      </c>
      <c r="BB87" s="44">
        <v>273</v>
      </c>
      <c r="BC87" s="44">
        <v>3401</v>
      </c>
      <c r="BD87" s="44">
        <v>463</v>
      </c>
      <c r="BE87" s="44">
        <v>364</v>
      </c>
      <c r="BF87" s="44">
        <v>351</v>
      </c>
      <c r="BG87" s="44">
        <v>133</v>
      </c>
      <c r="BH87" s="44">
        <v>26</v>
      </c>
      <c r="BI87" s="44">
        <v>1324</v>
      </c>
    </row>
    <row r="88" spans="1:61" x14ac:dyDescent="0.2">
      <c r="A88" s="42">
        <v>44348</v>
      </c>
      <c r="B88" s="43">
        <v>1206.4000000000001</v>
      </c>
      <c r="C88" s="43">
        <v>590</v>
      </c>
      <c r="D88" s="43">
        <v>830</v>
      </c>
      <c r="E88" s="43">
        <v>478.5</v>
      </c>
      <c r="F88" s="43">
        <v>630</v>
      </c>
      <c r="G88" s="43">
        <v>480</v>
      </c>
      <c r="H88" s="43">
        <v>550</v>
      </c>
      <c r="I88" s="43">
        <v>310</v>
      </c>
      <c r="J88" s="43">
        <v>540</v>
      </c>
      <c r="K88" s="43">
        <v>379</v>
      </c>
      <c r="L88" s="43">
        <v>630</v>
      </c>
      <c r="M88" s="43">
        <v>420</v>
      </c>
      <c r="N88" s="43">
        <v>565</v>
      </c>
      <c r="O88" s="43">
        <v>460</v>
      </c>
      <c r="P88" s="43">
        <v>905</v>
      </c>
      <c r="Q88" s="43">
        <v>785</v>
      </c>
      <c r="R88" s="43">
        <v>529</v>
      </c>
      <c r="S88" s="43">
        <v>648.20000000000005</v>
      </c>
      <c r="T88" s="43">
        <v>360</v>
      </c>
      <c r="U88" s="43">
        <v>421.3</v>
      </c>
      <c r="V88" s="43">
        <v>460</v>
      </c>
      <c r="W88" s="43">
        <v>415</v>
      </c>
      <c r="X88" s="43">
        <v>215</v>
      </c>
      <c r="Y88" s="43">
        <v>420</v>
      </c>
      <c r="Z88" s="43">
        <v>297</v>
      </c>
      <c r="AA88" s="43">
        <v>502.5</v>
      </c>
      <c r="AB88" s="43">
        <v>360</v>
      </c>
      <c r="AC88" s="43">
        <v>375</v>
      </c>
      <c r="AD88" s="43">
        <v>300</v>
      </c>
      <c r="AE88" s="43">
        <v>542</v>
      </c>
      <c r="AF88" s="44">
        <v>17458</v>
      </c>
      <c r="AG88" s="44">
        <v>15587</v>
      </c>
      <c r="AH88" s="44">
        <v>17680</v>
      </c>
      <c r="AI88" s="44">
        <v>7789</v>
      </c>
      <c r="AJ88" s="44">
        <v>11805</v>
      </c>
      <c r="AK88" s="44">
        <v>13773</v>
      </c>
      <c r="AL88" s="44">
        <v>4847</v>
      </c>
      <c r="AM88" s="44">
        <v>2067</v>
      </c>
      <c r="AN88" s="44">
        <v>8731</v>
      </c>
      <c r="AO88" s="44">
        <v>2718</v>
      </c>
      <c r="AP88" s="44">
        <v>758</v>
      </c>
      <c r="AQ88" s="44">
        <v>1570</v>
      </c>
      <c r="AR88" s="44">
        <v>402</v>
      </c>
      <c r="AS88" s="44">
        <v>127</v>
      </c>
      <c r="AT88" s="44">
        <v>1330</v>
      </c>
      <c r="AU88" s="44">
        <v>15268</v>
      </c>
      <c r="AV88" s="44">
        <v>3811</v>
      </c>
      <c r="AW88" s="44">
        <v>15762</v>
      </c>
      <c r="AX88" s="44">
        <v>1526</v>
      </c>
      <c r="AY88" s="44">
        <v>5136</v>
      </c>
      <c r="AZ88" s="44">
        <v>7169</v>
      </c>
      <c r="BA88" s="44">
        <v>2560</v>
      </c>
      <c r="BB88" s="44">
        <v>290</v>
      </c>
      <c r="BC88" s="44">
        <v>3154</v>
      </c>
      <c r="BD88" s="44">
        <v>408</v>
      </c>
      <c r="BE88" s="44">
        <v>302</v>
      </c>
      <c r="BF88" s="44">
        <v>274</v>
      </c>
      <c r="BG88" s="44">
        <v>226</v>
      </c>
      <c r="BH88" s="44">
        <v>41</v>
      </c>
      <c r="BI88" s="44">
        <v>1504</v>
      </c>
    </row>
    <row r="89" spans="1:61" x14ac:dyDescent="0.2">
      <c r="A89" s="42">
        <v>44440</v>
      </c>
      <c r="B89" s="43">
        <v>1300</v>
      </c>
      <c r="C89" s="43">
        <v>625</v>
      </c>
      <c r="D89" s="43">
        <v>840</v>
      </c>
      <c r="E89" s="43">
        <v>500</v>
      </c>
      <c r="F89" s="43">
        <v>657</v>
      </c>
      <c r="G89" s="43">
        <v>480</v>
      </c>
      <c r="H89" s="43">
        <v>580</v>
      </c>
      <c r="I89" s="43">
        <v>309</v>
      </c>
      <c r="J89" s="43">
        <v>525</v>
      </c>
      <c r="K89" s="43">
        <v>365</v>
      </c>
      <c r="L89" s="43">
        <v>700</v>
      </c>
      <c r="M89" s="43">
        <v>445</v>
      </c>
      <c r="N89" s="43">
        <v>580</v>
      </c>
      <c r="O89" s="43">
        <v>460</v>
      </c>
      <c r="P89" s="43">
        <v>940</v>
      </c>
      <c r="Q89" s="43">
        <v>800</v>
      </c>
      <c r="R89" s="43">
        <v>550</v>
      </c>
      <c r="S89" s="43">
        <v>650.79999999999995</v>
      </c>
      <c r="T89" s="43">
        <v>380</v>
      </c>
      <c r="U89" s="43">
        <v>430</v>
      </c>
      <c r="V89" s="43">
        <v>480</v>
      </c>
      <c r="W89" s="43">
        <v>425</v>
      </c>
      <c r="X89" s="43">
        <v>217.8</v>
      </c>
      <c r="Y89" s="43">
        <v>415</v>
      </c>
      <c r="Z89" s="43">
        <v>299.5</v>
      </c>
      <c r="AA89" s="43">
        <v>540</v>
      </c>
      <c r="AB89" s="43">
        <v>360</v>
      </c>
      <c r="AC89" s="43">
        <v>360</v>
      </c>
      <c r="AD89" s="43">
        <v>290</v>
      </c>
      <c r="AE89" s="43">
        <v>530</v>
      </c>
      <c r="AF89" s="44">
        <v>15132</v>
      </c>
      <c r="AG89" s="44">
        <v>16242</v>
      </c>
      <c r="AH89" s="44">
        <v>12800</v>
      </c>
      <c r="AI89" s="44">
        <v>6355</v>
      </c>
      <c r="AJ89" s="44">
        <v>13126</v>
      </c>
      <c r="AK89" s="44">
        <v>16084</v>
      </c>
      <c r="AL89" s="44">
        <v>4787</v>
      </c>
      <c r="AM89" s="44">
        <v>2150</v>
      </c>
      <c r="AN89" s="44">
        <v>7254</v>
      </c>
      <c r="AO89" s="44">
        <v>2381</v>
      </c>
      <c r="AP89" s="44">
        <v>790</v>
      </c>
      <c r="AQ89" s="44">
        <v>1607</v>
      </c>
      <c r="AR89" s="44">
        <v>424</v>
      </c>
      <c r="AS89" s="44">
        <v>147</v>
      </c>
      <c r="AT89" s="44">
        <v>1126</v>
      </c>
      <c r="AU89" s="44">
        <v>13104</v>
      </c>
      <c r="AV89" s="44">
        <v>3794</v>
      </c>
      <c r="AW89" s="44">
        <v>11300</v>
      </c>
      <c r="AX89" s="44">
        <v>1261</v>
      </c>
      <c r="AY89" s="44">
        <v>6163</v>
      </c>
      <c r="AZ89" s="44">
        <v>8092</v>
      </c>
      <c r="BA89" s="44">
        <v>2435</v>
      </c>
      <c r="BB89" s="44">
        <v>284</v>
      </c>
      <c r="BC89" s="44">
        <v>3279</v>
      </c>
      <c r="BD89" s="44">
        <v>496</v>
      </c>
      <c r="BE89" s="44">
        <v>319</v>
      </c>
      <c r="BF89" s="44">
        <v>289</v>
      </c>
      <c r="BG89" s="44">
        <v>241</v>
      </c>
      <c r="BH89" s="44">
        <v>37</v>
      </c>
      <c r="BI89" s="44">
        <v>1334</v>
      </c>
    </row>
    <row r="90" spans="1:61" x14ac:dyDescent="0.2">
      <c r="A90" s="42">
        <v>44531</v>
      </c>
      <c r="B90" s="43">
        <v>1360</v>
      </c>
      <c r="C90" s="43">
        <v>685</v>
      </c>
      <c r="D90" s="43">
        <v>940</v>
      </c>
      <c r="E90" s="43">
        <v>553</v>
      </c>
      <c r="F90" s="43">
        <v>750</v>
      </c>
      <c r="G90" s="43">
        <v>500</v>
      </c>
      <c r="H90" s="43">
        <v>630</v>
      </c>
      <c r="I90" s="43">
        <v>335</v>
      </c>
      <c r="J90" s="43">
        <v>558.79999999999995</v>
      </c>
      <c r="K90" s="43">
        <v>380</v>
      </c>
      <c r="L90" s="43">
        <v>754</v>
      </c>
      <c r="M90" s="43">
        <v>500.9</v>
      </c>
      <c r="N90" s="43">
        <v>600</v>
      </c>
      <c r="O90" s="43">
        <v>480</v>
      </c>
      <c r="P90" s="43">
        <v>1040</v>
      </c>
      <c r="Q90" s="43">
        <v>806</v>
      </c>
      <c r="R90" s="43">
        <v>590</v>
      </c>
      <c r="S90" s="43">
        <v>655</v>
      </c>
      <c r="T90" s="43">
        <v>425</v>
      </c>
      <c r="U90" s="43">
        <v>450</v>
      </c>
      <c r="V90" s="43">
        <v>501</v>
      </c>
      <c r="W90" s="43">
        <v>450</v>
      </c>
      <c r="X90" s="43">
        <v>210</v>
      </c>
      <c r="Y90" s="43">
        <v>412.8</v>
      </c>
      <c r="Z90" s="43">
        <v>295</v>
      </c>
      <c r="AA90" s="43">
        <v>570</v>
      </c>
      <c r="AB90" s="43">
        <v>410</v>
      </c>
      <c r="AC90" s="43">
        <v>382</v>
      </c>
      <c r="AD90" s="43">
        <v>300</v>
      </c>
      <c r="AE90" s="43">
        <v>590</v>
      </c>
      <c r="AF90" s="44">
        <v>17181</v>
      </c>
      <c r="AG90" s="44">
        <v>16838</v>
      </c>
      <c r="AH90" s="44">
        <v>20363</v>
      </c>
      <c r="AI90" s="44">
        <v>7892</v>
      </c>
      <c r="AJ90" s="44">
        <v>12911</v>
      </c>
      <c r="AK90" s="44">
        <v>15506</v>
      </c>
      <c r="AL90" s="44">
        <v>5386</v>
      </c>
      <c r="AM90" s="44">
        <v>2402</v>
      </c>
      <c r="AN90" s="44">
        <v>7779</v>
      </c>
      <c r="AO90" s="44">
        <v>2509</v>
      </c>
      <c r="AP90" s="44">
        <v>767</v>
      </c>
      <c r="AQ90" s="44">
        <v>1696</v>
      </c>
      <c r="AR90" s="44">
        <v>443</v>
      </c>
      <c r="AS90" s="44">
        <v>144</v>
      </c>
      <c r="AT90" s="44">
        <v>1477</v>
      </c>
      <c r="AU90" s="44">
        <v>15001</v>
      </c>
      <c r="AV90" s="44">
        <v>3850</v>
      </c>
      <c r="AW90" s="44">
        <v>15119</v>
      </c>
      <c r="AX90" s="44">
        <v>1544</v>
      </c>
      <c r="AY90" s="44">
        <v>6074</v>
      </c>
      <c r="AZ90" s="44">
        <v>7456</v>
      </c>
      <c r="BA90" s="44">
        <v>2642</v>
      </c>
      <c r="BB90" s="44">
        <v>294</v>
      </c>
      <c r="BC90" s="44">
        <v>3254</v>
      </c>
      <c r="BD90" s="44">
        <v>505</v>
      </c>
      <c r="BE90" s="44">
        <v>361</v>
      </c>
      <c r="BF90" s="44">
        <v>292</v>
      </c>
      <c r="BG90" s="44">
        <v>197</v>
      </c>
      <c r="BH90" s="44">
        <v>42</v>
      </c>
      <c r="BI90" s="44">
        <v>1565</v>
      </c>
    </row>
    <row r="91" spans="1:61" x14ac:dyDescent="0.2">
      <c r="A91" s="42">
        <v>44621</v>
      </c>
      <c r="B91" s="43">
        <v>1325</v>
      </c>
      <c r="C91" s="43">
        <v>702</v>
      </c>
      <c r="D91" s="43">
        <v>888</v>
      </c>
      <c r="E91" s="43">
        <v>580</v>
      </c>
      <c r="F91" s="43">
        <v>765</v>
      </c>
      <c r="G91" s="43">
        <v>519</v>
      </c>
      <c r="H91" s="43">
        <v>650</v>
      </c>
      <c r="I91" s="43">
        <v>335</v>
      </c>
      <c r="J91" s="43">
        <v>550</v>
      </c>
      <c r="K91" s="43">
        <v>380</v>
      </c>
      <c r="L91" s="43">
        <v>765</v>
      </c>
      <c r="M91" s="43">
        <v>530.5</v>
      </c>
      <c r="N91" s="43">
        <v>600</v>
      </c>
      <c r="O91" s="43">
        <v>460</v>
      </c>
      <c r="P91" s="43">
        <v>1080</v>
      </c>
      <c r="Q91" s="43">
        <v>780</v>
      </c>
      <c r="R91" s="43">
        <v>610</v>
      </c>
      <c r="S91" s="43">
        <v>640</v>
      </c>
      <c r="T91" s="43">
        <v>419.5</v>
      </c>
      <c r="U91" s="43">
        <v>459</v>
      </c>
      <c r="V91" s="43">
        <v>517</v>
      </c>
      <c r="W91" s="43">
        <v>454.9</v>
      </c>
      <c r="X91" s="43">
        <v>205</v>
      </c>
      <c r="Y91" s="43">
        <v>410</v>
      </c>
      <c r="Z91" s="43">
        <v>320</v>
      </c>
      <c r="AA91" s="43">
        <v>586.29999999999995</v>
      </c>
      <c r="AB91" s="43">
        <v>410</v>
      </c>
      <c r="AC91" s="43">
        <v>402</v>
      </c>
      <c r="AD91" s="43">
        <v>315</v>
      </c>
      <c r="AE91" s="43">
        <v>575</v>
      </c>
      <c r="AF91" s="44">
        <v>12080</v>
      </c>
      <c r="AG91" s="44">
        <v>12535</v>
      </c>
      <c r="AH91" s="44">
        <v>14294</v>
      </c>
      <c r="AI91" s="44">
        <v>6493</v>
      </c>
      <c r="AJ91" s="44">
        <v>10381</v>
      </c>
      <c r="AK91" s="44">
        <v>14272</v>
      </c>
      <c r="AL91" s="44">
        <v>4484</v>
      </c>
      <c r="AM91" s="44">
        <v>2250</v>
      </c>
      <c r="AN91" s="44">
        <v>7729</v>
      </c>
      <c r="AO91" s="44">
        <v>2468</v>
      </c>
      <c r="AP91" s="44">
        <v>814</v>
      </c>
      <c r="AQ91" s="44">
        <v>1590</v>
      </c>
      <c r="AR91" s="44">
        <v>419</v>
      </c>
      <c r="AS91" s="44">
        <v>132</v>
      </c>
      <c r="AT91" s="44">
        <v>827</v>
      </c>
      <c r="AU91" s="44">
        <v>11561</v>
      </c>
      <c r="AV91" s="44">
        <v>3023</v>
      </c>
      <c r="AW91" s="44">
        <v>11607</v>
      </c>
      <c r="AX91" s="44">
        <v>1193</v>
      </c>
      <c r="AY91" s="44">
        <v>5695</v>
      </c>
      <c r="AZ91" s="44">
        <v>6965</v>
      </c>
      <c r="BA91" s="44">
        <v>2359</v>
      </c>
      <c r="BB91" s="44">
        <v>338</v>
      </c>
      <c r="BC91" s="44">
        <v>3521</v>
      </c>
      <c r="BD91" s="44">
        <v>569</v>
      </c>
      <c r="BE91" s="44">
        <v>310</v>
      </c>
      <c r="BF91" s="44">
        <v>264</v>
      </c>
      <c r="BG91" s="44">
        <v>247</v>
      </c>
      <c r="BH91" s="44">
        <v>30</v>
      </c>
      <c r="BI91" s="44">
        <v>944</v>
      </c>
    </row>
    <row r="92" spans="1:61" x14ac:dyDescent="0.2">
      <c r="A92" s="42">
        <v>44713</v>
      </c>
      <c r="B92" s="43">
        <v>1350</v>
      </c>
      <c r="C92" s="43">
        <v>700</v>
      </c>
      <c r="D92" s="43">
        <v>900</v>
      </c>
      <c r="E92" s="43">
        <v>573.1</v>
      </c>
      <c r="F92" s="43">
        <v>773</v>
      </c>
      <c r="G92" s="43">
        <v>528</v>
      </c>
      <c r="H92" s="43">
        <v>663</v>
      </c>
      <c r="I92" s="43">
        <v>350</v>
      </c>
      <c r="J92" s="43">
        <v>565</v>
      </c>
      <c r="K92" s="43">
        <v>375</v>
      </c>
      <c r="L92" s="43">
        <v>765</v>
      </c>
      <c r="M92" s="43">
        <v>525</v>
      </c>
      <c r="N92" s="43">
        <v>585</v>
      </c>
      <c r="O92" s="43">
        <v>487</v>
      </c>
      <c r="P92" s="43">
        <v>1059</v>
      </c>
      <c r="Q92" s="43">
        <v>775</v>
      </c>
      <c r="R92" s="43">
        <v>600</v>
      </c>
      <c r="S92" s="43">
        <v>640</v>
      </c>
      <c r="T92" s="43">
        <v>425</v>
      </c>
      <c r="U92" s="43">
        <v>470</v>
      </c>
      <c r="V92" s="43">
        <v>540</v>
      </c>
      <c r="W92" s="43">
        <v>465</v>
      </c>
      <c r="X92" s="43">
        <v>211</v>
      </c>
      <c r="Y92" s="43">
        <v>405</v>
      </c>
      <c r="Z92" s="43">
        <v>324.5</v>
      </c>
      <c r="AA92" s="43">
        <v>575</v>
      </c>
      <c r="AB92" s="43">
        <v>420</v>
      </c>
      <c r="AC92" s="43">
        <v>400</v>
      </c>
      <c r="AD92" s="43">
        <v>320</v>
      </c>
      <c r="AE92" s="43">
        <v>600</v>
      </c>
      <c r="AF92" s="44">
        <v>11840</v>
      </c>
      <c r="AG92" s="44">
        <v>12387</v>
      </c>
      <c r="AH92" s="44">
        <v>14801</v>
      </c>
      <c r="AI92" s="44">
        <v>6074</v>
      </c>
      <c r="AJ92" s="44">
        <v>9553</v>
      </c>
      <c r="AK92" s="44">
        <v>12547</v>
      </c>
      <c r="AL92" s="44">
        <v>4727</v>
      </c>
      <c r="AM92" s="44">
        <v>2090</v>
      </c>
      <c r="AN92" s="44">
        <v>6902</v>
      </c>
      <c r="AO92" s="44">
        <v>2233</v>
      </c>
      <c r="AP92" s="44">
        <v>761</v>
      </c>
      <c r="AQ92" s="44">
        <v>1374</v>
      </c>
      <c r="AR92" s="44">
        <v>395</v>
      </c>
      <c r="AS92" s="44">
        <v>115</v>
      </c>
      <c r="AT92" s="44">
        <v>1094</v>
      </c>
      <c r="AU92" s="44">
        <v>11150</v>
      </c>
      <c r="AV92" s="44">
        <v>2705</v>
      </c>
      <c r="AW92" s="44">
        <v>12340</v>
      </c>
      <c r="AX92" s="44">
        <v>1103</v>
      </c>
      <c r="AY92" s="44">
        <v>5154</v>
      </c>
      <c r="AZ92" s="44">
        <v>6009</v>
      </c>
      <c r="BA92" s="44">
        <v>2253</v>
      </c>
      <c r="BB92" s="44">
        <v>298</v>
      </c>
      <c r="BC92" s="44">
        <v>3158</v>
      </c>
      <c r="BD92" s="44">
        <v>466</v>
      </c>
      <c r="BE92" s="44">
        <v>300</v>
      </c>
      <c r="BF92" s="44">
        <v>242</v>
      </c>
      <c r="BG92" s="44">
        <v>221</v>
      </c>
      <c r="BH92" s="44">
        <v>39</v>
      </c>
      <c r="BI92" s="44">
        <v>1189</v>
      </c>
    </row>
    <row r="93" spans="1:61" x14ac:dyDescent="0.2">
      <c r="A93" s="42">
        <v>44805</v>
      </c>
      <c r="B93" s="43">
        <v>1300</v>
      </c>
      <c r="C93" s="43">
        <v>690</v>
      </c>
      <c r="D93" s="43">
        <v>850</v>
      </c>
      <c r="E93" s="43">
        <v>560</v>
      </c>
      <c r="F93" s="43">
        <v>750</v>
      </c>
      <c r="G93" s="43">
        <v>528</v>
      </c>
      <c r="H93" s="43">
        <v>654</v>
      </c>
      <c r="I93" s="43">
        <v>345</v>
      </c>
      <c r="J93" s="43">
        <v>555</v>
      </c>
      <c r="K93" s="43">
        <v>380</v>
      </c>
      <c r="L93" s="43">
        <v>720</v>
      </c>
      <c r="M93" s="43">
        <v>510</v>
      </c>
      <c r="N93" s="43">
        <v>560</v>
      </c>
      <c r="O93" s="43">
        <v>459.5</v>
      </c>
      <c r="P93" s="43">
        <v>1000</v>
      </c>
      <c r="Q93" s="43">
        <v>750</v>
      </c>
      <c r="R93" s="43">
        <v>595</v>
      </c>
      <c r="S93" s="43">
        <v>618</v>
      </c>
      <c r="T93" s="43">
        <v>420</v>
      </c>
      <c r="U93" s="43">
        <v>470</v>
      </c>
      <c r="V93" s="43">
        <v>530</v>
      </c>
      <c r="W93" s="43">
        <v>485</v>
      </c>
      <c r="X93" s="43">
        <v>225</v>
      </c>
      <c r="Y93" s="43">
        <v>400</v>
      </c>
      <c r="Z93" s="43">
        <v>300</v>
      </c>
      <c r="AA93" s="43">
        <v>565</v>
      </c>
      <c r="AB93" s="43">
        <v>422.5</v>
      </c>
      <c r="AC93" s="43">
        <v>360</v>
      </c>
      <c r="AD93" s="43">
        <v>306.5</v>
      </c>
      <c r="AE93" s="43">
        <v>596</v>
      </c>
      <c r="AF93" s="44">
        <v>11204</v>
      </c>
      <c r="AG93" s="44">
        <v>11168</v>
      </c>
      <c r="AH93" s="44">
        <v>12427</v>
      </c>
      <c r="AI93" s="44">
        <v>5491</v>
      </c>
      <c r="AJ93" s="44">
        <v>9127</v>
      </c>
      <c r="AK93" s="44">
        <v>12461</v>
      </c>
      <c r="AL93" s="44">
        <v>4313</v>
      </c>
      <c r="AM93" s="44">
        <v>1751</v>
      </c>
      <c r="AN93" s="44">
        <v>7060</v>
      </c>
      <c r="AO93" s="44">
        <v>2200</v>
      </c>
      <c r="AP93" s="44">
        <v>628</v>
      </c>
      <c r="AQ93" s="44">
        <v>1238</v>
      </c>
      <c r="AR93" s="44">
        <v>354</v>
      </c>
      <c r="AS93" s="44">
        <v>100</v>
      </c>
      <c r="AT93" s="44">
        <v>1058</v>
      </c>
      <c r="AU93" s="44">
        <v>10432</v>
      </c>
      <c r="AV93" s="44">
        <v>2608</v>
      </c>
      <c r="AW93" s="44">
        <v>10155</v>
      </c>
      <c r="AX93" s="44">
        <v>1031</v>
      </c>
      <c r="AY93" s="44">
        <v>4934</v>
      </c>
      <c r="AZ93" s="44">
        <v>5887</v>
      </c>
      <c r="BA93" s="44">
        <v>1959</v>
      </c>
      <c r="BB93" s="44">
        <v>245</v>
      </c>
      <c r="BC93" s="44">
        <v>3003</v>
      </c>
      <c r="BD93" s="44">
        <v>487</v>
      </c>
      <c r="BE93" s="44">
        <v>261</v>
      </c>
      <c r="BF93" s="44">
        <v>260</v>
      </c>
      <c r="BG93" s="44">
        <v>218</v>
      </c>
      <c r="BH93" s="44">
        <v>20</v>
      </c>
      <c r="BI93" s="44">
        <v>1143</v>
      </c>
    </row>
    <row r="94" spans="1:61" x14ac:dyDescent="0.2">
      <c r="A94" s="42">
        <v>44896</v>
      </c>
      <c r="B94" s="43">
        <v>1300</v>
      </c>
      <c r="C94" s="43">
        <v>700</v>
      </c>
      <c r="D94" s="43">
        <v>875</v>
      </c>
      <c r="E94" s="43">
        <v>570</v>
      </c>
      <c r="F94" s="43">
        <v>750</v>
      </c>
      <c r="G94" s="43">
        <v>530</v>
      </c>
      <c r="H94" s="43">
        <v>675</v>
      </c>
      <c r="I94" s="43">
        <v>363.3</v>
      </c>
      <c r="J94" s="43">
        <v>580</v>
      </c>
      <c r="K94" s="43">
        <v>390</v>
      </c>
      <c r="L94" s="43">
        <v>731.5</v>
      </c>
      <c r="M94" s="43">
        <v>535</v>
      </c>
      <c r="N94" s="43">
        <v>590</v>
      </c>
      <c r="O94" s="43">
        <v>497</v>
      </c>
      <c r="P94" s="43">
        <v>1000</v>
      </c>
      <c r="Q94" s="43">
        <v>765</v>
      </c>
      <c r="R94" s="43">
        <v>600</v>
      </c>
      <c r="S94" s="43">
        <v>615</v>
      </c>
      <c r="T94" s="43">
        <v>415</v>
      </c>
      <c r="U94" s="43">
        <v>480</v>
      </c>
      <c r="V94" s="43">
        <v>535</v>
      </c>
      <c r="W94" s="43">
        <v>480</v>
      </c>
      <c r="X94" s="43">
        <v>220</v>
      </c>
      <c r="Y94" s="43">
        <v>400</v>
      </c>
      <c r="Z94" s="43">
        <v>313.5</v>
      </c>
      <c r="AA94" s="43">
        <v>565</v>
      </c>
      <c r="AB94" s="43">
        <v>415</v>
      </c>
      <c r="AC94" s="43">
        <v>382.5</v>
      </c>
      <c r="AD94" s="43">
        <v>320</v>
      </c>
      <c r="AE94" s="43">
        <v>600</v>
      </c>
      <c r="AF94" s="44">
        <v>10941</v>
      </c>
      <c r="AG94" s="44">
        <v>10689</v>
      </c>
      <c r="AH94" s="44">
        <v>12390</v>
      </c>
      <c r="AI94" s="44">
        <v>5286</v>
      </c>
      <c r="AJ94" s="44">
        <v>8223</v>
      </c>
      <c r="AK94" s="44">
        <v>11347</v>
      </c>
      <c r="AL94" s="44">
        <v>4046</v>
      </c>
      <c r="AM94" s="44">
        <v>1798</v>
      </c>
      <c r="AN94" s="44">
        <v>6833</v>
      </c>
      <c r="AO94" s="44">
        <v>2036</v>
      </c>
      <c r="AP94" s="44">
        <v>714</v>
      </c>
      <c r="AQ94" s="44">
        <v>1177</v>
      </c>
      <c r="AR94" s="44">
        <v>317</v>
      </c>
      <c r="AS94" s="44">
        <v>78</v>
      </c>
      <c r="AT94" s="44">
        <v>1189</v>
      </c>
      <c r="AU94" s="44">
        <v>9711</v>
      </c>
      <c r="AV94" s="44">
        <v>2398</v>
      </c>
      <c r="AW94" s="44">
        <v>9938</v>
      </c>
      <c r="AX94" s="44">
        <v>964</v>
      </c>
      <c r="AY94" s="44">
        <v>4391</v>
      </c>
      <c r="AZ94" s="44">
        <v>5042</v>
      </c>
      <c r="BA94" s="44">
        <v>1952</v>
      </c>
      <c r="BB94" s="44">
        <v>232</v>
      </c>
      <c r="BC94" s="44">
        <v>3053</v>
      </c>
      <c r="BD94" s="44">
        <v>428</v>
      </c>
      <c r="BE94" s="44">
        <v>310</v>
      </c>
      <c r="BF94" s="44">
        <v>254</v>
      </c>
      <c r="BG94" s="44">
        <v>196</v>
      </c>
      <c r="BH94" s="44">
        <v>29</v>
      </c>
      <c r="BI94" s="44">
        <v>1008</v>
      </c>
    </row>
    <row r="95" spans="1:61" x14ac:dyDescent="0.2">
      <c r="A95" s="42">
        <v>44986</v>
      </c>
      <c r="B95" s="43">
        <v>1250.0999999999999</v>
      </c>
      <c r="C95" s="43">
        <v>700</v>
      </c>
      <c r="D95" s="43">
        <v>835</v>
      </c>
      <c r="E95" s="43">
        <v>570</v>
      </c>
      <c r="F95" s="43">
        <v>757</v>
      </c>
      <c r="G95" s="43">
        <v>540</v>
      </c>
      <c r="H95" s="43">
        <v>680</v>
      </c>
      <c r="I95" s="43">
        <v>381.8</v>
      </c>
      <c r="J95" s="43">
        <v>578</v>
      </c>
      <c r="K95" s="43">
        <v>400</v>
      </c>
      <c r="L95" s="43">
        <v>705</v>
      </c>
      <c r="M95" s="43">
        <v>520</v>
      </c>
      <c r="N95" s="43">
        <v>575</v>
      </c>
      <c r="O95" s="43">
        <v>505.4</v>
      </c>
      <c r="P95" s="43">
        <v>984</v>
      </c>
      <c r="Q95" s="43">
        <v>765</v>
      </c>
      <c r="R95" s="43">
        <v>601.79999999999995</v>
      </c>
      <c r="S95" s="43">
        <v>605</v>
      </c>
      <c r="T95" s="43">
        <v>422.5</v>
      </c>
      <c r="U95" s="43">
        <v>483</v>
      </c>
      <c r="V95" s="43">
        <v>550</v>
      </c>
      <c r="W95" s="43">
        <v>489.5</v>
      </c>
      <c r="X95" s="43">
        <v>245</v>
      </c>
      <c r="Y95" s="43">
        <v>402.6</v>
      </c>
      <c r="Z95" s="43">
        <v>320</v>
      </c>
      <c r="AA95" s="43">
        <v>560</v>
      </c>
      <c r="AB95" s="43">
        <v>420</v>
      </c>
      <c r="AC95" s="43">
        <v>370</v>
      </c>
      <c r="AD95" s="43">
        <v>305</v>
      </c>
      <c r="AE95" s="43">
        <v>610</v>
      </c>
      <c r="AF95" s="44">
        <v>9819</v>
      </c>
      <c r="AG95" s="44">
        <v>9609</v>
      </c>
      <c r="AH95" s="44">
        <v>10804</v>
      </c>
      <c r="AI95" s="44">
        <v>4942</v>
      </c>
      <c r="AJ95" s="44">
        <v>8221</v>
      </c>
      <c r="AK95" s="44">
        <v>10976</v>
      </c>
      <c r="AL95" s="44">
        <v>3777</v>
      </c>
      <c r="AM95" s="44">
        <v>1703</v>
      </c>
      <c r="AN95" s="44">
        <v>7047</v>
      </c>
      <c r="AO95" s="44">
        <v>2026</v>
      </c>
      <c r="AP95" s="44">
        <v>736</v>
      </c>
      <c r="AQ95" s="44">
        <v>1265</v>
      </c>
      <c r="AR95" s="44">
        <v>254</v>
      </c>
      <c r="AS95" s="44">
        <v>78</v>
      </c>
      <c r="AT95" s="44">
        <v>920</v>
      </c>
      <c r="AU95" s="44">
        <v>9928</v>
      </c>
      <c r="AV95" s="44">
        <v>2198</v>
      </c>
      <c r="AW95" s="44">
        <v>9772</v>
      </c>
      <c r="AX95" s="44">
        <v>915</v>
      </c>
      <c r="AY95" s="44">
        <v>4695</v>
      </c>
      <c r="AZ95" s="44">
        <v>5287</v>
      </c>
      <c r="BA95" s="44">
        <v>1945</v>
      </c>
      <c r="BB95" s="44">
        <v>261</v>
      </c>
      <c r="BC95" s="44">
        <v>3480</v>
      </c>
      <c r="BD95" s="44">
        <v>467</v>
      </c>
      <c r="BE95" s="44">
        <v>277</v>
      </c>
      <c r="BF95" s="44">
        <v>254</v>
      </c>
      <c r="BG95" s="44">
        <v>166</v>
      </c>
      <c r="BH95" s="44">
        <v>20</v>
      </c>
      <c r="BI95" s="44">
        <v>865</v>
      </c>
    </row>
    <row r="96" spans="1:61" x14ac:dyDescent="0.2">
      <c r="A96" s="42">
        <v>45078</v>
      </c>
      <c r="B96" s="43">
        <v>1355</v>
      </c>
      <c r="C96" s="43">
        <v>710</v>
      </c>
      <c r="D96" s="43">
        <v>840.3</v>
      </c>
      <c r="E96" s="43">
        <v>570</v>
      </c>
      <c r="F96" s="43">
        <v>775</v>
      </c>
      <c r="G96" s="43">
        <v>560</v>
      </c>
      <c r="H96" s="43">
        <v>702</v>
      </c>
      <c r="I96" s="43">
        <v>395</v>
      </c>
      <c r="J96" s="43">
        <v>600</v>
      </c>
      <c r="K96" s="43">
        <v>400</v>
      </c>
      <c r="L96" s="43">
        <v>696.5</v>
      </c>
      <c r="M96" s="43">
        <v>535</v>
      </c>
      <c r="N96" s="43">
        <v>590</v>
      </c>
      <c r="O96" s="43">
        <v>478</v>
      </c>
      <c r="P96" s="43">
        <v>983</v>
      </c>
      <c r="Q96" s="43">
        <v>800</v>
      </c>
      <c r="R96" s="43">
        <v>608</v>
      </c>
      <c r="S96" s="43">
        <v>620</v>
      </c>
      <c r="T96" s="43">
        <v>440</v>
      </c>
      <c r="U96" s="43">
        <v>500</v>
      </c>
      <c r="V96" s="43">
        <v>562.5</v>
      </c>
      <c r="W96" s="43">
        <v>525</v>
      </c>
      <c r="X96" s="43">
        <v>256</v>
      </c>
      <c r="Y96" s="43">
        <v>410</v>
      </c>
      <c r="Z96" s="43">
        <v>323</v>
      </c>
      <c r="AA96" s="43">
        <v>557</v>
      </c>
      <c r="AB96" s="43">
        <v>460</v>
      </c>
      <c r="AC96" s="43">
        <v>387.5</v>
      </c>
      <c r="AD96" s="43">
        <v>340</v>
      </c>
      <c r="AE96" s="43">
        <v>600</v>
      </c>
      <c r="AF96" s="44">
        <v>12105</v>
      </c>
      <c r="AG96" s="44">
        <v>10773</v>
      </c>
      <c r="AH96" s="44">
        <v>12738</v>
      </c>
      <c r="AI96" s="44">
        <v>5006</v>
      </c>
      <c r="AJ96" s="44">
        <v>8803</v>
      </c>
      <c r="AK96" s="44">
        <v>11141</v>
      </c>
      <c r="AL96" s="44">
        <v>4127</v>
      </c>
      <c r="AM96" s="44">
        <v>1693</v>
      </c>
      <c r="AN96" s="44">
        <v>6765</v>
      </c>
      <c r="AO96" s="44">
        <v>1993</v>
      </c>
      <c r="AP96" s="44">
        <v>682</v>
      </c>
      <c r="AQ96" s="44">
        <v>1221</v>
      </c>
      <c r="AR96" s="44">
        <v>294</v>
      </c>
      <c r="AS96" s="44">
        <v>78</v>
      </c>
      <c r="AT96" s="44">
        <v>1006</v>
      </c>
      <c r="AU96" s="44">
        <v>12650</v>
      </c>
      <c r="AV96" s="44">
        <v>2467</v>
      </c>
      <c r="AW96" s="44">
        <v>11337</v>
      </c>
      <c r="AX96" s="44">
        <v>993</v>
      </c>
      <c r="AY96" s="44">
        <v>4740</v>
      </c>
      <c r="AZ96" s="44">
        <v>5391</v>
      </c>
      <c r="BA96" s="44">
        <v>1898</v>
      </c>
      <c r="BB96" s="44">
        <v>244</v>
      </c>
      <c r="BC96" s="44">
        <v>3537</v>
      </c>
      <c r="BD96" s="44">
        <v>460</v>
      </c>
      <c r="BE96" s="44">
        <v>350</v>
      </c>
      <c r="BF96" s="44">
        <v>263</v>
      </c>
      <c r="BG96" s="44">
        <v>197</v>
      </c>
      <c r="BH96" s="44">
        <v>15</v>
      </c>
      <c r="BI96" s="44">
        <v>1009</v>
      </c>
    </row>
    <row r="97" spans="1:61" x14ac:dyDescent="0.2">
      <c r="A97" s="42">
        <v>45170</v>
      </c>
      <c r="B97" s="43">
        <v>1370</v>
      </c>
      <c r="C97" s="43">
        <v>718</v>
      </c>
      <c r="D97" s="43">
        <v>832</v>
      </c>
      <c r="E97" s="43">
        <v>570</v>
      </c>
      <c r="F97" s="43">
        <v>800</v>
      </c>
      <c r="G97" s="43">
        <v>570</v>
      </c>
      <c r="H97" s="43">
        <v>715</v>
      </c>
      <c r="I97" s="43">
        <v>410</v>
      </c>
      <c r="J97" s="43">
        <v>600</v>
      </c>
      <c r="K97" s="43">
        <v>410</v>
      </c>
      <c r="L97" s="43">
        <v>695</v>
      </c>
      <c r="M97" s="43">
        <v>527.5</v>
      </c>
      <c r="N97" s="43">
        <v>585</v>
      </c>
      <c r="O97" s="43">
        <v>463.5</v>
      </c>
      <c r="P97" s="43">
        <v>985</v>
      </c>
      <c r="Q97" s="43">
        <v>795</v>
      </c>
      <c r="R97" s="43">
        <v>625</v>
      </c>
      <c r="S97" s="43">
        <v>625</v>
      </c>
      <c r="T97" s="43">
        <v>420</v>
      </c>
      <c r="U97" s="43">
        <v>525</v>
      </c>
      <c r="V97" s="43">
        <v>580</v>
      </c>
      <c r="W97" s="43">
        <v>520</v>
      </c>
      <c r="X97" s="43">
        <v>287</v>
      </c>
      <c r="Y97" s="43">
        <v>420</v>
      </c>
      <c r="Z97" s="43">
        <v>320</v>
      </c>
      <c r="AA97" s="43">
        <v>550</v>
      </c>
      <c r="AB97" s="43">
        <v>435</v>
      </c>
      <c r="AC97" s="43">
        <v>376</v>
      </c>
      <c r="AD97" s="43">
        <v>260</v>
      </c>
      <c r="AE97" s="43">
        <v>619</v>
      </c>
      <c r="AF97" s="44">
        <v>12993</v>
      </c>
      <c r="AG97" s="44">
        <v>11061</v>
      </c>
      <c r="AH97" s="44">
        <v>13014</v>
      </c>
      <c r="AI97" s="44">
        <v>4985</v>
      </c>
      <c r="AJ97" s="44">
        <v>9490</v>
      </c>
      <c r="AK97" s="44">
        <v>11989</v>
      </c>
      <c r="AL97" s="44">
        <v>4099</v>
      </c>
      <c r="AM97" s="44">
        <v>1684</v>
      </c>
      <c r="AN97" s="44">
        <v>7190</v>
      </c>
      <c r="AO97" s="44">
        <v>2166</v>
      </c>
      <c r="AP97" s="44">
        <v>689</v>
      </c>
      <c r="AQ97" s="44">
        <v>1123</v>
      </c>
      <c r="AR97" s="44">
        <v>339</v>
      </c>
      <c r="AS97" s="44">
        <v>94</v>
      </c>
      <c r="AT97" s="44">
        <v>953</v>
      </c>
      <c r="AU97" s="44">
        <v>13540</v>
      </c>
      <c r="AV97" s="44">
        <v>2618</v>
      </c>
      <c r="AW97" s="44">
        <v>11971</v>
      </c>
      <c r="AX97" s="44">
        <v>959</v>
      </c>
      <c r="AY97" s="44">
        <v>5478</v>
      </c>
      <c r="AZ97" s="44">
        <v>5968</v>
      </c>
      <c r="BA97" s="44">
        <v>1979</v>
      </c>
      <c r="BB97" s="44">
        <v>219</v>
      </c>
      <c r="BC97" s="44">
        <v>3609</v>
      </c>
      <c r="BD97" s="44">
        <v>477</v>
      </c>
      <c r="BE97" s="44">
        <v>289</v>
      </c>
      <c r="BF97" s="44">
        <v>245</v>
      </c>
      <c r="BG97" s="44">
        <v>195</v>
      </c>
      <c r="BH97" s="44">
        <v>25</v>
      </c>
      <c r="BI97" s="44">
        <v>948</v>
      </c>
    </row>
    <row r="98" spans="1:61" x14ac:dyDescent="0.2">
      <c r="A98" s="42">
        <v>45261</v>
      </c>
      <c r="B98" s="43">
        <v>1420</v>
      </c>
      <c r="C98" s="43">
        <v>720</v>
      </c>
      <c r="D98" s="43">
        <v>865</v>
      </c>
      <c r="E98" s="43">
        <v>580</v>
      </c>
      <c r="F98" s="43">
        <v>830</v>
      </c>
      <c r="G98" s="43">
        <v>580</v>
      </c>
      <c r="H98" s="43">
        <v>750</v>
      </c>
      <c r="I98" s="43">
        <v>430</v>
      </c>
      <c r="J98" s="43">
        <v>660</v>
      </c>
      <c r="K98" s="43">
        <v>443</v>
      </c>
      <c r="L98" s="43">
        <v>715</v>
      </c>
      <c r="M98" s="43">
        <v>525</v>
      </c>
      <c r="N98" s="43">
        <v>589.5</v>
      </c>
      <c r="O98" s="43">
        <v>466.3</v>
      </c>
      <c r="P98" s="43">
        <v>1000</v>
      </c>
      <c r="Q98" s="43">
        <v>800</v>
      </c>
      <c r="R98" s="43">
        <v>630</v>
      </c>
      <c r="S98" s="43">
        <v>632.5</v>
      </c>
      <c r="T98" s="43">
        <v>510</v>
      </c>
      <c r="U98" s="43">
        <v>548</v>
      </c>
      <c r="V98" s="43">
        <v>591.5</v>
      </c>
      <c r="W98" s="43">
        <v>565.5</v>
      </c>
      <c r="X98" s="43">
        <v>268</v>
      </c>
      <c r="Y98" s="43">
        <v>445</v>
      </c>
      <c r="Z98" s="43">
        <v>339</v>
      </c>
      <c r="AA98" s="43">
        <v>540</v>
      </c>
      <c r="AB98" s="43">
        <v>435.5</v>
      </c>
      <c r="AC98" s="43">
        <v>375</v>
      </c>
      <c r="AD98" s="43">
        <v>277.5</v>
      </c>
      <c r="AE98" s="43">
        <v>625</v>
      </c>
      <c r="AF98" s="44">
        <v>12596</v>
      </c>
      <c r="AG98" s="44">
        <v>11871</v>
      </c>
      <c r="AH98" s="44">
        <v>14235</v>
      </c>
      <c r="AI98" s="44">
        <v>5358</v>
      </c>
      <c r="AJ98" s="44">
        <v>9413</v>
      </c>
      <c r="AK98" s="44">
        <v>11718</v>
      </c>
      <c r="AL98" s="44">
        <v>4463</v>
      </c>
      <c r="AM98" s="44">
        <v>1802</v>
      </c>
      <c r="AN98" s="44">
        <v>7523</v>
      </c>
      <c r="AO98" s="44">
        <v>2261</v>
      </c>
      <c r="AP98" s="44">
        <v>738</v>
      </c>
      <c r="AQ98" s="44">
        <v>1237</v>
      </c>
      <c r="AR98" s="44">
        <v>288</v>
      </c>
      <c r="AS98" s="44">
        <v>72</v>
      </c>
      <c r="AT98" s="44">
        <v>1011</v>
      </c>
      <c r="AU98" s="44">
        <v>12681</v>
      </c>
      <c r="AV98" s="44">
        <v>2832</v>
      </c>
      <c r="AW98" s="44">
        <v>13080</v>
      </c>
      <c r="AX98" s="44">
        <v>1248</v>
      </c>
      <c r="AY98" s="44">
        <v>5034</v>
      </c>
      <c r="AZ98" s="44">
        <v>5504</v>
      </c>
      <c r="BA98" s="44">
        <v>2040</v>
      </c>
      <c r="BB98" s="44">
        <v>253</v>
      </c>
      <c r="BC98" s="44">
        <v>3852</v>
      </c>
      <c r="BD98" s="44">
        <v>481</v>
      </c>
      <c r="BE98" s="44">
        <v>277</v>
      </c>
      <c r="BF98" s="44">
        <v>255</v>
      </c>
      <c r="BG98" s="44">
        <v>191</v>
      </c>
      <c r="BH98" s="44">
        <v>18</v>
      </c>
      <c r="BI98" s="44">
        <v>909</v>
      </c>
    </row>
    <row r="99" spans="1:61" x14ac:dyDescent="0.2">
      <c r="A99" s="42">
        <v>45352</v>
      </c>
      <c r="B99" s="43">
        <v>1401</v>
      </c>
      <c r="C99" s="43">
        <v>747</v>
      </c>
      <c r="D99" s="43">
        <v>845</v>
      </c>
      <c r="E99" s="43">
        <v>575</v>
      </c>
      <c r="F99" s="43">
        <v>850.3</v>
      </c>
      <c r="G99" s="43">
        <v>605</v>
      </c>
      <c r="H99" s="43">
        <v>765</v>
      </c>
      <c r="I99" s="43">
        <v>455</v>
      </c>
      <c r="J99" s="43">
        <v>700</v>
      </c>
      <c r="K99" s="43">
        <v>450</v>
      </c>
      <c r="L99" s="43">
        <v>705</v>
      </c>
      <c r="M99" s="43">
        <v>535</v>
      </c>
      <c r="N99" s="43">
        <v>570</v>
      </c>
      <c r="O99" s="43">
        <v>425</v>
      </c>
      <c r="P99" s="43">
        <v>985</v>
      </c>
      <c r="Q99" s="43">
        <v>790</v>
      </c>
      <c r="R99" s="43">
        <v>626.79999999999995</v>
      </c>
      <c r="S99" s="43">
        <v>629</v>
      </c>
      <c r="T99" s="43">
        <v>502</v>
      </c>
      <c r="U99" s="43">
        <v>580</v>
      </c>
      <c r="V99" s="43">
        <v>625</v>
      </c>
      <c r="W99" s="43">
        <v>570</v>
      </c>
      <c r="X99" s="43">
        <v>270</v>
      </c>
      <c r="Y99" s="43">
        <v>475</v>
      </c>
      <c r="Z99" s="43">
        <v>365</v>
      </c>
      <c r="AA99" s="43">
        <v>551</v>
      </c>
      <c r="AB99" s="43">
        <v>450</v>
      </c>
      <c r="AC99" s="43">
        <v>390</v>
      </c>
      <c r="AD99" s="43">
        <v>350</v>
      </c>
      <c r="AE99" s="43">
        <v>597</v>
      </c>
      <c r="AF99" s="44">
        <v>11689</v>
      </c>
      <c r="AG99" s="44">
        <v>10887</v>
      </c>
      <c r="AH99" s="44">
        <v>13514</v>
      </c>
      <c r="AI99" s="44">
        <v>5509</v>
      </c>
      <c r="AJ99" s="44">
        <v>9068</v>
      </c>
      <c r="AK99" s="44">
        <v>11696</v>
      </c>
      <c r="AL99" s="44">
        <v>4086</v>
      </c>
      <c r="AM99" s="44">
        <v>1812</v>
      </c>
      <c r="AN99" s="44">
        <v>6998</v>
      </c>
      <c r="AO99" s="44">
        <v>2209</v>
      </c>
      <c r="AP99" s="44">
        <v>759</v>
      </c>
      <c r="AQ99" s="44">
        <v>1409</v>
      </c>
      <c r="AR99" s="44">
        <v>300</v>
      </c>
      <c r="AS99" s="44">
        <v>71</v>
      </c>
      <c r="AT99" s="44">
        <v>908</v>
      </c>
      <c r="AU99" s="44">
        <v>12554</v>
      </c>
      <c r="AV99" s="44">
        <v>2798</v>
      </c>
      <c r="AW99" s="44">
        <v>12729</v>
      </c>
      <c r="AX99" s="44">
        <v>1433</v>
      </c>
      <c r="AY99" s="44">
        <v>5133</v>
      </c>
      <c r="AZ99" s="44">
        <v>5700</v>
      </c>
      <c r="BA99" s="44">
        <v>1955</v>
      </c>
      <c r="BB99" s="44">
        <v>271</v>
      </c>
      <c r="BC99" s="44">
        <v>3913</v>
      </c>
      <c r="BD99" s="44">
        <v>528</v>
      </c>
      <c r="BE99" s="44">
        <v>295</v>
      </c>
      <c r="BF99" s="44">
        <v>277</v>
      </c>
      <c r="BG99" s="44">
        <v>174</v>
      </c>
      <c r="BH99" s="44">
        <v>27</v>
      </c>
      <c r="BI99" s="44">
        <v>958</v>
      </c>
    </row>
    <row r="100" spans="1:61" x14ac:dyDescent="0.2">
      <c r="A100" s="42">
        <v>45444</v>
      </c>
      <c r="B100" s="43">
        <v>1455</v>
      </c>
      <c r="C100" s="43">
        <v>750</v>
      </c>
      <c r="D100" s="43">
        <v>845</v>
      </c>
      <c r="E100" s="43">
        <v>570</v>
      </c>
      <c r="F100" s="43">
        <v>890</v>
      </c>
      <c r="G100" s="43">
        <v>630</v>
      </c>
      <c r="H100" s="43">
        <v>785</v>
      </c>
      <c r="I100" s="43">
        <v>450</v>
      </c>
      <c r="J100" s="43">
        <v>756</v>
      </c>
      <c r="K100" s="43">
        <v>470</v>
      </c>
      <c r="L100" s="43">
        <v>695.5</v>
      </c>
      <c r="M100" s="43">
        <v>537</v>
      </c>
      <c r="N100" s="43">
        <v>582.5</v>
      </c>
      <c r="O100" s="43">
        <v>438.8</v>
      </c>
      <c r="P100" s="43">
        <v>990</v>
      </c>
      <c r="Q100" s="43">
        <v>800</v>
      </c>
      <c r="R100" s="43">
        <v>645</v>
      </c>
      <c r="S100" s="43">
        <v>630</v>
      </c>
      <c r="T100" s="43">
        <v>440</v>
      </c>
      <c r="U100" s="43">
        <v>610</v>
      </c>
      <c r="V100" s="43">
        <v>640</v>
      </c>
      <c r="W100" s="43">
        <v>630</v>
      </c>
      <c r="X100" s="43">
        <v>265</v>
      </c>
      <c r="Y100" s="43">
        <v>510</v>
      </c>
      <c r="Z100" s="43">
        <v>380</v>
      </c>
      <c r="AA100" s="43">
        <v>555</v>
      </c>
      <c r="AB100" s="43">
        <v>445</v>
      </c>
      <c r="AC100" s="43">
        <v>356</v>
      </c>
      <c r="AD100" s="43">
        <v>323</v>
      </c>
      <c r="AE100" s="43">
        <v>630</v>
      </c>
      <c r="AF100" s="44">
        <v>13509</v>
      </c>
      <c r="AG100" s="44">
        <v>12245</v>
      </c>
      <c r="AH100" s="44">
        <v>15542</v>
      </c>
      <c r="AI100" s="44">
        <v>6018</v>
      </c>
      <c r="AJ100" s="44">
        <v>9605</v>
      </c>
      <c r="AK100" s="44">
        <v>11947</v>
      </c>
      <c r="AL100" s="44">
        <v>4519</v>
      </c>
      <c r="AM100" s="44">
        <v>1728</v>
      </c>
      <c r="AN100" s="44">
        <v>6844</v>
      </c>
      <c r="AO100" s="44">
        <v>2158</v>
      </c>
      <c r="AP100" s="44">
        <v>755</v>
      </c>
      <c r="AQ100" s="44">
        <v>1334</v>
      </c>
      <c r="AR100" s="44">
        <v>322</v>
      </c>
      <c r="AS100" s="44">
        <v>76</v>
      </c>
      <c r="AT100" s="44">
        <v>1058</v>
      </c>
      <c r="AU100" s="44">
        <v>14241</v>
      </c>
      <c r="AV100" s="44">
        <v>2833</v>
      </c>
      <c r="AW100" s="44">
        <v>14367</v>
      </c>
      <c r="AX100" s="44">
        <v>1135</v>
      </c>
      <c r="AY100" s="44">
        <v>5082</v>
      </c>
      <c r="AZ100" s="44">
        <v>5520</v>
      </c>
      <c r="BA100" s="44">
        <v>2128</v>
      </c>
      <c r="BB100" s="44">
        <v>250</v>
      </c>
      <c r="BC100" s="44">
        <v>3683</v>
      </c>
      <c r="BD100" s="44">
        <v>575</v>
      </c>
      <c r="BE100" s="44">
        <v>291</v>
      </c>
      <c r="BF100" s="44">
        <v>287</v>
      </c>
      <c r="BG100" s="44">
        <v>213</v>
      </c>
      <c r="BH100" s="44">
        <v>38</v>
      </c>
      <c r="BI100" s="44">
        <v>1041</v>
      </c>
    </row>
    <row r="101" spans="1:61" x14ac:dyDescent="0.2">
      <c r="A101" s="42">
        <v>45536</v>
      </c>
      <c r="B101" s="43">
        <v>1410</v>
      </c>
      <c r="C101" s="43">
        <v>745</v>
      </c>
      <c r="D101" s="43">
        <v>825</v>
      </c>
      <c r="E101" s="43">
        <v>560</v>
      </c>
      <c r="F101" s="43">
        <v>890</v>
      </c>
      <c r="G101" s="43">
        <v>649</v>
      </c>
      <c r="H101" s="43">
        <v>818.3</v>
      </c>
      <c r="I101" s="43">
        <v>465</v>
      </c>
      <c r="J101" s="43">
        <v>780</v>
      </c>
      <c r="K101" s="43">
        <v>495</v>
      </c>
      <c r="L101" s="43">
        <v>700</v>
      </c>
      <c r="M101" s="43">
        <v>515.1</v>
      </c>
      <c r="N101" s="43">
        <v>558.79999999999995</v>
      </c>
      <c r="O101" s="43">
        <v>422.7</v>
      </c>
      <c r="P101" s="43">
        <v>1000</v>
      </c>
      <c r="Q101" s="43">
        <v>815</v>
      </c>
      <c r="R101" s="43">
        <v>640</v>
      </c>
      <c r="S101" s="43">
        <v>618</v>
      </c>
      <c r="T101" s="43">
        <v>420</v>
      </c>
      <c r="U101" s="43">
        <v>631</v>
      </c>
      <c r="V101" s="43">
        <v>660</v>
      </c>
      <c r="W101" s="43">
        <v>610</v>
      </c>
      <c r="X101" s="43">
        <v>249.5</v>
      </c>
      <c r="Y101" s="43">
        <v>540</v>
      </c>
      <c r="Z101" s="43">
        <v>380</v>
      </c>
      <c r="AA101" s="43">
        <v>525</v>
      </c>
      <c r="AB101" s="43">
        <v>450</v>
      </c>
      <c r="AC101" s="43">
        <v>350</v>
      </c>
      <c r="AD101" s="43">
        <v>280</v>
      </c>
      <c r="AE101" s="43">
        <v>595</v>
      </c>
      <c r="AF101" s="44">
        <v>13499</v>
      </c>
      <c r="AG101" s="44">
        <v>12203</v>
      </c>
      <c r="AH101" s="44">
        <v>14718</v>
      </c>
      <c r="AI101" s="44">
        <v>5736</v>
      </c>
      <c r="AJ101" s="44">
        <v>10370</v>
      </c>
      <c r="AK101" s="44">
        <v>13134</v>
      </c>
      <c r="AL101" s="44">
        <v>4460</v>
      </c>
      <c r="AM101" s="44">
        <v>1837</v>
      </c>
      <c r="AN101" s="44">
        <v>6961</v>
      </c>
      <c r="AO101" s="44">
        <v>2338</v>
      </c>
      <c r="AP101" s="44">
        <v>778</v>
      </c>
      <c r="AQ101" s="44">
        <v>1241</v>
      </c>
      <c r="AR101" s="44">
        <v>420</v>
      </c>
      <c r="AS101" s="44">
        <v>82</v>
      </c>
      <c r="AT101" s="44">
        <v>993</v>
      </c>
      <c r="AU101" s="44">
        <v>14071</v>
      </c>
      <c r="AV101" s="44">
        <v>3072</v>
      </c>
      <c r="AW101" s="44">
        <v>13741</v>
      </c>
      <c r="AX101" s="44">
        <v>1194</v>
      </c>
      <c r="AY101" s="44">
        <v>5745</v>
      </c>
      <c r="AZ101" s="44">
        <v>6205</v>
      </c>
      <c r="BA101" s="44">
        <v>2238</v>
      </c>
      <c r="BB101" s="44">
        <v>296</v>
      </c>
      <c r="BC101" s="44">
        <v>3829</v>
      </c>
      <c r="BD101" s="44">
        <v>510</v>
      </c>
      <c r="BE101" s="44">
        <v>298</v>
      </c>
      <c r="BF101" s="44">
        <v>285</v>
      </c>
      <c r="BG101" s="44">
        <v>237</v>
      </c>
      <c r="BH101" s="44">
        <v>27</v>
      </c>
      <c r="BI101" s="44">
        <v>1014</v>
      </c>
    </row>
    <row r="102" spans="1:61" x14ac:dyDescent="0.2">
      <c r="A102" s="42">
        <v>45627</v>
      </c>
      <c r="B102" s="43">
        <v>1450</v>
      </c>
      <c r="C102" s="43">
        <v>760</v>
      </c>
      <c r="D102" s="43">
        <v>850</v>
      </c>
      <c r="E102" s="43">
        <v>560</v>
      </c>
      <c r="F102" s="43">
        <v>935</v>
      </c>
      <c r="G102" s="43">
        <v>675</v>
      </c>
      <c r="H102" s="43">
        <v>850</v>
      </c>
      <c r="I102" s="43">
        <v>500</v>
      </c>
      <c r="J102" s="43">
        <v>820</v>
      </c>
      <c r="K102" s="43">
        <v>520</v>
      </c>
      <c r="L102" s="43">
        <v>715</v>
      </c>
      <c r="M102" s="43">
        <v>550</v>
      </c>
      <c r="N102" s="43">
        <v>560</v>
      </c>
      <c r="O102" s="43">
        <v>462.5</v>
      </c>
      <c r="P102" s="43">
        <v>1000</v>
      </c>
      <c r="Q102" s="43">
        <v>820</v>
      </c>
      <c r="R102" s="43">
        <v>650</v>
      </c>
      <c r="S102" s="43">
        <v>625</v>
      </c>
      <c r="T102" s="43">
        <v>415</v>
      </c>
      <c r="U102" s="43">
        <v>655</v>
      </c>
      <c r="V102" s="43">
        <v>670</v>
      </c>
      <c r="W102" s="43">
        <v>640</v>
      </c>
      <c r="X102" s="43">
        <v>320</v>
      </c>
      <c r="Y102" s="43">
        <v>557.5</v>
      </c>
      <c r="Z102" s="43">
        <v>400</v>
      </c>
      <c r="AA102" s="43">
        <v>539.5</v>
      </c>
      <c r="AB102" s="43">
        <v>462.5</v>
      </c>
      <c r="AC102" s="43">
        <v>341</v>
      </c>
      <c r="AD102" s="43">
        <v>261.5</v>
      </c>
      <c r="AE102" s="43">
        <v>610</v>
      </c>
      <c r="AF102" s="44">
        <v>13345</v>
      </c>
      <c r="AG102" s="44">
        <v>12819</v>
      </c>
      <c r="AH102" s="44">
        <v>16886</v>
      </c>
      <c r="AI102" s="44">
        <v>6726</v>
      </c>
      <c r="AJ102" s="44">
        <v>9571</v>
      </c>
      <c r="AK102" s="44">
        <v>12365</v>
      </c>
      <c r="AL102" s="44">
        <v>4548</v>
      </c>
      <c r="AM102" s="44">
        <v>1745</v>
      </c>
      <c r="AN102" s="44">
        <v>6894</v>
      </c>
      <c r="AO102" s="44">
        <v>2169</v>
      </c>
      <c r="AP102" s="44">
        <v>800</v>
      </c>
      <c r="AQ102" s="44">
        <v>1296</v>
      </c>
      <c r="AR102" s="44">
        <v>533</v>
      </c>
      <c r="AS102" s="44">
        <v>112</v>
      </c>
      <c r="AT102" s="44">
        <v>1150</v>
      </c>
      <c r="AU102" s="44">
        <v>12148</v>
      </c>
      <c r="AV102" s="44">
        <v>2913</v>
      </c>
      <c r="AW102" s="44">
        <v>14097</v>
      </c>
      <c r="AX102" s="44">
        <v>1263</v>
      </c>
      <c r="AY102" s="44">
        <v>4795</v>
      </c>
      <c r="AZ102" s="44">
        <v>5623</v>
      </c>
      <c r="BA102" s="44">
        <v>2153</v>
      </c>
      <c r="BB102" s="44">
        <v>271</v>
      </c>
      <c r="BC102" s="44">
        <v>3600</v>
      </c>
      <c r="BD102" s="44">
        <v>495</v>
      </c>
      <c r="BE102" s="44">
        <v>314</v>
      </c>
      <c r="BF102" s="44">
        <v>300</v>
      </c>
      <c r="BG102" s="44">
        <v>232</v>
      </c>
      <c r="BH102" s="44">
        <v>29</v>
      </c>
      <c r="BI102" s="44">
        <v>1043</v>
      </c>
    </row>
    <row r="103" spans="1:61" x14ac:dyDescent="0.2">
      <c r="A103" s="42">
        <v>45717</v>
      </c>
      <c r="B103" s="43">
        <v>1450</v>
      </c>
      <c r="C103" s="43">
        <v>760</v>
      </c>
      <c r="D103" s="43">
        <v>840</v>
      </c>
      <c r="E103" s="43">
        <v>575</v>
      </c>
      <c r="F103" s="43">
        <v>947.5</v>
      </c>
      <c r="G103" s="43">
        <v>710</v>
      </c>
      <c r="H103" s="43">
        <v>853</v>
      </c>
      <c r="I103" s="43">
        <v>490</v>
      </c>
      <c r="J103" s="43">
        <v>821.5</v>
      </c>
      <c r="K103" s="43">
        <v>540</v>
      </c>
      <c r="L103" s="43">
        <v>710.5</v>
      </c>
      <c r="M103" s="43">
        <v>550</v>
      </c>
      <c r="N103" s="43">
        <v>600</v>
      </c>
      <c r="O103" s="43">
        <v>430</v>
      </c>
      <c r="P103" s="43">
        <v>975</v>
      </c>
      <c r="Q103" s="43">
        <v>820</v>
      </c>
      <c r="R103" s="43">
        <v>650</v>
      </c>
      <c r="S103" s="43">
        <v>625</v>
      </c>
      <c r="T103" s="43">
        <v>430</v>
      </c>
      <c r="U103" s="43">
        <v>685</v>
      </c>
      <c r="V103" s="43">
        <v>700</v>
      </c>
      <c r="W103" s="43">
        <v>640</v>
      </c>
      <c r="X103" s="43">
        <v>297</v>
      </c>
      <c r="Y103" s="43">
        <v>575</v>
      </c>
      <c r="Z103" s="43">
        <v>420</v>
      </c>
      <c r="AA103" s="43">
        <v>550</v>
      </c>
      <c r="AB103" s="43">
        <v>442</v>
      </c>
      <c r="AC103" s="43">
        <v>360</v>
      </c>
      <c r="AD103" s="43">
        <v>263</v>
      </c>
      <c r="AE103" s="43">
        <v>600</v>
      </c>
      <c r="AF103" s="44">
        <v>11589</v>
      </c>
      <c r="AG103" s="44">
        <v>12098</v>
      </c>
      <c r="AH103" s="44">
        <v>14613</v>
      </c>
      <c r="AI103" s="44">
        <v>6784</v>
      </c>
      <c r="AJ103" s="44">
        <v>8377</v>
      </c>
      <c r="AK103" s="44">
        <v>11497</v>
      </c>
      <c r="AL103" s="44">
        <v>4309</v>
      </c>
      <c r="AM103" s="44">
        <v>1742</v>
      </c>
      <c r="AN103" s="44">
        <v>6764</v>
      </c>
      <c r="AO103" s="44">
        <v>2114</v>
      </c>
      <c r="AP103" s="44">
        <v>875</v>
      </c>
      <c r="AQ103" s="44">
        <v>1493</v>
      </c>
      <c r="AR103" s="44">
        <v>471</v>
      </c>
      <c r="AS103" s="44">
        <v>87</v>
      </c>
      <c r="AT103" s="44">
        <v>1022</v>
      </c>
      <c r="AU103" s="44">
        <v>11423</v>
      </c>
      <c r="AV103" s="44">
        <v>3035</v>
      </c>
      <c r="AW103" s="44">
        <v>12740</v>
      </c>
      <c r="AX103" s="44">
        <v>1365</v>
      </c>
      <c r="AY103" s="44">
        <v>4545</v>
      </c>
      <c r="AZ103" s="44">
        <v>5518</v>
      </c>
      <c r="BA103" s="44">
        <v>1991</v>
      </c>
      <c r="BB103" s="44">
        <v>237</v>
      </c>
      <c r="BC103" s="44">
        <v>3444</v>
      </c>
      <c r="BD103" s="44">
        <v>440</v>
      </c>
      <c r="BE103" s="44">
        <v>354</v>
      </c>
      <c r="BF103" s="44">
        <v>274</v>
      </c>
      <c r="BG103" s="44">
        <v>238</v>
      </c>
      <c r="BH103" s="44">
        <v>29</v>
      </c>
      <c r="BI103" s="44">
        <v>1046</v>
      </c>
    </row>
    <row r="104" spans="1:61" x14ac:dyDescent="0.2">
      <c r="A104" s="42">
        <v>45809</v>
      </c>
      <c r="B104" s="43">
        <v>1520</v>
      </c>
      <c r="C104" s="43">
        <v>770</v>
      </c>
      <c r="D104" s="43">
        <v>845</v>
      </c>
      <c r="E104" s="43">
        <v>575</v>
      </c>
      <c r="F104" s="43">
        <v>970</v>
      </c>
      <c r="G104" s="43">
        <v>725</v>
      </c>
      <c r="H104" s="43">
        <v>868</v>
      </c>
      <c r="I104" s="43">
        <v>510</v>
      </c>
      <c r="J104" s="43">
        <v>850</v>
      </c>
      <c r="K104" s="43">
        <v>550</v>
      </c>
      <c r="L104" s="43">
        <v>707.5</v>
      </c>
      <c r="M104" s="43">
        <v>550</v>
      </c>
      <c r="N104" s="43">
        <v>624</v>
      </c>
      <c r="O104" s="43">
        <v>443.5</v>
      </c>
      <c r="P104" s="43">
        <v>1000</v>
      </c>
      <c r="Q104" s="43">
        <v>835</v>
      </c>
      <c r="R104" s="43">
        <v>665</v>
      </c>
      <c r="S104" s="43">
        <v>625</v>
      </c>
      <c r="T104" s="43">
        <v>435</v>
      </c>
      <c r="U104" s="43">
        <v>706</v>
      </c>
      <c r="V104" s="43">
        <v>720</v>
      </c>
      <c r="W104" s="43">
        <v>663</v>
      </c>
      <c r="X104" s="43">
        <v>330</v>
      </c>
      <c r="Y104" s="43">
        <v>600</v>
      </c>
      <c r="Z104" s="43">
        <v>410</v>
      </c>
      <c r="AA104" s="43">
        <v>555.29999999999995</v>
      </c>
      <c r="AB104" s="43">
        <v>450</v>
      </c>
      <c r="AC104" s="43">
        <v>389</v>
      </c>
      <c r="AD104" s="43">
        <v>300</v>
      </c>
      <c r="AE104" s="43">
        <v>600</v>
      </c>
      <c r="AF104" s="44">
        <v>13762</v>
      </c>
      <c r="AG104" s="44">
        <v>13082</v>
      </c>
      <c r="AH104" s="44">
        <v>17640</v>
      </c>
      <c r="AI104" s="44">
        <v>7450</v>
      </c>
      <c r="AJ104" s="44">
        <v>9518</v>
      </c>
      <c r="AK104" s="44">
        <v>11745</v>
      </c>
      <c r="AL104" s="44">
        <v>4920</v>
      </c>
      <c r="AM104" s="44">
        <v>1755</v>
      </c>
      <c r="AN104" s="44">
        <v>7402</v>
      </c>
      <c r="AO104" s="44">
        <v>2232</v>
      </c>
      <c r="AP104" s="44">
        <v>931</v>
      </c>
      <c r="AQ104" s="44">
        <v>1564</v>
      </c>
      <c r="AR104" s="44">
        <v>580</v>
      </c>
      <c r="AS104" s="44">
        <v>109</v>
      </c>
      <c r="AT104" s="44">
        <v>1135</v>
      </c>
      <c r="AU104" s="44">
        <v>13329</v>
      </c>
      <c r="AV104" s="44">
        <v>3125</v>
      </c>
      <c r="AW104" s="44">
        <v>14939</v>
      </c>
      <c r="AX104" s="44">
        <v>1387</v>
      </c>
      <c r="AY104" s="44">
        <v>4948</v>
      </c>
      <c r="AZ104" s="44">
        <v>5915</v>
      </c>
      <c r="BA104" s="44">
        <v>2318</v>
      </c>
      <c r="BB104" s="44">
        <v>226</v>
      </c>
      <c r="BC104" s="44">
        <v>3253</v>
      </c>
      <c r="BD104" s="44">
        <v>452</v>
      </c>
      <c r="BE104" s="44">
        <v>330</v>
      </c>
      <c r="BF104" s="44">
        <v>295</v>
      </c>
      <c r="BG104" s="44">
        <v>343</v>
      </c>
      <c r="BH104" s="44">
        <v>33</v>
      </c>
      <c r="BI104" s="44">
        <v>1191</v>
      </c>
    </row>
    <row r="105" spans="1:61" x14ac:dyDescent="0.2">
      <c r="A105" s="42">
        <v>45901</v>
      </c>
      <c r="B105" s="43">
        <v>1511</v>
      </c>
      <c r="C105" s="43">
        <v>780</v>
      </c>
      <c r="D105" s="43">
        <v>846.8</v>
      </c>
      <c r="E105" s="43">
        <v>590</v>
      </c>
      <c r="F105" s="43">
        <v>1020</v>
      </c>
      <c r="G105" s="43">
        <v>765</v>
      </c>
      <c r="H105" s="43">
        <v>900</v>
      </c>
      <c r="I105" s="43">
        <v>535</v>
      </c>
      <c r="J105" s="43">
        <v>871</v>
      </c>
      <c r="K105" s="43">
        <v>577.5</v>
      </c>
      <c r="L105" s="43">
        <v>715</v>
      </c>
      <c r="M105" s="43">
        <v>575</v>
      </c>
      <c r="N105" s="43">
        <v>670</v>
      </c>
      <c r="O105" s="43">
        <v>433</v>
      </c>
      <c r="P105" s="43">
        <v>1027</v>
      </c>
      <c r="Q105" s="43">
        <v>840</v>
      </c>
      <c r="R105" s="43">
        <v>675</v>
      </c>
      <c r="S105" s="43">
        <v>630</v>
      </c>
      <c r="T105" s="43">
        <v>440</v>
      </c>
      <c r="U105" s="43">
        <v>740</v>
      </c>
      <c r="V105" s="43">
        <v>740</v>
      </c>
      <c r="W105" s="43">
        <v>685.8</v>
      </c>
      <c r="X105" s="43">
        <v>365</v>
      </c>
      <c r="Y105" s="43">
        <v>625.9</v>
      </c>
      <c r="Z105" s="43">
        <v>430</v>
      </c>
      <c r="AA105" s="43">
        <v>582.5</v>
      </c>
      <c r="AB105" s="43">
        <v>455</v>
      </c>
      <c r="AC105" s="43">
        <v>405</v>
      </c>
      <c r="AD105" s="43">
        <v>310</v>
      </c>
      <c r="AE105" s="43">
        <v>612</v>
      </c>
      <c r="AF105" s="44">
        <v>14929</v>
      </c>
      <c r="AG105" s="44">
        <v>13953</v>
      </c>
      <c r="AH105" s="44">
        <v>17798</v>
      </c>
      <c r="AI105" s="44">
        <v>7875</v>
      </c>
      <c r="AJ105" s="44">
        <v>10508</v>
      </c>
      <c r="AK105" s="44">
        <v>12555</v>
      </c>
      <c r="AL105" s="44">
        <v>4871</v>
      </c>
      <c r="AM105" s="44">
        <v>1811</v>
      </c>
      <c r="AN105" s="44">
        <v>6746</v>
      </c>
      <c r="AO105" s="44">
        <v>2236</v>
      </c>
      <c r="AP105" s="44">
        <v>803</v>
      </c>
      <c r="AQ105" s="44">
        <v>1387</v>
      </c>
      <c r="AR105" s="44">
        <v>595</v>
      </c>
      <c r="AS105" s="44">
        <v>124</v>
      </c>
      <c r="AT105" s="44">
        <v>1111</v>
      </c>
      <c r="AU105" s="44">
        <v>14498</v>
      </c>
      <c r="AV105" s="44">
        <v>3493</v>
      </c>
      <c r="AW105" s="44">
        <v>15128</v>
      </c>
      <c r="AX105" s="44">
        <v>1621</v>
      </c>
      <c r="AY105" s="44">
        <v>5299</v>
      </c>
      <c r="AZ105" s="44">
        <v>6134</v>
      </c>
      <c r="BA105" s="44">
        <v>2636</v>
      </c>
      <c r="BB105" s="44">
        <v>272</v>
      </c>
      <c r="BC105" s="44">
        <v>3406</v>
      </c>
      <c r="BD105" s="44">
        <v>538</v>
      </c>
      <c r="BE105" s="44">
        <v>313</v>
      </c>
      <c r="BF105" s="44">
        <v>324</v>
      </c>
      <c r="BG105" s="44">
        <v>397</v>
      </c>
      <c r="BH105" s="44">
        <v>55</v>
      </c>
      <c r="BI105" s="44">
        <v>1154</v>
      </c>
    </row>
    <row r="106" spans="1:61" x14ac:dyDescent="0.2">
      <c r="A106" s="42">
        <v>45992</v>
      </c>
      <c r="B106" s="43">
        <v>1515</v>
      </c>
      <c r="C106" s="43">
        <v>800</v>
      </c>
      <c r="D106" s="43">
        <v>875</v>
      </c>
      <c r="E106" s="43">
        <v>610</v>
      </c>
      <c r="F106" s="43">
        <v>1100</v>
      </c>
      <c r="G106" s="43">
        <v>799.4</v>
      </c>
      <c r="H106" s="43">
        <v>950</v>
      </c>
      <c r="I106" s="43">
        <v>575</v>
      </c>
      <c r="J106" s="43">
        <v>951</v>
      </c>
      <c r="K106" s="43">
        <v>622</v>
      </c>
      <c r="L106" s="43">
        <v>749.5</v>
      </c>
      <c r="M106" s="43">
        <v>609</v>
      </c>
      <c r="N106" s="43">
        <v>711</v>
      </c>
      <c r="O106" s="43">
        <v>460</v>
      </c>
      <c r="P106" s="43">
        <v>1042.5</v>
      </c>
      <c r="Q106" s="43">
        <v>850</v>
      </c>
      <c r="R106" s="43">
        <v>700</v>
      </c>
      <c r="S106" s="43">
        <v>660</v>
      </c>
      <c r="T106" s="43">
        <v>465</v>
      </c>
      <c r="U106" s="43">
        <v>793</v>
      </c>
      <c r="V106" s="43">
        <v>786</v>
      </c>
      <c r="W106" s="43">
        <v>730</v>
      </c>
      <c r="X106" s="43">
        <v>410</v>
      </c>
      <c r="Y106" s="43">
        <v>700</v>
      </c>
      <c r="Z106" s="43">
        <v>450</v>
      </c>
      <c r="AA106" s="43">
        <v>586</v>
      </c>
      <c r="AB106" s="43">
        <v>493.5</v>
      </c>
      <c r="AC106" s="43">
        <v>433.2</v>
      </c>
      <c r="AD106" s="43">
        <v>315</v>
      </c>
      <c r="AE106" s="43">
        <v>620</v>
      </c>
      <c r="AF106" s="44">
        <v>12879</v>
      </c>
      <c r="AG106" s="44">
        <v>13851</v>
      </c>
      <c r="AH106" s="44">
        <v>15965</v>
      </c>
      <c r="AI106" s="44">
        <v>7336</v>
      </c>
      <c r="AJ106" s="44">
        <v>8493</v>
      </c>
      <c r="AK106" s="44">
        <v>10192</v>
      </c>
      <c r="AL106" s="44">
        <v>4808</v>
      </c>
      <c r="AM106" s="44">
        <v>1789</v>
      </c>
      <c r="AN106" s="44">
        <v>6193</v>
      </c>
      <c r="AO106" s="44">
        <v>1931</v>
      </c>
      <c r="AP106" s="44">
        <v>488</v>
      </c>
      <c r="AQ106" s="44">
        <v>806</v>
      </c>
      <c r="AR106" s="44">
        <v>408</v>
      </c>
      <c r="AS106" s="44">
        <v>105</v>
      </c>
      <c r="AT106" s="44">
        <v>1090</v>
      </c>
      <c r="AU106" s="44">
        <v>12725</v>
      </c>
      <c r="AV106" s="44">
        <v>3501</v>
      </c>
      <c r="AW106" s="44">
        <v>14962</v>
      </c>
      <c r="AX106" s="44">
        <v>1469</v>
      </c>
      <c r="AY106" s="44">
        <v>4273</v>
      </c>
      <c r="AZ106" s="44">
        <v>5033</v>
      </c>
      <c r="BA106" s="44">
        <v>2096</v>
      </c>
      <c r="BB106" s="44">
        <v>279</v>
      </c>
      <c r="BC106" s="44">
        <v>2960</v>
      </c>
      <c r="BD106" s="44">
        <v>498</v>
      </c>
      <c r="BE106" s="44">
        <v>209</v>
      </c>
      <c r="BF106" s="44">
        <v>188</v>
      </c>
      <c r="BG106" s="44">
        <v>289</v>
      </c>
      <c r="BH106" s="44">
        <v>39</v>
      </c>
      <c r="BI106" s="44">
        <v>1225</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D102"/>
  <sheetViews>
    <sheetView zoomScaleNormal="100" workbookViewId="0">
      <selection activeCell="D1" sqref="D1"/>
    </sheetView>
  </sheetViews>
  <sheetFormatPr defaultRowHeight="15" x14ac:dyDescent="0.25"/>
  <cols>
    <col min="1" max="1" width="24.28515625" bestFit="1" customWidth="1"/>
    <col min="2" max="2" width="20" bestFit="1" customWidth="1"/>
  </cols>
  <sheetData>
    <row r="1" spans="1:4" x14ac:dyDescent="0.25">
      <c r="A1" t="s">
        <v>23</v>
      </c>
      <c r="B1" s="1" t="s">
        <v>1</v>
      </c>
      <c r="C1" t="s">
        <v>635</v>
      </c>
      <c r="D1" t="s">
        <v>636</v>
      </c>
    </row>
    <row r="2" spans="1:4" x14ac:dyDescent="0.25">
      <c r="A2" t="s">
        <v>11</v>
      </c>
      <c r="B2" s="2">
        <v>37316</v>
      </c>
      <c r="C2" cm="1">
        <f t="array" ref="C2:C97">_xlfn.XLOOKUP("Median Price of Established House*Brisbane*",'ABS-total-value-dwellings'!1:1,'ABS-total-value-dwellings'!11:106,"na",2)</f>
        <v>185</v>
      </c>
      <c r="D2" cm="1">
        <f t="array" ref="D2:D97">_xlfn.XLOOKUP("Median Price of Established House*Rest of QLD*",'ABS-total-value-dwellings'!1:1,'ABS-total-value-dwellings'!11:106,"na",2)</f>
        <v>0</v>
      </c>
    </row>
    <row r="3" spans="1:4" x14ac:dyDescent="0.25">
      <c r="A3" t="s">
        <v>13</v>
      </c>
      <c r="B3" s="2">
        <v>37408</v>
      </c>
      <c r="C3">
        <v>182.6</v>
      </c>
      <c r="D3">
        <v>0</v>
      </c>
    </row>
    <row r="4" spans="1:4" x14ac:dyDescent="0.25">
      <c r="B4" s="2">
        <v>37500</v>
      </c>
      <c r="C4">
        <v>198</v>
      </c>
      <c r="D4">
        <v>0</v>
      </c>
    </row>
    <row r="5" spans="1:4" x14ac:dyDescent="0.25">
      <c r="B5" s="2">
        <v>37591</v>
      </c>
      <c r="C5">
        <v>208</v>
      </c>
      <c r="D5">
        <v>0</v>
      </c>
    </row>
    <row r="6" spans="1:4" x14ac:dyDescent="0.25">
      <c r="B6" s="2">
        <v>37681</v>
      </c>
      <c r="C6">
        <v>225</v>
      </c>
      <c r="D6">
        <v>0</v>
      </c>
    </row>
    <row r="7" spans="1:4" x14ac:dyDescent="0.25">
      <c r="B7" s="2">
        <v>37773</v>
      </c>
      <c r="C7">
        <v>240</v>
      </c>
      <c r="D7">
        <v>0</v>
      </c>
    </row>
    <row r="8" spans="1:4" x14ac:dyDescent="0.25">
      <c r="B8" s="2">
        <v>37865</v>
      </c>
      <c r="C8">
        <v>269</v>
      </c>
      <c r="D8">
        <v>197</v>
      </c>
    </row>
    <row r="9" spans="1:4" x14ac:dyDescent="0.25">
      <c r="B9" s="2">
        <v>37956</v>
      </c>
      <c r="C9">
        <v>296.39999999999998</v>
      </c>
      <c r="D9">
        <v>205</v>
      </c>
    </row>
    <row r="10" spans="1:4" x14ac:dyDescent="0.25">
      <c r="B10" s="2">
        <v>38047</v>
      </c>
      <c r="C10">
        <v>302.7</v>
      </c>
      <c r="D10">
        <v>224</v>
      </c>
    </row>
    <row r="11" spans="1:4" x14ac:dyDescent="0.25">
      <c r="B11" s="2">
        <v>38139</v>
      </c>
      <c r="C11">
        <v>305</v>
      </c>
      <c r="D11">
        <v>235</v>
      </c>
    </row>
    <row r="12" spans="1:4" x14ac:dyDescent="0.25">
      <c r="B12" s="2">
        <v>38231</v>
      </c>
      <c r="C12">
        <v>305</v>
      </c>
      <c r="D12">
        <v>244</v>
      </c>
    </row>
    <row r="13" spans="1:4" x14ac:dyDescent="0.25">
      <c r="B13" s="2">
        <v>38322</v>
      </c>
      <c r="C13">
        <v>310</v>
      </c>
      <c r="D13">
        <v>255</v>
      </c>
    </row>
    <row r="14" spans="1:4" x14ac:dyDescent="0.25">
      <c r="B14" s="2">
        <v>38412</v>
      </c>
      <c r="C14">
        <v>312</v>
      </c>
      <c r="D14">
        <v>270</v>
      </c>
    </row>
    <row r="15" spans="1:4" x14ac:dyDescent="0.25">
      <c r="B15" s="2">
        <v>38504</v>
      </c>
      <c r="C15">
        <v>312</v>
      </c>
      <c r="D15">
        <v>280</v>
      </c>
    </row>
    <row r="16" spans="1:4" x14ac:dyDescent="0.25">
      <c r="B16" s="2">
        <v>38596</v>
      </c>
      <c r="C16">
        <v>314.89999999999998</v>
      </c>
      <c r="D16">
        <v>285</v>
      </c>
    </row>
    <row r="17" spans="2:4" x14ac:dyDescent="0.25">
      <c r="B17" s="2">
        <v>38687</v>
      </c>
      <c r="C17">
        <v>320</v>
      </c>
      <c r="D17">
        <v>290</v>
      </c>
    </row>
    <row r="18" spans="2:4" x14ac:dyDescent="0.25">
      <c r="B18" s="2">
        <v>38777</v>
      </c>
      <c r="C18">
        <v>325</v>
      </c>
      <c r="D18">
        <v>309</v>
      </c>
    </row>
    <row r="19" spans="2:4" x14ac:dyDescent="0.25">
      <c r="B19" s="2">
        <v>38869</v>
      </c>
      <c r="C19">
        <v>330</v>
      </c>
      <c r="D19">
        <v>312.5</v>
      </c>
    </row>
    <row r="20" spans="2:4" x14ac:dyDescent="0.25">
      <c r="B20" s="2">
        <v>38961</v>
      </c>
      <c r="C20">
        <v>335</v>
      </c>
      <c r="D20">
        <v>318.39999999999998</v>
      </c>
    </row>
    <row r="21" spans="2:4" x14ac:dyDescent="0.25">
      <c r="B21" s="2">
        <v>39052</v>
      </c>
      <c r="C21">
        <v>343.5</v>
      </c>
      <c r="D21">
        <v>330</v>
      </c>
    </row>
    <row r="22" spans="2:4" x14ac:dyDescent="0.25">
      <c r="B22" s="2">
        <v>39142</v>
      </c>
      <c r="C22">
        <v>352</v>
      </c>
      <c r="D22">
        <v>347</v>
      </c>
    </row>
    <row r="23" spans="2:4" x14ac:dyDescent="0.25">
      <c r="B23" s="2">
        <v>39234</v>
      </c>
      <c r="C23">
        <v>375</v>
      </c>
      <c r="D23">
        <v>365</v>
      </c>
    </row>
    <row r="24" spans="2:4" x14ac:dyDescent="0.25">
      <c r="B24" s="2">
        <v>39326</v>
      </c>
      <c r="C24">
        <v>390</v>
      </c>
      <c r="D24">
        <v>376</v>
      </c>
    </row>
    <row r="25" spans="2:4" x14ac:dyDescent="0.25">
      <c r="B25" s="2">
        <v>39417</v>
      </c>
      <c r="C25">
        <v>415</v>
      </c>
      <c r="D25">
        <v>380</v>
      </c>
    </row>
    <row r="26" spans="2:4" x14ac:dyDescent="0.25">
      <c r="B26" s="2">
        <v>39508</v>
      </c>
      <c r="C26">
        <v>425</v>
      </c>
      <c r="D26">
        <v>380</v>
      </c>
    </row>
    <row r="27" spans="2:4" x14ac:dyDescent="0.25">
      <c r="B27" s="2">
        <v>39600</v>
      </c>
      <c r="C27">
        <v>425</v>
      </c>
      <c r="D27">
        <v>380</v>
      </c>
    </row>
    <row r="28" spans="2:4" x14ac:dyDescent="0.25">
      <c r="B28" s="2">
        <v>39692</v>
      </c>
      <c r="C28">
        <v>410</v>
      </c>
      <c r="D28">
        <v>365</v>
      </c>
    </row>
    <row r="29" spans="2:4" x14ac:dyDescent="0.25">
      <c r="B29" s="2">
        <v>39783</v>
      </c>
      <c r="C29">
        <v>399</v>
      </c>
      <c r="D29">
        <v>365</v>
      </c>
    </row>
    <row r="30" spans="2:4" x14ac:dyDescent="0.25">
      <c r="B30" s="2">
        <v>39873</v>
      </c>
      <c r="C30">
        <v>400</v>
      </c>
      <c r="D30">
        <v>370</v>
      </c>
    </row>
    <row r="31" spans="2:4" x14ac:dyDescent="0.25">
      <c r="B31" s="2">
        <v>39965</v>
      </c>
      <c r="C31">
        <v>420</v>
      </c>
      <c r="D31">
        <v>372.8</v>
      </c>
    </row>
    <row r="32" spans="2:4" x14ac:dyDescent="0.25">
      <c r="B32" s="2">
        <v>40057</v>
      </c>
      <c r="C32">
        <v>430</v>
      </c>
      <c r="D32">
        <v>380</v>
      </c>
    </row>
    <row r="33" spans="2:4" x14ac:dyDescent="0.25">
      <c r="B33" s="2">
        <v>40148</v>
      </c>
      <c r="C33">
        <v>455</v>
      </c>
      <c r="D33">
        <v>395</v>
      </c>
    </row>
    <row r="34" spans="2:4" x14ac:dyDescent="0.25">
      <c r="B34" s="2">
        <v>40238</v>
      </c>
      <c r="C34">
        <v>460</v>
      </c>
      <c r="D34">
        <v>400</v>
      </c>
    </row>
    <row r="35" spans="2:4" x14ac:dyDescent="0.25">
      <c r="B35" s="2">
        <v>40330</v>
      </c>
      <c r="C35">
        <v>465</v>
      </c>
      <c r="D35">
        <v>395</v>
      </c>
    </row>
    <row r="36" spans="2:4" x14ac:dyDescent="0.25">
      <c r="B36" s="2">
        <v>40422</v>
      </c>
      <c r="C36">
        <v>460</v>
      </c>
      <c r="D36">
        <v>388</v>
      </c>
    </row>
    <row r="37" spans="2:4" x14ac:dyDescent="0.25">
      <c r="B37" s="2">
        <v>40513</v>
      </c>
      <c r="C37">
        <v>460</v>
      </c>
      <c r="D37">
        <v>387.5</v>
      </c>
    </row>
    <row r="38" spans="2:4" x14ac:dyDescent="0.25">
      <c r="B38" s="2">
        <v>40603</v>
      </c>
      <c r="C38">
        <v>450</v>
      </c>
      <c r="D38">
        <v>392.8</v>
      </c>
    </row>
    <row r="39" spans="2:4" x14ac:dyDescent="0.25">
      <c r="B39" s="2">
        <v>40695</v>
      </c>
      <c r="C39">
        <v>442</v>
      </c>
      <c r="D39">
        <v>383</v>
      </c>
    </row>
    <row r="40" spans="2:4" x14ac:dyDescent="0.25">
      <c r="B40" s="2">
        <v>40787</v>
      </c>
      <c r="C40">
        <v>433</v>
      </c>
      <c r="D40">
        <v>380</v>
      </c>
    </row>
    <row r="41" spans="2:4" x14ac:dyDescent="0.25">
      <c r="B41" s="2">
        <v>40878</v>
      </c>
      <c r="C41">
        <v>430</v>
      </c>
      <c r="D41">
        <v>380</v>
      </c>
    </row>
    <row r="42" spans="2:4" x14ac:dyDescent="0.25">
      <c r="B42" s="2">
        <v>40969</v>
      </c>
      <c r="C42">
        <v>430</v>
      </c>
      <c r="D42">
        <v>380</v>
      </c>
    </row>
    <row r="43" spans="2:4" x14ac:dyDescent="0.25">
      <c r="B43" s="2">
        <v>41061</v>
      </c>
      <c r="C43">
        <v>435</v>
      </c>
      <c r="D43">
        <v>375</v>
      </c>
    </row>
    <row r="44" spans="2:4" x14ac:dyDescent="0.25">
      <c r="B44" s="2">
        <v>41153</v>
      </c>
      <c r="C44">
        <v>435</v>
      </c>
      <c r="D44">
        <v>380</v>
      </c>
    </row>
    <row r="45" spans="2:4" x14ac:dyDescent="0.25">
      <c r="B45" s="2">
        <v>41244</v>
      </c>
      <c r="C45">
        <v>440</v>
      </c>
      <c r="D45">
        <v>380</v>
      </c>
    </row>
    <row r="46" spans="2:4" x14ac:dyDescent="0.25">
      <c r="B46" s="2">
        <v>41334</v>
      </c>
      <c r="C46">
        <v>440</v>
      </c>
      <c r="D46">
        <v>390</v>
      </c>
    </row>
    <row r="47" spans="2:4" x14ac:dyDescent="0.25">
      <c r="B47" s="2">
        <v>41426</v>
      </c>
      <c r="C47">
        <v>445</v>
      </c>
      <c r="D47">
        <v>385.5</v>
      </c>
    </row>
    <row r="48" spans="2:4" x14ac:dyDescent="0.25">
      <c r="B48" s="2">
        <v>41518</v>
      </c>
      <c r="C48">
        <v>449</v>
      </c>
      <c r="D48">
        <v>386.3</v>
      </c>
    </row>
    <row r="49" spans="2:4" x14ac:dyDescent="0.25">
      <c r="B49" s="2">
        <v>41609</v>
      </c>
      <c r="C49">
        <v>465</v>
      </c>
      <c r="D49">
        <v>395</v>
      </c>
    </row>
    <row r="50" spans="2:4" x14ac:dyDescent="0.25">
      <c r="B50" s="2">
        <v>41699</v>
      </c>
      <c r="C50">
        <v>448</v>
      </c>
      <c r="D50">
        <v>390</v>
      </c>
    </row>
    <row r="51" spans="2:4" x14ac:dyDescent="0.25">
      <c r="B51" s="2">
        <v>41791</v>
      </c>
      <c r="C51">
        <v>459</v>
      </c>
      <c r="D51">
        <v>390</v>
      </c>
    </row>
    <row r="52" spans="2:4" x14ac:dyDescent="0.25">
      <c r="B52" s="2">
        <v>41883</v>
      </c>
      <c r="C52">
        <v>451</v>
      </c>
      <c r="D52">
        <v>390</v>
      </c>
    </row>
    <row r="53" spans="2:4" x14ac:dyDescent="0.25">
      <c r="B53" s="2">
        <v>41974</v>
      </c>
      <c r="C53">
        <v>467</v>
      </c>
      <c r="D53">
        <v>405</v>
      </c>
    </row>
    <row r="54" spans="2:4" x14ac:dyDescent="0.25">
      <c r="B54" s="2">
        <v>42064</v>
      </c>
      <c r="C54">
        <v>462.8</v>
      </c>
      <c r="D54">
        <v>410</v>
      </c>
    </row>
    <row r="55" spans="2:4" x14ac:dyDescent="0.25">
      <c r="B55" s="2">
        <v>42156</v>
      </c>
      <c r="C55">
        <v>465</v>
      </c>
      <c r="D55">
        <v>410.3</v>
      </c>
    </row>
    <row r="56" spans="2:4" x14ac:dyDescent="0.25">
      <c r="B56" s="2">
        <v>42248</v>
      </c>
      <c r="C56">
        <v>475</v>
      </c>
      <c r="D56">
        <v>415</v>
      </c>
    </row>
    <row r="57" spans="2:4" x14ac:dyDescent="0.25">
      <c r="B57" s="2">
        <v>42339</v>
      </c>
      <c r="C57">
        <v>490</v>
      </c>
      <c r="D57">
        <v>420</v>
      </c>
    </row>
    <row r="58" spans="2:4" x14ac:dyDescent="0.25">
      <c r="B58" s="2">
        <v>42430</v>
      </c>
      <c r="C58">
        <v>483.5</v>
      </c>
      <c r="D58">
        <v>425</v>
      </c>
    </row>
    <row r="59" spans="2:4" x14ac:dyDescent="0.25">
      <c r="B59" s="2">
        <v>42522</v>
      </c>
      <c r="C59">
        <v>495</v>
      </c>
      <c r="D59">
        <v>425</v>
      </c>
    </row>
    <row r="60" spans="2:4" x14ac:dyDescent="0.25">
      <c r="B60" s="2">
        <v>42614</v>
      </c>
      <c r="C60">
        <v>500</v>
      </c>
      <c r="D60">
        <v>435</v>
      </c>
    </row>
    <row r="61" spans="2:4" x14ac:dyDescent="0.25">
      <c r="B61" s="2">
        <v>42705</v>
      </c>
      <c r="C61">
        <v>515</v>
      </c>
      <c r="D61">
        <v>439</v>
      </c>
    </row>
    <row r="62" spans="2:4" x14ac:dyDescent="0.25">
      <c r="B62" s="2">
        <v>42795</v>
      </c>
      <c r="C62">
        <v>510</v>
      </c>
      <c r="D62">
        <v>440</v>
      </c>
    </row>
    <row r="63" spans="2:4" x14ac:dyDescent="0.25">
      <c r="B63" s="2">
        <v>42887</v>
      </c>
      <c r="C63">
        <v>518</v>
      </c>
      <c r="D63">
        <v>449</v>
      </c>
    </row>
    <row r="64" spans="2:4" x14ac:dyDescent="0.25">
      <c r="B64" s="2">
        <v>42979</v>
      </c>
      <c r="C64">
        <v>525</v>
      </c>
      <c r="D64">
        <v>445</v>
      </c>
    </row>
    <row r="65" spans="2:4" x14ac:dyDescent="0.25">
      <c r="B65" s="2">
        <v>43070</v>
      </c>
      <c r="C65">
        <v>535</v>
      </c>
      <c r="D65">
        <v>450</v>
      </c>
    </row>
    <row r="66" spans="2:4" x14ac:dyDescent="0.25">
      <c r="B66" s="2">
        <v>43160</v>
      </c>
      <c r="C66">
        <v>526</v>
      </c>
      <c r="D66">
        <v>449</v>
      </c>
    </row>
    <row r="67" spans="2:4" x14ac:dyDescent="0.25">
      <c r="B67" s="2">
        <v>43252</v>
      </c>
      <c r="C67">
        <v>532</v>
      </c>
      <c r="D67">
        <v>435</v>
      </c>
    </row>
    <row r="68" spans="2:4" x14ac:dyDescent="0.25">
      <c r="B68" s="2">
        <v>43344</v>
      </c>
      <c r="C68">
        <v>540</v>
      </c>
      <c r="D68">
        <v>440</v>
      </c>
    </row>
    <row r="69" spans="2:4" x14ac:dyDescent="0.25">
      <c r="B69" s="2">
        <v>43435</v>
      </c>
      <c r="C69">
        <v>540</v>
      </c>
      <c r="D69">
        <v>433</v>
      </c>
    </row>
    <row r="70" spans="2:4" x14ac:dyDescent="0.25">
      <c r="B70" s="2">
        <v>43525</v>
      </c>
      <c r="C70">
        <v>533</v>
      </c>
      <c r="D70">
        <v>434</v>
      </c>
    </row>
    <row r="71" spans="2:4" x14ac:dyDescent="0.25">
      <c r="B71" s="2">
        <v>43617</v>
      </c>
      <c r="C71">
        <v>538</v>
      </c>
      <c r="D71">
        <v>440</v>
      </c>
    </row>
    <row r="72" spans="2:4" x14ac:dyDescent="0.25">
      <c r="B72" s="2">
        <v>43709</v>
      </c>
      <c r="C72">
        <v>540</v>
      </c>
      <c r="D72">
        <v>441</v>
      </c>
    </row>
    <row r="73" spans="2:4" x14ac:dyDescent="0.25">
      <c r="B73" s="2">
        <v>43800</v>
      </c>
      <c r="C73">
        <v>550</v>
      </c>
      <c r="D73">
        <v>448</v>
      </c>
    </row>
    <row r="74" spans="2:4" x14ac:dyDescent="0.25">
      <c r="B74" s="2">
        <v>43891</v>
      </c>
      <c r="C74">
        <v>540</v>
      </c>
      <c r="D74">
        <v>430</v>
      </c>
    </row>
    <row r="75" spans="2:4" x14ac:dyDescent="0.25">
      <c r="B75" s="2">
        <v>43983</v>
      </c>
      <c r="C75">
        <v>547</v>
      </c>
      <c r="D75">
        <v>430</v>
      </c>
    </row>
    <row r="76" spans="2:4" x14ac:dyDescent="0.25">
      <c r="B76" s="2">
        <v>44075</v>
      </c>
      <c r="C76">
        <v>555</v>
      </c>
      <c r="D76">
        <v>449</v>
      </c>
    </row>
    <row r="77" spans="2:4" x14ac:dyDescent="0.25">
      <c r="B77" s="2">
        <v>44166</v>
      </c>
      <c r="C77">
        <v>575</v>
      </c>
      <c r="D77">
        <v>460</v>
      </c>
    </row>
    <row r="78" spans="2:4" x14ac:dyDescent="0.25">
      <c r="B78" s="2">
        <v>44256</v>
      </c>
      <c r="C78">
        <v>600</v>
      </c>
      <c r="D78">
        <v>465</v>
      </c>
    </row>
    <row r="79" spans="2:4" x14ac:dyDescent="0.25">
      <c r="B79" s="2">
        <v>44348</v>
      </c>
      <c r="C79">
        <v>630</v>
      </c>
      <c r="D79">
        <v>480</v>
      </c>
    </row>
    <row r="80" spans="2:4" x14ac:dyDescent="0.25">
      <c r="B80" s="2">
        <v>44440</v>
      </c>
      <c r="C80">
        <v>657</v>
      </c>
      <c r="D80">
        <v>480</v>
      </c>
    </row>
    <row r="81" spans="2:4" x14ac:dyDescent="0.25">
      <c r="B81" s="2">
        <v>44531</v>
      </c>
      <c r="C81">
        <v>750</v>
      </c>
      <c r="D81">
        <v>500</v>
      </c>
    </row>
    <row r="82" spans="2:4" x14ac:dyDescent="0.25">
      <c r="B82" s="2">
        <v>44621</v>
      </c>
      <c r="C82">
        <v>765</v>
      </c>
      <c r="D82">
        <v>519</v>
      </c>
    </row>
    <row r="83" spans="2:4" x14ac:dyDescent="0.25">
      <c r="B83" s="2">
        <v>44713</v>
      </c>
      <c r="C83">
        <v>773</v>
      </c>
      <c r="D83">
        <v>528</v>
      </c>
    </row>
    <row r="84" spans="2:4" x14ac:dyDescent="0.25">
      <c r="B84" s="2">
        <v>44805</v>
      </c>
      <c r="C84">
        <v>750</v>
      </c>
      <c r="D84">
        <v>528</v>
      </c>
    </row>
    <row r="85" spans="2:4" x14ac:dyDescent="0.25">
      <c r="B85" s="2">
        <v>44896</v>
      </c>
      <c r="C85">
        <v>750</v>
      </c>
      <c r="D85">
        <v>530</v>
      </c>
    </row>
    <row r="86" spans="2:4" x14ac:dyDescent="0.25">
      <c r="B86" s="2">
        <v>44986</v>
      </c>
      <c r="C86">
        <v>757</v>
      </c>
      <c r="D86">
        <v>540</v>
      </c>
    </row>
    <row r="87" spans="2:4" x14ac:dyDescent="0.25">
      <c r="B87" s="2">
        <v>45078</v>
      </c>
      <c r="C87">
        <v>775</v>
      </c>
      <c r="D87">
        <v>560</v>
      </c>
    </row>
    <row r="88" spans="2:4" x14ac:dyDescent="0.25">
      <c r="B88" s="2">
        <v>45170</v>
      </c>
      <c r="C88">
        <v>800</v>
      </c>
      <c r="D88">
        <v>570</v>
      </c>
    </row>
    <row r="89" spans="2:4" x14ac:dyDescent="0.25">
      <c r="B89" s="2">
        <v>45261</v>
      </c>
      <c r="C89">
        <v>830</v>
      </c>
      <c r="D89">
        <v>580</v>
      </c>
    </row>
    <row r="90" spans="2:4" x14ac:dyDescent="0.25">
      <c r="B90" s="2">
        <v>45352</v>
      </c>
      <c r="C90">
        <v>850.3</v>
      </c>
      <c r="D90">
        <v>605</v>
      </c>
    </row>
    <row r="91" spans="2:4" x14ac:dyDescent="0.25">
      <c r="B91" s="2">
        <v>45444</v>
      </c>
      <c r="C91">
        <v>890</v>
      </c>
      <c r="D91">
        <v>630</v>
      </c>
    </row>
    <row r="92" spans="2:4" x14ac:dyDescent="0.25">
      <c r="B92" s="2">
        <v>45536</v>
      </c>
      <c r="C92">
        <v>890</v>
      </c>
      <c r="D92">
        <v>649</v>
      </c>
    </row>
    <row r="93" spans="2:4" x14ac:dyDescent="0.25">
      <c r="B93" s="2">
        <v>45627</v>
      </c>
      <c r="C93">
        <v>935</v>
      </c>
      <c r="D93">
        <v>675</v>
      </c>
    </row>
    <row r="94" spans="2:4" x14ac:dyDescent="0.25">
      <c r="B94" s="2">
        <v>45717</v>
      </c>
      <c r="C94">
        <v>947.5</v>
      </c>
      <c r="D94">
        <v>710</v>
      </c>
    </row>
    <row r="95" spans="2:4" x14ac:dyDescent="0.25">
      <c r="B95" s="2">
        <v>45809</v>
      </c>
      <c r="C95">
        <v>970</v>
      </c>
      <c r="D95">
        <v>725</v>
      </c>
    </row>
    <row r="96" spans="2:4" x14ac:dyDescent="0.25">
      <c r="B96" s="2">
        <v>45901</v>
      </c>
      <c r="C96">
        <v>1020</v>
      </c>
      <c r="D96">
        <v>765</v>
      </c>
    </row>
    <row r="97" spans="2:4" x14ac:dyDescent="0.25">
      <c r="B97" s="2">
        <v>45992</v>
      </c>
      <c r="C97">
        <v>1100</v>
      </c>
      <c r="D97">
        <v>799.4</v>
      </c>
    </row>
    <row r="98" spans="2:4" x14ac:dyDescent="0.25">
      <c r="B98" s="2"/>
    </row>
    <row r="99" spans="2:4" x14ac:dyDescent="0.25">
      <c r="B99" s="2"/>
    </row>
    <row r="100" spans="2:4" x14ac:dyDescent="0.25">
      <c r="B100" s="2"/>
    </row>
    <row r="101" spans="2:4" x14ac:dyDescent="0.25">
      <c r="B101" s="2"/>
    </row>
    <row r="102" spans="2:4" x14ac:dyDescent="0.25">
      <c r="B102" s="2"/>
    </row>
  </sheetData>
  <autoFilter ref="B1:D102" xr:uid="{01F0EFC7-7237-4430-B607-A7F5094CDFD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D97"/>
  <sheetViews>
    <sheetView zoomScaleNormal="100" workbookViewId="0">
      <selection activeCell="C2" sqref="C2"/>
    </sheetView>
  </sheetViews>
  <sheetFormatPr defaultRowHeight="15" x14ac:dyDescent="0.25"/>
  <cols>
    <col min="1" max="1" width="24.28515625" bestFit="1" customWidth="1"/>
    <col min="2" max="2" width="20" bestFit="1" customWidth="1"/>
  </cols>
  <sheetData>
    <row r="1" spans="1:4" x14ac:dyDescent="0.25">
      <c r="A1" t="s">
        <v>23</v>
      </c>
      <c r="B1" s="1" t="s">
        <v>1</v>
      </c>
      <c r="C1" t="s">
        <v>635</v>
      </c>
      <c r="D1" t="s">
        <v>636</v>
      </c>
    </row>
    <row r="2" spans="1:4" x14ac:dyDescent="0.25">
      <c r="A2" t="s">
        <v>12</v>
      </c>
      <c r="B2" s="2">
        <v>37316</v>
      </c>
      <c r="C2" cm="1">
        <f t="array" ref="C2:C97">_xlfn.XLOOKUP("Median Price of Attached Dwelling*Brisbane*",'ABS-total-value-dwellings'!1:1,'ABS-total-value-dwellings'!11:106,"na",2)</f>
        <v>0</v>
      </c>
      <c r="D2" cm="1">
        <f t="array" ref="D2:D97">_xlfn.XLOOKUP("Median Price of Attached Dwelling*Rest of QLD*",'ABS-total-value-dwellings'!1:1,'ABS-total-value-dwellings'!11:106,"na",2)</f>
        <v>0</v>
      </c>
    </row>
    <row r="3" spans="1:4" x14ac:dyDescent="0.25">
      <c r="A3" t="s">
        <v>13</v>
      </c>
      <c r="B3" s="2">
        <v>37408</v>
      </c>
      <c r="C3">
        <v>0</v>
      </c>
      <c r="D3">
        <v>0</v>
      </c>
    </row>
    <row r="4" spans="1:4" x14ac:dyDescent="0.25">
      <c r="B4" s="2">
        <v>37500</v>
      </c>
      <c r="C4">
        <v>0</v>
      </c>
      <c r="D4">
        <v>0</v>
      </c>
    </row>
    <row r="5" spans="1:4" x14ac:dyDescent="0.25">
      <c r="B5" s="2">
        <v>37591</v>
      </c>
      <c r="C5">
        <v>0</v>
      </c>
      <c r="D5">
        <v>0</v>
      </c>
    </row>
    <row r="6" spans="1:4" x14ac:dyDescent="0.25">
      <c r="B6" s="2">
        <v>37681</v>
      </c>
      <c r="C6">
        <v>0</v>
      </c>
      <c r="D6">
        <v>0</v>
      </c>
    </row>
    <row r="7" spans="1:4" x14ac:dyDescent="0.25">
      <c r="B7" s="2">
        <v>37773</v>
      </c>
      <c r="C7">
        <v>0</v>
      </c>
      <c r="D7">
        <v>0</v>
      </c>
    </row>
    <row r="8" spans="1:4" x14ac:dyDescent="0.25">
      <c r="B8" s="2">
        <v>37865</v>
      </c>
      <c r="C8">
        <v>221</v>
      </c>
      <c r="D8">
        <v>230</v>
      </c>
    </row>
    <row r="9" spans="1:4" x14ac:dyDescent="0.25">
      <c r="B9" s="2">
        <v>37956</v>
      </c>
      <c r="C9">
        <v>241.6</v>
      </c>
      <c r="D9">
        <v>240</v>
      </c>
    </row>
    <row r="10" spans="1:4" x14ac:dyDescent="0.25">
      <c r="B10" s="2">
        <v>38047</v>
      </c>
      <c r="C10">
        <v>249</v>
      </c>
      <c r="D10">
        <v>257</v>
      </c>
    </row>
    <row r="11" spans="1:4" x14ac:dyDescent="0.25">
      <c r="B11" s="2">
        <v>38139</v>
      </c>
      <c r="C11">
        <v>249</v>
      </c>
      <c r="D11">
        <v>264</v>
      </c>
    </row>
    <row r="12" spans="1:4" x14ac:dyDescent="0.25">
      <c r="B12" s="2">
        <v>38231</v>
      </c>
      <c r="C12">
        <v>264</v>
      </c>
      <c r="D12">
        <v>269</v>
      </c>
    </row>
    <row r="13" spans="1:4" x14ac:dyDescent="0.25">
      <c r="B13" s="2">
        <v>38322</v>
      </c>
      <c r="C13">
        <v>267</v>
      </c>
      <c r="D13">
        <v>278</v>
      </c>
    </row>
    <row r="14" spans="1:4" x14ac:dyDescent="0.25">
      <c r="B14" s="2">
        <v>38412</v>
      </c>
      <c r="C14">
        <v>257</v>
      </c>
      <c r="D14">
        <v>282.5</v>
      </c>
    </row>
    <row r="15" spans="1:4" x14ac:dyDescent="0.25">
      <c r="B15" s="2">
        <v>38504</v>
      </c>
      <c r="C15">
        <v>265</v>
      </c>
      <c r="D15">
        <v>282</v>
      </c>
    </row>
    <row r="16" spans="1:4" x14ac:dyDescent="0.25">
      <c r="B16" s="2">
        <v>38596</v>
      </c>
      <c r="C16">
        <v>271.7</v>
      </c>
      <c r="D16">
        <v>282</v>
      </c>
    </row>
    <row r="17" spans="2:4" x14ac:dyDescent="0.25">
      <c r="B17" s="2">
        <v>38687</v>
      </c>
      <c r="C17">
        <v>280</v>
      </c>
      <c r="D17">
        <v>290</v>
      </c>
    </row>
    <row r="18" spans="2:4" x14ac:dyDescent="0.25">
      <c r="B18" s="2">
        <v>38777</v>
      </c>
      <c r="C18">
        <v>280</v>
      </c>
      <c r="D18">
        <v>292.60000000000002</v>
      </c>
    </row>
    <row r="19" spans="2:4" x14ac:dyDescent="0.25">
      <c r="B19" s="2">
        <v>38869</v>
      </c>
      <c r="C19">
        <v>295</v>
      </c>
      <c r="D19">
        <v>295</v>
      </c>
    </row>
    <row r="20" spans="2:4" x14ac:dyDescent="0.25">
      <c r="B20" s="2">
        <v>38961</v>
      </c>
      <c r="C20">
        <v>292</v>
      </c>
      <c r="D20">
        <v>300</v>
      </c>
    </row>
    <row r="21" spans="2:4" x14ac:dyDescent="0.25">
      <c r="B21" s="2">
        <v>39052</v>
      </c>
      <c r="C21">
        <v>298</v>
      </c>
      <c r="D21">
        <v>310</v>
      </c>
    </row>
    <row r="22" spans="2:4" x14ac:dyDescent="0.25">
      <c r="B22" s="2">
        <v>39142</v>
      </c>
      <c r="C22">
        <v>305</v>
      </c>
      <c r="D22">
        <v>320</v>
      </c>
    </row>
    <row r="23" spans="2:4" x14ac:dyDescent="0.25">
      <c r="B23" s="2">
        <v>39234</v>
      </c>
      <c r="C23">
        <v>325</v>
      </c>
      <c r="D23">
        <v>327</v>
      </c>
    </row>
    <row r="24" spans="2:4" x14ac:dyDescent="0.25">
      <c r="B24" s="2">
        <v>39326</v>
      </c>
      <c r="C24">
        <v>340</v>
      </c>
      <c r="D24">
        <v>330</v>
      </c>
    </row>
    <row r="25" spans="2:4" x14ac:dyDescent="0.25">
      <c r="B25" s="2">
        <v>39417</v>
      </c>
      <c r="C25">
        <v>357</v>
      </c>
      <c r="D25">
        <v>348</v>
      </c>
    </row>
    <row r="26" spans="2:4" x14ac:dyDescent="0.25">
      <c r="B26" s="2">
        <v>39508</v>
      </c>
      <c r="C26">
        <v>360</v>
      </c>
      <c r="D26">
        <v>355</v>
      </c>
    </row>
    <row r="27" spans="2:4" x14ac:dyDescent="0.25">
      <c r="B27" s="2">
        <v>39600</v>
      </c>
      <c r="C27">
        <v>367</v>
      </c>
      <c r="D27">
        <v>355</v>
      </c>
    </row>
    <row r="28" spans="2:4" x14ac:dyDescent="0.25">
      <c r="B28" s="2">
        <v>39692</v>
      </c>
      <c r="C28">
        <v>350</v>
      </c>
      <c r="D28">
        <v>340</v>
      </c>
    </row>
    <row r="29" spans="2:4" x14ac:dyDescent="0.25">
      <c r="B29" s="2">
        <v>39783</v>
      </c>
      <c r="C29">
        <v>350</v>
      </c>
      <c r="D29">
        <v>316</v>
      </c>
    </row>
    <row r="30" spans="2:4" x14ac:dyDescent="0.25">
      <c r="B30" s="2">
        <v>39873</v>
      </c>
      <c r="C30">
        <v>349.8</v>
      </c>
      <c r="D30">
        <v>324</v>
      </c>
    </row>
    <row r="31" spans="2:4" x14ac:dyDescent="0.25">
      <c r="B31" s="2">
        <v>39965</v>
      </c>
      <c r="C31">
        <v>365</v>
      </c>
      <c r="D31">
        <v>330</v>
      </c>
    </row>
    <row r="32" spans="2:4" x14ac:dyDescent="0.25">
      <c r="B32" s="2">
        <v>40057</v>
      </c>
      <c r="C32">
        <v>370</v>
      </c>
      <c r="D32">
        <v>345</v>
      </c>
    </row>
    <row r="33" spans="2:4" x14ac:dyDescent="0.25">
      <c r="B33" s="2">
        <v>40148</v>
      </c>
      <c r="C33">
        <v>381</v>
      </c>
      <c r="D33">
        <v>356.1</v>
      </c>
    </row>
    <row r="34" spans="2:4" x14ac:dyDescent="0.25">
      <c r="B34" s="2">
        <v>40238</v>
      </c>
      <c r="C34">
        <v>385</v>
      </c>
      <c r="D34">
        <v>360</v>
      </c>
    </row>
    <row r="35" spans="2:4" x14ac:dyDescent="0.25">
      <c r="B35" s="2">
        <v>40330</v>
      </c>
      <c r="C35">
        <v>392.5</v>
      </c>
      <c r="D35">
        <v>355</v>
      </c>
    </row>
    <row r="36" spans="2:4" x14ac:dyDescent="0.25">
      <c r="B36" s="2">
        <v>40422</v>
      </c>
      <c r="C36">
        <v>383.8</v>
      </c>
      <c r="D36">
        <v>347.5</v>
      </c>
    </row>
    <row r="37" spans="2:4" x14ac:dyDescent="0.25">
      <c r="B37" s="2">
        <v>40513</v>
      </c>
      <c r="C37">
        <v>385</v>
      </c>
      <c r="D37">
        <v>347.5</v>
      </c>
    </row>
    <row r="38" spans="2:4" x14ac:dyDescent="0.25">
      <c r="B38" s="2">
        <v>40603</v>
      </c>
      <c r="C38">
        <v>379</v>
      </c>
      <c r="D38">
        <v>340</v>
      </c>
    </row>
    <row r="39" spans="2:4" x14ac:dyDescent="0.25">
      <c r="B39" s="2">
        <v>40695</v>
      </c>
      <c r="C39">
        <v>382.5</v>
      </c>
      <c r="D39">
        <v>335</v>
      </c>
    </row>
    <row r="40" spans="2:4" x14ac:dyDescent="0.25">
      <c r="B40" s="2">
        <v>40787</v>
      </c>
      <c r="C40">
        <v>370</v>
      </c>
      <c r="D40">
        <v>325.8</v>
      </c>
    </row>
    <row r="41" spans="2:4" x14ac:dyDescent="0.25">
      <c r="B41" s="2">
        <v>40878</v>
      </c>
      <c r="C41">
        <v>380</v>
      </c>
      <c r="D41">
        <v>327.10000000000002</v>
      </c>
    </row>
    <row r="42" spans="2:4" x14ac:dyDescent="0.25">
      <c r="B42" s="2">
        <v>40969</v>
      </c>
      <c r="C42">
        <v>376</v>
      </c>
      <c r="D42">
        <v>330</v>
      </c>
    </row>
    <row r="43" spans="2:4" x14ac:dyDescent="0.25">
      <c r="B43" s="2">
        <v>41061</v>
      </c>
      <c r="C43">
        <v>381</v>
      </c>
      <c r="D43">
        <v>330</v>
      </c>
    </row>
    <row r="44" spans="2:4" x14ac:dyDescent="0.25">
      <c r="B44" s="2">
        <v>41153</v>
      </c>
      <c r="C44">
        <v>387.5</v>
      </c>
      <c r="D44">
        <v>315</v>
      </c>
    </row>
    <row r="45" spans="2:4" x14ac:dyDescent="0.25">
      <c r="B45" s="2">
        <v>41244</v>
      </c>
      <c r="C45">
        <v>385</v>
      </c>
      <c r="D45">
        <v>322.3</v>
      </c>
    </row>
    <row r="46" spans="2:4" x14ac:dyDescent="0.25">
      <c r="B46" s="2">
        <v>41334</v>
      </c>
      <c r="C46">
        <v>392</v>
      </c>
      <c r="D46">
        <v>327.8</v>
      </c>
    </row>
    <row r="47" spans="2:4" x14ac:dyDescent="0.25">
      <c r="B47" s="2">
        <v>41426</v>
      </c>
      <c r="C47">
        <v>395</v>
      </c>
      <c r="D47">
        <v>325</v>
      </c>
    </row>
    <row r="48" spans="2:4" x14ac:dyDescent="0.25">
      <c r="B48" s="2">
        <v>41518</v>
      </c>
      <c r="C48">
        <v>395</v>
      </c>
      <c r="D48">
        <v>327</v>
      </c>
    </row>
    <row r="49" spans="2:4" x14ac:dyDescent="0.25">
      <c r="B49" s="2">
        <v>41609</v>
      </c>
      <c r="C49">
        <v>400</v>
      </c>
      <c r="D49">
        <v>331</v>
      </c>
    </row>
    <row r="50" spans="2:4" x14ac:dyDescent="0.25">
      <c r="B50" s="2">
        <v>41699</v>
      </c>
      <c r="C50">
        <v>405</v>
      </c>
      <c r="D50">
        <v>338</v>
      </c>
    </row>
    <row r="51" spans="2:4" x14ac:dyDescent="0.25">
      <c r="B51" s="2">
        <v>41791</v>
      </c>
      <c r="C51">
        <v>414</v>
      </c>
      <c r="D51">
        <v>345</v>
      </c>
    </row>
    <row r="52" spans="2:4" x14ac:dyDescent="0.25">
      <c r="B52" s="2">
        <v>41883</v>
      </c>
      <c r="C52">
        <v>420</v>
      </c>
      <c r="D52">
        <v>330</v>
      </c>
    </row>
    <row r="53" spans="2:4" x14ac:dyDescent="0.25">
      <c r="B53" s="2">
        <v>41974</v>
      </c>
      <c r="C53">
        <v>420</v>
      </c>
      <c r="D53">
        <v>340</v>
      </c>
    </row>
    <row r="54" spans="2:4" x14ac:dyDescent="0.25">
      <c r="B54" s="2">
        <v>42064</v>
      </c>
      <c r="C54">
        <v>420</v>
      </c>
      <c r="D54">
        <v>350</v>
      </c>
    </row>
    <row r="55" spans="2:4" x14ac:dyDescent="0.25">
      <c r="B55" s="2">
        <v>42156</v>
      </c>
      <c r="C55">
        <v>425</v>
      </c>
      <c r="D55">
        <v>350</v>
      </c>
    </row>
    <row r="56" spans="2:4" x14ac:dyDescent="0.25">
      <c r="B56" s="2">
        <v>42248</v>
      </c>
      <c r="C56">
        <v>425</v>
      </c>
      <c r="D56">
        <v>350.8</v>
      </c>
    </row>
    <row r="57" spans="2:4" x14ac:dyDescent="0.25">
      <c r="B57" s="2">
        <v>42339</v>
      </c>
      <c r="C57">
        <v>420</v>
      </c>
      <c r="D57">
        <v>360</v>
      </c>
    </row>
    <row r="58" spans="2:4" x14ac:dyDescent="0.25">
      <c r="B58" s="2">
        <v>42430</v>
      </c>
      <c r="C58">
        <v>415</v>
      </c>
      <c r="D58">
        <v>363</v>
      </c>
    </row>
    <row r="59" spans="2:4" x14ac:dyDescent="0.25">
      <c r="B59" s="2">
        <v>42522</v>
      </c>
      <c r="C59">
        <v>413</v>
      </c>
      <c r="D59">
        <v>365</v>
      </c>
    </row>
    <row r="60" spans="2:4" x14ac:dyDescent="0.25">
      <c r="B60" s="2">
        <v>42614</v>
      </c>
      <c r="C60">
        <v>420</v>
      </c>
      <c r="D60">
        <v>370</v>
      </c>
    </row>
    <row r="61" spans="2:4" x14ac:dyDescent="0.25">
      <c r="B61" s="2">
        <v>42705</v>
      </c>
      <c r="C61">
        <v>410</v>
      </c>
      <c r="D61">
        <v>375</v>
      </c>
    </row>
    <row r="62" spans="2:4" x14ac:dyDescent="0.25">
      <c r="B62" s="2">
        <v>42795</v>
      </c>
      <c r="C62">
        <v>405</v>
      </c>
      <c r="D62">
        <v>389</v>
      </c>
    </row>
    <row r="63" spans="2:4" x14ac:dyDescent="0.25">
      <c r="B63" s="2">
        <v>42887</v>
      </c>
      <c r="C63">
        <v>392.5</v>
      </c>
      <c r="D63">
        <v>380</v>
      </c>
    </row>
    <row r="64" spans="2:4" x14ac:dyDescent="0.25">
      <c r="B64" s="2">
        <v>42979</v>
      </c>
      <c r="C64">
        <v>400</v>
      </c>
      <c r="D64">
        <v>385</v>
      </c>
    </row>
    <row r="65" spans="2:4" x14ac:dyDescent="0.25">
      <c r="B65" s="2">
        <v>43070</v>
      </c>
      <c r="C65">
        <v>391</v>
      </c>
      <c r="D65">
        <v>385</v>
      </c>
    </row>
    <row r="66" spans="2:4" x14ac:dyDescent="0.25">
      <c r="B66" s="2">
        <v>43160</v>
      </c>
      <c r="C66">
        <v>385</v>
      </c>
      <c r="D66">
        <v>390</v>
      </c>
    </row>
    <row r="67" spans="2:4" x14ac:dyDescent="0.25">
      <c r="B67" s="2">
        <v>43252</v>
      </c>
      <c r="C67">
        <v>385</v>
      </c>
      <c r="D67">
        <v>390.3</v>
      </c>
    </row>
    <row r="68" spans="2:4" x14ac:dyDescent="0.25">
      <c r="B68" s="2">
        <v>43344</v>
      </c>
      <c r="C68">
        <v>385</v>
      </c>
      <c r="D68">
        <v>385</v>
      </c>
    </row>
    <row r="69" spans="2:4" x14ac:dyDescent="0.25">
      <c r="B69" s="2">
        <v>43435</v>
      </c>
      <c r="C69">
        <v>390</v>
      </c>
      <c r="D69">
        <v>390</v>
      </c>
    </row>
    <row r="70" spans="2:4" x14ac:dyDescent="0.25">
      <c r="B70" s="2">
        <v>43525</v>
      </c>
      <c r="C70">
        <v>387.8</v>
      </c>
      <c r="D70">
        <v>388</v>
      </c>
    </row>
    <row r="71" spans="2:4" x14ac:dyDescent="0.25">
      <c r="B71" s="2">
        <v>43617</v>
      </c>
      <c r="C71">
        <v>390</v>
      </c>
      <c r="D71">
        <v>385</v>
      </c>
    </row>
    <row r="72" spans="2:4" x14ac:dyDescent="0.25">
      <c r="B72" s="2">
        <v>43709</v>
      </c>
      <c r="C72">
        <v>397.5</v>
      </c>
      <c r="D72">
        <v>393</v>
      </c>
    </row>
    <row r="73" spans="2:4" x14ac:dyDescent="0.25">
      <c r="B73" s="2">
        <v>43800</v>
      </c>
      <c r="C73">
        <v>399</v>
      </c>
      <c r="D73">
        <v>395</v>
      </c>
    </row>
    <row r="74" spans="2:4" x14ac:dyDescent="0.25">
      <c r="B74" s="2">
        <v>43891</v>
      </c>
      <c r="C74">
        <v>390</v>
      </c>
      <c r="D74">
        <v>400</v>
      </c>
    </row>
    <row r="75" spans="2:4" x14ac:dyDescent="0.25">
      <c r="B75" s="2">
        <v>43983</v>
      </c>
      <c r="C75">
        <v>386.5</v>
      </c>
      <c r="D75">
        <v>404</v>
      </c>
    </row>
    <row r="76" spans="2:4" x14ac:dyDescent="0.25">
      <c r="B76" s="2">
        <v>44075</v>
      </c>
      <c r="C76">
        <v>400</v>
      </c>
      <c r="D76">
        <v>412.5</v>
      </c>
    </row>
    <row r="77" spans="2:4" x14ac:dyDescent="0.25">
      <c r="B77" s="2">
        <v>44166</v>
      </c>
      <c r="C77">
        <v>415</v>
      </c>
      <c r="D77">
        <v>430</v>
      </c>
    </row>
    <row r="78" spans="2:4" x14ac:dyDescent="0.25">
      <c r="B78" s="2">
        <v>44256</v>
      </c>
      <c r="C78">
        <v>420</v>
      </c>
      <c r="D78">
        <v>440</v>
      </c>
    </row>
    <row r="79" spans="2:4" x14ac:dyDescent="0.25">
      <c r="B79" s="2">
        <v>44348</v>
      </c>
      <c r="C79">
        <v>421.3</v>
      </c>
      <c r="D79">
        <v>460</v>
      </c>
    </row>
    <row r="80" spans="2:4" x14ac:dyDescent="0.25">
      <c r="B80" s="2">
        <v>44440</v>
      </c>
      <c r="C80">
        <v>430</v>
      </c>
      <c r="D80">
        <v>480</v>
      </c>
    </row>
    <row r="81" spans="2:4" x14ac:dyDescent="0.25">
      <c r="B81" s="2">
        <v>44531</v>
      </c>
      <c r="C81">
        <v>450</v>
      </c>
      <c r="D81">
        <v>501</v>
      </c>
    </row>
    <row r="82" spans="2:4" x14ac:dyDescent="0.25">
      <c r="B82" s="2">
        <v>44621</v>
      </c>
      <c r="C82">
        <v>459</v>
      </c>
      <c r="D82">
        <v>517</v>
      </c>
    </row>
    <row r="83" spans="2:4" x14ac:dyDescent="0.25">
      <c r="B83" s="2">
        <v>44713</v>
      </c>
      <c r="C83">
        <v>470</v>
      </c>
      <c r="D83">
        <v>540</v>
      </c>
    </row>
    <row r="84" spans="2:4" x14ac:dyDescent="0.25">
      <c r="B84" s="2">
        <v>44805</v>
      </c>
      <c r="C84">
        <v>470</v>
      </c>
      <c r="D84">
        <v>530</v>
      </c>
    </row>
    <row r="85" spans="2:4" x14ac:dyDescent="0.25">
      <c r="B85" s="2">
        <v>44896</v>
      </c>
      <c r="C85">
        <v>480</v>
      </c>
      <c r="D85">
        <v>535</v>
      </c>
    </row>
    <row r="86" spans="2:4" x14ac:dyDescent="0.25">
      <c r="B86" s="2">
        <v>44986</v>
      </c>
      <c r="C86">
        <v>483</v>
      </c>
      <c r="D86">
        <v>550</v>
      </c>
    </row>
    <row r="87" spans="2:4" x14ac:dyDescent="0.25">
      <c r="B87" s="2">
        <v>45078</v>
      </c>
      <c r="C87">
        <v>500</v>
      </c>
      <c r="D87">
        <v>562.5</v>
      </c>
    </row>
    <row r="88" spans="2:4" x14ac:dyDescent="0.25">
      <c r="B88" s="2">
        <v>45170</v>
      </c>
      <c r="C88">
        <v>525</v>
      </c>
      <c r="D88">
        <v>580</v>
      </c>
    </row>
    <row r="89" spans="2:4" x14ac:dyDescent="0.25">
      <c r="B89" s="2">
        <v>45261</v>
      </c>
      <c r="C89">
        <v>548</v>
      </c>
      <c r="D89">
        <v>591.5</v>
      </c>
    </row>
    <row r="90" spans="2:4" x14ac:dyDescent="0.25">
      <c r="B90" s="2">
        <v>45352</v>
      </c>
      <c r="C90">
        <v>580</v>
      </c>
      <c r="D90">
        <v>625</v>
      </c>
    </row>
    <row r="91" spans="2:4" x14ac:dyDescent="0.25">
      <c r="B91" s="2">
        <v>45444</v>
      </c>
      <c r="C91">
        <v>610</v>
      </c>
      <c r="D91">
        <v>640</v>
      </c>
    </row>
    <row r="92" spans="2:4" x14ac:dyDescent="0.25">
      <c r="B92" s="2">
        <v>45536</v>
      </c>
      <c r="C92">
        <v>631</v>
      </c>
      <c r="D92">
        <v>660</v>
      </c>
    </row>
    <row r="93" spans="2:4" x14ac:dyDescent="0.25">
      <c r="B93" s="2">
        <v>45627</v>
      </c>
      <c r="C93">
        <v>655</v>
      </c>
      <c r="D93">
        <v>670</v>
      </c>
    </row>
    <row r="94" spans="2:4" x14ac:dyDescent="0.25">
      <c r="B94" s="2">
        <v>45717</v>
      </c>
      <c r="C94">
        <v>685</v>
      </c>
      <c r="D94">
        <v>700</v>
      </c>
    </row>
    <row r="95" spans="2:4" x14ac:dyDescent="0.25">
      <c r="B95" s="2">
        <v>45809</v>
      </c>
      <c r="C95">
        <v>706</v>
      </c>
      <c r="D95">
        <v>720</v>
      </c>
    </row>
    <row r="96" spans="2:4" x14ac:dyDescent="0.25">
      <c r="B96" s="2">
        <v>45901</v>
      </c>
      <c r="C96">
        <v>740</v>
      </c>
      <c r="D96">
        <v>740</v>
      </c>
    </row>
    <row r="97" spans="2:4" x14ac:dyDescent="0.25">
      <c r="B97" s="2">
        <v>45992</v>
      </c>
      <c r="C97">
        <v>793</v>
      </c>
      <c r="D97">
        <v>786</v>
      </c>
    </row>
  </sheetData>
  <autoFilter ref="B1:D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15</vt:i4>
      </vt:variant>
      <vt:variant>
        <vt:lpstr>Charts</vt:lpstr>
      </vt:variant>
      <vt:variant>
        <vt:i4>2</vt:i4>
      </vt:variant>
      <vt:variant>
        <vt:lpstr>Named Ranges</vt:lpstr>
      </vt:variant>
      <vt:variant>
        <vt:i4>196</vt:i4>
      </vt:variant>
    </vt:vector>
  </HeadingPairs>
  <TitlesOfParts>
    <vt:vector size="213" baseType="lpstr">
      <vt:lpstr>analysis</vt:lpstr>
      <vt:lpstr>cpi</vt:lpstr>
      <vt:lpstr>msci-indices</vt:lpstr>
      <vt:lpstr>mortgage-rates</vt:lpstr>
      <vt:lpstr>qld-rent &gt;&gt;</vt:lpstr>
      <vt:lpstr>7 lga-rents </vt:lpstr>
      <vt:lpstr>8 lga-new-bonds</vt:lpstr>
      <vt:lpstr>lga-weighted-average</vt:lpstr>
      <vt:lpstr>qld-rent-combined</vt:lpstr>
      <vt:lpstr>2BR_F-processed</vt:lpstr>
      <vt:lpstr>3BR_H-processed</vt:lpstr>
      <vt:lpstr>qld-buy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2026-09-06T01:14:06Z</dcterms:modified>
</cp:coreProperties>
</file>