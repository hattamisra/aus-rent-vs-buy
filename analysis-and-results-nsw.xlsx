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heets/sheet3.xml" ContentType="application/vnd.openxmlformats-officedocument.spreadsheetml.chart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2.xml" ContentType="application/vnd.openxmlformats-officedocument.spreadsheetml.comments+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202300"/>
  <mc:AlternateContent xmlns:mc="http://schemas.openxmlformats.org/markup-compatibility/2006">
    <mc:Choice Requires="x15">
      <x15ac:absPath xmlns:x15ac="http://schemas.microsoft.com/office/spreadsheetml/2010/11/ac" url="https://d.docs.live.net/03beea78131baf44/Documents/Personal Projects/2026-03 aus rent vs buy/"/>
    </mc:Choice>
  </mc:AlternateContent>
  <xr:revisionPtr revIDLastSave="99" documentId="13_ncr:1_{E2D2CA09-F075-487D-B42E-B6FCFA68B5DF}" xr6:coauthVersionLast="47" xr6:coauthVersionMax="47" xr10:uidLastSave="{064DA423-24B5-498B-B492-928A18460FE8}"/>
  <bookViews>
    <workbookView xWindow="-120" yWindow="-120" windowWidth="29040" windowHeight="17520" tabRatio="852" xr2:uid="{D8AAAA89-5358-4611-B113-99C6929A3BCB}"/>
  </bookViews>
  <sheets>
    <sheet name="analysis" sheetId="13" r:id="rId1"/>
    <sheet name="cpi" sheetId="23" r:id="rId2"/>
    <sheet name="msci-indices" sheetId="20" r:id="rId3"/>
    <sheet name="mortgage-rates" sheetId="19" r:id="rId4"/>
    <sheet name="nsw-rent &gt;&gt;" sheetId="6" r:id="rId5"/>
    <sheet name="2BR_F-combined" sheetId="2" r:id="rId6"/>
    <sheet name="3BR_H-combined" sheetId="11" r:id="rId7"/>
    <sheet name="chart-2bflat" sheetId="3" r:id="rId8"/>
    <sheet name="chart-3bhouse" sheetId="12" r:id="rId9"/>
    <sheet name="nsw-buy &gt;&gt;" sheetId="14" r:id="rId10"/>
    <sheet name="ABS-total-value-dwellings" sheetId="24" r:id="rId11"/>
    <sheet name="ns-combined" sheetId="18" r:id="rId12"/>
    <sheet name="s-combined" sheetId="22" r:id="rId13"/>
    <sheet name="chart-home-sale-prices" sheetId="26" r:id="rId14"/>
  </sheets>
  <externalReferences>
    <externalReference r:id="rId15"/>
  </externalReferences>
  <definedNames>
    <definedName name="_xlnm._FilterDatabase" localSheetId="5" hidden="1">'2BR_F-combined'!$A$1:$BH$111</definedName>
    <definedName name="_xlnm._FilterDatabase" localSheetId="6" hidden="1">'3BR_H-combined'!$A$1:$BH$111</definedName>
    <definedName name="_xlnm._FilterDatabase" localSheetId="11" hidden="1">'ns-combined'!$B$1:$BH$106</definedName>
    <definedName name="_xlnm._FilterDatabase" localSheetId="12" hidden="1">'s-combined'!$B$1:$BH$106</definedName>
    <definedName name="A83728543L">'ABS-total-value-dwellings'!$AF$1:$AF$10,'ABS-total-value-dwellings'!$AF$11:$AF$106</definedName>
    <definedName name="A83728543L_Data">'ABS-total-value-dwellings'!$AF$11:$AF$106</definedName>
    <definedName name="A83728543L_Latest">'ABS-total-value-dwellings'!$AF$106</definedName>
    <definedName name="A83728544R">'ABS-total-value-dwellings'!$AU$1:$AU$10,'ABS-total-value-dwellings'!$AU$17:$AU$106</definedName>
    <definedName name="A83728544R_Data">'ABS-total-value-dwellings'!$AU$17:$AU$106</definedName>
    <definedName name="A83728544R_Latest">'ABS-total-value-dwellings'!$AU$106</definedName>
    <definedName name="A83728545T">'ABS-total-value-dwellings'!$B$1:$B$10,'ABS-total-value-dwellings'!$B$11:$B$106</definedName>
    <definedName name="A83728545T_Data">'ABS-total-value-dwellings'!$B$11:$B$106</definedName>
    <definedName name="A83728545T_Latest">'ABS-total-value-dwellings'!$B$106</definedName>
    <definedName name="A83728546V">'ABS-total-value-dwellings'!$Q$1:$Q$10,'ABS-total-value-dwellings'!$Q$17:$Q$106</definedName>
    <definedName name="A83728546V_Data">'ABS-total-value-dwellings'!$Q$17:$Q$106</definedName>
    <definedName name="A83728546V_Latest">'ABS-total-value-dwellings'!$Q$106</definedName>
    <definedName name="A83728547W">'ABS-total-value-dwellings'!$AH$1:$AH$10,'ABS-total-value-dwellings'!$AH$11:$AH$106</definedName>
    <definedName name="A83728547W_Data">'ABS-total-value-dwellings'!$AH$11:$AH$106</definedName>
    <definedName name="A83728547W_Latest">'ABS-total-value-dwellings'!$AH$106</definedName>
    <definedName name="A83728548X">'ABS-total-value-dwellings'!$AW$1:$AW$10,'ABS-total-value-dwellings'!$AW$17:$AW$106</definedName>
    <definedName name="A83728548X_Data">'ABS-total-value-dwellings'!$AW$17:$AW$106</definedName>
    <definedName name="A83728548X_Latest">'ABS-total-value-dwellings'!$AW$106</definedName>
    <definedName name="A83728549A">'ABS-total-value-dwellings'!$D$1:$D$10,'ABS-total-value-dwellings'!$D$11:$D$106</definedName>
    <definedName name="A83728549A_Data">'ABS-total-value-dwellings'!$D$11:$D$106</definedName>
    <definedName name="A83728549A_Latest">'ABS-total-value-dwellings'!$D$106</definedName>
    <definedName name="A83728550K">'ABS-total-value-dwellings'!$S$1:$S$10,'ABS-total-value-dwellings'!$S$17:$S$106</definedName>
    <definedName name="A83728550K_Data">'ABS-total-value-dwellings'!$S$17:$S$106</definedName>
    <definedName name="A83728550K_Latest">'ABS-total-value-dwellings'!$S$106</definedName>
    <definedName name="A83728551L">'ABS-total-value-dwellings'!$AJ$1:$AJ$10,'ABS-total-value-dwellings'!$AJ$11:$AJ$106</definedName>
    <definedName name="A83728551L_Data">'ABS-total-value-dwellings'!$AJ$11:$AJ$106</definedName>
    <definedName name="A83728551L_Latest">'ABS-total-value-dwellings'!$AJ$106</definedName>
    <definedName name="A83728552R">'ABS-total-value-dwellings'!$AY$1:$AY$10,'ABS-total-value-dwellings'!$AY$17:$AY$106</definedName>
    <definedName name="A83728552R_Data">'ABS-total-value-dwellings'!$AY$17:$AY$106</definedName>
    <definedName name="A83728552R_Latest">'ABS-total-value-dwellings'!$AY$106</definedName>
    <definedName name="A83728553T">'ABS-total-value-dwellings'!$F$1:$F$10,'ABS-total-value-dwellings'!$F$11:$F$106</definedName>
    <definedName name="A83728553T_Data">'ABS-total-value-dwellings'!$F$11:$F$106</definedName>
    <definedName name="A83728553T_Latest">'ABS-total-value-dwellings'!$F$106</definedName>
    <definedName name="A83728554V">'ABS-total-value-dwellings'!$U$1:$U$10,'ABS-total-value-dwellings'!$U$17:$U$106</definedName>
    <definedName name="A83728554V_Data">'ABS-total-value-dwellings'!$U$17:$U$106</definedName>
    <definedName name="A83728554V_Latest">'ABS-total-value-dwellings'!$U$106</definedName>
    <definedName name="A83728555W">'ABS-total-value-dwellings'!$AL$1:$AL$10,'ABS-total-value-dwellings'!$AL$11:$AL$106</definedName>
    <definedName name="A83728555W_Data">'ABS-total-value-dwellings'!$AL$11:$AL$106</definedName>
    <definedName name="A83728555W_Latest">'ABS-total-value-dwellings'!$AL$106</definedName>
    <definedName name="A83728556X">'ABS-total-value-dwellings'!$BA$1:$BA$10,'ABS-total-value-dwellings'!$BA$17:$BA$106</definedName>
    <definedName name="A83728556X_Data">'ABS-total-value-dwellings'!$BA$17:$BA$106</definedName>
    <definedName name="A83728556X_Latest">'ABS-total-value-dwellings'!$BA$106</definedName>
    <definedName name="A83728557A">'ABS-total-value-dwellings'!$H$1:$H$10,'ABS-total-value-dwellings'!$H$11:$H$106</definedName>
    <definedName name="A83728557A_Data">'ABS-total-value-dwellings'!$H$11:$H$106</definedName>
    <definedName name="A83728557A_Latest">'ABS-total-value-dwellings'!$H$106</definedName>
    <definedName name="A83728558C">'ABS-total-value-dwellings'!$W$1:$W$10,'ABS-total-value-dwellings'!$W$17:$W$106</definedName>
    <definedName name="A83728558C_Data">'ABS-total-value-dwellings'!$W$17:$W$106</definedName>
    <definedName name="A83728558C_Latest">'ABS-total-value-dwellings'!$W$106</definedName>
    <definedName name="A83728559F">'ABS-total-value-dwellings'!$AN$1:$AN$10,'ABS-total-value-dwellings'!$AN$11:$AN$106</definedName>
    <definedName name="A83728559F_Data">'ABS-total-value-dwellings'!$AN$11:$AN$106</definedName>
    <definedName name="A83728559F_Latest">'ABS-total-value-dwellings'!$AN$106</definedName>
    <definedName name="A83728560R">'ABS-total-value-dwellings'!$BC$1:$BC$10,'ABS-total-value-dwellings'!$BC$17:$BC$106</definedName>
    <definedName name="A83728560R_Data">'ABS-total-value-dwellings'!$BC$17:$BC$106</definedName>
    <definedName name="A83728560R_Latest">'ABS-total-value-dwellings'!$BC$106</definedName>
    <definedName name="A83728561T">'ABS-total-value-dwellings'!$J$1:$J$10,'ABS-total-value-dwellings'!$J$11:$J$106</definedName>
    <definedName name="A83728561T_Data">'ABS-total-value-dwellings'!$J$11:$J$106</definedName>
    <definedName name="A83728561T_Latest">'ABS-total-value-dwellings'!$J$106</definedName>
    <definedName name="A83728562V">'ABS-total-value-dwellings'!$Y$1:$Y$10,'ABS-total-value-dwellings'!$Y$17:$Y$106</definedName>
    <definedName name="A83728562V_Data">'ABS-total-value-dwellings'!$Y$17:$Y$106</definedName>
    <definedName name="A83728562V_Latest">'ABS-total-value-dwellings'!$Y$106</definedName>
    <definedName name="A83728563W">'ABS-total-value-dwellings'!$AP$1:$AP$10,'ABS-total-value-dwellings'!$AP$11:$AP$106</definedName>
    <definedName name="A83728563W_Data">'ABS-total-value-dwellings'!$AP$11:$AP$106</definedName>
    <definedName name="A83728563W_Latest">'ABS-total-value-dwellings'!$AP$106</definedName>
    <definedName name="A83728564X">'ABS-total-value-dwellings'!$BE$1:$BE$10,'ABS-total-value-dwellings'!$BE$17:$BE$106</definedName>
    <definedName name="A83728564X_Data">'ABS-total-value-dwellings'!$BE$17:$BE$106</definedName>
    <definedName name="A83728564X_Latest">'ABS-total-value-dwellings'!$BE$106</definedName>
    <definedName name="A83728565A">'ABS-total-value-dwellings'!$L$1:$L$10,'ABS-total-value-dwellings'!$L$11:$L$106</definedName>
    <definedName name="A83728565A_Data">'ABS-total-value-dwellings'!$L$11:$L$106</definedName>
    <definedName name="A83728565A_Latest">'ABS-total-value-dwellings'!$L$106</definedName>
    <definedName name="A83728566C">'ABS-total-value-dwellings'!$AA$1:$AA$10,'ABS-total-value-dwellings'!$AA$17:$AA$106</definedName>
    <definedName name="A83728566C_Data">'ABS-total-value-dwellings'!$AA$17:$AA$106</definedName>
    <definedName name="A83728566C_Latest">'ABS-total-value-dwellings'!$AA$106</definedName>
    <definedName name="A83728567F">'ABS-total-value-dwellings'!$AR$1:$AR$10,'ABS-total-value-dwellings'!$AR$11:$AR$106</definedName>
    <definedName name="A83728567F_Data">'ABS-total-value-dwellings'!$AR$11:$AR$106</definedName>
    <definedName name="A83728567F_Latest">'ABS-total-value-dwellings'!$AR$106</definedName>
    <definedName name="A83728568J">'ABS-total-value-dwellings'!$BG$1:$BG$10,'ABS-total-value-dwellings'!$BG$17:$BG$106</definedName>
    <definedName name="A83728568J_Data">'ABS-total-value-dwellings'!$BG$17:$BG$106</definedName>
    <definedName name="A83728568J_Latest">'ABS-total-value-dwellings'!$BG$106</definedName>
    <definedName name="A83728569K">'ABS-total-value-dwellings'!$N$1:$N$10,'ABS-total-value-dwellings'!$N$11:$N$106</definedName>
    <definedName name="A83728569K_Data">'ABS-total-value-dwellings'!$N$11:$N$106</definedName>
    <definedName name="A83728569K_Latest">'ABS-total-value-dwellings'!$N$106</definedName>
    <definedName name="A83728570V">'ABS-total-value-dwellings'!$AC$1:$AC$10,'ABS-total-value-dwellings'!$AC$17:$AC$106</definedName>
    <definedName name="A83728570V_Data">'ABS-total-value-dwellings'!$AC$17:$AC$106</definedName>
    <definedName name="A83728570V_Latest">'ABS-total-value-dwellings'!$AC$106</definedName>
    <definedName name="A83728571W">'ABS-total-value-dwellings'!$AT$1:$AT$10,'ABS-total-value-dwellings'!$AT$11:$AT$106</definedName>
    <definedName name="A83728571W_Data">'ABS-total-value-dwellings'!$AT$11:$AT$106</definedName>
    <definedName name="A83728571W_Latest">'ABS-total-value-dwellings'!$AT$106</definedName>
    <definedName name="A83728572X">'ABS-total-value-dwellings'!$BI$1:$BI$10,'ABS-total-value-dwellings'!$BI$17:$BI$106</definedName>
    <definedName name="A83728572X_Data">'ABS-total-value-dwellings'!$BI$17:$BI$106</definedName>
    <definedName name="A83728572X_Latest">'ABS-total-value-dwellings'!$BI$106</definedName>
    <definedName name="A83728573A">'ABS-total-value-dwellings'!$P$1:$P$10,'ABS-total-value-dwellings'!$P$11:$P$106</definedName>
    <definedName name="A83728573A_Data">'ABS-total-value-dwellings'!$P$11:$P$106</definedName>
    <definedName name="A83728573A_Latest">'ABS-total-value-dwellings'!$P$106</definedName>
    <definedName name="A83728574C">'ABS-total-value-dwellings'!$AE$1:$AE$10,'ABS-total-value-dwellings'!$AE$17:$AE$106</definedName>
    <definedName name="A83728574C_Data">'ABS-total-value-dwellings'!$AE$17:$AE$106</definedName>
    <definedName name="A83728574C_Latest">'ABS-total-value-dwellings'!$AE$106</definedName>
    <definedName name="A83728575F">'ABS-total-value-dwellings'!$AG$1:$AG$10,'ABS-total-value-dwellings'!$AG$17:$AG$106</definedName>
    <definedName name="A83728575F_Data">'ABS-total-value-dwellings'!$AG$17:$AG$106</definedName>
    <definedName name="A83728575F_Latest">'ABS-total-value-dwellings'!$AG$106</definedName>
    <definedName name="A83728576J">'ABS-total-value-dwellings'!$AV$1:$AV$10,'ABS-total-value-dwellings'!$AV$17:$AV$106</definedName>
    <definedName name="A83728576J_Data">'ABS-total-value-dwellings'!$AV$17:$AV$106</definedName>
    <definedName name="A83728576J_Latest">'ABS-total-value-dwellings'!$AV$106</definedName>
    <definedName name="A83728577K">'ABS-total-value-dwellings'!$C$1:$C$10,'ABS-total-value-dwellings'!$C$17:$C$106</definedName>
    <definedName name="A83728577K_Data">'ABS-total-value-dwellings'!$C$17:$C$106</definedName>
    <definedName name="A83728577K_Latest">'ABS-total-value-dwellings'!$C$106</definedName>
    <definedName name="A83728578L">'ABS-total-value-dwellings'!$R$1:$R$10,'ABS-total-value-dwellings'!$R$17:$R$106</definedName>
    <definedName name="A83728578L_Data">'ABS-total-value-dwellings'!$R$17:$R$106</definedName>
    <definedName name="A83728578L_Latest">'ABS-total-value-dwellings'!$R$106</definedName>
    <definedName name="A83728579R">'ABS-total-value-dwellings'!$AI$1:$AI$10,'ABS-total-value-dwellings'!$AI$17:$AI$106</definedName>
    <definedName name="A83728579R_Data">'ABS-total-value-dwellings'!$AI$17:$AI$106</definedName>
    <definedName name="A83728579R_Latest">'ABS-total-value-dwellings'!$AI$106</definedName>
    <definedName name="A83728580X">'ABS-total-value-dwellings'!$AX$1:$AX$10,'ABS-total-value-dwellings'!$AX$17:$AX$106</definedName>
    <definedName name="A83728580X_Data">'ABS-total-value-dwellings'!$AX$17:$AX$106</definedName>
    <definedName name="A83728580X_Latest">'ABS-total-value-dwellings'!$AX$106</definedName>
    <definedName name="A83728581A">'ABS-total-value-dwellings'!$E$1:$E$10,'ABS-total-value-dwellings'!$E$17:$E$106</definedName>
    <definedName name="A83728581A_Data">'ABS-total-value-dwellings'!$E$17:$E$106</definedName>
    <definedName name="A83728581A_Latest">'ABS-total-value-dwellings'!$E$106</definedName>
    <definedName name="A83728582C">'ABS-total-value-dwellings'!$T$1:$T$10,'ABS-total-value-dwellings'!$T$17:$T$106</definedName>
    <definedName name="A83728582C_Data">'ABS-total-value-dwellings'!$T$17:$T$106</definedName>
    <definedName name="A83728582C_Latest">'ABS-total-value-dwellings'!$T$106</definedName>
    <definedName name="A83728583F">'ABS-total-value-dwellings'!$AK$1:$AK$10,'ABS-total-value-dwellings'!$AK$17:$AK$106</definedName>
    <definedName name="A83728583F_Data">'ABS-total-value-dwellings'!$AK$17:$AK$106</definedName>
    <definedName name="A83728583F_Latest">'ABS-total-value-dwellings'!$AK$106</definedName>
    <definedName name="A83728584J">'ABS-total-value-dwellings'!$AZ$1:$AZ$10,'ABS-total-value-dwellings'!$AZ$17:$AZ$106</definedName>
    <definedName name="A83728584J_Data">'ABS-total-value-dwellings'!$AZ$17:$AZ$106</definedName>
    <definedName name="A83728584J_Latest">'ABS-total-value-dwellings'!$AZ$106</definedName>
    <definedName name="A83728585K">'ABS-total-value-dwellings'!$G$1:$G$10,'ABS-total-value-dwellings'!$G$17:$G$106</definedName>
    <definedName name="A83728585K_Data">'ABS-total-value-dwellings'!$G$17:$G$106</definedName>
    <definedName name="A83728585K_Latest">'ABS-total-value-dwellings'!$G$106</definedName>
    <definedName name="A83728586L">'ABS-total-value-dwellings'!$V$1:$V$10,'ABS-total-value-dwellings'!$V$17:$V$106</definedName>
    <definedName name="A83728586L_Data">'ABS-total-value-dwellings'!$V$17:$V$106</definedName>
    <definedName name="A83728586L_Latest">'ABS-total-value-dwellings'!$V$106</definedName>
    <definedName name="A83728587R">'ABS-total-value-dwellings'!$AM$1:$AM$10,'ABS-total-value-dwellings'!$AM$17:$AM$106</definedName>
    <definedName name="A83728587R_Data">'ABS-total-value-dwellings'!$AM$17:$AM$106</definedName>
    <definedName name="A83728587R_Latest">'ABS-total-value-dwellings'!$AM$106</definedName>
    <definedName name="A83728588T">'ABS-total-value-dwellings'!$BB$1:$BB$10,'ABS-total-value-dwellings'!$BB$17:$BB$106</definedName>
    <definedName name="A83728588T_Data">'ABS-total-value-dwellings'!$BB$17:$BB$106</definedName>
    <definedName name="A83728588T_Latest">'ABS-total-value-dwellings'!$BB$106</definedName>
    <definedName name="A83728589V">'ABS-total-value-dwellings'!$I$1:$I$10,'ABS-total-value-dwellings'!$I$17:$I$106</definedName>
    <definedName name="A83728589V_Data">'ABS-total-value-dwellings'!$I$17:$I$106</definedName>
    <definedName name="A83728589V_Latest">'ABS-total-value-dwellings'!$I$106</definedName>
    <definedName name="A83728590C">'ABS-total-value-dwellings'!$X$1:$X$10,'ABS-total-value-dwellings'!$X$17:$X$106</definedName>
    <definedName name="A83728590C_Data">'ABS-total-value-dwellings'!$X$17:$X$106</definedName>
    <definedName name="A83728590C_Latest">'ABS-total-value-dwellings'!$X$106</definedName>
    <definedName name="A83728591F">'ABS-total-value-dwellings'!$AO$1:$AO$10,'ABS-total-value-dwellings'!$AO$17:$AO$106</definedName>
    <definedName name="A83728591F_Data">'ABS-total-value-dwellings'!$AO$17:$AO$106</definedName>
    <definedName name="A83728591F_Latest">'ABS-total-value-dwellings'!$AO$106</definedName>
    <definedName name="A83728592J">'ABS-total-value-dwellings'!$BD$1:$BD$10,'ABS-total-value-dwellings'!$BD$17:$BD$106</definedName>
    <definedName name="A83728592J_Data">'ABS-total-value-dwellings'!$BD$17:$BD$106</definedName>
    <definedName name="A83728592J_Latest">'ABS-total-value-dwellings'!$BD$106</definedName>
    <definedName name="A83728593K">'ABS-total-value-dwellings'!$K$1:$K$10,'ABS-total-value-dwellings'!$K$17:$K$106</definedName>
    <definedName name="A83728593K_Data">'ABS-total-value-dwellings'!$K$17:$K$106</definedName>
    <definedName name="A83728593K_Latest">'ABS-total-value-dwellings'!$K$106</definedName>
    <definedName name="A83728594L">'ABS-total-value-dwellings'!$Z$1:$Z$10,'ABS-total-value-dwellings'!$Z$17:$Z$106</definedName>
    <definedName name="A83728594L_Data">'ABS-total-value-dwellings'!$Z$17:$Z$106</definedName>
    <definedName name="A83728594L_Latest">'ABS-total-value-dwellings'!$Z$106</definedName>
    <definedName name="A83728595R">'ABS-total-value-dwellings'!$AQ$1:$AQ$10,'ABS-total-value-dwellings'!$AQ$17:$AQ$106</definedName>
    <definedName name="A83728595R_Data">'ABS-total-value-dwellings'!$AQ$17:$AQ$106</definedName>
    <definedName name="A83728595R_Latest">'ABS-total-value-dwellings'!$AQ$106</definedName>
    <definedName name="A83728596T">'ABS-total-value-dwellings'!$BF$1:$BF$10,'ABS-total-value-dwellings'!$BF$17:$BF$106</definedName>
    <definedName name="A83728596T_Data">'ABS-total-value-dwellings'!$BF$17:$BF$106</definedName>
    <definedName name="A83728596T_Latest">'ABS-total-value-dwellings'!$BF$106</definedName>
    <definedName name="A83728597V">'ABS-total-value-dwellings'!$M$1:$M$10,'ABS-total-value-dwellings'!$M$17:$M$106</definedName>
    <definedName name="A83728597V_Data">'ABS-total-value-dwellings'!$M$17:$M$106</definedName>
    <definedName name="A83728597V_Latest">'ABS-total-value-dwellings'!$M$106</definedName>
    <definedName name="A83728598W">'ABS-total-value-dwellings'!$AB$1:$AB$10,'ABS-total-value-dwellings'!$AB$17:$AB$106</definedName>
    <definedName name="A83728598W_Data">'ABS-total-value-dwellings'!$AB$17:$AB$106</definedName>
    <definedName name="A83728598W_Latest">'ABS-total-value-dwellings'!$AB$106</definedName>
    <definedName name="A83728599X">'ABS-total-value-dwellings'!$AS$1:$AS$10,'ABS-total-value-dwellings'!$AS$17:$AS$106</definedName>
    <definedName name="A83728599X_Data">'ABS-total-value-dwellings'!$AS$17:$AS$106</definedName>
    <definedName name="A83728599X_Latest">'ABS-total-value-dwellings'!$AS$106</definedName>
    <definedName name="A83728600W">'ABS-total-value-dwellings'!$BH$1:$BH$10,'ABS-total-value-dwellings'!$BH$17:$BH$106</definedName>
    <definedName name="A83728600W_Data">'ABS-total-value-dwellings'!$BH$17:$BH$106</definedName>
    <definedName name="A83728600W_Latest">'ABS-total-value-dwellings'!$BH$106</definedName>
    <definedName name="A83728601X">'ABS-total-value-dwellings'!$O$1:$O$10,'ABS-total-value-dwellings'!$O$17:$O$106</definedName>
    <definedName name="A83728601X_Data">'ABS-total-value-dwellings'!$O$17:$O$106</definedName>
    <definedName name="A83728601X_Latest">'ABS-total-value-dwellings'!$O$106</definedName>
    <definedName name="A83728602A">'ABS-total-value-dwellings'!$AD$1:$AD$10,'ABS-total-value-dwellings'!$AD$17:$AD$106</definedName>
    <definedName name="A83728602A_Data">'ABS-total-value-dwellings'!$AD$17:$AD$106</definedName>
    <definedName name="A83728602A_Latest">'ABS-total-value-dwellings'!$AD$106</definedName>
    <definedName name="AusPortfolio" localSheetId="10">[1]analysis!$B$42</definedName>
    <definedName name="AusPortfolio">analysis!$B$42</definedName>
    <definedName name="CGT">analysis!$B$49</definedName>
    <definedName name="Council_Area" localSheetId="10">[1]analysis!$B$13</definedName>
    <definedName name="Council_Area">analysis!$B$13</definedName>
    <definedName name="Date_Range">'ABS-total-value-dwellings'!$A$2:$A$10,'ABS-total-value-dwellings'!$A$11:$A$106</definedName>
    <definedName name="Date_Range_Data">'ABS-total-value-dwellings'!$A$11:$A$106</definedName>
    <definedName name="eff_invest" localSheetId="10">[1]analysis!$B$54</definedName>
    <definedName name="eff_invest">analysis!$B$54</definedName>
    <definedName name="FlatDwellingType">'2BR_F-combined'!$A$1</definedName>
    <definedName name="FlatNumberOfBedrooms">'2BR_F-combined'!$A$2</definedName>
    <definedName name="GlobalPortfolio" localSheetId="10">[1]analysis!$B$41</definedName>
    <definedName name="GlobalPortfolio">analysis!$B$41</definedName>
    <definedName name="HouseDwellingType" localSheetId="6">'3BR_H-combined'!$A$1</definedName>
    <definedName name="HouseNumberOfBedrooms" localSheetId="6">'3BR_H-combined'!$A$2</definedName>
    <definedName name="InvestFees" localSheetId="10">[1]analysis!$B$43</definedName>
    <definedName name="InvestFees">analysis!$B$43</definedName>
    <definedName name="MortgageRate" localSheetId="10">[1]analysis!$B$19</definedName>
    <definedName name="MortgageRate">analysis!$B$19</definedName>
    <definedName name="Q_end" localSheetId="10">[1]analysis!$B$12</definedName>
    <definedName name="Q_end">analysis!$B$12</definedName>
    <definedName name="Q_start" localSheetId="10">[1]analysis!$B$11</definedName>
    <definedName name="Q_start">analysis!$B$11</definedName>
    <definedName name="Qstart">analysis!$B$11</definedName>
    <definedName name="TopOfTable_Table_4">#REF!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 i="13" l="1"/>
  <c r="B42" i="13"/>
  <c r="E2" i="13"/>
  <c r="BA141" i="22"/>
  <c r="AY141" i="22"/>
  <c r="AK141" i="22"/>
  <c r="AG141" i="22"/>
  <c r="U141" i="22"/>
  <c r="AT141" i="18"/>
  <c r="B3" i="20"/>
  <c r="B4" i="20"/>
  <c r="B5"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B70" i="20"/>
  <c r="B71" i="20"/>
  <c r="B72" i="20"/>
  <c r="B73" i="20"/>
  <c r="B74" i="20"/>
  <c r="B75" i="20"/>
  <c r="B76" i="20"/>
  <c r="B77" i="20"/>
  <c r="B78" i="20"/>
  <c r="B79" i="20"/>
  <c r="B80" i="20"/>
  <c r="B81" i="20"/>
  <c r="B82" i="20"/>
  <c r="B83" i="20"/>
  <c r="B84" i="20"/>
  <c r="B85" i="20"/>
  <c r="B86" i="20"/>
  <c r="B87" i="20"/>
  <c r="B88" i="20"/>
  <c r="B89" i="20"/>
  <c r="B90" i="20"/>
  <c r="B91" i="20"/>
  <c r="B92" i="20"/>
  <c r="B93" i="20"/>
  <c r="B94" i="20"/>
  <c r="B95" i="20"/>
  <c r="B96" i="20"/>
  <c r="B97" i="20"/>
  <c r="B98" i="20"/>
  <c r="B99" i="20"/>
  <c r="B100" i="20"/>
  <c r="B101" i="20"/>
  <c r="B102" i="20"/>
  <c r="B103" i="20"/>
  <c r="B104" i="20"/>
  <c r="B105" i="20"/>
  <c r="B106" i="20"/>
  <c r="B107" i="20"/>
  <c r="B108" i="20"/>
  <c r="B109" i="20"/>
  <c r="B110" i="20"/>
  <c r="B111" i="20"/>
  <c r="B112" i="20"/>
  <c r="B113" i="20"/>
  <c r="B114" i="20"/>
  <c r="B115" i="20"/>
  <c r="B116" i="20"/>
  <c r="B117" i="20"/>
  <c r="B118" i="20"/>
  <c r="B119" i="20"/>
  <c r="B120" i="20"/>
  <c r="B121" i="20"/>
  <c r="B122" i="20"/>
  <c r="B123" i="20"/>
  <c r="B124" i="20"/>
  <c r="B125" i="20"/>
  <c r="B126" i="20"/>
  <c r="B127" i="20"/>
  <c r="B128" i="20"/>
  <c r="B129" i="20"/>
  <c r="B130" i="20"/>
  <c r="B131" i="20"/>
  <c r="B132" i="20"/>
  <c r="B133" i="20"/>
  <c r="B134" i="20"/>
  <c r="B135" i="20"/>
  <c r="B136" i="20"/>
  <c r="B137" i="20"/>
  <c r="B138" i="20"/>
  <c r="B139" i="20"/>
  <c r="B140" i="20"/>
  <c r="B141" i="20"/>
  <c r="B142" i="20"/>
  <c r="B143" i="20"/>
  <c r="B144" i="20"/>
  <c r="B145" i="20"/>
  <c r="B146" i="20"/>
  <c r="B147" i="20"/>
  <c r="B148" i="20"/>
  <c r="B149" i="20"/>
  <c r="B150" i="20"/>
  <c r="B151" i="20"/>
  <c r="B152" i="20"/>
  <c r="B153" i="20"/>
  <c r="B154" i="20"/>
  <c r="B155" i="20"/>
  <c r="B156" i="20"/>
  <c r="B157" i="20"/>
  <c r="B158" i="20"/>
  <c r="B159" i="20"/>
  <c r="B160" i="20"/>
  <c r="B161" i="20"/>
  <c r="B162" i="20"/>
  <c r="B163" i="20"/>
  <c r="B164" i="20"/>
  <c r="B165" i="20"/>
  <c r="B166" i="20"/>
  <c r="B167" i="20"/>
  <c r="B168" i="20"/>
  <c r="B169" i="20"/>
  <c r="B170" i="20"/>
  <c r="B171" i="20"/>
  <c r="B172" i="20"/>
  <c r="B173" i="20"/>
  <c r="B174" i="20"/>
  <c r="B175" i="20"/>
  <c r="B176" i="20"/>
  <c r="B177" i="20"/>
  <c r="B178" i="20"/>
  <c r="B179" i="20"/>
  <c r="B180" i="20"/>
  <c r="B181" i="20"/>
  <c r="B182" i="20"/>
  <c r="B183" i="20"/>
  <c r="B184" i="20"/>
  <c r="B185" i="20"/>
  <c r="B186" i="20"/>
  <c r="B187" i="20"/>
  <c r="B188" i="20"/>
  <c r="B189" i="20"/>
  <c r="B190" i="20"/>
  <c r="B191" i="20"/>
  <c r="B192" i="20"/>
  <c r="B193" i="20"/>
  <c r="B194" i="20"/>
  <c r="B195" i="20"/>
  <c r="B196" i="20"/>
  <c r="B197" i="20"/>
  <c r="B198" i="20"/>
  <c r="B199" i="20"/>
  <c r="B200" i="20"/>
  <c r="B201" i="20"/>
  <c r="B202" i="20"/>
  <c r="B203" i="20"/>
  <c r="B204" i="20"/>
  <c r="B205" i="20"/>
  <c r="B206" i="20"/>
  <c r="B207" i="20"/>
  <c r="B208" i="20"/>
  <c r="B209" i="20"/>
  <c r="B210" i="20"/>
  <c r="B211" i="20"/>
  <c r="B212" i="20"/>
  <c r="B213" i="20"/>
  <c r="B214" i="20"/>
  <c r="B215" i="20"/>
  <c r="B216" i="20"/>
  <c r="B217" i="20"/>
  <c r="B218" i="20"/>
  <c r="B219" i="20"/>
  <c r="B220" i="20"/>
  <c r="B221" i="20"/>
  <c r="B222" i="20"/>
  <c r="B223" i="20"/>
  <c r="B224" i="20"/>
  <c r="B225" i="20"/>
  <c r="B226" i="20"/>
  <c r="B227" i="20"/>
  <c r="B228" i="20"/>
  <c r="B229" i="20"/>
  <c r="B230" i="20"/>
  <c r="B231" i="20"/>
  <c r="B232" i="20"/>
  <c r="B233" i="20"/>
  <c r="B234" i="20"/>
  <c r="B235" i="20"/>
  <c r="B236" i="20"/>
  <c r="B237" i="20"/>
  <c r="B238" i="20"/>
  <c r="B239" i="20"/>
  <c r="B240" i="20"/>
  <c r="B241" i="20"/>
  <c r="B242" i="20"/>
  <c r="B243" i="20"/>
  <c r="B244" i="20"/>
  <c r="B245" i="20"/>
  <c r="B246" i="20"/>
  <c r="B247" i="20"/>
  <c r="B248" i="20"/>
  <c r="B249" i="20"/>
  <c r="B250" i="20"/>
  <c r="B251" i="20"/>
  <c r="B252" i="20"/>
  <c r="B253" i="20"/>
  <c r="B254" i="20"/>
  <c r="B255" i="20"/>
  <c r="B256" i="20"/>
  <c r="B257" i="20"/>
  <c r="B258" i="20"/>
  <c r="B259" i="20"/>
  <c r="B260" i="20"/>
  <c r="B261" i="20"/>
  <c r="B262" i="20"/>
  <c r="B263" i="20"/>
  <c r="B264" i="20"/>
  <c r="B265" i="20"/>
  <c r="B266" i="20"/>
  <c r="B267" i="20"/>
  <c r="B268" i="20"/>
  <c r="B269" i="20"/>
  <c r="B270" i="20"/>
  <c r="B271" i="20"/>
  <c r="B272" i="20"/>
  <c r="B273" i="20"/>
  <c r="B274" i="20"/>
  <c r="B275" i="20"/>
  <c r="B276" i="20"/>
  <c r="B277" i="20"/>
  <c r="B278" i="20"/>
  <c r="B279" i="20"/>
  <c r="B280" i="20"/>
  <c r="B281" i="20"/>
  <c r="B282" i="20"/>
  <c r="B283" i="20"/>
  <c r="B284" i="20"/>
  <c r="B285" i="20"/>
  <c r="B286" i="20"/>
  <c r="B287" i="20"/>
  <c r="B288" i="20"/>
  <c r="B289" i="20"/>
  <c r="B290" i="20"/>
  <c r="B291" i="20"/>
  <c r="B292" i="20"/>
  <c r="B293" i="20"/>
  <c r="B294" i="20"/>
  <c r="B295" i="20"/>
  <c r="B296" i="20"/>
  <c r="B297" i="20"/>
  <c r="B298" i="20"/>
  <c r="B299" i="20"/>
  <c r="B300" i="20"/>
  <c r="B301" i="20"/>
  <c r="B302" i="20"/>
  <c r="B303" i="20"/>
  <c r="B304" i="20"/>
  <c r="B305" i="20"/>
  <c r="B306" i="20"/>
  <c r="B307" i="20"/>
  <c r="B308" i="20"/>
  <c r="B309" i="20"/>
  <c r="B310" i="20"/>
  <c r="B311" i="20"/>
  <c r="B312" i="20"/>
  <c r="B313" i="20"/>
  <c r="B314" i="20"/>
  <c r="B315" i="20"/>
  <c r="B316" i="20"/>
  <c r="B317" i="20"/>
  <c r="B318" i="20"/>
  <c r="B319" i="20"/>
  <c r="B320" i="20"/>
  <c r="B321" i="20"/>
  <c r="B322" i="20"/>
  <c r="B323" i="20"/>
  <c r="B324" i="20"/>
  <c r="B325" i="20"/>
  <c r="B326" i="20"/>
  <c r="B327" i="20"/>
  <c r="B328" i="20"/>
  <c r="B329" i="20"/>
  <c r="B330" i="20"/>
  <c r="B331" i="20"/>
  <c r="B332" i="20"/>
  <c r="B333" i="20"/>
  <c r="B334" i="20"/>
  <c r="B335" i="20"/>
  <c r="B336" i="20"/>
  <c r="B337" i="20"/>
  <c r="B338" i="20"/>
  <c r="B339" i="20"/>
  <c r="B340" i="20"/>
  <c r="B341" i="20"/>
  <c r="B342" i="20"/>
  <c r="B343" i="20"/>
  <c r="B344" i="20"/>
  <c r="B345" i="20"/>
  <c r="B346" i="20"/>
  <c r="B347" i="20"/>
  <c r="B348" i="20"/>
  <c r="B349" i="20"/>
  <c r="B350" i="20"/>
  <c r="B351" i="20"/>
  <c r="B352" i="20"/>
  <c r="B2" i="20"/>
  <c r="B47" i="13"/>
  <c r="B36" i="13"/>
  <c r="E141" i="22"/>
  <c r="D141" i="22"/>
  <c r="AX141" i="22"/>
  <c r="AW141" i="22"/>
  <c r="J141" i="22" l="1"/>
  <c r="Z141" i="22"/>
  <c r="AP141" i="22"/>
  <c r="BF141" i="22"/>
  <c r="K141" i="22"/>
  <c r="AA141" i="22"/>
  <c r="AQ141" i="22"/>
  <c r="L141" i="22"/>
  <c r="AB141" i="22"/>
  <c r="AR141" i="22"/>
  <c r="F141" i="22"/>
  <c r="V141" i="22"/>
  <c r="AL141" i="22"/>
  <c r="BB141" i="22"/>
  <c r="G141" i="22"/>
  <c r="W141" i="22"/>
  <c r="AM141" i="22"/>
  <c r="BC141" i="22"/>
  <c r="T141" i="22"/>
  <c r="AJ141" i="22"/>
  <c r="AZ141" i="22"/>
  <c r="H141" i="22"/>
  <c r="X141" i="22"/>
  <c r="AN141" i="22"/>
  <c r="BD141" i="22"/>
  <c r="I141" i="22"/>
  <c r="Y141" i="22"/>
  <c r="AO141" i="22"/>
  <c r="BE141" i="22"/>
  <c r="M141" i="22"/>
  <c r="AC141" i="22"/>
  <c r="AS141" i="22"/>
  <c r="N141" i="22"/>
  <c r="AD141" i="22"/>
  <c r="AT141" i="22"/>
  <c r="O141" i="22"/>
  <c r="AE141" i="22"/>
  <c r="AU141" i="22"/>
  <c r="P141" i="22"/>
  <c r="AF141" i="22"/>
  <c r="AV141" i="22"/>
  <c r="Q141" i="22"/>
  <c r="R141" i="22"/>
  <c r="AH141" i="22"/>
  <c r="C141" i="22"/>
  <c r="S141" i="22"/>
  <c r="AI141" i="22"/>
  <c r="AJ141" i="18"/>
  <c r="BF141" i="18"/>
  <c r="BE141" i="18"/>
  <c r="BD141" i="18"/>
  <c r="C141" i="18"/>
  <c r="Y141" i="18" l="1"/>
  <c r="BC141" i="18"/>
  <c r="AC141" i="18"/>
  <c r="AG141" i="18"/>
  <c r="BB141" i="18"/>
  <c r="AI141" i="18"/>
  <c r="AV141" i="18"/>
  <c r="S141" i="18"/>
  <c r="AE141" i="18"/>
  <c r="O141" i="18"/>
  <c r="AX141" i="18"/>
  <c r="K141" i="18"/>
  <c r="AF141" i="18"/>
  <c r="M141" i="18"/>
  <c r="AD141" i="18"/>
  <c r="AH141" i="18"/>
  <c r="U141" i="18"/>
  <c r="L141" i="18"/>
  <c r="V141" i="18"/>
  <c r="D141" i="18"/>
  <c r="P141" i="18"/>
  <c r="N141" i="18"/>
  <c r="AQ141" i="18"/>
  <c r="AR141" i="18"/>
  <c r="AY141" i="18"/>
  <c r="AZ141" i="18"/>
  <c r="BA141" i="18"/>
  <c r="AA141" i="18"/>
  <c r="AB141" i="18"/>
  <c r="G141" i="18"/>
  <c r="AK141" i="18"/>
  <c r="AL141" i="18"/>
  <c r="J141" i="18"/>
  <c r="AN141" i="18"/>
  <c r="AP141" i="18"/>
  <c r="L3" i="13"/>
  <c r="BB3" i="13" s="1"/>
  <c r="AG3" i="13" l="1" a="1"/>
  <c r="AF3" i="13" a="1"/>
  <c r="BH3" i="13"/>
  <c r="L4" i="13"/>
  <c r="BB4" i="13" s="1"/>
  <c r="AR3" i="13"/>
  <c r="B26" i="13" s="1"/>
  <c r="T3" i="13"/>
  <c r="U3" i="13" s="1"/>
  <c r="AC3" i="13" a="1"/>
  <c r="BJ3" i="13" s="1"/>
  <c r="AD3" i="13" a="1"/>
  <c r="BK3" i="13" s="1"/>
  <c r="R3" i="13"/>
  <c r="BI3" i="13" l="1"/>
  <c r="W3" i="13"/>
  <c r="AV3" i="13"/>
  <c r="AW3" i="13" s="1"/>
  <c r="BN3" i="13"/>
  <c r="L5" i="13"/>
  <c r="BB5" i="13" s="1"/>
  <c r="AF4" i="13" a="1"/>
  <c r="AG4" i="13" a="1"/>
  <c r="BL3" i="13"/>
  <c r="AR4" i="13"/>
  <c r="AV4" i="13" s="1"/>
  <c r="BH4" i="13"/>
  <c r="BC3" i="13"/>
  <c r="AU3" i="13"/>
  <c r="AS3" i="13"/>
  <c r="T4" i="13"/>
  <c r="V3" i="13"/>
  <c r="X3" i="13" s="1"/>
  <c r="AC4" i="13" a="1"/>
  <c r="BJ4" i="13" s="1"/>
  <c r="AD4" i="13" a="1"/>
  <c r="BK4" i="13" s="1"/>
  <c r="U4" i="13"/>
  <c r="R4" i="13"/>
  <c r="BI4" i="13" l="1"/>
  <c r="W4" i="13"/>
  <c r="AX3" i="13"/>
  <c r="N3" i="13" s="1"/>
  <c r="BD3" i="13"/>
  <c r="AW4" i="13"/>
  <c r="AS4" i="13"/>
  <c r="AT3" i="13"/>
  <c r="BH5" i="13"/>
  <c r="AU4" i="13"/>
  <c r="BN4" i="13"/>
  <c r="AG5" i="13" a="1"/>
  <c r="AF5" i="13" a="1"/>
  <c r="L6" i="13"/>
  <c r="BB6" i="13" s="1"/>
  <c r="BL4" i="13"/>
  <c r="BE3" i="13"/>
  <c r="AR5" i="13"/>
  <c r="AV5" i="13" s="1"/>
  <c r="T5" i="13"/>
  <c r="V4" i="13"/>
  <c r="AC5" i="13" a="1"/>
  <c r="BJ5" i="13" s="1"/>
  <c r="R5" i="13"/>
  <c r="AD5" i="13" a="1"/>
  <c r="BK5" i="13" s="1"/>
  <c r="U5" i="13"/>
  <c r="AY3" i="13"/>
  <c r="BG3" i="13" l="1"/>
  <c r="Y3" i="13" s="1"/>
  <c r="BI5" i="13"/>
  <c r="W5" i="13"/>
  <c r="AW5" i="13"/>
  <c r="AX4" i="13"/>
  <c r="AU5" i="13"/>
  <c r="BN5" i="13"/>
  <c r="BO3" i="13"/>
  <c r="AG6" i="13" a="1"/>
  <c r="AF6" i="13" a="1"/>
  <c r="L7" i="13"/>
  <c r="BB7" i="13" s="1"/>
  <c r="BL5" i="13"/>
  <c r="AR6" i="13"/>
  <c r="AV6" i="13" s="1"/>
  <c r="BH6" i="13"/>
  <c r="AS5" i="13"/>
  <c r="BA3" i="13"/>
  <c r="AZ3" i="13"/>
  <c r="BF3" i="13"/>
  <c r="BC4" i="13" s="1"/>
  <c r="T6" i="13"/>
  <c r="AD6" i="13" a="1"/>
  <c r="BK6" i="13" s="1"/>
  <c r="AC6" i="13" a="1"/>
  <c r="BJ6" i="13" s="1"/>
  <c r="R6" i="13"/>
  <c r="V5" i="13"/>
  <c r="U6" i="13"/>
  <c r="AY4" i="13"/>
  <c r="X4" i="13"/>
  <c r="X5" i="13" l="1"/>
  <c r="BI6" i="13"/>
  <c r="W6" i="13"/>
  <c r="AW6" i="13"/>
  <c r="AX5" i="13"/>
  <c r="BO4" i="13"/>
  <c r="AU6" i="13"/>
  <c r="BN6" i="13"/>
  <c r="AG7" i="13" a="1"/>
  <c r="AF7" i="13" a="1"/>
  <c r="L8" i="13"/>
  <c r="BB8" i="13" s="1"/>
  <c r="BL6" i="13"/>
  <c r="AR7" i="13"/>
  <c r="AV7" i="13" s="1"/>
  <c r="BH7" i="13"/>
  <c r="AS6" i="13"/>
  <c r="BD4" i="13"/>
  <c r="BG4" i="13" s="1"/>
  <c r="BE4" i="13"/>
  <c r="P3" i="13"/>
  <c r="AD7" i="13" a="1"/>
  <c r="BK7" i="13" s="1"/>
  <c r="R7" i="13"/>
  <c r="T7" i="13"/>
  <c r="U7" i="13" s="1"/>
  <c r="AZ4" i="13"/>
  <c r="BA4" i="13"/>
  <c r="AC7" i="13" a="1"/>
  <c r="BJ7" i="13" s="1"/>
  <c r="V6" i="13"/>
  <c r="AY6" i="13" s="1"/>
  <c r="AY5" i="13"/>
  <c r="BI7" i="13" l="1"/>
  <c r="W7" i="13"/>
  <c r="Y4" i="13"/>
  <c r="Z3" i="13"/>
  <c r="AA3" i="13" s="1"/>
  <c r="AB3" i="13" s="1"/>
  <c r="AX6" i="13"/>
  <c r="AW7" i="13"/>
  <c r="BO5" i="13"/>
  <c r="AU7" i="13"/>
  <c r="BN7" i="13"/>
  <c r="AG8" i="13" a="1"/>
  <c r="AF8" i="13" a="1"/>
  <c r="L9" i="13"/>
  <c r="BB9" i="13" s="1"/>
  <c r="BL7" i="13"/>
  <c r="AR8" i="13"/>
  <c r="AV8" i="13" s="1"/>
  <c r="BH8" i="13"/>
  <c r="BF4" i="13"/>
  <c r="BC5" i="13" s="1"/>
  <c r="BD5" i="13" s="1"/>
  <c r="BG5" i="13" s="1"/>
  <c r="AS7" i="13"/>
  <c r="V7" i="13"/>
  <c r="AY7" i="13" s="1"/>
  <c r="T8" i="13"/>
  <c r="R8" i="13"/>
  <c r="AZ5" i="13"/>
  <c r="BA5" i="13"/>
  <c r="AC8" i="13" a="1"/>
  <c r="BJ8" i="13" s="1"/>
  <c r="BA6" i="13"/>
  <c r="AD8" i="13" a="1"/>
  <c r="BK8" i="13" s="1"/>
  <c r="AZ6" i="13"/>
  <c r="U8" i="13"/>
  <c r="U9" i="13" s="1"/>
  <c r="P4" i="13"/>
  <c r="X6" i="13"/>
  <c r="N4" i="13"/>
  <c r="BI8" i="13" l="1"/>
  <c r="W8" i="13"/>
  <c r="AE3" i="13"/>
  <c r="Y5" i="13"/>
  <c r="Z4" i="13"/>
  <c r="AA4" i="13" s="1"/>
  <c r="AJ3" i="13"/>
  <c r="AL3" i="13" s="1"/>
  <c r="AM3" i="13"/>
  <c r="AX7" i="13"/>
  <c r="AW8" i="13"/>
  <c r="BN8" i="13"/>
  <c r="BO6" i="13"/>
  <c r="AG9" i="13" a="1"/>
  <c r="AF9" i="13" a="1"/>
  <c r="L10" i="13"/>
  <c r="BB10" i="13" s="1"/>
  <c r="BL8" i="13"/>
  <c r="AU8" i="13"/>
  <c r="AD9" i="13" a="1"/>
  <c r="BK9" i="13" s="1"/>
  <c r="BH9" i="13"/>
  <c r="AS8" i="13"/>
  <c r="BE5" i="13"/>
  <c r="BF5" i="13" s="1"/>
  <c r="BC6" i="13" s="1"/>
  <c r="BE6" i="13" s="1"/>
  <c r="R9" i="13"/>
  <c r="V9" i="13" s="1"/>
  <c r="AC9" i="13" a="1"/>
  <c r="BJ9" i="13" s="1"/>
  <c r="AR9" i="13"/>
  <c r="AV9" i="13" s="1"/>
  <c r="X7" i="13"/>
  <c r="T9" i="13"/>
  <c r="BA7" i="13"/>
  <c r="AZ7" i="13"/>
  <c r="V8" i="13"/>
  <c r="AY8" i="13" s="1"/>
  <c r="P5" i="13"/>
  <c r="U10" i="13"/>
  <c r="N5" i="13"/>
  <c r="BI9" i="13" l="1"/>
  <c r="W9" i="13"/>
  <c r="X9" i="13" s="1"/>
  <c r="BM3" i="13"/>
  <c r="AH3" i="13"/>
  <c r="AI3" i="13" s="1"/>
  <c r="Z5" i="13"/>
  <c r="AA5" i="13" s="1"/>
  <c r="AB4" i="13"/>
  <c r="AM4" i="13" a="1"/>
  <c r="AJ4" i="13"/>
  <c r="AL4" i="13" s="1"/>
  <c r="AW9" i="13"/>
  <c r="AX8" i="13"/>
  <c r="BN9" i="13"/>
  <c r="BO7" i="13"/>
  <c r="AG10" i="13" a="1"/>
  <c r="AF10" i="13" a="1"/>
  <c r="L11" i="13"/>
  <c r="BB11" i="13" s="1"/>
  <c r="BL9" i="13"/>
  <c r="AR10" i="13"/>
  <c r="AV10" i="13" s="1"/>
  <c r="BH10" i="13"/>
  <c r="AS9" i="13"/>
  <c r="BD6" i="13"/>
  <c r="BG6" i="13" s="1"/>
  <c r="AU9" i="13"/>
  <c r="AD10" i="13" a="1"/>
  <c r="BK10" i="13" s="1"/>
  <c r="AC10" i="13" a="1"/>
  <c r="BJ10" i="13" s="1"/>
  <c r="R10" i="13"/>
  <c r="V10" i="13" s="1"/>
  <c r="T10" i="13"/>
  <c r="AZ8" i="13"/>
  <c r="BA8" i="13"/>
  <c r="X8" i="13"/>
  <c r="AY9" i="13"/>
  <c r="BI10" i="13" l="1"/>
  <c r="W10" i="13"/>
  <c r="X10" i="13" s="1"/>
  <c r="AB5" i="13"/>
  <c r="AM5" i="13" a="1"/>
  <c r="Y6" i="13"/>
  <c r="AN3" i="13"/>
  <c r="AE4" i="13"/>
  <c r="AJ5" i="13"/>
  <c r="AL5" i="13" s="1"/>
  <c r="AK3" i="13"/>
  <c r="AX9" i="13"/>
  <c r="AW10" i="13"/>
  <c r="BO8" i="13"/>
  <c r="BN10" i="13"/>
  <c r="AG11" i="13" a="1"/>
  <c r="AF11" i="13" a="1"/>
  <c r="L12" i="13"/>
  <c r="BB12" i="13" s="1"/>
  <c r="BL10" i="13"/>
  <c r="AU10" i="13"/>
  <c r="AR11" i="13"/>
  <c r="AV11" i="13" s="1"/>
  <c r="BH11" i="13"/>
  <c r="AS10" i="13"/>
  <c r="BF6" i="13"/>
  <c r="BC7" i="13" s="1"/>
  <c r="BE7" i="13" s="1"/>
  <c r="T11" i="13"/>
  <c r="U11" i="13" s="1"/>
  <c r="U12" i="13" s="1"/>
  <c r="AD11" i="13" a="1"/>
  <c r="BK11" i="13" s="1"/>
  <c r="R11" i="13"/>
  <c r="AC11" i="13" a="1"/>
  <c r="BJ11" i="13" s="1"/>
  <c r="AZ9" i="13"/>
  <c r="BA9" i="13"/>
  <c r="P6" i="13"/>
  <c r="AY10" i="13"/>
  <c r="N6" i="13"/>
  <c r="BI11" i="13" l="1"/>
  <c r="W11" i="13"/>
  <c r="AO3" i="13"/>
  <c r="AP3" i="13" s="1"/>
  <c r="M3" i="13" s="1"/>
  <c r="O3" i="13" s="1"/>
  <c r="Z6" i="13"/>
  <c r="AA6" i="13" s="1"/>
  <c r="AH4" i="13"/>
  <c r="AI4" i="13" s="1"/>
  <c r="AE5" i="13" s="1"/>
  <c r="BM5" i="13" s="1"/>
  <c r="BM4" i="13"/>
  <c r="AX10" i="13"/>
  <c r="AW11" i="13"/>
  <c r="BO9" i="13"/>
  <c r="BN11" i="13"/>
  <c r="AG12" i="13" a="1"/>
  <c r="AF12" i="13" a="1"/>
  <c r="L13" i="13"/>
  <c r="BB13" i="13" s="1"/>
  <c r="BL11" i="13"/>
  <c r="AU11" i="13"/>
  <c r="AR12" i="13"/>
  <c r="AV12" i="13" s="1"/>
  <c r="BH12" i="13"/>
  <c r="BD7" i="13"/>
  <c r="BG7" i="13" s="1"/>
  <c r="AS11" i="13"/>
  <c r="T12" i="13"/>
  <c r="R12" i="13"/>
  <c r="V12" i="13" s="1"/>
  <c r="AD12" i="13" a="1"/>
  <c r="BK12" i="13" s="1"/>
  <c r="AC12" i="13" a="1"/>
  <c r="BJ12" i="13" s="1"/>
  <c r="V11" i="13"/>
  <c r="AZ10" i="13"/>
  <c r="BA10" i="13"/>
  <c r="U13" i="13"/>
  <c r="N7" i="13"/>
  <c r="X11" i="13" l="1"/>
  <c r="BI12" i="13"/>
  <c r="W12" i="13"/>
  <c r="X12" i="13" s="1"/>
  <c r="AM6" i="13" a="1"/>
  <c r="AB6" i="13"/>
  <c r="AJ6" i="13"/>
  <c r="AL6" i="13" s="1"/>
  <c r="Y7" i="13"/>
  <c r="AN4" i="13"/>
  <c r="AK4" i="13"/>
  <c r="AW12" i="13"/>
  <c r="AX11" i="13"/>
  <c r="BN12" i="13"/>
  <c r="BO10" i="13"/>
  <c r="AG13" i="13" a="1"/>
  <c r="AF13" i="13" a="1"/>
  <c r="L14" i="13"/>
  <c r="BB14" i="13" s="1"/>
  <c r="BL12" i="13"/>
  <c r="AH5" i="13"/>
  <c r="AU12" i="13"/>
  <c r="AR13" i="13"/>
  <c r="AV13" i="13" s="1"/>
  <c r="BH13" i="13"/>
  <c r="BF7" i="13"/>
  <c r="BC8" i="13" s="1"/>
  <c r="N8" i="13" s="1"/>
  <c r="AS12" i="13"/>
  <c r="AD13" i="13" a="1"/>
  <c r="BK13" i="13" s="1"/>
  <c r="AC13" i="13" a="1"/>
  <c r="BJ13" i="13" s="1"/>
  <c r="T13" i="13"/>
  <c r="R13" i="13"/>
  <c r="V13" i="13" s="1"/>
  <c r="AY11" i="13"/>
  <c r="P7" i="13"/>
  <c r="U14" i="13"/>
  <c r="AY12" i="13"/>
  <c r="BI13" i="13" l="1"/>
  <c r="W13" i="13"/>
  <c r="X13" i="13" s="1"/>
  <c r="AO4" i="13"/>
  <c r="AP4" i="13" s="1"/>
  <c r="M4" i="13" s="1"/>
  <c r="O4" i="13" s="1"/>
  <c r="Z7" i="13"/>
  <c r="AA7" i="13" s="1"/>
  <c r="AW13" i="13"/>
  <c r="AX12" i="13"/>
  <c r="BN13" i="13"/>
  <c r="BO11" i="13"/>
  <c r="AZ11" i="13"/>
  <c r="AG14" i="13" a="1"/>
  <c r="AF14" i="13" a="1"/>
  <c r="L15" i="13"/>
  <c r="BB15" i="13" s="1"/>
  <c r="BL13" i="13"/>
  <c r="AI5" i="13"/>
  <c r="AE6" i="13" s="1"/>
  <c r="BM6" i="13" s="1"/>
  <c r="AU13" i="13"/>
  <c r="AR14" i="13"/>
  <c r="AV14" i="13" s="1"/>
  <c r="BH14" i="13"/>
  <c r="BD8" i="13"/>
  <c r="BG8" i="13" s="1"/>
  <c r="Y8" i="13" s="1"/>
  <c r="BE8" i="13"/>
  <c r="AS13" i="13"/>
  <c r="AC14" i="13" a="1"/>
  <c r="BJ14" i="13" s="1"/>
  <c r="T14" i="13"/>
  <c r="R14" i="13"/>
  <c r="V14" i="13" s="1"/>
  <c r="AD14" i="13" a="1"/>
  <c r="BK14" i="13" s="1"/>
  <c r="BA11" i="13"/>
  <c r="AZ12" i="13"/>
  <c r="BA12" i="13"/>
  <c r="AY13" i="13"/>
  <c r="BI14" i="13" l="1"/>
  <c r="W14" i="13"/>
  <c r="X14" i="13" s="1"/>
  <c r="AB7" i="13"/>
  <c r="AJ7" i="13"/>
  <c r="AL7" i="13" s="1"/>
  <c r="AM7" i="13" a="1"/>
  <c r="AX13" i="13"/>
  <c r="AW14" i="13"/>
  <c r="BO12" i="13"/>
  <c r="BN14" i="13"/>
  <c r="AG15" i="13" a="1"/>
  <c r="AF15" i="13" a="1"/>
  <c r="L16" i="13"/>
  <c r="BB16" i="13" s="1"/>
  <c r="BL14" i="13"/>
  <c r="AN5" i="13"/>
  <c r="Z8" i="13"/>
  <c r="AA8" i="13" s="1"/>
  <c r="AK5" i="13"/>
  <c r="AU14" i="13"/>
  <c r="AR15" i="13"/>
  <c r="AV15" i="13" s="1"/>
  <c r="BH15" i="13"/>
  <c r="BF8" i="13"/>
  <c r="BC9" i="13" s="1"/>
  <c r="BE9" i="13" s="1"/>
  <c r="AS14" i="13"/>
  <c r="T15" i="13"/>
  <c r="U15" i="13" s="1"/>
  <c r="U16" i="13" s="1"/>
  <c r="R15" i="13"/>
  <c r="AC15" i="13" a="1"/>
  <c r="BJ15" i="13" s="1"/>
  <c r="AD15" i="13" a="1"/>
  <c r="BK15" i="13" s="1"/>
  <c r="AZ13" i="13"/>
  <c r="BA13" i="13"/>
  <c r="P8" i="13"/>
  <c r="AY14" i="13"/>
  <c r="BI15" i="13" l="1"/>
  <c r="W15" i="13"/>
  <c r="AO5" i="13"/>
  <c r="AP5" i="13" s="1"/>
  <c r="M5" i="13" s="1"/>
  <c r="O5" i="13" s="1"/>
  <c r="AW15" i="13"/>
  <c r="AX14" i="13"/>
  <c r="BN15" i="13"/>
  <c r="BO13" i="13"/>
  <c r="AG16" i="13" a="1"/>
  <c r="AF16" i="13" a="1"/>
  <c r="L17" i="13"/>
  <c r="BB17" i="13" s="1"/>
  <c r="BL15" i="13"/>
  <c r="AJ8" i="13"/>
  <c r="AL8" i="13" s="1"/>
  <c r="AH6" i="13"/>
  <c r="AM8" i="13" a="1"/>
  <c r="AB8" i="13"/>
  <c r="AU15" i="13"/>
  <c r="AR16" i="13"/>
  <c r="AV16" i="13" s="1"/>
  <c r="BH16" i="13"/>
  <c r="BD9" i="13"/>
  <c r="BG9" i="13" s="1"/>
  <c r="Y9" i="13" s="1"/>
  <c r="AS15" i="13"/>
  <c r="V15" i="13"/>
  <c r="AC16" i="13" a="1"/>
  <c r="BJ16" i="13" s="1"/>
  <c r="T16" i="13"/>
  <c r="AD16" i="13" a="1"/>
  <c r="BK16" i="13" s="1"/>
  <c r="R16" i="13"/>
  <c r="V16" i="13" s="1"/>
  <c r="AZ14" i="13"/>
  <c r="BA14" i="13"/>
  <c r="U17" i="13"/>
  <c r="N9" i="13"/>
  <c r="X15" i="13" l="1"/>
  <c r="BI16" i="13"/>
  <c r="W16" i="13"/>
  <c r="X16" i="13" s="1"/>
  <c r="AX15" i="13"/>
  <c r="AW16" i="13"/>
  <c r="BN16" i="13"/>
  <c r="BO14" i="13"/>
  <c r="AG17" i="13" a="1"/>
  <c r="AF17" i="13" a="1"/>
  <c r="L18" i="13"/>
  <c r="BB18" i="13" s="1"/>
  <c r="BL16" i="13"/>
  <c r="Z9" i="13"/>
  <c r="AA9" i="13" s="1"/>
  <c r="AI6" i="13"/>
  <c r="AE7" i="13" s="1"/>
  <c r="BM7" i="13" s="1"/>
  <c r="AU16" i="13"/>
  <c r="AR17" i="13"/>
  <c r="AV17" i="13" s="1"/>
  <c r="BH17" i="13"/>
  <c r="BF9" i="13"/>
  <c r="BC10" i="13" s="1"/>
  <c r="BD10" i="13" s="1"/>
  <c r="BG10" i="13" s="1"/>
  <c r="Y10" i="13" s="1"/>
  <c r="AY15" i="13"/>
  <c r="AS16" i="13"/>
  <c r="AC17" i="13" a="1"/>
  <c r="BJ17" i="13" s="1"/>
  <c r="T17" i="13"/>
  <c r="R17" i="13"/>
  <c r="V17" i="13" s="1"/>
  <c r="AD17" i="13" a="1"/>
  <c r="BK17" i="13" s="1"/>
  <c r="P9" i="13"/>
  <c r="U18" i="13"/>
  <c r="AY16" i="13"/>
  <c r="BI17" i="13" l="1"/>
  <c r="W17" i="13"/>
  <c r="X17" i="13" s="1"/>
  <c r="AX16" i="13"/>
  <c r="AW17" i="13"/>
  <c r="BN17" i="13"/>
  <c r="BO15" i="13"/>
  <c r="AZ15" i="13"/>
  <c r="AG18" i="13" a="1"/>
  <c r="AF18" i="13" a="1"/>
  <c r="L19" i="13"/>
  <c r="BB19" i="13" s="1"/>
  <c r="BL17" i="13"/>
  <c r="AK6" i="13"/>
  <c r="AN6" i="13"/>
  <c r="AM9" i="13" a="1"/>
  <c r="AB9" i="13"/>
  <c r="AJ9" i="13"/>
  <c r="AL9" i="13" s="1"/>
  <c r="AU17" i="13"/>
  <c r="BH18" i="13"/>
  <c r="BE10" i="13"/>
  <c r="BF10" i="13" s="1"/>
  <c r="BC11" i="13" s="1"/>
  <c r="BA15" i="13"/>
  <c r="AS17" i="13"/>
  <c r="Z10" i="13"/>
  <c r="AA10" i="13" s="1"/>
  <c r="T18" i="13"/>
  <c r="AR18" i="13"/>
  <c r="AV18" i="13" s="1"/>
  <c r="R18" i="13"/>
  <c r="V18" i="13" s="1"/>
  <c r="AD18" i="13" a="1"/>
  <c r="BK18" i="13" s="1"/>
  <c r="AC18" i="13" a="1"/>
  <c r="BJ18" i="13" s="1"/>
  <c r="AZ16" i="13"/>
  <c r="BA16" i="13"/>
  <c r="AY17" i="13"/>
  <c r="N10" i="13"/>
  <c r="BI18" i="13" l="1"/>
  <c r="W18" i="13"/>
  <c r="X18" i="13" s="1"/>
  <c r="AO6" i="13"/>
  <c r="AP6" i="13" s="1"/>
  <c r="M6" i="13" s="1"/>
  <c r="O6" i="13" s="1"/>
  <c r="AW18" i="13"/>
  <c r="AX17" i="13"/>
  <c r="BN18" i="13"/>
  <c r="BO16" i="13"/>
  <c r="BL18" i="13"/>
  <c r="AG19" i="13" a="1"/>
  <c r="AF19" i="13" a="1"/>
  <c r="L20" i="13"/>
  <c r="BB20" i="13" s="1"/>
  <c r="AH7" i="13"/>
  <c r="AM10" i="13" a="1"/>
  <c r="AB10" i="13"/>
  <c r="AJ10" i="13"/>
  <c r="AL10" i="13" s="1"/>
  <c r="AD19" i="13" a="1"/>
  <c r="BK19" i="13" s="1"/>
  <c r="BH19" i="13"/>
  <c r="AS18" i="13"/>
  <c r="BE11" i="13"/>
  <c r="BD11" i="13"/>
  <c r="BG11" i="13" s="1"/>
  <c r="Y11" i="13" s="1"/>
  <c r="AC19" i="13" a="1"/>
  <c r="BJ19" i="13" s="1"/>
  <c r="T19" i="13"/>
  <c r="U19" i="13" s="1"/>
  <c r="U20" i="13" s="1"/>
  <c r="AR19" i="13"/>
  <c r="AV19" i="13" s="1"/>
  <c r="AU18" i="13"/>
  <c r="R19" i="13"/>
  <c r="AZ17" i="13"/>
  <c r="BA17" i="13"/>
  <c r="P10" i="13"/>
  <c r="AY18" i="13"/>
  <c r="BI19" i="13" l="1"/>
  <c r="W19" i="13"/>
  <c r="AW19" i="13"/>
  <c r="AX18" i="13"/>
  <c r="BO17" i="13"/>
  <c r="AU19" i="13"/>
  <c r="BN19" i="13"/>
  <c r="AG20" i="13" a="1"/>
  <c r="AF20" i="13" a="1"/>
  <c r="L21" i="13"/>
  <c r="BL19" i="13"/>
  <c r="AI7" i="13"/>
  <c r="AE8" i="13" s="1"/>
  <c r="BM8" i="13" s="1"/>
  <c r="AR20" i="13"/>
  <c r="AV20" i="13" s="1"/>
  <c r="BH20" i="13"/>
  <c r="AS19" i="13"/>
  <c r="Z11" i="13"/>
  <c r="AA11" i="13" s="1"/>
  <c r="V19" i="13"/>
  <c r="AC20" i="13" a="1"/>
  <c r="BJ20" i="13" s="1"/>
  <c r="AD20" i="13" a="1"/>
  <c r="BK20" i="13" s="1"/>
  <c r="T20" i="13"/>
  <c r="R20" i="13"/>
  <c r="V20" i="13" s="1"/>
  <c r="AZ18" i="13"/>
  <c r="BA18" i="13"/>
  <c r="BF11" i="13"/>
  <c r="BC12" i="13" s="1"/>
  <c r="U21" i="13"/>
  <c r="N11" i="13"/>
  <c r="X19" i="13" l="1"/>
  <c r="BH21" i="13"/>
  <c r="BB21" i="13"/>
  <c r="BI20" i="13"/>
  <c r="W20" i="13"/>
  <c r="X20" i="13" s="1"/>
  <c r="AX19" i="13"/>
  <c r="AW20" i="13"/>
  <c r="BO18" i="13"/>
  <c r="BN20" i="13"/>
  <c r="AG21" i="13" a="1"/>
  <c r="AF21" i="13" a="1"/>
  <c r="L22" i="13"/>
  <c r="BB22" i="13" s="1"/>
  <c r="BL20" i="13"/>
  <c r="AK7" i="13"/>
  <c r="AN7" i="13"/>
  <c r="AM11" i="13" a="1"/>
  <c r="AB11" i="13"/>
  <c r="AJ11" i="13"/>
  <c r="AL11" i="13" s="1"/>
  <c r="AU20" i="13"/>
  <c r="AR21" i="13"/>
  <c r="AV21" i="13" s="1"/>
  <c r="AS20" i="13"/>
  <c r="AY19" i="13"/>
  <c r="BE12" i="13"/>
  <c r="BD12" i="13"/>
  <c r="BG12" i="13" s="1"/>
  <c r="T21" i="13"/>
  <c r="R21" i="13"/>
  <c r="V21" i="13" s="1"/>
  <c r="AD21" i="13" a="1"/>
  <c r="BK21" i="13" s="1"/>
  <c r="AC21" i="13" a="1"/>
  <c r="BJ21" i="13" s="1"/>
  <c r="P11" i="13"/>
  <c r="U22" i="13"/>
  <c r="AY20" i="13"/>
  <c r="W21" i="13" l="1"/>
  <c r="X21" i="13" s="1"/>
  <c r="BI21" i="13"/>
  <c r="AO7" i="13"/>
  <c r="AP7" i="13" s="1"/>
  <c r="M7" i="13" s="1"/>
  <c r="O7" i="13" s="1"/>
  <c r="AX20" i="13"/>
  <c r="AW21" i="13"/>
  <c r="BN21" i="13"/>
  <c r="BO19" i="13"/>
  <c r="AZ19" i="13"/>
  <c r="AG22" i="13" a="1"/>
  <c r="AF22" i="13" a="1"/>
  <c r="L23" i="13"/>
  <c r="BB23" i="13" s="1"/>
  <c r="BL21" i="13"/>
  <c r="AH8" i="13"/>
  <c r="AR22" i="13"/>
  <c r="AV22" i="13" s="1"/>
  <c r="BH22" i="13"/>
  <c r="AU21" i="13"/>
  <c r="AS21" i="13"/>
  <c r="BA19" i="13"/>
  <c r="T22" i="13"/>
  <c r="R22" i="13"/>
  <c r="V22" i="13" s="1"/>
  <c r="AD22" i="13" a="1"/>
  <c r="BK22" i="13" s="1"/>
  <c r="AC22" i="13" a="1"/>
  <c r="BJ22" i="13" s="1"/>
  <c r="BF12" i="13"/>
  <c r="BC13" i="13" s="1"/>
  <c r="Y12" i="13"/>
  <c r="AZ20" i="13"/>
  <c r="BA20" i="13"/>
  <c r="AY21" i="13"/>
  <c r="N12" i="13"/>
  <c r="BI22" i="13" l="1"/>
  <c r="W22" i="13"/>
  <c r="X22" i="13" s="1"/>
  <c r="AW22" i="13"/>
  <c r="AX21" i="13"/>
  <c r="BN22" i="13"/>
  <c r="BO20" i="13"/>
  <c r="AG23" i="13" a="1"/>
  <c r="AF23" i="13" a="1"/>
  <c r="L24" i="13"/>
  <c r="BB24" i="13" s="1"/>
  <c r="BL22" i="13"/>
  <c r="AI8" i="13"/>
  <c r="AE9" i="13" s="1"/>
  <c r="BM9" i="13" s="1"/>
  <c r="AU22" i="13"/>
  <c r="AR23" i="13"/>
  <c r="AV23" i="13" s="1"/>
  <c r="BH23" i="13"/>
  <c r="AS22" i="13"/>
  <c r="BE13" i="13"/>
  <c r="BD13" i="13"/>
  <c r="BG13" i="13" s="1"/>
  <c r="Y13" i="13" s="1"/>
  <c r="Z12" i="13"/>
  <c r="AA12" i="13" s="1"/>
  <c r="AD23" i="13" a="1"/>
  <c r="BK23" i="13" s="1"/>
  <c r="T23" i="13"/>
  <c r="U23" i="13" s="1"/>
  <c r="U24" i="13" s="1"/>
  <c r="R23" i="13"/>
  <c r="AC23" i="13" a="1"/>
  <c r="BJ23" i="13" s="1"/>
  <c r="AZ21" i="13"/>
  <c r="BA21" i="13"/>
  <c r="P12" i="13"/>
  <c r="AY22" i="13"/>
  <c r="BI23" i="13" l="1"/>
  <c r="W23" i="13"/>
  <c r="AX22" i="13"/>
  <c r="AW23" i="13"/>
  <c r="BN23" i="13"/>
  <c r="BO21" i="13"/>
  <c r="AG24" i="13" a="1"/>
  <c r="AF24" i="13" a="1"/>
  <c r="L25" i="13"/>
  <c r="BB25" i="13" s="1"/>
  <c r="BL23" i="13"/>
  <c r="AK8" i="13"/>
  <c r="AN8" i="13"/>
  <c r="AO8" i="13" s="1"/>
  <c r="AP8" i="13" s="1"/>
  <c r="AM12" i="13" a="1"/>
  <c r="AB12" i="13"/>
  <c r="AJ12" i="13"/>
  <c r="AL12" i="13" s="1"/>
  <c r="AU23" i="13"/>
  <c r="AR24" i="13"/>
  <c r="AV24" i="13" s="1"/>
  <c r="BH24" i="13"/>
  <c r="AS23" i="13"/>
  <c r="Z13" i="13"/>
  <c r="AA13" i="13" s="1"/>
  <c r="V23" i="13"/>
  <c r="T24" i="13"/>
  <c r="R24" i="13"/>
  <c r="V24" i="13" s="1"/>
  <c r="AC24" i="13" a="1"/>
  <c r="BJ24" i="13" s="1"/>
  <c r="AD24" i="13" a="1"/>
  <c r="BK24" i="13" s="1"/>
  <c r="BF13" i="13"/>
  <c r="BC14" i="13" s="1"/>
  <c r="BD14" i="13" s="1"/>
  <c r="BG14" i="13" s="1"/>
  <c r="AZ22" i="13"/>
  <c r="BA22" i="13"/>
  <c r="P13" i="13"/>
  <c r="U25" i="13"/>
  <c r="N13" i="13"/>
  <c r="X23" i="13" l="1"/>
  <c r="BI24" i="13"/>
  <c r="W24" i="13"/>
  <c r="X24" i="13" s="1"/>
  <c r="AX23" i="13"/>
  <c r="AW24" i="13"/>
  <c r="BO22" i="13"/>
  <c r="BN24" i="13"/>
  <c r="AG25" i="13" a="1"/>
  <c r="AF25" i="13" a="1"/>
  <c r="L26" i="13"/>
  <c r="BB26" i="13" s="1"/>
  <c r="BL24" i="13"/>
  <c r="M8" i="13"/>
  <c r="O8" i="13" s="1"/>
  <c r="AM13" i="13" a="1"/>
  <c r="AJ13" i="13"/>
  <c r="AL13" i="13" s="1"/>
  <c r="AB13" i="13"/>
  <c r="AU24" i="13"/>
  <c r="AR25" i="13"/>
  <c r="AV25" i="13" s="1"/>
  <c r="BH25" i="13"/>
  <c r="AS24" i="13"/>
  <c r="BE14" i="13"/>
  <c r="Y14" i="13"/>
  <c r="AY23" i="13"/>
  <c r="T25" i="13"/>
  <c r="R25" i="13"/>
  <c r="V25" i="13" s="1"/>
  <c r="AD25" i="13" a="1"/>
  <c r="BK25" i="13" s="1"/>
  <c r="AC25" i="13" a="1"/>
  <c r="BJ25" i="13" s="1"/>
  <c r="U26" i="13"/>
  <c r="AY24" i="13"/>
  <c r="BI25" i="13" l="1"/>
  <c r="W25" i="13"/>
  <c r="X25" i="13" s="1"/>
  <c r="AX24" i="13"/>
  <c r="AW25" i="13"/>
  <c r="BN25" i="13"/>
  <c r="BO23" i="13"/>
  <c r="AF26" i="13" a="1"/>
  <c r="AG26" i="13" a="1"/>
  <c r="L27" i="13"/>
  <c r="BL25" i="13"/>
  <c r="AH9" i="13"/>
  <c r="AI9" i="13" s="1"/>
  <c r="AE10" i="13" s="1"/>
  <c r="BM10" i="13" s="1"/>
  <c r="AU25" i="13"/>
  <c r="AR26" i="13"/>
  <c r="AV26" i="13" s="1"/>
  <c r="BH26" i="13"/>
  <c r="AZ23" i="13"/>
  <c r="BA23" i="13"/>
  <c r="AS25" i="13"/>
  <c r="Z14" i="13"/>
  <c r="AA14" i="13" s="1"/>
  <c r="R26" i="13"/>
  <c r="V26" i="13" s="1"/>
  <c r="AC26" i="13" a="1"/>
  <c r="BJ26" i="13" s="1"/>
  <c r="T26" i="13"/>
  <c r="AD26" i="13" a="1"/>
  <c r="BK26" i="13" s="1"/>
  <c r="BF14" i="13"/>
  <c r="BC15" i="13" s="1"/>
  <c r="AZ24" i="13"/>
  <c r="BA24" i="13"/>
  <c r="P14" i="13"/>
  <c r="AY25" i="13"/>
  <c r="N14" i="13"/>
  <c r="BH27" i="13" l="1"/>
  <c r="BB27" i="13"/>
  <c r="BI26" i="13"/>
  <c r="W26" i="13"/>
  <c r="X26" i="13" s="1"/>
  <c r="AX25" i="13"/>
  <c r="AW26" i="13"/>
  <c r="BO24" i="13"/>
  <c r="BN26" i="13"/>
  <c r="AG27" i="13" a="1"/>
  <c r="AF27" i="13" a="1"/>
  <c r="L28" i="13"/>
  <c r="BB28" i="13" s="1"/>
  <c r="BL26" i="13"/>
  <c r="AN9" i="13"/>
  <c r="AK9" i="13"/>
  <c r="AM14" i="13" a="1"/>
  <c r="AB14" i="13"/>
  <c r="AJ14" i="13"/>
  <c r="AL14" i="13" s="1"/>
  <c r="AU26" i="13"/>
  <c r="AR27" i="13"/>
  <c r="AV27" i="13" s="1"/>
  <c r="T27" i="13"/>
  <c r="AS26" i="13"/>
  <c r="R27" i="13"/>
  <c r="BE15" i="13"/>
  <c r="BD15" i="13"/>
  <c r="BG15" i="13" s="1"/>
  <c r="Y15" i="13" s="1"/>
  <c r="AC27" i="13" a="1"/>
  <c r="BJ27" i="13" s="1"/>
  <c r="AD27" i="13" a="1"/>
  <c r="BK27" i="13" s="1"/>
  <c r="AZ25" i="13"/>
  <c r="BA25" i="13"/>
  <c r="AY26" i="13"/>
  <c r="W27" i="13" l="1"/>
  <c r="BI27" i="13"/>
  <c r="AO9" i="13"/>
  <c r="AP9" i="13" s="1"/>
  <c r="M9" i="13" s="1"/>
  <c r="O9" i="13" s="1"/>
  <c r="AW27" i="13"/>
  <c r="AX26" i="13"/>
  <c r="BN27" i="13"/>
  <c r="BO25" i="13"/>
  <c r="AF28" i="13" a="1"/>
  <c r="AG28" i="13" a="1"/>
  <c r="L29" i="13"/>
  <c r="BB29" i="13" s="1"/>
  <c r="BL27" i="13"/>
  <c r="AR28" i="13"/>
  <c r="AV28" i="13" s="1"/>
  <c r="BH28" i="13"/>
  <c r="AU27" i="13"/>
  <c r="AS27" i="13"/>
  <c r="AD28" i="13" a="1"/>
  <c r="BK28" i="13" s="1"/>
  <c r="AC28" i="13" a="1"/>
  <c r="BJ28" i="13" s="1"/>
  <c r="T28" i="13"/>
  <c r="R28" i="13"/>
  <c r="P15" i="13"/>
  <c r="BF15" i="13"/>
  <c r="BC16" i="13" s="1"/>
  <c r="AZ26" i="13"/>
  <c r="BA26" i="13"/>
  <c r="N15" i="13"/>
  <c r="BI28" i="13" l="1"/>
  <c r="W28" i="13"/>
  <c r="AW28" i="13"/>
  <c r="AX27" i="13"/>
  <c r="BN28" i="13"/>
  <c r="BO26" i="13"/>
  <c r="AF29" i="13" a="1"/>
  <c r="AG29" i="13" a="1"/>
  <c r="L30" i="13"/>
  <c r="BB30" i="13" s="1"/>
  <c r="BL28" i="13"/>
  <c r="AH10" i="13"/>
  <c r="AI10" i="13" s="1"/>
  <c r="AE11" i="13" s="1"/>
  <c r="BM11" i="13" s="1"/>
  <c r="AU28" i="13"/>
  <c r="AR29" i="13"/>
  <c r="AV29" i="13" s="1"/>
  <c r="BH29" i="13"/>
  <c r="AS28" i="13"/>
  <c r="T29" i="13"/>
  <c r="AC29" i="13" a="1"/>
  <c r="BJ29" i="13" s="1"/>
  <c r="R29" i="13"/>
  <c r="AD29" i="13" a="1"/>
  <c r="BK29" i="13" s="1"/>
  <c r="BE16" i="13"/>
  <c r="BD16" i="13"/>
  <c r="BG16" i="13" s="1"/>
  <c r="Y16" i="13" s="1"/>
  <c r="Z15" i="13"/>
  <c r="AA15" i="13" s="1"/>
  <c r="BI29" i="13" l="1"/>
  <c r="W29" i="13"/>
  <c r="AW29" i="13"/>
  <c r="AX28" i="13"/>
  <c r="BN29" i="13"/>
  <c r="BO27" i="13"/>
  <c r="AF30" i="13" a="1"/>
  <c r="AG30" i="13" a="1"/>
  <c r="L31" i="13"/>
  <c r="BB31" i="13" s="1"/>
  <c r="BL29" i="13"/>
  <c r="AK10" i="13"/>
  <c r="AN10" i="13"/>
  <c r="AO10" i="13" s="1"/>
  <c r="AP10" i="13" s="1"/>
  <c r="AM15" i="13" a="1"/>
  <c r="AB15" i="13"/>
  <c r="AJ15" i="13"/>
  <c r="AL15" i="13" s="1"/>
  <c r="AU29" i="13"/>
  <c r="AR30" i="13"/>
  <c r="AV30" i="13" s="1"/>
  <c r="BH30" i="13"/>
  <c r="AS29" i="13"/>
  <c r="AC30" i="13" a="1"/>
  <c r="BJ30" i="13" s="1"/>
  <c r="AD30" i="13" a="1"/>
  <c r="BK30" i="13" s="1"/>
  <c r="T30" i="13"/>
  <c r="R30" i="13"/>
  <c r="Z16" i="13"/>
  <c r="AA16" i="13" s="1"/>
  <c r="BF16" i="13"/>
  <c r="BC17" i="13" s="1"/>
  <c r="P16" i="13"/>
  <c r="N16" i="13"/>
  <c r="BI30" i="13" l="1"/>
  <c r="W30" i="13"/>
  <c r="AX29" i="13"/>
  <c r="AW30" i="13"/>
  <c r="BN30" i="13"/>
  <c r="BO28" i="13"/>
  <c r="AG31" i="13" a="1"/>
  <c r="AF31" i="13" a="1"/>
  <c r="L32" i="13"/>
  <c r="BB32" i="13" s="1"/>
  <c r="BL30" i="13"/>
  <c r="M10" i="13"/>
  <c r="O10" i="13" s="1"/>
  <c r="AM16" i="13" a="1"/>
  <c r="AJ16" i="13"/>
  <c r="AL16" i="13" s="1"/>
  <c r="AB16" i="13"/>
  <c r="AU30" i="13"/>
  <c r="AR31" i="13"/>
  <c r="AV31" i="13" s="1"/>
  <c r="BH31" i="13"/>
  <c r="R31" i="13"/>
  <c r="AS30" i="13"/>
  <c r="AD31" i="13" a="1"/>
  <c r="BK31" i="13" s="1"/>
  <c r="T31" i="13"/>
  <c r="U31" i="13" s="1"/>
  <c r="U32" i="13" s="1"/>
  <c r="AC31" i="13" a="1"/>
  <c r="BJ31" i="13" s="1"/>
  <c r="BE17" i="13"/>
  <c r="BD17" i="13"/>
  <c r="BG17" i="13" s="1"/>
  <c r="BI31" i="13" l="1"/>
  <c r="W31" i="13"/>
  <c r="AW31" i="13"/>
  <c r="AX30" i="13"/>
  <c r="BO29" i="13"/>
  <c r="BN31" i="13"/>
  <c r="AF32" i="13" a="1"/>
  <c r="AG32" i="13" a="1"/>
  <c r="L33" i="13"/>
  <c r="BB33" i="13" s="1"/>
  <c r="BL31" i="13"/>
  <c r="AH11" i="13"/>
  <c r="AI11" i="13" s="1"/>
  <c r="AE12" i="13" s="1"/>
  <c r="BM12" i="13" s="1"/>
  <c r="AU31" i="13"/>
  <c r="AR32" i="13"/>
  <c r="AV32" i="13" s="1"/>
  <c r="BH32" i="13"/>
  <c r="AS31" i="13"/>
  <c r="R32" i="13"/>
  <c r="V32" i="13" s="1"/>
  <c r="AD32" i="13" a="1"/>
  <c r="BK32" i="13" s="1"/>
  <c r="AC32" i="13" a="1"/>
  <c r="BJ32" i="13" s="1"/>
  <c r="T32" i="13"/>
  <c r="V31" i="13"/>
  <c r="AY31" i="13" s="1"/>
  <c r="BF17" i="13"/>
  <c r="BC18" i="13" s="1"/>
  <c r="BE18" i="13" s="1"/>
  <c r="Y17" i="13"/>
  <c r="U33" i="13"/>
  <c r="N17" i="13"/>
  <c r="BI32" i="13" l="1"/>
  <c r="W32" i="13"/>
  <c r="X32" i="13" s="1"/>
  <c r="AX31" i="13"/>
  <c r="AW32" i="13"/>
  <c r="BN32" i="13"/>
  <c r="BO30" i="13"/>
  <c r="AG33" i="13" a="1"/>
  <c r="AF33" i="13" a="1"/>
  <c r="L34" i="13"/>
  <c r="BL32" i="13"/>
  <c r="AK11" i="13"/>
  <c r="AN11" i="13"/>
  <c r="AO11" i="13" s="1"/>
  <c r="AP11" i="13" s="1"/>
  <c r="AU32" i="13"/>
  <c r="AR33" i="13"/>
  <c r="AV33" i="13" s="1"/>
  <c r="BH33" i="13"/>
  <c r="AS32" i="13"/>
  <c r="AD33" i="13" a="1"/>
  <c r="BK33" i="13" s="1"/>
  <c r="R33" i="13"/>
  <c r="V33" i="13" s="1"/>
  <c r="AC33" i="13" a="1"/>
  <c r="BJ33" i="13" s="1"/>
  <c r="T33" i="13"/>
  <c r="X31" i="13"/>
  <c r="BD18" i="13"/>
  <c r="BG18" i="13" s="1"/>
  <c r="Y18" i="13" s="1"/>
  <c r="P17" i="13"/>
  <c r="AZ31" i="13"/>
  <c r="BA31" i="13"/>
  <c r="U34" i="13"/>
  <c r="AY32" i="13"/>
  <c r="BH34" i="13" l="1"/>
  <c r="BB34" i="13"/>
  <c r="BI33" i="13"/>
  <c r="W33" i="13"/>
  <c r="X33" i="13" s="1"/>
  <c r="AW33" i="13"/>
  <c r="AX32" i="13"/>
  <c r="BO31" i="13"/>
  <c r="BN33" i="13"/>
  <c r="AG34" i="13" a="1"/>
  <c r="AF34" i="13" a="1"/>
  <c r="L35" i="13"/>
  <c r="BB35" i="13" s="1"/>
  <c r="BL33" i="13"/>
  <c r="M11" i="13"/>
  <c r="O11" i="13" s="1"/>
  <c r="Z18" i="13"/>
  <c r="AA18" i="13" s="1"/>
  <c r="AU33" i="13"/>
  <c r="AR34" i="13"/>
  <c r="AV34" i="13" s="1"/>
  <c r="T34" i="13"/>
  <c r="AS33" i="13"/>
  <c r="R34" i="13"/>
  <c r="V34" i="13" s="1"/>
  <c r="AC34" i="13" a="1"/>
  <c r="BJ34" i="13" s="1"/>
  <c r="AD34" i="13" a="1"/>
  <c r="BK34" i="13" s="1"/>
  <c r="P18" i="13"/>
  <c r="BF18" i="13"/>
  <c r="BC19" i="13" s="1"/>
  <c r="BD19" i="13" s="1"/>
  <c r="BG19" i="13" s="1"/>
  <c r="Y19" i="13" s="1"/>
  <c r="Z17" i="13"/>
  <c r="AA17" i="13" s="1"/>
  <c r="AZ32" i="13"/>
  <c r="BA32" i="13"/>
  <c r="AY33" i="13"/>
  <c r="N18" i="13"/>
  <c r="W34" i="13" l="1"/>
  <c r="X34" i="13" s="1"/>
  <c r="BI34" i="13"/>
  <c r="AX33" i="13"/>
  <c r="AW34" i="13"/>
  <c r="BO32" i="13"/>
  <c r="BN34" i="13"/>
  <c r="AF35" i="13" a="1"/>
  <c r="AG35" i="13" a="1"/>
  <c r="L36" i="13"/>
  <c r="BL34" i="13"/>
  <c r="AH12" i="13"/>
  <c r="AI12" i="13" s="1"/>
  <c r="AE13" i="13" s="1"/>
  <c r="BM13" i="13" s="1"/>
  <c r="AB18" i="13"/>
  <c r="AM18" i="13" a="1"/>
  <c r="AM17" i="13" a="1"/>
  <c r="AB17" i="13"/>
  <c r="AJ17" i="13"/>
  <c r="AC35" i="13" a="1"/>
  <c r="BJ35" i="13" s="1"/>
  <c r="BH35" i="13"/>
  <c r="AU34" i="13"/>
  <c r="AR35" i="13"/>
  <c r="AV35" i="13" s="1"/>
  <c r="T35" i="13"/>
  <c r="U35" i="13" s="1"/>
  <c r="U36" i="13" s="1"/>
  <c r="R35" i="13"/>
  <c r="AD35" i="13" a="1"/>
  <c r="BK35" i="13" s="1"/>
  <c r="AS34" i="13"/>
  <c r="BE19" i="13"/>
  <c r="BF19" i="13" s="1"/>
  <c r="BC20" i="13" s="1"/>
  <c r="Z19" i="13"/>
  <c r="AA19" i="13" s="1"/>
  <c r="AZ33" i="13"/>
  <c r="BA33" i="13"/>
  <c r="P19" i="13"/>
  <c r="AY34" i="13"/>
  <c r="BH36" i="13" l="1"/>
  <c r="BB36" i="13"/>
  <c r="BI35" i="13"/>
  <c r="W35" i="13"/>
  <c r="AW35" i="13"/>
  <c r="AX34" i="13"/>
  <c r="BO33" i="13"/>
  <c r="BN35" i="13"/>
  <c r="AF36" i="13" a="1"/>
  <c r="AG36" i="13" a="1"/>
  <c r="L37" i="13"/>
  <c r="BB37" i="13" s="1"/>
  <c r="BL35" i="13"/>
  <c r="AK12" i="13"/>
  <c r="AN12" i="13"/>
  <c r="AO12" i="13" s="1"/>
  <c r="AP12" i="13" s="1"/>
  <c r="AM19" i="13" a="1"/>
  <c r="AJ18" i="13"/>
  <c r="AL17" i="13"/>
  <c r="AB19" i="13"/>
  <c r="AU35" i="13"/>
  <c r="V35" i="13"/>
  <c r="AR36" i="13"/>
  <c r="AV36" i="13" s="1"/>
  <c r="T36" i="13"/>
  <c r="AC36" i="13" a="1"/>
  <c r="BJ36" i="13" s="1"/>
  <c r="AD36" i="13" a="1"/>
  <c r="BK36" i="13" s="1"/>
  <c r="R36" i="13"/>
  <c r="V36" i="13" s="1"/>
  <c r="AS35" i="13"/>
  <c r="BE20" i="13"/>
  <c r="BD20" i="13"/>
  <c r="BG20" i="13" s="1"/>
  <c r="Y20" i="13" s="1"/>
  <c r="AZ34" i="13"/>
  <c r="BA34" i="13"/>
  <c r="U37" i="13"/>
  <c r="N19" i="13"/>
  <c r="W36" i="13" l="1"/>
  <c r="X36" i="13" s="1"/>
  <c r="BI36" i="13"/>
  <c r="AW36" i="13"/>
  <c r="AX35" i="13"/>
  <c r="BO34" i="13"/>
  <c r="BN36" i="13"/>
  <c r="AG37" i="13" a="1"/>
  <c r="AF37" i="13" a="1"/>
  <c r="L38" i="13"/>
  <c r="BL36" i="13"/>
  <c r="M12" i="13"/>
  <c r="O12" i="13" s="1"/>
  <c r="AL18" i="13"/>
  <c r="AJ19" i="13"/>
  <c r="AL19" i="13" s="1"/>
  <c r="BH37" i="13"/>
  <c r="AU36" i="13"/>
  <c r="AR37" i="13"/>
  <c r="AV37" i="13" s="1"/>
  <c r="T37" i="13"/>
  <c r="AC37" i="13" a="1"/>
  <c r="BJ37" i="13" s="1"/>
  <c r="AD37" i="13" a="1"/>
  <c r="BK37" i="13" s="1"/>
  <c r="R37" i="13"/>
  <c r="V37" i="13" s="1"/>
  <c r="X35" i="13"/>
  <c r="AY35" i="13"/>
  <c r="AS36" i="13"/>
  <c r="P20" i="13"/>
  <c r="BF20" i="13"/>
  <c r="BC21" i="13" s="1"/>
  <c r="U38" i="13"/>
  <c r="AY36" i="13"/>
  <c r="BH38" i="13" l="1"/>
  <c r="BB38" i="13"/>
  <c r="BI37" i="13"/>
  <c r="W37" i="13"/>
  <c r="X37" i="13" s="1"/>
  <c r="AW37" i="13"/>
  <c r="AX36" i="13"/>
  <c r="BO35" i="13"/>
  <c r="BN37" i="13"/>
  <c r="AF38" i="13" a="1"/>
  <c r="AG38" i="13" a="1"/>
  <c r="L39" i="13"/>
  <c r="BL37" i="13"/>
  <c r="AH13" i="13"/>
  <c r="AI13" i="13" s="1"/>
  <c r="AE14" i="13" s="1"/>
  <c r="BM14" i="13" s="1"/>
  <c r="AC38" i="13" a="1"/>
  <c r="BJ38" i="13" s="1"/>
  <c r="BA35" i="13"/>
  <c r="AZ35" i="13"/>
  <c r="AU37" i="13"/>
  <c r="T38" i="13"/>
  <c r="AR38" i="13"/>
  <c r="AV38" i="13" s="1"/>
  <c r="AD38" i="13" a="1"/>
  <c r="BK38" i="13" s="1"/>
  <c r="R38" i="13"/>
  <c r="V38" i="13" s="1"/>
  <c r="AS37" i="13"/>
  <c r="BE21" i="13"/>
  <c r="BD21" i="13"/>
  <c r="BG21" i="13" s="1"/>
  <c r="Y21" i="13" s="1"/>
  <c r="Z20" i="13"/>
  <c r="AA20" i="13" s="1"/>
  <c r="AZ36" i="13"/>
  <c r="BA36" i="13"/>
  <c r="AY37" i="13"/>
  <c r="W38" i="13" l="1"/>
  <c r="X38" i="13" s="1"/>
  <c r="BI38" i="13"/>
  <c r="BH39" i="13"/>
  <c r="BB39" i="13"/>
  <c r="AX37" i="13"/>
  <c r="AW38" i="13"/>
  <c r="BN38" i="13"/>
  <c r="BO36" i="13"/>
  <c r="AF39" i="13" a="1"/>
  <c r="AG39" i="13" a="1"/>
  <c r="L40" i="13"/>
  <c r="BL38" i="13"/>
  <c r="AK13" i="13"/>
  <c r="AN13" i="13"/>
  <c r="AO13" i="13" s="1"/>
  <c r="AP13" i="13" s="1"/>
  <c r="AM20" i="13" a="1"/>
  <c r="AB20" i="13"/>
  <c r="AJ20" i="13"/>
  <c r="AL20" i="13" s="1"/>
  <c r="T39" i="13"/>
  <c r="U39" i="13" s="1"/>
  <c r="AC39" i="13" a="1"/>
  <c r="BJ39" i="13" s="1"/>
  <c r="AD39" i="13" a="1"/>
  <c r="BK39" i="13" s="1"/>
  <c r="R39" i="13"/>
  <c r="AU38" i="13"/>
  <c r="AR39" i="13"/>
  <c r="AV39" i="13" s="1"/>
  <c r="AS38" i="13"/>
  <c r="Z21" i="13"/>
  <c r="AA21" i="13" s="1"/>
  <c r="BF21" i="13"/>
  <c r="BC22" i="13" s="1"/>
  <c r="AZ37" i="13"/>
  <c r="BA37" i="13"/>
  <c r="P21" i="13"/>
  <c r="AY38" i="13"/>
  <c r="W39" i="13" l="1"/>
  <c r="BI39" i="13"/>
  <c r="BH40" i="13"/>
  <c r="BB40" i="13"/>
  <c r="AX38" i="13"/>
  <c r="AW39" i="13"/>
  <c r="BN39" i="13"/>
  <c r="BO37" i="13"/>
  <c r="AF40" i="13" a="1"/>
  <c r="AG40" i="13" a="1"/>
  <c r="L41" i="13"/>
  <c r="BB41" i="13" s="1"/>
  <c r="BL39" i="13"/>
  <c r="M13" i="13"/>
  <c r="O13" i="13" s="1"/>
  <c r="AM21" i="13" a="1"/>
  <c r="AB21" i="13"/>
  <c r="AJ21" i="13"/>
  <c r="AL21" i="13" s="1"/>
  <c r="V39" i="13"/>
  <c r="U40" i="13"/>
  <c r="AU39" i="13"/>
  <c r="T40" i="13"/>
  <c r="R40" i="13"/>
  <c r="AR40" i="13"/>
  <c r="AV40" i="13" s="1"/>
  <c r="AC40" i="13" a="1"/>
  <c r="BJ40" i="13" s="1"/>
  <c r="AD40" i="13" a="1"/>
  <c r="BK40" i="13" s="1"/>
  <c r="AS39" i="13"/>
  <c r="BE22" i="13"/>
  <c r="BD22" i="13"/>
  <c r="BG22" i="13" s="1"/>
  <c r="Y22" i="13" s="1"/>
  <c r="AZ38" i="13"/>
  <c r="BA38" i="13"/>
  <c r="W40" i="13" l="1"/>
  <c r="BI40" i="13"/>
  <c r="AW40" i="13"/>
  <c r="AX39" i="13"/>
  <c r="BN40" i="13"/>
  <c r="BO38" i="13"/>
  <c r="AF41" i="13" a="1"/>
  <c r="AG41" i="13" a="1"/>
  <c r="L42" i="13"/>
  <c r="BL40" i="13"/>
  <c r="AH14" i="13"/>
  <c r="AI14" i="13" s="1"/>
  <c r="AE15" i="13" s="1"/>
  <c r="BM15" i="13" s="1"/>
  <c r="BH41" i="13"/>
  <c r="AY39" i="13"/>
  <c r="X39" i="13"/>
  <c r="V40" i="13"/>
  <c r="U41" i="13"/>
  <c r="U42" i="13" s="1"/>
  <c r="T41" i="13"/>
  <c r="AC41" i="13" a="1"/>
  <c r="BJ41" i="13" s="1"/>
  <c r="AU40" i="13"/>
  <c r="AR41" i="13"/>
  <c r="AV41" i="13" s="1"/>
  <c r="AD41" i="13" a="1"/>
  <c r="BK41" i="13" s="1"/>
  <c r="R41" i="13"/>
  <c r="AS40" i="13"/>
  <c r="Z22" i="13"/>
  <c r="AA22" i="13" s="1"/>
  <c r="BF22" i="13"/>
  <c r="BC23" i="13" s="1"/>
  <c r="P22" i="13"/>
  <c r="BH42" i="13" l="1"/>
  <c r="BB42" i="13"/>
  <c r="BI41" i="13"/>
  <c r="W41" i="13"/>
  <c r="AW41" i="13"/>
  <c r="AX40" i="13"/>
  <c r="BO39" i="13"/>
  <c r="BN41" i="13"/>
  <c r="AG42" i="13" a="1"/>
  <c r="AF42" i="13" a="1"/>
  <c r="L43" i="13"/>
  <c r="BL41" i="13"/>
  <c r="AK14" i="13"/>
  <c r="AN14" i="13"/>
  <c r="AO14" i="13" s="1"/>
  <c r="AP14" i="13" s="1"/>
  <c r="AM22" i="13" a="1"/>
  <c r="AB22" i="13"/>
  <c r="AJ22" i="13"/>
  <c r="AL22" i="13" s="1"/>
  <c r="AZ39" i="13"/>
  <c r="BA39" i="13"/>
  <c r="AR42" i="13"/>
  <c r="AV42" i="13" s="1"/>
  <c r="T42" i="13"/>
  <c r="AC42" i="13" a="1"/>
  <c r="BJ42" i="13" s="1"/>
  <c r="AD42" i="13" a="1"/>
  <c r="BK42" i="13" s="1"/>
  <c r="R42" i="13"/>
  <c r="V42" i="13" s="1"/>
  <c r="V41" i="13"/>
  <c r="AY40" i="13"/>
  <c r="X40" i="13"/>
  <c r="AU41" i="13"/>
  <c r="AS41" i="13"/>
  <c r="BE23" i="13"/>
  <c r="BD23" i="13"/>
  <c r="BG23" i="13" s="1"/>
  <c r="Y23" i="13" s="1"/>
  <c r="N22" i="13"/>
  <c r="W42" i="13" l="1"/>
  <c r="X42" i="13" s="1"/>
  <c r="BI42" i="13"/>
  <c r="BH43" i="13"/>
  <c r="BB43" i="13"/>
  <c r="AX41" i="13"/>
  <c r="AW42" i="13"/>
  <c r="BN42" i="13"/>
  <c r="BO40" i="13"/>
  <c r="AG43" i="13" a="1"/>
  <c r="AF43" i="13" a="1"/>
  <c r="L44" i="13"/>
  <c r="BL42" i="13"/>
  <c r="M14" i="13"/>
  <c r="O14" i="13" s="1"/>
  <c r="X41" i="13"/>
  <c r="AY41" i="13"/>
  <c r="AR43" i="13"/>
  <c r="AV43" i="13" s="1"/>
  <c r="R43" i="13"/>
  <c r="AC43" i="13" a="1"/>
  <c r="BJ43" i="13" s="1"/>
  <c r="AD43" i="13" a="1"/>
  <c r="BK43" i="13" s="1"/>
  <c r="T43" i="13"/>
  <c r="U43" i="13" s="1"/>
  <c r="AU42" i="13"/>
  <c r="AZ40" i="13"/>
  <c r="BA40" i="13"/>
  <c r="AS42" i="13"/>
  <c r="Z23" i="13"/>
  <c r="AA23" i="13" s="1"/>
  <c r="BF23" i="13"/>
  <c r="BC24" i="13" s="1"/>
  <c r="P23" i="13"/>
  <c r="AY42" i="13"/>
  <c r="W43" i="13" l="1"/>
  <c r="BI43" i="13"/>
  <c r="BH44" i="13"/>
  <c r="BB44" i="13"/>
  <c r="AW43" i="13"/>
  <c r="AX42" i="13"/>
  <c r="BN43" i="13"/>
  <c r="BO41" i="13"/>
  <c r="AG44" i="13" a="1"/>
  <c r="AF44" i="13" a="1"/>
  <c r="L45" i="13"/>
  <c r="BL43" i="13"/>
  <c r="AH15" i="13"/>
  <c r="AI15" i="13" s="1"/>
  <c r="AE16" i="13" s="1"/>
  <c r="BM16" i="13" s="1"/>
  <c r="AM23" i="13" a="1"/>
  <c r="AB23" i="13"/>
  <c r="AJ23" i="13"/>
  <c r="AL23" i="13" s="1"/>
  <c r="AZ41" i="13"/>
  <c r="BA41" i="13"/>
  <c r="AU43" i="13"/>
  <c r="T44" i="13"/>
  <c r="AR44" i="13"/>
  <c r="AV44" i="13" s="1"/>
  <c r="AC44" i="13" a="1"/>
  <c r="BJ44" i="13" s="1"/>
  <c r="AD44" i="13" a="1"/>
  <c r="BK44" i="13" s="1"/>
  <c r="R44" i="13"/>
  <c r="U44" i="13"/>
  <c r="V43" i="13"/>
  <c r="AS43" i="13"/>
  <c r="BE24" i="13"/>
  <c r="BD24" i="13"/>
  <c r="BG24" i="13" s="1"/>
  <c r="Y24" i="13" s="1"/>
  <c r="AZ42" i="13"/>
  <c r="BA42" i="13"/>
  <c r="N23" i="13"/>
  <c r="W44" i="13" l="1"/>
  <c r="BI44" i="13"/>
  <c r="BH45" i="13"/>
  <c r="BB45" i="13"/>
  <c r="AX43" i="13"/>
  <c r="AW44" i="13"/>
  <c r="BN44" i="13"/>
  <c r="BO42" i="13"/>
  <c r="AF45" i="13" a="1"/>
  <c r="AG45" i="13" a="1"/>
  <c r="L46" i="13"/>
  <c r="BL44" i="13"/>
  <c r="AK15" i="13"/>
  <c r="AN15" i="13"/>
  <c r="AO15" i="13" s="1"/>
  <c r="AP15" i="13" s="1"/>
  <c r="AU44" i="13"/>
  <c r="AR45" i="13"/>
  <c r="AV45" i="13" s="1"/>
  <c r="T45" i="13"/>
  <c r="AC45" i="13" a="1"/>
  <c r="BJ45" i="13" s="1"/>
  <c r="AD45" i="13" a="1"/>
  <c r="BK45" i="13" s="1"/>
  <c r="R45" i="13"/>
  <c r="U45" i="13"/>
  <c r="V44" i="13"/>
  <c r="AY43" i="13"/>
  <c r="X43" i="13"/>
  <c r="AS44" i="13"/>
  <c r="Z24" i="13"/>
  <c r="AA24" i="13" s="1"/>
  <c r="BF24" i="13"/>
  <c r="BC25" i="13" s="1"/>
  <c r="P24" i="13"/>
  <c r="W45" i="13" l="1"/>
  <c r="BI45" i="13"/>
  <c r="BH46" i="13"/>
  <c r="BB46" i="13"/>
  <c r="AX44" i="13"/>
  <c r="AW45" i="13"/>
  <c r="BN45" i="13"/>
  <c r="BO43" i="13"/>
  <c r="AF46" i="13" a="1"/>
  <c r="AG46" i="13" a="1"/>
  <c r="L47" i="13"/>
  <c r="BL45" i="13"/>
  <c r="M15" i="13"/>
  <c r="O15" i="13" s="1"/>
  <c r="AM24" i="13" a="1"/>
  <c r="AB24" i="13"/>
  <c r="AJ24" i="13"/>
  <c r="AL24" i="13" s="1"/>
  <c r="AU45" i="13"/>
  <c r="AR46" i="13"/>
  <c r="AV46" i="13" s="1"/>
  <c r="T46" i="13"/>
  <c r="AC46" i="13" a="1"/>
  <c r="BJ46" i="13" s="1"/>
  <c r="AD46" i="13" a="1"/>
  <c r="BK46" i="13" s="1"/>
  <c r="R46" i="13"/>
  <c r="V45" i="13"/>
  <c r="U46" i="13"/>
  <c r="AY44" i="13"/>
  <c r="X44" i="13"/>
  <c r="AZ43" i="13"/>
  <c r="BA43" i="13"/>
  <c r="AS45" i="13"/>
  <c r="BE25" i="13"/>
  <c r="BD25" i="13"/>
  <c r="BG25" i="13" s="1"/>
  <c r="Y25" i="13" s="1"/>
  <c r="N24" i="13"/>
  <c r="W46" i="13" l="1"/>
  <c r="BI46" i="13"/>
  <c r="BH47" i="13"/>
  <c r="BB47" i="13"/>
  <c r="AX45" i="13"/>
  <c r="AW46" i="13"/>
  <c r="BN46" i="13"/>
  <c r="BO44" i="13"/>
  <c r="AF47" i="13" a="1"/>
  <c r="AG47" i="13" a="1"/>
  <c r="L48" i="13"/>
  <c r="BL46" i="13"/>
  <c r="AH16" i="13"/>
  <c r="AI16" i="13" s="1"/>
  <c r="AE17" i="13" s="1"/>
  <c r="BM17" i="13" s="1"/>
  <c r="V46" i="13"/>
  <c r="AU46" i="13"/>
  <c r="T47" i="13"/>
  <c r="U47" i="13" s="1"/>
  <c r="AD47" i="13" a="1"/>
  <c r="BK47" i="13" s="1"/>
  <c r="AC47" i="13" a="1"/>
  <c r="BJ47" i="13" s="1"/>
  <c r="AZ44" i="13"/>
  <c r="BA44" i="13"/>
  <c r="AR47" i="13"/>
  <c r="AV47" i="13" s="1"/>
  <c r="R47" i="13"/>
  <c r="AY45" i="13"/>
  <c r="X45" i="13"/>
  <c r="AS46" i="13"/>
  <c r="Z25" i="13"/>
  <c r="AA25" i="13" s="1"/>
  <c r="BF25" i="13"/>
  <c r="BC26" i="13" s="1"/>
  <c r="P25" i="13"/>
  <c r="W47" i="13" l="1"/>
  <c r="BI47" i="13"/>
  <c r="BH48" i="13"/>
  <c r="BB48" i="13"/>
  <c r="BO45" i="13"/>
  <c r="AW47" i="13"/>
  <c r="AX46" i="13"/>
  <c r="BN47" i="13"/>
  <c r="AG48" i="13" a="1"/>
  <c r="AF48" i="13" a="1"/>
  <c r="L49" i="13"/>
  <c r="BL47" i="13"/>
  <c r="AK16" i="13"/>
  <c r="AN16" i="13"/>
  <c r="AO16" i="13" s="1"/>
  <c r="AP16" i="13" s="1"/>
  <c r="AM25" i="13" a="1"/>
  <c r="AB25" i="13"/>
  <c r="AJ25" i="13"/>
  <c r="AL25" i="13" s="1"/>
  <c r="AY46" i="13"/>
  <c r="X46" i="13"/>
  <c r="U48" i="13"/>
  <c r="V47" i="13"/>
  <c r="AU47" i="13"/>
  <c r="AC48" i="13" a="1"/>
  <c r="BJ48" i="13" s="1"/>
  <c r="AD48" i="13" a="1"/>
  <c r="BK48" i="13" s="1"/>
  <c r="R48" i="13"/>
  <c r="AZ45" i="13"/>
  <c r="BA45" i="13"/>
  <c r="AR48" i="13"/>
  <c r="AV48" i="13" s="1"/>
  <c r="T48" i="13"/>
  <c r="AS47" i="13"/>
  <c r="BE26" i="13"/>
  <c r="BD26" i="13"/>
  <c r="BG26" i="13" s="1"/>
  <c r="Y26" i="13" s="1"/>
  <c r="N25" i="13"/>
  <c r="W48" i="13" l="1"/>
  <c r="BI48" i="13"/>
  <c r="BH49" i="13"/>
  <c r="BB49" i="13"/>
  <c r="AW48" i="13"/>
  <c r="AX47" i="13"/>
  <c r="BO46" i="13"/>
  <c r="BN48" i="13"/>
  <c r="AF49" i="13" a="1"/>
  <c r="AG49" i="13" a="1"/>
  <c r="L50" i="13"/>
  <c r="BL48" i="13"/>
  <c r="M16" i="13"/>
  <c r="O16" i="13" s="1"/>
  <c r="BA46" i="13"/>
  <c r="AZ46" i="13"/>
  <c r="U49" i="13"/>
  <c r="U50" i="13" s="1"/>
  <c r="V48" i="13"/>
  <c r="AY47" i="13"/>
  <c r="X47" i="13"/>
  <c r="AU48" i="13"/>
  <c r="T49" i="13"/>
  <c r="AR49" i="13"/>
  <c r="AV49" i="13" s="1"/>
  <c r="AC49" i="13" a="1"/>
  <c r="BJ49" i="13" s="1"/>
  <c r="AD49" i="13" a="1"/>
  <c r="BK49" i="13" s="1"/>
  <c r="R49" i="13"/>
  <c r="AS48" i="13"/>
  <c r="Z26" i="13"/>
  <c r="AA26" i="13" s="1"/>
  <c r="BF26" i="13"/>
  <c r="BC27" i="13" s="1"/>
  <c r="P26" i="13"/>
  <c r="W49" i="13" l="1"/>
  <c r="BI49" i="13"/>
  <c r="BH50" i="13"/>
  <c r="BB50" i="13"/>
  <c r="AW49" i="13"/>
  <c r="AX48" i="13"/>
  <c r="BN49" i="13"/>
  <c r="BO47" i="13"/>
  <c r="AF50" i="13" a="1"/>
  <c r="AG50" i="13" a="1"/>
  <c r="L51" i="13"/>
  <c r="BL49" i="13"/>
  <c r="AH17" i="13"/>
  <c r="AI17" i="13" s="1"/>
  <c r="AE18" i="13" s="1"/>
  <c r="BM18" i="13" s="1"/>
  <c r="AM26" i="13" a="1"/>
  <c r="AB26" i="13"/>
  <c r="AJ26" i="13"/>
  <c r="AL26" i="13" s="1"/>
  <c r="V49" i="13"/>
  <c r="AY48" i="13"/>
  <c r="X48" i="13"/>
  <c r="AZ47" i="13"/>
  <c r="BA47" i="13"/>
  <c r="AU49" i="13"/>
  <c r="AR50" i="13"/>
  <c r="AV50" i="13" s="1"/>
  <c r="T50" i="13"/>
  <c r="R50" i="13"/>
  <c r="V50" i="13" s="1"/>
  <c r="AC50" i="13" a="1"/>
  <c r="BJ50" i="13" s="1"/>
  <c r="AD50" i="13" a="1"/>
  <c r="BK50" i="13" s="1"/>
  <c r="AS49" i="13"/>
  <c r="BE27" i="13"/>
  <c r="BD27" i="13"/>
  <c r="N26" i="13"/>
  <c r="W50" i="13" l="1"/>
  <c r="X50" i="13" s="1"/>
  <c r="BI50" i="13"/>
  <c r="BH51" i="13"/>
  <c r="BB51" i="13"/>
  <c r="AX49" i="13"/>
  <c r="AW50" i="13"/>
  <c r="BN50" i="13"/>
  <c r="BO48" i="13"/>
  <c r="AF51" i="13" a="1"/>
  <c r="AG51" i="13" a="1"/>
  <c r="L52" i="13"/>
  <c r="BL50" i="13"/>
  <c r="AK17" i="13"/>
  <c r="AN17" i="13"/>
  <c r="AO17" i="13" s="1"/>
  <c r="AP17" i="13" s="1"/>
  <c r="X49" i="13"/>
  <c r="AY49" i="13"/>
  <c r="AZ48" i="13"/>
  <c r="BA48" i="13"/>
  <c r="AU50" i="13"/>
  <c r="AR51" i="13"/>
  <c r="AV51" i="13" s="1"/>
  <c r="T51" i="13"/>
  <c r="U51" i="13" s="1"/>
  <c r="AC51" i="13" a="1"/>
  <c r="BJ51" i="13" s="1"/>
  <c r="AD51" i="13" a="1"/>
  <c r="BK51" i="13" s="1"/>
  <c r="R51" i="13"/>
  <c r="BF27" i="13"/>
  <c r="BC28" i="13" s="1"/>
  <c r="BE28" i="13" s="1"/>
  <c r="AS50" i="13"/>
  <c r="AY50" i="13"/>
  <c r="W51" i="13" l="1"/>
  <c r="BI51" i="13"/>
  <c r="BH52" i="13"/>
  <c r="BB52" i="13"/>
  <c r="AX50" i="13"/>
  <c r="AW51" i="13"/>
  <c r="BO49" i="13"/>
  <c r="BN51" i="13"/>
  <c r="AF52" i="13" a="1"/>
  <c r="AG52" i="13" a="1"/>
  <c r="L53" i="13"/>
  <c r="BL51" i="13"/>
  <c r="M17" i="13"/>
  <c r="O17" i="13" s="1"/>
  <c r="AZ49" i="13"/>
  <c r="BA49" i="13"/>
  <c r="AU51" i="13"/>
  <c r="V51" i="13"/>
  <c r="U52" i="13"/>
  <c r="AR52" i="13"/>
  <c r="AV52" i="13" s="1"/>
  <c r="T52" i="13"/>
  <c r="AC52" i="13" a="1"/>
  <c r="BJ52" i="13" s="1"/>
  <c r="R52" i="13"/>
  <c r="AD52" i="13" a="1"/>
  <c r="BK52" i="13" s="1"/>
  <c r="BD28" i="13"/>
  <c r="BF28" i="13" s="1"/>
  <c r="BC29" i="13" s="1"/>
  <c r="AS51" i="13"/>
  <c r="AZ50" i="13"/>
  <c r="BA50" i="13"/>
  <c r="N27" i="13"/>
  <c r="W52" i="13" l="1"/>
  <c r="BI52" i="13"/>
  <c r="BH53" i="13"/>
  <c r="BB53" i="13"/>
  <c r="BO50" i="13"/>
  <c r="AX51" i="13"/>
  <c r="AW52" i="13"/>
  <c r="BN52" i="13"/>
  <c r="AF53" i="13" a="1"/>
  <c r="AG53" i="13" a="1"/>
  <c r="L54" i="13"/>
  <c r="BB54" i="13" s="1"/>
  <c r="BL52" i="13"/>
  <c r="AH18" i="13"/>
  <c r="AI18" i="13" s="1"/>
  <c r="AE19" i="13" s="1"/>
  <c r="BM19" i="13" s="1"/>
  <c r="AY51" i="13"/>
  <c r="X51" i="13"/>
  <c r="AU52" i="13"/>
  <c r="AD53" i="13" a="1"/>
  <c r="BK53" i="13" s="1"/>
  <c r="U53" i="13"/>
  <c r="U54" i="13" s="1"/>
  <c r="V52" i="13"/>
  <c r="T53" i="13"/>
  <c r="AC53" i="13" a="1"/>
  <c r="BJ53" i="13" s="1"/>
  <c r="AR53" i="13"/>
  <c r="AV53" i="13" s="1"/>
  <c r="R53" i="13"/>
  <c r="AS52" i="13"/>
  <c r="BE29" i="13"/>
  <c r="BD29" i="13"/>
  <c r="W53" i="13" l="1"/>
  <c r="BI53" i="13"/>
  <c r="AW53" i="13"/>
  <c r="AX52" i="13"/>
  <c r="BO51" i="13"/>
  <c r="BN53" i="13"/>
  <c r="AF54" i="13" a="1"/>
  <c r="AG54" i="13" a="1"/>
  <c r="L55" i="13"/>
  <c r="BL53" i="13"/>
  <c r="AK18" i="13"/>
  <c r="AN18" i="13"/>
  <c r="AO18" i="13" s="1"/>
  <c r="AP18" i="13" s="1"/>
  <c r="BH54" i="13"/>
  <c r="V53" i="13"/>
  <c r="BA51" i="13"/>
  <c r="AZ51" i="13"/>
  <c r="AY52" i="13"/>
  <c r="X52" i="13"/>
  <c r="AU53" i="13"/>
  <c r="AR54" i="13"/>
  <c r="AV54" i="13" s="1"/>
  <c r="AC54" i="13" a="1"/>
  <c r="BJ54" i="13" s="1"/>
  <c r="AD54" i="13" a="1"/>
  <c r="BK54" i="13" s="1"/>
  <c r="R54" i="13"/>
  <c r="V54" i="13" s="1"/>
  <c r="T54" i="13"/>
  <c r="AS53" i="13"/>
  <c r="BF29" i="13"/>
  <c r="BC30" i="13" s="1"/>
  <c r="N28" i="13"/>
  <c r="BH55" i="13" l="1"/>
  <c r="BB55" i="13"/>
  <c r="BI54" i="13"/>
  <c r="W54" i="13"/>
  <c r="X54" i="13" s="1"/>
  <c r="AX53" i="13"/>
  <c r="AW54" i="13"/>
  <c r="BN54" i="13"/>
  <c r="BO52" i="13"/>
  <c r="AF55" i="13" a="1"/>
  <c r="AG55" i="13" a="1"/>
  <c r="L56" i="13"/>
  <c r="BL54" i="13"/>
  <c r="M18" i="13"/>
  <c r="O18" i="13" s="1"/>
  <c r="AU54" i="13"/>
  <c r="AY53" i="13"/>
  <c r="X53" i="13"/>
  <c r="AZ52" i="13"/>
  <c r="BA52" i="13"/>
  <c r="AR55" i="13"/>
  <c r="AV55" i="13" s="1"/>
  <c r="T55" i="13"/>
  <c r="U55" i="13" s="1"/>
  <c r="AD55" i="13" a="1"/>
  <c r="BK55" i="13" s="1"/>
  <c r="AC55" i="13" a="1"/>
  <c r="BJ55" i="13" s="1"/>
  <c r="R55" i="13"/>
  <c r="AS54" i="13"/>
  <c r="BE30" i="13"/>
  <c r="BD30" i="13"/>
  <c r="N29" i="13"/>
  <c r="AY54" i="13"/>
  <c r="W55" i="13" l="1"/>
  <c r="BI55" i="13"/>
  <c r="BH56" i="13"/>
  <c r="BB56" i="13"/>
  <c r="AW55" i="13"/>
  <c r="AX54" i="13"/>
  <c r="BN55" i="13"/>
  <c r="BO53" i="13"/>
  <c r="AG56" i="13" a="1"/>
  <c r="AF56" i="13" a="1"/>
  <c r="L57" i="13"/>
  <c r="BL55" i="13"/>
  <c r="AH19" i="13"/>
  <c r="AI19" i="13" s="1"/>
  <c r="AE20" i="13" s="1"/>
  <c r="BM20" i="13" s="1"/>
  <c r="AZ53" i="13"/>
  <c r="BA53" i="13"/>
  <c r="AU55" i="13"/>
  <c r="T56" i="13"/>
  <c r="AD56" i="13" a="1"/>
  <c r="BK56" i="13" s="1"/>
  <c r="U56" i="13"/>
  <c r="V55" i="13"/>
  <c r="AR56" i="13"/>
  <c r="AV56" i="13" s="1"/>
  <c r="AC56" i="13" a="1"/>
  <c r="BJ56" i="13" s="1"/>
  <c r="R56" i="13"/>
  <c r="AS55" i="13"/>
  <c r="AZ54" i="13"/>
  <c r="BA54" i="13"/>
  <c r="BF30" i="13"/>
  <c r="BC31" i="13" s="1"/>
  <c r="W56" i="13" l="1"/>
  <c r="BI56" i="13"/>
  <c r="BH57" i="13"/>
  <c r="BB57" i="13"/>
  <c r="AX55" i="13"/>
  <c r="AW56" i="13"/>
  <c r="BN56" i="13"/>
  <c r="BO54" i="13"/>
  <c r="AF57" i="13" a="1"/>
  <c r="AG57" i="13" a="1"/>
  <c r="L58" i="13"/>
  <c r="BL56" i="13"/>
  <c r="AK19" i="13"/>
  <c r="AN19" i="13"/>
  <c r="AO19" i="13" s="1"/>
  <c r="AP19" i="13" s="1"/>
  <c r="AU56" i="13"/>
  <c r="V56" i="13"/>
  <c r="U57" i="13"/>
  <c r="U58" i="13" s="1"/>
  <c r="AY55" i="13"/>
  <c r="X55" i="13"/>
  <c r="AR57" i="13"/>
  <c r="AV57" i="13" s="1"/>
  <c r="T57" i="13"/>
  <c r="R57" i="13"/>
  <c r="AC57" i="13" a="1"/>
  <c r="BJ57" i="13" s="1"/>
  <c r="AD57" i="13" a="1"/>
  <c r="BK57" i="13" s="1"/>
  <c r="AS56" i="13"/>
  <c r="BE31" i="13"/>
  <c r="BD31" i="13"/>
  <c r="BG31" i="13" s="1"/>
  <c r="Y31" i="13" s="1"/>
  <c r="W57" i="13" l="1"/>
  <c r="BI57" i="13"/>
  <c r="BH58" i="13"/>
  <c r="BB58" i="13"/>
  <c r="AX56" i="13"/>
  <c r="AW57" i="13"/>
  <c r="BN57" i="13"/>
  <c r="BO55" i="13"/>
  <c r="AG58" i="13" a="1"/>
  <c r="AF58" i="13" a="1"/>
  <c r="L59" i="13"/>
  <c r="BL57" i="13"/>
  <c r="M19" i="13"/>
  <c r="O19" i="13" s="1"/>
  <c r="V57" i="13"/>
  <c r="AU57" i="13"/>
  <c r="AY56" i="13"/>
  <c r="X56" i="13"/>
  <c r="AZ55" i="13"/>
  <c r="BA55" i="13"/>
  <c r="AR58" i="13"/>
  <c r="AV58" i="13" s="1"/>
  <c r="T58" i="13"/>
  <c r="AD58" i="13" a="1"/>
  <c r="BK58" i="13" s="1"/>
  <c r="R58" i="13"/>
  <c r="V58" i="13" s="1"/>
  <c r="AC58" i="13" a="1"/>
  <c r="BJ58" i="13" s="1"/>
  <c r="AS57" i="13"/>
  <c r="Z31" i="13"/>
  <c r="AA31" i="13" s="1"/>
  <c r="AB31" i="13" s="1"/>
  <c r="BF31" i="13"/>
  <c r="BC32" i="13" s="1"/>
  <c r="N30" i="13"/>
  <c r="W58" i="13" l="1"/>
  <c r="X58" i="13" s="1"/>
  <c r="BI58" i="13"/>
  <c r="BH59" i="13"/>
  <c r="BB59" i="13"/>
  <c r="AX57" i="13"/>
  <c r="AW58" i="13"/>
  <c r="BN58" i="13"/>
  <c r="BO56" i="13"/>
  <c r="AF59" i="13" a="1"/>
  <c r="AG59" i="13" a="1"/>
  <c r="L60" i="13"/>
  <c r="BL58" i="13"/>
  <c r="AH20" i="13"/>
  <c r="AI20" i="13" s="1"/>
  <c r="AE21" i="13" s="1"/>
  <c r="BM21" i="13" s="1"/>
  <c r="AY57" i="13"/>
  <c r="X57" i="13"/>
  <c r="AU58" i="13"/>
  <c r="AZ56" i="13"/>
  <c r="BA56" i="13"/>
  <c r="AR59" i="13"/>
  <c r="AV59" i="13" s="1"/>
  <c r="T59" i="13"/>
  <c r="U59" i="13" s="1"/>
  <c r="AD59" i="13" a="1"/>
  <c r="BK59" i="13" s="1"/>
  <c r="AC59" i="13" a="1"/>
  <c r="BJ59" i="13" s="1"/>
  <c r="R59" i="13"/>
  <c r="AS58" i="13"/>
  <c r="BE32" i="13"/>
  <c r="BD32" i="13"/>
  <c r="BG32" i="13" s="1"/>
  <c r="Y32" i="13" s="1"/>
  <c r="P31" i="13"/>
  <c r="AY58" i="13"/>
  <c r="W59" i="13" l="1"/>
  <c r="BI59" i="13"/>
  <c r="BH60" i="13"/>
  <c r="BB60" i="13"/>
  <c r="AW59" i="13"/>
  <c r="AX58" i="13"/>
  <c r="BN59" i="13"/>
  <c r="BO57" i="13"/>
  <c r="AG60" i="13" a="1"/>
  <c r="AF60" i="13" a="1"/>
  <c r="L61" i="13"/>
  <c r="BL59" i="13"/>
  <c r="AK20" i="13"/>
  <c r="AN20" i="13"/>
  <c r="AO20" i="13" s="1"/>
  <c r="AP20" i="13" s="1"/>
  <c r="AZ57" i="13"/>
  <c r="BA57" i="13"/>
  <c r="AU59" i="13"/>
  <c r="V59" i="13"/>
  <c r="U60" i="13"/>
  <c r="AR60" i="13"/>
  <c r="AV60" i="13" s="1"/>
  <c r="T60" i="13"/>
  <c r="AC60" i="13" a="1"/>
  <c r="BJ60" i="13" s="1"/>
  <c r="AD60" i="13" a="1"/>
  <c r="BK60" i="13" s="1"/>
  <c r="R60" i="13"/>
  <c r="AS59" i="13"/>
  <c r="Z32" i="13"/>
  <c r="AA32" i="13" s="1"/>
  <c r="AB32" i="13" s="1"/>
  <c r="AZ58" i="13"/>
  <c r="BA58" i="13"/>
  <c r="P32" i="13"/>
  <c r="BF32" i="13"/>
  <c r="BC33" i="13" s="1"/>
  <c r="N31" i="13"/>
  <c r="W60" i="13" l="1"/>
  <c r="BI60" i="13"/>
  <c r="BH61" i="13"/>
  <c r="BB61" i="13"/>
  <c r="AW60" i="13"/>
  <c r="AX59" i="13"/>
  <c r="BN60" i="13"/>
  <c r="BO58" i="13"/>
  <c r="AF61" i="13" a="1"/>
  <c r="AG61" i="13" a="1"/>
  <c r="L62" i="13"/>
  <c r="BL60" i="13"/>
  <c r="M20" i="13"/>
  <c r="AU60" i="13"/>
  <c r="AC61" i="13" a="1"/>
  <c r="BJ61" i="13" s="1"/>
  <c r="R61" i="13"/>
  <c r="AY59" i="13"/>
  <c r="X59" i="13"/>
  <c r="V60" i="13"/>
  <c r="U61" i="13"/>
  <c r="AR61" i="13"/>
  <c r="AV61" i="13" s="1"/>
  <c r="T61" i="13"/>
  <c r="AD61" i="13" a="1"/>
  <c r="BK61" i="13" s="1"/>
  <c r="AS60" i="13"/>
  <c r="BE33" i="13"/>
  <c r="BD33" i="13"/>
  <c r="BG33" i="13" s="1"/>
  <c r="Y33" i="13" s="1"/>
  <c r="W61" i="13" l="1"/>
  <c r="BI61" i="13"/>
  <c r="BH62" i="13"/>
  <c r="BB62" i="13"/>
  <c r="AX60" i="13"/>
  <c r="AW61" i="13"/>
  <c r="BN61" i="13"/>
  <c r="BO59" i="13"/>
  <c r="AF62" i="13" a="1"/>
  <c r="AG62" i="13" a="1"/>
  <c r="L63" i="13"/>
  <c r="BB63" i="13" s="1"/>
  <c r="BL61" i="13"/>
  <c r="AH21" i="13"/>
  <c r="AI21" i="13" s="1"/>
  <c r="AE22" i="13" s="1"/>
  <c r="BM22" i="13" s="1"/>
  <c r="AR62" i="13"/>
  <c r="AV62" i="13" s="1"/>
  <c r="T62" i="13"/>
  <c r="AD62" i="13" a="1"/>
  <c r="BK62" i="13" s="1"/>
  <c r="AC62" i="13" a="1"/>
  <c r="BJ62" i="13" s="1"/>
  <c r="R62" i="13"/>
  <c r="AU61" i="13"/>
  <c r="AZ59" i="13"/>
  <c r="BA59" i="13"/>
  <c r="X60" i="13"/>
  <c r="AY60" i="13"/>
  <c r="U62" i="13"/>
  <c r="V61" i="13"/>
  <c r="AS61" i="13"/>
  <c r="Z33" i="13"/>
  <c r="AA33" i="13" s="1"/>
  <c r="AB33" i="13" s="1"/>
  <c r="BF33" i="13"/>
  <c r="BC34" i="13" s="1"/>
  <c r="N32" i="13"/>
  <c r="W62" i="13" l="1"/>
  <c r="BI62" i="13"/>
  <c r="AW62" i="13"/>
  <c r="AX61" i="13"/>
  <c r="BN62" i="13"/>
  <c r="BO60" i="13"/>
  <c r="AF63" i="13" a="1"/>
  <c r="AG63" i="13" a="1"/>
  <c r="L64" i="13"/>
  <c r="BB64" i="13" s="1"/>
  <c r="BL62" i="13"/>
  <c r="AK21" i="13"/>
  <c r="AN21" i="13"/>
  <c r="BH63" i="13"/>
  <c r="AU62" i="13"/>
  <c r="V62" i="13"/>
  <c r="AR63" i="13"/>
  <c r="AV63" i="13" s="1"/>
  <c r="T63" i="13"/>
  <c r="U63" i="13" s="1"/>
  <c r="AC63" i="13" a="1"/>
  <c r="BJ63" i="13" s="1"/>
  <c r="AD63" i="13" a="1"/>
  <c r="BK63" i="13" s="1"/>
  <c r="R63" i="13"/>
  <c r="BA60" i="13"/>
  <c r="AZ60" i="13"/>
  <c r="AY61" i="13"/>
  <c r="X61" i="13"/>
  <c r="AS62" i="13"/>
  <c r="BE34" i="13"/>
  <c r="BD34" i="13"/>
  <c r="BG34" i="13" s="1"/>
  <c r="Y34" i="13" s="1"/>
  <c r="P33" i="13"/>
  <c r="BI63" i="13" l="1"/>
  <c r="W63" i="13"/>
  <c r="AO21" i="13"/>
  <c r="AP21" i="13" s="1"/>
  <c r="M21" i="13" s="1"/>
  <c r="BO61" i="13"/>
  <c r="AW63" i="13"/>
  <c r="AX62" i="13"/>
  <c r="BN63" i="13"/>
  <c r="AG64" i="13" a="1"/>
  <c r="AF64" i="13" a="1"/>
  <c r="L65" i="13"/>
  <c r="BB65" i="13" s="1"/>
  <c r="BL63" i="13"/>
  <c r="T64" i="13"/>
  <c r="AC64" i="13" a="1"/>
  <c r="BJ64" i="13" s="1"/>
  <c r="AD64" i="13" a="1"/>
  <c r="BK64" i="13" s="1"/>
  <c r="R64" i="13"/>
  <c r="BH64" i="13"/>
  <c r="AR64" i="13"/>
  <c r="AV64" i="13" s="1"/>
  <c r="AY62" i="13"/>
  <c r="X62" i="13"/>
  <c r="AU63" i="13"/>
  <c r="U64" i="13"/>
  <c r="V63" i="13"/>
  <c r="AZ61" i="13"/>
  <c r="BA61" i="13"/>
  <c r="AS63" i="13"/>
  <c r="Z34" i="13"/>
  <c r="AA34" i="13" s="1"/>
  <c r="AB34" i="13" s="1"/>
  <c r="BF34" i="13"/>
  <c r="BC35" i="13" s="1"/>
  <c r="N33" i="13"/>
  <c r="BI64" i="13" l="1"/>
  <c r="W64" i="13"/>
  <c r="AW64" i="13"/>
  <c r="AX63" i="13"/>
  <c r="BO62" i="13"/>
  <c r="BN64" i="13"/>
  <c r="AG65" i="13" a="1"/>
  <c r="AF65" i="13" a="1"/>
  <c r="L66" i="13"/>
  <c r="BB66" i="13" s="1"/>
  <c r="BL64" i="13"/>
  <c r="AH22" i="13"/>
  <c r="AI22" i="13" s="1"/>
  <c r="AE23" i="13" s="1"/>
  <c r="BM23" i="13" s="1"/>
  <c r="AR65" i="13"/>
  <c r="AV65" i="13" s="1"/>
  <c r="BH65" i="13"/>
  <c r="T65" i="13"/>
  <c r="AC65" i="13" a="1"/>
  <c r="BJ65" i="13" s="1"/>
  <c r="AD65" i="13" a="1"/>
  <c r="BK65" i="13" s="1"/>
  <c r="R65" i="13"/>
  <c r="AU64" i="13"/>
  <c r="AZ62" i="13"/>
  <c r="BA62" i="13"/>
  <c r="V64" i="13"/>
  <c r="U65" i="13"/>
  <c r="AY63" i="13"/>
  <c r="X63" i="13"/>
  <c r="AS64" i="13"/>
  <c r="BE35" i="13"/>
  <c r="BD35" i="13"/>
  <c r="BG35" i="13" s="1"/>
  <c r="Y35" i="13" s="1"/>
  <c r="P34" i="13"/>
  <c r="BI65" i="13" l="1"/>
  <c r="W65" i="13"/>
  <c r="AW65" i="13"/>
  <c r="AX64" i="13"/>
  <c r="BO63" i="13"/>
  <c r="BN65" i="13"/>
  <c r="AG66" i="13" a="1"/>
  <c r="AF66" i="13" a="1"/>
  <c r="L67" i="13"/>
  <c r="BB67" i="13" s="1"/>
  <c r="BL65" i="13"/>
  <c r="AK22" i="13"/>
  <c r="AN22" i="13"/>
  <c r="AO22" i="13" s="1"/>
  <c r="AP22" i="13" s="1"/>
  <c r="AU65" i="13"/>
  <c r="AR66" i="13"/>
  <c r="AV66" i="13" s="1"/>
  <c r="BH66" i="13"/>
  <c r="T66" i="13"/>
  <c r="AD66" i="13" a="1"/>
  <c r="BK66" i="13" s="1"/>
  <c r="AC66" i="13" a="1"/>
  <c r="BJ66" i="13" s="1"/>
  <c r="R66" i="13"/>
  <c r="AY64" i="13"/>
  <c r="X64" i="13"/>
  <c r="BA63" i="13"/>
  <c r="AZ63" i="13"/>
  <c r="U66" i="13"/>
  <c r="V65" i="13"/>
  <c r="AS65" i="13"/>
  <c r="Z35" i="13"/>
  <c r="AA35" i="13" s="1"/>
  <c r="AB35" i="13" s="1"/>
  <c r="P35" i="13"/>
  <c r="BF35" i="13"/>
  <c r="BC36" i="13" s="1"/>
  <c r="N34" i="13"/>
  <c r="BI66" i="13" l="1"/>
  <c r="W66" i="13"/>
  <c r="AX65" i="13"/>
  <c r="AW66" i="13"/>
  <c r="BO64" i="13"/>
  <c r="BN66" i="13"/>
  <c r="AG67" i="13" a="1"/>
  <c r="AF67" i="13" a="1"/>
  <c r="L68" i="13"/>
  <c r="BB68" i="13" s="1"/>
  <c r="BL66" i="13"/>
  <c r="M22" i="13"/>
  <c r="O22" i="13" s="1"/>
  <c r="BH67" i="13"/>
  <c r="AR67" i="13"/>
  <c r="AV67" i="13" s="1"/>
  <c r="T67" i="13"/>
  <c r="U67" i="13" s="1"/>
  <c r="U68" i="13" s="1"/>
  <c r="V66" i="13"/>
  <c r="AC67" i="13" a="1"/>
  <c r="BJ67" i="13" s="1"/>
  <c r="AD67" i="13" a="1"/>
  <c r="BK67" i="13" s="1"/>
  <c r="R67" i="13"/>
  <c r="AU66" i="13"/>
  <c r="BA64" i="13"/>
  <c r="AZ64" i="13"/>
  <c r="AY65" i="13"/>
  <c r="X65" i="13"/>
  <c r="AS66" i="13"/>
  <c r="BE36" i="13"/>
  <c r="BD36" i="13"/>
  <c r="BG36" i="13" s="1"/>
  <c r="Y36" i="13" s="1"/>
  <c r="BI67" i="13" l="1"/>
  <c r="W67" i="13"/>
  <c r="AX66" i="13"/>
  <c r="AW67" i="13"/>
  <c r="BN67" i="13"/>
  <c r="BO65" i="13"/>
  <c r="AR68" i="13"/>
  <c r="AV68" i="13" s="1"/>
  <c r="BH68" i="13"/>
  <c r="AG68" i="13" a="1"/>
  <c r="AF68" i="13" a="1"/>
  <c r="L69" i="13"/>
  <c r="BB69" i="13" s="1"/>
  <c r="BL67" i="13"/>
  <c r="AH23" i="13"/>
  <c r="AI23" i="13" s="1"/>
  <c r="AE24" i="13" s="1"/>
  <c r="BM24" i="13" s="1"/>
  <c r="V67" i="13"/>
  <c r="AU67" i="13"/>
  <c r="AY66" i="13"/>
  <c r="X66" i="13"/>
  <c r="T68" i="13"/>
  <c r="AC68" i="13" a="1"/>
  <c r="BJ68" i="13" s="1"/>
  <c r="AD68" i="13" a="1"/>
  <c r="BK68" i="13" s="1"/>
  <c r="R68" i="13"/>
  <c r="V68" i="13" s="1"/>
  <c r="AZ65" i="13"/>
  <c r="BA65" i="13"/>
  <c r="AS67" i="13"/>
  <c r="Z36" i="13"/>
  <c r="AA36" i="13" s="1"/>
  <c r="AB36" i="13" s="1"/>
  <c r="U69" i="13"/>
  <c r="BF36" i="13"/>
  <c r="BC37" i="13" s="1"/>
  <c r="N35" i="13"/>
  <c r="BI68" i="13" l="1"/>
  <c r="W68" i="13"/>
  <c r="X68" i="13" s="1"/>
  <c r="AW68" i="13"/>
  <c r="AX67" i="13"/>
  <c r="BO66" i="13"/>
  <c r="BN68" i="13"/>
  <c r="AU68" i="13"/>
  <c r="BH69" i="13"/>
  <c r="AR69" i="13"/>
  <c r="AV69" i="13" s="1"/>
  <c r="T69" i="13"/>
  <c r="AF69" i="13" a="1"/>
  <c r="AG69" i="13" a="1"/>
  <c r="L70" i="13"/>
  <c r="BB70" i="13" s="1"/>
  <c r="BL68" i="13"/>
  <c r="AK23" i="13"/>
  <c r="AN23" i="13"/>
  <c r="AO23" i="13" s="1"/>
  <c r="AP23" i="13" s="1"/>
  <c r="AZ66" i="13"/>
  <c r="BA66" i="13"/>
  <c r="AY67" i="13"/>
  <c r="X67" i="13"/>
  <c r="AC69" i="13" a="1"/>
  <c r="BJ69" i="13" s="1"/>
  <c r="AD69" i="13" a="1"/>
  <c r="BK69" i="13" s="1"/>
  <c r="R69" i="13"/>
  <c r="V69" i="13" s="1"/>
  <c r="AS68" i="13"/>
  <c r="BE37" i="13"/>
  <c r="BD37" i="13"/>
  <c r="BG37" i="13" s="1"/>
  <c r="Y37" i="13" s="1"/>
  <c r="P36" i="13"/>
  <c r="U70" i="13"/>
  <c r="AY68" i="13"/>
  <c r="BI69" i="13" l="1"/>
  <c r="W69" i="13"/>
  <c r="X69" i="13" s="1"/>
  <c r="AX68" i="13"/>
  <c r="AW69" i="13"/>
  <c r="BN69" i="13"/>
  <c r="BO67" i="13"/>
  <c r="AU69" i="13"/>
  <c r="AG70" i="13" a="1"/>
  <c r="AF70" i="13" a="1"/>
  <c r="L71" i="13"/>
  <c r="BB71" i="13" s="1"/>
  <c r="BL69" i="13"/>
  <c r="M23" i="13"/>
  <c r="O23" i="13" s="1"/>
  <c r="AZ67" i="13"/>
  <c r="BA67" i="13"/>
  <c r="AR70" i="13"/>
  <c r="AV70" i="13" s="1"/>
  <c r="R70" i="13"/>
  <c r="V70" i="13" s="1"/>
  <c r="BH70" i="13"/>
  <c r="T70" i="13"/>
  <c r="AC70" i="13" a="1"/>
  <c r="BJ70" i="13" s="1"/>
  <c r="AD70" i="13" a="1"/>
  <c r="BK70" i="13" s="1"/>
  <c r="AS69" i="13"/>
  <c r="Z37" i="13"/>
  <c r="AA37" i="13" s="1"/>
  <c r="AB37" i="13" s="1"/>
  <c r="AZ68" i="13"/>
  <c r="BA68" i="13"/>
  <c r="BF37" i="13"/>
  <c r="BC38" i="13" s="1"/>
  <c r="AY69" i="13"/>
  <c r="N36" i="13"/>
  <c r="BI70" i="13" l="1"/>
  <c r="W70" i="13"/>
  <c r="X70" i="13" s="1"/>
  <c r="AX69" i="13"/>
  <c r="AW70" i="13"/>
  <c r="BN70" i="13"/>
  <c r="BO68" i="13"/>
  <c r="AG71" i="13" a="1"/>
  <c r="AF71" i="13" a="1"/>
  <c r="L72" i="13"/>
  <c r="BL70" i="13"/>
  <c r="AH24" i="13"/>
  <c r="AI24" i="13" s="1"/>
  <c r="AE25" i="13" s="1"/>
  <c r="BM25" i="13" s="1"/>
  <c r="AU70" i="13"/>
  <c r="AR71" i="13"/>
  <c r="AV71" i="13" s="1"/>
  <c r="BH71" i="13"/>
  <c r="T71" i="13"/>
  <c r="U71" i="13" s="1"/>
  <c r="AC71" i="13" a="1"/>
  <c r="BJ71" i="13" s="1"/>
  <c r="AD71" i="13" a="1"/>
  <c r="BK71" i="13" s="1"/>
  <c r="R71" i="13"/>
  <c r="AS70" i="13"/>
  <c r="BE38" i="13"/>
  <c r="BD38" i="13"/>
  <c r="BG38" i="13" s="1"/>
  <c r="Y38" i="13" s="1"/>
  <c r="AZ69" i="13"/>
  <c r="BA69" i="13"/>
  <c r="P37" i="13"/>
  <c r="AY70" i="13"/>
  <c r="AR72" i="13" l="1"/>
  <c r="BB72" i="13"/>
  <c r="BI71" i="13"/>
  <c r="W71" i="13"/>
  <c r="AW71" i="13"/>
  <c r="AX70" i="13"/>
  <c r="BN71" i="13"/>
  <c r="BO69" i="13"/>
  <c r="AF72" i="13" a="1"/>
  <c r="AG72" i="13" a="1"/>
  <c r="L73" i="13"/>
  <c r="BB73" i="13" s="1"/>
  <c r="BL71" i="13"/>
  <c r="AK24" i="13"/>
  <c r="AN24" i="13"/>
  <c r="AO24" i="13" s="1"/>
  <c r="AP24" i="13" s="1"/>
  <c r="BH72" i="13"/>
  <c r="T72" i="13"/>
  <c r="AC72" i="13" a="1"/>
  <c r="BJ72" i="13" s="1"/>
  <c r="AD72" i="13" a="1"/>
  <c r="BK72" i="13" s="1"/>
  <c r="R72" i="13"/>
  <c r="AU71" i="13"/>
  <c r="V71" i="13"/>
  <c r="U72" i="13"/>
  <c r="AS71" i="13"/>
  <c r="Z38" i="13"/>
  <c r="AA38" i="13" s="1"/>
  <c r="AB38" i="13" s="1"/>
  <c r="AZ70" i="13"/>
  <c r="BA70" i="13"/>
  <c r="P38" i="13"/>
  <c r="BF38" i="13"/>
  <c r="BC39" i="13" s="1"/>
  <c r="N37" i="13"/>
  <c r="AV72" i="13" l="1"/>
  <c r="AW72" i="13" s="1"/>
  <c r="BN72" i="13"/>
  <c r="AU72" i="13"/>
  <c r="BI72" i="13"/>
  <c r="W72" i="13"/>
  <c r="AX71" i="13"/>
  <c r="BO70" i="13"/>
  <c r="AC73" i="13" a="1"/>
  <c r="BJ73" i="13" s="1"/>
  <c r="T73" i="13"/>
  <c r="AF73" i="13" a="1"/>
  <c r="AG73" i="13" a="1"/>
  <c r="L74" i="13"/>
  <c r="BL72" i="13"/>
  <c r="M24" i="13"/>
  <c r="O24" i="13" s="1"/>
  <c r="AR73" i="13"/>
  <c r="AV73" i="13" s="1"/>
  <c r="BH73" i="13"/>
  <c r="AD73" i="13" a="1"/>
  <c r="BK73" i="13" s="1"/>
  <c r="R73" i="13"/>
  <c r="AY71" i="13"/>
  <c r="X71" i="13"/>
  <c r="V72" i="13"/>
  <c r="U73" i="13"/>
  <c r="AS72" i="13"/>
  <c r="BE39" i="13"/>
  <c r="BD39" i="13"/>
  <c r="BG39" i="13" s="1"/>
  <c r="Y39" i="13" s="1"/>
  <c r="AX72" i="13" l="1"/>
  <c r="BO72" i="13" s="1"/>
  <c r="AR74" i="13"/>
  <c r="BB74" i="13"/>
  <c r="BI73" i="13"/>
  <c r="W73" i="13"/>
  <c r="AW73" i="13"/>
  <c r="BN73" i="13"/>
  <c r="BO71" i="13"/>
  <c r="BL73" i="13"/>
  <c r="BH74" i="13"/>
  <c r="T74" i="13"/>
  <c r="AF74" i="13" a="1"/>
  <c r="AG74" i="13" a="1"/>
  <c r="L75" i="13"/>
  <c r="BB75" i="13" s="1"/>
  <c r="AH25" i="13"/>
  <c r="AI25" i="13" s="1"/>
  <c r="AE26" i="13" s="1"/>
  <c r="BM26" i="13" s="1"/>
  <c r="AU73" i="13"/>
  <c r="AC74" i="13" a="1"/>
  <c r="BJ74" i="13" s="1"/>
  <c r="AD74" i="13" a="1"/>
  <c r="BK74" i="13" s="1"/>
  <c r="R74" i="13"/>
  <c r="AY72" i="13"/>
  <c r="X72" i="13"/>
  <c r="V73" i="13"/>
  <c r="U74" i="13"/>
  <c r="AZ71" i="13"/>
  <c r="BA71" i="13"/>
  <c r="AS73" i="13"/>
  <c r="Z39" i="13"/>
  <c r="AA39" i="13" s="1"/>
  <c r="AB39" i="13" s="1"/>
  <c r="BF39" i="13"/>
  <c r="BC40" i="13" s="1"/>
  <c r="N38" i="13"/>
  <c r="AV74" i="13" l="1"/>
  <c r="AW74" i="13" s="1"/>
  <c r="AU74" i="13"/>
  <c r="BN74" i="13"/>
  <c r="BI74" i="13"/>
  <c r="W74" i="13"/>
  <c r="AX73" i="13"/>
  <c r="AF75" i="13" a="1"/>
  <c r="AG75" i="13" a="1"/>
  <c r="L76" i="13"/>
  <c r="BB76" i="13" s="1"/>
  <c r="BL74" i="13"/>
  <c r="AK25" i="13"/>
  <c r="AN25" i="13"/>
  <c r="AO25" i="13" s="1"/>
  <c r="AP25" i="13" s="1"/>
  <c r="V74" i="13"/>
  <c r="AZ72" i="13"/>
  <c r="BA72" i="13"/>
  <c r="AR75" i="13"/>
  <c r="AV75" i="13" s="1"/>
  <c r="BH75" i="13"/>
  <c r="T75" i="13"/>
  <c r="U75" i="13" s="1"/>
  <c r="AD75" i="13" a="1"/>
  <c r="BK75" i="13" s="1"/>
  <c r="AC75" i="13" a="1"/>
  <c r="BJ75" i="13" s="1"/>
  <c r="R75" i="13"/>
  <c r="AY73" i="13"/>
  <c r="X73" i="13"/>
  <c r="AS74" i="13"/>
  <c r="BE40" i="13"/>
  <c r="BD40" i="13"/>
  <c r="BG40" i="13" s="1"/>
  <c r="Y40" i="13" s="1"/>
  <c r="P39" i="13"/>
  <c r="AX74" i="13" l="1"/>
  <c r="BO74" i="13" s="1"/>
  <c r="BI75" i="13"/>
  <c r="W75" i="13"/>
  <c r="AW75" i="13"/>
  <c r="BN75" i="13"/>
  <c r="BO73" i="13"/>
  <c r="AR76" i="13"/>
  <c r="AV76" i="13" s="1"/>
  <c r="BH76" i="13"/>
  <c r="AF76" i="13" a="1"/>
  <c r="AG76" i="13" a="1"/>
  <c r="L77" i="13"/>
  <c r="BB77" i="13" s="1"/>
  <c r="BL75" i="13"/>
  <c r="M25" i="13"/>
  <c r="O25" i="13" s="1"/>
  <c r="AY74" i="13"/>
  <c r="X74" i="13"/>
  <c r="T76" i="13"/>
  <c r="AC76" i="13" a="1"/>
  <c r="BJ76" i="13" s="1"/>
  <c r="AD76" i="13" a="1"/>
  <c r="BK76" i="13" s="1"/>
  <c r="R76" i="13"/>
  <c r="AU75" i="13"/>
  <c r="V75" i="13"/>
  <c r="U76" i="13"/>
  <c r="AZ73" i="13"/>
  <c r="BA73" i="13"/>
  <c r="AS75" i="13"/>
  <c r="Z40" i="13"/>
  <c r="AA40" i="13" s="1"/>
  <c r="AB40" i="13" s="1"/>
  <c r="P40" i="13"/>
  <c r="BF40" i="13"/>
  <c r="BC41" i="13" s="1"/>
  <c r="N39" i="13"/>
  <c r="BI76" i="13" l="1"/>
  <c r="W76" i="13"/>
  <c r="AX75" i="13"/>
  <c r="AW76" i="13"/>
  <c r="BN76" i="13"/>
  <c r="AU76" i="13"/>
  <c r="AR77" i="13"/>
  <c r="AV77" i="13" s="1"/>
  <c r="BH77" i="13"/>
  <c r="AF77" i="13" a="1"/>
  <c r="AG77" i="13" a="1"/>
  <c r="L78" i="13"/>
  <c r="BL76" i="13"/>
  <c r="AH26" i="13"/>
  <c r="AI26" i="13" s="1"/>
  <c r="AZ74" i="13"/>
  <c r="BA74" i="13"/>
  <c r="T77" i="13"/>
  <c r="AC77" i="13" a="1"/>
  <c r="BJ77" i="13" s="1"/>
  <c r="AD77" i="13" a="1"/>
  <c r="BK77" i="13" s="1"/>
  <c r="R77" i="13"/>
  <c r="AY75" i="13"/>
  <c r="X75" i="13"/>
  <c r="V76" i="13"/>
  <c r="U77" i="13"/>
  <c r="AS76" i="13"/>
  <c r="BE41" i="13"/>
  <c r="BD41" i="13"/>
  <c r="BG41" i="13" s="1"/>
  <c r="Y41" i="13" s="1"/>
  <c r="BI77" i="13" l="1"/>
  <c r="W77" i="13"/>
  <c r="AR78" i="13"/>
  <c r="BB78" i="13"/>
  <c r="AX76" i="13"/>
  <c r="AW77" i="13"/>
  <c r="BN77" i="13"/>
  <c r="BO75" i="13"/>
  <c r="AU77" i="13"/>
  <c r="AG78" i="13" a="1"/>
  <c r="AF78" i="13" a="1"/>
  <c r="L79" i="13"/>
  <c r="BB79" i="13" s="1"/>
  <c r="BL77" i="13"/>
  <c r="AK26" i="13"/>
  <c r="AN26" i="13"/>
  <c r="AO26" i="13" s="1"/>
  <c r="AP26" i="13" s="1"/>
  <c r="M26" i="13" s="1"/>
  <c r="O26" i="13" s="1"/>
  <c r="BH78" i="13"/>
  <c r="T78" i="13"/>
  <c r="AC78" i="13" a="1"/>
  <c r="BJ78" i="13" s="1"/>
  <c r="AD78" i="13" a="1"/>
  <c r="BK78" i="13" s="1"/>
  <c r="R78" i="13"/>
  <c r="AZ75" i="13"/>
  <c r="BA75" i="13"/>
  <c r="AY76" i="13"/>
  <c r="X76" i="13"/>
  <c r="V77" i="13"/>
  <c r="U78" i="13"/>
  <c r="AS77" i="13"/>
  <c r="Z41" i="13"/>
  <c r="AA41" i="13" s="1"/>
  <c r="AB41" i="13" s="1"/>
  <c r="BF41" i="13"/>
  <c r="BC42" i="13" s="1"/>
  <c r="N40" i="13"/>
  <c r="AV78" i="13" l="1"/>
  <c r="AW78" i="13" s="1"/>
  <c r="AU78" i="13"/>
  <c r="BN78" i="13"/>
  <c r="BI78" i="13"/>
  <c r="W78" i="13"/>
  <c r="AX77" i="13"/>
  <c r="BO76" i="13"/>
  <c r="AF79" i="13" a="1"/>
  <c r="AG79" i="13" a="1"/>
  <c r="L80" i="13"/>
  <c r="BB80" i="13" s="1"/>
  <c r="BL78" i="13"/>
  <c r="V78" i="13"/>
  <c r="AR79" i="13"/>
  <c r="AV79" i="13" s="1"/>
  <c r="BH79" i="13"/>
  <c r="AD79" i="13" a="1"/>
  <c r="BK79" i="13" s="1"/>
  <c r="T79" i="13"/>
  <c r="U79" i="13" s="1"/>
  <c r="AC79" i="13" a="1"/>
  <c r="BJ79" i="13" s="1"/>
  <c r="R79" i="13"/>
  <c r="BA76" i="13"/>
  <c r="AZ76" i="13"/>
  <c r="AY77" i="13"/>
  <c r="X77" i="13"/>
  <c r="AS78" i="13"/>
  <c r="BE42" i="13"/>
  <c r="BD42" i="13"/>
  <c r="BG42" i="13" s="1"/>
  <c r="Y42" i="13" s="1"/>
  <c r="P41" i="13"/>
  <c r="AX78" i="13" l="1"/>
  <c r="BO78" i="13" s="1"/>
  <c r="BI79" i="13"/>
  <c r="W79" i="13"/>
  <c r="AW79" i="13"/>
  <c r="BN79" i="13"/>
  <c r="BO77" i="13"/>
  <c r="AG80" i="13" a="1"/>
  <c r="AF80" i="13" a="1"/>
  <c r="L81" i="13"/>
  <c r="BL79" i="13"/>
  <c r="AY78" i="13"/>
  <c r="X78" i="13"/>
  <c r="AU79" i="13"/>
  <c r="V79" i="13"/>
  <c r="U80" i="13"/>
  <c r="AR80" i="13"/>
  <c r="AV80" i="13" s="1"/>
  <c r="AD80" i="13" a="1"/>
  <c r="BK80" i="13" s="1"/>
  <c r="BH80" i="13"/>
  <c r="T80" i="13"/>
  <c r="AC80" i="13" a="1"/>
  <c r="BJ80" i="13" s="1"/>
  <c r="R80" i="13"/>
  <c r="AZ77" i="13"/>
  <c r="BA77" i="13"/>
  <c r="AS79" i="13"/>
  <c r="Z42" i="13"/>
  <c r="AA42" i="13" s="1"/>
  <c r="AB42" i="13" s="1"/>
  <c r="P42" i="13"/>
  <c r="BF42" i="13"/>
  <c r="BC43" i="13" s="1"/>
  <c r="N41" i="13"/>
  <c r="AR81" i="13" l="1"/>
  <c r="BB81" i="13"/>
  <c r="BI80" i="13"/>
  <c r="W80" i="13"/>
  <c r="AX79" i="13"/>
  <c r="AW80" i="13"/>
  <c r="BN80" i="13"/>
  <c r="AG81" i="13" a="1"/>
  <c r="AF81" i="13" a="1"/>
  <c r="L82" i="13"/>
  <c r="BB82" i="13" s="1"/>
  <c r="BL80" i="13"/>
  <c r="AZ78" i="13"/>
  <c r="BA78" i="13"/>
  <c r="AY79" i="13"/>
  <c r="X79" i="13"/>
  <c r="U81" i="13"/>
  <c r="V80" i="13"/>
  <c r="AU80" i="13"/>
  <c r="BH81" i="13"/>
  <c r="T81" i="13"/>
  <c r="AC81" i="13" a="1"/>
  <c r="BJ81" i="13" s="1"/>
  <c r="AD81" i="13" a="1"/>
  <c r="BK81" i="13" s="1"/>
  <c r="R81" i="13"/>
  <c r="AS80" i="13"/>
  <c r="BE43" i="13"/>
  <c r="BD43" i="13"/>
  <c r="BG43" i="13" s="1"/>
  <c r="Y43" i="13" s="1"/>
  <c r="AV81" i="13" l="1"/>
  <c r="AW81" i="13" s="1"/>
  <c r="AU81" i="13"/>
  <c r="BN81" i="13"/>
  <c r="BI81" i="13"/>
  <c r="W81" i="13"/>
  <c r="AX80" i="13"/>
  <c r="BO79" i="13"/>
  <c r="AC82" i="13" a="1"/>
  <c r="BJ82" i="13" s="1"/>
  <c r="AD82" i="13" a="1"/>
  <c r="BK82" i="13" s="1"/>
  <c r="R82" i="13"/>
  <c r="T82" i="13"/>
  <c r="AR82" i="13"/>
  <c r="BH82" i="13"/>
  <c r="AG82" i="13" a="1"/>
  <c r="AF82" i="13" a="1"/>
  <c r="BL81" i="13"/>
  <c r="AZ79" i="13"/>
  <c r="BA79" i="13"/>
  <c r="U82" i="13"/>
  <c r="V81" i="13"/>
  <c r="AY80" i="13"/>
  <c r="X80" i="13"/>
  <c r="AS81" i="13"/>
  <c r="Z43" i="13"/>
  <c r="AA43" i="13" s="1"/>
  <c r="AB43" i="13" s="1"/>
  <c r="BF43" i="13"/>
  <c r="BC44" i="13" s="1"/>
  <c r="N42" i="13"/>
  <c r="AX81" i="13" l="1"/>
  <c r="BI82" i="13"/>
  <c r="B8" i="13" s="1"/>
  <c r="W82" i="13"/>
  <c r="B4" i="13"/>
  <c r="AV82" i="13"/>
  <c r="AW82" i="13" s="1"/>
  <c r="BO80" i="13"/>
  <c r="AS82" i="13"/>
  <c r="BL82" i="13"/>
  <c r="B7" i="13" s="1"/>
  <c r="AU82" i="13"/>
  <c r="BN82" i="13"/>
  <c r="AZ80" i="13"/>
  <c r="BA80" i="13"/>
  <c r="B6" i="13"/>
  <c r="V82" i="13"/>
  <c r="AY81" i="13"/>
  <c r="X81" i="13"/>
  <c r="BE44" i="13"/>
  <c r="BD44" i="13"/>
  <c r="BG44" i="13" s="1"/>
  <c r="Y44" i="13" s="1"/>
  <c r="P43" i="13"/>
  <c r="X82" i="13" l="1"/>
  <c r="AX82" i="13"/>
  <c r="B5" i="13" s="1"/>
  <c r="BO81" i="13"/>
  <c r="AY82" i="13"/>
  <c r="AZ81" i="13"/>
  <c r="BA81" i="13"/>
  <c r="Z44" i="13"/>
  <c r="AA44" i="13" s="1"/>
  <c r="AB44" i="13" s="1"/>
  <c r="BF44" i="13"/>
  <c r="BC45" i="13" s="1"/>
  <c r="N43" i="13"/>
  <c r="BO82" i="13" l="1"/>
  <c r="AZ82" i="13"/>
  <c r="BA82" i="13"/>
  <c r="BE45" i="13"/>
  <c r="BD45" i="13"/>
  <c r="BG45" i="13" s="1"/>
  <c r="Y45" i="13" s="1"/>
  <c r="P44" i="13"/>
  <c r="Z45" i="13" l="1"/>
  <c r="AA45" i="13" s="1"/>
  <c r="AB45" i="13" s="1"/>
  <c r="BF45" i="13"/>
  <c r="BC46" i="13" s="1"/>
  <c r="N44" i="13"/>
  <c r="BE46" i="13" l="1"/>
  <c r="BD46" i="13"/>
  <c r="BG46" i="13" s="1"/>
  <c r="Y46" i="13" s="1"/>
  <c r="P45" i="13"/>
  <c r="Z46" i="13" l="1"/>
  <c r="AA46" i="13" s="1"/>
  <c r="AB46" i="13" s="1"/>
  <c r="BF46" i="13"/>
  <c r="BC47" i="13" s="1"/>
  <c r="N45" i="13"/>
  <c r="BE47" i="13" l="1"/>
  <c r="BD47" i="13"/>
  <c r="BG47" i="13" s="1"/>
  <c r="Y47" i="13" s="1"/>
  <c r="P46" i="13"/>
  <c r="Z47" i="13" l="1"/>
  <c r="AA47" i="13" s="1"/>
  <c r="AB47" i="13" s="1"/>
  <c r="BF47" i="13"/>
  <c r="BC48" i="13" s="1"/>
  <c r="N46" i="13"/>
  <c r="BE48" i="13" l="1"/>
  <c r="BD48" i="13"/>
  <c r="BG48" i="13" s="1"/>
  <c r="Y48" i="13" s="1"/>
  <c r="P47" i="13"/>
  <c r="N47" i="13"/>
  <c r="Z48" i="13" l="1"/>
  <c r="AA48" i="13" s="1"/>
  <c r="AB48" i="13" s="1"/>
  <c r="P48" i="13"/>
  <c r="BF48" i="13"/>
  <c r="BC49" i="13" s="1"/>
  <c r="N48" i="13"/>
  <c r="BE49" i="13" l="1"/>
  <c r="BD49" i="13"/>
  <c r="BG49" i="13" s="1"/>
  <c r="BF49" i="13" l="1"/>
  <c r="BC50" i="13" s="1"/>
  <c r="BE50" i="13" s="1"/>
  <c r="Y49" i="13"/>
  <c r="N49" i="13"/>
  <c r="BD50" i="13" l="1"/>
  <c r="BG50" i="13" s="1"/>
  <c r="Y50" i="13" s="1"/>
  <c r="Z49" i="13"/>
  <c r="AA49" i="13" s="1"/>
  <c r="AB49" i="13" s="1"/>
  <c r="P49" i="13"/>
  <c r="N50" i="13"/>
  <c r="Z50" i="13" l="1"/>
  <c r="AA50" i="13" s="1"/>
  <c r="AB50" i="13" s="1"/>
  <c r="BF50" i="13"/>
  <c r="BC51" i="13" s="1"/>
  <c r="BE51" i="13" s="1"/>
  <c r="P50" i="13"/>
  <c r="BD51" i="13" l="1"/>
  <c r="BG51" i="13" s="1"/>
  <c r="Y51" i="13" s="1"/>
  <c r="N51" i="13"/>
  <c r="Z51" i="13" l="1"/>
  <c r="AA51" i="13" s="1"/>
  <c r="BF51" i="13"/>
  <c r="BC52" i="13" s="1"/>
  <c r="BE52" i="13" s="1"/>
  <c r="P51" i="13"/>
  <c r="AB51" i="13" l="1"/>
  <c r="N52" i="13"/>
  <c r="BD52" i="13"/>
  <c r="BG52" i="13" s="1"/>
  <c r="Y52" i="13" s="1"/>
  <c r="Z52" i="13" l="1"/>
  <c r="AA52" i="13" s="1"/>
  <c r="AB52" i="13" s="1"/>
  <c r="BF52" i="13"/>
  <c r="BC53" i="13" s="1"/>
  <c r="BE53" i="13" s="1"/>
  <c r="P52" i="13"/>
  <c r="N53" i="13" l="1"/>
  <c r="BD53" i="13"/>
  <c r="BG53" i="13" s="1"/>
  <c r="Y53" i="13" s="1"/>
  <c r="Z53" i="13" l="1"/>
  <c r="AA53" i="13" s="1"/>
  <c r="BF53" i="13"/>
  <c r="BC54" i="13" s="1"/>
  <c r="BE54" i="13" s="1"/>
  <c r="P53" i="13"/>
  <c r="AB53" i="13" l="1"/>
  <c r="N54" i="13"/>
  <c r="BD54" i="13"/>
  <c r="BG54" i="13" s="1"/>
  <c r="Y54" i="13" s="1"/>
  <c r="Z54" i="13" l="1"/>
  <c r="AA54" i="13" s="1"/>
  <c r="AB54" i="13" s="1"/>
  <c r="BF54" i="13"/>
  <c r="BC55" i="13" s="1"/>
  <c r="BD55" i="13" s="1"/>
  <c r="BG55" i="13" s="1"/>
  <c r="Y55" i="13" s="1"/>
  <c r="P54" i="13"/>
  <c r="BE55" i="13" l="1"/>
  <c r="BF55" i="13" s="1"/>
  <c r="BC56" i="13" s="1"/>
  <c r="N55" i="13"/>
  <c r="Z55" i="13"/>
  <c r="AA55" i="13" s="1"/>
  <c r="AB55" i="13" s="1"/>
  <c r="BE56" i="13" l="1"/>
  <c r="BD56" i="13"/>
  <c r="BG56" i="13" s="1"/>
  <c r="Y56" i="13" s="1"/>
  <c r="P55" i="13"/>
  <c r="N56" i="13"/>
  <c r="Z56" i="13" l="1"/>
  <c r="AA56" i="13" s="1"/>
  <c r="AB56" i="13" s="1"/>
  <c r="BF56" i="13"/>
  <c r="BC57" i="13" s="1"/>
  <c r="BE57" i="13" l="1"/>
  <c r="BD57" i="13"/>
  <c r="BG57" i="13" s="1"/>
  <c r="Y57" i="13" s="1"/>
  <c r="P56" i="13"/>
  <c r="N57" i="13"/>
  <c r="Z57" i="13" l="1"/>
  <c r="AA57" i="13" s="1"/>
  <c r="AB57" i="13" s="1"/>
  <c r="BF57" i="13"/>
  <c r="BC58" i="13" s="1"/>
  <c r="BE58" i="13" l="1"/>
  <c r="BD58" i="13"/>
  <c r="BG58" i="13" s="1"/>
  <c r="Y58" i="13" s="1"/>
  <c r="P57" i="13"/>
  <c r="N58" i="13"/>
  <c r="Z58" i="13" l="1"/>
  <c r="AA58" i="13" s="1"/>
  <c r="AB58" i="13" s="1"/>
  <c r="P58" i="13"/>
  <c r="BF58" i="13"/>
  <c r="BC59" i="13" s="1"/>
  <c r="BE59" i="13" l="1"/>
  <c r="BD59" i="13"/>
  <c r="BG59" i="13" s="1"/>
  <c r="Y59" i="13" s="1"/>
  <c r="N59" i="13"/>
  <c r="Z59" i="13" l="1"/>
  <c r="AA59" i="13" s="1"/>
  <c r="AB59" i="13" s="1"/>
  <c r="P59" i="13"/>
  <c r="BF59" i="13"/>
  <c r="BC60" i="13" s="1"/>
  <c r="BE60" i="13" l="1"/>
  <c r="BD60" i="13"/>
  <c r="BG60" i="13" s="1"/>
  <c r="Y60" i="13" s="1"/>
  <c r="N60" i="13"/>
  <c r="Z60" i="13" l="1"/>
  <c r="AA60" i="13" s="1"/>
  <c r="AB60" i="13" s="1"/>
  <c r="BF60" i="13"/>
  <c r="BC61" i="13" s="1"/>
  <c r="BE61" i="13" l="1"/>
  <c r="BD61" i="13"/>
  <c r="BG61" i="13" s="1"/>
  <c r="Y61" i="13" s="1"/>
  <c r="P60" i="13"/>
  <c r="N61" i="13"/>
  <c r="Z61" i="13" l="1"/>
  <c r="AA61" i="13" s="1"/>
  <c r="AB61" i="13" s="1"/>
  <c r="BF61" i="13"/>
  <c r="BC62" i="13" s="1"/>
  <c r="BE62" i="13" l="1"/>
  <c r="BD62" i="13"/>
  <c r="BG62" i="13" s="1"/>
  <c r="Y62" i="13" s="1"/>
  <c r="P61" i="13"/>
  <c r="N62" i="13"/>
  <c r="Z62" i="13" l="1"/>
  <c r="AA62" i="13" s="1"/>
  <c r="AB62" i="13" s="1"/>
  <c r="BF62" i="13"/>
  <c r="BC63" i="13" s="1"/>
  <c r="BE63" i="13" l="1"/>
  <c r="BD63" i="13"/>
  <c r="BG63" i="13" s="1"/>
  <c r="Y63" i="13" s="1"/>
  <c r="P62" i="13"/>
  <c r="N63" i="13"/>
  <c r="Z63" i="13" l="1"/>
  <c r="AA63" i="13" s="1"/>
  <c r="AB63" i="13" s="1"/>
  <c r="BF63" i="13"/>
  <c r="BC64" i="13" s="1"/>
  <c r="BE64" i="13" l="1"/>
  <c r="BD64" i="13"/>
  <c r="BG64" i="13" s="1"/>
  <c r="Y64" i="13" s="1"/>
  <c r="P63" i="13"/>
  <c r="N64" i="13"/>
  <c r="Z64" i="13" l="1"/>
  <c r="AA64" i="13" s="1"/>
  <c r="AB64" i="13" s="1"/>
  <c r="P64" i="13"/>
  <c r="BF64" i="13"/>
  <c r="BC65" i="13" s="1"/>
  <c r="BE65" i="13" l="1"/>
  <c r="BD65" i="13"/>
  <c r="BG65" i="13" s="1"/>
  <c r="Y65" i="13" s="1"/>
  <c r="N65" i="13"/>
  <c r="Z65" i="13" l="1"/>
  <c r="AA65" i="13" s="1"/>
  <c r="AB65" i="13" s="1"/>
  <c r="P65" i="13"/>
  <c r="BF65" i="13"/>
  <c r="BC66" i="13" s="1"/>
  <c r="BE66" i="13" l="1"/>
  <c r="BD66" i="13"/>
  <c r="BG66" i="13" s="1"/>
  <c r="Y66" i="13" s="1"/>
  <c r="N66" i="13"/>
  <c r="Z66" i="13" l="1"/>
  <c r="AA66" i="13" s="1"/>
  <c r="AB66" i="13" s="1"/>
  <c r="P66" i="13"/>
  <c r="BF66" i="13"/>
  <c r="BC67" i="13" s="1"/>
  <c r="BE67" i="13" l="1"/>
  <c r="BD67" i="13"/>
  <c r="BG67" i="13" s="1"/>
  <c r="Y67" i="13" s="1"/>
  <c r="N67" i="13"/>
  <c r="Z67" i="13" l="1"/>
  <c r="AA67" i="13" s="1"/>
  <c r="AB67" i="13" s="1"/>
  <c r="P67" i="13"/>
  <c r="BF67" i="13"/>
  <c r="BC68" i="13" s="1"/>
  <c r="BE68" i="13" l="1"/>
  <c r="BD68" i="13"/>
  <c r="BG68" i="13" s="1"/>
  <c r="Y68" i="13" s="1"/>
  <c r="N68" i="13"/>
  <c r="Z68" i="13" l="1"/>
  <c r="AA68" i="13" s="1"/>
  <c r="AB68" i="13" s="1"/>
  <c r="P68" i="13"/>
  <c r="BF68" i="13"/>
  <c r="BC69" i="13" s="1"/>
  <c r="BE69" i="13" l="1"/>
  <c r="BD69" i="13"/>
  <c r="BG69" i="13" s="1"/>
  <c r="Y69" i="13" s="1"/>
  <c r="N69" i="13"/>
  <c r="Z69" i="13" l="1"/>
  <c r="AA69" i="13" s="1"/>
  <c r="AB69" i="13" s="1"/>
  <c r="P69" i="13"/>
  <c r="BF69" i="13"/>
  <c r="BC70" i="13" s="1"/>
  <c r="BE70" i="13" l="1"/>
  <c r="BD70" i="13"/>
  <c r="BG70" i="13" s="1"/>
  <c r="Y70" i="13" s="1"/>
  <c r="N70" i="13"/>
  <c r="Z70" i="13" l="1"/>
  <c r="AA70" i="13" s="1"/>
  <c r="AB70" i="13" s="1"/>
  <c r="BF70" i="13"/>
  <c r="BC71" i="13" s="1"/>
  <c r="BE71" i="13" l="1"/>
  <c r="BD71" i="13"/>
  <c r="BG71" i="13" s="1"/>
  <c r="Y71" i="13" s="1"/>
  <c r="P70" i="13"/>
  <c r="N71" i="13"/>
  <c r="Z71" i="13" l="1"/>
  <c r="AA71" i="13" s="1"/>
  <c r="AB71" i="13" s="1"/>
  <c r="BF71" i="13"/>
  <c r="BC72" i="13" s="1"/>
  <c r="BE72" i="13" l="1"/>
  <c r="BD72" i="13"/>
  <c r="BG72" i="13" s="1"/>
  <c r="Y72" i="13" s="1"/>
  <c r="P71" i="13"/>
  <c r="N72" i="13"/>
  <c r="Z72" i="13" l="1"/>
  <c r="AA72" i="13" s="1"/>
  <c r="AB72" i="13" s="1"/>
  <c r="BF72" i="13"/>
  <c r="BC73" i="13" s="1"/>
  <c r="BE73" i="13" l="1"/>
  <c r="BD73" i="13"/>
  <c r="BG73" i="13" s="1"/>
  <c r="Y73" i="13" s="1"/>
  <c r="P72" i="13"/>
  <c r="N73" i="13"/>
  <c r="Z73" i="13" l="1"/>
  <c r="AA73" i="13" s="1"/>
  <c r="AB73" i="13" s="1"/>
  <c r="P73" i="13"/>
  <c r="BF73" i="13"/>
  <c r="BC74" i="13" s="1"/>
  <c r="BE74" i="13" l="1"/>
  <c r="BD74" i="13"/>
  <c r="BG74" i="13" s="1"/>
  <c r="Y74" i="13" s="1"/>
  <c r="N74" i="13"/>
  <c r="Z74" i="13" l="1"/>
  <c r="AA74" i="13" s="1"/>
  <c r="AB74" i="13" s="1"/>
  <c r="BF74" i="13"/>
  <c r="BC75" i="13" s="1"/>
  <c r="BE75" i="13" l="1"/>
  <c r="BD75" i="13"/>
  <c r="BG75" i="13" s="1"/>
  <c r="Y75" i="13" s="1"/>
  <c r="P74" i="13"/>
  <c r="N75" i="13"/>
  <c r="Z75" i="13" l="1"/>
  <c r="AA75" i="13" s="1"/>
  <c r="AB75" i="13" s="1"/>
  <c r="P75" i="13"/>
  <c r="BF75" i="13"/>
  <c r="BC76" i="13" s="1"/>
  <c r="BE76" i="13" l="1"/>
  <c r="BD76" i="13"/>
  <c r="BG76" i="13" s="1"/>
  <c r="Y76" i="13" s="1"/>
  <c r="N76" i="13"/>
  <c r="Z76" i="13" l="1"/>
  <c r="AA76" i="13" s="1"/>
  <c r="AB76" i="13" s="1"/>
  <c r="BF76" i="13"/>
  <c r="BC77" i="13" s="1"/>
  <c r="BE77" i="13" l="1"/>
  <c r="BD77" i="13"/>
  <c r="BG77" i="13" s="1"/>
  <c r="Y77" i="13" s="1"/>
  <c r="P76" i="13"/>
  <c r="N77" i="13"/>
  <c r="Z77" i="13" l="1"/>
  <c r="AA77" i="13" s="1"/>
  <c r="AB77" i="13" s="1"/>
  <c r="BF77" i="13"/>
  <c r="BC78" i="13" s="1"/>
  <c r="BE78" i="13" l="1"/>
  <c r="BD78" i="13"/>
  <c r="BG78" i="13" s="1"/>
  <c r="Y78" i="13" s="1"/>
  <c r="P77" i="13"/>
  <c r="N78" i="13"/>
  <c r="Z78" i="13" l="1"/>
  <c r="AA78" i="13" s="1"/>
  <c r="AB78" i="13" s="1"/>
  <c r="BF78" i="13"/>
  <c r="BC79" i="13" s="1"/>
  <c r="BE79" i="13" l="1"/>
  <c r="BD79" i="13"/>
  <c r="BG79" i="13" s="1"/>
  <c r="Y79" i="13" s="1"/>
  <c r="P78" i="13"/>
  <c r="N79" i="13"/>
  <c r="Z79" i="13" l="1"/>
  <c r="AA79" i="13" s="1"/>
  <c r="AB79" i="13" s="1"/>
  <c r="P79" i="13"/>
  <c r="BF79" i="13"/>
  <c r="BC80" i="13" s="1"/>
  <c r="BE80" i="13" l="1"/>
  <c r="BD80" i="13"/>
  <c r="BG80" i="13" s="1"/>
  <c r="Y80" i="13" s="1"/>
  <c r="N80" i="13"/>
  <c r="Z80" i="13" l="1"/>
  <c r="AA80" i="13" s="1"/>
  <c r="AB80" i="13" s="1"/>
  <c r="P80" i="13"/>
  <c r="BF80" i="13"/>
  <c r="BC81" i="13" s="1"/>
  <c r="BE81" i="13" l="1"/>
  <c r="BD81" i="13"/>
  <c r="BG81" i="13" s="1"/>
  <c r="Y81" i="13" s="1"/>
  <c r="N81" i="13"/>
  <c r="Z81" i="13" l="1"/>
  <c r="AA81" i="13" s="1"/>
  <c r="AB81" i="13" s="1"/>
  <c r="BF81" i="13"/>
  <c r="BC82" i="13" s="1"/>
  <c r="BD82" i="13" s="1"/>
  <c r="BG82" i="13" s="1"/>
  <c r="Y82" i="13" s="1"/>
  <c r="BE82" i="13" l="1"/>
  <c r="N82" i="13"/>
  <c r="P81" i="13"/>
  <c r="Z82" i="13" l="1"/>
  <c r="AA82" i="13" s="1"/>
  <c r="AB82" i="13" s="1"/>
  <c r="P82" i="13"/>
  <c r="BF82" i="13"/>
  <c r="U27" i="13"/>
  <c r="U28" i="13" s="1"/>
  <c r="V27" i="13" l="1"/>
  <c r="V28" i="13"/>
  <c r="U29" i="13"/>
  <c r="X27" i="13" l="1"/>
  <c r="AY27" i="13"/>
  <c r="BG27" i="13" s="1"/>
  <c r="V29" i="13"/>
  <c r="U30" i="13"/>
  <c r="V30" i="13" s="1"/>
  <c r="AY28" i="13"/>
  <c r="BG28" i="13" s="1"/>
  <c r="X28" i="13"/>
  <c r="Y27" i="13" l="1"/>
  <c r="AZ27" i="13"/>
  <c r="BA27" i="13"/>
  <c r="BA28" i="13"/>
  <c r="Y28" i="13"/>
  <c r="AZ28" i="13"/>
  <c r="X30" i="13"/>
  <c r="AY30" i="13"/>
  <c r="BG30" i="13" s="1"/>
  <c r="X29" i="13"/>
  <c r="AY29" i="13"/>
  <c r="BG29" i="13" s="1"/>
  <c r="B3" i="13" l="1" a="1"/>
  <c r="X1" i="13" a="1"/>
  <c r="BG1" i="13" a="1"/>
  <c r="Z28" i="13"/>
  <c r="AA28" i="13" s="1"/>
  <c r="AB28" i="13" s="1"/>
  <c r="P27" i="13"/>
  <c r="P28" i="13"/>
  <c r="Y29" i="13"/>
  <c r="AZ29" i="13"/>
  <c r="BA29" i="13"/>
  <c r="AZ30" i="13"/>
  <c r="BA30" i="13"/>
  <c r="Y30" i="13"/>
  <c r="B38" i="13" l="1" a="1"/>
  <c r="B37" i="13" a="1"/>
  <c r="Z29" i="13"/>
  <c r="AA29" i="13" s="1"/>
  <c r="AB29" i="13" s="1"/>
  <c r="Z27" i="13"/>
  <c r="AA27" i="13" s="1"/>
  <c r="Z30" i="13"/>
  <c r="AA30" i="13" s="1"/>
  <c r="AB30" i="13" s="1"/>
  <c r="P29" i="13"/>
  <c r="P30" i="13"/>
  <c r="AM82" i="13" l="1" a="1"/>
  <c r="AE27" i="13"/>
  <c r="BM27" i="13" s="1"/>
  <c r="AM39" i="13" a="1"/>
  <c r="AM71" i="13" a="1"/>
  <c r="AM38" i="13" a="1"/>
  <c r="AM50" i="13" a="1"/>
  <c r="AM55" i="13" a="1"/>
  <c r="AM59" i="13" a="1"/>
  <c r="AM48" i="13" a="1"/>
  <c r="AM41" i="13" a="1"/>
  <c r="AM28" i="13" a="1"/>
  <c r="AM72" i="13" a="1"/>
  <c r="AM49" i="13" a="1"/>
  <c r="AM27" i="13" a="1"/>
  <c r="AM63" i="13" a="1"/>
  <c r="AM40" i="13" a="1"/>
  <c r="AM31" i="13" a="1"/>
  <c r="AM54" i="13" a="1"/>
  <c r="AM34" i="13" a="1"/>
  <c r="AM56" i="13" a="1"/>
  <c r="AM52" i="13" a="1"/>
  <c r="AM51" i="13" a="1"/>
  <c r="AM77" i="13" a="1"/>
  <c r="AM44" i="13" a="1"/>
  <c r="AM42" i="13" a="1"/>
  <c r="AM68" i="13" a="1"/>
  <c r="AM43" i="13" a="1"/>
  <c r="AM66" i="13" a="1"/>
  <c r="AM33" i="13" a="1"/>
  <c r="AM53" i="13" a="1"/>
  <c r="AM46" i="13" a="1"/>
  <c r="AM29" i="13" a="1"/>
  <c r="AM78" i="13" a="1"/>
  <c r="AM75" i="13" a="1"/>
  <c r="AM69" i="13" a="1"/>
  <c r="AM45" i="13" a="1"/>
  <c r="AM73" i="13" a="1"/>
  <c r="AM57" i="13" a="1"/>
  <c r="AM70" i="13" a="1"/>
  <c r="AM36" i="13" a="1"/>
  <c r="AM37" i="13" a="1"/>
  <c r="AM60" i="13" a="1"/>
  <c r="AM65" i="13" a="1"/>
  <c r="AM30" i="13" a="1"/>
  <c r="AM64" i="13" a="1"/>
  <c r="AM58" i="13" a="1"/>
  <c r="AM80" i="13" a="1"/>
  <c r="AM67" i="13" a="1"/>
  <c r="AM81" i="13" a="1"/>
  <c r="AM62" i="13" a="1"/>
  <c r="AM74" i="13" a="1"/>
  <c r="AM76" i="13" a="1"/>
  <c r="AM35" i="13" a="1"/>
  <c r="AM79" i="13" a="1"/>
  <c r="AM61" i="13" a="1"/>
  <c r="AM47" i="13" a="1"/>
  <c r="AM32" i="13" a="1"/>
  <c r="AB27" i="13"/>
  <c r="AJ27" i="13"/>
  <c r="AJ28" i="13" l="1"/>
  <c r="AL27" i="13"/>
  <c r="AH27" i="13"/>
  <c r="AL28" i="13" l="1"/>
  <c r="AJ29" i="13"/>
  <c r="AI27" i="13"/>
  <c r="AE28" i="13" s="1"/>
  <c r="BM28" i="13" s="1"/>
  <c r="AN27" i="13" l="1"/>
  <c r="AL29" i="13"/>
  <c r="AJ30" i="13"/>
  <c r="AK27" i="13"/>
  <c r="AO27" i="13" l="1"/>
  <c r="AP27" i="13" s="1"/>
  <c r="M27" i="13" s="1"/>
  <c r="O27" i="13" s="1"/>
  <c r="AL30" i="13"/>
  <c r="AJ31" i="13"/>
  <c r="AH28" i="13" l="1"/>
  <c r="AI28" i="13" s="1"/>
  <c r="AL31" i="13"/>
  <c r="AJ32" i="13"/>
  <c r="AN28" i="13" l="1"/>
  <c r="AE29" i="13"/>
  <c r="BM29" i="13" s="1"/>
  <c r="AK28" i="13"/>
  <c r="AL32" i="13"/>
  <c r="AJ33" i="13"/>
  <c r="AO28" i="13" l="1"/>
  <c r="AP28" i="13" s="1"/>
  <c r="M28" i="13" s="1"/>
  <c r="O28" i="13" s="1"/>
  <c r="AL33" i="13"/>
  <c r="AJ34" i="13"/>
  <c r="AH29" i="13" l="1"/>
  <c r="AI29" i="13" s="1"/>
  <c r="AE30" i="13" s="1"/>
  <c r="BM30" i="13" s="1"/>
  <c r="AL34" i="13"/>
  <c r="AJ35" i="13"/>
  <c r="AK29" i="13" l="1"/>
  <c r="AN29" i="13"/>
  <c r="AO29" i="13" s="1"/>
  <c r="AP29" i="13" s="1"/>
  <c r="AL35" i="13"/>
  <c r="AJ36" i="13"/>
  <c r="M29" i="13" l="1"/>
  <c r="O29" i="13" s="1"/>
  <c r="AL36" i="13"/>
  <c r="AJ37" i="13"/>
  <c r="AH30" i="13" l="1"/>
  <c r="AI30" i="13" s="1"/>
  <c r="AE31" i="13" s="1"/>
  <c r="BM31" i="13" s="1"/>
  <c r="AL37" i="13"/>
  <c r="AJ38" i="13"/>
  <c r="AN30" i="13" l="1"/>
  <c r="AK30" i="13"/>
  <c r="AL38" i="13"/>
  <c r="AJ39" i="13"/>
  <c r="AO30" i="13" l="1"/>
  <c r="AP30" i="13" s="1"/>
  <c r="M30" i="13" s="1"/>
  <c r="O30" i="13" s="1"/>
  <c r="AL39" i="13"/>
  <c r="AJ40" i="13"/>
  <c r="AH31" i="13" l="1"/>
  <c r="AI31" i="13" s="1"/>
  <c r="AE32" i="13" s="1"/>
  <c r="BM32" i="13" s="1"/>
  <c r="AL40" i="13"/>
  <c r="AJ41" i="13"/>
  <c r="AN31" i="13" l="1"/>
  <c r="AK31" i="13"/>
  <c r="AL41" i="13"/>
  <c r="AJ42" i="13"/>
  <c r="AO31" i="13" l="1"/>
  <c r="AP31" i="13" s="1"/>
  <c r="M31" i="13" s="1"/>
  <c r="O31" i="13" s="1"/>
  <c r="AL42" i="13"/>
  <c r="AJ43" i="13"/>
  <c r="AH32" i="13" l="1"/>
  <c r="AI32" i="13" s="1"/>
  <c r="AE33" i="13" s="1"/>
  <c r="BM33" i="13" s="1"/>
  <c r="AL43" i="13"/>
  <c r="AJ44" i="13"/>
  <c r="AN32" i="13" l="1"/>
  <c r="AK32" i="13"/>
  <c r="AL44" i="13"/>
  <c r="AJ45" i="13"/>
  <c r="AO32" i="13" l="1"/>
  <c r="AP32" i="13" s="1"/>
  <c r="M32" i="13" s="1"/>
  <c r="O32" i="13" s="1"/>
  <c r="AL45" i="13"/>
  <c r="AJ46" i="13"/>
  <c r="AH33" i="13" l="1"/>
  <c r="AI33" i="13" s="1"/>
  <c r="AE34" i="13" s="1"/>
  <c r="BM34" i="13" s="1"/>
  <c r="AL46" i="13"/>
  <c r="AJ47" i="13"/>
  <c r="AN33" i="13" l="1"/>
  <c r="AO33" i="13" s="1"/>
  <c r="AP33" i="13" s="1"/>
  <c r="AK33" i="13"/>
  <c r="AL47" i="13"/>
  <c r="AJ48" i="13"/>
  <c r="M33" i="13" l="1"/>
  <c r="O33" i="13" s="1"/>
  <c r="AL48" i="13"/>
  <c r="AJ49" i="13"/>
  <c r="AH34" i="13" l="1"/>
  <c r="AI34" i="13" s="1"/>
  <c r="AE35" i="13" s="1"/>
  <c r="BM35" i="13" s="1"/>
  <c r="AL49" i="13"/>
  <c r="AJ50" i="13"/>
  <c r="AK34" i="13" l="1"/>
  <c r="AN34" i="13"/>
  <c r="AL50" i="13"/>
  <c r="AJ51" i="13"/>
  <c r="AO34" i="13" l="1"/>
  <c r="AP34" i="13" s="1"/>
  <c r="M34" i="13" s="1"/>
  <c r="O34" i="13" s="1"/>
  <c r="AL51" i="13"/>
  <c r="AJ52" i="13"/>
  <c r="AH35" i="13" l="1"/>
  <c r="AI35" i="13" s="1"/>
  <c r="AE36" i="13" s="1"/>
  <c r="BM36" i="13" s="1"/>
  <c r="AL52" i="13"/>
  <c r="AJ53" i="13"/>
  <c r="AK35" i="13" l="1"/>
  <c r="AN35" i="13"/>
  <c r="AL53" i="13"/>
  <c r="AJ54" i="13"/>
  <c r="AO35" i="13" l="1"/>
  <c r="AP35" i="13" s="1"/>
  <c r="M35" i="13" s="1"/>
  <c r="O35" i="13" s="1"/>
  <c r="AL54" i="13"/>
  <c r="AJ55" i="13"/>
  <c r="AH36" i="13" l="1"/>
  <c r="AI36" i="13" s="1"/>
  <c r="AE37" i="13" s="1"/>
  <c r="BM37" i="13" s="1"/>
  <c r="AL55" i="13"/>
  <c r="AJ56" i="13"/>
  <c r="AN36" i="13" l="1"/>
  <c r="AK36" i="13"/>
  <c r="AL56" i="13"/>
  <c r="AJ57" i="13"/>
  <c r="AO36" i="13" l="1"/>
  <c r="AP36" i="13" s="1"/>
  <c r="M36" i="13" s="1"/>
  <c r="O36" i="13" s="1"/>
  <c r="AL57" i="13"/>
  <c r="AJ58" i="13"/>
  <c r="AH37" i="13" l="1"/>
  <c r="AI37" i="13" s="1"/>
  <c r="AE38" i="13" s="1"/>
  <c r="BM38" i="13" s="1"/>
  <c r="AL58" i="13"/>
  <c r="AJ59" i="13"/>
  <c r="AN37" i="13" l="1"/>
  <c r="AK37" i="13"/>
  <c r="AL59" i="13"/>
  <c r="AJ60" i="13"/>
  <c r="AO37" i="13" l="1"/>
  <c r="AP37" i="13" s="1"/>
  <c r="M37" i="13" s="1"/>
  <c r="O37" i="13" s="1"/>
  <c r="AL60" i="13"/>
  <c r="AJ61" i="13"/>
  <c r="AH38" i="13" l="1"/>
  <c r="AI38" i="13" s="1"/>
  <c r="AE39" i="13" s="1"/>
  <c r="BM39" i="13" s="1"/>
  <c r="AL61" i="13"/>
  <c r="AJ62" i="13"/>
  <c r="AN38" i="13" l="1"/>
  <c r="AK38" i="13"/>
  <c r="AL62" i="13"/>
  <c r="AJ63" i="13"/>
  <c r="AO38" i="13" l="1"/>
  <c r="AP38" i="13" s="1"/>
  <c r="M38" i="13" s="1"/>
  <c r="O38" i="13" s="1"/>
  <c r="AL63" i="13"/>
  <c r="AJ64" i="13"/>
  <c r="AH39" i="13" l="1"/>
  <c r="AI39" i="13" s="1"/>
  <c r="AE40" i="13" s="1"/>
  <c r="BM40" i="13" s="1"/>
  <c r="AL64" i="13"/>
  <c r="AJ65" i="13"/>
  <c r="AK39" i="13" l="1"/>
  <c r="AN39" i="13"/>
  <c r="AO39" i="13" s="1"/>
  <c r="AP39" i="13" s="1"/>
  <c r="AL65" i="13"/>
  <c r="AJ66" i="13"/>
  <c r="AH40" i="13" l="1"/>
  <c r="AI40" i="13" s="1"/>
  <c r="AE41" i="13" s="1"/>
  <c r="BM41" i="13" s="1"/>
  <c r="M39" i="13"/>
  <c r="O39" i="13" s="1"/>
  <c r="AL66" i="13"/>
  <c r="AJ67" i="13"/>
  <c r="AK40" i="13" l="1"/>
  <c r="AN40" i="13"/>
  <c r="AO40" i="13" s="1"/>
  <c r="AP40" i="13" s="1"/>
  <c r="AL67" i="13"/>
  <c r="AJ68" i="13"/>
  <c r="M40" i="13" l="1"/>
  <c r="O40" i="13" s="1"/>
  <c r="AH41" i="13"/>
  <c r="AI41" i="13" s="1"/>
  <c r="AE42" i="13" s="1"/>
  <c r="BM42" i="13" s="1"/>
  <c r="AL68" i="13"/>
  <c r="AJ69" i="13"/>
  <c r="AN41" i="13" l="1"/>
  <c r="AK41" i="13"/>
  <c r="AL69" i="13"/>
  <c r="AJ70" i="13"/>
  <c r="AO41" i="13" l="1"/>
  <c r="AP41" i="13" s="1"/>
  <c r="M41" i="13" s="1"/>
  <c r="O41" i="13" s="1"/>
  <c r="AH42" i="13"/>
  <c r="AI42" i="13" s="1"/>
  <c r="AE43" i="13" s="1"/>
  <c r="BM43" i="13" s="1"/>
  <c r="AL70" i="13"/>
  <c r="AJ71" i="13"/>
  <c r="AN42" i="13" l="1"/>
  <c r="AK42" i="13"/>
  <c r="AL71" i="13"/>
  <c r="AJ72" i="13"/>
  <c r="AO42" i="13" l="1"/>
  <c r="AP42" i="13" s="1"/>
  <c r="M42" i="13" s="1"/>
  <c r="O42" i="13" s="1"/>
  <c r="AH43" i="13"/>
  <c r="AI43" i="13" s="1"/>
  <c r="AE44" i="13" s="1"/>
  <c r="BM44" i="13" s="1"/>
  <c r="AL72" i="13"/>
  <c r="AJ73" i="13"/>
  <c r="AK43" i="13" l="1"/>
  <c r="AN43" i="13"/>
  <c r="AL73" i="13"/>
  <c r="AJ74" i="13"/>
  <c r="AO43" i="13" l="1"/>
  <c r="AP43" i="13" s="1"/>
  <c r="M43" i="13" s="1"/>
  <c r="O43" i="13" s="1"/>
  <c r="AH44" i="13"/>
  <c r="AI44" i="13" s="1"/>
  <c r="AE45" i="13" s="1"/>
  <c r="BM45" i="13" s="1"/>
  <c r="AL74" i="13"/>
  <c r="AJ75" i="13"/>
  <c r="AK44" i="13" l="1"/>
  <c r="AN44" i="13"/>
  <c r="AL75" i="13"/>
  <c r="AJ76" i="13"/>
  <c r="AO44" i="13" l="1"/>
  <c r="AP44" i="13" s="1"/>
  <c r="M44" i="13" s="1"/>
  <c r="O44" i="13" s="1"/>
  <c r="AL76" i="13"/>
  <c r="AJ77" i="13"/>
  <c r="AH45" i="13" l="1"/>
  <c r="AI45" i="13" s="1"/>
  <c r="AE46" i="13" s="1"/>
  <c r="BM46" i="13" s="1"/>
  <c r="AL77" i="13"/>
  <c r="AJ78" i="13"/>
  <c r="AK45" i="13" l="1"/>
  <c r="AN45" i="13"/>
  <c r="AL78" i="13"/>
  <c r="AJ79" i="13"/>
  <c r="AO45" i="13" l="1"/>
  <c r="AP45" i="13" s="1"/>
  <c r="M45" i="13" s="1"/>
  <c r="O45" i="13" s="1"/>
  <c r="AL79" i="13"/>
  <c r="AJ80" i="13"/>
  <c r="AH46" i="13" l="1"/>
  <c r="AI46" i="13" s="1"/>
  <c r="AE47" i="13" s="1"/>
  <c r="BM47" i="13" s="1"/>
  <c r="AL80" i="13"/>
  <c r="AJ81" i="13"/>
  <c r="AJ82" i="13" s="1"/>
  <c r="AK46" i="13" l="1"/>
  <c r="AN46" i="13"/>
  <c r="AO46" i="13" s="1"/>
  <c r="AP46" i="13" s="1"/>
  <c r="AL81" i="13"/>
  <c r="AL82" i="13"/>
  <c r="M46" i="13" l="1"/>
  <c r="O46" i="13" s="1"/>
  <c r="AH47" i="13" l="1"/>
  <c r="AI47" i="13" s="1"/>
  <c r="AE48" i="13" s="1"/>
  <c r="BM48" i="13" s="1"/>
  <c r="AK47" i="13" l="1"/>
  <c r="AN47" i="13"/>
  <c r="AO47" i="13" l="1"/>
  <c r="AP47" i="13" s="1"/>
  <c r="M47" i="13" s="1"/>
  <c r="O47" i="13" s="1"/>
  <c r="AH48" i="13" l="1"/>
  <c r="AI48" i="13" s="1"/>
  <c r="AE49" i="13" s="1"/>
  <c r="BM49" i="13" s="1"/>
  <c r="AK48" i="13" l="1"/>
  <c r="AN48" i="13"/>
  <c r="AO48" i="13" s="1"/>
  <c r="AP48" i="13" s="1"/>
  <c r="M48" i="13" l="1"/>
  <c r="O48" i="13" s="1"/>
  <c r="AH49" i="13" l="1"/>
  <c r="AI49" i="13" s="1"/>
  <c r="AE50" i="13" s="1"/>
  <c r="BM50" i="13" s="1"/>
  <c r="AK49" i="13" l="1"/>
  <c r="AN49" i="13"/>
  <c r="AO49" i="13" s="1"/>
  <c r="AP49" i="13" s="1"/>
  <c r="M49" i="13" l="1"/>
  <c r="O49" i="13" s="1"/>
  <c r="AH50" i="13" l="1"/>
  <c r="AI50" i="13" s="1"/>
  <c r="AE51" i="13" s="1"/>
  <c r="BM51" i="13" s="1"/>
  <c r="AK50" i="13" l="1"/>
  <c r="AN50" i="13"/>
  <c r="AO50" i="13" s="1"/>
  <c r="AP50" i="13" s="1"/>
  <c r="M50" i="13" s="1"/>
  <c r="O50" i="13" s="1"/>
  <c r="AH51" i="13" l="1"/>
  <c r="AI51" i="13" s="1"/>
  <c r="AE52" i="13" s="1"/>
  <c r="BM52" i="13" s="1"/>
  <c r="AK51" i="13" l="1"/>
  <c r="AN51" i="13"/>
  <c r="AO51" i="13" s="1"/>
  <c r="AP51" i="13" s="1"/>
  <c r="M51" i="13" l="1"/>
  <c r="O51" i="13" s="1"/>
  <c r="AH52" i="13" l="1"/>
  <c r="AI52" i="13" s="1"/>
  <c r="AE53" i="13" s="1"/>
  <c r="BM53" i="13" s="1"/>
  <c r="AK52" i="13" l="1"/>
  <c r="AN52" i="13"/>
  <c r="AO52" i="13" s="1"/>
  <c r="AP52" i="13" s="1"/>
  <c r="M52" i="13" l="1"/>
  <c r="O52" i="13" s="1"/>
  <c r="AH53" i="13" l="1"/>
  <c r="AI53" i="13" s="1"/>
  <c r="AE54" i="13" s="1"/>
  <c r="BM54" i="13" s="1"/>
  <c r="AK53" i="13" l="1"/>
  <c r="AN53" i="13"/>
  <c r="AO53" i="13" s="1"/>
  <c r="AP53" i="13" s="1"/>
  <c r="M53" i="13" l="1"/>
  <c r="O53" i="13" s="1"/>
  <c r="AH54" i="13" l="1"/>
  <c r="AI54" i="13" s="1"/>
  <c r="AE55" i="13" s="1"/>
  <c r="BM55" i="13" s="1"/>
  <c r="AK54" i="13" l="1"/>
  <c r="AN54" i="13"/>
  <c r="AO54" i="13" s="1"/>
  <c r="AP54" i="13" s="1"/>
  <c r="M54" i="13" l="1"/>
  <c r="O54" i="13" s="1"/>
  <c r="AH55" i="13" l="1"/>
  <c r="AI55" i="13" s="1"/>
  <c r="AE56" i="13" s="1"/>
  <c r="BM56" i="13" s="1"/>
  <c r="AK55" i="13" l="1"/>
  <c r="AN55" i="13"/>
  <c r="AO55" i="13" l="1"/>
  <c r="AP55" i="13" s="1"/>
  <c r="M55" i="13" s="1"/>
  <c r="O55" i="13" s="1"/>
  <c r="AH56" i="13" l="1"/>
  <c r="AI56" i="13" s="1"/>
  <c r="AE57" i="13" s="1"/>
  <c r="BM57" i="13" s="1"/>
  <c r="AK56" i="13" l="1"/>
  <c r="AN56" i="13"/>
  <c r="AO56" i="13" s="1"/>
  <c r="AP56" i="13" s="1"/>
  <c r="M56" i="13" l="1"/>
  <c r="O56" i="13" s="1"/>
  <c r="AH57" i="13" l="1"/>
  <c r="AI57" i="13" s="1"/>
  <c r="AE58" i="13" s="1"/>
  <c r="BM58" i="13" s="1"/>
  <c r="AK57" i="13" l="1"/>
  <c r="AN57" i="13"/>
  <c r="AO57" i="13" s="1"/>
  <c r="AP57" i="13" s="1"/>
  <c r="M57" i="13" l="1"/>
  <c r="O57" i="13" s="1"/>
  <c r="AH58" i="13" l="1"/>
  <c r="AI58" i="13" s="1"/>
  <c r="AE59" i="13" s="1"/>
  <c r="BM59" i="13" s="1"/>
  <c r="AK58" i="13" l="1"/>
  <c r="AN58" i="13"/>
  <c r="AO58" i="13" s="1"/>
  <c r="AP58" i="13" s="1"/>
  <c r="M58" i="13" l="1"/>
  <c r="O58" i="13" s="1"/>
  <c r="AH59" i="13" l="1"/>
  <c r="AI59" i="13" s="1"/>
  <c r="AE60" i="13" s="1"/>
  <c r="BM60" i="13" s="1"/>
  <c r="AK59" i="13" l="1"/>
  <c r="AN59" i="13"/>
  <c r="AO59" i="13" s="1"/>
  <c r="AP59" i="13" s="1"/>
  <c r="M59" i="13" l="1"/>
  <c r="O59" i="13" s="1"/>
  <c r="AH60" i="13" l="1"/>
  <c r="AI60" i="13" s="1"/>
  <c r="AE61" i="13" s="1"/>
  <c r="BM61" i="13" s="1"/>
  <c r="AK60" i="13" l="1"/>
  <c r="AN60" i="13"/>
  <c r="AO60" i="13" s="1"/>
  <c r="AP60" i="13" s="1"/>
  <c r="M60" i="13" l="1"/>
  <c r="O60" i="13" s="1"/>
  <c r="AH61" i="13" l="1"/>
  <c r="AI61" i="13" s="1"/>
  <c r="AE62" i="13" s="1"/>
  <c r="BM62" i="13" s="1"/>
  <c r="AK61" i="13" l="1"/>
  <c r="AN61" i="13"/>
  <c r="AO61" i="13" s="1"/>
  <c r="AP61" i="13" s="1"/>
  <c r="M61" i="13" l="1"/>
  <c r="O61" i="13" s="1"/>
  <c r="AH62" i="13" l="1"/>
  <c r="AI62" i="13" s="1"/>
  <c r="AE63" i="13" s="1"/>
  <c r="BM63" i="13" s="1"/>
  <c r="AK62" i="13" l="1"/>
  <c r="AN62" i="13"/>
  <c r="AO62" i="13" s="1"/>
  <c r="AP62" i="13" s="1"/>
  <c r="M62" i="13" l="1"/>
  <c r="O62" i="13" s="1"/>
  <c r="AH63" i="13" l="1"/>
  <c r="AI63" i="13" s="1"/>
  <c r="AE64" i="13" s="1"/>
  <c r="BM64" i="13" s="1"/>
  <c r="AK63" i="13" l="1"/>
  <c r="AN63" i="13"/>
  <c r="AO63" i="13" s="1"/>
  <c r="AP63" i="13" s="1"/>
  <c r="M63" i="13" l="1"/>
  <c r="O63" i="13" s="1"/>
  <c r="N20" i="13"/>
  <c r="O20" i="13" s="1"/>
  <c r="N21" i="13"/>
  <c r="O21" i="13" s="1"/>
  <c r="AH64" i="13" l="1"/>
  <c r="AI64" i="13" s="1"/>
  <c r="AE65" i="13" s="1"/>
  <c r="BM65" i="13" s="1"/>
  <c r="AK64" i="13" l="1"/>
  <c r="AN64" i="13"/>
  <c r="AO64" i="13" s="1"/>
  <c r="AP64" i="13" s="1"/>
  <c r="M64" i="13" l="1"/>
  <c r="O64" i="13" s="1"/>
  <c r="AH65" i="13" l="1"/>
  <c r="AI65" i="13" s="1"/>
  <c r="AE66" i="13" s="1"/>
  <c r="BM66" i="13" s="1"/>
  <c r="AK65" i="13" l="1"/>
  <c r="AN65" i="13"/>
  <c r="AO65" i="13" l="1"/>
  <c r="AP65" i="13" s="1"/>
  <c r="M65" i="13" s="1"/>
  <c r="O65" i="13" s="1"/>
  <c r="AH66" i="13" l="1"/>
  <c r="AI66" i="13" s="1"/>
  <c r="AE67" i="13" s="1"/>
  <c r="BM67" i="13" s="1"/>
  <c r="AK66" i="13" l="1"/>
  <c r="AN66" i="13"/>
  <c r="AO66" i="13" s="1"/>
  <c r="AP66" i="13" s="1"/>
  <c r="M66" i="13" l="1"/>
  <c r="O66" i="13" s="1"/>
  <c r="AH67" i="13" l="1"/>
  <c r="AI67" i="13" s="1"/>
  <c r="AE68" i="13" s="1"/>
  <c r="BM68" i="13" s="1"/>
  <c r="AK67" i="13" l="1"/>
  <c r="AN67" i="13"/>
  <c r="AO67" i="13" s="1"/>
  <c r="AP67" i="13" s="1"/>
  <c r="M67" i="13" l="1"/>
  <c r="O67" i="13" s="1"/>
  <c r="AH68" i="13" l="1"/>
  <c r="AI68" i="13" s="1"/>
  <c r="AE69" i="13" s="1"/>
  <c r="BM69" i="13" s="1"/>
  <c r="AK68" i="13" l="1"/>
  <c r="AN68" i="13"/>
  <c r="AO68" i="13" s="1"/>
  <c r="AP68" i="13" s="1"/>
  <c r="M68" i="13" l="1"/>
  <c r="O68" i="13" s="1"/>
  <c r="AH69" i="13" l="1"/>
  <c r="AI69" i="13" s="1"/>
  <c r="AE70" i="13" s="1"/>
  <c r="BM70" i="13" s="1"/>
  <c r="AK69" i="13" l="1"/>
  <c r="AN69" i="13"/>
  <c r="AO69" i="13" s="1"/>
  <c r="AP69" i="13" s="1"/>
  <c r="M69" i="13" l="1"/>
  <c r="O69" i="13" s="1"/>
  <c r="AH70" i="13" l="1"/>
  <c r="AI70" i="13" s="1"/>
  <c r="AE71" i="13" s="1"/>
  <c r="BM71" i="13" s="1"/>
  <c r="AK70" i="13" l="1"/>
  <c r="AN70" i="13"/>
  <c r="AO70" i="13" s="1"/>
  <c r="AP70" i="13" s="1"/>
  <c r="M70" i="13" l="1"/>
  <c r="O70" i="13" s="1"/>
  <c r="AH71" i="13" l="1"/>
  <c r="AI71" i="13" s="1"/>
  <c r="AE72" i="13" s="1"/>
  <c r="BM72" i="13" s="1"/>
  <c r="AK71" i="13" l="1"/>
  <c r="AN71" i="13"/>
  <c r="AO71" i="13" l="1"/>
  <c r="AP71" i="13" s="1"/>
  <c r="M71" i="13" s="1"/>
  <c r="O71" i="13" s="1"/>
  <c r="AH72" i="13" l="1"/>
  <c r="AI72" i="13" s="1"/>
  <c r="AE73" i="13" s="1"/>
  <c r="BM73" i="13" s="1"/>
  <c r="AK72" i="13" l="1"/>
  <c r="AN72" i="13"/>
  <c r="AO72" i="13" l="1"/>
  <c r="AP72" i="13" s="1"/>
  <c r="M72" i="13" s="1"/>
  <c r="O72" i="13" s="1"/>
  <c r="AH73" i="13" l="1"/>
  <c r="AI73" i="13" s="1"/>
  <c r="AE74" i="13" s="1"/>
  <c r="BM74" i="13" s="1"/>
  <c r="AK73" i="13" l="1"/>
  <c r="AN73" i="13"/>
  <c r="AO73" i="13" s="1"/>
  <c r="AP73" i="13" s="1"/>
  <c r="M73" i="13" l="1"/>
  <c r="O73" i="13" s="1"/>
  <c r="AH74" i="13" l="1"/>
  <c r="AI74" i="13" s="1"/>
  <c r="AE75" i="13" s="1"/>
  <c r="BM75" i="13" s="1"/>
  <c r="AK74" i="13" l="1"/>
  <c r="AN74" i="13"/>
  <c r="AO74" i="13" s="1"/>
  <c r="AP74" i="13" s="1"/>
  <c r="M74" i="13" l="1"/>
  <c r="O74" i="13" s="1"/>
  <c r="AH75" i="13" l="1"/>
  <c r="AI75" i="13" s="1"/>
  <c r="AE76" i="13" s="1"/>
  <c r="BM76" i="13" s="1"/>
  <c r="AK75" i="13" l="1"/>
  <c r="AN75" i="13"/>
  <c r="AO75" i="13" s="1"/>
  <c r="AP75" i="13" s="1"/>
  <c r="M75" i="13" l="1"/>
  <c r="O75" i="13" s="1"/>
  <c r="AH76" i="13" l="1"/>
  <c r="AI76" i="13" s="1"/>
  <c r="AE77" i="13" s="1"/>
  <c r="BM77" i="13" s="1"/>
  <c r="AK76" i="13" l="1"/>
  <c r="AN76" i="13"/>
  <c r="AO76" i="13" s="1"/>
  <c r="AP76" i="13" s="1"/>
  <c r="M76" i="13" l="1"/>
  <c r="O76" i="13" s="1"/>
  <c r="AH77" i="13" l="1"/>
  <c r="AI77" i="13" s="1"/>
  <c r="AE78" i="13" s="1"/>
  <c r="BM78" i="13" s="1"/>
  <c r="AK77" i="13" l="1"/>
  <c r="AN77" i="13"/>
  <c r="AO77" i="13" s="1"/>
  <c r="AP77" i="13" s="1"/>
  <c r="M77" i="13" l="1"/>
  <c r="O77" i="13" s="1"/>
  <c r="AH78" i="13" l="1"/>
  <c r="AI78" i="13" s="1"/>
  <c r="AE79" i="13" s="1"/>
  <c r="BM79" i="13" s="1"/>
  <c r="AK78" i="13" l="1"/>
  <c r="AN78" i="13"/>
  <c r="AO78" i="13" s="1"/>
  <c r="AP78" i="13" s="1"/>
  <c r="M78" i="13" l="1"/>
  <c r="O78" i="13" s="1"/>
  <c r="AH79" i="13" l="1"/>
  <c r="AI79" i="13" s="1"/>
  <c r="AE80" i="13" s="1"/>
  <c r="BM80" i="13" s="1"/>
  <c r="AK79" i="13" l="1"/>
  <c r="AN79" i="13"/>
  <c r="AO79" i="13" s="1"/>
  <c r="AP79" i="13" s="1"/>
  <c r="M79" i="13" l="1"/>
  <c r="O79" i="13" s="1"/>
  <c r="AH80" i="13" l="1"/>
  <c r="AI80" i="13" s="1"/>
  <c r="AE81" i="13" s="1"/>
  <c r="BM81" i="13" s="1"/>
  <c r="AK80" i="13" l="1"/>
  <c r="AN80" i="13"/>
  <c r="AO80" i="13" s="1"/>
  <c r="AP80" i="13" s="1"/>
  <c r="M80" i="13" l="1"/>
  <c r="O80" i="13" s="1"/>
  <c r="AH81" i="13" l="1"/>
  <c r="AI81" i="13" s="1"/>
  <c r="AE82" i="13" s="1"/>
  <c r="BM82" i="13" s="1"/>
  <c r="AK81" i="13" l="1"/>
  <c r="AN81" i="13"/>
  <c r="AO81" i="13" s="1"/>
  <c r="AP81" i="13" s="1"/>
  <c r="M81" i="13" l="1"/>
  <c r="O81" i="13" s="1"/>
  <c r="AH82" i="13" l="1"/>
  <c r="AI82" i="13" s="1"/>
  <c r="AN82" i="13" l="1"/>
  <c r="AK82" i="13"/>
  <c r="AO82" i="13" l="1"/>
  <c r="AP82" i="13" s="1"/>
  <c r="M82" i="13" s="1"/>
  <c r="O82" i="13" s="1"/>
  <c r="B2"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U2" authorId="0" shapeId="0" xr:uid="{534314A7-E90E-42C9-869F-BEDFBC027EB1}">
      <text>
        <r>
          <rPr>
            <b/>
            <sz val="9"/>
            <color indexed="81"/>
            <rFont val="Tahoma"/>
            <family val="2"/>
          </rPr>
          <t>Hatta Misra:</t>
        </r>
        <r>
          <rPr>
            <sz val="9"/>
            <color indexed="81"/>
            <rFont val="Tahoma"/>
            <family val="2"/>
          </rPr>
          <t xml:space="preserve">
We assume the renter's rents change yearly to match the market rent.</t>
        </r>
      </text>
    </comment>
    <comment ref="Z2" authorId="0" shapeId="0" xr:uid="{7061C6D8-D8BE-4103-BF08-1D6DF6587FA7}">
      <text>
        <r>
          <rPr>
            <b/>
            <sz val="9"/>
            <color indexed="81"/>
            <rFont val="Tahoma"/>
            <family val="2"/>
          </rPr>
          <t>Hatta Misra:</t>
        </r>
        <r>
          <rPr>
            <sz val="9"/>
            <color indexed="81"/>
            <rFont val="Tahoma"/>
            <family val="2"/>
          </rPr>
          <t xml:space="preserve">
Only when investing through super</t>
        </r>
      </text>
    </comment>
    <comment ref="AM2" authorId="0" shapeId="0" xr:uid="{ED8D01D4-0F4F-4AD7-9270-BB001F193D71}">
      <text>
        <r>
          <rPr>
            <b/>
            <sz val="9"/>
            <color indexed="81"/>
            <rFont val="Tahoma"/>
            <family val="2"/>
          </rPr>
          <t>Hatta Misra:</t>
        </r>
        <r>
          <rPr>
            <sz val="9"/>
            <color indexed="81"/>
            <rFont val="Tahoma"/>
            <family val="2"/>
          </rPr>
          <t xml:space="preserve">
Logic: if CPI in Q1 was 100 and next quarter Q2 was 101, then to adjust the cost base for inflation we calculate q_2 = q_1*(101/100) + c_2 where c_2 is contributions this quarter and q is the cost base adjusted for CPI by quarter</t>
        </r>
      </text>
    </comment>
    <comment ref="A14" authorId="0" shapeId="0" xr:uid="{DB548461-CDA2-4DBA-898B-ECF137FF1D7A}">
      <text>
        <r>
          <rPr>
            <b/>
            <sz val="9"/>
            <color indexed="81"/>
            <rFont val="Tahoma"/>
            <family val="2"/>
          </rPr>
          <t>Hatta Misra:</t>
        </r>
        <r>
          <rPr>
            <sz val="9"/>
            <color indexed="81"/>
            <rFont val="Tahoma"/>
            <family val="2"/>
          </rPr>
          <t xml:space="preserve">
We account for depreciation, renovation, and maintenance separately.
We assume that the home depreciates in value at a certain rate (default: 1% of original home value p.a.)
Higher home sale prices in the index are partly due to homes being renovated/altered/added then sold at a higher price. The model accounts for this by adding another derating factor (default: 1.15% of current index value p.a.).
Depreciation and renovation are applied as de-rating factors (as it represents an ageing and unrenovated home falling behind the index of newer and renovated homes). In contrast, maintenance spending is applied as cashflow costs.
(Renovation was modelled as a cashflow cost but since renovations aren't mandatory like maintenance is, it's probably more appropriate to apply it as a derating factor to home value)</t>
        </r>
      </text>
    </comment>
    <comment ref="A15" authorId="0" shapeId="0" xr:uid="{DE9DF85A-EA0B-4E35-AD9B-8C0762CEE527}">
      <text>
        <r>
          <rPr>
            <b/>
            <sz val="9"/>
            <color indexed="81"/>
            <rFont val="Tahoma"/>
            <family val="2"/>
          </rPr>
          <t>Hatta Misra:</t>
        </r>
        <r>
          <rPr>
            <sz val="9"/>
            <color indexed="81"/>
            <rFont val="Tahoma"/>
            <family val="2"/>
          </rPr>
          <t xml:space="preserve">
This line item is how much better we assume newer homes (newer constituents in the home price index) are, compared to older homes. If this is 0 then we assume the median 2010 and median 2020 home are the same quality - same appliances, floor area, insulation standards, etc. etc.
Fox &amp; Tulip 2014 cites Stapleton 2007, 2012 estimates of "alterations and additions [contributing] 1.15 percentage points a year to average home values"</t>
        </r>
      </text>
    </comment>
    <comment ref="A26" authorId="0" shapeId="0" xr:uid="{0150E84C-B54F-4950-A016-3E7D4B31AFC5}">
      <text>
        <r>
          <rPr>
            <b/>
            <sz val="9"/>
            <color indexed="81"/>
            <rFont val="Tahoma"/>
            <family val="2"/>
          </rPr>
          <t>Hatta Misra:</t>
        </r>
        <r>
          <rPr>
            <sz val="9"/>
            <color indexed="81"/>
            <rFont val="Tahoma"/>
            <family val="2"/>
          </rPr>
          <t xml:space="preserve">
There were first home buyer exemptions in 2005: https://www.aph.gov.au/Parliamentary_Business/Committees/Senate/Former_Committees/hsaf/report/c07</t>
        </r>
      </text>
    </comment>
    <comment ref="B26" authorId="0" shapeId="0" xr:uid="{DF9A38EA-8230-4CDC-9008-00ECF8FF7C49}">
      <text>
        <r>
          <rPr>
            <b/>
            <sz val="9"/>
            <color indexed="81"/>
            <rFont val="Tahoma"/>
            <family val="2"/>
          </rPr>
          <t>Hatta Misra:</t>
        </r>
        <r>
          <rPr>
            <sz val="9"/>
            <color indexed="81"/>
            <rFont val="Tahoma"/>
            <family val="2"/>
          </rPr>
          <t xml:space="preserve">
Calculation per Section 32 of the Duties Act 1997 as per version date 07/12/2005 (for Inner Ring Sydney the price is too high for the concession, but for lower prices check section 80 of the same Act for FHB concessions)
</t>
        </r>
      </text>
    </comment>
    <comment ref="A44" authorId="0" shapeId="0" xr:uid="{0A031E0E-F2A5-407C-A615-5278ABAA2A5A}">
      <text>
        <r>
          <rPr>
            <b/>
            <sz val="9"/>
            <color indexed="81"/>
            <rFont val="Tahoma"/>
            <family val="2"/>
          </rPr>
          <t>Hatta Misra:</t>
        </r>
        <r>
          <rPr>
            <sz val="9"/>
            <color indexed="81"/>
            <rFont val="Tahoma"/>
            <family val="2"/>
          </rPr>
          <t xml:space="preserve">
We do not consider taxation of superannuation earnings as there are ways for an individual investor to have a very low effective tax rate on superannuation earnings. See the notes docx for more info.</t>
        </r>
      </text>
    </comment>
    <comment ref="A47" authorId="0" shapeId="0" xr:uid="{34FBCEC1-7EB8-4B16-93C0-311B51D2B3E3}">
      <text>
        <r>
          <rPr>
            <b/>
            <sz val="9"/>
            <color indexed="81"/>
            <rFont val="Tahoma"/>
            <family val="2"/>
          </rPr>
          <t>Hatta Misra:</t>
        </r>
        <r>
          <rPr>
            <sz val="9"/>
            <color indexed="81"/>
            <rFont val="Tahoma"/>
            <family val="2"/>
          </rPr>
          <t xml:space="preserve">
We assume that a renter-investor using super has all of their spare cashflow at the marginal income/super tax rates, and claims the tax deductions. This can be done in the same quarter through salary sacrificing.
For example, if the renter has spare cashflow of $10,000, marginal income tax + Medicare levy 32% and super contributions tax 15% (for tax concessions of 17%), it would be taxed at 15% in super, making their contribution (1-15%)*10,000 = $8500. But they would be able to get a $10,000 tax deduction and thus an extra 32%*10,000 = $3200, making their total deduction 8500+3200 = $11,700 = (1+17%)*10,000.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Q1" authorId="0" shapeId="0" xr:uid="{9B7BBBD3-99AB-489D-9D8C-4D021D02C422}">
      <text>
        <r>
          <rPr>
            <sz val="8"/>
            <color indexed="81"/>
            <rFont val="Tahoma"/>
            <family val="2"/>
          </rPr>
          <t>Attached dwellings includes flats, units and apartments plus semi-detached, row and terrace houses.</t>
        </r>
      </text>
    </comment>
    <comment ref="R1" authorId="0" shapeId="0" xr:uid="{7B5E9C4A-4447-4188-9A50-8872077563C2}">
      <text>
        <r>
          <rPr>
            <sz val="8"/>
            <color indexed="81"/>
            <rFont val="Tahoma"/>
            <family val="2"/>
          </rPr>
          <t>Attached dwellings includes flats, units and apartments plus semi-detached, row and terrace houses.</t>
        </r>
      </text>
    </comment>
    <comment ref="S1" authorId="0" shapeId="0" xr:uid="{AB18E372-09B9-437C-9CFD-0962376FF96B}">
      <text>
        <r>
          <rPr>
            <sz val="8"/>
            <color indexed="81"/>
            <rFont val="Tahoma"/>
            <family val="2"/>
          </rPr>
          <t>Attached dwellings includes flats, units and apartments plus semi-detached, row and terrace houses.</t>
        </r>
      </text>
    </comment>
    <comment ref="T1" authorId="0" shapeId="0" xr:uid="{35B87691-4657-4D83-92DD-0C3B942980D4}">
      <text>
        <r>
          <rPr>
            <sz val="8"/>
            <color indexed="81"/>
            <rFont val="Tahoma"/>
            <family val="2"/>
          </rPr>
          <t>Attached dwellings includes flats, units and apartments plus semi-detached, row and terrace houses.</t>
        </r>
      </text>
    </comment>
    <comment ref="U1" authorId="0" shapeId="0" xr:uid="{6CA23B45-C734-4039-985F-14F34A14FEBC}">
      <text>
        <r>
          <rPr>
            <sz val="8"/>
            <color indexed="81"/>
            <rFont val="Tahoma"/>
            <family val="2"/>
          </rPr>
          <t>Attached dwellings includes flats, units and apartments plus semi-detached, row and terrace houses.</t>
        </r>
      </text>
    </comment>
    <comment ref="V1" authorId="0" shapeId="0" xr:uid="{F3A586D5-5519-44DE-A6C4-D2528B0BE211}">
      <text>
        <r>
          <rPr>
            <sz val="8"/>
            <color indexed="81"/>
            <rFont val="Tahoma"/>
            <family val="2"/>
          </rPr>
          <t>Attached dwellings includes flats, units and apartments plus semi-detached, row and terrace houses.</t>
        </r>
      </text>
    </comment>
    <comment ref="W1" authorId="0" shapeId="0" xr:uid="{03F19048-49BF-4691-A96B-F36B4B2AE2D4}">
      <text>
        <r>
          <rPr>
            <sz val="8"/>
            <color indexed="81"/>
            <rFont val="Tahoma"/>
            <family val="2"/>
          </rPr>
          <t>Attached dwellings includes flats, units and apartments plus semi-detached, row and terrace houses.</t>
        </r>
      </text>
    </comment>
    <comment ref="X1" authorId="0" shapeId="0" xr:uid="{B5F63D0A-2D59-480F-BE8D-965E099C44B2}">
      <text>
        <r>
          <rPr>
            <sz val="8"/>
            <color indexed="81"/>
            <rFont val="Tahoma"/>
            <family val="2"/>
          </rPr>
          <t>Attached dwellings includes flats, units and apartments plus semi-detached, row and terrace houses.</t>
        </r>
      </text>
    </comment>
    <comment ref="Y1" authorId="0" shapeId="0" xr:uid="{49CB2660-05A5-414B-A6E7-2B85EAED0111}">
      <text>
        <r>
          <rPr>
            <sz val="8"/>
            <color indexed="81"/>
            <rFont val="Tahoma"/>
            <family val="2"/>
          </rPr>
          <t>Attached dwellings includes flats, units and apartments plus semi-detached, row and terrace houses.</t>
        </r>
      </text>
    </comment>
    <comment ref="Z1" authorId="0" shapeId="0" xr:uid="{3CC46876-6B2F-4735-BB14-C0DA17A50F3F}">
      <text>
        <r>
          <rPr>
            <sz val="8"/>
            <color indexed="81"/>
            <rFont val="Tahoma"/>
            <family val="2"/>
          </rPr>
          <t>Attached dwellings includes flats, units and apartments plus semi-detached, row and terrace houses.</t>
        </r>
      </text>
    </comment>
    <comment ref="AA1" authorId="0" shapeId="0" xr:uid="{B6494655-1700-41C1-8254-573620749545}">
      <text>
        <r>
          <rPr>
            <sz val="8"/>
            <color indexed="81"/>
            <rFont val="Tahoma"/>
            <family val="2"/>
          </rPr>
          <t>Attached dwellings includes flats, units and apartments plus semi-detached, row and terrace houses.</t>
        </r>
      </text>
    </comment>
    <comment ref="AB1" authorId="0" shapeId="0" xr:uid="{660AA1B3-C629-4695-9776-4CF500785390}">
      <text>
        <r>
          <rPr>
            <sz val="8"/>
            <color indexed="81"/>
            <rFont val="Tahoma"/>
            <family val="2"/>
          </rPr>
          <t>Attached dwellings includes flats, units and apartments plus semi-detached, row and terrace houses.</t>
        </r>
      </text>
    </comment>
    <comment ref="AC1" authorId="0" shapeId="0" xr:uid="{05DE1E89-4FEA-4EE6-94C3-05B7CCBE608C}">
      <text>
        <r>
          <rPr>
            <sz val="8"/>
            <color indexed="81"/>
            <rFont val="Tahoma"/>
            <family val="2"/>
          </rPr>
          <t>Attached dwellings includes flats, units and apartments plus semi-detached, row and terrace houses.</t>
        </r>
      </text>
    </comment>
    <comment ref="AD1" authorId="0" shapeId="0" xr:uid="{893C227E-7074-440E-A373-05B77F998FE0}">
      <text>
        <r>
          <rPr>
            <sz val="8"/>
            <color indexed="81"/>
            <rFont val="Tahoma"/>
            <family val="2"/>
          </rPr>
          <t>Attached dwellings includes flats, units and apartments plus semi-detached, row and terrace houses.</t>
        </r>
      </text>
    </comment>
    <comment ref="AE1" authorId="0" shapeId="0" xr:uid="{9C97A3A5-B753-4C37-B7F9-675534B6B103}">
      <text>
        <r>
          <rPr>
            <sz val="8"/>
            <color indexed="81"/>
            <rFont val="Tahoma"/>
            <family val="2"/>
          </rPr>
          <t>Attached dwellings includes flats, units and apartments plus semi-detached, row and terrace houses.</t>
        </r>
      </text>
    </comment>
    <comment ref="AU1" authorId="0" shapeId="0" xr:uid="{8EEC33DC-73A0-448D-A115-FC18438CCBF2}">
      <text>
        <r>
          <rPr>
            <sz val="8"/>
            <color indexed="81"/>
            <rFont val="Tahoma"/>
            <family val="2"/>
          </rPr>
          <t>Attached dwellings includes flats, units and apartments plus semi-detached, row and terrace houses.</t>
        </r>
      </text>
    </comment>
    <comment ref="AV1" authorId="0" shapeId="0" xr:uid="{89DD3F2F-F5FC-461F-8FC1-0F63F5935034}">
      <text>
        <r>
          <rPr>
            <sz val="8"/>
            <color indexed="81"/>
            <rFont val="Tahoma"/>
            <family val="2"/>
          </rPr>
          <t>Attached dwellings includes flats, units and apartments plus semi-detached, row and terrace houses.</t>
        </r>
      </text>
    </comment>
    <comment ref="AW1" authorId="0" shapeId="0" xr:uid="{77106D3E-D174-45A7-872A-0BAE5A2BB454}">
      <text>
        <r>
          <rPr>
            <sz val="8"/>
            <color indexed="81"/>
            <rFont val="Tahoma"/>
            <family val="2"/>
          </rPr>
          <t>Attached dwellings includes flats, units and apartments plus semi-detached, row and terrace houses.</t>
        </r>
      </text>
    </comment>
    <comment ref="AX1" authorId="0" shapeId="0" xr:uid="{514A848F-786C-4167-BB83-275EF83F6A31}">
      <text>
        <r>
          <rPr>
            <sz val="8"/>
            <color indexed="81"/>
            <rFont val="Tahoma"/>
            <family val="2"/>
          </rPr>
          <t>Attached dwellings includes flats, units and apartments plus semi-detached, row and terrace houses.</t>
        </r>
      </text>
    </comment>
    <comment ref="AY1" authorId="0" shapeId="0" xr:uid="{21926883-3A36-485D-A1BE-DB71857A51BD}">
      <text>
        <r>
          <rPr>
            <sz val="8"/>
            <color indexed="81"/>
            <rFont val="Tahoma"/>
            <family val="2"/>
          </rPr>
          <t>Attached dwellings includes flats, units and apartments plus semi-detached, row and terrace houses.</t>
        </r>
      </text>
    </comment>
    <comment ref="AZ1" authorId="0" shapeId="0" xr:uid="{8C696249-1EB3-48AF-A3B9-73393F431120}">
      <text>
        <r>
          <rPr>
            <sz val="8"/>
            <color indexed="81"/>
            <rFont val="Tahoma"/>
            <family val="2"/>
          </rPr>
          <t>Attached dwellings includes flats, units and apartments plus semi-detached, row and terrace houses.</t>
        </r>
      </text>
    </comment>
    <comment ref="BA1" authorId="0" shapeId="0" xr:uid="{F72E3BFF-391B-4418-B92B-3BD446133C7D}">
      <text>
        <r>
          <rPr>
            <sz val="8"/>
            <color indexed="81"/>
            <rFont val="Tahoma"/>
            <family val="2"/>
          </rPr>
          <t>Attached dwellings includes flats, units and apartments plus semi-detached, row and terrace houses.</t>
        </r>
      </text>
    </comment>
    <comment ref="BB1" authorId="0" shapeId="0" xr:uid="{F86D4BE5-87F9-43E1-87FF-8E2801753D0C}">
      <text>
        <r>
          <rPr>
            <sz val="8"/>
            <color indexed="81"/>
            <rFont val="Tahoma"/>
            <family val="2"/>
          </rPr>
          <t>Attached dwellings includes flats, units and apartments plus semi-detached, row and terrace houses.</t>
        </r>
      </text>
    </comment>
    <comment ref="BC1" authorId="0" shapeId="0" xr:uid="{5B03F245-BA9E-4FEF-ADB3-44597F4093EA}">
      <text>
        <r>
          <rPr>
            <sz val="8"/>
            <color indexed="81"/>
            <rFont val="Tahoma"/>
            <family val="2"/>
          </rPr>
          <t>Attached dwellings includes flats, units and apartments plus semi-detached, row and terrace houses.</t>
        </r>
      </text>
    </comment>
    <comment ref="BD1" authorId="0" shapeId="0" xr:uid="{25CCBC2D-DC71-42B7-9F04-5E9AD050AD78}">
      <text>
        <r>
          <rPr>
            <sz val="8"/>
            <color indexed="81"/>
            <rFont val="Tahoma"/>
            <family val="2"/>
          </rPr>
          <t>Attached dwellings includes flats, units and apartments plus semi-detached, row and terrace houses.</t>
        </r>
      </text>
    </comment>
    <comment ref="BE1" authorId="0" shapeId="0" xr:uid="{DD366C29-08E5-4DE4-9794-3DD01E473C03}">
      <text>
        <r>
          <rPr>
            <sz val="8"/>
            <color indexed="81"/>
            <rFont val="Tahoma"/>
            <family val="2"/>
          </rPr>
          <t>Attached dwellings includes flats, units and apartments plus semi-detached, row and terrace houses.</t>
        </r>
      </text>
    </comment>
    <comment ref="BF1" authorId="0" shapeId="0" xr:uid="{AB1371BE-15A1-445B-97B6-B81ED4D2E432}">
      <text>
        <r>
          <rPr>
            <sz val="8"/>
            <color indexed="81"/>
            <rFont val="Tahoma"/>
            <family val="2"/>
          </rPr>
          <t>Attached dwellings includes flats, units and apartments plus semi-detached, row and terrace houses.</t>
        </r>
      </text>
    </comment>
    <comment ref="BG1" authorId="0" shapeId="0" xr:uid="{978437AB-C7DE-47CC-AC53-3D494F678D7F}">
      <text>
        <r>
          <rPr>
            <sz val="8"/>
            <color indexed="81"/>
            <rFont val="Tahoma"/>
            <family val="2"/>
          </rPr>
          <t>Attached dwellings includes flats, units and apartments plus semi-detached, row and terrace houses.</t>
        </r>
      </text>
    </comment>
    <comment ref="BH1" authorId="0" shapeId="0" xr:uid="{7C92D1C3-FB73-4AD2-B37B-24F28683D609}">
      <text>
        <r>
          <rPr>
            <sz val="8"/>
            <color indexed="81"/>
            <rFont val="Tahoma"/>
            <family val="2"/>
          </rPr>
          <t>Attached dwellings includes flats, units and apartments plus semi-detached, row and terrace houses.</t>
        </r>
      </text>
    </comment>
    <comment ref="BI1" authorId="0" shapeId="0" xr:uid="{2E7A8900-DA37-4298-95DB-1B0394618326}">
      <text>
        <r>
          <rPr>
            <sz val="8"/>
            <color indexed="81"/>
            <rFont val="Tahoma"/>
            <family val="2"/>
          </rPr>
          <t>Attached dwellings includes flats, units and apartments plus semi-detached, row and terrace houses.</t>
        </r>
      </text>
    </comment>
    <comment ref="A6" authorId="0" shapeId="0" xr:uid="{9681C429-1C50-43E8-8605-89AE9537226E}">
      <text>
        <r>
          <rPr>
            <sz val="8"/>
            <color indexed="81"/>
            <rFont val="Tahoma"/>
            <family val="2"/>
          </rPr>
          <t>Refers to series collected at quarterly and lesser frequencies only.
Indicates which month in the collection period the data refers to.</t>
        </r>
      </text>
    </comment>
    <comment ref="J97" authorId="0" shapeId="0" xr:uid="{8511DF4E-FEF9-40F3-AF59-B04CBC161DF4}">
      <text>
        <r>
          <rPr>
            <sz val="8"/>
            <color indexed="81"/>
            <rFont val="Tahoma"/>
            <family val="2"/>
          </rPr>
          <t>revised</t>
        </r>
      </text>
    </comment>
    <comment ref="K97" authorId="0" shapeId="0" xr:uid="{6B78402A-49B2-4355-88BD-9C2033F2CC87}">
      <text>
        <r>
          <rPr>
            <sz val="8"/>
            <color indexed="81"/>
            <rFont val="Tahoma"/>
            <family val="2"/>
          </rPr>
          <t>revised</t>
        </r>
      </text>
    </comment>
    <comment ref="L97" authorId="0" shapeId="0" xr:uid="{FBEAA2A9-41D6-499F-B31E-D687F5666EF1}">
      <text>
        <r>
          <rPr>
            <sz val="8"/>
            <color indexed="81"/>
            <rFont val="Tahoma"/>
            <family val="2"/>
          </rPr>
          <t>revised</t>
        </r>
      </text>
    </comment>
    <comment ref="M97" authorId="0" shapeId="0" xr:uid="{EF7526C3-E4BD-45D8-B815-C986E017A67F}">
      <text>
        <r>
          <rPr>
            <sz val="8"/>
            <color indexed="81"/>
            <rFont val="Tahoma"/>
            <family val="2"/>
          </rPr>
          <t>revised</t>
        </r>
      </text>
    </comment>
    <comment ref="Z97" authorId="0" shapeId="0" xr:uid="{F3784852-BE68-4B6C-90CA-60D379F832A5}">
      <text>
        <r>
          <rPr>
            <sz val="8"/>
            <color indexed="81"/>
            <rFont val="Tahoma"/>
            <family val="2"/>
          </rPr>
          <t>revised</t>
        </r>
      </text>
    </comment>
    <comment ref="AF97" authorId="0" shapeId="0" xr:uid="{0F043752-090A-4046-9530-9D8075AD677B}">
      <text>
        <r>
          <rPr>
            <sz val="8"/>
            <color indexed="81"/>
            <rFont val="Tahoma"/>
            <family val="2"/>
          </rPr>
          <t>revised</t>
        </r>
      </text>
    </comment>
    <comment ref="AH97" authorId="0" shapeId="0" xr:uid="{21F443E3-A684-43FA-B3CD-19E68C615369}">
      <text>
        <r>
          <rPr>
            <sz val="8"/>
            <color indexed="81"/>
            <rFont val="Tahoma"/>
            <family val="2"/>
          </rPr>
          <t>revised</t>
        </r>
      </text>
    </comment>
    <comment ref="AI97" authorId="0" shapeId="0" xr:uid="{84A527C6-5D6E-49BE-82DC-93984D69AAAB}">
      <text>
        <r>
          <rPr>
            <sz val="8"/>
            <color indexed="81"/>
            <rFont val="Tahoma"/>
            <family val="2"/>
          </rPr>
          <t>revised</t>
        </r>
      </text>
    </comment>
    <comment ref="AJ97" authorId="0" shapeId="0" xr:uid="{35269CD1-89B9-4566-A30A-5CBF15EDCDC9}">
      <text>
        <r>
          <rPr>
            <sz val="8"/>
            <color indexed="81"/>
            <rFont val="Tahoma"/>
            <family val="2"/>
          </rPr>
          <t>revised</t>
        </r>
      </text>
    </comment>
    <comment ref="AK97" authorId="0" shapeId="0" xr:uid="{2A66D8AE-BDB7-485D-8668-6A63C3A697BC}">
      <text>
        <r>
          <rPr>
            <sz val="8"/>
            <color indexed="81"/>
            <rFont val="Tahoma"/>
            <family val="2"/>
          </rPr>
          <t>revised</t>
        </r>
      </text>
    </comment>
    <comment ref="AL97" authorId="0" shapeId="0" xr:uid="{0B8436D5-9C88-49FD-98D6-9E9385579F27}">
      <text>
        <r>
          <rPr>
            <sz val="8"/>
            <color indexed="81"/>
            <rFont val="Tahoma"/>
            <family val="2"/>
          </rPr>
          <t>revised</t>
        </r>
      </text>
    </comment>
    <comment ref="AN97" authorId="0" shapeId="0" xr:uid="{FAA590F0-2D00-423E-937C-ADE59FA11B93}">
      <text>
        <r>
          <rPr>
            <sz val="8"/>
            <color indexed="81"/>
            <rFont val="Tahoma"/>
            <family val="2"/>
          </rPr>
          <t>revised</t>
        </r>
      </text>
    </comment>
    <comment ref="AO97" authorId="0" shapeId="0" xr:uid="{0192208E-AACF-470A-8D7C-091A4C7304EC}">
      <text>
        <r>
          <rPr>
            <sz val="8"/>
            <color indexed="81"/>
            <rFont val="Tahoma"/>
            <family val="2"/>
          </rPr>
          <t>revised</t>
        </r>
      </text>
    </comment>
    <comment ref="AP97" authorId="0" shapeId="0" xr:uid="{E76B380E-4C5F-41BF-BFF7-6FFE114DA6DF}">
      <text>
        <r>
          <rPr>
            <sz val="8"/>
            <color indexed="81"/>
            <rFont val="Tahoma"/>
            <family val="2"/>
          </rPr>
          <t>revised</t>
        </r>
      </text>
    </comment>
    <comment ref="AQ97" authorId="0" shapeId="0" xr:uid="{BD2D6C4E-89E6-4677-A573-DECB3E94FB9A}">
      <text>
        <r>
          <rPr>
            <sz val="8"/>
            <color indexed="81"/>
            <rFont val="Tahoma"/>
            <family val="2"/>
          </rPr>
          <t>revised</t>
        </r>
      </text>
    </comment>
    <comment ref="AU97" authorId="0" shapeId="0" xr:uid="{4987DF06-9F7B-4564-A6B6-7631D8D07F69}">
      <text>
        <r>
          <rPr>
            <sz val="8"/>
            <color indexed="81"/>
            <rFont val="Tahoma"/>
            <family val="2"/>
          </rPr>
          <t>revised</t>
        </r>
      </text>
    </comment>
    <comment ref="AV97" authorId="0" shapeId="0" xr:uid="{612E0FC9-499E-45C6-9010-686CF02A2457}">
      <text>
        <r>
          <rPr>
            <sz val="8"/>
            <color indexed="81"/>
            <rFont val="Tahoma"/>
            <family val="2"/>
          </rPr>
          <t>revised</t>
        </r>
      </text>
    </comment>
    <comment ref="AW97" authorId="0" shapeId="0" xr:uid="{B5F3E986-D2BF-445B-B9B1-A841B31A6F8F}">
      <text>
        <r>
          <rPr>
            <sz val="8"/>
            <color indexed="81"/>
            <rFont val="Tahoma"/>
            <family val="2"/>
          </rPr>
          <t>revised</t>
        </r>
      </text>
    </comment>
    <comment ref="AY97" authorId="0" shapeId="0" xr:uid="{DA1CE111-07F7-4244-BCF1-0E29F44E6755}">
      <text>
        <r>
          <rPr>
            <sz val="8"/>
            <color indexed="81"/>
            <rFont val="Tahoma"/>
            <family val="2"/>
          </rPr>
          <t>revised</t>
        </r>
      </text>
    </comment>
    <comment ref="AZ97" authorId="0" shapeId="0" xr:uid="{CCC47EB2-F89B-4B4C-87AE-F22555BC74F7}">
      <text>
        <r>
          <rPr>
            <sz val="8"/>
            <color indexed="81"/>
            <rFont val="Tahoma"/>
            <family val="2"/>
          </rPr>
          <t>revised</t>
        </r>
      </text>
    </comment>
    <comment ref="BC97" authorId="0" shapeId="0" xr:uid="{FA803B32-C744-43C8-807F-846D4E696104}">
      <text>
        <r>
          <rPr>
            <sz val="8"/>
            <color indexed="81"/>
            <rFont val="Tahoma"/>
            <family val="2"/>
          </rPr>
          <t>revised</t>
        </r>
      </text>
    </comment>
    <comment ref="BD97" authorId="0" shapeId="0" xr:uid="{D3BD5432-BF97-47F7-A564-4D638C831984}">
      <text>
        <r>
          <rPr>
            <sz val="8"/>
            <color indexed="81"/>
            <rFont val="Tahoma"/>
            <family val="2"/>
          </rPr>
          <t>revised</t>
        </r>
      </text>
    </comment>
    <comment ref="H98" authorId="0" shapeId="0" xr:uid="{C679FE85-F863-44F1-AB57-E7B90A61EB2D}">
      <text>
        <r>
          <rPr>
            <sz val="8"/>
            <color indexed="81"/>
            <rFont val="Tahoma"/>
            <family val="2"/>
          </rPr>
          <t>revised</t>
        </r>
      </text>
    </comment>
    <comment ref="J98" authorId="0" shapeId="0" xr:uid="{3EBA2CF9-1C5D-4CA4-8E1B-5C4978BD12E9}">
      <text>
        <r>
          <rPr>
            <sz val="8"/>
            <color indexed="81"/>
            <rFont val="Tahoma"/>
            <family val="2"/>
          </rPr>
          <t>revised</t>
        </r>
      </text>
    </comment>
    <comment ref="K98" authorId="0" shapeId="0" xr:uid="{6186A10A-3D44-4412-9319-F6B7CA330966}">
      <text>
        <r>
          <rPr>
            <sz val="8"/>
            <color indexed="81"/>
            <rFont val="Tahoma"/>
            <family val="2"/>
          </rPr>
          <t>revised</t>
        </r>
      </text>
    </comment>
    <comment ref="L98" authorId="0" shapeId="0" xr:uid="{415523B3-D097-4B08-80FA-62AA05D228CF}">
      <text>
        <r>
          <rPr>
            <sz val="8"/>
            <color indexed="81"/>
            <rFont val="Tahoma"/>
            <family val="2"/>
          </rPr>
          <t>revised</t>
        </r>
      </text>
    </comment>
    <comment ref="R98" authorId="0" shapeId="0" xr:uid="{58B40F60-870D-4632-B76F-81D6146317DF}">
      <text>
        <r>
          <rPr>
            <sz val="8"/>
            <color indexed="81"/>
            <rFont val="Tahoma"/>
            <family val="2"/>
          </rPr>
          <t>revised</t>
        </r>
      </text>
    </comment>
    <comment ref="S98" authorId="0" shapeId="0" xr:uid="{A3A65621-714C-4BF4-BACA-C7969D39429C}">
      <text>
        <r>
          <rPr>
            <sz val="8"/>
            <color indexed="81"/>
            <rFont val="Tahoma"/>
            <family val="2"/>
          </rPr>
          <t>revised</t>
        </r>
      </text>
    </comment>
    <comment ref="V98" authorId="0" shapeId="0" xr:uid="{3E77BD4D-C90D-474F-A3F0-86684361072D}">
      <text>
        <r>
          <rPr>
            <sz val="8"/>
            <color indexed="81"/>
            <rFont val="Tahoma"/>
            <family val="2"/>
          </rPr>
          <t>revised</t>
        </r>
      </text>
    </comment>
    <comment ref="W98" authorId="0" shapeId="0" xr:uid="{41A8A0B9-0EB5-411D-B43F-B2ED09DF7289}">
      <text>
        <r>
          <rPr>
            <sz val="8"/>
            <color indexed="81"/>
            <rFont val="Tahoma"/>
            <family val="2"/>
          </rPr>
          <t>revised</t>
        </r>
      </text>
    </comment>
    <comment ref="Z98" authorId="0" shapeId="0" xr:uid="{D827A123-A6A0-4895-A5DD-759C0DCBD246}">
      <text>
        <r>
          <rPr>
            <sz val="8"/>
            <color indexed="81"/>
            <rFont val="Tahoma"/>
            <family val="2"/>
          </rPr>
          <t>revised</t>
        </r>
      </text>
    </comment>
    <comment ref="AF98" authorId="0" shapeId="0" xr:uid="{6AC49BD6-E19B-4675-959B-5C21854E3CDB}">
      <text>
        <r>
          <rPr>
            <sz val="8"/>
            <color indexed="81"/>
            <rFont val="Tahoma"/>
            <family val="2"/>
          </rPr>
          <t>revised</t>
        </r>
      </text>
    </comment>
    <comment ref="AG98" authorId="0" shapeId="0" xr:uid="{08C7FCDC-AE9C-4812-B368-0F76541369D9}">
      <text>
        <r>
          <rPr>
            <sz val="8"/>
            <color indexed="81"/>
            <rFont val="Tahoma"/>
            <family val="2"/>
          </rPr>
          <t>revised</t>
        </r>
      </text>
    </comment>
    <comment ref="AH98" authorId="0" shapeId="0" xr:uid="{1D948034-F999-40FA-98FB-8A23342CA5A8}">
      <text>
        <r>
          <rPr>
            <sz val="8"/>
            <color indexed="81"/>
            <rFont val="Tahoma"/>
            <family val="2"/>
          </rPr>
          <t>revised</t>
        </r>
      </text>
    </comment>
    <comment ref="AJ98" authorId="0" shapeId="0" xr:uid="{FC3DFBB0-F784-4CA7-9CFA-459146460CE7}">
      <text>
        <r>
          <rPr>
            <sz val="8"/>
            <color indexed="81"/>
            <rFont val="Tahoma"/>
            <family val="2"/>
          </rPr>
          <t>revised</t>
        </r>
      </text>
    </comment>
    <comment ref="AL98" authorId="0" shapeId="0" xr:uid="{5FB24138-83A7-4FC8-91CC-010EDF5EF502}">
      <text>
        <r>
          <rPr>
            <sz val="8"/>
            <color indexed="81"/>
            <rFont val="Tahoma"/>
            <family val="2"/>
          </rPr>
          <t>revised</t>
        </r>
      </text>
    </comment>
    <comment ref="AN98" authorId="0" shapeId="0" xr:uid="{917CC211-7A1B-40AD-ACD1-848F051F130E}">
      <text>
        <r>
          <rPr>
            <sz val="8"/>
            <color indexed="81"/>
            <rFont val="Tahoma"/>
            <family val="2"/>
          </rPr>
          <t>revised</t>
        </r>
      </text>
    </comment>
    <comment ref="AO98" authorId="0" shapeId="0" xr:uid="{702547E2-6C70-4749-AE8C-096AF86CD2E5}">
      <text>
        <r>
          <rPr>
            <sz val="8"/>
            <color indexed="81"/>
            <rFont val="Tahoma"/>
            <family val="2"/>
          </rPr>
          <t>revised</t>
        </r>
      </text>
    </comment>
    <comment ref="AP98" authorId="0" shapeId="0" xr:uid="{96ADFD2E-2E8F-4C67-B4C1-59E548C22513}">
      <text>
        <r>
          <rPr>
            <sz val="8"/>
            <color indexed="81"/>
            <rFont val="Tahoma"/>
            <family val="2"/>
          </rPr>
          <t>revised</t>
        </r>
      </text>
    </comment>
    <comment ref="AQ98" authorId="0" shapeId="0" xr:uid="{4C90C6B3-561F-4BBD-B177-E28311382037}">
      <text>
        <r>
          <rPr>
            <sz val="8"/>
            <color indexed="81"/>
            <rFont val="Tahoma"/>
            <family val="2"/>
          </rPr>
          <t>revised</t>
        </r>
      </text>
    </comment>
    <comment ref="AU98" authorId="0" shapeId="0" xr:uid="{9997CE49-7B73-4601-A7BD-2E1DF1BA6340}">
      <text>
        <r>
          <rPr>
            <sz val="8"/>
            <color indexed="81"/>
            <rFont val="Tahoma"/>
            <family val="2"/>
          </rPr>
          <t>revised</t>
        </r>
      </text>
    </comment>
    <comment ref="AV98" authorId="0" shapeId="0" xr:uid="{AECB0BBA-B1DE-4E29-BD91-809216D218A8}">
      <text>
        <r>
          <rPr>
            <sz val="8"/>
            <color indexed="81"/>
            <rFont val="Tahoma"/>
            <family val="2"/>
          </rPr>
          <t>revised</t>
        </r>
      </text>
    </comment>
    <comment ref="AW98" authorId="0" shapeId="0" xr:uid="{BC90FEAB-72A3-4685-B986-90D0E3D22C4C}">
      <text>
        <r>
          <rPr>
            <sz val="8"/>
            <color indexed="81"/>
            <rFont val="Tahoma"/>
            <family val="2"/>
          </rPr>
          <t>revised</t>
        </r>
      </text>
    </comment>
    <comment ref="AY98" authorId="0" shapeId="0" xr:uid="{B8F0A7A3-71E3-4AAF-BD44-77DE9A31BEB3}">
      <text>
        <r>
          <rPr>
            <sz val="8"/>
            <color indexed="81"/>
            <rFont val="Tahoma"/>
            <family val="2"/>
          </rPr>
          <t>revised</t>
        </r>
      </text>
    </comment>
    <comment ref="AZ98" authorId="0" shapeId="0" xr:uid="{8F14E1E5-D927-4429-9B7E-BD4B81071BDA}">
      <text>
        <r>
          <rPr>
            <sz val="8"/>
            <color indexed="81"/>
            <rFont val="Tahoma"/>
            <family val="2"/>
          </rPr>
          <t>revised</t>
        </r>
      </text>
    </comment>
    <comment ref="BA98" authorId="0" shapeId="0" xr:uid="{270A5154-F6BE-4C5F-9473-9C44336F1113}">
      <text>
        <r>
          <rPr>
            <sz val="8"/>
            <color indexed="81"/>
            <rFont val="Tahoma"/>
            <family val="2"/>
          </rPr>
          <t>revised</t>
        </r>
      </text>
    </comment>
    <comment ref="BC98" authorId="0" shapeId="0" xr:uid="{E3F7A31F-0284-4D7C-B157-6244438497D3}">
      <text>
        <r>
          <rPr>
            <sz val="8"/>
            <color indexed="81"/>
            <rFont val="Tahoma"/>
            <family val="2"/>
          </rPr>
          <t>revised</t>
        </r>
      </text>
    </comment>
    <comment ref="BD98" authorId="0" shapeId="0" xr:uid="{40A144A2-E2AC-4742-A760-72787FE7B084}">
      <text>
        <r>
          <rPr>
            <sz val="8"/>
            <color indexed="81"/>
            <rFont val="Tahoma"/>
            <family val="2"/>
          </rPr>
          <t>revised</t>
        </r>
      </text>
    </comment>
    <comment ref="H99" authorId="0" shapeId="0" xr:uid="{B7A66828-C5C7-48E2-BA22-33DB31E2C52B}">
      <text>
        <r>
          <rPr>
            <sz val="8"/>
            <color indexed="81"/>
            <rFont val="Tahoma"/>
            <family val="2"/>
          </rPr>
          <t>revised</t>
        </r>
      </text>
    </comment>
    <comment ref="J99" authorId="0" shapeId="0" xr:uid="{B0E377BA-4EA6-4EEA-8634-3D85B2DF997A}">
      <text>
        <r>
          <rPr>
            <sz val="8"/>
            <color indexed="81"/>
            <rFont val="Tahoma"/>
            <family val="2"/>
          </rPr>
          <t>revised</t>
        </r>
      </text>
    </comment>
    <comment ref="M99" authorId="0" shapeId="0" xr:uid="{C01DE990-BD71-4427-A0A0-7DBD54DBC98B}">
      <text>
        <r>
          <rPr>
            <sz val="8"/>
            <color indexed="81"/>
            <rFont val="Tahoma"/>
            <family val="2"/>
          </rPr>
          <t>revised</t>
        </r>
      </text>
    </comment>
    <comment ref="R99" authorId="0" shapeId="0" xr:uid="{90B22718-67C9-4C68-8BE1-8EB7A832CF7F}">
      <text>
        <r>
          <rPr>
            <sz val="8"/>
            <color indexed="81"/>
            <rFont val="Tahoma"/>
            <family val="2"/>
          </rPr>
          <t>revised</t>
        </r>
      </text>
    </comment>
    <comment ref="T99" authorId="0" shapeId="0" xr:uid="{BA697C42-0828-4B70-935F-7082D7BAB72B}">
      <text>
        <r>
          <rPr>
            <sz val="8"/>
            <color indexed="81"/>
            <rFont val="Tahoma"/>
            <family val="2"/>
          </rPr>
          <t>revised</t>
        </r>
      </text>
    </comment>
    <comment ref="Z99" authorId="0" shapeId="0" xr:uid="{B07439A1-EED3-4D74-BA10-967A3C54D493}">
      <text>
        <r>
          <rPr>
            <sz val="8"/>
            <color indexed="81"/>
            <rFont val="Tahoma"/>
            <family val="2"/>
          </rPr>
          <t>revised</t>
        </r>
      </text>
    </comment>
    <comment ref="AG99" authorId="0" shapeId="0" xr:uid="{37075F33-4B22-48FE-9551-57116E0D5580}">
      <text>
        <r>
          <rPr>
            <sz val="8"/>
            <color indexed="81"/>
            <rFont val="Tahoma"/>
            <family val="2"/>
          </rPr>
          <t>revised</t>
        </r>
      </text>
    </comment>
    <comment ref="AH99" authorId="0" shapeId="0" xr:uid="{2C6A14E1-710B-475E-8C66-30CE62EA9FA1}">
      <text>
        <r>
          <rPr>
            <sz val="8"/>
            <color indexed="81"/>
            <rFont val="Tahoma"/>
            <family val="2"/>
          </rPr>
          <t>revised</t>
        </r>
      </text>
    </comment>
    <comment ref="AI99" authorId="0" shapeId="0" xr:uid="{B2A0C15C-9F56-425A-80BC-17051F997771}">
      <text>
        <r>
          <rPr>
            <sz val="8"/>
            <color indexed="81"/>
            <rFont val="Tahoma"/>
            <family val="2"/>
          </rPr>
          <t>revised</t>
        </r>
      </text>
    </comment>
    <comment ref="AK99" authorId="0" shapeId="0" xr:uid="{1A5CBE20-1327-4D91-9387-C57C78706913}">
      <text>
        <r>
          <rPr>
            <sz val="8"/>
            <color indexed="81"/>
            <rFont val="Tahoma"/>
            <family val="2"/>
          </rPr>
          <t>revised</t>
        </r>
      </text>
    </comment>
    <comment ref="AL99" authorId="0" shapeId="0" xr:uid="{3191605E-B8D8-4EA9-BDEB-43C77EEFF728}">
      <text>
        <r>
          <rPr>
            <sz val="8"/>
            <color indexed="81"/>
            <rFont val="Tahoma"/>
            <family val="2"/>
          </rPr>
          <t>revised</t>
        </r>
      </text>
    </comment>
    <comment ref="AM99" authorId="0" shapeId="0" xr:uid="{4A91B29C-A6C6-4A26-84DC-D49813343C92}">
      <text>
        <r>
          <rPr>
            <sz val="8"/>
            <color indexed="81"/>
            <rFont val="Tahoma"/>
            <family val="2"/>
          </rPr>
          <t>revised</t>
        </r>
      </text>
    </comment>
    <comment ref="AN99" authorId="0" shapeId="0" xr:uid="{5957735A-590C-4B7A-9547-1CDC127340EB}">
      <text>
        <r>
          <rPr>
            <sz val="8"/>
            <color indexed="81"/>
            <rFont val="Tahoma"/>
            <family val="2"/>
          </rPr>
          <t>revised</t>
        </r>
      </text>
    </comment>
    <comment ref="AO99" authorId="0" shapeId="0" xr:uid="{95ECA36E-ADE2-4DAB-8A94-DB283C1438F4}">
      <text>
        <r>
          <rPr>
            <sz val="8"/>
            <color indexed="81"/>
            <rFont val="Tahoma"/>
            <family val="2"/>
          </rPr>
          <t>revised</t>
        </r>
      </text>
    </comment>
    <comment ref="AQ99" authorId="0" shapeId="0" xr:uid="{3B3BE474-0F9F-415A-9F60-C676AE799BFD}">
      <text>
        <r>
          <rPr>
            <sz val="8"/>
            <color indexed="81"/>
            <rFont val="Tahoma"/>
            <family val="2"/>
          </rPr>
          <t>revised</t>
        </r>
      </text>
    </comment>
    <comment ref="AR99" authorId="0" shapeId="0" xr:uid="{FCC70715-1527-4BBE-B085-ACEB6350715E}">
      <text>
        <r>
          <rPr>
            <sz val="8"/>
            <color indexed="81"/>
            <rFont val="Tahoma"/>
            <family val="2"/>
          </rPr>
          <t>revised</t>
        </r>
      </text>
    </comment>
    <comment ref="AT99" authorId="0" shapeId="0" xr:uid="{D5495A99-00D3-4D1C-9851-58FD9DDCA6BB}">
      <text>
        <r>
          <rPr>
            <sz val="8"/>
            <color indexed="81"/>
            <rFont val="Tahoma"/>
            <family val="2"/>
          </rPr>
          <t>revised</t>
        </r>
      </text>
    </comment>
    <comment ref="AU99" authorId="0" shapeId="0" xr:uid="{A1B1E81B-11FA-466E-9638-123C83487FC9}">
      <text>
        <r>
          <rPr>
            <sz val="8"/>
            <color indexed="81"/>
            <rFont val="Tahoma"/>
            <family val="2"/>
          </rPr>
          <t>revised</t>
        </r>
      </text>
    </comment>
    <comment ref="AV99" authorId="0" shapeId="0" xr:uid="{CD5A8CBD-8713-4BFB-A26F-B3F4B97DDD68}">
      <text>
        <r>
          <rPr>
            <sz val="8"/>
            <color indexed="81"/>
            <rFont val="Tahoma"/>
            <family val="2"/>
          </rPr>
          <t>revised</t>
        </r>
      </text>
    </comment>
    <comment ref="AW99" authorId="0" shapeId="0" xr:uid="{79FACC39-21E1-4EC1-B3FC-48E0A6B4C09E}">
      <text>
        <r>
          <rPr>
            <sz val="8"/>
            <color indexed="81"/>
            <rFont val="Tahoma"/>
            <family val="2"/>
          </rPr>
          <t>revised</t>
        </r>
      </text>
    </comment>
    <comment ref="AX99" authorId="0" shapeId="0" xr:uid="{58DA4E8C-A85E-4BCA-99FE-1D4E89E0E3F6}">
      <text>
        <r>
          <rPr>
            <sz val="8"/>
            <color indexed="81"/>
            <rFont val="Tahoma"/>
            <family val="2"/>
          </rPr>
          <t>revised</t>
        </r>
      </text>
    </comment>
    <comment ref="AY99" authorId="0" shapeId="0" xr:uid="{4DEEEE06-9976-4927-996C-AB1DC571D4C6}">
      <text>
        <r>
          <rPr>
            <sz val="8"/>
            <color indexed="81"/>
            <rFont val="Tahoma"/>
            <family val="2"/>
          </rPr>
          <t>revised</t>
        </r>
      </text>
    </comment>
    <comment ref="AZ99" authorId="0" shapeId="0" xr:uid="{A03817B0-32D9-4CD8-866A-069E16F50319}">
      <text>
        <r>
          <rPr>
            <sz val="8"/>
            <color indexed="81"/>
            <rFont val="Tahoma"/>
            <family val="2"/>
          </rPr>
          <t>revised</t>
        </r>
      </text>
    </comment>
    <comment ref="BC99" authorId="0" shapeId="0" xr:uid="{2BE897FC-0C13-4C1E-9A32-87179F322C48}">
      <text>
        <r>
          <rPr>
            <sz val="8"/>
            <color indexed="81"/>
            <rFont val="Tahoma"/>
            <family val="2"/>
          </rPr>
          <t>revised</t>
        </r>
      </text>
    </comment>
    <comment ref="BD99" authorId="0" shapeId="0" xr:uid="{E9EEE42B-780A-4A10-989A-58C69DA76B7A}">
      <text>
        <r>
          <rPr>
            <sz val="8"/>
            <color indexed="81"/>
            <rFont val="Tahoma"/>
            <family val="2"/>
          </rPr>
          <t>revised</t>
        </r>
      </text>
    </comment>
    <comment ref="C100" authorId="0" shapeId="0" xr:uid="{A00745F7-9525-4EF1-9EDB-711CFAB65D2E}">
      <text>
        <r>
          <rPr>
            <sz val="8"/>
            <color indexed="81"/>
            <rFont val="Tahoma"/>
            <family val="2"/>
          </rPr>
          <t>revised</t>
        </r>
      </text>
    </comment>
    <comment ref="J100" authorId="0" shapeId="0" xr:uid="{374201FE-2D92-4A55-8909-47903C14AE65}">
      <text>
        <r>
          <rPr>
            <sz val="8"/>
            <color indexed="81"/>
            <rFont val="Tahoma"/>
            <family val="2"/>
          </rPr>
          <t>revised</t>
        </r>
      </text>
    </comment>
    <comment ref="L100" authorId="0" shapeId="0" xr:uid="{28BA6559-F827-4848-9AA4-CFB6DECB7E7F}">
      <text>
        <r>
          <rPr>
            <sz val="8"/>
            <color indexed="81"/>
            <rFont val="Tahoma"/>
            <family val="2"/>
          </rPr>
          <t>revised</t>
        </r>
      </text>
    </comment>
    <comment ref="R100" authorId="0" shapeId="0" xr:uid="{63D1DE31-6224-44C3-92BE-D3BE65D57FF6}">
      <text>
        <r>
          <rPr>
            <sz val="8"/>
            <color indexed="81"/>
            <rFont val="Tahoma"/>
            <family val="2"/>
          </rPr>
          <t>revised</t>
        </r>
      </text>
    </comment>
    <comment ref="AE100" authorId="0" shapeId="0" xr:uid="{CF199CF4-67A2-4EC4-8A8C-94AB3F9D91D0}">
      <text>
        <r>
          <rPr>
            <sz val="8"/>
            <color indexed="81"/>
            <rFont val="Tahoma"/>
            <family val="2"/>
          </rPr>
          <t>revised</t>
        </r>
      </text>
    </comment>
    <comment ref="AF100" authorId="0" shapeId="0" xr:uid="{90710C93-B094-4A58-BD61-B143A9DCCFC2}">
      <text>
        <r>
          <rPr>
            <sz val="8"/>
            <color indexed="81"/>
            <rFont val="Tahoma"/>
            <family val="2"/>
          </rPr>
          <t>revised</t>
        </r>
      </text>
    </comment>
    <comment ref="AG100" authorId="0" shapeId="0" xr:uid="{14BC2309-77F9-4891-899F-DCED63A8160C}">
      <text>
        <r>
          <rPr>
            <sz val="8"/>
            <color indexed="81"/>
            <rFont val="Tahoma"/>
            <family val="2"/>
          </rPr>
          <t>revised</t>
        </r>
      </text>
    </comment>
    <comment ref="AH100" authorId="0" shapeId="0" xr:uid="{18A94CC2-0743-4CC0-A071-6BD0DA6BE99D}">
      <text>
        <r>
          <rPr>
            <sz val="8"/>
            <color indexed="81"/>
            <rFont val="Tahoma"/>
            <family val="2"/>
          </rPr>
          <t>revised</t>
        </r>
      </text>
    </comment>
    <comment ref="AI100" authorId="0" shapeId="0" xr:uid="{5F58EE50-8ABB-4110-97A8-9D1637346C2E}">
      <text>
        <r>
          <rPr>
            <sz val="8"/>
            <color indexed="81"/>
            <rFont val="Tahoma"/>
            <family val="2"/>
          </rPr>
          <t>revised</t>
        </r>
      </text>
    </comment>
    <comment ref="AJ100" authorId="0" shapeId="0" xr:uid="{53EADF58-EACD-46ED-9299-030525E7404A}">
      <text>
        <r>
          <rPr>
            <sz val="8"/>
            <color indexed="81"/>
            <rFont val="Tahoma"/>
            <family val="2"/>
          </rPr>
          <t>revised</t>
        </r>
      </text>
    </comment>
    <comment ref="AK100" authorId="0" shapeId="0" xr:uid="{50F600D4-5E8D-433C-ACDC-A462CDB43474}">
      <text>
        <r>
          <rPr>
            <sz val="8"/>
            <color indexed="81"/>
            <rFont val="Tahoma"/>
            <family val="2"/>
          </rPr>
          <t>revised</t>
        </r>
      </text>
    </comment>
    <comment ref="AL100" authorId="0" shapeId="0" xr:uid="{C13733D4-34DA-43E4-AC5D-26302414026E}">
      <text>
        <r>
          <rPr>
            <sz val="8"/>
            <color indexed="81"/>
            <rFont val="Tahoma"/>
            <family val="2"/>
          </rPr>
          <t>revised</t>
        </r>
      </text>
    </comment>
    <comment ref="AN100" authorId="0" shapeId="0" xr:uid="{E48821B0-B515-42D4-8528-EEA5AD39E7A5}">
      <text>
        <r>
          <rPr>
            <sz val="8"/>
            <color indexed="81"/>
            <rFont val="Tahoma"/>
            <family val="2"/>
          </rPr>
          <t>revised</t>
        </r>
      </text>
    </comment>
    <comment ref="AO100" authorId="0" shapeId="0" xr:uid="{CF6A19F3-5BD1-45A5-94E6-D3356EE8755D}">
      <text>
        <r>
          <rPr>
            <sz val="8"/>
            <color indexed="81"/>
            <rFont val="Tahoma"/>
            <family val="2"/>
          </rPr>
          <t>revised</t>
        </r>
      </text>
    </comment>
    <comment ref="AP100" authorId="0" shapeId="0" xr:uid="{5CFAF8B9-6278-4EA1-905E-47FCBCEE167B}">
      <text>
        <r>
          <rPr>
            <sz val="8"/>
            <color indexed="81"/>
            <rFont val="Tahoma"/>
            <family val="2"/>
          </rPr>
          <t>revised</t>
        </r>
      </text>
    </comment>
    <comment ref="AU100" authorId="0" shapeId="0" xr:uid="{DDC8CB1E-6F9A-4EF3-9BD2-A071A6C060B1}">
      <text>
        <r>
          <rPr>
            <sz val="8"/>
            <color indexed="81"/>
            <rFont val="Tahoma"/>
            <family val="2"/>
          </rPr>
          <t>revised</t>
        </r>
      </text>
    </comment>
    <comment ref="AV100" authorId="0" shapeId="0" xr:uid="{BE7869AE-C9DC-4072-AC34-CFC990BAC754}">
      <text>
        <r>
          <rPr>
            <sz val="8"/>
            <color indexed="81"/>
            <rFont val="Tahoma"/>
            <family val="2"/>
          </rPr>
          <t>revised</t>
        </r>
      </text>
    </comment>
    <comment ref="AW100" authorId="0" shapeId="0" xr:uid="{C771F510-37F3-49DB-8CFB-1469584F90A7}">
      <text>
        <r>
          <rPr>
            <sz val="8"/>
            <color indexed="81"/>
            <rFont val="Tahoma"/>
            <family val="2"/>
          </rPr>
          <t>revised</t>
        </r>
      </text>
    </comment>
    <comment ref="AY100" authorId="0" shapeId="0" xr:uid="{239326C6-4CAF-4A56-B834-8450E226B013}">
      <text>
        <r>
          <rPr>
            <sz val="8"/>
            <color indexed="81"/>
            <rFont val="Tahoma"/>
            <family val="2"/>
          </rPr>
          <t>revised</t>
        </r>
      </text>
    </comment>
    <comment ref="AZ100" authorId="0" shapeId="0" xr:uid="{75CFD6F4-0F9B-42AF-AED7-9C9C3D14654D}">
      <text>
        <r>
          <rPr>
            <sz val="8"/>
            <color indexed="81"/>
            <rFont val="Tahoma"/>
            <family val="2"/>
          </rPr>
          <t>revised</t>
        </r>
      </text>
    </comment>
    <comment ref="BC100" authorId="0" shapeId="0" xr:uid="{C6FE54D6-8692-431F-AF45-913196C4CCB4}">
      <text>
        <r>
          <rPr>
            <sz val="8"/>
            <color indexed="81"/>
            <rFont val="Tahoma"/>
            <family val="2"/>
          </rPr>
          <t>revised</t>
        </r>
      </text>
    </comment>
    <comment ref="BD100" authorId="0" shapeId="0" xr:uid="{81AB5B7F-3E61-4309-A713-E96F88721FE9}">
      <text>
        <r>
          <rPr>
            <sz val="8"/>
            <color indexed="81"/>
            <rFont val="Tahoma"/>
            <family val="2"/>
          </rPr>
          <t>revised</t>
        </r>
      </text>
    </comment>
    <comment ref="BF100" authorId="0" shapeId="0" xr:uid="{8C6006ED-51B4-49B3-9B49-4FFE1F5DD445}">
      <text>
        <r>
          <rPr>
            <sz val="8"/>
            <color indexed="81"/>
            <rFont val="Tahoma"/>
            <family val="2"/>
          </rPr>
          <t>revised</t>
        </r>
      </text>
    </comment>
    <comment ref="BI100" authorId="0" shapeId="0" xr:uid="{6E780798-1702-44AD-A90A-B94048073E7B}">
      <text>
        <r>
          <rPr>
            <sz val="8"/>
            <color indexed="81"/>
            <rFont val="Tahoma"/>
            <family val="2"/>
          </rPr>
          <t>revised</t>
        </r>
      </text>
    </comment>
    <comment ref="E101" authorId="0" shapeId="0" xr:uid="{B9CAB9BE-1B40-4F0C-9764-7BE5CB06413E}">
      <text>
        <r>
          <rPr>
            <sz val="8"/>
            <color indexed="81"/>
            <rFont val="Tahoma"/>
            <family val="2"/>
          </rPr>
          <t>revised</t>
        </r>
      </text>
    </comment>
    <comment ref="M101" authorId="0" shapeId="0" xr:uid="{F40B8D42-D34E-4B65-9D00-F3EFD06A0C21}">
      <text>
        <r>
          <rPr>
            <sz val="8"/>
            <color indexed="81"/>
            <rFont val="Tahoma"/>
            <family val="2"/>
          </rPr>
          <t>revised</t>
        </r>
      </text>
    </comment>
    <comment ref="Q101" authorId="0" shapeId="0" xr:uid="{F03D34C7-F8D6-4576-80CD-1EB1C281D313}">
      <text>
        <r>
          <rPr>
            <sz val="8"/>
            <color indexed="81"/>
            <rFont val="Tahoma"/>
            <family val="2"/>
          </rPr>
          <t>revised</t>
        </r>
      </text>
    </comment>
    <comment ref="S101" authorId="0" shapeId="0" xr:uid="{C2B96918-F9CB-49A5-980C-E10A8065FDAD}">
      <text>
        <r>
          <rPr>
            <sz val="8"/>
            <color indexed="81"/>
            <rFont val="Tahoma"/>
            <family val="2"/>
          </rPr>
          <t>revised</t>
        </r>
      </text>
    </comment>
    <comment ref="T101" authorId="0" shapeId="0" xr:uid="{AFDB5789-6AF2-4E0C-ABE9-5775C3AA00A7}">
      <text>
        <r>
          <rPr>
            <sz val="8"/>
            <color indexed="81"/>
            <rFont val="Tahoma"/>
            <family val="2"/>
          </rPr>
          <t>revised</t>
        </r>
      </text>
    </comment>
    <comment ref="AF101" authorId="0" shapeId="0" xr:uid="{2242B904-69F8-4EE3-BE21-10F54194E4D9}">
      <text>
        <r>
          <rPr>
            <sz val="8"/>
            <color indexed="81"/>
            <rFont val="Tahoma"/>
            <family val="2"/>
          </rPr>
          <t>revised</t>
        </r>
      </text>
    </comment>
    <comment ref="AG101" authorId="0" shapeId="0" xr:uid="{4F4E4394-DC0B-4B95-B3DB-F44BD37120DC}">
      <text>
        <r>
          <rPr>
            <sz val="8"/>
            <color indexed="81"/>
            <rFont val="Tahoma"/>
            <family val="2"/>
          </rPr>
          <t>revised</t>
        </r>
      </text>
    </comment>
    <comment ref="AH101" authorId="0" shapeId="0" xr:uid="{C64CEC63-5FCF-421F-929C-830FC58C4B3A}">
      <text>
        <r>
          <rPr>
            <sz val="8"/>
            <color indexed="81"/>
            <rFont val="Tahoma"/>
            <family val="2"/>
          </rPr>
          <t>revised</t>
        </r>
      </text>
    </comment>
    <comment ref="AI101" authorId="0" shapeId="0" xr:uid="{89E69BAD-40F6-4546-9C91-BBF95828C8BF}">
      <text>
        <r>
          <rPr>
            <sz val="8"/>
            <color indexed="81"/>
            <rFont val="Tahoma"/>
            <family val="2"/>
          </rPr>
          <t>revised</t>
        </r>
      </text>
    </comment>
    <comment ref="AJ101" authorId="0" shapeId="0" xr:uid="{1492F12A-C951-4C47-9E65-66C1FD1861D3}">
      <text>
        <r>
          <rPr>
            <sz val="8"/>
            <color indexed="81"/>
            <rFont val="Tahoma"/>
            <family val="2"/>
          </rPr>
          <t>revised</t>
        </r>
      </text>
    </comment>
    <comment ref="AK101" authorId="0" shapeId="0" xr:uid="{D43C2F8B-E9C5-40AE-BA64-C70A48E5227E}">
      <text>
        <r>
          <rPr>
            <sz val="8"/>
            <color indexed="81"/>
            <rFont val="Tahoma"/>
            <family val="2"/>
          </rPr>
          <t>revised</t>
        </r>
      </text>
    </comment>
    <comment ref="AL101" authorId="0" shapeId="0" xr:uid="{BAFE3D5E-BF63-48E1-92C4-D7D0DC81CC59}">
      <text>
        <r>
          <rPr>
            <sz val="8"/>
            <color indexed="81"/>
            <rFont val="Tahoma"/>
            <family val="2"/>
          </rPr>
          <t>revised</t>
        </r>
      </text>
    </comment>
    <comment ref="AN101" authorId="0" shapeId="0" xr:uid="{E732003C-2E1F-49F6-875A-8C00F37A3A38}">
      <text>
        <r>
          <rPr>
            <sz val="8"/>
            <color indexed="81"/>
            <rFont val="Tahoma"/>
            <family val="2"/>
          </rPr>
          <t>revised</t>
        </r>
      </text>
    </comment>
    <comment ref="AO101" authorId="0" shapeId="0" xr:uid="{BFC6EF4C-95D2-4D2D-91DD-55F4451A1283}">
      <text>
        <r>
          <rPr>
            <sz val="8"/>
            <color indexed="81"/>
            <rFont val="Tahoma"/>
            <family val="2"/>
          </rPr>
          <t>revised</t>
        </r>
      </text>
    </comment>
    <comment ref="AP101" authorId="0" shapeId="0" xr:uid="{4ED1CEE8-D6BC-4D9D-BF88-C4B2D57D2DCB}">
      <text>
        <r>
          <rPr>
            <sz val="8"/>
            <color indexed="81"/>
            <rFont val="Tahoma"/>
            <family val="2"/>
          </rPr>
          <t>revised</t>
        </r>
      </text>
    </comment>
    <comment ref="AQ101" authorId="0" shapeId="0" xr:uid="{9F6B0E1A-F136-4248-AFDB-36AB0E85F1B2}">
      <text>
        <r>
          <rPr>
            <sz val="8"/>
            <color indexed="81"/>
            <rFont val="Tahoma"/>
            <family val="2"/>
          </rPr>
          <t>revised</t>
        </r>
      </text>
    </comment>
    <comment ref="AT101" authorId="0" shapeId="0" xr:uid="{CFD0D910-07EB-4912-AD2B-9EB0E246FE3B}">
      <text>
        <r>
          <rPr>
            <sz val="8"/>
            <color indexed="81"/>
            <rFont val="Tahoma"/>
            <family val="2"/>
          </rPr>
          <t>revised</t>
        </r>
      </text>
    </comment>
    <comment ref="AU101" authorId="0" shapeId="0" xr:uid="{7045E5F6-B4A5-409B-9FE0-084491776040}">
      <text>
        <r>
          <rPr>
            <sz val="8"/>
            <color indexed="81"/>
            <rFont val="Tahoma"/>
            <family val="2"/>
          </rPr>
          <t>revised</t>
        </r>
      </text>
    </comment>
    <comment ref="AV101" authorId="0" shapeId="0" xr:uid="{DF37C066-068B-46AD-A40E-3F63B7BC4CB7}">
      <text>
        <r>
          <rPr>
            <sz val="8"/>
            <color indexed="81"/>
            <rFont val="Tahoma"/>
            <family val="2"/>
          </rPr>
          <t>revised</t>
        </r>
      </text>
    </comment>
    <comment ref="AW101" authorId="0" shapeId="0" xr:uid="{A8B6D91A-E863-4496-86AE-05019C3676F2}">
      <text>
        <r>
          <rPr>
            <sz val="8"/>
            <color indexed="81"/>
            <rFont val="Tahoma"/>
            <family val="2"/>
          </rPr>
          <t>revised</t>
        </r>
      </text>
    </comment>
    <comment ref="AX101" authorId="0" shapeId="0" xr:uid="{62C16A99-5297-4AD5-AC8E-B216C9588DAD}">
      <text>
        <r>
          <rPr>
            <sz val="8"/>
            <color indexed="81"/>
            <rFont val="Tahoma"/>
            <family val="2"/>
          </rPr>
          <t>revised</t>
        </r>
      </text>
    </comment>
    <comment ref="AY101" authorId="0" shapeId="0" xr:uid="{6C0299C2-1A20-4C5A-893C-D4C658805A23}">
      <text>
        <r>
          <rPr>
            <sz val="8"/>
            <color indexed="81"/>
            <rFont val="Tahoma"/>
            <family val="2"/>
          </rPr>
          <t>revised</t>
        </r>
      </text>
    </comment>
    <comment ref="AZ101" authorId="0" shapeId="0" xr:uid="{CAFB01F7-40A2-4AB8-92DA-1E810C3268ED}">
      <text>
        <r>
          <rPr>
            <sz val="8"/>
            <color indexed="81"/>
            <rFont val="Tahoma"/>
            <family val="2"/>
          </rPr>
          <t>revised</t>
        </r>
      </text>
    </comment>
    <comment ref="BC101" authorId="0" shapeId="0" xr:uid="{69EF1196-13BB-4C77-A930-DBCBB5DF9637}">
      <text>
        <r>
          <rPr>
            <sz val="8"/>
            <color indexed="81"/>
            <rFont val="Tahoma"/>
            <family val="2"/>
          </rPr>
          <t>revised</t>
        </r>
      </text>
    </comment>
    <comment ref="BE101" authorId="0" shapeId="0" xr:uid="{C2223596-7C7D-4D2B-A481-65FA5047117D}">
      <text>
        <r>
          <rPr>
            <sz val="8"/>
            <color indexed="81"/>
            <rFont val="Tahoma"/>
            <family val="2"/>
          </rPr>
          <t>revised</t>
        </r>
      </text>
    </comment>
    <comment ref="B102" authorId="0" shapeId="0" xr:uid="{2CDB4177-AD49-44D1-8E20-23EDD88FEDC7}">
      <text>
        <r>
          <rPr>
            <sz val="8"/>
            <color indexed="81"/>
            <rFont val="Tahoma"/>
            <family val="2"/>
          </rPr>
          <t>revised</t>
        </r>
      </text>
    </comment>
    <comment ref="D102" authorId="0" shapeId="0" xr:uid="{05385A1A-A0F9-4860-9145-12C7170F3178}">
      <text>
        <r>
          <rPr>
            <sz val="8"/>
            <color indexed="81"/>
            <rFont val="Tahoma"/>
            <family val="2"/>
          </rPr>
          <t>revised</t>
        </r>
      </text>
    </comment>
    <comment ref="O102" authorId="0" shapeId="0" xr:uid="{5C806CA2-CD7F-4C1E-B4C5-965A28D309DB}">
      <text>
        <r>
          <rPr>
            <sz val="8"/>
            <color indexed="81"/>
            <rFont val="Tahoma"/>
            <family val="2"/>
          </rPr>
          <t>revised</t>
        </r>
      </text>
    </comment>
    <comment ref="X102" authorId="0" shapeId="0" xr:uid="{53C1B4BF-C948-4152-85EA-F11F922B32F6}">
      <text>
        <r>
          <rPr>
            <sz val="8"/>
            <color indexed="81"/>
            <rFont val="Tahoma"/>
            <family val="2"/>
          </rPr>
          <t>revised</t>
        </r>
      </text>
    </comment>
    <comment ref="Y102" authorId="0" shapeId="0" xr:uid="{C90CA322-6C7E-4FFC-98A3-D4768C0554DA}">
      <text>
        <r>
          <rPr>
            <sz val="8"/>
            <color indexed="81"/>
            <rFont val="Tahoma"/>
            <family val="2"/>
          </rPr>
          <t>revised</t>
        </r>
      </text>
    </comment>
    <comment ref="Z102" authorId="0" shapeId="0" xr:uid="{E18655CA-327E-44E5-B8C9-34ED5938B786}">
      <text>
        <r>
          <rPr>
            <sz val="8"/>
            <color indexed="81"/>
            <rFont val="Tahoma"/>
            <family val="2"/>
          </rPr>
          <t>revised</t>
        </r>
      </text>
    </comment>
    <comment ref="AA102" authorId="0" shapeId="0" xr:uid="{A702FA31-4131-48E6-AD09-E5329ABA9517}">
      <text>
        <r>
          <rPr>
            <sz val="8"/>
            <color indexed="81"/>
            <rFont val="Tahoma"/>
            <family val="2"/>
          </rPr>
          <t>revised</t>
        </r>
      </text>
    </comment>
    <comment ref="AC102" authorId="0" shapeId="0" xr:uid="{9A4EEBA5-DC91-42CF-A316-A745B6020987}">
      <text>
        <r>
          <rPr>
            <sz val="8"/>
            <color indexed="81"/>
            <rFont val="Tahoma"/>
            <family val="2"/>
          </rPr>
          <t>revised</t>
        </r>
      </text>
    </comment>
    <comment ref="AF102" authorId="0" shapeId="0" xr:uid="{6F34888C-8361-4B72-9472-A5B8C27AAB49}">
      <text>
        <r>
          <rPr>
            <sz val="8"/>
            <color indexed="81"/>
            <rFont val="Tahoma"/>
            <family val="2"/>
          </rPr>
          <t>revised</t>
        </r>
      </text>
    </comment>
    <comment ref="AG102" authorId="0" shapeId="0" xr:uid="{22F52F5A-2C71-41C1-8DF5-72DA7865FCB7}">
      <text>
        <r>
          <rPr>
            <sz val="8"/>
            <color indexed="81"/>
            <rFont val="Tahoma"/>
            <family val="2"/>
          </rPr>
          <t>revised</t>
        </r>
      </text>
    </comment>
    <comment ref="AH102" authorId="0" shapeId="0" xr:uid="{C9F851C2-4313-4C5A-AB31-EE05B437DB4D}">
      <text>
        <r>
          <rPr>
            <sz val="8"/>
            <color indexed="81"/>
            <rFont val="Tahoma"/>
            <family val="2"/>
          </rPr>
          <t>revised</t>
        </r>
      </text>
    </comment>
    <comment ref="AI102" authorId="0" shapeId="0" xr:uid="{552979A6-8325-4FAC-8356-D87CD22E81A6}">
      <text>
        <r>
          <rPr>
            <sz val="8"/>
            <color indexed="81"/>
            <rFont val="Tahoma"/>
            <family val="2"/>
          </rPr>
          <t>revised</t>
        </r>
      </text>
    </comment>
    <comment ref="AJ102" authorId="0" shapeId="0" xr:uid="{C325469E-F5F1-4E4D-A2B1-AADF67F2E782}">
      <text>
        <r>
          <rPr>
            <sz val="8"/>
            <color indexed="81"/>
            <rFont val="Tahoma"/>
            <family val="2"/>
          </rPr>
          <t>revised</t>
        </r>
      </text>
    </comment>
    <comment ref="AK102" authorId="0" shapeId="0" xr:uid="{EC852902-AE54-46D4-B27C-F131C6B4D6CA}">
      <text>
        <r>
          <rPr>
            <sz val="8"/>
            <color indexed="81"/>
            <rFont val="Tahoma"/>
            <family val="2"/>
          </rPr>
          <t>revised</t>
        </r>
      </text>
    </comment>
    <comment ref="AL102" authorId="0" shapeId="0" xr:uid="{AB845D7C-6183-4A9D-BE62-71C3D0B8EDD9}">
      <text>
        <r>
          <rPr>
            <sz val="8"/>
            <color indexed="81"/>
            <rFont val="Tahoma"/>
            <family val="2"/>
          </rPr>
          <t>revised</t>
        </r>
      </text>
    </comment>
    <comment ref="AM102" authorId="0" shapeId="0" xr:uid="{7D1C84AC-9419-49D4-B9BF-0D36C1D5FBA7}">
      <text>
        <r>
          <rPr>
            <sz val="8"/>
            <color indexed="81"/>
            <rFont val="Tahoma"/>
            <family val="2"/>
          </rPr>
          <t>revised</t>
        </r>
      </text>
    </comment>
    <comment ref="AN102" authorId="0" shapeId="0" xr:uid="{DB8FC511-02A5-4429-8325-65B2067A8DD9}">
      <text>
        <r>
          <rPr>
            <sz val="8"/>
            <color indexed="81"/>
            <rFont val="Tahoma"/>
            <family val="2"/>
          </rPr>
          <t>revised</t>
        </r>
      </text>
    </comment>
    <comment ref="AO102" authorId="0" shapeId="0" xr:uid="{3041F646-31E6-4BE1-940B-D23C837E3A38}">
      <text>
        <r>
          <rPr>
            <sz val="8"/>
            <color indexed="81"/>
            <rFont val="Tahoma"/>
            <family val="2"/>
          </rPr>
          <t>revised</t>
        </r>
      </text>
    </comment>
    <comment ref="AP102" authorId="0" shapeId="0" xr:uid="{E1DE6BA9-B91D-4BE5-A733-99F4706E1783}">
      <text>
        <r>
          <rPr>
            <sz val="8"/>
            <color indexed="81"/>
            <rFont val="Tahoma"/>
            <family val="2"/>
          </rPr>
          <t>revised</t>
        </r>
      </text>
    </comment>
    <comment ref="AQ102" authorId="0" shapeId="0" xr:uid="{95B4A5C6-65C3-411E-827C-40CA06E7E273}">
      <text>
        <r>
          <rPr>
            <sz val="8"/>
            <color indexed="81"/>
            <rFont val="Tahoma"/>
            <family val="2"/>
          </rPr>
          <t>revised</t>
        </r>
      </text>
    </comment>
    <comment ref="AR102" authorId="0" shapeId="0" xr:uid="{F0445374-F084-456E-B58F-6215BF16BA75}">
      <text>
        <r>
          <rPr>
            <sz val="8"/>
            <color indexed="81"/>
            <rFont val="Tahoma"/>
            <family val="2"/>
          </rPr>
          <t>revised</t>
        </r>
      </text>
    </comment>
    <comment ref="AS102" authorId="0" shapeId="0" xr:uid="{C808D9BF-5EE3-4C2E-AC02-A9ED0827C3AA}">
      <text>
        <r>
          <rPr>
            <sz val="8"/>
            <color indexed="81"/>
            <rFont val="Tahoma"/>
            <family val="2"/>
          </rPr>
          <t>revised</t>
        </r>
      </text>
    </comment>
    <comment ref="AT102" authorId="0" shapeId="0" xr:uid="{2FB498F8-FD5A-4C04-8739-0568302612F5}">
      <text>
        <r>
          <rPr>
            <sz val="8"/>
            <color indexed="81"/>
            <rFont val="Tahoma"/>
            <family val="2"/>
          </rPr>
          <t>revised</t>
        </r>
      </text>
    </comment>
    <comment ref="AU102" authorId="0" shapeId="0" xr:uid="{FAB3E609-E915-43B0-BBB0-0427898D1788}">
      <text>
        <r>
          <rPr>
            <sz val="8"/>
            <color indexed="81"/>
            <rFont val="Tahoma"/>
            <family val="2"/>
          </rPr>
          <t>revised</t>
        </r>
      </text>
    </comment>
    <comment ref="AV102" authorId="0" shapeId="0" xr:uid="{2045780C-EC07-473A-A2D5-F07D90D59846}">
      <text>
        <r>
          <rPr>
            <sz val="8"/>
            <color indexed="81"/>
            <rFont val="Tahoma"/>
            <family val="2"/>
          </rPr>
          <t>revised</t>
        </r>
      </text>
    </comment>
    <comment ref="AW102" authorId="0" shapeId="0" xr:uid="{33E3A07D-B7C2-40D2-8EF2-40D37364CF5B}">
      <text>
        <r>
          <rPr>
            <sz val="8"/>
            <color indexed="81"/>
            <rFont val="Tahoma"/>
            <family val="2"/>
          </rPr>
          <t>revised</t>
        </r>
      </text>
    </comment>
    <comment ref="AX102" authorId="0" shapeId="0" xr:uid="{23353D7C-0586-4C2F-91C9-F08D213D353E}">
      <text>
        <r>
          <rPr>
            <sz val="8"/>
            <color indexed="81"/>
            <rFont val="Tahoma"/>
            <family val="2"/>
          </rPr>
          <t>revised</t>
        </r>
      </text>
    </comment>
    <comment ref="AY102" authorId="0" shapeId="0" xr:uid="{5EFEFA50-4F5F-493F-88CF-30975C4B2769}">
      <text>
        <r>
          <rPr>
            <sz val="8"/>
            <color indexed="81"/>
            <rFont val="Tahoma"/>
            <family val="2"/>
          </rPr>
          <t>revised</t>
        </r>
      </text>
    </comment>
    <comment ref="AZ102" authorId="0" shapeId="0" xr:uid="{2A4AEDF7-7925-4003-9C6A-AE8F98738DA9}">
      <text>
        <r>
          <rPr>
            <sz val="8"/>
            <color indexed="81"/>
            <rFont val="Tahoma"/>
            <family val="2"/>
          </rPr>
          <t>revised</t>
        </r>
      </text>
    </comment>
    <comment ref="BA102" authorId="0" shapeId="0" xr:uid="{42F9E7A6-76EC-4B36-9D57-4D385865DBDD}">
      <text>
        <r>
          <rPr>
            <sz val="8"/>
            <color indexed="81"/>
            <rFont val="Tahoma"/>
            <family val="2"/>
          </rPr>
          <t>revised</t>
        </r>
      </text>
    </comment>
    <comment ref="BB102" authorId="0" shapeId="0" xr:uid="{685650FC-4C64-4BA5-93FB-F3BDFAB8AA39}">
      <text>
        <r>
          <rPr>
            <sz val="8"/>
            <color indexed="81"/>
            <rFont val="Tahoma"/>
            <family val="2"/>
          </rPr>
          <t>revised</t>
        </r>
      </text>
    </comment>
    <comment ref="BC102" authorId="0" shapeId="0" xr:uid="{29D5228B-DAF1-4990-ABE3-D3F0B33A10E2}">
      <text>
        <r>
          <rPr>
            <sz val="8"/>
            <color indexed="81"/>
            <rFont val="Tahoma"/>
            <family val="2"/>
          </rPr>
          <t>revised</t>
        </r>
      </text>
    </comment>
    <comment ref="BD102" authorId="0" shapeId="0" xr:uid="{FC2617D5-81A2-43D5-A1C6-E9DD26DAB187}">
      <text>
        <r>
          <rPr>
            <sz val="8"/>
            <color indexed="81"/>
            <rFont val="Tahoma"/>
            <family val="2"/>
          </rPr>
          <t>revised</t>
        </r>
      </text>
    </comment>
    <comment ref="BE102" authorId="0" shapeId="0" xr:uid="{644D3F9C-D047-4E11-A451-D5FF4A50214B}">
      <text>
        <r>
          <rPr>
            <sz val="8"/>
            <color indexed="81"/>
            <rFont val="Tahoma"/>
            <family val="2"/>
          </rPr>
          <t>revised</t>
        </r>
      </text>
    </comment>
    <comment ref="BF102" authorId="0" shapeId="0" xr:uid="{0C8E6625-DDA0-43CD-91F1-EA32B5EAF5CF}">
      <text>
        <r>
          <rPr>
            <sz val="8"/>
            <color indexed="81"/>
            <rFont val="Tahoma"/>
            <family val="2"/>
          </rPr>
          <t>revised</t>
        </r>
      </text>
    </comment>
    <comment ref="BG102" authorId="0" shapeId="0" xr:uid="{DE414F1A-D7B3-44AC-BDA9-B926A1D9CC2D}">
      <text>
        <r>
          <rPr>
            <sz val="8"/>
            <color indexed="81"/>
            <rFont val="Tahoma"/>
            <family val="2"/>
          </rPr>
          <t>revised</t>
        </r>
      </text>
    </comment>
    <comment ref="BI102" authorId="0" shapeId="0" xr:uid="{F5EC2E61-FB66-4B8B-B2CF-6332BF11B6D4}">
      <text>
        <r>
          <rPr>
            <sz val="8"/>
            <color indexed="81"/>
            <rFont val="Tahoma"/>
            <family val="2"/>
          </rPr>
          <t>revised</t>
        </r>
      </text>
    </comment>
    <comment ref="F103" authorId="0" shapeId="0" xr:uid="{F615862A-2A2B-4CC6-9E1D-E73265167DA7}">
      <text>
        <r>
          <rPr>
            <sz val="8"/>
            <color indexed="81"/>
            <rFont val="Tahoma"/>
            <family val="2"/>
          </rPr>
          <t>revised</t>
        </r>
      </text>
    </comment>
    <comment ref="H103" authorId="0" shapeId="0" xr:uid="{5D950F74-7C7E-49FE-A408-263CD94BC0B0}">
      <text>
        <r>
          <rPr>
            <sz val="8"/>
            <color indexed="81"/>
            <rFont val="Tahoma"/>
            <family val="2"/>
          </rPr>
          <t>revised</t>
        </r>
      </text>
    </comment>
    <comment ref="I103" authorId="0" shapeId="0" xr:uid="{CB80BFB0-3ACF-4486-86AF-D74E77484A29}">
      <text>
        <r>
          <rPr>
            <sz val="8"/>
            <color indexed="81"/>
            <rFont val="Tahoma"/>
            <family val="2"/>
          </rPr>
          <t>revised</t>
        </r>
      </text>
    </comment>
    <comment ref="J103" authorId="0" shapeId="0" xr:uid="{D0FD2E13-1E30-4BC2-A5BC-4DEDD12C4310}">
      <text>
        <r>
          <rPr>
            <sz val="8"/>
            <color indexed="81"/>
            <rFont val="Tahoma"/>
            <family val="2"/>
          </rPr>
          <t>revised</t>
        </r>
      </text>
    </comment>
    <comment ref="L103" authorId="0" shapeId="0" xr:uid="{E7354AB9-372E-474C-9D25-C93E535952B5}">
      <text>
        <r>
          <rPr>
            <sz val="8"/>
            <color indexed="81"/>
            <rFont val="Tahoma"/>
            <family val="2"/>
          </rPr>
          <t>revised</t>
        </r>
      </text>
    </comment>
    <comment ref="O103" authorId="0" shapeId="0" xr:uid="{BDF23515-4634-4321-B269-1F8A68BF9FCC}">
      <text>
        <r>
          <rPr>
            <sz val="8"/>
            <color indexed="81"/>
            <rFont val="Tahoma"/>
            <family val="2"/>
          </rPr>
          <t>revised</t>
        </r>
      </text>
    </comment>
    <comment ref="R103" authorId="0" shapeId="0" xr:uid="{4BB6D36A-A849-4F35-9480-5E3EB03CFD62}">
      <text>
        <r>
          <rPr>
            <sz val="8"/>
            <color indexed="81"/>
            <rFont val="Tahoma"/>
            <family val="2"/>
          </rPr>
          <t>revised</t>
        </r>
      </text>
    </comment>
    <comment ref="S103" authorId="0" shapeId="0" xr:uid="{5B7799A3-FC83-4C02-857A-EF9457774374}">
      <text>
        <r>
          <rPr>
            <sz val="8"/>
            <color indexed="81"/>
            <rFont val="Tahoma"/>
            <family val="2"/>
          </rPr>
          <t>revised</t>
        </r>
      </text>
    </comment>
    <comment ref="Y103" authorId="0" shapeId="0" xr:uid="{91D17417-812A-4D20-943E-ACEEA6CC43FE}">
      <text>
        <r>
          <rPr>
            <sz val="8"/>
            <color indexed="81"/>
            <rFont val="Tahoma"/>
            <family val="2"/>
          </rPr>
          <t>revised</t>
        </r>
      </text>
    </comment>
    <comment ref="Z103" authorId="0" shapeId="0" xr:uid="{97866DDF-49F8-42D9-9751-A3B2F74DBAAB}">
      <text>
        <r>
          <rPr>
            <sz val="8"/>
            <color indexed="81"/>
            <rFont val="Tahoma"/>
            <family val="2"/>
          </rPr>
          <t>revised</t>
        </r>
      </text>
    </comment>
    <comment ref="AB103" authorId="0" shapeId="0" xr:uid="{70B26E6D-7D6A-472D-885B-0068FFE6459C}">
      <text>
        <r>
          <rPr>
            <sz val="8"/>
            <color indexed="81"/>
            <rFont val="Tahoma"/>
            <family val="2"/>
          </rPr>
          <t>revised</t>
        </r>
      </text>
    </comment>
    <comment ref="AF103" authorId="0" shapeId="0" xr:uid="{552C26D0-62D3-4A87-8BA2-EEE316E85C9E}">
      <text>
        <r>
          <rPr>
            <sz val="8"/>
            <color indexed="81"/>
            <rFont val="Tahoma"/>
            <family val="2"/>
          </rPr>
          <t>revised</t>
        </r>
      </text>
    </comment>
    <comment ref="AG103" authorId="0" shapeId="0" xr:uid="{E0D4D4DA-8764-4A4F-AC0A-FC8E4027B6AB}">
      <text>
        <r>
          <rPr>
            <sz val="8"/>
            <color indexed="81"/>
            <rFont val="Tahoma"/>
            <family val="2"/>
          </rPr>
          <t>revised</t>
        </r>
      </text>
    </comment>
    <comment ref="AH103" authorId="0" shapeId="0" xr:uid="{7869AEEA-FE8F-4D1B-A912-964792696286}">
      <text>
        <r>
          <rPr>
            <sz val="8"/>
            <color indexed="81"/>
            <rFont val="Tahoma"/>
            <family val="2"/>
          </rPr>
          <t>revised</t>
        </r>
      </text>
    </comment>
    <comment ref="AI103" authorId="0" shapeId="0" xr:uid="{2E84F579-967C-4BFC-A4DA-669DA19C0ADD}">
      <text>
        <r>
          <rPr>
            <sz val="8"/>
            <color indexed="81"/>
            <rFont val="Tahoma"/>
            <family val="2"/>
          </rPr>
          <t>revised</t>
        </r>
      </text>
    </comment>
    <comment ref="AJ103" authorId="0" shapeId="0" xr:uid="{DD5EE579-63DE-435F-AABB-4743A903A2F6}">
      <text>
        <r>
          <rPr>
            <sz val="8"/>
            <color indexed="81"/>
            <rFont val="Tahoma"/>
            <family val="2"/>
          </rPr>
          <t>revised</t>
        </r>
      </text>
    </comment>
    <comment ref="AK103" authorId="0" shapeId="0" xr:uid="{6B8789BA-096A-4FB2-B115-F98CA82DDA81}">
      <text>
        <r>
          <rPr>
            <sz val="8"/>
            <color indexed="81"/>
            <rFont val="Tahoma"/>
            <family val="2"/>
          </rPr>
          <t>revised</t>
        </r>
      </text>
    </comment>
    <comment ref="AL103" authorId="0" shapeId="0" xr:uid="{1BE1159F-E3C2-46DB-A706-AD9F6A781FDF}">
      <text>
        <r>
          <rPr>
            <sz val="8"/>
            <color indexed="81"/>
            <rFont val="Tahoma"/>
            <family val="2"/>
          </rPr>
          <t>revised</t>
        </r>
      </text>
    </comment>
    <comment ref="AM103" authorId="0" shapeId="0" xr:uid="{6BD20B96-4CEA-4FE7-8FCA-8CB90F2052A8}">
      <text>
        <r>
          <rPr>
            <sz val="8"/>
            <color indexed="81"/>
            <rFont val="Tahoma"/>
            <family val="2"/>
          </rPr>
          <t>revised</t>
        </r>
      </text>
    </comment>
    <comment ref="AN103" authorId="0" shapeId="0" xr:uid="{9D4DF99C-B5FD-4ABA-ABC0-7A628FB42AA4}">
      <text>
        <r>
          <rPr>
            <sz val="8"/>
            <color indexed="81"/>
            <rFont val="Tahoma"/>
            <family val="2"/>
          </rPr>
          <t>revised</t>
        </r>
      </text>
    </comment>
    <comment ref="AO103" authorId="0" shapeId="0" xr:uid="{6C446B51-2C6F-42B8-B95D-75B415C723B6}">
      <text>
        <r>
          <rPr>
            <sz val="8"/>
            <color indexed="81"/>
            <rFont val="Tahoma"/>
            <family val="2"/>
          </rPr>
          <t>revised</t>
        </r>
      </text>
    </comment>
    <comment ref="AP103" authorId="0" shapeId="0" xr:uid="{4EE5B1D9-7511-4554-9C3C-1B4208894494}">
      <text>
        <r>
          <rPr>
            <sz val="8"/>
            <color indexed="81"/>
            <rFont val="Tahoma"/>
            <family val="2"/>
          </rPr>
          <t>revised</t>
        </r>
      </text>
    </comment>
    <comment ref="AQ103" authorId="0" shapeId="0" xr:uid="{2181AC0A-6AAF-4757-B4A5-64FD041BA356}">
      <text>
        <r>
          <rPr>
            <sz val="8"/>
            <color indexed="81"/>
            <rFont val="Tahoma"/>
            <family val="2"/>
          </rPr>
          <t>revised</t>
        </r>
      </text>
    </comment>
    <comment ref="AR103" authorId="0" shapeId="0" xr:uid="{AD71BD6B-707B-439F-8DFA-7B76DB272F10}">
      <text>
        <r>
          <rPr>
            <sz val="8"/>
            <color indexed="81"/>
            <rFont val="Tahoma"/>
            <family val="2"/>
          </rPr>
          <t>revised</t>
        </r>
      </text>
    </comment>
    <comment ref="AS103" authorId="0" shapeId="0" xr:uid="{04370010-BF52-4900-B084-32FB9AA8A79A}">
      <text>
        <r>
          <rPr>
            <sz val="8"/>
            <color indexed="81"/>
            <rFont val="Tahoma"/>
            <family val="2"/>
          </rPr>
          <t>revised</t>
        </r>
      </text>
    </comment>
    <comment ref="AT103" authorId="0" shapeId="0" xr:uid="{CA1AE6B8-4359-4976-9DB2-6BA30FCDA8D0}">
      <text>
        <r>
          <rPr>
            <sz val="8"/>
            <color indexed="81"/>
            <rFont val="Tahoma"/>
            <family val="2"/>
          </rPr>
          <t>revised</t>
        </r>
      </text>
    </comment>
    <comment ref="AU103" authorId="0" shapeId="0" xr:uid="{F1077AFC-84EA-479F-992E-BBB94931F68F}">
      <text>
        <r>
          <rPr>
            <sz val="8"/>
            <color indexed="81"/>
            <rFont val="Tahoma"/>
            <family val="2"/>
          </rPr>
          <t>revised</t>
        </r>
      </text>
    </comment>
    <comment ref="AV103" authorId="0" shapeId="0" xr:uid="{CFA9D18B-9624-47A5-89DD-F81426A026DB}">
      <text>
        <r>
          <rPr>
            <sz val="8"/>
            <color indexed="81"/>
            <rFont val="Tahoma"/>
            <family val="2"/>
          </rPr>
          <t>revised</t>
        </r>
      </text>
    </comment>
    <comment ref="AW103" authorId="0" shapeId="0" xr:uid="{3FA36CE5-05CB-4789-8F3C-108EB1A8671A}">
      <text>
        <r>
          <rPr>
            <sz val="8"/>
            <color indexed="81"/>
            <rFont val="Tahoma"/>
            <family val="2"/>
          </rPr>
          <t>revised</t>
        </r>
      </text>
    </comment>
    <comment ref="AX103" authorId="0" shapeId="0" xr:uid="{E42D2460-1590-472E-88A9-22B8E5E95510}">
      <text>
        <r>
          <rPr>
            <sz val="8"/>
            <color indexed="81"/>
            <rFont val="Tahoma"/>
            <family val="2"/>
          </rPr>
          <t>revised</t>
        </r>
      </text>
    </comment>
    <comment ref="AY103" authorId="0" shapeId="0" xr:uid="{804EF9DD-8714-4EB7-833D-83AEBF63EF92}">
      <text>
        <r>
          <rPr>
            <sz val="8"/>
            <color indexed="81"/>
            <rFont val="Tahoma"/>
            <family val="2"/>
          </rPr>
          <t>revised</t>
        </r>
      </text>
    </comment>
    <comment ref="AZ103" authorId="0" shapeId="0" xr:uid="{4EFD1288-0190-4321-A8F8-7FE2EFCD1097}">
      <text>
        <r>
          <rPr>
            <sz val="8"/>
            <color indexed="81"/>
            <rFont val="Tahoma"/>
            <family val="2"/>
          </rPr>
          <t>revised</t>
        </r>
      </text>
    </comment>
    <comment ref="BA103" authorId="0" shapeId="0" xr:uid="{DA2C5CFC-3A73-482E-B1FE-3FA31A97C251}">
      <text>
        <r>
          <rPr>
            <sz val="8"/>
            <color indexed="81"/>
            <rFont val="Tahoma"/>
            <family val="2"/>
          </rPr>
          <t>revised</t>
        </r>
      </text>
    </comment>
    <comment ref="BB103" authorId="0" shapeId="0" xr:uid="{FF4ED594-AE26-4FCB-8391-82395B68ABC5}">
      <text>
        <r>
          <rPr>
            <sz val="8"/>
            <color indexed="81"/>
            <rFont val="Tahoma"/>
            <family val="2"/>
          </rPr>
          <t>revised</t>
        </r>
      </text>
    </comment>
    <comment ref="BC103" authorId="0" shapeId="0" xr:uid="{5B3B70E2-4874-4563-B6BE-079832733A18}">
      <text>
        <r>
          <rPr>
            <sz val="8"/>
            <color indexed="81"/>
            <rFont val="Tahoma"/>
            <family val="2"/>
          </rPr>
          <t>revised</t>
        </r>
      </text>
    </comment>
    <comment ref="BD103" authorId="0" shapeId="0" xr:uid="{3588DD05-F8D8-4CDC-9715-349DC986FFD2}">
      <text>
        <r>
          <rPr>
            <sz val="8"/>
            <color indexed="81"/>
            <rFont val="Tahoma"/>
            <family val="2"/>
          </rPr>
          <t>revised</t>
        </r>
      </text>
    </comment>
    <comment ref="BE103" authorId="0" shapeId="0" xr:uid="{F081AFA6-3F5B-4BED-84E3-03675B18B06B}">
      <text>
        <r>
          <rPr>
            <sz val="8"/>
            <color indexed="81"/>
            <rFont val="Tahoma"/>
            <family val="2"/>
          </rPr>
          <t>revised</t>
        </r>
      </text>
    </comment>
    <comment ref="BF103" authorId="0" shapeId="0" xr:uid="{57576470-512F-402F-8CEE-02D64613375C}">
      <text>
        <r>
          <rPr>
            <sz val="8"/>
            <color indexed="81"/>
            <rFont val="Tahoma"/>
            <family val="2"/>
          </rPr>
          <t>revised</t>
        </r>
      </text>
    </comment>
    <comment ref="BG103" authorId="0" shapeId="0" xr:uid="{6CDE3B50-A026-4A15-AC3D-739E019131C2}">
      <text>
        <r>
          <rPr>
            <sz val="8"/>
            <color indexed="81"/>
            <rFont val="Tahoma"/>
            <family val="2"/>
          </rPr>
          <t>revised</t>
        </r>
      </text>
    </comment>
    <comment ref="BH103" authorId="0" shapeId="0" xr:uid="{53E5592C-84D7-40E7-8ED7-DDB37757A3E6}">
      <text>
        <r>
          <rPr>
            <sz val="8"/>
            <color indexed="81"/>
            <rFont val="Tahoma"/>
            <family val="2"/>
          </rPr>
          <t>revised</t>
        </r>
      </text>
    </comment>
    <comment ref="BI103" authorId="0" shapeId="0" xr:uid="{472C8397-1E1A-4D15-94B7-5AD724E3931D}">
      <text>
        <r>
          <rPr>
            <sz val="8"/>
            <color indexed="81"/>
            <rFont val="Tahoma"/>
            <family val="2"/>
          </rPr>
          <t>revised</t>
        </r>
      </text>
    </comment>
    <comment ref="B104" authorId="0" shapeId="0" xr:uid="{DDBD1BAC-A177-48B8-9CD0-789BC7E8DB27}">
      <text>
        <r>
          <rPr>
            <sz val="8"/>
            <color indexed="81"/>
            <rFont val="Tahoma"/>
            <family val="2"/>
          </rPr>
          <t>revised</t>
        </r>
      </text>
    </comment>
    <comment ref="D104" authorId="0" shapeId="0" xr:uid="{3CBF51E4-85AE-4CD1-A1A0-CA48A73845E7}">
      <text>
        <r>
          <rPr>
            <sz val="8"/>
            <color indexed="81"/>
            <rFont val="Tahoma"/>
            <family val="2"/>
          </rPr>
          <t>revised</t>
        </r>
      </text>
    </comment>
    <comment ref="L104" authorId="0" shapeId="0" xr:uid="{555BA338-46E9-4375-82B8-8420947F3695}">
      <text>
        <r>
          <rPr>
            <sz val="8"/>
            <color indexed="81"/>
            <rFont val="Tahoma"/>
            <family val="2"/>
          </rPr>
          <t>revised</t>
        </r>
      </text>
    </comment>
    <comment ref="M104" authorId="0" shapeId="0" xr:uid="{BCB23931-6344-4C59-A98C-65449449ED41}">
      <text>
        <r>
          <rPr>
            <sz val="8"/>
            <color indexed="81"/>
            <rFont val="Tahoma"/>
            <family val="2"/>
          </rPr>
          <t>revised</t>
        </r>
      </text>
    </comment>
    <comment ref="O104" authorId="0" shapeId="0" xr:uid="{6A3ECE41-3875-4641-8F39-11387F6A2E45}">
      <text>
        <r>
          <rPr>
            <sz val="8"/>
            <color indexed="81"/>
            <rFont val="Tahoma"/>
            <family val="2"/>
          </rPr>
          <t>revised</t>
        </r>
      </text>
    </comment>
    <comment ref="R104" authorId="0" shapeId="0" xr:uid="{D083BCE0-E166-4DFD-872A-E21CCAC8944B}">
      <text>
        <r>
          <rPr>
            <sz val="8"/>
            <color indexed="81"/>
            <rFont val="Tahoma"/>
            <family val="2"/>
          </rPr>
          <t>revised</t>
        </r>
      </text>
    </comment>
    <comment ref="S104" authorId="0" shapeId="0" xr:uid="{1FE1C8FA-2C36-4482-9359-CCA836027B80}">
      <text>
        <r>
          <rPr>
            <sz val="8"/>
            <color indexed="81"/>
            <rFont val="Tahoma"/>
            <family val="2"/>
          </rPr>
          <t>revised</t>
        </r>
      </text>
    </comment>
    <comment ref="U104" authorId="0" shapeId="0" xr:uid="{477C3707-E0F8-4872-BFA8-D34860CE238E}">
      <text>
        <r>
          <rPr>
            <sz val="8"/>
            <color indexed="81"/>
            <rFont val="Tahoma"/>
            <family val="2"/>
          </rPr>
          <t>revised</t>
        </r>
      </text>
    </comment>
    <comment ref="V104" authorId="0" shapeId="0" xr:uid="{E789949D-8DB8-4EC4-A027-332A66D698C7}">
      <text>
        <r>
          <rPr>
            <sz val="8"/>
            <color indexed="81"/>
            <rFont val="Tahoma"/>
            <family val="2"/>
          </rPr>
          <t>revised</t>
        </r>
      </text>
    </comment>
    <comment ref="AA104" authorId="0" shapeId="0" xr:uid="{2F7FD796-2905-4C75-81AE-B6DC65639055}">
      <text>
        <r>
          <rPr>
            <sz val="8"/>
            <color indexed="81"/>
            <rFont val="Tahoma"/>
            <family val="2"/>
          </rPr>
          <t>revised</t>
        </r>
      </text>
    </comment>
    <comment ref="AF104" authorId="0" shapeId="0" xr:uid="{AFEC5789-6160-42E3-8CC9-AC3004BE98D2}">
      <text>
        <r>
          <rPr>
            <sz val="8"/>
            <color indexed="81"/>
            <rFont val="Tahoma"/>
            <family val="2"/>
          </rPr>
          <t>revised</t>
        </r>
      </text>
    </comment>
    <comment ref="AG104" authorId="0" shapeId="0" xr:uid="{CCDE073E-5667-435C-A5AC-A46A32DF3DB9}">
      <text>
        <r>
          <rPr>
            <sz val="8"/>
            <color indexed="81"/>
            <rFont val="Tahoma"/>
            <family val="2"/>
          </rPr>
          <t>revised</t>
        </r>
      </text>
    </comment>
    <comment ref="AH104" authorId="0" shapeId="0" xr:uid="{7020893B-F473-474D-8D97-DA93F78185E5}">
      <text>
        <r>
          <rPr>
            <sz val="8"/>
            <color indexed="81"/>
            <rFont val="Tahoma"/>
            <family val="2"/>
          </rPr>
          <t>revised</t>
        </r>
      </text>
    </comment>
    <comment ref="AI104" authorId="0" shapeId="0" xr:uid="{BD0E1BE6-0CBE-4923-8F80-2B79E9A54B3B}">
      <text>
        <r>
          <rPr>
            <sz val="8"/>
            <color indexed="81"/>
            <rFont val="Tahoma"/>
            <family val="2"/>
          </rPr>
          <t>revised</t>
        </r>
      </text>
    </comment>
    <comment ref="AJ104" authorId="0" shapeId="0" xr:uid="{7F093D1D-D99D-4AC7-BAD0-B89F7B0B5355}">
      <text>
        <r>
          <rPr>
            <sz val="8"/>
            <color indexed="81"/>
            <rFont val="Tahoma"/>
            <family val="2"/>
          </rPr>
          <t>revised</t>
        </r>
      </text>
    </comment>
    <comment ref="AK104" authorId="0" shapeId="0" xr:uid="{4B9CCB67-5384-4EB3-9F3F-EB20404B4221}">
      <text>
        <r>
          <rPr>
            <sz val="8"/>
            <color indexed="81"/>
            <rFont val="Tahoma"/>
            <family val="2"/>
          </rPr>
          <t>revised</t>
        </r>
      </text>
    </comment>
    <comment ref="AL104" authorId="0" shapeId="0" xr:uid="{EC4A8400-EB7F-4F93-8737-E6CFAC0A4337}">
      <text>
        <r>
          <rPr>
            <sz val="8"/>
            <color indexed="81"/>
            <rFont val="Tahoma"/>
            <family val="2"/>
          </rPr>
          <t>revised</t>
        </r>
      </text>
    </comment>
    <comment ref="AM104" authorId="0" shapeId="0" xr:uid="{BEB61F6A-3187-4BC0-9FDA-387B0FB1DA91}">
      <text>
        <r>
          <rPr>
            <sz val="8"/>
            <color indexed="81"/>
            <rFont val="Tahoma"/>
            <family val="2"/>
          </rPr>
          <t>revised</t>
        </r>
      </text>
    </comment>
    <comment ref="AN104" authorId="0" shapeId="0" xr:uid="{3A962BF1-D980-4691-8044-35BD25FD1F9D}">
      <text>
        <r>
          <rPr>
            <sz val="8"/>
            <color indexed="81"/>
            <rFont val="Tahoma"/>
            <family val="2"/>
          </rPr>
          <t>revised</t>
        </r>
      </text>
    </comment>
    <comment ref="AO104" authorId="0" shapeId="0" xr:uid="{91EFD9BD-4020-4EB9-BA09-4AC8169356D5}">
      <text>
        <r>
          <rPr>
            <sz val="8"/>
            <color indexed="81"/>
            <rFont val="Tahoma"/>
            <family val="2"/>
          </rPr>
          <t>revised</t>
        </r>
      </text>
    </comment>
    <comment ref="AP104" authorId="0" shapeId="0" xr:uid="{A2E75804-96B0-4351-B4B4-2859F6DA9B0D}">
      <text>
        <r>
          <rPr>
            <sz val="8"/>
            <color indexed="81"/>
            <rFont val="Tahoma"/>
            <family val="2"/>
          </rPr>
          <t>revised</t>
        </r>
      </text>
    </comment>
    <comment ref="AQ104" authorId="0" shapeId="0" xr:uid="{F879F1E1-B44D-475E-9393-122BAAB31A3C}">
      <text>
        <r>
          <rPr>
            <sz val="8"/>
            <color indexed="81"/>
            <rFont val="Tahoma"/>
            <family val="2"/>
          </rPr>
          <t>revised</t>
        </r>
      </text>
    </comment>
    <comment ref="AS104" authorId="0" shapeId="0" xr:uid="{7CC8803C-0106-4830-88D1-51A812AB96DE}">
      <text>
        <r>
          <rPr>
            <sz val="8"/>
            <color indexed="81"/>
            <rFont val="Tahoma"/>
            <family val="2"/>
          </rPr>
          <t>revised</t>
        </r>
      </text>
    </comment>
    <comment ref="AT104" authorId="0" shapeId="0" xr:uid="{4C791151-C3F0-4BF6-BE7E-D3B245C42256}">
      <text>
        <r>
          <rPr>
            <sz val="8"/>
            <color indexed="81"/>
            <rFont val="Tahoma"/>
            <family val="2"/>
          </rPr>
          <t>revised</t>
        </r>
      </text>
    </comment>
    <comment ref="AU104" authorId="0" shapeId="0" xr:uid="{5677C078-2DD2-4F92-B2DB-A13C6A76D09B}">
      <text>
        <r>
          <rPr>
            <sz val="8"/>
            <color indexed="81"/>
            <rFont val="Tahoma"/>
            <family val="2"/>
          </rPr>
          <t>revised</t>
        </r>
      </text>
    </comment>
    <comment ref="AV104" authorId="0" shapeId="0" xr:uid="{A2A86CB5-F327-4217-943C-AA268BC1CBFA}">
      <text>
        <r>
          <rPr>
            <sz val="8"/>
            <color indexed="81"/>
            <rFont val="Tahoma"/>
            <family val="2"/>
          </rPr>
          <t>revised</t>
        </r>
      </text>
    </comment>
    <comment ref="AW104" authorId="0" shapeId="0" xr:uid="{EB7FB901-42C3-4DCC-88C5-9256AAD98282}">
      <text>
        <r>
          <rPr>
            <sz val="8"/>
            <color indexed="81"/>
            <rFont val="Tahoma"/>
            <family val="2"/>
          </rPr>
          <t>revised</t>
        </r>
      </text>
    </comment>
    <comment ref="AX104" authorId="0" shapeId="0" xr:uid="{5826F664-3EA0-435C-ADF7-91757275C337}">
      <text>
        <r>
          <rPr>
            <sz val="8"/>
            <color indexed="81"/>
            <rFont val="Tahoma"/>
            <family val="2"/>
          </rPr>
          <t>revised</t>
        </r>
      </text>
    </comment>
    <comment ref="AY104" authorId="0" shapeId="0" xr:uid="{90571B95-8D41-4DDE-BF34-5C9337D5BF83}">
      <text>
        <r>
          <rPr>
            <sz val="8"/>
            <color indexed="81"/>
            <rFont val="Tahoma"/>
            <family val="2"/>
          </rPr>
          <t>revised</t>
        </r>
      </text>
    </comment>
    <comment ref="AZ104" authorId="0" shapeId="0" xr:uid="{E408213E-C707-4399-AA68-48C7D91E676C}">
      <text>
        <r>
          <rPr>
            <sz val="8"/>
            <color indexed="81"/>
            <rFont val="Tahoma"/>
            <family val="2"/>
          </rPr>
          <t>revised</t>
        </r>
      </text>
    </comment>
    <comment ref="BA104" authorId="0" shapeId="0" xr:uid="{B1DEBD87-93C8-4872-B65C-90EA14A4FB6F}">
      <text>
        <r>
          <rPr>
            <sz val="8"/>
            <color indexed="81"/>
            <rFont val="Tahoma"/>
            <family val="2"/>
          </rPr>
          <t>revised</t>
        </r>
      </text>
    </comment>
    <comment ref="BC104" authorId="0" shapeId="0" xr:uid="{B2D5BF8F-5D9E-49D9-B2C2-34AB5404FAD0}">
      <text>
        <r>
          <rPr>
            <sz val="8"/>
            <color indexed="81"/>
            <rFont val="Tahoma"/>
            <family val="2"/>
          </rPr>
          <t>revised</t>
        </r>
      </text>
    </comment>
    <comment ref="BD104" authorId="0" shapeId="0" xr:uid="{91C98FF5-53C6-44E5-A365-90DBAE029370}">
      <text>
        <r>
          <rPr>
            <sz val="8"/>
            <color indexed="81"/>
            <rFont val="Tahoma"/>
            <family val="2"/>
          </rPr>
          <t>revised</t>
        </r>
      </text>
    </comment>
    <comment ref="BE104" authorId="0" shapeId="0" xr:uid="{2CBFB8C9-4A07-4B4E-A26D-F342C91E4453}">
      <text>
        <r>
          <rPr>
            <sz val="8"/>
            <color indexed="81"/>
            <rFont val="Tahoma"/>
            <family val="2"/>
          </rPr>
          <t>revised</t>
        </r>
      </text>
    </comment>
    <comment ref="BF104" authorId="0" shapeId="0" xr:uid="{A992F3BC-06C1-40F3-ACD6-1655C549EF4D}">
      <text>
        <r>
          <rPr>
            <sz val="8"/>
            <color indexed="81"/>
            <rFont val="Tahoma"/>
            <family val="2"/>
          </rPr>
          <t>revised</t>
        </r>
      </text>
    </comment>
    <comment ref="BI104" authorId="0" shapeId="0" xr:uid="{EA559422-B0EE-4F45-863E-56572EBC54EE}">
      <text>
        <r>
          <rPr>
            <sz val="8"/>
            <color indexed="81"/>
            <rFont val="Tahoma"/>
            <family val="2"/>
          </rPr>
          <t>revised</t>
        </r>
      </text>
    </comment>
    <comment ref="B105" authorId="0" shapeId="0" xr:uid="{A8A9EE9E-1B11-4350-A153-E45A90D8DC09}">
      <text>
        <r>
          <rPr>
            <sz val="8"/>
            <color indexed="81"/>
            <rFont val="Tahoma"/>
            <family val="2"/>
          </rPr>
          <t>revised</t>
        </r>
      </text>
    </comment>
    <comment ref="C105" authorId="0" shapeId="0" xr:uid="{0235F587-44B2-4DAA-A2D0-216119D4ACBE}">
      <text>
        <r>
          <rPr>
            <sz val="8"/>
            <color indexed="81"/>
            <rFont val="Tahoma"/>
            <family val="2"/>
          </rPr>
          <t>revised</t>
        </r>
      </text>
    </comment>
    <comment ref="D105" authorId="0" shapeId="0" xr:uid="{0DED8052-3223-46CF-9943-059C8D646CAC}">
      <text>
        <r>
          <rPr>
            <sz val="8"/>
            <color indexed="81"/>
            <rFont val="Tahoma"/>
            <family val="2"/>
          </rPr>
          <t>revised</t>
        </r>
      </text>
    </comment>
    <comment ref="E105" authorId="0" shapeId="0" xr:uid="{B3B4DD99-3649-47B1-A210-8D4D1BF6A44C}">
      <text>
        <r>
          <rPr>
            <sz val="8"/>
            <color indexed="81"/>
            <rFont val="Tahoma"/>
            <family val="2"/>
          </rPr>
          <t>revised</t>
        </r>
      </text>
    </comment>
    <comment ref="F105" authorId="0" shapeId="0" xr:uid="{A4870108-1224-4655-B145-8B474E832F7E}">
      <text>
        <r>
          <rPr>
            <sz val="8"/>
            <color indexed="81"/>
            <rFont val="Tahoma"/>
            <family val="2"/>
          </rPr>
          <t>revised</t>
        </r>
      </text>
    </comment>
    <comment ref="G105" authorId="0" shapeId="0" xr:uid="{F4DADF34-0A21-4CE4-ABAB-FF41DB5D8CB2}">
      <text>
        <r>
          <rPr>
            <sz val="8"/>
            <color indexed="81"/>
            <rFont val="Tahoma"/>
            <family val="2"/>
          </rPr>
          <t>revised</t>
        </r>
      </text>
    </comment>
    <comment ref="H105" authorId="0" shapeId="0" xr:uid="{9EF6DAB9-916C-40F0-8C3B-8D41FCB06462}">
      <text>
        <r>
          <rPr>
            <sz val="8"/>
            <color indexed="81"/>
            <rFont val="Tahoma"/>
            <family val="2"/>
          </rPr>
          <t>revised</t>
        </r>
      </text>
    </comment>
    <comment ref="J105" authorId="0" shapeId="0" xr:uid="{CA72E49B-CB8F-4EA1-B667-8758FFF8767F}">
      <text>
        <r>
          <rPr>
            <sz val="8"/>
            <color indexed="81"/>
            <rFont val="Tahoma"/>
            <family val="2"/>
          </rPr>
          <t>revised</t>
        </r>
      </text>
    </comment>
    <comment ref="K105" authorId="0" shapeId="0" xr:uid="{25328499-5384-4526-9BBF-C3AA89408985}">
      <text>
        <r>
          <rPr>
            <sz val="8"/>
            <color indexed="81"/>
            <rFont val="Tahoma"/>
            <family val="2"/>
          </rPr>
          <t>revised</t>
        </r>
      </text>
    </comment>
    <comment ref="L105" authorId="0" shapeId="0" xr:uid="{B0C121A4-959A-478D-B301-E0BA8158C9B9}">
      <text>
        <r>
          <rPr>
            <sz val="8"/>
            <color indexed="81"/>
            <rFont val="Tahoma"/>
            <family val="2"/>
          </rPr>
          <t>revised</t>
        </r>
      </text>
    </comment>
    <comment ref="M105" authorId="0" shapeId="0" xr:uid="{E21595BA-AE44-4229-98E0-5D22B8FE8EC4}">
      <text>
        <r>
          <rPr>
            <sz val="8"/>
            <color indexed="81"/>
            <rFont val="Tahoma"/>
            <family val="2"/>
          </rPr>
          <t>revised</t>
        </r>
      </text>
    </comment>
    <comment ref="P105" authorId="0" shapeId="0" xr:uid="{FEF7C9C6-C5A3-4C86-93A8-C84F8411C2DF}">
      <text>
        <r>
          <rPr>
            <sz val="8"/>
            <color indexed="81"/>
            <rFont val="Tahoma"/>
            <family val="2"/>
          </rPr>
          <t>revised</t>
        </r>
      </text>
    </comment>
    <comment ref="Q105" authorId="0" shapeId="0" xr:uid="{6C1D305F-AB2B-4C16-9F9A-6C95F1D7B3AC}">
      <text>
        <r>
          <rPr>
            <sz val="8"/>
            <color indexed="81"/>
            <rFont val="Tahoma"/>
            <family val="2"/>
          </rPr>
          <t>revised</t>
        </r>
      </text>
    </comment>
    <comment ref="R105" authorId="0" shapeId="0" xr:uid="{1912C255-73BE-43A0-98CA-5F21AFCD80DC}">
      <text>
        <r>
          <rPr>
            <sz val="8"/>
            <color indexed="81"/>
            <rFont val="Tahoma"/>
            <family val="2"/>
          </rPr>
          <t>revised</t>
        </r>
      </text>
    </comment>
    <comment ref="S105" authorId="0" shapeId="0" xr:uid="{97F15B56-49F1-49DA-B2B9-DAF667561C8F}">
      <text>
        <r>
          <rPr>
            <sz val="8"/>
            <color indexed="81"/>
            <rFont val="Tahoma"/>
            <family val="2"/>
          </rPr>
          <t>revised</t>
        </r>
      </text>
    </comment>
    <comment ref="T105" authorId="0" shapeId="0" xr:uid="{3A94DEB1-490F-4255-A443-C71478BEA1C4}">
      <text>
        <r>
          <rPr>
            <sz val="8"/>
            <color indexed="81"/>
            <rFont val="Tahoma"/>
            <family val="2"/>
          </rPr>
          <t>revised</t>
        </r>
      </text>
    </comment>
    <comment ref="U105" authorId="0" shapeId="0" xr:uid="{07455BB7-5515-46BC-A3A8-72DD0D81C6EA}">
      <text>
        <r>
          <rPr>
            <sz val="8"/>
            <color indexed="81"/>
            <rFont val="Tahoma"/>
            <family val="2"/>
          </rPr>
          <t>revised</t>
        </r>
      </text>
    </comment>
    <comment ref="V105" authorId="0" shapeId="0" xr:uid="{7DD65953-8437-410A-8244-4EA97CEC2668}">
      <text>
        <r>
          <rPr>
            <sz val="8"/>
            <color indexed="81"/>
            <rFont val="Tahoma"/>
            <family val="2"/>
          </rPr>
          <t>revised</t>
        </r>
      </text>
    </comment>
    <comment ref="W105" authorId="0" shapeId="0" xr:uid="{0E740469-1735-4CCB-9E69-14428C8D8BE1}">
      <text>
        <r>
          <rPr>
            <sz val="8"/>
            <color indexed="81"/>
            <rFont val="Tahoma"/>
            <family val="2"/>
          </rPr>
          <t>revised</t>
        </r>
      </text>
    </comment>
    <comment ref="X105" authorId="0" shapeId="0" xr:uid="{B0AB14E7-1F2F-479C-B795-503BA2874B1B}">
      <text>
        <r>
          <rPr>
            <sz val="8"/>
            <color indexed="81"/>
            <rFont val="Tahoma"/>
            <family val="2"/>
          </rPr>
          <t>revised</t>
        </r>
      </text>
    </comment>
    <comment ref="Y105" authorId="0" shapeId="0" xr:uid="{698030F6-0981-416C-A071-2576921DEE65}">
      <text>
        <r>
          <rPr>
            <sz val="8"/>
            <color indexed="81"/>
            <rFont val="Tahoma"/>
            <family val="2"/>
          </rPr>
          <t>revised</t>
        </r>
      </text>
    </comment>
    <comment ref="Z105" authorId="0" shapeId="0" xr:uid="{72137F92-7A9F-4998-B7D0-A34E237DE748}">
      <text>
        <r>
          <rPr>
            <sz val="8"/>
            <color indexed="81"/>
            <rFont val="Tahoma"/>
            <family val="2"/>
          </rPr>
          <t>revised</t>
        </r>
      </text>
    </comment>
    <comment ref="AA105" authorId="0" shapeId="0" xr:uid="{4CD8BAF4-B689-4EAA-ABD5-40811892F039}">
      <text>
        <r>
          <rPr>
            <sz val="8"/>
            <color indexed="81"/>
            <rFont val="Tahoma"/>
            <family val="2"/>
          </rPr>
          <t>revised</t>
        </r>
      </text>
    </comment>
    <comment ref="AB105" authorId="0" shapeId="0" xr:uid="{D3B2E481-A5FE-4F7A-BEBA-1BDC5D934B81}">
      <text>
        <r>
          <rPr>
            <sz val="8"/>
            <color indexed="81"/>
            <rFont val="Tahoma"/>
            <family val="2"/>
          </rPr>
          <t>revised</t>
        </r>
      </text>
    </comment>
    <comment ref="AC105" authorId="0" shapeId="0" xr:uid="{ABCB0CEA-4873-426D-A5D7-32C5A3A14417}">
      <text>
        <r>
          <rPr>
            <sz val="8"/>
            <color indexed="81"/>
            <rFont val="Tahoma"/>
            <family val="2"/>
          </rPr>
          <t>revised</t>
        </r>
      </text>
    </comment>
    <comment ref="AE105" authorId="0" shapeId="0" xr:uid="{CFC3213A-732F-4992-B6B9-1BB9F01882E7}">
      <text>
        <r>
          <rPr>
            <sz val="8"/>
            <color indexed="81"/>
            <rFont val="Tahoma"/>
            <family val="2"/>
          </rPr>
          <t>revised</t>
        </r>
      </text>
    </comment>
    <comment ref="AF105" authorId="0" shapeId="0" xr:uid="{2BE36990-C455-44C7-AC21-806539DF9253}">
      <text>
        <r>
          <rPr>
            <sz val="8"/>
            <color indexed="81"/>
            <rFont val="Tahoma"/>
            <family val="2"/>
          </rPr>
          <t>revised</t>
        </r>
      </text>
    </comment>
    <comment ref="AG105" authorId="0" shapeId="0" xr:uid="{710107D6-F390-48BD-9C8C-ED3AFADA7D8F}">
      <text>
        <r>
          <rPr>
            <sz val="8"/>
            <color indexed="81"/>
            <rFont val="Tahoma"/>
            <family val="2"/>
          </rPr>
          <t>revised</t>
        </r>
      </text>
    </comment>
    <comment ref="AH105" authorId="0" shapeId="0" xr:uid="{456B365B-97FD-4DB7-9F17-630DD6BC0B62}">
      <text>
        <r>
          <rPr>
            <sz val="8"/>
            <color indexed="81"/>
            <rFont val="Tahoma"/>
            <family val="2"/>
          </rPr>
          <t>revised</t>
        </r>
      </text>
    </comment>
    <comment ref="AI105" authorId="0" shapeId="0" xr:uid="{1B3D00E1-561D-4ADD-B239-1657B9216CFA}">
      <text>
        <r>
          <rPr>
            <sz val="8"/>
            <color indexed="81"/>
            <rFont val="Tahoma"/>
            <family val="2"/>
          </rPr>
          <t>revised</t>
        </r>
      </text>
    </comment>
    <comment ref="AJ105" authorId="0" shapeId="0" xr:uid="{EC4991E0-30BC-461C-A970-6222A142A189}">
      <text>
        <r>
          <rPr>
            <sz val="8"/>
            <color indexed="81"/>
            <rFont val="Tahoma"/>
            <family val="2"/>
          </rPr>
          <t>revised</t>
        </r>
      </text>
    </comment>
    <comment ref="AK105" authorId="0" shapeId="0" xr:uid="{29726030-7AD3-448F-B42A-84236D7AC326}">
      <text>
        <r>
          <rPr>
            <sz val="8"/>
            <color indexed="81"/>
            <rFont val="Tahoma"/>
            <family val="2"/>
          </rPr>
          <t>revised</t>
        </r>
      </text>
    </comment>
    <comment ref="AL105" authorId="0" shapeId="0" xr:uid="{9BF6AC30-EA00-4948-96BE-C9A133D0A897}">
      <text>
        <r>
          <rPr>
            <sz val="8"/>
            <color indexed="81"/>
            <rFont val="Tahoma"/>
            <family val="2"/>
          </rPr>
          <t>revised</t>
        </r>
      </text>
    </comment>
    <comment ref="AM105" authorId="0" shapeId="0" xr:uid="{A7D09C14-CDF0-478D-9E10-32721EEDCABF}">
      <text>
        <r>
          <rPr>
            <sz val="8"/>
            <color indexed="81"/>
            <rFont val="Tahoma"/>
            <family val="2"/>
          </rPr>
          <t>revised</t>
        </r>
      </text>
    </comment>
    <comment ref="AN105" authorId="0" shapeId="0" xr:uid="{4FEC08B6-3DD1-48BF-9B43-C5771E14CE13}">
      <text>
        <r>
          <rPr>
            <sz val="8"/>
            <color indexed="81"/>
            <rFont val="Tahoma"/>
            <family val="2"/>
          </rPr>
          <t>revised</t>
        </r>
      </text>
    </comment>
    <comment ref="AO105" authorId="0" shapeId="0" xr:uid="{927893D8-A928-41EA-AF9A-A4BE6DD3232A}">
      <text>
        <r>
          <rPr>
            <sz val="8"/>
            <color indexed="81"/>
            <rFont val="Tahoma"/>
            <family val="2"/>
          </rPr>
          <t>revised</t>
        </r>
      </text>
    </comment>
    <comment ref="AP105" authorId="0" shapeId="0" xr:uid="{EFBA9359-57FA-492A-A602-48CD16E73654}">
      <text>
        <r>
          <rPr>
            <sz val="8"/>
            <color indexed="81"/>
            <rFont val="Tahoma"/>
            <family val="2"/>
          </rPr>
          <t>revised</t>
        </r>
      </text>
    </comment>
    <comment ref="AQ105" authorId="0" shapeId="0" xr:uid="{BE5A5046-1F83-4BB9-8161-C9BC4573189C}">
      <text>
        <r>
          <rPr>
            <sz val="8"/>
            <color indexed="81"/>
            <rFont val="Tahoma"/>
            <family val="2"/>
          </rPr>
          <t>revised</t>
        </r>
      </text>
    </comment>
    <comment ref="AR105" authorId="0" shapeId="0" xr:uid="{BD0592B0-02CA-4CD3-9C4E-56EC33D32E2F}">
      <text>
        <r>
          <rPr>
            <sz val="8"/>
            <color indexed="81"/>
            <rFont val="Tahoma"/>
            <family val="2"/>
          </rPr>
          <t>revised</t>
        </r>
      </text>
    </comment>
    <comment ref="AS105" authorId="0" shapeId="0" xr:uid="{623475A2-1620-4475-A71D-EBD90F9F6809}">
      <text>
        <r>
          <rPr>
            <sz val="8"/>
            <color indexed="81"/>
            <rFont val="Tahoma"/>
            <family val="2"/>
          </rPr>
          <t>revised</t>
        </r>
      </text>
    </comment>
    <comment ref="AT105" authorId="0" shapeId="0" xr:uid="{CD395DE2-7653-4CDC-B42E-FD10C9700137}">
      <text>
        <r>
          <rPr>
            <sz val="8"/>
            <color indexed="81"/>
            <rFont val="Tahoma"/>
            <family val="2"/>
          </rPr>
          <t>revised</t>
        </r>
      </text>
    </comment>
    <comment ref="AU105" authorId="0" shapeId="0" xr:uid="{9EF52022-A11A-4F87-A388-DABD6F33135F}">
      <text>
        <r>
          <rPr>
            <sz val="8"/>
            <color indexed="81"/>
            <rFont val="Tahoma"/>
            <family val="2"/>
          </rPr>
          <t>revised</t>
        </r>
      </text>
    </comment>
    <comment ref="AV105" authorId="0" shapeId="0" xr:uid="{0AFA7825-41F1-4E75-9D15-0986A9B1D35D}">
      <text>
        <r>
          <rPr>
            <sz val="8"/>
            <color indexed="81"/>
            <rFont val="Tahoma"/>
            <family val="2"/>
          </rPr>
          <t>revised</t>
        </r>
      </text>
    </comment>
    <comment ref="AW105" authorId="0" shapeId="0" xr:uid="{EF32AE41-0E5B-4B31-885C-CB47D9FF3302}">
      <text>
        <r>
          <rPr>
            <sz val="8"/>
            <color indexed="81"/>
            <rFont val="Tahoma"/>
            <family val="2"/>
          </rPr>
          <t>revised</t>
        </r>
      </text>
    </comment>
    <comment ref="AX105" authorId="0" shapeId="0" xr:uid="{FA0570A6-0C59-47D3-A83F-251B0AE2EF5A}">
      <text>
        <r>
          <rPr>
            <sz val="8"/>
            <color indexed="81"/>
            <rFont val="Tahoma"/>
            <family val="2"/>
          </rPr>
          <t>revised</t>
        </r>
      </text>
    </comment>
    <comment ref="AY105" authorId="0" shapeId="0" xr:uid="{1B8D27E8-E9FF-490C-A963-7890D2BCF6B8}">
      <text>
        <r>
          <rPr>
            <sz val="8"/>
            <color indexed="81"/>
            <rFont val="Tahoma"/>
            <family val="2"/>
          </rPr>
          <t>revised</t>
        </r>
      </text>
    </comment>
    <comment ref="AZ105" authorId="0" shapeId="0" xr:uid="{B54201CA-300D-46DB-99D4-F7EF1208969F}">
      <text>
        <r>
          <rPr>
            <sz val="8"/>
            <color indexed="81"/>
            <rFont val="Tahoma"/>
            <family val="2"/>
          </rPr>
          <t>revised</t>
        </r>
      </text>
    </comment>
    <comment ref="BA105" authorId="0" shapeId="0" xr:uid="{C31166B5-FCFA-4B75-B664-2FEA40521E66}">
      <text>
        <r>
          <rPr>
            <sz val="8"/>
            <color indexed="81"/>
            <rFont val="Tahoma"/>
            <family val="2"/>
          </rPr>
          <t>revised</t>
        </r>
      </text>
    </comment>
    <comment ref="BB105" authorId="0" shapeId="0" xr:uid="{77AE61C4-D6FF-48EF-A35E-59B1E9340016}">
      <text>
        <r>
          <rPr>
            <sz val="8"/>
            <color indexed="81"/>
            <rFont val="Tahoma"/>
            <family val="2"/>
          </rPr>
          <t>revised</t>
        </r>
      </text>
    </comment>
    <comment ref="BC105" authorId="0" shapeId="0" xr:uid="{29FC9221-4568-4308-BF44-52A5BC4169E8}">
      <text>
        <r>
          <rPr>
            <sz val="8"/>
            <color indexed="81"/>
            <rFont val="Tahoma"/>
            <family val="2"/>
          </rPr>
          <t>revised</t>
        </r>
      </text>
    </comment>
    <comment ref="BD105" authorId="0" shapeId="0" xr:uid="{AD89590A-3F4A-4181-BE68-696EFCBDE2FE}">
      <text>
        <r>
          <rPr>
            <sz val="8"/>
            <color indexed="81"/>
            <rFont val="Tahoma"/>
            <family val="2"/>
          </rPr>
          <t>revised</t>
        </r>
      </text>
    </comment>
    <comment ref="BE105" authorId="0" shapeId="0" xr:uid="{5B6B3F09-49F7-4ED5-AB31-0D9FB9A87423}">
      <text>
        <r>
          <rPr>
            <sz val="8"/>
            <color indexed="81"/>
            <rFont val="Tahoma"/>
            <family val="2"/>
          </rPr>
          <t>revised</t>
        </r>
      </text>
    </comment>
    <comment ref="BF105" authorId="0" shapeId="0" xr:uid="{D3F9AEB7-F096-4F72-9C61-9E90E50829B1}">
      <text>
        <r>
          <rPr>
            <sz val="8"/>
            <color indexed="81"/>
            <rFont val="Tahoma"/>
            <family val="2"/>
          </rPr>
          <t>revised</t>
        </r>
      </text>
    </comment>
    <comment ref="BG105" authorId="0" shapeId="0" xr:uid="{65A9972B-AE93-4736-A770-2D18EDB135F6}">
      <text>
        <r>
          <rPr>
            <sz val="8"/>
            <color indexed="81"/>
            <rFont val="Tahoma"/>
            <family val="2"/>
          </rPr>
          <t>revised</t>
        </r>
      </text>
    </comment>
    <comment ref="BH105" authorId="0" shapeId="0" xr:uid="{29C93CA9-7EAA-4E86-BB06-ED0C106BD672}">
      <text>
        <r>
          <rPr>
            <sz val="8"/>
            <color indexed="81"/>
            <rFont val="Tahoma"/>
            <family val="2"/>
          </rPr>
          <t>revised</t>
        </r>
      </text>
    </comment>
    <comment ref="BI105" authorId="0" shapeId="0" xr:uid="{CF97207E-81A0-4BDF-AD76-04C70418EC13}">
      <text>
        <r>
          <rPr>
            <sz val="8"/>
            <color indexed="81"/>
            <rFont val="Tahoma"/>
            <family val="2"/>
          </rPr>
          <t>revised</t>
        </r>
      </text>
    </comment>
    <comment ref="B106" authorId="0" shapeId="0" xr:uid="{78F04046-3D37-4F90-8BE6-F8D570BD7D97}">
      <text>
        <r>
          <rPr>
            <sz val="8"/>
            <color indexed="81"/>
            <rFont val="Tahoma"/>
            <family val="2"/>
          </rPr>
          <t>preliminary figure or series subject to revision</t>
        </r>
      </text>
    </comment>
    <comment ref="C106" authorId="0" shapeId="0" xr:uid="{39E99CC9-07D0-4FAD-B14B-7E8F461B8065}">
      <text>
        <r>
          <rPr>
            <sz val="8"/>
            <color indexed="81"/>
            <rFont val="Tahoma"/>
            <family val="2"/>
          </rPr>
          <t>preliminary figure or series subject to revision</t>
        </r>
      </text>
    </comment>
    <comment ref="D106" authorId="0" shapeId="0" xr:uid="{1326C06C-94E8-49EC-92BE-DA89C8CFD9BA}">
      <text>
        <r>
          <rPr>
            <sz val="8"/>
            <color indexed="81"/>
            <rFont val="Tahoma"/>
            <family val="2"/>
          </rPr>
          <t>preliminary figure or series subject to revision</t>
        </r>
      </text>
    </comment>
    <comment ref="E106" authorId="0" shapeId="0" xr:uid="{2B067293-6897-4AA1-932E-A1D3CB27206C}">
      <text>
        <r>
          <rPr>
            <sz val="8"/>
            <color indexed="81"/>
            <rFont val="Tahoma"/>
            <family val="2"/>
          </rPr>
          <t>preliminary figure or series subject to revision</t>
        </r>
      </text>
    </comment>
    <comment ref="F106" authorId="0" shapeId="0" xr:uid="{B4FA7CFC-639F-4B80-9858-D595EBBFE55D}">
      <text>
        <r>
          <rPr>
            <sz val="8"/>
            <color indexed="81"/>
            <rFont val="Tahoma"/>
            <family val="2"/>
          </rPr>
          <t>preliminary figure or series subject to revision</t>
        </r>
      </text>
    </comment>
    <comment ref="G106" authorId="0" shapeId="0" xr:uid="{836839AA-F3D7-408E-847D-A75C2338F803}">
      <text>
        <r>
          <rPr>
            <sz val="8"/>
            <color indexed="81"/>
            <rFont val="Tahoma"/>
            <family val="2"/>
          </rPr>
          <t>preliminary figure or series subject to revision</t>
        </r>
      </text>
    </comment>
    <comment ref="H106" authorId="0" shapeId="0" xr:uid="{EE20AF4C-E1DE-40B1-8A11-36740BE91A84}">
      <text>
        <r>
          <rPr>
            <sz val="8"/>
            <color indexed="81"/>
            <rFont val="Tahoma"/>
            <family val="2"/>
          </rPr>
          <t>preliminary figure or series subject to revision</t>
        </r>
      </text>
    </comment>
    <comment ref="I106" authorId="0" shapeId="0" xr:uid="{16A57CED-0100-4BE4-A0A6-6ADA5C692C35}">
      <text>
        <r>
          <rPr>
            <sz val="8"/>
            <color indexed="81"/>
            <rFont val="Tahoma"/>
            <family val="2"/>
          </rPr>
          <t>preliminary figure or series subject to revision</t>
        </r>
      </text>
    </comment>
    <comment ref="J106" authorId="0" shapeId="0" xr:uid="{37886CF9-A867-417F-9A89-BF9F60C60544}">
      <text>
        <r>
          <rPr>
            <sz val="8"/>
            <color indexed="81"/>
            <rFont val="Tahoma"/>
            <family val="2"/>
          </rPr>
          <t>preliminary figure or series subject to revision</t>
        </r>
      </text>
    </comment>
    <comment ref="K106" authorId="0" shapeId="0" xr:uid="{DD77FB6B-511C-4A7B-B9B1-03F773410A83}">
      <text>
        <r>
          <rPr>
            <sz val="8"/>
            <color indexed="81"/>
            <rFont val="Tahoma"/>
            <family val="2"/>
          </rPr>
          <t>preliminary figure or series subject to revision</t>
        </r>
      </text>
    </comment>
    <comment ref="L106" authorId="0" shapeId="0" xr:uid="{B56DA195-1E85-4FB5-8361-0D2CFB8BC15D}">
      <text>
        <r>
          <rPr>
            <sz val="8"/>
            <color indexed="81"/>
            <rFont val="Tahoma"/>
            <family val="2"/>
          </rPr>
          <t>preliminary figure or series subject to revision</t>
        </r>
      </text>
    </comment>
    <comment ref="M106" authorId="0" shapeId="0" xr:uid="{842A3349-3D07-4A9C-958F-B4B6D94FD24B}">
      <text>
        <r>
          <rPr>
            <sz val="8"/>
            <color indexed="81"/>
            <rFont val="Tahoma"/>
            <family val="2"/>
          </rPr>
          <t>preliminary figure or series subject to revision</t>
        </r>
      </text>
    </comment>
    <comment ref="N106" authorId="0" shapeId="0" xr:uid="{F26610E2-A52E-44BF-9050-951C8443CA24}">
      <text>
        <r>
          <rPr>
            <sz val="8"/>
            <color indexed="81"/>
            <rFont val="Tahoma"/>
            <family val="2"/>
          </rPr>
          <t>preliminary figure or series subject to revision</t>
        </r>
      </text>
    </comment>
    <comment ref="O106" authorId="0" shapeId="0" xr:uid="{09B6DB99-A67A-41D4-9CE8-AE8DB951FDA5}">
      <text>
        <r>
          <rPr>
            <sz val="8"/>
            <color indexed="81"/>
            <rFont val="Tahoma"/>
            <family val="2"/>
          </rPr>
          <t>preliminary figure or series subject to revision</t>
        </r>
      </text>
    </comment>
    <comment ref="P106" authorId="0" shapeId="0" xr:uid="{2AE75AAC-5E97-47BD-B214-C86325E52F9A}">
      <text>
        <r>
          <rPr>
            <sz val="8"/>
            <color indexed="81"/>
            <rFont val="Tahoma"/>
            <family val="2"/>
          </rPr>
          <t>preliminary figure or series subject to revision</t>
        </r>
      </text>
    </comment>
    <comment ref="Q106" authorId="0" shapeId="0" xr:uid="{19E0F0C4-E725-4923-BECA-7F890F0E9B76}">
      <text>
        <r>
          <rPr>
            <sz val="8"/>
            <color indexed="81"/>
            <rFont val="Tahoma"/>
            <family val="2"/>
          </rPr>
          <t>preliminary figure or series subject to revision</t>
        </r>
      </text>
    </comment>
    <comment ref="R106" authorId="0" shapeId="0" xr:uid="{EA53493F-085E-4909-9692-EB97FBFB03BC}">
      <text>
        <r>
          <rPr>
            <sz val="8"/>
            <color indexed="81"/>
            <rFont val="Tahoma"/>
            <family val="2"/>
          </rPr>
          <t>preliminary figure or series subject to revision</t>
        </r>
      </text>
    </comment>
    <comment ref="S106" authorId="0" shapeId="0" xr:uid="{B05AD3D0-2F66-48D2-B53B-DA7062B92E1E}">
      <text>
        <r>
          <rPr>
            <sz val="8"/>
            <color indexed="81"/>
            <rFont val="Tahoma"/>
            <family val="2"/>
          </rPr>
          <t>preliminary figure or series subject to revision</t>
        </r>
      </text>
    </comment>
    <comment ref="T106" authorId="0" shapeId="0" xr:uid="{2FDDB18C-F165-4F87-A37C-8257DB0648A9}">
      <text>
        <r>
          <rPr>
            <sz val="8"/>
            <color indexed="81"/>
            <rFont val="Tahoma"/>
            <family val="2"/>
          </rPr>
          <t>preliminary figure or series subject to revision</t>
        </r>
      </text>
    </comment>
    <comment ref="U106" authorId="0" shapeId="0" xr:uid="{CC02A655-F4BC-4DAB-B2FC-90FD3DBEF78A}">
      <text>
        <r>
          <rPr>
            <sz val="8"/>
            <color indexed="81"/>
            <rFont val="Tahoma"/>
            <family val="2"/>
          </rPr>
          <t>preliminary figure or series subject to revision</t>
        </r>
      </text>
    </comment>
    <comment ref="V106" authorId="0" shapeId="0" xr:uid="{459AFEF8-A4EC-4433-B748-F245BD99926C}">
      <text>
        <r>
          <rPr>
            <sz val="8"/>
            <color indexed="81"/>
            <rFont val="Tahoma"/>
            <family val="2"/>
          </rPr>
          <t>preliminary figure or series subject to revision</t>
        </r>
      </text>
    </comment>
    <comment ref="W106" authorId="0" shapeId="0" xr:uid="{93BCCE05-F1C4-4295-BEC0-1188C4863422}">
      <text>
        <r>
          <rPr>
            <sz val="8"/>
            <color indexed="81"/>
            <rFont val="Tahoma"/>
            <family val="2"/>
          </rPr>
          <t>preliminary figure or series subject to revision</t>
        </r>
      </text>
    </comment>
    <comment ref="X106" authorId="0" shapeId="0" xr:uid="{018990C4-072E-479D-BA3E-D8079B5D7792}">
      <text>
        <r>
          <rPr>
            <sz val="8"/>
            <color indexed="81"/>
            <rFont val="Tahoma"/>
            <family val="2"/>
          </rPr>
          <t>preliminary figure or series subject to revision</t>
        </r>
      </text>
    </comment>
    <comment ref="Y106" authorId="0" shapeId="0" xr:uid="{A229F763-6757-46C9-89A9-0A560E58C98B}">
      <text>
        <r>
          <rPr>
            <sz val="8"/>
            <color indexed="81"/>
            <rFont val="Tahoma"/>
            <family val="2"/>
          </rPr>
          <t>preliminary figure or series subject to revision</t>
        </r>
      </text>
    </comment>
    <comment ref="Z106" authorId="0" shapeId="0" xr:uid="{2195A46D-B092-4BDA-B900-78F3E9BEB595}">
      <text>
        <r>
          <rPr>
            <sz val="8"/>
            <color indexed="81"/>
            <rFont val="Tahoma"/>
            <family val="2"/>
          </rPr>
          <t>preliminary figure or series subject to revision</t>
        </r>
      </text>
    </comment>
    <comment ref="AA106" authorId="0" shapeId="0" xr:uid="{80F17E44-C161-438E-9FED-BDC74DC0206B}">
      <text>
        <r>
          <rPr>
            <sz val="8"/>
            <color indexed="81"/>
            <rFont val="Tahoma"/>
            <family val="2"/>
          </rPr>
          <t>preliminary figure or series subject to revision</t>
        </r>
      </text>
    </comment>
    <comment ref="AB106" authorId="0" shapeId="0" xr:uid="{BE251162-1594-47CB-9F84-314014786E5E}">
      <text>
        <r>
          <rPr>
            <sz val="8"/>
            <color indexed="81"/>
            <rFont val="Tahoma"/>
            <family val="2"/>
          </rPr>
          <t>preliminary figure or series subject to revision</t>
        </r>
      </text>
    </comment>
    <comment ref="AC106" authorId="0" shapeId="0" xr:uid="{3A02E080-EF1C-4E43-8DF6-55C95C41D147}">
      <text>
        <r>
          <rPr>
            <sz val="8"/>
            <color indexed="81"/>
            <rFont val="Tahoma"/>
            <family val="2"/>
          </rPr>
          <t>preliminary figure or series subject to revision</t>
        </r>
      </text>
    </comment>
    <comment ref="AD106" authorId="0" shapeId="0" xr:uid="{82582B6D-2181-4EC5-B9AB-B74CE818F7DC}">
      <text>
        <r>
          <rPr>
            <sz val="8"/>
            <color indexed="81"/>
            <rFont val="Tahoma"/>
            <family val="2"/>
          </rPr>
          <t>preliminary figure or series subject to revision</t>
        </r>
      </text>
    </comment>
    <comment ref="AE106" authorId="0" shapeId="0" xr:uid="{812BF289-0A4D-4C34-A506-EBC3749D5A09}">
      <text>
        <r>
          <rPr>
            <sz val="8"/>
            <color indexed="81"/>
            <rFont val="Tahoma"/>
            <family val="2"/>
          </rPr>
          <t>preliminary figure or series subject to revision</t>
        </r>
      </text>
    </comment>
    <comment ref="AF106" authorId="0" shapeId="0" xr:uid="{076C4005-682B-4038-A36B-5A68FCD66A93}">
      <text>
        <r>
          <rPr>
            <sz val="8"/>
            <color indexed="81"/>
            <rFont val="Tahoma"/>
            <family val="2"/>
          </rPr>
          <t>preliminary figure or series subject to revision</t>
        </r>
      </text>
    </comment>
    <comment ref="AG106" authorId="0" shapeId="0" xr:uid="{73F5CAA5-FAEC-421D-A5EA-4CD619B00318}">
      <text>
        <r>
          <rPr>
            <sz val="8"/>
            <color indexed="81"/>
            <rFont val="Tahoma"/>
            <family val="2"/>
          </rPr>
          <t>preliminary figure or series subject to revision</t>
        </r>
      </text>
    </comment>
    <comment ref="AH106" authorId="0" shapeId="0" xr:uid="{929B32A9-B5E4-4D63-B837-CA59ED544462}">
      <text>
        <r>
          <rPr>
            <sz val="8"/>
            <color indexed="81"/>
            <rFont val="Tahoma"/>
            <family val="2"/>
          </rPr>
          <t>preliminary figure or series subject to revision</t>
        </r>
      </text>
    </comment>
    <comment ref="AI106" authorId="0" shapeId="0" xr:uid="{0042D765-351B-45C5-ACFA-7E3FFAD3CC31}">
      <text>
        <r>
          <rPr>
            <sz val="8"/>
            <color indexed="81"/>
            <rFont val="Tahoma"/>
            <family val="2"/>
          </rPr>
          <t>preliminary figure or series subject to revision</t>
        </r>
      </text>
    </comment>
    <comment ref="AJ106" authorId="0" shapeId="0" xr:uid="{5B44DCBC-1726-4DFB-96B4-642A5A71078E}">
      <text>
        <r>
          <rPr>
            <sz val="8"/>
            <color indexed="81"/>
            <rFont val="Tahoma"/>
            <family val="2"/>
          </rPr>
          <t>preliminary figure or series subject to revision</t>
        </r>
      </text>
    </comment>
    <comment ref="AK106" authorId="0" shapeId="0" xr:uid="{08A593F1-1B34-499F-8E41-6FBB99328895}">
      <text>
        <r>
          <rPr>
            <sz val="8"/>
            <color indexed="81"/>
            <rFont val="Tahoma"/>
            <family val="2"/>
          </rPr>
          <t>preliminary figure or series subject to revision</t>
        </r>
      </text>
    </comment>
    <comment ref="AL106" authorId="0" shapeId="0" xr:uid="{12A7D2DA-ADA3-4D95-A428-4EE4D44BB987}">
      <text>
        <r>
          <rPr>
            <sz val="8"/>
            <color indexed="81"/>
            <rFont val="Tahoma"/>
            <family val="2"/>
          </rPr>
          <t>preliminary figure or series subject to revision</t>
        </r>
      </text>
    </comment>
    <comment ref="AM106" authorId="0" shapeId="0" xr:uid="{9924272A-2F87-42B4-808F-ADD5B1C788B8}">
      <text>
        <r>
          <rPr>
            <sz val="8"/>
            <color indexed="81"/>
            <rFont val="Tahoma"/>
            <family val="2"/>
          </rPr>
          <t>preliminary figure or series subject to revision</t>
        </r>
      </text>
    </comment>
    <comment ref="AN106" authorId="0" shapeId="0" xr:uid="{F7F57D71-2D0A-4423-B508-7FA6AC346FC4}">
      <text>
        <r>
          <rPr>
            <sz val="8"/>
            <color indexed="81"/>
            <rFont val="Tahoma"/>
            <family val="2"/>
          </rPr>
          <t>preliminary figure or series subject to revision</t>
        </r>
      </text>
    </comment>
    <comment ref="AO106" authorId="0" shapeId="0" xr:uid="{715425F1-D49D-451E-9F78-D1AE0BE15B3C}">
      <text>
        <r>
          <rPr>
            <sz val="8"/>
            <color indexed="81"/>
            <rFont val="Tahoma"/>
            <family val="2"/>
          </rPr>
          <t>preliminary figure or series subject to revision</t>
        </r>
      </text>
    </comment>
    <comment ref="AP106" authorId="0" shapeId="0" xr:uid="{975261E4-282E-49C1-8628-85293E4F8043}">
      <text>
        <r>
          <rPr>
            <sz val="8"/>
            <color indexed="81"/>
            <rFont val="Tahoma"/>
            <family val="2"/>
          </rPr>
          <t>preliminary figure or series subject to revision</t>
        </r>
      </text>
    </comment>
    <comment ref="AQ106" authorId="0" shapeId="0" xr:uid="{496D43D5-A624-43C8-9F60-15962B004047}">
      <text>
        <r>
          <rPr>
            <sz val="8"/>
            <color indexed="81"/>
            <rFont val="Tahoma"/>
            <family val="2"/>
          </rPr>
          <t>preliminary figure or series subject to revision</t>
        </r>
      </text>
    </comment>
    <comment ref="AR106" authorId="0" shapeId="0" xr:uid="{2FF36B25-E6D3-4321-9A1C-E0E53F42C5EF}">
      <text>
        <r>
          <rPr>
            <sz val="8"/>
            <color indexed="81"/>
            <rFont val="Tahoma"/>
            <family val="2"/>
          </rPr>
          <t>preliminary figure or series subject to revision</t>
        </r>
      </text>
    </comment>
    <comment ref="AS106" authorId="0" shapeId="0" xr:uid="{62306D10-97E7-40D4-BB18-749F15C79023}">
      <text>
        <r>
          <rPr>
            <sz val="8"/>
            <color indexed="81"/>
            <rFont val="Tahoma"/>
            <family val="2"/>
          </rPr>
          <t>preliminary figure or series subject to revision</t>
        </r>
      </text>
    </comment>
    <comment ref="AT106" authorId="0" shapeId="0" xr:uid="{B8E9C46A-57D5-4067-B484-B1E620FE25C6}">
      <text>
        <r>
          <rPr>
            <sz val="8"/>
            <color indexed="81"/>
            <rFont val="Tahoma"/>
            <family val="2"/>
          </rPr>
          <t>preliminary figure or series subject to revision</t>
        </r>
      </text>
    </comment>
    <comment ref="AU106" authorId="0" shapeId="0" xr:uid="{C71DC140-C626-4869-8BAF-BF82501AC36A}">
      <text>
        <r>
          <rPr>
            <sz val="8"/>
            <color indexed="81"/>
            <rFont val="Tahoma"/>
            <family val="2"/>
          </rPr>
          <t>preliminary figure or series subject to revision</t>
        </r>
      </text>
    </comment>
    <comment ref="AV106" authorId="0" shapeId="0" xr:uid="{39ABFBB7-1B80-4C65-8655-0C2E45AC3740}">
      <text>
        <r>
          <rPr>
            <sz val="8"/>
            <color indexed="81"/>
            <rFont val="Tahoma"/>
            <family val="2"/>
          </rPr>
          <t>preliminary figure or series subject to revision</t>
        </r>
      </text>
    </comment>
    <comment ref="AW106" authorId="0" shapeId="0" xr:uid="{FA6F36FE-E4BA-451D-BFBE-AA8B07765725}">
      <text>
        <r>
          <rPr>
            <sz val="8"/>
            <color indexed="81"/>
            <rFont val="Tahoma"/>
            <family val="2"/>
          </rPr>
          <t>preliminary figure or series subject to revision</t>
        </r>
      </text>
    </comment>
    <comment ref="AX106" authorId="0" shapeId="0" xr:uid="{81B6FD71-6992-4033-9C53-0F79D207CD09}">
      <text>
        <r>
          <rPr>
            <sz val="8"/>
            <color indexed="81"/>
            <rFont val="Tahoma"/>
            <family val="2"/>
          </rPr>
          <t>preliminary figure or series subject to revision</t>
        </r>
      </text>
    </comment>
    <comment ref="AY106" authorId="0" shapeId="0" xr:uid="{58539AB0-537C-45FF-9949-D6C30C238370}">
      <text>
        <r>
          <rPr>
            <sz val="8"/>
            <color indexed="81"/>
            <rFont val="Tahoma"/>
            <family val="2"/>
          </rPr>
          <t>preliminary figure or series subject to revision</t>
        </r>
      </text>
    </comment>
    <comment ref="AZ106" authorId="0" shapeId="0" xr:uid="{D7B6E571-5542-4C5A-B41E-D41CF9F53D86}">
      <text>
        <r>
          <rPr>
            <sz val="8"/>
            <color indexed="81"/>
            <rFont val="Tahoma"/>
            <family val="2"/>
          </rPr>
          <t>preliminary figure or series subject to revision</t>
        </r>
      </text>
    </comment>
    <comment ref="BA106" authorId="0" shapeId="0" xr:uid="{CB6D4A93-1091-4D36-A030-B6FC3AF81D0E}">
      <text>
        <r>
          <rPr>
            <sz val="8"/>
            <color indexed="81"/>
            <rFont val="Tahoma"/>
            <family val="2"/>
          </rPr>
          <t>preliminary figure or series subject to revision</t>
        </r>
      </text>
    </comment>
    <comment ref="BB106" authorId="0" shapeId="0" xr:uid="{FE210FDE-CD3F-4A9C-A4CE-E541CC2CFBA6}">
      <text>
        <r>
          <rPr>
            <sz val="8"/>
            <color indexed="81"/>
            <rFont val="Tahoma"/>
            <family val="2"/>
          </rPr>
          <t>preliminary figure or series subject to revision</t>
        </r>
      </text>
    </comment>
    <comment ref="BC106" authorId="0" shapeId="0" xr:uid="{18E540D0-1F20-4089-98D1-55A79EDDD044}">
      <text>
        <r>
          <rPr>
            <sz val="8"/>
            <color indexed="81"/>
            <rFont val="Tahoma"/>
            <family val="2"/>
          </rPr>
          <t>preliminary figure or series subject to revision</t>
        </r>
      </text>
    </comment>
    <comment ref="BD106" authorId="0" shapeId="0" xr:uid="{4446B95B-24FE-4312-978D-1907D92401DC}">
      <text>
        <r>
          <rPr>
            <sz val="8"/>
            <color indexed="81"/>
            <rFont val="Tahoma"/>
            <family val="2"/>
          </rPr>
          <t>preliminary figure or series subject to revision</t>
        </r>
      </text>
    </comment>
    <comment ref="BE106" authorId="0" shapeId="0" xr:uid="{EA7C678B-5C07-463F-AF61-880F86EA94D0}">
      <text>
        <r>
          <rPr>
            <sz val="8"/>
            <color indexed="81"/>
            <rFont val="Tahoma"/>
            <family val="2"/>
          </rPr>
          <t>preliminary figure or series subject to revision</t>
        </r>
      </text>
    </comment>
    <comment ref="BF106" authorId="0" shapeId="0" xr:uid="{8F56A2CD-D44B-4AC4-A074-730A21A247D7}">
      <text>
        <r>
          <rPr>
            <sz val="8"/>
            <color indexed="81"/>
            <rFont val="Tahoma"/>
            <family val="2"/>
          </rPr>
          <t>preliminary figure or series subject to revision</t>
        </r>
      </text>
    </comment>
    <comment ref="BG106" authorId="0" shapeId="0" xr:uid="{DEEA1F02-4A78-403C-954C-41627CD7A01C}">
      <text>
        <r>
          <rPr>
            <sz val="8"/>
            <color indexed="81"/>
            <rFont val="Tahoma"/>
            <family val="2"/>
          </rPr>
          <t>preliminary figure or series subject to revision</t>
        </r>
      </text>
    </comment>
    <comment ref="BH106" authorId="0" shapeId="0" xr:uid="{8A3DC034-9966-4D25-9918-6A4B2C5DD4F3}">
      <text>
        <r>
          <rPr>
            <sz val="8"/>
            <color indexed="81"/>
            <rFont val="Tahoma"/>
            <family val="2"/>
          </rPr>
          <t>preliminary figure or series subject to revision</t>
        </r>
      </text>
    </comment>
    <comment ref="BI106" authorId="0" shapeId="0" xr:uid="{25A15CE5-100D-4E60-8562-8C810FBC7636}">
      <text>
        <r>
          <rPr>
            <sz val="8"/>
            <color indexed="81"/>
            <rFont val="Tahoma"/>
            <family val="2"/>
          </rPr>
          <t>preliminary figure or series subject to revision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<sst xmlns="http://schemas.openxmlformats.org/spreadsheetml/2006/main" count="1865" uniqueCount="697">
  <si>
    <t>Median Rent ($ per Week) by Quarter</t>
  </si>
  <si>
    <t>LGA/Ring/SD NAME</t>
  </si>
  <si>
    <t>Inner Ring</t>
  </si>
  <si>
    <t>Ashfield</t>
  </si>
  <si>
    <t>Botany Bay</t>
  </si>
  <si>
    <t>Lane Cove</t>
  </si>
  <si>
    <t>Leichhardt</t>
  </si>
  <si>
    <t>Marrickville</t>
  </si>
  <si>
    <t>Mosman</t>
  </si>
  <si>
    <t>North Sydney</t>
  </si>
  <si>
    <t>Randwick</t>
  </si>
  <si>
    <t>Sydney</t>
  </si>
  <si>
    <t>Waverley</t>
  </si>
  <si>
    <t>Woollahra</t>
  </si>
  <si>
    <t>Middle Ring</t>
  </si>
  <si>
    <t>Auburn</t>
  </si>
  <si>
    <t>Bankstown</t>
  </si>
  <si>
    <t>Burwood</t>
  </si>
  <si>
    <t>Canterbury</t>
  </si>
  <si>
    <t>Canada Bay</t>
  </si>
  <si>
    <t>Hunters Hill</t>
  </si>
  <si>
    <t>-</t>
  </si>
  <si>
    <t>Hurstville</t>
  </si>
  <si>
    <t>Kogarah</t>
  </si>
  <si>
    <t>Ku-Ring-Gai</t>
  </si>
  <si>
    <t>Manly</t>
  </si>
  <si>
    <t>Parramatta</t>
  </si>
  <si>
    <t>Rockdale</t>
  </si>
  <si>
    <t>Ryde</t>
  </si>
  <si>
    <t>Strathfield</t>
  </si>
  <si>
    <t>Willoughby</t>
  </si>
  <si>
    <t>Outer Ring</t>
  </si>
  <si>
    <t>The Hills Shire</t>
  </si>
  <si>
    <t>Blacktown</t>
  </si>
  <si>
    <t>Blue Mountains</t>
  </si>
  <si>
    <t>Camden</t>
  </si>
  <si>
    <t>Campbelltown</t>
  </si>
  <si>
    <t>Fairfield</t>
  </si>
  <si>
    <t>Gosford</t>
  </si>
  <si>
    <t>Hawkesbury</t>
  </si>
  <si>
    <t>Holroyd</t>
  </si>
  <si>
    <t>Hornsby</t>
  </si>
  <si>
    <t>Liverpool</t>
  </si>
  <si>
    <t>Penrith</t>
  </si>
  <si>
    <t>Pittwater</t>
  </si>
  <si>
    <t>Sutherland Shire</t>
  </si>
  <si>
    <t>Warringah</t>
  </si>
  <si>
    <t>Wollondilly</t>
  </si>
  <si>
    <t>Wyong</t>
  </si>
  <si>
    <t>Rest of GMR</t>
  </si>
  <si>
    <t>Cessnock</t>
  </si>
  <si>
    <t>Kiama</t>
  </si>
  <si>
    <t>Lake Macquarie</t>
  </si>
  <si>
    <t>Maitland</t>
  </si>
  <si>
    <t>Newcastle</t>
  </si>
  <si>
    <t>Port Stephens</t>
  </si>
  <si>
    <t>Shellharbour</t>
  </si>
  <si>
    <t>Wollongong</t>
  </si>
  <si>
    <t>Rest of NSW</t>
  </si>
  <si>
    <t>New South Wales</t>
  </si>
  <si>
    <t>Greater Sydney</t>
  </si>
  <si>
    <t>2 Bedrooms</t>
  </si>
  <si>
    <t>3 Bedrooms</t>
  </si>
  <si>
    <t>House</t>
  </si>
  <si>
    <t>Flat/Unit</t>
  </si>
  <si>
    <t>Analysis start quarter</t>
  </si>
  <si>
    <t>Analysis end quarter</t>
  </si>
  <si>
    <t>Council/Area</t>
  </si>
  <si>
    <t>Quarterly rent</t>
  </si>
  <si>
    <t>Ku-ring-gai</t>
  </si>
  <si>
    <t>GMR</t>
  </si>
  <si>
    <t>Rest of New South Wales</t>
  </si>
  <si>
    <t>NEW SOUTH WALES</t>
  </si>
  <si>
    <t>Non Strata</t>
  </si>
  <si>
    <t>Strata</t>
  </si>
  <si>
    <t>Median Sales Price $'000s</t>
  </si>
  <si>
    <t>Renter calcs &gt;&gt;</t>
  </si>
  <si>
    <t>Council rates</t>
  </si>
  <si>
    <t>Plant depreciation</t>
  </si>
  <si>
    <t>Maintenance incl. body corporate fees</t>
  </si>
  <si>
    <t>Other expenses</t>
  </si>
  <si>
    <t>Total home ownership running costs</t>
  </si>
  <si>
    <t>Home ownership running costs (% of gross rents)</t>
  </si>
  <si>
    <t>Buyer calcs &gt;&gt;</t>
  </si>
  <si>
    <t>Median home price</t>
  </si>
  <si>
    <t>Dwellings</t>
  </si>
  <si>
    <t>Mortgage interest</t>
  </si>
  <si>
    <t>Mortgage - principal component</t>
  </si>
  <si>
    <t>Home purchase costs</t>
  </si>
  <si>
    <t>Title</t>
  </si>
  <si>
    <t>Lending rates; Small business; Variable; Term</t>
  </si>
  <si>
    <t>Lending rates; Small business; Variable; Overdraft</t>
  </si>
  <si>
    <t>Lending rates; Housing loans; Banks; Variable; Standard; Owner-occupier</t>
  </si>
  <si>
    <t>Lending rates; Housing loans; Banks; Variable; Discounted; Owner-occupier</t>
  </si>
  <si>
    <t>Lending rates; Housing loans; Banks; Variable; Standard interest-only; Owner-occupier</t>
  </si>
  <si>
    <t>Lending rates; Housing loans; Banks; 3-year fixed; Owner-occupier</t>
  </si>
  <si>
    <t>Description</t>
  </si>
  <si>
    <t>Frequency</t>
  </si>
  <si>
    <t>Monthly</t>
  </si>
  <si>
    <t>Type</t>
  </si>
  <si>
    <t>Original</t>
  </si>
  <si>
    <t>Units</t>
  </si>
  <si>
    <t>Per cent per annum</t>
  </si>
  <si>
    <t>Source</t>
  </si>
  <si>
    <t>RBA</t>
  </si>
  <si>
    <t>Publication date</t>
  </si>
  <si>
    <t>Series ID</t>
  </si>
  <si>
    <t>FILRSBVRT</t>
  </si>
  <si>
    <t>FILRSBVOO</t>
  </si>
  <si>
    <t>FILRHLBVS</t>
  </si>
  <si>
    <t>FILRHLBVD</t>
  </si>
  <si>
    <t>FILRHLBVO</t>
  </si>
  <si>
    <t>FILRHL3YF</t>
  </si>
  <si>
    <t>Mortgage rates</t>
  </si>
  <si>
    <t>Depreciation</t>
  </si>
  <si>
    <t>Days in quarter</t>
  </si>
  <si>
    <t>Quarter ending</t>
  </si>
  <si>
    <t>Loan term (years)</t>
  </si>
  <si>
    <t>Mortgage payment</t>
  </si>
  <si>
    <t>Loan balance</t>
  </si>
  <si>
    <t>Quarter of analysis</t>
  </si>
  <si>
    <t>Owner's cashflow costs</t>
  </si>
  <si>
    <t>Renter's cashflow costs</t>
  </si>
  <si>
    <t>Owner's home equity</t>
  </si>
  <si>
    <t>Renter's portfolio</t>
  </si>
  <si>
    <t>Date</t>
  </si>
  <si>
    <t>2006-01-31</t>
  </si>
  <si>
    <t>2006-02-28</t>
  </si>
  <si>
    <t>2006-03-31</t>
  </si>
  <si>
    <t>2006-04-28</t>
  </si>
  <si>
    <t>2006-05-31</t>
  </si>
  <si>
    <t>2006-06-30</t>
  </si>
  <si>
    <t>2006-07-31</t>
  </si>
  <si>
    <t>2006-08-31</t>
  </si>
  <si>
    <t>2006-09-29</t>
  </si>
  <si>
    <t>2006-10-31</t>
  </si>
  <si>
    <t>2006-11-30</t>
  </si>
  <si>
    <t>2006-12-29</t>
  </si>
  <si>
    <t>2007-01-31</t>
  </si>
  <si>
    <t>2007-02-28</t>
  </si>
  <si>
    <t>2007-03-30</t>
  </si>
  <si>
    <t>2007-04-30</t>
  </si>
  <si>
    <t>2007-05-31</t>
  </si>
  <si>
    <t>2007-06-29</t>
  </si>
  <si>
    <t>2007-07-31</t>
  </si>
  <si>
    <t>2007-08-31</t>
  </si>
  <si>
    <t>2007-09-28</t>
  </si>
  <si>
    <t>2007-10-31</t>
  </si>
  <si>
    <t>2007-11-30</t>
  </si>
  <si>
    <t>2007-12-31</t>
  </si>
  <si>
    <t>2008-01-31</t>
  </si>
  <si>
    <t>2008-02-29</t>
  </si>
  <si>
    <t>2008-03-31</t>
  </si>
  <si>
    <t>2008-04-30</t>
  </si>
  <si>
    <t>2008-05-30</t>
  </si>
  <si>
    <t>2008-06-30</t>
  </si>
  <si>
    <t>2008-07-31</t>
  </si>
  <si>
    <t>2008-08-29</t>
  </si>
  <si>
    <t>2008-09-30</t>
  </si>
  <si>
    <t>2008-10-31</t>
  </si>
  <si>
    <t>2008-11-28</t>
  </si>
  <si>
    <t>2008-12-31</t>
  </si>
  <si>
    <t>2009-01-30</t>
  </si>
  <si>
    <t>2009-02-27</t>
  </si>
  <si>
    <t>2009-03-31</t>
  </si>
  <si>
    <t>2009-04-30</t>
  </si>
  <si>
    <t>2009-05-29</t>
  </si>
  <si>
    <t>2009-06-30</t>
  </si>
  <si>
    <t>2009-07-31</t>
  </si>
  <si>
    <t>2009-08-31</t>
  </si>
  <si>
    <t>2009-09-30</t>
  </si>
  <si>
    <t>2009-10-30</t>
  </si>
  <si>
    <t>2009-11-30</t>
  </si>
  <si>
    <t>2009-12-31</t>
  </si>
  <si>
    <t>2010-01-29</t>
  </si>
  <si>
    <t>2010-02-26</t>
  </si>
  <si>
    <t>2010-03-31</t>
  </si>
  <si>
    <t>2010-04-30</t>
  </si>
  <si>
    <t>2010-05-31</t>
  </si>
  <si>
    <t>2010-06-30</t>
  </si>
  <si>
    <t>2010-07-30</t>
  </si>
  <si>
    <t>2010-08-31</t>
  </si>
  <si>
    <t>2010-09-30</t>
  </si>
  <si>
    <t>2010-10-29</t>
  </si>
  <si>
    <t>2010-11-30</t>
  </si>
  <si>
    <t>2010-12-31</t>
  </si>
  <si>
    <t>2011-01-31</t>
  </si>
  <si>
    <t>2011-02-28</t>
  </si>
  <si>
    <t>2011-03-31</t>
  </si>
  <si>
    <t>2011-04-29</t>
  </si>
  <si>
    <t>2011-05-31</t>
  </si>
  <si>
    <t>2011-06-30</t>
  </si>
  <si>
    <t>2011-07-29</t>
  </si>
  <si>
    <t>2011-08-31</t>
  </si>
  <si>
    <t>2011-09-30</t>
  </si>
  <si>
    <t>2011-10-31</t>
  </si>
  <si>
    <t>2011-11-30</t>
  </si>
  <si>
    <t>2011-12-30</t>
  </si>
  <si>
    <t>2012-01-31</t>
  </si>
  <si>
    <t>2012-02-29</t>
  </si>
  <si>
    <t>2012-03-30</t>
  </si>
  <si>
    <t>2012-04-30</t>
  </si>
  <si>
    <t>2012-05-31</t>
  </si>
  <si>
    <t>2012-06-29</t>
  </si>
  <si>
    <t>2012-07-31</t>
  </si>
  <si>
    <t>2012-08-31</t>
  </si>
  <si>
    <t>2012-09-28</t>
  </si>
  <si>
    <t>2012-10-31</t>
  </si>
  <si>
    <t>2012-11-30</t>
  </si>
  <si>
    <t>2012-12-31</t>
  </si>
  <si>
    <t>2013-01-31</t>
  </si>
  <si>
    <t>2013-02-28</t>
  </si>
  <si>
    <t>2013-03-29</t>
  </si>
  <si>
    <t>2013-04-30</t>
  </si>
  <si>
    <t>2013-05-31</t>
  </si>
  <si>
    <t>2013-06-28</t>
  </si>
  <si>
    <t>2013-07-31</t>
  </si>
  <si>
    <t>2013-08-30</t>
  </si>
  <si>
    <t>2013-09-30</t>
  </si>
  <si>
    <t>2013-10-31</t>
  </si>
  <si>
    <t>2013-11-29</t>
  </si>
  <si>
    <t>2013-12-31</t>
  </si>
  <si>
    <t>2014-01-31</t>
  </si>
  <si>
    <t>2014-02-28</t>
  </si>
  <si>
    <t>2014-03-31</t>
  </si>
  <si>
    <t>2014-04-30</t>
  </si>
  <si>
    <t>2014-05-30</t>
  </si>
  <si>
    <t>2014-06-30</t>
  </si>
  <si>
    <t>2014-07-31</t>
  </si>
  <si>
    <t>2014-08-29</t>
  </si>
  <si>
    <t>2014-09-30</t>
  </si>
  <si>
    <t>2014-10-31</t>
  </si>
  <si>
    <t>2014-11-28</t>
  </si>
  <si>
    <t>2014-12-31</t>
  </si>
  <si>
    <t>2015-01-30</t>
  </si>
  <si>
    <t>2015-02-27</t>
  </si>
  <si>
    <t>2015-03-31</t>
  </si>
  <si>
    <t>2015-04-30</t>
  </si>
  <si>
    <t>2015-05-29</t>
  </si>
  <si>
    <t>2015-06-30</t>
  </si>
  <si>
    <t>2015-07-31</t>
  </si>
  <si>
    <t>2015-08-31</t>
  </si>
  <si>
    <t>2015-09-30</t>
  </si>
  <si>
    <t>2015-10-30</t>
  </si>
  <si>
    <t>2015-11-30</t>
  </si>
  <si>
    <t>2015-12-31</t>
  </si>
  <si>
    <t>2016-01-29</t>
  </si>
  <si>
    <t>2016-02-29</t>
  </si>
  <si>
    <t>2016-03-31</t>
  </si>
  <si>
    <t>2016-04-29</t>
  </si>
  <si>
    <t>2016-05-31</t>
  </si>
  <si>
    <t>2016-06-30</t>
  </si>
  <si>
    <t>2016-07-29</t>
  </si>
  <si>
    <t>2016-08-31</t>
  </si>
  <si>
    <t>2016-09-30</t>
  </si>
  <si>
    <t>2016-10-31</t>
  </si>
  <si>
    <t>2016-11-30</t>
  </si>
  <si>
    <t>2016-12-30</t>
  </si>
  <si>
    <t>2017-01-31</t>
  </si>
  <si>
    <t>2017-02-28</t>
  </si>
  <si>
    <t>2017-03-31</t>
  </si>
  <si>
    <t>2017-04-28</t>
  </si>
  <si>
    <t>2017-05-31</t>
  </si>
  <si>
    <t>2017-06-30</t>
  </si>
  <si>
    <t>2017-07-31</t>
  </si>
  <si>
    <t>2017-08-31</t>
  </si>
  <si>
    <t>2017-09-29</t>
  </si>
  <si>
    <t>2017-10-31</t>
  </si>
  <si>
    <t>2017-11-30</t>
  </si>
  <si>
    <t>2017-12-29</t>
  </si>
  <si>
    <t>2018-01-31</t>
  </si>
  <si>
    <t>2018-02-28</t>
  </si>
  <si>
    <t>2018-03-30</t>
  </si>
  <si>
    <t>2018-04-30</t>
  </si>
  <si>
    <t>2018-05-31</t>
  </si>
  <si>
    <t>2018-06-29</t>
  </si>
  <si>
    <t>2018-07-31</t>
  </si>
  <si>
    <t>2018-08-31</t>
  </si>
  <si>
    <t>2018-09-28</t>
  </si>
  <si>
    <t>2018-10-31</t>
  </si>
  <si>
    <t>2018-11-30</t>
  </si>
  <si>
    <t>2018-12-31</t>
  </si>
  <si>
    <t>2019-01-31</t>
  </si>
  <si>
    <t>2019-02-28</t>
  </si>
  <si>
    <t>2019-03-29</t>
  </si>
  <si>
    <t>2019-04-30</t>
  </si>
  <si>
    <t>2019-05-31</t>
  </si>
  <si>
    <t>2019-06-28</t>
  </si>
  <si>
    <t>2019-07-31</t>
  </si>
  <si>
    <t>2019-08-30</t>
  </si>
  <si>
    <t>2019-09-30</t>
  </si>
  <si>
    <t>2019-10-31</t>
  </si>
  <si>
    <t>2019-11-29</t>
  </si>
  <si>
    <t>2019-12-31</t>
  </si>
  <si>
    <t>2020-01-31</t>
  </si>
  <si>
    <t>2020-02-28</t>
  </si>
  <si>
    <t>2020-03-31</t>
  </si>
  <si>
    <t>2020-04-30</t>
  </si>
  <si>
    <t>2020-05-29</t>
  </si>
  <si>
    <t>2020-06-30</t>
  </si>
  <si>
    <t>2020-07-31</t>
  </si>
  <si>
    <t>2020-08-31</t>
  </si>
  <si>
    <t>2020-09-30</t>
  </si>
  <si>
    <t>2020-10-30</t>
  </si>
  <si>
    <t>2020-11-30</t>
  </si>
  <si>
    <t>2020-12-31</t>
  </si>
  <si>
    <t>2021-01-29</t>
  </si>
  <si>
    <t>2021-02-26</t>
  </si>
  <si>
    <t>2021-03-31</t>
  </si>
  <si>
    <t>2021-04-30</t>
  </si>
  <si>
    <t>2021-05-31</t>
  </si>
  <si>
    <t>2021-06-30</t>
  </si>
  <si>
    <t>2021-07-30</t>
  </si>
  <si>
    <t>2021-08-31</t>
  </si>
  <si>
    <t>2021-09-30</t>
  </si>
  <si>
    <t>2021-10-29</t>
  </si>
  <si>
    <t>2021-11-30</t>
  </si>
  <si>
    <t>2021-12-31</t>
  </si>
  <si>
    <t>2022-01-31</t>
  </si>
  <si>
    <t>2022-02-28</t>
  </si>
  <si>
    <t>2022-03-31</t>
  </si>
  <si>
    <t>2022-04-29</t>
  </si>
  <si>
    <t>2022-05-31</t>
  </si>
  <si>
    <t>2022-06-30</t>
  </si>
  <si>
    <t>2022-07-29</t>
  </si>
  <si>
    <t>2022-08-31</t>
  </si>
  <si>
    <t>2022-09-30</t>
  </si>
  <si>
    <t>2022-10-31</t>
  </si>
  <si>
    <t>2022-11-30</t>
  </si>
  <si>
    <t>2022-12-30</t>
  </si>
  <si>
    <t>2023-01-31</t>
  </si>
  <si>
    <t>2023-02-28</t>
  </si>
  <si>
    <t>2023-03-31</t>
  </si>
  <si>
    <t>2023-04-28</t>
  </si>
  <si>
    <t>2023-05-31</t>
  </si>
  <si>
    <t>2023-06-30</t>
  </si>
  <si>
    <t>2023-07-31</t>
  </si>
  <si>
    <t>2023-08-31</t>
  </si>
  <si>
    <t>2023-09-29</t>
  </si>
  <si>
    <t>2023-10-31</t>
  </si>
  <si>
    <t>2023-11-30</t>
  </si>
  <si>
    <t>2023-12-29</t>
  </si>
  <si>
    <t>2024-01-31</t>
  </si>
  <si>
    <t>2024-02-29</t>
  </si>
  <si>
    <t>2024-03-29</t>
  </si>
  <si>
    <t>2024-04-30</t>
  </si>
  <si>
    <t>2024-05-31</t>
  </si>
  <si>
    <t>2024-06-28</t>
  </si>
  <si>
    <t>2024-07-31</t>
  </si>
  <si>
    <t>2024-08-30</t>
  </si>
  <si>
    <t>2024-09-30</t>
  </si>
  <si>
    <t>2024-10-31</t>
  </si>
  <si>
    <t>2024-11-29</t>
  </si>
  <si>
    <t>2024-12-31</t>
  </si>
  <si>
    <t>2025-01-31</t>
  </si>
  <si>
    <t>2025-02-28</t>
  </si>
  <si>
    <t>2025-03-31</t>
  </si>
  <si>
    <t>2025-04-30</t>
  </si>
  <si>
    <t>2025-05-30</t>
  </si>
  <si>
    <t>2025-06-30</t>
  </si>
  <si>
    <t>2025-07-31</t>
  </si>
  <si>
    <t>2025-08-29</t>
  </si>
  <si>
    <t>2025-09-30</t>
  </si>
  <si>
    <t>2025-10-31</t>
  </si>
  <si>
    <t>2025-11-28</t>
  </si>
  <si>
    <t>2025-12-31</t>
  </si>
  <si>
    <t>Year-month</t>
  </si>
  <si>
    <t>Median weekly rents, new bonds</t>
  </si>
  <si>
    <t>Renter's rents</t>
  </si>
  <si>
    <t>Renter additional cashflow</t>
  </si>
  <si>
    <t>MSCI Aus index, end Q</t>
  </si>
  <si>
    <t>MSCI World index, end Q</t>
  </si>
  <si>
    <t>% of portfolio in global equities</t>
  </si>
  <si>
    <t>% of portfolio in Australian equities</t>
  </si>
  <si>
    <t>MSCI World index, start Q</t>
  </si>
  <si>
    <t>MSCI Aus index, start Q</t>
  </si>
  <si>
    <t>Portfolio, start Q</t>
  </si>
  <si>
    <t>Portfolio, end Q</t>
  </si>
  <si>
    <t>Renter-to-owner wealth ratio</t>
  </si>
  <si>
    <t>Investment fees</t>
  </si>
  <si>
    <t>Renter-to-owner cash needs</t>
  </si>
  <si>
    <t>Renovation</t>
  </si>
  <si>
    <t>Adjusted home price</t>
  </si>
  <si>
    <t>Maintenance</t>
  </si>
  <si>
    <t>Total p.a. as % of home value</t>
  </si>
  <si>
    <t>Mortgage</t>
  </si>
  <si>
    <t>Mortgage rates (Standard/Discounted)</t>
  </si>
  <si>
    <t>Total p.a. as % of rent</t>
  </si>
  <si>
    <t>Maintenance and renovation</t>
  </si>
  <si>
    <t>Rent vs buy analysis - Sydney</t>
  </si>
  <si>
    <t>Dwelling type (3br house, 3BR_H; or 2br flat, 2BR_F)</t>
  </si>
  <si>
    <t>Ending renter-to-owner wealth ratio</t>
  </si>
  <si>
    <t>Discounted</t>
  </si>
  <si>
    <t>Investment fees (% of investment value per year)</t>
  </si>
  <si>
    <t>Average maint + reno spending (% home value)</t>
  </si>
  <si>
    <t>Average maint + reno spending (% rents)</t>
  </si>
  <si>
    <t>Depreciation (% of initial home value per year)</t>
  </si>
  <si>
    <t>Lenders' mortgage insurance (% of home purchase price)</t>
  </si>
  <si>
    <t>Deposit (% of home purchase price)</t>
  </si>
  <si>
    <t>Real estate agent commissions (purchase)</t>
  </si>
  <si>
    <t>Stamp duty (purchase)</t>
  </si>
  <si>
    <t>Real estate agent commissions (sale)</t>
  </si>
  <si>
    <t>Home transaction costs (% of home value)</t>
  </si>
  <si>
    <t>Home sale costs</t>
  </si>
  <si>
    <t>No</t>
  </si>
  <si>
    <t>Tax concessions</t>
  </si>
  <si>
    <t>Concessional super contributions tax rate</t>
  </si>
  <si>
    <t>Marginal income tax rate (including Medicare levy)</t>
  </si>
  <si>
    <t>Other selling costs</t>
  </si>
  <si>
    <t>Renter investment contributions</t>
  </si>
  <si>
    <t>Renter investment parameters</t>
  </si>
  <si>
    <t>Other renter parameters</t>
  </si>
  <si>
    <t>1997-01-31</t>
  </si>
  <si>
    <t>1997-02-28</t>
  </si>
  <si>
    <t>1997-03-31</t>
  </si>
  <si>
    <t>1997-04-30</t>
  </si>
  <si>
    <t>1997-05-30</t>
  </si>
  <si>
    <t>1997-06-30</t>
  </si>
  <si>
    <t>1997-07-31</t>
  </si>
  <si>
    <t>1997-08-29</t>
  </si>
  <si>
    <t>1997-09-30</t>
  </si>
  <si>
    <t>1997-10-31</t>
  </si>
  <si>
    <t>1997-11-28</t>
  </si>
  <si>
    <t>1997-12-31</t>
  </si>
  <si>
    <t>1998-01-30</t>
  </si>
  <si>
    <t>1998-02-27</t>
  </si>
  <si>
    <t>1998-03-31</t>
  </si>
  <si>
    <t>1998-04-30</t>
  </si>
  <si>
    <t>1998-05-29</t>
  </si>
  <si>
    <t>1998-06-30</t>
  </si>
  <si>
    <t>1998-07-31</t>
  </si>
  <si>
    <t>1998-08-31</t>
  </si>
  <si>
    <t>1998-09-30</t>
  </si>
  <si>
    <t>1998-10-30</t>
  </si>
  <si>
    <t>1998-11-30</t>
  </si>
  <si>
    <t>1998-12-31</t>
  </si>
  <si>
    <t>1999-01-29</t>
  </si>
  <si>
    <t>1999-02-26</t>
  </si>
  <si>
    <t>1999-03-31</t>
  </si>
  <si>
    <t>1999-04-30</t>
  </si>
  <si>
    <t>1999-05-31</t>
  </si>
  <si>
    <t>1999-06-30</t>
  </si>
  <si>
    <t>1999-07-30</t>
  </si>
  <si>
    <t>1999-08-31</t>
  </si>
  <si>
    <t>1999-09-30</t>
  </si>
  <si>
    <t>1999-10-29</t>
  </si>
  <si>
    <t>1999-11-30</t>
  </si>
  <si>
    <t>1999-12-31</t>
  </si>
  <si>
    <t>2000-01-31</t>
  </si>
  <si>
    <t>2000-02-29</t>
  </si>
  <si>
    <t>2000-03-31</t>
  </si>
  <si>
    <t>2000-04-28</t>
  </si>
  <si>
    <t>2000-05-31</t>
  </si>
  <si>
    <t>2000-06-30</t>
  </si>
  <si>
    <t>2000-07-31</t>
  </si>
  <si>
    <t>2000-08-31</t>
  </si>
  <si>
    <t>2000-09-29</t>
  </si>
  <si>
    <t>2000-10-31</t>
  </si>
  <si>
    <t>2000-11-30</t>
  </si>
  <si>
    <t>2000-12-29</t>
  </si>
  <si>
    <t>2001-01-31</t>
  </si>
  <si>
    <t>2001-02-28</t>
  </si>
  <si>
    <t>2001-03-30</t>
  </si>
  <si>
    <t>2001-04-30</t>
  </si>
  <si>
    <t>2001-05-31</t>
  </si>
  <si>
    <t>2001-06-29</t>
  </si>
  <si>
    <t>2001-07-31</t>
  </si>
  <si>
    <t>2001-08-31</t>
  </si>
  <si>
    <t>2001-09-28</t>
  </si>
  <si>
    <t>2001-10-31</t>
  </si>
  <si>
    <t>2001-11-30</t>
  </si>
  <si>
    <t>2001-12-31</t>
  </si>
  <si>
    <t>2002-01-31</t>
  </si>
  <si>
    <t>2002-02-28</t>
  </si>
  <si>
    <t>2002-03-29</t>
  </si>
  <si>
    <t>2002-04-30</t>
  </si>
  <si>
    <t>2002-05-31</t>
  </si>
  <si>
    <t>2002-06-28</t>
  </si>
  <si>
    <t>2002-07-31</t>
  </si>
  <si>
    <t>2002-08-30</t>
  </si>
  <si>
    <t>2002-09-30</t>
  </si>
  <si>
    <t>2002-10-31</t>
  </si>
  <si>
    <t>2002-11-29</t>
  </si>
  <si>
    <t>2002-12-31</t>
  </si>
  <si>
    <t>2003-01-31</t>
  </si>
  <si>
    <t>2003-02-28</t>
  </si>
  <si>
    <t>2003-03-31</t>
  </si>
  <si>
    <t>2003-04-30</t>
  </si>
  <si>
    <t>2003-05-30</t>
  </si>
  <si>
    <t>2003-06-30</t>
  </si>
  <si>
    <t>2003-07-31</t>
  </si>
  <si>
    <t>2003-08-29</t>
  </si>
  <si>
    <t>2003-09-30</t>
  </si>
  <si>
    <t>2003-10-31</t>
  </si>
  <si>
    <t>2003-11-28</t>
  </si>
  <si>
    <t>2003-12-31</t>
  </si>
  <si>
    <t>2004-01-30</t>
  </si>
  <si>
    <t>2004-02-27</t>
  </si>
  <si>
    <t>2004-03-31</t>
  </si>
  <si>
    <t>2004-04-30</t>
  </si>
  <si>
    <t>2004-05-31</t>
  </si>
  <si>
    <t>2004-06-30</t>
  </si>
  <si>
    <t>2004-07-30</t>
  </si>
  <si>
    <t>2004-08-31</t>
  </si>
  <si>
    <t>2004-09-30</t>
  </si>
  <si>
    <t>2004-10-29</t>
  </si>
  <si>
    <t>2004-11-30</t>
  </si>
  <si>
    <t>2004-12-31</t>
  </si>
  <si>
    <t>2005-01-31</t>
  </si>
  <si>
    <t>2005-02-28</t>
  </si>
  <si>
    <t>2005-03-31</t>
  </si>
  <si>
    <t>2005-04-29</t>
  </si>
  <si>
    <t>2005-05-31</t>
  </si>
  <si>
    <t>2005-06-30</t>
  </si>
  <si>
    <t>2005-07-29</t>
  </si>
  <si>
    <t>2005-08-31</t>
  </si>
  <si>
    <t>2005-09-30</t>
  </si>
  <si>
    <t>2005-10-31</t>
  </si>
  <si>
    <t>2005-11-30</t>
  </si>
  <si>
    <t>2005-12-30</t>
  </si>
  <si>
    <t>2026-01-30</t>
  </si>
  <si>
    <t>2026-02-27</t>
  </si>
  <si>
    <t>2026-03-31</t>
  </si>
  <si>
    <t>MSCI World IMI Index (total returns, net of tax, USD)</t>
  </si>
  <si>
    <t>MSCI Australia IMI Index (total returns, gross of tax, AUD)</t>
  </si>
  <si>
    <t>Rent growth p.a.</t>
  </si>
  <si>
    <t>Investing through superannuation?</t>
  </si>
  <si>
    <t>3BR_H</t>
  </si>
  <si>
    <t>CPI</t>
  </si>
  <si>
    <t>Index Numbers ;  All groups CPI, seasonally adjusted ;  Australia ;</t>
  </si>
  <si>
    <t>Real gains ($)</t>
  </si>
  <si>
    <t>Nominal gains ($)</t>
  </si>
  <si>
    <t>CGT calcs</t>
  </si>
  <si>
    <t>CGT on withdrawals</t>
  </si>
  <si>
    <r>
      <t xml:space="preserve">Tax concessions on contributions (0% if </t>
    </r>
    <r>
      <rPr>
        <b/>
        <sz val="11"/>
        <color theme="1"/>
        <rFont val="Aptos Narrow"/>
        <family val="2"/>
        <scheme val="minor"/>
      </rPr>
      <t>not</t>
    </r>
    <r>
      <rPr>
        <sz val="11"/>
        <color theme="1"/>
        <rFont val="Aptos Narrow"/>
        <family val="2"/>
        <scheme val="minor"/>
      </rPr>
      <t xml:space="preserve"> investing through super)</t>
    </r>
  </si>
  <si>
    <t>Cost base (nominal)</t>
  </si>
  <si>
    <t>Portfolio, end Q, before CGT</t>
  </si>
  <si>
    <t>Cost base (CPI-adjusted to Q_end)</t>
  </si>
  <si>
    <t>Contributions (CPI-adjusted to Q_end)</t>
  </si>
  <si>
    <t>Cost base + CPI to current quarter</t>
  </si>
  <si>
    <t>Comparison vs inflation</t>
  </si>
  <si>
    <t>Marginal income tax rate on withdrawal</t>
  </si>
  <si>
    <t>CPI (Q_st art = 100)</t>
  </si>
  <si>
    <t>MSCI World (Q_start=100)</t>
  </si>
  <si>
    <t>MSCI Aus (Q_start=100)</t>
  </si>
  <si>
    <t>Portfolio (Q_start=100)</t>
  </si>
  <si>
    <t>Adjusted home price (Q_start = 100)</t>
  </si>
  <si>
    <t>Median home price (Q_start = 100)</t>
  </si>
  <si>
    <t>Median home price growth p.a.</t>
  </si>
  <si>
    <t>Investment index (country-weighted) growth p.a.</t>
  </si>
  <si>
    <t>CPI growth p.a.</t>
  </si>
  <si>
    <t>Marginal CGT &amp; dividend income tax rate (0% if investing through super)</t>
  </si>
  <si>
    <t>Renovations, alterations, and additions (% of current home value per year)</t>
  </si>
  <si>
    <t>Default values</t>
  </si>
  <si>
    <t>Set values</t>
  </si>
  <si>
    <t>Renovation, cumulative</t>
  </si>
  <si>
    <t>Consider CGT? Note: Unlikely  to reflect realistic tax liabilities</t>
  </si>
  <si>
    <t>When buying the house (cashflow costs)</t>
  </si>
  <si>
    <t>When selling the house (derating of home value)</t>
  </si>
  <si>
    <t>Adjusted home price growth p.a.</t>
  </si>
  <si>
    <t>Average renter-to-owner cashflow needs excl. home purchase costs</t>
  </si>
  <si>
    <t>Investment efficiency</t>
  </si>
  <si>
    <t>Portfolio index (Q_start=100)</t>
  </si>
  <si>
    <t>Renter's insurance and other costs ($ per year, end-quarter dollars)</t>
  </si>
  <si>
    <t>Other renter costs</t>
  </si>
  <si>
    <t>Median Price of Established House Transfers (Unstratified) ;  Sydney ;</t>
  </si>
  <si>
    <t>Median Price of Established House Transfers (Unstratified) ;  Rest of NSW ;</t>
  </si>
  <si>
    <t>Median Price of Established House Transfers (Unstratified) ;  Melbourne ;</t>
  </si>
  <si>
    <t>Median Price of Established House Transfers (Unstratified) ;  Rest of Vic. ;</t>
  </si>
  <si>
    <t>Median Price of Established House Transfers (Unstratified) ;  Brisbane ;</t>
  </si>
  <si>
    <t>Median Price of Established House Transfers (Unstratified) ;  Rest of Qld. ;</t>
  </si>
  <si>
    <t>Median Price of Established House Transfers (Unstratified) ;  Adelaide ;</t>
  </si>
  <si>
    <t>Median Price of Established House Transfers (Unstratified) ;  Rest of SA ;</t>
  </si>
  <si>
    <t>Median Price of Established House Transfers (Unstratified) ;  Perth ;</t>
  </si>
  <si>
    <t>Median Price of Established House Transfers (Unstratified) ;  Rest of WA ;</t>
  </si>
  <si>
    <t>Median Price of Established House Transfers (Unstratified) ;  Hobart ;</t>
  </si>
  <si>
    <t>Median Price of Established House Transfers (Unstratified) ;  Rest of Tas. ;</t>
  </si>
  <si>
    <t>Median Price of Established House Transfers (Unstratified) ;  Darwin ;</t>
  </si>
  <si>
    <t>Median Price of Established House Transfers (Unstratified) ;  Rest of NT ;</t>
  </si>
  <si>
    <t>Median Price of Established House Transfers (Unstratified) ;  Canberra ;</t>
  </si>
  <si>
    <t>Median Price of Attached Dwelling Transfers (Unstratified) ;  Sydney ;</t>
  </si>
  <si>
    <t>Median Price of Attached Dwelling Transfers (Unstratified) ;  Rest of NSW ;</t>
  </si>
  <si>
    <t>Median Price of Attached Dwelling Transfers (Unstratified) ;  Melbourne ;</t>
  </si>
  <si>
    <t>Median Price of Attached Dwelling Transfers (Unstratified) ;  Rest of Vic. ;</t>
  </si>
  <si>
    <t>Median Price of Attached Dwelling Transfers (Unstratified) ;  Brisbane ;</t>
  </si>
  <si>
    <t>Median Price of Attached Dwelling Transfers (Unstratified) ;  Rest of Qld. ;</t>
  </si>
  <si>
    <t>Median Price of Attached Dwelling Transfers (Unstratified) ;  Adelaide ;</t>
  </si>
  <si>
    <t>Median Price of Attached Dwelling Transfers (Unstratified) ;  Rest of SA ;</t>
  </si>
  <si>
    <t>Median Price of Attached Dwelling Transfers (Unstratified) ;  Perth ;</t>
  </si>
  <si>
    <t>Median Price of Attached Dwelling Transfers (Unstratified) ;  Rest of WA ;</t>
  </si>
  <si>
    <t>Median Price of Attached Dwelling Transfers (Unstratified) ;  Hobart ;</t>
  </si>
  <si>
    <t>Median Price of Attached Dwelling Transfers (Unstratified) ;  Rest of Tas. ;</t>
  </si>
  <si>
    <t>Median Price of Attached Dwelling Transfers (Unstratified) ;  Darwin ;</t>
  </si>
  <si>
    <t>Median Price of Attached Dwelling Transfers (Unstratified) ;  Rest of NT ;</t>
  </si>
  <si>
    <t>Median Price of Attached Dwelling Transfers (Unstratified) ;  Canberra ;</t>
  </si>
  <si>
    <t>Number of Established House Transfers ;  Sydney ;</t>
  </si>
  <si>
    <t>Number of Established House Transfers ;  Rest of NSW ;</t>
  </si>
  <si>
    <t>Number of Established House Transfers ;  Melbourne ;</t>
  </si>
  <si>
    <t>Number of Established House Transfers ;  Rest of Vic. ;</t>
  </si>
  <si>
    <t>Number of Established House Transfers ;  Brisbane ;</t>
  </si>
  <si>
    <t>Number of Established House Transfers ;  Rest of Qld. ;</t>
  </si>
  <si>
    <t>Number of Established House Transfers ;  Adelaide ;</t>
  </si>
  <si>
    <t>Number of Established House Transfers ;  Rest of SA ;</t>
  </si>
  <si>
    <t>Number of Established House Transfers ;  Perth ;</t>
  </si>
  <si>
    <t>Number of Established House Transfers ;  Rest of WA ;</t>
  </si>
  <si>
    <t>Number of Established House Transfers ;  Hobart ;</t>
  </si>
  <si>
    <t>Number of Established House Transfers ;  Rest of Tas. ;</t>
  </si>
  <si>
    <t>Number of Established House Transfers ;  Darwin ;</t>
  </si>
  <si>
    <t>Number of Established House Transfers ;  Rest of NT ;</t>
  </si>
  <si>
    <t>Number of Established House Transfers ;  Canberra ;</t>
  </si>
  <si>
    <t>Number of Attached Dwelling Transfers ;  Sydney ;</t>
  </si>
  <si>
    <t>Number of Attached Dwelling Transfers ;  Rest of NSW ;</t>
  </si>
  <si>
    <t>Number of Attached Dwelling Transfers ;  Melbourne ;</t>
  </si>
  <si>
    <t>Number of Attached Dwelling Transfers ;  Rest of Vic. ;</t>
  </si>
  <si>
    <t>Number of Attached Dwelling Transfers ;  Brisbane ;</t>
  </si>
  <si>
    <t>Number of Attached Dwelling Transfers ;  Rest of Qld. ;</t>
  </si>
  <si>
    <t>Number of Attached Dwelling Transfers ;  Adelaide ;</t>
  </si>
  <si>
    <t>Number of Attached Dwelling Transfers ;  Rest of SA ;</t>
  </si>
  <si>
    <t>Number of Attached Dwelling Transfers ;  Perth ;</t>
  </si>
  <si>
    <t>Number of Attached Dwelling Transfers ;  Rest of WA ;</t>
  </si>
  <si>
    <t>Number of Attached Dwelling Transfers ;  Hobart ;</t>
  </si>
  <si>
    <t>Number of Attached Dwelling Transfers ;  Rest of Tas. ;</t>
  </si>
  <si>
    <t>Number of Attached Dwelling Transfers ;  Darwin ;</t>
  </si>
  <si>
    <t>Number of Attached Dwelling Transfers ;  Rest of NT ;</t>
  </si>
  <si>
    <t>Number of Attached Dwelling Transfers ;  Canberra ;</t>
  </si>
  <si>
    <t>Unit</t>
  </si>
  <si>
    <t>$'000</t>
  </si>
  <si>
    <t>Number</t>
  </si>
  <si>
    <t>Series Type</t>
  </si>
  <si>
    <t>Data Type</t>
  </si>
  <si>
    <t>FLOW</t>
  </si>
  <si>
    <t>Quarter</t>
  </si>
  <si>
    <t>Collection Month</t>
  </si>
  <si>
    <t>Series Start</t>
  </si>
  <si>
    <t>Series End</t>
  </si>
  <si>
    <t>No. Obs</t>
  </si>
  <si>
    <t>A83728545T</t>
  </si>
  <si>
    <t>A83728577K</t>
  </si>
  <si>
    <t>A83728549A</t>
  </si>
  <si>
    <t>A83728581A</t>
  </si>
  <si>
    <t>A83728553T</t>
  </si>
  <si>
    <t>A83728585K</t>
  </si>
  <si>
    <t>A83728557A</t>
  </si>
  <si>
    <t>A83728589V</t>
  </si>
  <si>
    <t>A83728561T</t>
  </si>
  <si>
    <t>A83728593K</t>
  </si>
  <si>
    <t>A83728565A</t>
  </si>
  <si>
    <t>A83728597V</t>
  </si>
  <si>
    <t>A83728569K</t>
  </si>
  <si>
    <t>A83728601X</t>
  </si>
  <si>
    <t>A83728573A</t>
  </si>
  <si>
    <t>A83728546V</t>
  </si>
  <si>
    <t>A83728578L</t>
  </si>
  <si>
    <t>A83728550K</t>
  </si>
  <si>
    <t>A83728582C</t>
  </si>
  <si>
    <t>A83728554V</t>
  </si>
  <si>
    <t>A83728586L</t>
  </si>
  <si>
    <t>A83728558C</t>
  </si>
  <si>
    <t>A83728590C</t>
  </si>
  <si>
    <t>A83728562V</t>
  </si>
  <si>
    <t>A83728594L</t>
  </si>
  <si>
    <t>A83728566C</t>
  </si>
  <si>
    <t>A83728598W</t>
  </si>
  <si>
    <t>A83728570V</t>
  </si>
  <si>
    <t>A83728602A</t>
  </si>
  <si>
    <t>A83728574C</t>
  </si>
  <si>
    <t>A83728543L</t>
  </si>
  <si>
    <t>A83728575F</t>
  </si>
  <si>
    <t>A83728547W</t>
  </si>
  <si>
    <t>A83728579R</t>
  </si>
  <si>
    <t>A83728551L</t>
  </si>
  <si>
    <t>A83728583F</t>
  </si>
  <si>
    <t>A83728555W</t>
  </si>
  <si>
    <t>A83728587R</t>
  </si>
  <si>
    <t>A83728559F</t>
  </si>
  <si>
    <t>A83728591F</t>
  </si>
  <si>
    <t>A83728563W</t>
  </si>
  <si>
    <t>A83728595R</t>
  </si>
  <si>
    <t>A83728567F</t>
  </si>
  <si>
    <t>A83728599X</t>
  </si>
  <si>
    <t>A83728571W</t>
  </si>
  <si>
    <t>A83728544R</t>
  </si>
  <si>
    <t>A83728576J</t>
  </si>
  <si>
    <t>A83728548X</t>
  </si>
  <si>
    <t>A83728580X</t>
  </si>
  <si>
    <t>A83728552R</t>
  </si>
  <si>
    <t>A83728584J</t>
  </si>
  <si>
    <t>A83728556X</t>
  </si>
  <si>
    <t>A83728588T</t>
  </si>
  <si>
    <t>A83728560R</t>
  </si>
  <si>
    <t>A83728592J</t>
  </si>
  <si>
    <t>A83728564X</t>
  </si>
  <si>
    <t>A83728596T</t>
  </si>
  <si>
    <t>A83728568J</t>
  </si>
  <si>
    <t>A83728600W</t>
  </si>
  <si>
    <t>A83728572X</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</si>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</sst>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Red]\-&quot;$&quot;#,##0.00"/>
    <numFmt numFmtId="43" formatCode="_-* #,##0.00_-;\-* #,##0.00_-;_-* &quot;-&quot;??_-;_-@_-"/>
    <numFmt numFmtId="164" formatCode="_-* #,##0_-;\-* #,##0_-;_-* &quot;-&quot;??_-;_-@_-"/>
    <numFmt numFmtId="165" formatCode="dd\-mmm\-yyyy"/>
    <numFmt numFmtId="166" formatCode="mmm\-yyyy"/>
    <numFmt numFmtId="167" formatCode="0.0%"/>
    <numFmt numFmtId="168" formatCode="0.000"/>
    <numFmt numFmtId="169" formatCode="0.0;\-0.0;0.0;@"/>
    <numFmt numFmtId="170" formatCode="0;\-0;0;@"/>
  </numFmts>
  <fonts count="15" x14ac:knownFonts="1">
    <font>
      <sz val="11"/>
      <color theme="1"/>
      <name val="Aptos Narrow"/>
      <family val="2"/>
      <scheme val="minor"/>
    </font>
    <font>
      <sz val="10"/>
      <name val="Arial"/>
      <family val="2"/>
    </font>
    <font>
      <b/>
      <sz val="11"/>
      <color theme="1"/>
      <name val="Aptos Narrow"/>
      <family val="2"/>
      <scheme val="minor"/>
    </font>
    <font>
      <i/>
      <sz val="11"/>
      <color theme="1"/>
      <name val="Aptos Narrow"/>
      <family val="2"/>
      <scheme val="minor"/>
    </font>
    <font>
      <sz val="11"/>
      <color theme="1"/>
      <name val="Aptos Narrow"/>
      <family val="2"/>
      <scheme val="minor"/>
    </font>
    <font>
      <b/>
      <i/>
      <sz val="11"/>
      <color theme="1"/>
      <name val="Aptos Narrow"/>
      <family val="2"/>
      <scheme val="minor"/>
    </font>
    <font>
      <sz val="9"/>
      <color indexed="81"/>
      <name val="Tahoma"/>
      <family val="2"/>
    </font>
    <font>
      <b/>
      <sz val="9"/>
      <color indexed="81"/>
      <name val="Tahoma"/>
      <family val="2"/>
    </font>
    <font>
      <sz val="9"/>
      <color rgb="FF000000"/>
      <name val="Arial"/>
      <family val="2"/>
    </font>
    <font>
      <sz val="8"/>
      <color rgb="FF000000"/>
      <name val="Arial"/>
      <family val="2"/>
    </font>
    <font>
      <sz val="10"/>
      <color rgb="FF000000"/>
      <name val="Arial"/>
      <family val="2"/>
    </font>
    <font>
      <b/>
      <sz val="11"/>
      <name val="Calibri"/>
      <family val="2"/>
    </font>
    <font>
      <sz val="8"/>
      <color theme="1"/>
      <name val="Arial"/>
      <family val="2"/>
    </font>
    <font>
      <b/>
      <sz val="8"/>
      <color theme="1"/>
      <name val="Arial"/>
      <family val="2"/>
    </font>
    <font>
      <sz val="8"/>
      <color indexed="81"/>
      <name val="Tahoma"/>
      <family val="2"/>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5"/>
        <bgColor indexed="64"/>
      </patternFill>
    </fill>
    <fill>
      <patternFill patternType="solid">
        <fgColor rgb="FFFF0000"/>
        <bgColor indexed="64"/>
      </patternFill>
    </fill>
    <fill>
      <patternFill patternType="solid">
        <fgColor rgb="FF00B0F0"/>
        <bgColor indexed="64"/>
      </patternFill>
    </fill>
  </fills>
  <borders count="1">
    <border>
      <left/>
      <right/>
      <top/>
      <bottom/>
      <diagonal/>
    </border>
  </borders>
  <cellStyleXfs count="4">
    <xf numFmtId="0" fontId="0" fillId="0" borderId="0"/>
    <xf numFmtId="0" fontId="1" fillId="0" borderId="0"/>
    <xf numFmtId="43" fontId="4" fillId="0" borderId="0" applyFont="0" applyFill="0" applyBorder="0" applyAlignment="0" applyProtection="0"/>
    <xf numFmtId="9" fontId="4" fillId="0" borderId="0" applyFont="0" applyFill="0" applyBorder="0" applyAlignment="0" applyProtection="0"/>
  </cellStyleXfs>
  <cellXfs count="50">
    <xf numFmtId="0" fontId="0" fillId="0" borderId="0" xfId="0"/>
    <xf numFmtId="17" fontId="0" fillId="0" borderId="0" xfId="0" applyNumberFormat="1"/>
    <xf numFmtId="17" fontId="0" fillId="0" borderId="0" xfId="0" quotePrefix="1" applyNumberFormat="1"/>
    <xf numFmtId="14" fontId="0" fillId="0" borderId="0" xfId="0" applyNumberFormat="1"/>
    <xf numFmtId="10" fontId="0" fillId="0" borderId="0" xfId="0" applyNumberFormat="1"/>
    <xf numFmtId="0" fontId="0" fillId="2" borderId="0" xfId="0" applyFill="1"/>
    <xf numFmtId="0" fontId="0" fillId="3" borderId="0" xfId="0" applyFill="1"/>
    <xf numFmtId="0" fontId="2" fillId="0" borderId="0" xfId="0" applyFont="1"/>
    <xf numFmtId="0" fontId="3" fillId="0" borderId="0" xfId="0" applyFont="1"/>
    <xf numFmtId="2" fontId="0" fillId="0" borderId="0" xfId="0" applyNumberFormat="1"/>
    <xf numFmtId="9" fontId="0" fillId="0" borderId="0" xfId="0" applyNumberFormat="1"/>
    <xf numFmtId="0" fontId="5" fillId="0" borderId="0" xfId="0" applyFont="1"/>
    <xf numFmtId="164" fontId="0" fillId="0" borderId="0" xfId="2" applyNumberFormat="1" applyFont="1"/>
    <xf numFmtId="43" fontId="0" fillId="0" borderId="0" xfId="0" applyNumberFormat="1"/>
    <xf numFmtId="164" fontId="0" fillId="0" borderId="0" xfId="0" applyNumberFormat="1"/>
    <xf numFmtId="164" fontId="0" fillId="4" borderId="0" xfId="2" applyNumberFormat="1" applyFont="1" applyFill="1"/>
    <xf numFmtId="0" fontId="8" fillId="0" borderId="0" xfId="0" applyFont="1" applyAlignment="1">
      <alignment vertical="top" wrapText="1"/>
    </xf>
    <xf numFmtId="0" fontId="8" fillId="0" borderId="0" xfId="0" applyFont="1"/>
    <xf numFmtId="0" fontId="8" fillId="0" borderId="0" xfId="0" applyFont="1" applyAlignment="1">
      <alignment vertical="top"/>
    </xf>
    <xf numFmtId="0" fontId="8" fillId="0" borderId="0" xfId="0" applyFont="1" applyAlignment="1">
      <alignment wrapText="1"/>
    </xf>
    <xf numFmtId="0" fontId="9" fillId="0" borderId="0" xfId="0" applyFont="1" applyAlignment="1">
      <alignment horizontal="center"/>
    </xf>
    <xf numFmtId="165" fontId="8" fillId="0" borderId="0" xfId="0" applyNumberFormat="1" applyFont="1" applyAlignment="1">
      <alignment horizontal="left"/>
    </xf>
    <xf numFmtId="166" fontId="10" fillId="0" borderId="0" xfId="0" applyNumberFormat="1" applyFont="1"/>
    <xf numFmtId="2" fontId="10" fillId="0" borderId="0" xfId="0" applyNumberFormat="1" applyFont="1"/>
    <xf numFmtId="43" fontId="0" fillId="0" borderId="0" xfId="2" applyFont="1"/>
    <xf numFmtId="1" fontId="0" fillId="0" borderId="0" xfId="0" applyNumberFormat="1"/>
    <xf numFmtId="167" fontId="0" fillId="0" borderId="0" xfId="3" applyNumberFormat="1" applyFont="1"/>
    <xf numFmtId="10" fontId="0" fillId="0" borderId="0" xfId="3" applyNumberFormat="1" applyFont="1"/>
    <xf numFmtId="8" fontId="0" fillId="0" borderId="0" xfId="2" applyNumberFormat="1" applyFont="1"/>
    <xf numFmtId="164" fontId="0" fillId="0" borderId="0" xfId="2" applyNumberFormat="1" applyFont="1" applyFill="1"/>
    <xf numFmtId="0" fontId="11" fillId="0" borderId="0" xfId="0" applyFont="1"/>
    <xf numFmtId="0" fontId="0" fillId="5" borderId="0" xfId="0" applyFill="1"/>
    <xf numFmtId="43" fontId="0" fillId="4" borderId="0" xfId="2" applyFont="1" applyFill="1"/>
    <xf numFmtId="168" fontId="0" fillId="0" borderId="0" xfId="0" applyNumberFormat="1"/>
    <xf numFmtId="167" fontId="0" fillId="0" borderId="0" xfId="0" applyNumberFormat="1"/>
    <xf numFmtId="2" fontId="2" fillId="0" borderId="0" xfId="0" applyNumberFormat="1" applyFont="1"/>
    <xf numFmtId="43" fontId="0" fillId="0" borderId="0" xfId="0" quotePrefix="1" applyNumberFormat="1"/>
    <xf numFmtId="0" fontId="0" fillId="0" borderId="0" xfId="0" quotePrefix="1"/>
    <xf numFmtId="0" fontId="0" fillId="6" borderId="0" xfId="0" applyFill="1"/>
    <xf numFmtId="0" fontId="12" fillId="0" borderId="0" xfId="0" applyFont="1" applyAlignment="1">
      <alignment wrapText="1"/>
    </xf>
    <xf numFmtId="0" fontId="12" fillId="0" borderId="0" xfId="0" applyFont="1" applyAlignment="1">
      <alignment horizontal="right" wrapText="1"/>
    </xf>
    <xf numFmtId="0" fontId="13" fillId="0" borderId="0" xfId="0" applyFont="1"/>
    <xf numFmtId="0" fontId="12" fillId="0" borderId="0" xfId="0" applyFont="1" applyAlignment="1">
      <alignment horizontal="right"/>
    </xf>
    <xf numFmtId="0" fontId="12" fillId="0" borderId="0" xfId="0" applyFont="1"/>
    <xf numFmtId="166" fontId="13" fillId="0" borderId="0" xfId="0" applyNumberFormat="1" applyFont="1"/>
    <xf numFmtId="166" fontId="12" fillId="0" borderId="0" xfId="0" applyNumberFormat="1" applyFont="1"/>
    <xf numFmtId="166" fontId="12" fillId="0" borderId="0" xfId="0" applyNumberFormat="1" applyFont="1" applyAlignment="1">
      <alignment horizontal="left"/>
    </xf>
    <xf numFmtId="169" fontId="12" fillId="0" borderId="0" xfId="0" applyNumberFormat="1" applyFont="1"/>
    <xf numFmtId="170" fontId="12" fillId="0" borderId="0" xfId="0" applyNumberFormat="1" applyFont="1"/>
    <xf numFmtId="164" fontId="3" fillId="0" borderId="0" xfId="0" applyNumberFormat="1" applyFont="1"/>
  </cellXfs>
  <cellStyles count="4">
    <cellStyle name="Comma" xfId="2" builtinId="3"/>
    <cellStyle name="Normal" xfId="0" builtinId="0"/>
    <cellStyle name="Normal 2" xfId="1" xr:uid="{EA054D48-7445-4D79-A4CC-930395C15F80}"/>
    <cellStyle name="Per cent" xfId="3" builtinId="5"/>
  </cellStyles>
  <dxfs count="2">
    <dxf>
      <font>
        <condense val="0"/>
        <extend val="0"/>
        <color indexed="10"/>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worksheet" Target="worksheets/sheet1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0.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9.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8.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chartsheet" Target="chart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analysis!$E$2</c:f>
          <c:strCache>
            <c:ptCount val="1"/>
            <c:pt idx="0">
              <c:v>Renter vs owner wealth, Sydney 3-bedroom house</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872018129822667E-2"/>
          <c:y val="0.15864383682636621"/>
          <c:w val="0.88513497863585977"/>
          <c:h val="0.59756043484608967"/>
        </c:manualLayout>
      </c:layout>
      <c:lineChart>
        <c:grouping val="standard"/>
        <c:varyColors val="0"/>
        <c:ser>
          <c:idx val="0"/>
          <c:order val="0"/>
          <c:tx>
            <c:strRef>
              <c:f>analysis!$N$2</c:f>
              <c:strCache>
                <c:ptCount val="1"/>
                <c:pt idx="0">
                  <c:v>Owner's home equity</c:v>
                </c:pt>
              </c:strCache>
            </c:strRef>
          </c:tx>
          <c:spPr>
            <a:ln w="28575" cap="rnd">
              <a:solidFill>
                <a:schemeClr val="accent1"/>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analysis!$N$3:$N$82</c:f>
              <c:numCache>
                <c:formatCode>_-* #,##0_-;\-* #,##0_-;_-* "-"??_-;_-@_-</c:formatCode>
                <c:ptCount val="80"/>
                <c:pt idx="0">
                  <c:v>80327.5</c:v>
                </c:pt>
                <c:pt idx="1">
                  <c:v>103741.72477014485</c:v>
                </c:pt>
                <c:pt idx="2">
                  <c:v>89913.281802093959</c:v>
                </c:pt>
                <c:pt idx="3">
                  <c:v>109306.79904884094</c:v>
                </c:pt>
                <c:pt idx="4">
                  <c:v>87573.480710803764</c:v>
                </c:pt>
                <c:pt idx="5">
                  <c:v>113804.94237780373</c:v>
                </c:pt>
                <c:pt idx="6">
                  <c:v>113599.28115393495</c:v>
                </c:pt>
                <c:pt idx="7">
                  <c:v>140725.04825005494</c:v>
                </c:pt>
                <c:pt idx="8">
                  <c:v>95436.628033342422</c:v>
                </c:pt>
                <c:pt idx="9">
                  <c:v>107816.00116143492</c:v>
                </c:pt>
                <c:pt idx="10">
                  <c:v>78140.347750112764</c:v>
                </c:pt>
                <c:pt idx="11">
                  <c:v>66178.461918499437</c:v>
                </c:pt>
                <c:pt idx="12">
                  <c:v>47010.655650987639</c:v>
                </c:pt>
                <c:pt idx="13">
                  <c:v>90729.347867616394</c:v>
                </c:pt>
                <c:pt idx="14">
                  <c:v>98204.094599574397</c:v>
                </c:pt>
                <c:pt idx="15">
                  <c:v>180922.76359578804</c:v>
                </c:pt>
                <c:pt idx="16">
                  <c:v>168416.7429497987</c:v>
                </c:pt>
                <c:pt idx="17">
                  <c:v>195975.07922723412</c:v>
                </c:pt>
                <c:pt idx="18">
                  <c:v>177435.33283743332</c:v>
                </c:pt>
                <c:pt idx="19">
                  <c:v>199041.67799292959</c:v>
                </c:pt>
                <c:pt idx="20">
                  <c:v>149191.47749339807</c:v>
                </c:pt>
                <c:pt idx="21">
                  <c:v>197240.31910775183</c:v>
                </c:pt>
                <c:pt idx="22">
                  <c:v>147483.28063402086</c:v>
                </c:pt>
                <c:pt idx="23">
                  <c:v>117449.56315095589</c:v>
                </c:pt>
                <c:pt idx="24">
                  <c:v>183412.52130784531</c:v>
                </c:pt>
                <c:pt idx="25">
                  <c:v>187615.30919467256</c:v>
                </c:pt>
                <c:pt idx="26">
                  <c:v>162669.30920737842</c:v>
                </c:pt>
                <c:pt idx="27">
                  <c:v>213082.29861118016</c:v>
                </c:pt>
                <c:pt idx="28">
                  <c:v>193132.28592763626</c:v>
                </c:pt>
                <c:pt idx="29">
                  <c:v>222147.62944848876</c:v>
                </c:pt>
                <c:pt idx="30">
                  <c:v>241410.65025596309</c:v>
                </c:pt>
                <c:pt idx="31">
                  <c:v>311538.23308190057</c:v>
                </c:pt>
                <c:pt idx="32">
                  <c:v>270096.60613156128</c:v>
                </c:pt>
                <c:pt idx="33">
                  <c:v>318712.64094622002</c:v>
                </c:pt>
                <c:pt idx="34">
                  <c:v>321296.43352802494</c:v>
                </c:pt>
                <c:pt idx="35">
                  <c:v>401101.32093811879</c:v>
                </c:pt>
                <c:pt idx="36">
                  <c:v>361498.52110582084</c:v>
                </c:pt>
                <c:pt idx="37">
                  <c:v>454030.15461296268</c:v>
                </c:pt>
                <c:pt idx="38">
                  <c:v>473082.01154043409</c:v>
                </c:pt>
                <c:pt idx="39">
                  <c:v>492115.97060116427</c:v>
                </c:pt>
                <c:pt idx="40">
                  <c:v>432914.3106604747</c:v>
                </c:pt>
                <c:pt idx="41">
                  <c:v>466750.57020725129</c:v>
                </c:pt>
                <c:pt idx="42">
                  <c:v>466389.20613957068</c:v>
                </c:pt>
                <c:pt idx="43">
                  <c:v>552074.25279717054</c:v>
                </c:pt>
                <c:pt idx="44">
                  <c:v>480227.42400895985</c:v>
                </c:pt>
                <c:pt idx="45">
                  <c:v>650950.9376600422</c:v>
                </c:pt>
                <c:pt idx="46">
                  <c:v>528085.98818782205</c:v>
                </c:pt>
                <c:pt idx="47">
                  <c:v>615704.23794447968</c:v>
                </c:pt>
                <c:pt idx="48">
                  <c:v>516462.46552752785</c:v>
                </c:pt>
                <c:pt idx="49">
                  <c:v>526989.52114844986</c:v>
                </c:pt>
                <c:pt idx="50">
                  <c:v>477921.23591524782</c:v>
                </c:pt>
                <c:pt idx="51">
                  <c:v>525746.45523475937</c:v>
                </c:pt>
                <c:pt idx="52">
                  <c:v>443508.46372636175</c:v>
                </c:pt>
                <c:pt idx="53">
                  <c:v>477825.91432001779</c:v>
                </c:pt>
                <c:pt idx="54">
                  <c:v>492596.33845466992</c:v>
                </c:pt>
                <c:pt idx="55">
                  <c:v>590471.86192650953</c:v>
                </c:pt>
                <c:pt idx="56">
                  <c:v>557190.52917331923</c:v>
                </c:pt>
                <c:pt idx="57">
                  <c:v>556349.65755554568</c:v>
                </c:pt>
                <c:pt idx="58">
                  <c:v>576131.79402774724</c:v>
                </c:pt>
                <c:pt idx="59">
                  <c:v>644751.07062025764</c:v>
                </c:pt>
                <c:pt idx="60">
                  <c:v>683894.08764292486</c:v>
                </c:pt>
                <c:pt idx="61">
                  <c:v>830444.94860217383</c:v>
                </c:pt>
                <c:pt idx="62">
                  <c:v>888675.84088845877</c:v>
                </c:pt>
                <c:pt idx="63">
                  <c:v>966346.0583461622</c:v>
                </c:pt>
                <c:pt idx="64">
                  <c:v>907027.11580443836</c:v>
                </c:pt>
                <c:pt idx="65">
                  <c:v>955403.09394579218</c:v>
                </c:pt>
                <c:pt idx="66">
                  <c:v>866727.11831050832</c:v>
                </c:pt>
                <c:pt idx="67">
                  <c:v>866014.87366742035</c:v>
                </c:pt>
                <c:pt idx="68">
                  <c:v>816457.39304805186</c:v>
                </c:pt>
                <c:pt idx="69">
                  <c:v>923366.04555055383</c:v>
                </c:pt>
                <c:pt idx="70">
                  <c:v>941978.40774366283</c:v>
                </c:pt>
                <c:pt idx="71">
                  <c:v>980148.66200448025</c:v>
                </c:pt>
                <c:pt idx="72">
                  <c:v>959610.76074790885</c:v>
                </c:pt>
                <c:pt idx="73">
                  <c:v>1017377.7924708734</c:v>
                </c:pt>
                <c:pt idx="74">
                  <c:v>971504.88027011929</c:v>
                </c:pt>
                <c:pt idx="75">
                  <c:v>1007928.8970281516</c:v>
                </c:pt>
                <c:pt idx="76">
                  <c:v>985695.85181988194</c:v>
                </c:pt>
                <c:pt idx="77">
                  <c:v>1077966.2593740632</c:v>
                </c:pt>
                <c:pt idx="78">
                  <c:v>1085106.1148383543</c:v>
                </c:pt>
                <c:pt idx="79">
                  <c:v>1113585.8104655978</c:v>
                </c:pt>
              </c:numCache>
            </c:numRef>
          </c:val>
          <c:smooth val="0"/>
          <c:extLst>
            <c:ext xmlns:c16="http://schemas.microsoft.com/office/drawing/2014/chart" uri="{C3380CC4-5D6E-409C-BE32-E72D297353CC}">
              <c16:uniqueId val="{00000000-4239-477B-BE75-6F823BFBF46D}"/>
            </c:ext>
          </c:extLst>
        </c:ser>
        <c:ser>
          <c:idx val="1"/>
          <c:order val="1"/>
          <c:tx>
            <c:strRef>
              <c:f>analysis!$M$2</c:f>
              <c:strCache>
                <c:ptCount val="1"/>
                <c:pt idx="0">
                  <c:v>Renter's portfolio</c:v>
                </c:pt>
              </c:strCache>
            </c:strRef>
          </c:tx>
          <c:spPr>
            <a:ln w="28575" cap="rnd">
              <a:solidFill>
                <a:srgbClr val="FF0000"/>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analysis!$M$3:$M$82</c:f>
              <c:numCache>
                <c:formatCode>_-* #,##0_-;\-* #,##0_-;_-* "-"??_-;_-@_-</c:formatCode>
                <c:ptCount val="80"/>
                <c:pt idx="0">
                  <c:v>171246.00017809734</c:v>
                </c:pt>
                <c:pt idx="1">
                  <c:v>177232.23462276673</c:v>
                </c:pt>
                <c:pt idx="2">
                  <c:v>191229.56540565987</c:v>
                </c:pt>
                <c:pt idx="3">
                  <c:v>216879.3622324646</c:v>
                </c:pt>
                <c:pt idx="4">
                  <c:v>233286.98434311754</c:v>
                </c:pt>
                <c:pt idx="5">
                  <c:v>255575.3666742552</c:v>
                </c:pt>
                <c:pt idx="6">
                  <c:v>271190.09095056803</c:v>
                </c:pt>
                <c:pt idx="7">
                  <c:v>271364.41529185866</c:v>
                </c:pt>
                <c:pt idx="8">
                  <c:v>249614.15478632069</c:v>
                </c:pt>
                <c:pt idx="9">
                  <c:v>253859.37253698136</c:v>
                </c:pt>
                <c:pt idx="10">
                  <c:v>225654.88952510554</c:v>
                </c:pt>
                <c:pt idx="11">
                  <c:v>182515.55120517121</c:v>
                </c:pt>
                <c:pt idx="12">
                  <c:v>170999.65559353272</c:v>
                </c:pt>
                <c:pt idx="13">
                  <c:v>208361.68472350034</c:v>
                </c:pt>
                <c:pt idx="14">
                  <c:v>254076.63796838376</c:v>
                </c:pt>
                <c:pt idx="15">
                  <c:v>269071.9750872617</c:v>
                </c:pt>
                <c:pt idx="16">
                  <c:v>282918.25155437831</c:v>
                </c:pt>
                <c:pt idx="17">
                  <c:v>253048.61465707922</c:v>
                </c:pt>
                <c:pt idx="18">
                  <c:v>290505.1889075319</c:v>
                </c:pt>
                <c:pt idx="19">
                  <c:v>320357.57033754932</c:v>
                </c:pt>
                <c:pt idx="20">
                  <c:v>340622.0279817612</c:v>
                </c:pt>
                <c:pt idx="21">
                  <c:v>342345.3512281623</c:v>
                </c:pt>
                <c:pt idx="22">
                  <c:v>293257.74600516749</c:v>
                </c:pt>
                <c:pt idx="23">
                  <c:v>316011.30041603587</c:v>
                </c:pt>
                <c:pt idx="24">
                  <c:v>355912.97330587247</c:v>
                </c:pt>
                <c:pt idx="25">
                  <c:v>341539.28477055044</c:v>
                </c:pt>
                <c:pt idx="26">
                  <c:v>371251.94561013684</c:v>
                </c:pt>
                <c:pt idx="27">
                  <c:v>390027.82887622801</c:v>
                </c:pt>
                <c:pt idx="28">
                  <c:v>426191.28566333232</c:v>
                </c:pt>
                <c:pt idx="29">
                  <c:v>427558.07214322605</c:v>
                </c:pt>
                <c:pt idx="30">
                  <c:v>470338.25180730608</c:v>
                </c:pt>
                <c:pt idx="31">
                  <c:v>504975.38913207571</c:v>
                </c:pt>
                <c:pt idx="32">
                  <c:v>517032.83275146037</c:v>
                </c:pt>
                <c:pt idx="33">
                  <c:v>538561.19985012885</c:v>
                </c:pt>
                <c:pt idx="34">
                  <c:v>530248.19069920678</c:v>
                </c:pt>
                <c:pt idx="35">
                  <c:v>542454.34403050714</c:v>
                </c:pt>
                <c:pt idx="36">
                  <c:v>572370.40783226967</c:v>
                </c:pt>
                <c:pt idx="37">
                  <c:v>565817.341881008</c:v>
                </c:pt>
                <c:pt idx="38">
                  <c:v>522701.92307329649</c:v>
                </c:pt>
                <c:pt idx="39">
                  <c:v>555664.50361447386</c:v>
                </c:pt>
                <c:pt idx="40">
                  <c:v>553082.77843792597</c:v>
                </c:pt>
                <c:pt idx="41">
                  <c:v>566781.46487162402</c:v>
                </c:pt>
                <c:pt idx="42">
                  <c:v>599328.33902876719</c:v>
                </c:pt>
                <c:pt idx="43">
                  <c:v>620365.82786268543</c:v>
                </c:pt>
                <c:pt idx="44">
                  <c:v>659441.99710593687</c:v>
                </c:pt>
                <c:pt idx="45">
                  <c:v>676928.16423417919</c:v>
                </c:pt>
                <c:pt idx="46">
                  <c:v>705331.11496997706</c:v>
                </c:pt>
                <c:pt idx="47">
                  <c:v>751483.09424997913</c:v>
                </c:pt>
                <c:pt idx="48">
                  <c:v>738621.64506368234</c:v>
                </c:pt>
                <c:pt idx="49">
                  <c:v>770802.09285683278</c:v>
                </c:pt>
                <c:pt idx="50">
                  <c:v>800644.92223987984</c:v>
                </c:pt>
                <c:pt idx="51">
                  <c:v>704428.9172617289</c:v>
                </c:pt>
                <c:pt idx="52">
                  <c:v>792454.52898710466</c:v>
                </c:pt>
                <c:pt idx="53">
                  <c:v>834767.97143931943</c:v>
                </c:pt>
                <c:pt idx="54">
                  <c:v>845943.69993513438</c:v>
                </c:pt>
                <c:pt idx="55">
                  <c:v>900008.50264244538</c:v>
                </c:pt>
                <c:pt idx="56">
                  <c:v>697271.18213557045</c:v>
                </c:pt>
                <c:pt idx="57">
                  <c:v>832982.75938718161</c:v>
                </c:pt>
                <c:pt idx="58">
                  <c:v>880879.0768211321</c:v>
                </c:pt>
                <c:pt idx="59">
                  <c:v>1013506.1250657984</c:v>
                </c:pt>
                <c:pt idx="60">
                  <c:v>1067413.1666789614</c:v>
                </c:pt>
                <c:pt idx="61">
                  <c:v>1151441.5401896203</c:v>
                </c:pt>
                <c:pt idx="62">
                  <c:v>1156135.760060074</c:v>
                </c:pt>
                <c:pt idx="63">
                  <c:v>1222507.060713551</c:v>
                </c:pt>
                <c:pt idx="64">
                  <c:v>1187414.5415935586</c:v>
                </c:pt>
                <c:pt idx="65">
                  <c:v>1009822.6603558728</c:v>
                </c:pt>
                <c:pt idx="66">
                  <c:v>969955.99714821251</c:v>
                </c:pt>
                <c:pt idx="67">
                  <c:v>1066130.959528811</c:v>
                </c:pt>
                <c:pt idx="68">
                  <c:v>1133232.2960984849</c:v>
                </c:pt>
                <c:pt idx="69">
                  <c:v>1189566.0382124807</c:v>
                </c:pt>
                <c:pt idx="70">
                  <c:v>1159760.1837772478</c:v>
                </c:pt>
                <c:pt idx="71">
                  <c:v>1285042.3058038729</c:v>
                </c:pt>
                <c:pt idx="72">
                  <c:v>1383203.4299793227</c:v>
                </c:pt>
                <c:pt idx="73">
                  <c:v>1399155.6108212229</c:v>
                </c:pt>
                <c:pt idx="74">
                  <c:v>1497220.7790488729</c:v>
                </c:pt>
                <c:pt idx="75">
                  <c:v>1488453.0659462882</c:v>
                </c:pt>
                <c:pt idx="76">
                  <c:v>1455184.1601015865</c:v>
                </c:pt>
                <c:pt idx="77">
                  <c:v>1613422.8467978674</c:v>
                </c:pt>
                <c:pt idx="78">
                  <c:v>1719298.0089303951</c:v>
                </c:pt>
                <c:pt idx="79">
                  <c:v>1750761.2221696714</c:v>
                </c:pt>
              </c:numCache>
            </c:numRef>
          </c:val>
          <c:smooth val="0"/>
          <c:extLst>
            <c:ext xmlns:c16="http://schemas.microsoft.com/office/drawing/2014/chart" uri="{C3380CC4-5D6E-409C-BE32-E72D297353CC}">
              <c16:uniqueId val="{00000001-4239-477B-BE75-6F823BFBF46D}"/>
            </c:ext>
          </c:extLst>
        </c:ser>
        <c:dLbls>
          <c:showLegendKey val="0"/>
          <c:showVal val="0"/>
          <c:showCatName val="0"/>
          <c:showSerName val="0"/>
          <c:showPercent val="0"/>
          <c:showBubbleSize val="0"/>
        </c:dLbls>
        <c:smooth val="0"/>
        <c:axId val="1041651184"/>
        <c:axId val="1041653584"/>
      </c:lineChart>
      <c:dateAx>
        <c:axId val="1041651184"/>
        <c:scaling>
          <c:orientation val="minMax"/>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3584"/>
        <c:crosses val="autoZero"/>
        <c:auto val="1"/>
        <c:lblOffset val="100"/>
        <c:baseTimeUnit val="months"/>
        <c:majorUnit val="12"/>
        <c:majorTimeUnit val="months"/>
      </c:dateAx>
      <c:valAx>
        <c:axId val="1041653584"/>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1184"/>
        <c:crosses val="autoZero"/>
        <c:crossBetween val="between"/>
        <c:majorUnit val="200000"/>
        <c:minorUnit val="100000"/>
        <c:dispUnits>
          <c:builtInUnit val="thousands"/>
          <c:dispUnitsLbl>
            <c:layout>
              <c:manualLayout>
                <c:xMode val="edge"/>
                <c:yMode val="edge"/>
                <c:x val="3.5763163378520701E-2"/>
                <c:y val="5.7917591222324163E-2"/>
              </c:manualLayout>
            </c:layout>
            <c:tx>
              <c:rich>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A$</a:t>
                  </a:r>
                  <a:r>
                    <a:rPr lang="en-US" sz="900" baseline="0"/>
                    <a:t> '000</a:t>
                  </a:r>
                  <a:endParaRPr lang="en-US" sz="900"/>
                </a:p>
              </c:rich>
            </c:tx>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analysis!$O$2</c:f>
              <c:strCache>
                <c:ptCount val="1"/>
                <c:pt idx="0">
                  <c:v>Renter-to-owner wealth ratio</c:v>
                </c:pt>
              </c:strCache>
            </c:strRef>
          </c:tx>
          <c:spPr>
            <a:ln w="28575" cap="rnd">
              <a:solidFill>
                <a:schemeClr val="accent3"/>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analysis!$O$3:$O$82</c:f>
              <c:numCache>
                <c:formatCode>0.00</c:formatCode>
                <c:ptCount val="80"/>
                <c:pt idx="0">
                  <c:v>2.131847750497617</c:v>
                </c:pt>
                <c:pt idx="1">
                  <c:v>1.7083987664119811</c:v>
                </c:pt>
                <c:pt idx="2">
                  <c:v>2.1268222177294209</c:v>
                </c:pt>
                <c:pt idx="3">
                  <c:v>1.9841342361105792</c:v>
                </c:pt>
                <c:pt idx="4">
                  <c:v>2.6638998752773952</c:v>
                </c:pt>
                <c:pt idx="5">
                  <c:v>2.2457316996463068</c:v>
                </c:pt>
                <c:pt idx="6">
                  <c:v>2.3872518223340387</c:v>
                </c:pt>
                <c:pt idx="7">
                  <c:v>1.9283305898013983</c:v>
                </c:pt>
                <c:pt idx="8">
                  <c:v>2.6154963762876631</c:v>
                </c:pt>
                <c:pt idx="9">
                  <c:v>2.3545611950203287</c:v>
                </c:pt>
                <c:pt idx="10">
                  <c:v>2.8878152711417884</c:v>
                </c:pt>
                <c:pt idx="11">
                  <c:v>2.7579297843147828</c:v>
                </c:pt>
                <c:pt idx="12">
                  <c:v>3.6374658729087566</c:v>
                </c:pt>
                <c:pt idx="13">
                  <c:v>2.2965191486609364</c:v>
                </c:pt>
                <c:pt idx="14">
                  <c:v>2.5872305936364173</c:v>
                </c:pt>
                <c:pt idx="15">
                  <c:v>1.4872201249833541</c:v>
                </c:pt>
                <c:pt idx="16">
                  <c:v>1.6798701043560138</c:v>
                </c:pt>
                <c:pt idx="17">
                  <c:v>1.2912285360715074</c:v>
                </c:pt>
                <c:pt idx="18">
                  <c:v>1.6372454361933282</c:v>
                </c:pt>
                <c:pt idx="19">
                  <c:v>1.6094999477894731</c:v>
                </c:pt>
                <c:pt idx="20">
                  <c:v>2.28311987859249</c:v>
                </c:pt>
                <c:pt idx="21">
                  <c:v>1.735676320018221</c:v>
                </c:pt>
                <c:pt idx="22">
                  <c:v>1.9884134984282411</c:v>
                </c:pt>
                <c:pt idx="23">
                  <c:v>2.6906128208401423</c:v>
                </c:pt>
                <c:pt idx="24">
                  <c:v>1.9405053197458477</c:v>
                </c:pt>
                <c:pt idx="25">
                  <c:v>1.8204233238566048</c:v>
                </c:pt>
                <c:pt idx="26">
                  <c:v>2.2822494754486695</c:v>
                </c:pt>
                <c:pt idx="27">
                  <c:v>1.8304093367601946</c:v>
                </c:pt>
                <c:pt idx="28">
                  <c:v>2.2067324663832735</c:v>
                </c:pt>
                <c:pt idx="29">
                  <c:v>1.9246573695370786</c:v>
                </c:pt>
                <c:pt idx="30">
                  <c:v>1.9482912262098437</c:v>
                </c:pt>
                <c:pt idx="31">
                  <c:v>1.6209098451146517</c:v>
                </c:pt>
                <c:pt idx="32">
                  <c:v>1.9142514974794573</c:v>
                </c:pt>
                <c:pt idx="33">
                  <c:v>1.689801817245794</c:v>
                </c:pt>
                <c:pt idx="34">
                  <c:v>1.6503394851812325</c:v>
                </c:pt>
                <c:pt idx="35">
                  <c:v>1.3524122602283728</c:v>
                </c:pt>
                <c:pt idx="36">
                  <c:v>1.5833271076224422</c:v>
                </c:pt>
                <c:pt idx="37">
                  <c:v>1.2462109314376666</c:v>
                </c:pt>
                <c:pt idx="38">
                  <c:v>1.1048864897045898</c:v>
                </c:pt>
                <c:pt idx="39">
                  <c:v>1.1291332466525712</c:v>
                </c:pt>
                <c:pt idx="40">
                  <c:v>1.2775802620017724</c:v>
                </c:pt>
                <c:pt idx="41">
                  <c:v>1.214313385026945</c:v>
                </c:pt>
                <c:pt idx="42">
                  <c:v>1.2850390427976874</c:v>
                </c:pt>
                <c:pt idx="43">
                  <c:v>1.123699981876541</c:v>
                </c:pt>
                <c:pt idx="44">
                  <c:v>1.373186878002272</c:v>
                </c:pt>
                <c:pt idx="45">
                  <c:v>1.0399065813892467</c:v>
                </c:pt>
                <c:pt idx="46">
                  <c:v>1.3356368673790961</c:v>
                </c:pt>
                <c:pt idx="47">
                  <c:v>1.2205261031803116</c:v>
                </c:pt>
                <c:pt idx="48">
                  <c:v>1.4301555182896699</c:v>
                </c:pt>
                <c:pt idx="49">
                  <c:v>1.4626516504105256</c:v>
                </c:pt>
                <c:pt idx="50">
                  <c:v>1.6752654246606071</c:v>
                </c:pt>
                <c:pt idx="51">
                  <c:v>1.3398643210008581</c:v>
                </c:pt>
                <c:pt idx="52">
                  <c:v>1.786785583140613</c:v>
                </c:pt>
                <c:pt idx="53">
                  <c:v>1.7470127643186892</c:v>
                </c:pt>
                <c:pt idx="54">
                  <c:v>1.7173162565295448</c:v>
                </c:pt>
                <c:pt idx="55">
                  <c:v>1.5242191214768859</c:v>
                </c:pt>
                <c:pt idx="56">
                  <c:v>1.2514053014685715</c:v>
                </c:pt>
                <c:pt idx="57">
                  <c:v>1.4972288525297008</c:v>
                </c:pt>
                <c:pt idx="58">
                  <c:v>1.5289541142364169</c:v>
                </c:pt>
                <c:pt idx="59">
                  <c:v>1.5719339932088741</c:v>
                </c:pt>
                <c:pt idx="60">
                  <c:v>1.5607872417172872</c:v>
                </c:pt>
                <c:pt idx="61">
                  <c:v>1.3865356663650688</c:v>
                </c:pt>
                <c:pt idx="62">
                  <c:v>1.300964543949142</c:v>
                </c:pt>
                <c:pt idx="63">
                  <c:v>1.2650820584975444</c:v>
                </c:pt>
                <c:pt idx="64">
                  <c:v>1.3091279421568847</c:v>
                </c:pt>
                <c:pt idx="65">
                  <c:v>1.0569597971316265</c:v>
                </c:pt>
                <c:pt idx="66">
                  <c:v>1.1191019372267086</c:v>
                </c:pt>
                <c:pt idx="67">
                  <c:v>1.2310769617777282</c:v>
                </c:pt>
                <c:pt idx="68">
                  <c:v>1.3879870593955042</c:v>
                </c:pt>
                <c:pt idx="69">
                  <c:v>1.2882930273911102</c:v>
                </c:pt>
                <c:pt idx="70">
                  <c:v>1.231196144458599</c:v>
                </c:pt>
                <c:pt idx="71">
                  <c:v>1.3110687751956538</c:v>
                </c:pt>
                <c:pt idx="72">
                  <c:v>1.4414213414002057</c:v>
                </c:pt>
                <c:pt idx="73">
                  <c:v>1.3752566855456296</c:v>
                </c:pt>
                <c:pt idx="74">
                  <c:v>1.5411356231505315</c:v>
                </c:pt>
                <c:pt idx="75">
                  <c:v>1.4767441139300082</c:v>
                </c:pt>
                <c:pt idx="76">
                  <c:v>1.4763013939998755</c:v>
                </c:pt>
                <c:pt idx="77">
                  <c:v>1.496728522592836</c:v>
                </c:pt>
                <c:pt idx="78">
                  <c:v>1.5844514978026043</c:v>
                </c:pt>
                <c:pt idx="79">
                  <c:v>1.5721834866391358</c:v>
                </c:pt>
              </c:numCache>
            </c:numRef>
          </c:val>
          <c:smooth val="0"/>
          <c:extLst>
            <c:ext xmlns:c16="http://schemas.microsoft.com/office/drawing/2014/chart" uri="{C3380CC4-5D6E-409C-BE32-E72D297353CC}">
              <c16:uniqueId val="{00000000-C441-4E8B-A226-8220FE377C02}"/>
            </c:ext>
          </c:extLst>
        </c:ser>
        <c:dLbls>
          <c:showLegendKey val="0"/>
          <c:showVal val="0"/>
          <c:showCatName val="0"/>
          <c:showSerName val="0"/>
          <c:showPercent val="0"/>
          <c:showBubbleSize val="0"/>
        </c:dLbls>
        <c:smooth val="0"/>
        <c:axId val="1041651184"/>
        <c:axId val="1041653584"/>
      </c:lineChart>
      <c:dateAx>
        <c:axId val="1041651184"/>
        <c:scaling>
          <c:orientation val="minMax"/>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3584"/>
        <c:crosses val="autoZero"/>
        <c:auto val="1"/>
        <c:lblOffset val="100"/>
        <c:baseTimeUnit val="months"/>
        <c:majorUnit val="12"/>
        <c:majorTimeUnit val="months"/>
      </c:dateAx>
      <c:valAx>
        <c:axId val="104165358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1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Growth of indices, Sydney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analysis!$BI$2</c:f>
              <c:strCache>
                <c:ptCount val="1"/>
                <c:pt idx="0">
                  <c:v>CPI (Q_st art = 100)</c:v>
                </c:pt>
              </c:strCache>
            </c:strRef>
          </c:tx>
          <c:spPr>
            <a:ln w="19050" cap="rnd">
              <a:solidFill>
                <a:schemeClr val="accent1"/>
              </a:solidFill>
              <a:prstDash val="sysDot"/>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analysis!$BI$3:$BI$82</c:f>
              <c:numCache>
                <c:formatCode>_(* #,##0.00_);_(* \(#,##0.00\);_(* "-"??_);_(@_)</c:formatCode>
                <c:ptCount val="80"/>
                <c:pt idx="0">
                  <c:v>100</c:v>
                </c:pt>
                <c:pt idx="1">
                  <c:v>101.53664302600474</c:v>
                </c:pt>
                <c:pt idx="2">
                  <c:v>102.36406619385343</c:v>
                </c:pt>
                <c:pt idx="3">
                  <c:v>102.48226950354611</c:v>
                </c:pt>
                <c:pt idx="4">
                  <c:v>102.48226950354611</c:v>
                </c:pt>
                <c:pt idx="5">
                  <c:v>103.66430260047282</c:v>
                </c:pt>
                <c:pt idx="6">
                  <c:v>104.25531914893618</c:v>
                </c:pt>
                <c:pt idx="7">
                  <c:v>105.55555555555556</c:v>
                </c:pt>
                <c:pt idx="8">
                  <c:v>106.85579196217495</c:v>
                </c:pt>
                <c:pt idx="9">
                  <c:v>108.274231678487</c:v>
                </c:pt>
                <c:pt idx="10">
                  <c:v>109.45626477541371</c:v>
                </c:pt>
                <c:pt idx="11">
                  <c:v>109.45626477541371</c:v>
                </c:pt>
                <c:pt idx="12">
                  <c:v>109.33806146572105</c:v>
                </c:pt>
                <c:pt idx="13">
                  <c:v>109.9290780141844</c:v>
                </c:pt>
                <c:pt idx="14">
                  <c:v>110.75650118203311</c:v>
                </c:pt>
                <c:pt idx="15">
                  <c:v>111.70212765957447</c:v>
                </c:pt>
                <c:pt idx="16">
                  <c:v>112.52955082742318</c:v>
                </c:pt>
                <c:pt idx="17">
                  <c:v>113.2387706855792</c:v>
                </c:pt>
                <c:pt idx="18">
                  <c:v>113.94799054373523</c:v>
                </c:pt>
                <c:pt idx="19">
                  <c:v>114.65721040189126</c:v>
                </c:pt>
                <c:pt idx="20">
                  <c:v>116.31205673758866</c:v>
                </c:pt>
                <c:pt idx="21">
                  <c:v>117.3758865248227</c:v>
                </c:pt>
                <c:pt idx="22">
                  <c:v>117.84869976359339</c:v>
                </c:pt>
                <c:pt idx="23">
                  <c:v>118.08510638297874</c:v>
                </c:pt>
                <c:pt idx="24">
                  <c:v>118.08510638297874</c:v>
                </c:pt>
                <c:pt idx="25">
                  <c:v>118.79432624113475</c:v>
                </c:pt>
                <c:pt idx="26">
                  <c:v>120.09456264775415</c:v>
                </c:pt>
                <c:pt idx="27">
                  <c:v>120.56737588652483</c:v>
                </c:pt>
                <c:pt idx="28">
                  <c:v>121.04018912529551</c:v>
                </c:pt>
                <c:pt idx="29">
                  <c:v>121.63120567375887</c:v>
                </c:pt>
                <c:pt idx="30">
                  <c:v>122.81323877068559</c:v>
                </c:pt>
                <c:pt idx="31">
                  <c:v>123.75886524822695</c:v>
                </c:pt>
                <c:pt idx="32">
                  <c:v>124.58628841607566</c:v>
                </c:pt>
                <c:pt idx="33">
                  <c:v>125.41371158392435</c:v>
                </c:pt>
                <c:pt idx="34">
                  <c:v>125.6501182033097</c:v>
                </c:pt>
                <c:pt idx="35">
                  <c:v>125.88652482269504</c:v>
                </c:pt>
                <c:pt idx="36">
                  <c:v>126.24113475177306</c:v>
                </c:pt>
                <c:pt idx="37">
                  <c:v>127.3049645390071</c:v>
                </c:pt>
                <c:pt idx="38">
                  <c:v>127.42316784869978</c:v>
                </c:pt>
                <c:pt idx="39">
                  <c:v>128.01418439716312</c:v>
                </c:pt>
                <c:pt idx="40">
                  <c:v>127.89598108747046</c:v>
                </c:pt>
                <c:pt idx="41">
                  <c:v>128.60520094562648</c:v>
                </c:pt>
                <c:pt idx="42">
                  <c:v>129.19621749408984</c:v>
                </c:pt>
                <c:pt idx="43">
                  <c:v>129.78723404255319</c:v>
                </c:pt>
                <c:pt idx="44">
                  <c:v>130.6146572104019</c:v>
                </c:pt>
                <c:pt idx="45">
                  <c:v>131.0874704491726</c:v>
                </c:pt>
                <c:pt idx="46">
                  <c:v>131.56028368794327</c:v>
                </c:pt>
                <c:pt idx="47">
                  <c:v>132.50591016548464</c:v>
                </c:pt>
                <c:pt idx="48">
                  <c:v>133.21513002364068</c:v>
                </c:pt>
                <c:pt idx="49">
                  <c:v>133.80614657210404</c:v>
                </c:pt>
                <c:pt idx="50">
                  <c:v>134.16075650118205</c:v>
                </c:pt>
                <c:pt idx="51">
                  <c:v>134.75177304964541</c:v>
                </c:pt>
                <c:pt idx="52">
                  <c:v>134.86997635933807</c:v>
                </c:pt>
                <c:pt idx="53">
                  <c:v>135.81560283687944</c:v>
                </c:pt>
                <c:pt idx="54">
                  <c:v>136.40661938534279</c:v>
                </c:pt>
                <c:pt idx="55">
                  <c:v>137.2340425531915</c:v>
                </c:pt>
                <c:pt idx="56">
                  <c:v>137.94326241134752</c:v>
                </c:pt>
                <c:pt idx="57">
                  <c:v>135.34278959810877</c:v>
                </c:pt>
                <c:pt idx="58">
                  <c:v>137.35224586288416</c:v>
                </c:pt>
                <c:pt idx="59">
                  <c:v>138.53427895981088</c:v>
                </c:pt>
                <c:pt idx="60">
                  <c:v>139.24349881796692</c:v>
                </c:pt>
                <c:pt idx="61">
                  <c:v>140.42553191489364</c:v>
                </c:pt>
                <c:pt idx="62">
                  <c:v>141.60756501182033</c:v>
                </c:pt>
                <c:pt idx="63">
                  <c:v>143.49881796690309</c:v>
                </c:pt>
                <c:pt idx="64">
                  <c:v>146.45390070921988</c:v>
                </c:pt>
                <c:pt idx="65">
                  <c:v>149.05437352245863</c:v>
                </c:pt>
                <c:pt idx="66">
                  <c:v>151.77304964539007</c:v>
                </c:pt>
                <c:pt idx="67">
                  <c:v>154.84633569739952</c:v>
                </c:pt>
                <c:pt idx="68">
                  <c:v>156.85579196217492</c:v>
                </c:pt>
                <c:pt idx="69">
                  <c:v>158.15602836879435</c:v>
                </c:pt>
                <c:pt idx="70">
                  <c:v>159.81087470449171</c:v>
                </c:pt>
                <c:pt idx="71">
                  <c:v>161.11111111111114</c:v>
                </c:pt>
                <c:pt idx="72">
                  <c:v>162.52955082742318</c:v>
                </c:pt>
                <c:pt idx="73">
                  <c:v>164.18439716312056</c:v>
                </c:pt>
                <c:pt idx="74">
                  <c:v>164.42080378250591</c:v>
                </c:pt>
                <c:pt idx="75">
                  <c:v>164.89361702127661</c:v>
                </c:pt>
                <c:pt idx="76">
                  <c:v>166.43026004728137</c:v>
                </c:pt>
                <c:pt idx="77">
                  <c:v>167.61229314420808</c:v>
                </c:pt>
                <c:pt idx="78">
                  <c:v>169.73995271867614</c:v>
                </c:pt>
                <c:pt idx="79">
                  <c:v>171.04018912529551</c:v>
                </c:pt>
              </c:numCache>
            </c:numRef>
          </c:val>
          <c:smooth val="0"/>
          <c:extLst>
            <c:ext xmlns:c16="http://schemas.microsoft.com/office/drawing/2014/chart" uri="{C3380CC4-5D6E-409C-BE32-E72D297353CC}">
              <c16:uniqueId val="{00000000-A50B-42C3-8714-611302F37D5D}"/>
            </c:ext>
          </c:extLst>
        </c:ser>
        <c:ser>
          <c:idx val="1"/>
          <c:order val="1"/>
          <c:tx>
            <c:strRef>
              <c:f>analysis!$BJ$2</c:f>
              <c:strCache>
                <c:ptCount val="1"/>
                <c:pt idx="0">
                  <c:v>MSCI World (Q_start=100)</c:v>
                </c:pt>
              </c:strCache>
              <c:extLst xmlns:c15="http://schemas.microsoft.com/office/drawing/2012/chart"/>
            </c:strRef>
          </c:tx>
          <c:spPr>
            <a:ln w="19050" cap="rnd">
              <a:solidFill>
                <a:srgbClr val="FF0000"/>
              </a:solidFill>
              <a:prstDash val="sysDash"/>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extLst xmlns:c15="http://schemas.microsoft.com/office/drawing/2012/chart"/>
            </c:numRef>
          </c:cat>
          <c:val>
            <c:numRef>
              <c:f>analysis!$BJ$3:$BJ$82</c:f>
              <c:numCache>
                <c:formatCode>_(* #,##0.00_);_(* \(#,##0.00\);_(* "-"??_);_(@_)</c:formatCode>
                <c:ptCount val="80"/>
                <c:pt idx="0">
                  <c:v>100</c:v>
                </c:pt>
                <c:pt idx="1">
                  <c:v>107.21181327548136</c:v>
                </c:pt>
                <c:pt idx="2">
                  <c:v>106.3276473895915</c:v>
                </c:pt>
                <c:pt idx="3">
                  <c:v>110.63141762349176</c:v>
                </c:pt>
                <c:pt idx="4">
                  <c:v>120.09600057935597</c:v>
                </c:pt>
                <c:pt idx="5">
                  <c:v>123.47632396180853</c:v>
                </c:pt>
                <c:pt idx="6">
                  <c:v>131.37271275432553</c:v>
                </c:pt>
                <c:pt idx="7">
                  <c:v>133.77896505407139</c:v>
                </c:pt>
                <c:pt idx="8">
                  <c:v>130.28618334215415</c:v>
                </c:pt>
                <c:pt idx="9">
                  <c:v>118.56173473997831</c:v>
                </c:pt>
                <c:pt idx="10">
                  <c:v>116.8122339179194</c:v>
                </c:pt>
                <c:pt idx="11">
                  <c:v>99.043604583459881</c:v>
                </c:pt>
                <c:pt idx="12">
                  <c:v>77.099819298205958</c:v>
                </c:pt>
                <c:pt idx="13">
                  <c:v>68.031276049393796</c:v>
                </c:pt>
                <c:pt idx="14">
                  <c:v>82.709344629523997</c:v>
                </c:pt>
                <c:pt idx="15">
                  <c:v>97.613356787298372</c:v>
                </c:pt>
                <c:pt idx="16">
                  <c:v>101.43884545849789</c:v>
                </c:pt>
                <c:pt idx="17">
                  <c:v>105.26674246073921</c:v>
                </c:pt>
                <c:pt idx="18">
                  <c:v>92.224001000339641</c:v>
                </c:pt>
                <c:pt idx="19">
                  <c:v>105.03262314234105</c:v>
                </c:pt>
                <c:pt idx="20">
                  <c:v>115.17381902105713</c:v>
                </c:pt>
                <c:pt idx="21">
                  <c:v>120.92498256652478</c:v>
                </c:pt>
                <c:pt idx="22">
                  <c:v>121.31801238966038</c:v>
                </c:pt>
                <c:pt idx="23">
                  <c:v>100.5125194724593</c:v>
                </c:pt>
                <c:pt idx="24">
                  <c:v>108.22592001362189</c:v>
                </c:pt>
                <c:pt idx="25">
                  <c:v>121.02422951783765</c:v>
                </c:pt>
                <c:pt idx="26">
                  <c:v>114.69456564776658</c:v>
                </c:pt>
                <c:pt idx="27">
                  <c:v>122.39031092336657</c:v>
                </c:pt>
                <c:pt idx="28">
                  <c:v>125.60295617786929</c:v>
                </c:pt>
                <c:pt idx="29">
                  <c:v>135.74420080608061</c:v>
                </c:pt>
                <c:pt idx="30">
                  <c:v>136.51427048544301</c:v>
                </c:pt>
                <c:pt idx="31">
                  <c:v>148.29345801472445</c:v>
                </c:pt>
                <c:pt idx="32">
                  <c:v>160.03975049738099</c:v>
                </c:pt>
                <c:pt idx="33">
                  <c:v>162.39941126188398</c:v>
                </c:pt>
                <c:pt idx="34">
                  <c:v>169.95333591014156</c:v>
                </c:pt>
                <c:pt idx="35">
                  <c:v>165.23061688574342</c:v>
                </c:pt>
                <c:pt idx="36">
                  <c:v>167.2707301403058</c:v>
                </c:pt>
                <c:pt idx="37">
                  <c:v>171.61773071123525</c:v>
                </c:pt>
                <c:pt idx="38">
                  <c:v>172.41252168354035</c:v>
                </c:pt>
                <c:pt idx="39">
                  <c:v>157.54637874303378</c:v>
                </c:pt>
                <c:pt idx="40">
                  <c:v>165.94025216028786</c:v>
                </c:pt>
                <c:pt idx="41">
                  <c:v>165.57963108106787</c:v>
                </c:pt>
                <c:pt idx="42">
                  <c:v>167.38026720925703</c:v>
                </c:pt>
                <c:pt idx="43">
                  <c:v>176.05798840419337</c:v>
                </c:pt>
                <c:pt idx="44">
                  <c:v>179.53868222836397</c:v>
                </c:pt>
                <c:pt idx="45">
                  <c:v>190.70829189477206</c:v>
                </c:pt>
                <c:pt idx="46">
                  <c:v>198.44440095759853</c:v>
                </c:pt>
                <c:pt idx="47">
                  <c:v>208.42381461538773</c:v>
                </c:pt>
                <c:pt idx="48">
                  <c:v>219.81871331798365</c:v>
                </c:pt>
                <c:pt idx="49">
                  <c:v>217.22097697509543</c:v>
                </c:pt>
                <c:pt idx="50">
                  <c:v>221.43994838933332</c:v>
                </c:pt>
                <c:pt idx="51">
                  <c:v>231.53855125118753</c:v>
                </c:pt>
                <c:pt idx="52">
                  <c:v>199.12536689244348</c:v>
                </c:pt>
                <c:pt idx="53">
                  <c:v>224.29400441178427</c:v>
                </c:pt>
                <c:pt idx="54">
                  <c:v>232.67927539772964</c:v>
                </c:pt>
                <c:pt idx="55">
                  <c:v>233.51467999842427</c:v>
                </c:pt>
                <c:pt idx="56">
                  <c:v>253.84774076246714</c:v>
                </c:pt>
                <c:pt idx="57">
                  <c:v>197.57431493271579</c:v>
                </c:pt>
                <c:pt idx="58">
                  <c:v>236.96380335804304</c:v>
                </c:pt>
                <c:pt idx="59">
                  <c:v>255.62200142666194</c:v>
                </c:pt>
                <c:pt idx="60">
                  <c:v>294.21119204132276</c:v>
                </c:pt>
                <c:pt idx="61">
                  <c:v>310.32570304776715</c:v>
                </c:pt>
                <c:pt idx="62">
                  <c:v>333.24601225717834</c:v>
                </c:pt>
                <c:pt idx="63">
                  <c:v>332.61139848165806</c:v>
                </c:pt>
                <c:pt idx="64">
                  <c:v>356.10864207060962</c:v>
                </c:pt>
                <c:pt idx="65">
                  <c:v>337.17844659073722</c:v>
                </c:pt>
                <c:pt idx="66">
                  <c:v>282.19695630380454</c:v>
                </c:pt>
                <c:pt idx="67">
                  <c:v>265.04184479821646</c:v>
                </c:pt>
                <c:pt idx="68">
                  <c:v>291.23097351744474</c:v>
                </c:pt>
                <c:pt idx="69">
                  <c:v>312.59977188601005</c:v>
                </c:pt>
                <c:pt idx="70">
                  <c:v>332.68981469417383</c:v>
                </c:pt>
                <c:pt idx="71">
                  <c:v>320.84385519322234</c:v>
                </c:pt>
                <c:pt idx="72">
                  <c:v>357.853121032302</c:v>
                </c:pt>
                <c:pt idx="73">
                  <c:v>387.88856492244037</c:v>
                </c:pt>
                <c:pt idx="74">
                  <c:v>395.87730618942362</c:v>
                </c:pt>
                <c:pt idx="75">
                  <c:v>422.28036080842037</c:v>
                </c:pt>
                <c:pt idx="76">
                  <c:v>420.53742778860141</c:v>
                </c:pt>
                <c:pt idx="77">
                  <c:v>412.17488625480973</c:v>
                </c:pt>
                <c:pt idx="78">
                  <c:v>459.51259359156273</c:v>
                </c:pt>
                <c:pt idx="79">
                  <c:v>493.52641662486235</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1-A50B-42C3-8714-611302F37D5D}"/>
            </c:ext>
          </c:extLst>
        </c:ser>
        <c:ser>
          <c:idx val="2"/>
          <c:order val="2"/>
          <c:tx>
            <c:strRef>
              <c:f>analysis!$BK$2</c:f>
              <c:strCache>
                <c:ptCount val="1"/>
                <c:pt idx="0">
                  <c:v>MSCI Aus (Q_start=100)</c:v>
                </c:pt>
              </c:strCache>
              <c:extLst xmlns:c15="http://schemas.microsoft.com/office/drawing/2012/chart"/>
            </c:strRef>
          </c:tx>
          <c:spPr>
            <a:ln w="19050" cap="rnd">
              <a:solidFill>
                <a:srgbClr val="FFC000"/>
              </a:solidFill>
              <a:prstDash val="sysDash"/>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extLst xmlns:c15="http://schemas.microsoft.com/office/drawing/2012/chart"/>
            </c:numRef>
          </c:cat>
          <c:val>
            <c:numRef>
              <c:f>analysis!$BK$3:$BK$82</c:f>
              <c:numCache>
                <c:formatCode>_(* #,##0.00_);_(* \(#,##0.00\);_(* "-"??_);_(@_)</c:formatCode>
                <c:ptCount val="80"/>
                <c:pt idx="0">
                  <c:v>100</c:v>
                </c:pt>
                <c:pt idx="1">
                  <c:v>109.43777704215839</c:v>
                </c:pt>
                <c:pt idx="2">
                  <c:v>109.40737896360702</c:v>
                </c:pt>
                <c:pt idx="3">
                  <c:v>112.38286632194978</c:v>
                </c:pt>
                <c:pt idx="4">
                  <c:v>124.17613208738743</c:v>
                </c:pt>
                <c:pt idx="5">
                  <c:v>132.69921485097811</c:v>
                </c:pt>
                <c:pt idx="6">
                  <c:v>140.39895396273877</c:v>
                </c:pt>
                <c:pt idx="7">
                  <c:v>148.82638625649071</c:v>
                </c:pt>
                <c:pt idx="8">
                  <c:v>144.48567514971225</c:v>
                </c:pt>
                <c:pt idx="9">
                  <c:v>123.59997274839783</c:v>
                </c:pt>
                <c:pt idx="10">
                  <c:v>121.6640528293176</c:v>
                </c:pt>
                <c:pt idx="11">
                  <c:v>108.80667337781247</c:v>
                </c:pt>
                <c:pt idx="12">
                  <c:v>88.457223238272576</c:v>
                </c:pt>
                <c:pt idx="13">
                  <c:v>87.193141601016094</c:v>
                </c:pt>
                <c:pt idx="14">
                  <c:v>97.403235040312381</c:v>
                </c:pt>
                <c:pt idx="15">
                  <c:v>119.1353557212046</c:v>
                </c:pt>
                <c:pt idx="16">
                  <c:v>123.19736332992677</c:v>
                </c:pt>
                <c:pt idx="17">
                  <c:v>125.3374922739123</c:v>
                </c:pt>
                <c:pt idx="18">
                  <c:v>110.35324724491825</c:v>
                </c:pt>
                <c:pt idx="19">
                  <c:v>120.0536367556367</c:v>
                </c:pt>
                <c:pt idx="20">
                  <c:v>125.49815500810108</c:v>
                </c:pt>
                <c:pt idx="21">
                  <c:v>129.68345419378869</c:v>
                </c:pt>
                <c:pt idx="22">
                  <c:v>124.0087645939373</c:v>
                </c:pt>
                <c:pt idx="23">
                  <c:v>108.87999919579919</c:v>
                </c:pt>
                <c:pt idx="24">
                  <c:v>110.87585715480799</c:v>
                </c:pt>
                <c:pt idx="25">
                  <c:v>120.41856784515979</c:v>
                </c:pt>
                <c:pt idx="26">
                  <c:v>114.04557676875227</c:v>
                </c:pt>
                <c:pt idx="27">
                  <c:v>123.89771163615318</c:v>
                </c:pt>
                <c:pt idx="28">
                  <c:v>132.36398333992017</c:v>
                </c:pt>
                <c:pt idx="29">
                  <c:v>143.28610714873224</c:v>
                </c:pt>
                <c:pt idx="30">
                  <c:v>138.62721424474736</c:v>
                </c:pt>
                <c:pt idx="31">
                  <c:v>152.66830069587706</c:v>
                </c:pt>
                <c:pt idx="32">
                  <c:v>157.76103200341271</c:v>
                </c:pt>
                <c:pt idx="33">
                  <c:v>161.2354750851913</c:v>
                </c:pt>
                <c:pt idx="34">
                  <c:v>162.46513216960426</c:v>
                </c:pt>
                <c:pt idx="35">
                  <c:v>161.38782945540277</c:v>
                </c:pt>
                <c:pt idx="36">
                  <c:v>165.69455180045574</c:v>
                </c:pt>
                <c:pt idx="37">
                  <c:v>182.61005769685053</c:v>
                </c:pt>
                <c:pt idx="38">
                  <c:v>170.44045986176764</c:v>
                </c:pt>
                <c:pt idx="39">
                  <c:v>158.66764710457753</c:v>
                </c:pt>
                <c:pt idx="40">
                  <c:v>168.89654464308245</c:v>
                </c:pt>
                <c:pt idx="41">
                  <c:v>164.2694131551666</c:v>
                </c:pt>
                <c:pt idx="42">
                  <c:v>170.90526341934137</c:v>
                </c:pt>
                <c:pt idx="43">
                  <c:v>180.16224914289867</c:v>
                </c:pt>
                <c:pt idx="44">
                  <c:v>190.24428072652827</c:v>
                </c:pt>
                <c:pt idx="45">
                  <c:v>199.74135734026328</c:v>
                </c:pt>
                <c:pt idx="46">
                  <c:v>195.91744470681382</c:v>
                </c:pt>
                <c:pt idx="47">
                  <c:v>197.90470802901882</c:v>
                </c:pt>
                <c:pt idx="48">
                  <c:v>213.4075008673008</c:v>
                </c:pt>
                <c:pt idx="49">
                  <c:v>204.91246989522486</c:v>
                </c:pt>
                <c:pt idx="50">
                  <c:v>223.12344546999952</c:v>
                </c:pt>
                <c:pt idx="51">
                  <c:v>225.85612452035926</c:v>
                </c:pt>
                <c:pt idx="52">
                  <c:v>207.31821485814123</c:v>
                </c:pt>
                <c:pt idx="53">
                  <c:v>229.67176750188432</c:v>
                </c:pt>
                <c:pt idx="54">
                  <c:v>248.12447403942869</c:v>
                </c:pt>
                <c:pt idx="55">
                  <c:v>254.96097743007783</c:v>
                </c:pt>
                <c:pt idx="56">
                  <c:v>255.20796804239237</c:v>
                </c:pt>
                <c:pt idx="57">
                  <c:v>194.19317115542438</c:v>
                </c:pt>
                <c:pt idx="58">
                  <c:v>227.4505971191806</c:v>
                </c:pt>
                <c:pt idx="59">
                  <c:v>227.36090830549944</c:v>
                </c:pt>
                <c:pt idx="60">
                  <c:v>259.41837017103796</c:v>
                </c:pt>
                <c:pt idx="61">
                  <c:v>270.82530227131878</c:v>
                </c:pt>
                <c:pt idx="62">
                  <c:v>293.85946989254734</c:v>
                </c:pt>
                <c:pt idx="63">
                  <c:v>298.0712046415382</c:v>
                </c:pt>
                <c:pt idx="64">
                  <c:v>304.79207204421903</c:v>
                </c:pt>
                <c:pt idx="65">
                  <c:v>312.58655539910018</c:v>
                </c:pt>
                <c:pt idx="66">
                  <c:v>274.82320356188706</c:v>
                </c:pt>
                <c:pt idx="67">
                  <c:v>276.05705641569335</c:v>
                </c:pt>
                <c:pt idx="68">
                  <c:v>301.55345339164973</c:v>
                </c:pt>
                <c:pt idx="69">
                  <c:v>311.62364652090639</c:v>
                </c:pt>
                <c:pt idx="70">
                  <c:v>314.94298415201342</c:v>
                </c:pt>
                <c:pt idx="71">
                  <c:v>313.52753796685647</c:v>
                </c:pt>
                <c:pt idx="72">
                  <c:v>340.36923194250375</c:v>
                </c:pt>
                <c:pt idx="73">
                  <c:v>359.54771555567845</c:v>
                </c:pt>
                <c:pt idx="74">
                  <c:v>355.47322120595709</c:v>
                </c:pt>
                <c:pt idx="75">
                  <c:v>382.61865149208802</c:v>
                </c:pt>
                <c:pt idx="76">
                  <c:v>378.39451205481896</c:v>
                </c:pt>
                <c:pt idx="77">
                  <c:v>367.43945130198153</c:v>
                </c:pt>
                <c:pt idx="78">
                  <c:v>401.88211128753886</c:v>
                </c:pt>
                <c:pt idx="79">
                  <c:v>420.35884917353138</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2-A50B-42C3-8714-611302F37D5D}"/>
            </c:ext>
          </c:extLst>
        </c:ser>
        <c:ser>
          <c:idx val="3"/>
          <c:order val="3"/>
          <c:tx>
            <c:strRef>
              <c:f>analysis!$BL$2</c:f>
              <c:strCache>
                <c:ptCount val="1"/>
                <c:pt idx="0">
                  <c:v>Portfolio index (Q_start=100)</c:v>
                </c:pt>
              </c:strCache>
            </c:strRef>
          </c:tx>
          <c:spPr>
            <a:ln w="19050" cap="rnd">
              <a:solidFill>
                <a:schemeClr val="accent4"/>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analysis!$BL$3:$BL$82</c:f>
              <c:numCache>
                <c:formatCode>_(* #,##0.00_);_(* \(#,##0.00\);_(* "-"??_);_(@_)</c:formatCode>
                <c:ptCount val="80"/>
                <c:pt idx="0">
                  <c:v>100</c:v>
                </c:pt>
                <c:pt idx="1">
                  <c:v>107.87960240548446</c:v>
                </c:pt>
                <c:pt idx="2">
                  <c:v>107.25156686179616</c:v>
                </c:pt>
                <c:pt idx="3">
                  <c:v>111.15685223302917</c:v>
                </c:pt>
                <c:pt idx="4">
                  <c:v>121.32004003176542</c:v>
                </c:pt>
                <c:pt idx="5">
                  <c:v>126.2431912285594</c:v>
                </c:pt>
                <c:pt idx="6">
                  <c:v>134.08058511684951</c:v>
                </c:pt>
                <c:pt idx="7">
                  <c:v>138.29319141479718</c:v>
                </c:pt>
                <c:pt idx="8">
                  <c:v>134.54603088442158</c:v>
                </c:pt>
                <c:pt idx="9">
                  <c:v>120.07320614250416</c:v>
                </c:pt>
                <c:pt idx="10">
                  <c:v>118.26777959133886</c:v>
                </c:pt>
                <c:pt idx="11">
                  <c:v>101.97252522176566</c:v>
                </c:pt>
                <c:pt idx="12">
                  <c:v>80.507040480225939</c:v>
                </c:pt>
                <c:pt idx="13">
                  <c:v>73.779835714880477</c:v>
                </c:pt>
                <c:pt idx="14">
                  <c:v>87.117511752760507</c:v>
                </c:pt>
                <c:pt idx="15">
                  <c:v>104.06995646747023</c:v>
                </c:pt>
                <c:pt idx="16">
                  <c:v>107.96640081992655</c:v>
                </c:pt>
                <c:pt idx="17">
                  <c:v>111.28796740469113</c:v>
                </c:pt>
                <c:pt idx="18">
                  <c:v>97.662774873713232</c:v>
                </c:pt>
                <c:pt idx="19">
                  <c:v>109.53892722632975</c:v>
                </c:pt>
                <c:pt idx="20">
                  <c:v>118.2711198171703</c:v>
                </c:pt>
                <c:pt idx="21">
                  <c:v>123.55252405470395</c:v>
                </c:pt>
                <c:pt idx="22">
                  <c:v>122.12523805094347</c:v>
                </c:pt>
                <c:pt idx="23">
                  <c:v>103.02276338946128</c:v>
                </c:pt>
                <c:pt idx="24">
                  <c:v>109.02090115597773</c:v>
                </c:pt>
                <c:pt idx="25">
                  <c:v>120.8425310160343</c:v>
                </c:pt>
                <c:pt idx="26">
                  <c:v>114.49986898406229</c:v>
                </c:pt>
                <c:pt idx="27">
                  <c:v>122.84253113720254</c:v>
                </c:pt>
                <c:pt idx="28">
                  <c:v>127.63126432648455</c:v>
                </c:pt>
                <c:pt idx="29">
                  <c:v>138.0067727088761</c:v>
                </c:pt>
                <c:pt idx="30">
                  <c:v>137.14815361323431</c:v>
                </c:pt>
                <c:pt idx="31">
                  <c:v>149.60591081907023</c:v>
                </c:pt>
                <c:pt idx="32">
                  <c:v>159.3561349491905</c:v>
                </c:pt>
                <c:pt idx="33">
                  <c:v>162.05023040887616</c:v>
                </c:pt>
                <c:pt idx="34">
                  <c:v>167.70687478798038</c:v>
                </c:pt>
                <c:pt idx="35">
                  <c:v>164.07778065664121</c:v>
                </c:pt>
                <c:pt idx="36">
                  <c:v>166.79787663835077</c:v>
                </c:pt>
                <c:pt idx="37">
                  <c:v>174.91542880691983</c:v>
                </c:pt>
                <c:pt idx="38">
                  <c:v>171.82090313700854</c:v>
                </c:pt>
                <c:pt idx="39">
                  <c:v>157.88275925149691</c:v>
                </c:pt>
                <c:pt idx="40">
                  <c:v>166.82713990512624</c:v>
                </c:pt>
                <c:pt idx="41">
                  <c:v>165.1865657032975</c:v>
                </c:pt>
                <c:pt idx="42">
                  <c:v>168.43776607228233</c:v>
                </c:pt>
                <c:pt idx="43">
                  <c:v>177.28926662580494</c:v>
                </c:pt>
                <c:pt idx="44">
                  <c:v>182.75036177781325</c:v>
                </c:pt>
                <c:pt idx="45">
                  <c:v>193.41821152841945</c:v>
                </c:pt>
                <c:pt idx="46">
                  <c:v>197.68631408236314</c:v>
                </c:pt>
                <c:pt idx="47">
                  <c:v>205.26808263947706</c:v>
                </c:pt>
                <c:pt idx="48">
                  <c:v>217.89534958277881</c:v>
                </c:pt>
                <c:pt idx="49">
                  <c:v>213.52842485113428</c:v>
                </c:pt>
                <c:pt idx="50">
                  <c:v>221.94499751353317</c:v>
                </c:pt>
                <c:pt idx="51">
                  <c:v>229.83382323193905</c:v>
                </c:pt>
                <c:pt idx="52">
                  <c:v>201.58322128215281</c:v>
                </c:pt>
                <c:pt idx="53">
                  <c:v>225.90733333881428</c:v>
                </c:pt>
                <c:pt idx="54">
                  <c:v>237.31283499023937</c:v>
                </c:pt>
                <c:pt idx="55">
                  <c:v>239.94856922792033</c:v>
                </c:pt>
                <c:pt idx="56">
                  <c:v>254.25580894644472</c:v>
                </c:pt>
                <c:pt idx="57">
                  <c:v>196.55997179952837</c:v>
                </c:pt>
                <c:pt idx="58">
                  <c:v>234.10984148638431</c:v>
                </c:pt>
                <c:pt idx="59">
                  <c:v>247.14367349031318</c:v>
                </c:pt>
                <c:pt idx="60">
                  <c:v>283.77334548023731</c:v>
                </c:pt>
                <c:pt idx="61">
                  <c:v>298.47558281483265</c:v>
                </c:pt>
                <c:pt idx="62">
                  <c:v>321.43004954778905</c:v>
                </c:pt>
                <c:pt idx="63">
                  <c:v>322.2493403296221</c:v>
                </c:pt>
                <c:pt idx="64">
                  <c:v>340.71367106269247</c:v>
                </c:pt>
                <c:pt idx="65">
                  <c:v>329.80087923324612</c:v>
                </c:pt>
                <c:pt idx="66">
                  <c:v>279.98483048122927</c:v>
                </c:pt>
                <c:pt idx="67">
                  <c:v>268.34640828345954</c:v>
                </c:pt>
                <c:pt idx="68">
                  <c:v>294.32771747970622</c:v>
                </c:pt>
                <c:pt idx="69">
                  <c:v>312.30693427647896</c:v>
                </c:pt>
                <c:pt idx="70">
                  <c:v>327.36576553152571</c:v>
                </c:pt>
                <c:pt idx="71">
                  <c:v>318.64896002531259</c:v>
                </c:pt>
                <c:pt idx="72">
                  <c:v>352.60795430536251</c:v>
                </c:pt>
                <c:pt idx="73">
                  <c:v>379.38631011241176</c:v>
                </c:pt>
                <c:pt idx="74">
                  <c:v>383.75608069438363</c:v>
                </c:pt>
                <c:pt idx="75">
                  <c:v>410.38184801352065</c:v>
                </c:pt>
                <c:pt idx="76">
                  <c:v>407.89455306846668</c:v>
                </c:pt>
                <c:pt idx="77">
                  <c:v>398.75425576896129</c:v>
                </c:pt>
                <c:pt idx="78">
                  <c:v>442.22344890035555</c:v>
                </c:pt>
                <c:pt idx="79">
                  <c:v>471.57614638946308</c:v>
                </c:pt>
              </c:numCache>
            </c:numRef>
          </c:val>
          <c:smooth val="0"/>
          <c:extLst>
            <c:ext xmlns:c16="http://schemas.microsoft.com/office/drawing/2014/chart" uri="{C3380CC4-5D6E-409C-BE32-E72D297353CC}">
              <c16:uniqueId val="{00000003-A50B-42C3-8714-611302F37D5D}"/>
            </c:ext>
          </c:extLst>
        </c:ser>
        <c:ser>
          <c:idx val="5"/>
          <c:order val="4"/>
          <c:tx>
            <c:strRef>
              <c:f>analysis!$BN$2</c:f>
              <c:strCache>
                <c:ptCount val="1"/>
                <c:pt idx="0">
                  <c:v>Median home price (Q_start = 100)</c:v>
                </c:pt>
              </c:strCache>
            </c:strRef>
          </c:tx>
          <c:spPr>
            <a:ln w="19050" cap="rnd">
              <a:solidFill>
                <a:schemeClr val="accent6"/>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analysis!$BN$3:$BN$82</c:f>
              <c:numCache>
                <c:formatCode>_(* #,##0.00_);_(* \(#,##0.00\);_(* "-"??_);_(@_)</c:formatCode>
                <c:ptCount val="80"/>
                <c:pt idx="0">
                  <c:v>100</c:v>
                </c:pt>
                <c:pt idx="1">
                  <c:v>105.43478260869566</c:v>
                </c:pt>
                <c:pt idx="2">
                  <c:v>102.60869565217391</c:v>
                </c:pt>
                <c:pt idx="3">
                  <c:v>107.17391304347827</c:v>
                </c:pt>
                <c:pt idx="4">
                  <c:v>102.60869565217391</c:v>
                </c:pt>
                <c:pt idx="5">
                  <c:v>108.69565217391305</c:v>
                </c:pt>
                <c:pt idx="6">
                  <c:v>108.91304347826087</c:v>
                </c:pt>
                <c:pt idx="7">
                  <c:v>115.21739130434783</c:v>
                </c:pt>
                <c:pt idx="8">
                  <c:v>105.43478260869566</c:v>
                </c:pt>
                <c:pt idx="9">
                  <c:v>108.47826086956522</c:v>
                </c:pt>
                <c:pt idx="10">
                  <c:v>102.17391304347827</c:v>
                </c:pt>
                <c:pt idx="11">
                  <c:v>99.782608695652172</c:v>
                </c:pt>
                <c:pt idx="12">
                  <c:v>95.652173913043484</c:v>
                </c:pt>
                <c:pt idx="13">
                  <c:v>105.43478260869566</c:v>
                </c:pt>
                <c:pt idx="14">
                  <c:v>107.17391304347827</c:v>
                </c:pt>
                <c:pt idx="15">
                  <c:v>125.65217391304348</c:v>
                </c:pt>
                <c:pt idx="16">
                  <c:v>123.04347826086956</c:v>
                </c:pt>
                <c:pt idx="17">
                  <c:v>129.34782608695653</c:v>
                </c:pt>
                <c:pt idx="18">
                  <c:v>125.43478260869566</c:v>
                </c:pt>
                <c:pt idx="19">
                  <c:v>130.43478260869566</c:v>
                </c:pt>
                <c:pt idx="20">
                  <c:v>119.56521739130434</c:v>
                </c:pt>
                <c:pt idx="21">
                  <c:v>130.43478260869566</c:v>
                </c:pt>
                <c:pt idx="22">
                  <c:v>119.56521739130434</c:v>
                </c:pt>
                <c:pt idx="23">
                  <c:v>113.04347826086956</c:v>
                </c:pt>
                <c:pt idx="24">
                  <c:v>127.82608695652173</c:v>
                </c:pt>
                <c:pt idx="25">
                  <c:v>128.91304347826087</c:v>
                </c:pt>
                <c:pt idx="26">
                  <c:v>123.47826086956522</c:v>
                </c:pt>
                <c:pt idx="27">
                  <c:v>134.78260869565219</c:v>
                </c:pt>
                <c:pt idx="28">
                  <c:v>130.43478260869566</c:v>
                </c:pt>
                <c:pt idx="29">
                  <c:v>136.95652173913044</c:v>
                </c:pt>
                <c:pt idx="30">
                  <c:v>141.30434782608697</c:v>
                </c:pt>
                <c:pt idx="31">
                  <c:v>156.95652173913044</c:v>
                </c:pt>
                <c:pt idx="32">
                  <c:v>147.82608695652175</c:v>
                </c:pt>
                <c:pt idx="33">
                  <c:v>158.69565217391303</c:v>
                </c:pt>
                <c:pt idx="34">
                  <c:v>159.34782608695653</c:v>
                </c:pt>
                <c:pt idx="35">
                  <c:v>177.17391304347825</c:v>
                </c:pt>
                <c:pt idx="36">
                  <c:v>168.47826086956522</c:v>
                </c:pt>
                <c:pt idx="37">
                  <c:v>189.13043478260869</c:v>
                </c:pt>
                <c:pt idx="38">
                  <c:v>193.47826086956522</c:v>
                </c:pt>
                <c:pt idx="39">
                  <c:v>197.82608695652175</c:v>
                </c:pt>
                <c:pt idx="40">
                  <c:v>184.78260869565219</c:v>
                </c:pt>
                <c:pt idx="41">
                  <c:v>192.39130434782609</c:v>
                </c:pt>
                <c:pt idx="42">
                  <c:v>192.39130434782609</c:v>
                </c:pt>
                <c:pt idx="43">
                  <c:v>211.52173913043478</c:v>
                </c:pt>
                <c:pt idx="44">
                  <c:v>195.65217391304347</c:v>
                </c:pt>
                <c:pt idx="45">
                  <c:v>233.69565217391303</c:v>
                </c:pt>
                <c:pt idx="46">
                  <c:v>206.52173913043478</c:v>
                </c:pt>
                <c:pt idx="47">
                  <c:v>226.08695652173913</c:v>
                </c:pt>
                <c:pt idx="48">
                  <c:v>204.13043478260869</c:v>
                </c:pt>
                <c:pt idx="49">
                  <c:v>206.52173913043478</c:v>
                </c:pt>
                <c:pt idx="50">
                  <c:v>195.65217391304347</c:v>
                </c:pt>
                <c:pt idx="51">
                  <c:v>206.30434782608697</c:v>
                </c:pt>
                <c:pt idx="52">
                  <c:v>188.04347826086956</c:v>
                </c:pt>
                <c:pt idx="53">
                  <c:v>195.65217391304347</c:v>
                </c:pt>
                <c:pt idx="54">
                  <c:v>198.91304347826087</c:v>
                </c:pt>
                <c:pt idx="55">
                  <c:v>220.65217391304347</c:v>
                </c:pt>
                <c:pt idx="56">
                  <c:v>213.2608695652174</c:v>
                </c:pt>
                <c:pt idx="57">
                  <c:v>213.04347826086956</c:v>
                </c:pt>
                <c:pt idx="58">
                  <c:v>217.39130434782609</c:v>
                </c:pt>
                <c:pt idx="59">
                  <c:v>232.60869565217391</c:v>
                </c:pt>
                <c:pt idx="60">
                  <c:v>241.30434782608697</c:v>
                </c:pt>
                <c:pt idx="61">
                  <c:v>273.91304347826087</c:v>
                </c:pt>
                <c:pt idx="62">
                  <c:v>286.95652173913044</c:v>
                </c:pt>
                <c:pt idx="63">
                  <c:v>304.3478260869565</c:v>
                </c:pt>
                <c:pt idx="64">
                  <c:v>291.30434782608694</c:v>
                </c:pt>
                <c:pt idx="65">
                  <c:v>302.17391304347825</c:v>
                </c:pt>
                <c:pt idx="66">
                  <c:v>282.60869565217394</c:v>
                </c:pt>
                <c:pt idx="67">
                  <c:v>282.60869565217394</c:v>
                </c:pt>
                <c:pt idx="68">
                  <c:v>271.73913043478262</c:v>
                </c:pt>
                <c:pt idx="69">
                  <c:v>295.6521739130435</c:v>
                </c:pt>
                <c:pt idx="70">
                  <c:v>300</c:v>
                </c:pt>
                <c:pt idx="71">
                  <c:v>308.69565217391306</c:v>
                </c:pt>
                <c:pt idx="72">
                  <c:v>304.3478260869565</c:v>
                </c:pt>
                <c:pt idx="73">
                  <c:v>317.39130434782606</c:v>
                </c:pt>
                <c:pt idx="74">
                  <c:v>307.39130434782606</c:v>
                </c:pt>
                <c:pt idx="75">
                  <c:v>315.6521739130435</c:v>
                </c:pt>
                <c:pt idx="76">
                  <c:v>310.86956521739131</c:v>
                </c:pt>
                <c:pt idx="77">
                  <c:v>331.52173913043481</c:v>
                </c:pt>
                <c:pt idx="78">
                  <c:v>333.26086956521738</c:v>
                </c:pt>
                <c:pt idx="79">
                  <c:v>339.72826086956519</c:v>
                </c:pt>
              </c:numCache>
            </c:numRef>
          </c:val>
          <c:smooth val="0"/>
          <c:extLst>
            <c:ext xmlns:c16="http://schemas.microsoft.com/office/drawing/2014/chart" uri="{C3380CC4-5D6E-409C-BE32-E72D297353CC}">
              <c16:uniqueId val="{00000007-A50B-42C3-8714-611302F37D5D}"/>
            </c:ext>
          </c:extLst>
        </c:ser>
        <c:ser>
          <c:idx val="6"/>
          <c:order val="5"/>
          <c:tx>
            <c:strRef>
              <c:f>analysis!$BO$2</c:f>
              <c:strCache>
                <c:ptCount val="1"/>
                <c:pt idx="0">
                  <c:v>Adjusted home price (Q_start = 100)</c:v>
                </c:pt>
              </c:strCache>
            </c:strRef>
          </c:tx>
          <c:spPr>
            <a:ln w="19050" cap="rnd">
              <a:solidFill>
                <a:schemeClr val="accent1">
                  <a:lumMod val="60000"/>
                </a:schemeClr>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analysis!$BO$3:$BO$82</c:f>
              <c:numCache>
                <c:formatCode>General</c:formatCode>
                <c:ptCount val="80"/>
                <c:pt idx="0">
                  <c:v>100</c:v>
                </c:pt>
                <c:pt idx="1">
                  <c:v>104.89722914610414</c:v>
                </c:pt>
                <c:pt idx="2">
                  <c:v>101.49636705310292</c:v>
                </c:pt>
                <c:pt idx="3">
                  <c:v>105.51410520211229</c:v>
                </c:pt>
                <c:pt idx="4">
                  <c:v>100.36452147146896</c:v>
                </c:pt>
                <c:pt idx="5">
                  <c:v>105.90790214742572</c:v>
                </c:pt>
                <c:pt idx="6">
                  <c:v>105.54870602405607</c:v>
                </c:pt>
                <c:pt idx="7">
                  <c:v>111.29143873619174</c:v>
                </c:pt>
                <c:pt idx="8">
                  <c:v>100.88735355292727</c:v>
                </c:pt>
                <c:pt idx="9">
                  <c:v>103.37111263529451</c:v>
                </c:pt>
                <c:pt idx="10">
                  <c:v>96.474089811577471</c:v>
                </c:pt>
                <c:pt idx="11">
                  <c:v>93.518744667681545</c:v>
                </c:pt>
                <c:pt idx="12">
                  <c:v>88.826862059543529</c:v>
                </c:pt>
                <c:pt idx="13">
                  <c:v>98.095895299752968</c:v>
                </c:pt>
                <c:pt idx="14">
                  <c:v>99.271960787593898</c:v>
                </c:pt>
                <c:pt idx="15">
                  <c:v>117.22496389358226</c:v>
                </c:pt>
                <c:pt idx="16">
                  <c:v>113.9824124105704</c:v>
                </c:pt>
                <c:pt idx="17">
                  <c:v>119.68346242423229</c:v>
                </c:pt>
                <c:pt idx="18">
                  <c:v>115.12231571786251</c:v>
                </c:pt>
                <c:pt idx="19">
                  <c:v>119.50861814187174</c:v>
                </c:pt>
                <c:pt idx="20">
                  <c:v>107.96989923660716</c:v>
                </c:pt>
                <c:pt idx="21">
                  <c:v>118.25813718765858</c:v>
                </c:pt>
                <c:pt idx="22">
                  <c:v>106.719418282394</c:v>
                </c:pt>
                <c:pt idx="23">
                  <c:v>99.571741639761115</c:v>
                </c:pt>
                <c:pt idx="24">
                  <c:v>113.80229854291784</c:v>
                </c:pt>
                <c:pt idx="25">
                  <c:v>114.25846618822177</c:v>
                </c:pt>
                <c:pt idx="26">
                  <c:v>108.17295949947304</c:v>
                </c:pt>
                <c:pt idx="27">
                  <c:v>118.88555241425074</c:v>
                </c:pt>
                <c:pt idx="28">
                  <c:v>113.87247603593356</c:v>
                </c:pt>
                <c:pt idx="29">
                  <c:v>119.76967172435329</c:v>
                </c:pt>
                <c:pt idx="30">
                  <c:v>123.46813992003614</c:v>
                </c:pt>
                <c:pt idx="31">
                  <c:v>138.48712715592953</c:v>
                </c:pt>
                <c:pt idx="32">
                  <c:v>128.61376449135955</c:v>
                </c:pt>
                <c:pt idx="33">
                  <c:v>138.81863704546342</c:v>
                </c:pt>
                <c:pt idx="34">
                  <c:v>138.74784616156717</c:v>
                </c:pt>
                <c:pt idx="35">
                  <c:v>155.89309712208151</c:v>
                </c:pt>
                <c:pt idx="36">
                  <c:v>146.39599399992193</c:v>
                </c:pt>
                <c:pt idx="37">
                  <c:v>166.3476476459731</c:v>
                </c:pt>
                <c:pt idx="38">
                  <c:v>169.89221049344508</c:v>
                </c:pt>
                <c:pt idx="39">
                  <c:v>173.42394789523283</c:v>
                </c:pt>
                <c:pt idx="40">
                  <c:v>159.50694525765206</c:v>
                </c:pt>
                <c:pt idx="41">
                  <c:v>166.33356753712408</c:v>
                </c:pt>
                <c:pt idx="42">
                  <c:v>165.50953265191183</c:v>
                </c:pt>
                <c:pt idx="43">
                  <c:v>183.8650038197523</c:v>
                </c:pt>
                <c:pt idx="44">
                  <c:v>167.07426490679248</c:v>
                </c:pt>
                <c:pt idx="45">
                  <c:v>204.38167411100144</c:v>
                </c:pt>
                <c:pt idx="46">
                  <c:v>176.1921809391572</c:v>
                </c:pt>
                <c:pt idx="47">
                  <c:v>194.941867273366</c:v>
                </c:pt>
                <c:pt idx="48">
                  <c:v>172.00559300957448</c:v>
                </c:pt>
                <c:pt idx="49">
                  <c:v>173.54436767764636</c:v>
                </c:pt>
                <c:pt idx="50">
                  <c:v>161.78120347290763</c:v>
                </c:pt>
                <c:pt idx="51">
                  <c:v>171.62704719206383</c:v>
                </c:pt>
                <c:pt idx="52">
                  <c:v>152.45426055729351</c:v>
                </c:pt>
                <c:pt idx="53">
                  <c:v>159.27126375250236</c:v>
                </c:pt>
                <c:pt idx="54">
                  <c:v>161.70684376934273</c:v>
                </c:pt>
                <c:pt idx="55">
                  <c:v>182.6584639577095</c:v>
                </c:pt>
                <c:pt idx="56">
                  <c:v>174.34079997323386</c:v>
                </c:pt>
                <c:pt idx="57">
                  <c:v>173.2372540163162</c:v>
                </c:pt>
                <c:pt idx="58">
                  <c:v>176.71127691252488</c:v>
                </c:pt>
                <c:pt idx="59">
                  <c:v>191.06992098410203</c:v>
                </c:pt>
                <c:pt idx="60">
                  <c:v>198.84520802315271</c:v>
                </c:pt>
                <c:pt idx="61">
                  <c:v>230.56922673715084</c:v>
                </c:pt>
                <c:pt idx="62">
                  <c:v>242.58165069062238</c:v>
                </c:pt>
                <c:pt idx="63">
                  <c:v>258.91457695546222</c:v>
                </c:pt>
                <c:pt idx="64">
                  <c:v>244.68335089861765</c:v>
                </c:pt>
                <c:pt idx="65">
                  <c:v>254.46498374514167</c:v>
                </c:pt>
                <c:pt idx="66">
                  <c:v>233.70170243850757</c:v>
                </c:pt>
                <c:pt idx="67">
                  <c:v>232.61153955534738</c:v>
                </c:pt>
                <c:pt idx="68">
                  <c:v>220.62393005113449</c:v>
                </c:pt>
                <c:pt idx="69">
                  <c:v>243.54021334850083</c:v>
                </c:pt>
                <c:pt idx="70">
                  <c:v>246.770552776709</c:v>
                </c:pt>
                <c:pt idx="71">
                  <c:v>254.34704540765401</c:v>
                </c:pt>
                <c:pt idx="72">
                  <c:v>248.82095120196732</c:v>
                </c:pt>
                <c:pt idx="73">
                  <c:v>260.74359703564915</c:v>
                </c:pt>
                <c:pt idx="74">
                  <c:v>249.52517969564659</c:v>
                </c:pt>
                <c:pt idx="75">
                  <c:v>256.64397120408631</c:v>
                </c:pt>
                <c:pt idx="76">
                  <c:v>250.66145842046271</c:v>
                </c:pt>
                <c:pt idx="77">
                  <c:v>270.19307872035512</c:v>
                </c:pt>
                <c:pt idx="78">
                  <c:v>270.70222103261568</c:v>
                </c:pt>
                <c:pt idx="79">
                  <c:v>275.94662244676044</c:v>
                </c:pt>
              </c:numCache>
            </c:numRef>
          </c:val>
          <c:smooth val="0"/>
          <c:extLst>
            <c:ext xmlns:c16="http://schemas.microsoft.com/office/drawing/2014/chart" uri="{C3380CC4-5D6E-409C-BE32-E72D297353CC}">
              <c16:uniqueId val="{00000008-A50B-42C3-8714-611302F37D5D}"/>
            </c:ext>
          </c:extLst>
        </c:ser>
        <c:dLbls>
          <c:showLegendKey val="0"/>
          <c:showVal val="0"/>
          <c:showCatName val="0"/>
          <c:showSerName val="0"/>
          <c:showPercent val="0"/>
          <c:showBubbleSize val="0"/>
        </c:dLbls>
        <c:smooth val="0"/>
        <c:axId val="1207159248"/>
        <c:axId val="1207169808"/>
        <c:extLst/>
      </c:lineChart>
      <c:dateAx>
        <c:axId val="1207159248"/>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9808"/>
        <c:crosses val="autoZero"/>
        <c:auto val="1"/>
        <c:lblOffset val="100"/>
        <c:baseTimeUnit val="months"/>
        <c:majorUnit val="12"/>
        <c:majorTimeUnit val="months"/>
      </c:dateAx>
      <c:valAx>
        <c:axId val="120716980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weekly rents, 2-bed flat, new bonds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'2BR_F-combined'!$C$1</c:f>
              <c:strCache>
                <c:ptCount val="1"/>
                <c:pt idx="0">
                  <c:v>Greater Sydney</c:v>
                </c:pt>
              </c:strCache>
            </c:strRef>
          </c:tx>
          <c:spPr>
            <a:ln w="28575" cap="rnd">
              <a:solidFill>
                <a:schemeClr val="accent1"/>
              </a:solidFill>
              <a:round/>
            </a:ln>
            <a:effectLst/>
          </c:spPr>
          <c:marker>
            <c:symbol val="none"/>
          </c:marker>
          <c:cat>
            <c:numRef>
              <c:f>'2BR_F-combined'!$B$2:$B$145</c:f>
              <c:numCache>
                <c:formatCode>mmm\-yy</c:formatCode>
                <c:ptCount val="144"/>
                <c:pt idx="0">
                  <c:v>32933</c:v>
                </c:pt>
                <c:pt idx="1">
                  <c:v>33025</c:v>
                </c:pt>
                <c:pt idx="2">
                  <c:v>33117</c:v>
                </c:pt>
                <c:pt idx="3">
                  <c:v>33208</c:v>
                </c:pt>
                <c:pt idx="4">
                  <c:v>33298</c:v>
                </c:pt>
                <c:pt idx="5">
                  <c:v>33390</c:v>
                </c:pt>
                <c:pt idx="6">
                  <c:v>33482</c:v>
                </c:pt>
                <c:pt idx="7">
                  <c:v>33573</c:v>
                </c:pt>
                <c:pt idx="8">
                  <c:v>33664</c:v>
                </c:pt>
                <c:pt idx="9">
                  <c:v>33756</c:v>
                </c:pt>
                <c:pt idx="10">
                  <c:v>33848</c:v>
                </c:pt>
                <c:pt idx="11">
                  <c:v>33939</c:v>
                </c:pt>
                <c:pt idx="12">
                  <c:v>34029</c:v>
                </c:pt>
                <c:pt idx="13">
                  <c:v>34121</c:v>
                </c:pt>
                <c:pt idx="14">
                  <c:v>34213</c:v>
                </c:pt>
                <c:pt idx="15">
                  <c:v>34304</c:v>
                </c:pt>
                <c:pt idx="16">
                  <c:v>34394</c:v>
                </c:pt>
                <c:pt idx="17">
                  <c:v>34486</c:v>
                </c:pt>
                <c:pt idx="18">
                  <c:v>34578</c:v>
                </c:pt>
                <c:pt idx="19">
                  <c:v>34669</c:v>
                </c:pt>
                <c:pt idx="20">
                  <c:v>34759</c:v>
                </c:pt>
                <c:pt idx="21">
                  <c:v>34851</c:v>
                </c:pt>
                <c:pt idx="22">
                  <c:v>34943</c:v>
                </c:pt>
                <c:pt idx="23">
                  <c:v>35034</c:v>
                </c:pt>
                <c:pt idx="24">
                  <c:v>35125</c:v>
                </c:pt>
                <c:pt idx="25">
                  <c:v>35217</c:v>
                </c:pt>
                <c:pt idx="26">
                  <c:v>35309</c:v>
                </c:pt>
                <c:pt idx="27">
                  <c:v>35400</c:v>
                </c:pt>
                <c:pt idx="28">
                  <c:v>35490</c:v>
                </c:pt>
                <c:pt idx="29">
                  <c:v>35582</c:v>
                </c:pt>
                <c:pt idx="30">
                  <c:v>35674</c:v>
                </c:pt>
                <c:pt idx="31">
                  <c:v>35765</c:v>
                </c:pt>
                <c:pt idx="32">
                  <c:v>35855</c:v>
                </c:pt>
                <c:pt idx="33">
                  <c:v>35947</c:v>
                </c:pt>
                <c:pt idx="34">
                  <c:v>36039</c:v>
                </c:pt>
                <c:pt idx="35">
                  <c:v>36130</c:v>
                </c:pt>
                <c:pt idx="36">
                  <c:v>36220</c:v>
                </c:pt>
                <c:pt idx="37">
                  <c:v>36312</c:v>
                </c:pt>
                <c:pt idx="38">
                  <c:v>36404</c:v>
                </c:pt>
                <c:pt idx="39">
                  <c:v>36495</c:v>
                </c:pt>
                <c:pt idx="40">
                  <c:v>36586</c:v>
                </c:pt>
                <c:pt idx="41">
                  <c:v>36678</c:v>
                </c:pt>
                <c:pt idx="42">
                  <c:v>36770</c:v>
                </c:pt>
                <c:pt idx="43">
                  <c:v>36861</c:v>
                </c:pt>
                <c:pt idx="44">
                  <c:v>36951</c:v>
                </c:pt>
                <c:pt idx="45">
                  <c:v>37043</c:v>
                </c:pt>
                <c:pt idx="46">
                  <c:v>37135</c:v>
                </c:pt>
                <c:pt idx="47">
                  <c:v>37226</c:v>
                </c:pt>
                <c:pt idx="48">
                  <c:v>37316</c:v>
                </c:pt>
                <c:pt idx="49">
                  <c:v>37408</c:v>
                </c:pt>
                <c:pt idx="50">
                  <c:v>37500</c:v>
                </c:pt>
                <c:pt idx="51">
                  <c:v>37591</c:v>
                </c:pt>
                <c:pt idx="52">
                  <c:v>37681</c:v>
                </c:pt>
                <c:pt idx="53">
                  <c:v>37773</c:v>
                </c:pt>
                <c:pt idx="54">
                  <c:v>37865</c:v>
                </c:pt>
                <c:pt idx="55">
                  <c:v>37956</c:v>
                </c:pt>
                <c:pt idx="56">
                  <c:v>38047</c:v>
                </c:pt>
                <c:pt idx="57">
                  <c:v>38139</c:v>
                </c:pt>
                <c:pt idx="58">
                  <c:v>38231</c:v>
                </c:pt>
                <c:pt idx="59">
                  <c:v>38322</c:v>
                </c:pt>
                <c:pt idx="60">
                  <c:v>38412</c:v>
                </c:pt>
                <c:pt idx="61">
                  <c:v>38504</c:v>
                </c:pt>
                <c:pt idx="62">
                  <c:v>38596</c:v>
                </c:pt>
                <c:pt idx="63">
                  <c:v>38687</c:v>
                </c:pt>
                <c:pt idx="64">
                  <c:v>38777</c:v>
                </c:pt>
                <c:pt idx="65">
                  <c:v>38869</c:v>
                </c:pt>
                <c:pt idx="66">
                  <c:v>38961</c:v>
                </c:pt>
                <c:pt idx="67">
                  <c:v>39052</c:v>
                </c:pt>
                <c:pt idx="68">
                  <c:v>39142</c:v>
                </c:pt>
                <c:pt idx="69">
                  <c:v>39234</c:v>
                </c:pt>
                <c:pt idx="70">
                  <c:v>39326</c:v>
                </c:pt>
                <c:pt idx="71">
                  <c:v>39417</c:v>
                </c:pt>
                <c:pt idx="72">
                  <c:v>39508</c:v>
                </c:pt>
                <c:pt idx="73">
                  <c:v>39600</c:v>
                </c:pt>
                <c:pt idx="74">
                  <c:v>39692</c:v>
                </c:pt>
                <c:pt idx="75">
                  <c:v>39783</c:v>
                </c:pt>
                <c:pt idx="76">
                  <c:v>39873</c:v>
                </c:pt>
                <c:pt idx="77">
                  <c:v>39965</c:v>
                </c:pt>
                <c:pt idx="78">
                  <c:v>40057</c:v>
                </c:pt>
                <c:pt idx="79">
                  <c:v>40148</c:v>
                </c:pt>
                <c:pt idx="80">
                  <c:v>40238</c:v>
                </c:pt>
                <c:pt idx="81">
                  <c:v>40330</c:v>
                </c:pt>
                <c:pt idx="82">
                  <c:v>40422</c:v>
                </c:pt>
                <c:pt idx="83">
                  <c:v>40513</c:v>
                </c:pt>
                <c:pt idx="84">
                  <c:v>40603</c:v>
                </c:pt>
                <c:pt idx="85">
                  <c:v>40695</c:v>
                </c:pt>
                <c:pt idx="86">
                  <c:v>40787</c:v>
                </c:pt>
                <c:pt idx="87">
                  <c:v>40878</c:v>
                </c:pt>
                <c:pt idx="88">
                  <c:v>40969</c:v>
                </c:pt>
                <c:pt idx="89">
                  <c:v>41061</c:v>
                </c:pt>
                <c:pt idx="90">
                  <c:v>41153</c:v>
                </c:pt>
                <c:pt idx="91">
                  <c:v>41244</c:v>
                </c:pt>
                <c:pt idx="92">
                  <c:v>41334</c:v>
                </c:pt>
                <c:pt idx="93">
                  <c:v>41426</c:v>
                </c:pt>
                <c:pt idx="94">
                  <c:v>41518</c:v>
                </c:pt>
                <c:pt idx="95">
                  <c:v>41609</c:v>
                </c:pt>
                <c:pt idx="96">
                  <c:v>41699</c:v>
                </c:pt>
                <c:pt idx="97">
                  <c:v>41791</c:v>
                </c:pt>
                <c:pt idx="98">
                  <c:v>41883</c:v>
                </c:pt>
                <c:pt idx="99">
                  <c:v>41974</c:v>
                </c:pt>
                <c:pt idx="100">
                  <c:v>42064</c:v>
                </c:pt>
                <c:pt idx="101">
                  <c:v>42156</c:v>
                </c:pt>
                <c:pt idx="102">
                  <c:v>42248</c:v>
                </c:pt>
                <c:pt idx="103">
                  <c:v>42339</c:v>
                </c:pt>
                <c:pt idx="104">
                  <c:v>42430</c:v>
                </c:pt>
                <c:pt idx="105">
                  <c:v>42522</c:v>
                </c:pt>
                <c:pt idx="106">
                  <c:v>42614</c:v>
                </c:pt>
                <c:pt idx="107">
                  <c:v>42705</c:v>
                </c:pt>
                <c:pt idx="108">
                  <c:v>42795</c:v>
                </c:pt>
                <c:pt idx="109">
                  <c:v>42887</c:v>
                </c:pt>
                <c:pt idx="110">
                  <c:v>42979</c:v>
                </c:pt>
                <c:pt idx="111">
                  <c:v>43070</c:v>
                </c:pt>
                <c:pt idx="112">
                  <c:v>43160</c:v>
                </c:pt>
                <c:pt idx="113">
                  <c:v>43252</c:v>
                </c:pt>
                <c:pt idx="114">
                  <c:v>43344</c:v>
                </c:pt>
                <c:pt idx="115">
                  <c:v>43435</c:v>
                </c:pt>
                <c:pt idx="116">
                  <c:v>43525</c:v>
                </c:pt>
                <c:pt idx="117">
                  <c:v>43617</c:v>
                </c:pt>
                <c:pt idx="118">
                  <c:v>43709</c:v>
                </c:pt>
                <c:pt idx="119">
                  <c:v>43800</c:v>
                </c:pt>
                <c:pt idx="120">
                  <c:v>43891</c:v>
                </c:pt>
                <c:pt idx="121">
                  <c:v>43983</c:v>
                </c:pt>
                <c:pt idx="122">
                  <c:v>44075</c:v>
                </c:pt>
                <c:pt idx="123">
                  <c:v>44166</c:v>
                </c:pt>
                <c:pt idx="124">
                  <c:v>44256</c:v>
                </c:pt>
                <c:pt idx="125">
                  <c:v>44348</c:v>
                </c:pt>
                <c:pt idx="126">
                  <c:v>44440</c:v>
                </c:pt>
                <c:pt idx="127">
                  <c:v>44531</c:v>
                </c:pt>
                <c:pt idx="128">
                  <c:v>44621</c:v>
                </c:pt>
                <c:pt idx="129">
                  <c:v>44713</c:v>
                </c:pt>
                <c:pt idx="130">
                  <c:v>44805</c:v>
                </c:pt>
                <c:pt idx="131">
                  <c:v>44896</c:v>
                </c:pt>
                <c:pt idx="132">
                  <c:v>44986</c:v>
                </c:pt>
                <c:pt idx="133">
                  <c:v>45078</c:v>
                </c:pt>
                <c:pt idx="134">
                  <c:v>45170</c:v>
                </c:pt>
                <c:pt idx="135">
                  <c:v>45261</c:v>
                </c:pt>
                <c:pt idx="136">
                  <c:v>45352</c:v>
                </c:pt>
                <c:pt idx="137">
                  <c:v>45444</c:v>
                </c:pt>
                <c:pt idx="138">
                  <c:v>45536</c:v>
                </c:pt>
                <c:pt idx="139">
                  <c:v>45627</c:v>
                </c:pt>
                <c:pt idx="140">
                  <c:v>45717</c:v>
                </c:pt>
                <c:pt idx="141">
                  <c:v>45809</c:v>
                </c:pt>
                <c:pt idx="142">
                  <c:v>45901</c:v>
                </c:pt>
                <c:pt idx="143">
                  <c:v>45992</c:v>
                </c:pt>
              </c:numCache>
            </c:numRef>
          </c:cat>
          <c:val>
            <c:numRef>
              <c:f>'2BR_F-combined'!$C$2:$C$145</c:f>
              <c:numCache>
                <c:formatCode>General</c:formatCode>
                <c:ptCount val="144"/>
                <c:pt idx="0">
                  <c:v>165</c:v>
                </c:pt>
                <c:pt idx="1">
                  <c:v>170</c:v>
                </c:pt>
                <c:pt idx="2">
                  <c:v>170</c:v>
                </c:pt>
                <c:pt idx="3">
                  <c:v>170</c:v>
                </c:pt>
                <c:pt idx="4">
                  <c:v>170</c:v>
                </c:pt>
                <c:pt idx="5">
                  <c:v>170</c:v>
                </c:pt>
                <c:pt idx="6">
                  <c:v>170</c:v>
                </c:pt>
                <c:pt idx="7">
                  <c:v>170</c:v>
                </c:pt>
                <c:pt idx="8">
                  <c:v>170</c:v>
                </c:pt>
                <c:pt idx="9">
                  <c:v>170</c:v>
                </c:pt>
                <c:pt idx="10">
                  <c:v>170</c:v>
                </c:pt>
                <c:pt idx="11">
                  <c:v>170</c:v>
                </c:pt>
                <c:pt idx="12">
                  <c:v>170</c:v>
                </c:pt>
                <c:pt idx="13">
                  <c:v>170</c:v>
                </c:pt>
                <c:pt idx="14">
                  <c:v>170</c:v>
                </c:pt>
                <c:pt idx="15">
                  <c:v>170</c:v>
                </c:pt>
                <c:pt idx="16">
                  <c:v>170</c:v>
                </c:pt>
                <c:pt idx="17">
                  <c:v>175</c:v>
                </c:pt>
                <c:pt idx="18">
                  <c:v>175</c:v>
                </c:pt>
                <c:pt idx="19">
                  <c:v>175</c:v>
                </c:pt>
                <c:pt idx="20">
                  <c:v>180</c:v>
                </c:pt>
                <c:pt idx="21">
                  <c:v>180</c:v>
                </c:pt>
                <c:pt idx="22">
                  <c:v>185</c:v>
                </c:pt>
                <c:pt idx="23">
                  <c:v>190</c:v>
                </c:pt>
                <c:pt idx="24">
                  <c:v>190</c:v>
                </c:pt>
                <c:pt idx="25">
                  <c:v>195</c:v>
                </c:pt>
                <c:pt idx="26">
                  <c:v>200</c:v>
                </c:pt>
                <c:pt idx="27">
                  <c:v>200</c:v>
                </c:pt>
                <c:pt idx="28">
                  <c:v>205</c:v>
                </c:pt>
                <c:pt idx="29">
                  <c:v>210</c:v>
                </c:pt>
                <c:pt idx="30">
                  <c:v>210</c:v>
                </c:pt>
                <c:pt idx="31">
                  <c:v>210</c:v>
                </c:pt>
                <c:pt idx="32">
                  <c:v>220</c:v>
                </c:pt>
                <c:pt idx="33">
                  <c:v>220</c:v>
                </c:pt>
                <c:pt idx="34">
                  <c:v>220</c:v>
                </c:pt>
                <c:pt idx="35">
                  <c:v>230</c:v>
                </c:pt>
                <c:pt idx="36">
                  <c:v>230</c:v>
                </c:pt>
                <c:pt idx="37">
                  <c:v>230</c:v>
                </c:pt>
                <c:pt idx="38">
                  <c:v>240</c:v>
                </c:pt>
                <c:pt idx="39">
                  <c:v>240</c:v>
                </c:pt>
                <c:pt idx="40">
                  <c:v>250</c:v>
                </c:pt>
                <c:pt idx="41">
                  <c:v>250</c:v>
                </c:pt>
                <c:pt idx="42">
                  <c:v>260</c:v>
                </c:pt>
                <c:pt idx="43">
                  <c:v>260</c:v>
                </c:pt>
                <c:pt idx="44">
                  <c:v>270</c:v>
                </c:pt>
                <c:pt idx="45">
                  <c:v>265</c:v>
                </c:pt>
                <c:pt idx="46">
                  <c:v>270</c:v>
                </c:pt>
                <c:pt idx="47">
                  <c:v>270</c:v>
                </c:pt>
                <c:pt idx="48">
                  <c:v>270</c:v>
                </c:pt>
                <c:pt idx="49">
                  <c:v>265</c:v>
                </c:pt>
                <c:pt idx="50">
                  <c:v>265</c:v>
                </c:pt>
                <c:pt idx="51">
                  <c:v>270</c:v>
                </c:pt>
                <c:pt idx="52">
                  <c:v>270</c:v>
                </c:pt>
                <c:pt idx="53">
                  <c:v>270</c:v>
                </c:pt>
                <c:pt idx="54">
                  <c:v>275</c:v>
                </c:pt>
                <c:pt idx="55">
                  <c:v>280</c:v>
                </c:pt>
                <c:pt idx="56">
                  <c:v>280</c:v>
                </c:pt>
                <c:pt idx="57">
                  <c:v>280</c:v>
                </c:pt>
                <c:pt idx="58">
                  <c:v>280</c:v>
                </c:pt>
                <c:pt idx="59">
                  <c:v>290</c:v>
                </c:pt>
                <c:pt idx="60">
                  <c:v>290</c:v>
                </c:pt>
                <c:pt idx="61">
                  <c:v>280</c:v>
                </c:pt>
                <c:pt idx="62">
                  <c:v>290</c:v>
                </c:pt>
                <c:pt idx="63">
                  <c:v>300</c:v>
                </c:pt>
                <c:pt idx="64">
                  <c:v>300</c:v>
                </c:pt>
                <c:pt idx="65">
                  <c:v>300</c:v>
                </c:pt>
                <c:pt idx="66">
                  <c:v>310</c:v>
                </c:pt>
                <c:pt idx="67">
                  <c:v>310</c:v>
                </c:pt>
                <c:pt idx="68">
                  <c:v>320</c:v>
                </c:pt>
                <c:pt idx="69">
                  <c:v>330</c:v>
                </c:pt>
                <c:pt idx="70">
                  <c:v>340</c:v>
                </c:pt>
                <c:pt idx="71">
                  <c:v>350</c:v>
                </c:pt>
                <c:pt idx="72">
                  <c:v>360</c:v>
                </c:pt>
                <c:pt idx="73">
                  <c:v>380</c:v>
                </c:pt>
                <c:pt idx="74">
                  <c:v>390</c:v>
                </c:pt>
                <c:pt idx="75">
                  <c:v>400</c:v>
                </c:pt>
                <c:pt idx="76">
                  <c:v>400</c:v>
                </c:pt>
                <c:pt idx="77">
                  <c:v>400</c:v>
                </c:pt>
                <c:pt idx="78">
                  <c:v>400</c:v>
                </c:pt>
                <c:pt idx="79">
                  <c:v>400</c:v>
                </c:pt>
                <c:pt idx="80">
                  <c:v>410</c:v>
                </c:pt>
                <c:pt idx="81">
                  <c:v>420</c:v>
                </c:pt>
                <c:pt idx="82">
                  <c:v>430</c:v>
                </c:pt>
                <c:pt idx="83">
                  <c:v>435</c:v>
                </c:pt>
                <c:pt idx="84">
                  <c:v>440</c:v>
                </c:pt>
                <c:pt idx="85">
                  <c:v>450</c:v>
                </c:pt>
                <c:pt idx="86">
                  <c:v>450</c:v>
                </c:pt>
                <c:pt idx="87">
                  <c:v>450</c:v>
                </c:pt>
                <c:pt idx="88">
                  <c:v>450</c:v>
                </c:pt>
                <c:pt idx="89">
                  <c:v>450</c:v>
                </c:pt>
                <c:pt idx="90">
                  <c:v>460</c:v>
                </c:pt>
                <c:pt idx="91">
                  <c:v>470</c:v>
                </c:pt>
                <c:pt idx="92">
                  <c:v>470</c:v>
                </c:pt>
                <c:pt idx="93">
                  <c:v>470</c:v>
                </c:pt>
                <c:pt idx="94">
                  <c:v>480</c:v>
                </c:pt>
                <c:pt idx="95">
                  <c:v>490</c:v>
                </c:pt>
                <c:pt idx="96">
                  <c:v>500</c:v>
                </c:pt>
                <c:pt idx="97">
                  <c:v>495</c:v>
                </c:pt>
                <c:pt idx="98">
                  <c:v>500</c:v>
                </c:pt>
                <c:pt idx="99">
                  <c:v>500</c:v>
                </c:pt>
                <c:pt idx="100">
                  <c:v>520</c:v>
                </c:pt>
                <c:pt idx="101">
                  <c:v>500</c:v>
                </c:pt>
                <c:pt idx="102">
                  <c:v>520</c:v>
                </c:pt>
                <c:pt idx="103">
                  <c:v>520</c:v>
                </c:pt>
                <c:pt idx="104">
                  <c:v>520</c:v>
                </c:pt>
                <c:pt idx="105">
                  <c:v>520</c:v>
                </c:pt>
                <c:pt idx="106">
                  <c:v>540</c:v>
                </c:pt>
                <c:pt idx="107">
                  <c:v>530</c:v>
                </c:pt>
                <c:pt idx="108">
                  <c:v>540</c:v>
                </c:pt>
                <c:pt idx="109">
                  <c:v>550</c:v>
                </c:pt>
                <c:pt idx="110">
                  <c:v>560</c:v>
                </c:pt>
                <c:pt idx="111">
                  <c:v>550</c:v>
                </c:pt>
                <c:pt idx="112">
                  <c:v>570</c:v>
                </c:pt>
                <c:pt idx="113">
                  <c:v>550</c:v>
                </c:pt>
                <c:pt idx="114">
                  <c:v>550</c:v>
                </c:pt>
                <c:pt idx="115">
                  <c:v>550</c:v>
                </c:pt>
                <c:pt idx="116">
                  <c:v>550</c:v>
                </c:pt>
                <c:pt idx="117">
                  <c:v>535</c:v>
                </c:pt>
                <c:pt idx="118">
                  <c:v>545</c:v>
                </c:pt>
                <c:pt idx="119">
                  <c:v>530</c:v>
                </c:pt>
                <c:pt idx="120">
                  <c:v>540</c:v>
                </c:pt>
                <c:pt idx="121">
                  <c:v>510</c:v>
                </c:pt>
                <c:pt idx="122">
                  <c:v>510</c:v>
                </c:pt>
                <c:pt idx="123">
                  <c:v>500</c:v>
                </c:pt>
                <c:pt idx="124">
                  <c:v>500</c:v>
                </c:pt>
                <c:pt idx="125">
                  <c:v>500</c:v>
                </c:pt>
                <c:pt idx="126">
                  <c:v>500</c:v>
                </c:pt>
                <c:pt idx="127">
                  <c:v>500</c:v>
                </c:pt>
                <c:pt idx="128">
                  <c:v>530</c:v>
                </c:pt>
                <c:pt idx="129">
                  <c:v>550</c:v>
                </c:pt>
                <c:pt idx="130">
                  <c:v>580</c:v>
                </c:pt>
                <c:pt idx="131">
                  <c:v>600</c:v>
                </c:pt>
                <c:pt idx="132">
                  <c:v>650</c:v>
                </c:pt>
                <c:pt idx="133">
                  <c:v>700</c:v>
                </c:pt>
                <c:pt idx="134">
                  <c:v>710</c:v>
                </c:pt>
                <c:pt idx="135">
                  <c:v>700</c:v>
                </c:pt>
                <c:pt idx="136">
                  <c:v>750</c:v>
                </c:pt>
                <c:pt idx="137">
                  <c:v>750</c:v>
                </c:pt>
                <c:pt idx="138">
                  <c:v>750</c:v>
                </c:pt>
                <c:pt idx="139">
                  <c:v>750</c:v>
                </c:pt>
                <c:pt idx="140">
                  <c:v>770</c:v>
                </c:pt>
                <c:pt idx="141">
                  <c:v>750</c:v>
                </c:pt>
                <c:pt idx="142">
                  <c:v>785</c:v>
                </c:pt>
                <c:pt idx="143">
                  <c:v>780</c:v>
                </c:pt>
              </c:numCache>
            </c:numRef>
          </c:val>
          <c:smooth val="0"/>
          <c:extLst>
            <c:ext xmlns:c16="http://schemas.microsoft.com/office/drawing/2014/chart" uri="{C3380CC4-5D6E-409C-BE32-E72D297353CC}">
              <c16:uniqueId val="{00000000-617F-4C2B-A3D4-409ECC1B6286}"/>
            </c:ext>
          </c:extLst>
        </c:ser>
        <c:ser>
          <c:idx val="1"/>
          <c:order val="1"/>
          <c:tx>
            <c:strRef>
              <c:f>'2BR_F-combined'!$D$1</c:f>
              <c:strCache>
                <c:ptCount val="1"/>
                <c:pt idx="0">
                  <c:v>Inner Ring</c:v>
                </c:pt>
              </c:strCache>
            </c:strRef>
          </c:tx>
          <c:spPr>
            <a:ln w="28575" cap="rnd">
              <a:solidFill>
                <a:schemeClr val="accent2"/>
              </a:solidFill>
              <a:prstDash val="sysDot"/>
              <a:round/>
            </a:ln>
            <a:effectLst/>
          </c:spPr>
          <c:marker>
            <c:symbol val="none"/>
          </c:marker>
          <c:cat>
            <c:numRef>
              <c:f>'2BR_F-combined'!$B$2:$B$145</c:f>
              <c:numCache>
                <c:formatCode>mmm\-yy</c:formatCode>
                <c:ptCount val="144"/>
                <c:pt idx="0">
                  <c:v>32933</c:v>
                </c:pt>
                <c:pt idx="1">
                  <c:v>33025</c:v>
                </c:pt>
                <c:pt idx="2">
                  <c:v>33117</c:v>
                </c:pt>
                <c:pt idx="3">
                  <c:v>33208</c:v>
                </c:pt>
                <c:pt idx="4">
                  <c:v>33298</c:v>
                </c:pt>
                <c:pt idx="5">
                  <c:v>33390</c:v>
                </c:pt>
                <c:pt idx="6">
                  <c:v>33482</c:v>
                </c:pt>
                <c:pt idx="7">
                  <c:v>33573</c:v>
                </c:pt>
                <c:pt idx="8">
                  <c:v>33664</c:v>
                </c:pt>
                <c:pt idx="9">
                  <c:v>33756</c:v>
                </c:pt>
                <c:pt idx="10">
                  <c:v>33848</c:v>
                </c:pt>
                <c:pt idx="11">
                  <c:v>33939</c:v>
                </c:pt>
                <c:pt idx="12">
                  <c:v>34029</c:v>
                </c:pt>
                <c:pt idx="13">
                  <c:v>34121</c:v>
                </c:pt>
                <c:pt idx="14">
                  <c:v>34213</c:v>
                </c:pt>
                <c:pt idx="15">
                  <c:v>34304</c:v>
                </c:pt>
                <c:pt idx="16">
                  <c:v>34394</c:v>
                </c:pt>
                <c:pt idx="17">
                  <c:v>34486</c:v>
                </c:pt>
                <c:pt idx="18">
                  <c:v>34578</c:v>
                </c:pt>
                <c:pt idx="19">
                  <c:v>34669</c:v>
                </c:pt>
                <c:pt idx="20">
                  <c:v>34759</c:v>
                </c:pt>
                <c:pt idx="21">
                  <c:v>34851</c:v>
                </c:pt>
                <c:pt idx="22">
                  <c:v>34943</c:v>
                </c:pt>
                <c:pt idx="23">
                  <c:v>35034</c:v>
                </c:pt>
                <c:pt idx="24">
                  <c:v>35125</c:v>
                </c:pt>
                <c:pt idx="25">
                  <c:v>35217</c:v>
                </c:pt>
                <c:pt idx="26">
                  <c:v>35309</c:v>
                </c:pt>
                <c:pt idx="27">
                  <c:v>35400</c:v>
                </c:pt>
                <c:pt idx="28">
                  <c:v>35490</c:v>
                </c:pt>
                <c:pt idx="29">
                  <c:v>35582</c:v>
                </c:pt>
                <c:pt idx="30">
                  <c:v>35674</c:v>
                </c:pt>
                <c:pt idx="31">
                  <c:v>35765</c:v>
                </c:pt>
                <c:pt idx="32">
                  <c:v>35855</c:v>
                </c:pt>
                <c:pt idx="33">
                  <c:v>35947</c:v>
                </c:pt>
                <c:pt idx="34">
                  <c:v>36039</c:v>
                </c:pt>
                <c:pt idx="35">
                  <c:v>36130</c:v>
                </c:pt>
                <c:pt idx="36">
                  <c:v>36220</c:v>
                </c:pt>
                <c:pt idx="37">
                  <c:v>36312</c:v>
                </c:pt>
                <c:pt idx="38">
                  <c:v>36404</c:v>
                </c:pt>
                <c:pt idx="39">
                  <c:v>36495</c:v>
                </c:pt>
                <c:pt idx="40">
                  <c:v>36586</c:v>
                </c:pt>
                <c:pt idx="41">
                  <c:v>36678</c:v>
                </c:pt>
                <c:pt idx="42">
                  <c:v>36770</c:v>
                </c:pt>
                <c:pt idx="43">
                  <c:v>36861</c:v>
                </c:pt>
                <c:pt idx="44">
                  <c:v>36951</c:v>
                </c:pt>
                <c:pt idx="45">
                  <c:v>37043</c:v>
                </c:pt>
                <c:pt idx="46">
                  <c:v>37135</c:v>
                </c:pt>
                <c:pt idx="47">
                  <c:v>37226</c:v>
                </c:pt>
                <c:pt idx="48">
                  <c:v>37316</c:v>
                </c:pt>
                <c:pt idx="49">
                  <c:v>37408</c:v>
                </c:pt>
                <c:pt idx="50">
                  <c:v>37500</c:v>
                </c:pt>
                <c:pt idx="51">
                  <c:v>37591</c:v>
                </c:pt>
                <c:pt idx="52">
                  <c:v>37681</c:v>
                </c:pt>
                <c:pt idx="53">
                  <c:v>37773</c:v>
                </c:pt>
                <c:pt idx="54">
                  <c:v>37865</c:v>
                </c:pt>
                <c:pt idx="55">
                  <c:v>37956</c:v>
                </c:pt>
                <c:pt idx="56">
                  <c:v>38047</c:v>
                </c:pt>
                <c:pt idx="57">
                  <c:v>38139</c:v>
                </c:pt>
                <c:pt idx="58">
                  <c:v>38231</c:v>
                </c:pt>
                <c:pt idx="59">
                  <c:v>38322</c:v>
                </c:pt>
                <c:pt idx="60">
                  <c:v>38412</c:v>
                </c:pt>
                <c:pt idx="61">
                  <c:v>38504</c:v>
                </c:pt>
                <c:pt idx="62">
                  <c:v>38596</c:v>
                </c:pt>
                <c:pt idx="63">
                  <c:v>38687</c:v>
                </c:pt>
                <c:pt idx="64">
                  <c:v>38777</c:v>
                </c:pt>
                <c:pt idx="65">
                  <c:v>38869</c:v>
                </c:pt>
                <c:pt idx="66">
                  <c:v>38961</c:v>
                </c:pt>
                <c:pt idx="67">
                  <c:v>39052</c:v>
                </c:pt>
                <c:pt idx="68">
                  <c:v>39142</c:v>
                </c:pt>
                <c:pt idx="69">
                  <c:v>39234</c:v>
                </c:pt>
                <c:pt idx="70">
                  <c:v>39326</c:v>
                </c:pt>
                <c:pt idx="71">
                  <c:v>39417</c:v>
                </c:pt>
                <c:pt idx="72">
                  <c:v>39508</c:v>
                </c:pt>
                <c:pt idx="73">
                  <c:v>39600</c:v>
                </c:pt>
                <c:pt idx="74">
                  <c:v>39692</c:v>
                </c:pt>
                <c:pt idx="75">
                  <c:v>39783</c:v>
                </c:pt>
                <c:pt idx="76">
                  <c:v>39873</c:v>
                </c:pt>
                <c:pt idx="77">
                  <c:v>39965</c:v>
                </c:pt>
                <c:pt idx="78">
                  <c:v>40057</c:v>
                </c:pt>
                <c:pt idx="79">
                  <c:v>40148</c:v>
                </c:pt>
                <c:pt idx="80">
                  <c:v>40238</c:v>
                </c:pt>
                <c:pt idx="81">
                  <c:v>40330</c:v>
                </c:pt>
                <c:pt idx="82">
                  <c:v>40422</c:v>
                </c:pt>
                <c:pt idx="83">
                  <c:v>40513</c:v>
                </c:pt>
                <c:pt idx="84">
                  <c:v>40603</c:v>
                </c:pt>
                <c:pt idx="85">
                  <c:v>40695</c:v>
                </c:pt>
                <c:pt idx="86">
                  <c:v>40787</c:v>
                </c:pt>
                <c:pt idx="87">
                  <c:v>40878</c:v>
                </c:pt>
                <c:pt idx="88">
                  <c:v>40969</c:v>
                </c:pt>
                <c:pt idx="89">
                  <c:v>41061</c:v>
                </c:pt>
                <c:pt idx="90">
                  <c:v>41153</c:v>
                </c:pt>
                <c:pt idx="91">
                  <c:v>41244</c:v>
                </c:pt>
                <c:pt idx="92">
                  <c:v>41334</c:v>
                </c:pt>
                <c:pt idx="93">
                  <c:v>41426</c:v>
                </c:pt>
                <c:pt idx="94">
                  <c:v>41518</c:v>
                </c:pt>
                <c:pt idx="95">
                  <c:v>41609</c:v>
                </c:pt>
                <c:pt idx="96">
                  <c:v>41699</c:v>
                </c:pt>
                <c:pt idx="97">
                  <c:v>41791</c:v>
                </c:pt>
                <c:pt idx="98">
                  <c:v>41883</c:v>
                </c:pt>
                <c:pt idx="99">
                  <c:v>41974</c:v>
                </c:pt>
                <c:pt idx="100">
                  <c:v>42064</c:v>
                </c:pt>
                <c:pt idx="101">
                  <c:v>42156</c:v>
                </c:pt>
                <c:pt idx="102">
                  <c:v>42248</c:v>
                </c:pt>
                <c:pt idx="103">
                  <c:v>42339</c:v>
                </c:pt>
                <c:pt idx="104">
                  <c:v>42430</c:v>
                </c:pt>
                <c:pt idx="105">
                  <c:v>42522</c:v>
                </c:pt>
                <c:pt idx="106">
                  <c:v>42614</c:v>
                </c:pt>
                <c:pt idx="107">
                  <c:v>42705</c:v>
                </c:pt>
                <c:pt idx="108">
                  <c:v>42795</c:v>
                </c:pt>
                <c:pt idx="109">
                  <c:v>42887</c:v>
                </c:pt>
                <c:pt idx="110">
                  <c:v>42979</c:v>
                </c:pt>
                <c:pt idx="111">
                  <c:v>43070</c:v>
                </c:pt>
                <c:pt idx="112">
                  <c:v>43160</c:v>
                </c:pt>
                <c:pt idx="113">
                  <c:v>43252</c:v>
                </c:pt>
                <c:pt idx="114">
                  <c:v>43344</c:v>
                </c:pt>
                <c:pt idx="115">
                  <c:v>43435</c:v>
                </c:pt>
                <c:pt idx="116">
                  <c:v>43525</c:v>
                </c:pt>
                <c:pt idx="117">
                  <c:v>43617</c:v>
                </c:pt>
                <c:pt idx="118">
                  <c:v>43709</c:v>
                </c:pt>
                <c:pt idx="119">
                  <c:v>43800</c:v>
                </c:pt>
                <c:pt idx="120">
                  <c:v>43891</c:v>
                </c:pt>
                <c:pt idx="121">
                  <c:v>43983</c:v>
                </c:pt>
                <c:pt idx="122">
                  <c:v>44075</c:v>
                </c:pt>
                <c:pt idx="123">
                  <c:v>44166</c:v>
                </c:pt>
                <c:pt idx="124">
                  <c:v>44256</c:v>
                </c:pt>
                <c:pt idx="125">
                  <c:v>44348</c:v>
                </c:pt>
                <c:pt idx="126">
                  <c:v>44440</c:v>
                </c:pt>
                <c:pt idx="127">
                  <c:v>44531</c:v>
                </c:pt>
                <c:pt idx="128">
                  <c:v>44621</c:v>
                </c:pt>
                <c:pt idx="129">
                  <c:v>44713</c:v>
                </c:pt>
                <c:pt idx="130">
                  <c:v>44805</c:v>
                </c:pt>
                <c:pt idx="131">
                  <c:v>44896</c:v>
                </c:pt>
                <c:pt idx="132">
                  <c:v>44986</c:v>
                </c:pt>
                <c:pt idx="133">
                  <c:v>45078</c:v>
                </c:pt>
                <c:pt idx="134">
                  <c:v>45170</c:v>
                </c:pt>
                <c:pt idx="135">
                  <c:v>45261</c:v>
                </c:pt>
                <c:pt idx="136">
                  <c:v>45352</c:v>
                </c:pt>
                <c:pt idx="137">
                  <c:v>45444</c:v>
                </c:pt>
                <c:pt idx="138">
                  <c:v>45536</c:v>
                </c:pt>
                <c:pt idx="139">
                  <c:v>45627</c:v>
                </c:pt>
                <c:pt idx="140">
                  <c:v>45717</c:v>
                </c:pt>
                <c:pt idx="141">
                  <c:v>45809</c:v>
                </c:pt>
                <c:pt idx="142">
                  <c:v>45901</c:v>
                </c:pt>
                <c:pt idx="143">
                  <c:v>45992</c:v>
                </c:pt>
              </c:numCache>
            </c:numRef>
          </c:cat>
          <c:val>
            <c:numRef>
              <c:f>'2BR_F-combined'!$D$2:$D$145</c:f>
              <c:numCache>
                <c:formatCode>General</c:formatCode>
                <c:ptCount val="144"/>
                <c:pt idx="0">
                  <c:v>190</c:v>
                </c:pt>
                <c:pt idx="1">
                  <c:v>195</c:v>
                </c:pt>
                <c:pt idx="2">
                  <c:v>200</c:v>
                </c:pt>
                <c:pt idx="3">
                  <c:v>190</c:v>
                </c:pt>
                <c:pt idx="4">
                  <c:v>195</c:v>
                </c:pt>
                <c:pt idx="5">
                  <c:v>195</c:v>
                </c:pt>
                <c:pt idx="6">
                  <c:v>195</c:v>
                </c:pt>
                <c:pt idx="7">
                  <c:v>190</c:v>
                </c:pt>
                <c:pt idx="8">
                  <c:v>195</c:v>
                </c:pt>
                <c:pt idx="9">
                  <c:v>200</c:v>
                </c:pt>
                <c:pt idx="10">
                  <c:v>195</c:v>
                </c:pt>
                <c:pt idx="11">
                  <c:v>195</c:v>
                </c:pt>
                <c:pt idx="12">
                  <c:v>197.5</c:v>
                </c:pt>
                <c:pt idx="13">
                  <c:v>200</c:v>
                </c:pt>
                <c:pt idx="14">
                  <c:v>200</c:v>
                </c:pt>
                <c:pt idx="15">
                  <c:v>200</c:v>
                </c:pt>
                <c:pt idx="16">
                  <c:v>200</c:v>
                </c:pt>
                <c:pt idx="17">
                  <c:v>215</c:v>
                </c:pt>
                <c:pt idx="18">
                  <c:v>220</c:v>
                </c:pt>
                <c:pt idx="19">
                  <c:v>220</c:v>
                </c:pt>
                <c:pt idx="20">
                  <c:v>225</c:v>
                </c:pt>
                <c:pt idx="21">
                  <c:v>240</c:v>
                </c:pt>
                <c:pt idx="22">
                  <c:v>240</c:v>
                </c:pt>
                <c:pt idx="23">
                  <c:v>240</c:v>
                </c:pt>
                <c:pt idx="24">
                  <c:v>250</c:v>
                </c:pt>
                <c:pt idx="25">
                  <c:v>250</c:v>
                </c:pt>
                <c:pt idx="26">
                  <c:v>260</c:v>
                </c:pt>
                <c:pt idx="27">
                  <c:v>260</c:v>
                </c:pt>
                <c:pt idx="28">
                  <c:v>260</c:v>
                </c:pt>
                <c:pt idx="29">
                  <c:v>270</c:v>
                </c:pt>
                <c:pt idx="30">
                  <c:v>275</c:v>
                </c:pt>
                <c:pt idx="31">
                  <c:v>270</c:v>
                </c:pt>
                <c:pt idx="32">
                  <c:v>280</c:v>
                </c:pt>
                <c:pt idx="33">
                  <c:v>280</c:v>
                </c:pt>
                <c:pt idx="34">
                  <c:v>280</c:v>
                </c:pt>
                <c:pt idx="35">
                  <c:v>290</c:v>
                </c:pt>
                <c:pt idx="36">
                  <c:v>300</c:v>
                </c:pt>
                <c:pt idx="37">
                  <c:v>300</c:v>
                </c:pt>
                <c:pt idx="38">
                  <c:v>310</c:v>
                </c:pt>
                <c:pt idx="39">
                  <c:v>320</c:v>
                </c:pt>
                <c:pt idx="40">
                  <c:v>330</c:v>
                </c:pt>
                <c:pt idx="41">
                  <c:v>340</c:v>
                </c:pt>
                <c:pt idx="42">
                  <c:v>340</c:v>
                </c:pt>
                <c:pt idx="43">
                  <c:v>350</c:v>
                </c:pt>
                <c:pt idx="44">
                  <c:v>350</c:v>
                </c:pt>
                <c:pt idx="45">
                  <c:v>350</c:v>
                </c:pt>
                <c:pt idx="46">
                  <c:v>350</c:v>
                </c:pt>
                <c:pt idx="47">
                  <c:v>350</c:v>
                </c:pt>
                <c:pt idx="48">
                  <c:v>340</c:v>
                </c:pt>
                <c:pt idx="49">
                  <c:v>350</c:v>
                </c:pt>
                <c:pt idx="50">
                  <c:v>340</c:v>
                </c:pt>
                <c:pt idx="51">
                  <c:v>340</c:v>
                </c:pt>
                <c:pt idx="52">
                  <c:v>350</c:v>
                </c:pt>
                <c:pt idx="53">
                  <c:v>350</c:v>
                </c:pt>
                <c:pt idx="54">
                  <c:v>350</c:v>
                </c:pt>
                <c:pt idx="55">
                  <c:v>350</c:v>
                </c:pt>
                <c:pt idx="56">
                  <c:v>350</c:v>
                </c:pt>
                <c:pt idx="57">
                  <c:v>360</c:v>
                </c:pt>
                <c:pt idx="58">
                  <c:v>350</c:v>
                </c:pt>
                <c:pt idx="59">
                  <c:v>360</c:v>
                </c:pt>
                <c:pt idx="60">
                  <c:v>360</c:v>
                </c:pt>
                <c:pt idx="61">
                  <c:v>370</c:v>
                </c:pt>
                <c:pt idx="62">
                  <c:v>370</c:v>
                </c:pt>
                <c:pt idx="63">
                  <c:v>380</c:v>
                </c:pt>
                <c:pt idx="64">
                  <c:v>380</c:v>
                </c:pt>
                <c:pt idx="65">
                  <c:v>390</c:v>
                </c:pt>
                <c:pt idx="66">
                  <c:v>390</c:v>
                </c:pt>
                <c:pt idx="67">
                  <c:v>400</c:v>
                </c:pt>
                <c:pt idx="68">
                  <c:v>410</c:v>
                </c:pt>
                <c:pt idx="69">
                  <c:v>430</c:v>
                </c:pt>
                <c:pt idx="70">
                  <c:v>430</c:v>
                </c:pt>
                <c:pt idx="71">
                  <c:v>450</c:v>
                </c:pt>
                <c:pt idx="72">
                  <c:v>460</c:v>
                </c:pt>
                <c:pt idx="73">
                  <c:v>490</c:v>
                </c:pt>
                <c:pt idx="74">
                  <c:v>480</c:v>
                </c:pt>
                <c:pt idx="75">
                  <c:v>500</c:v>
                </c:pt>
                <c:pt idx="76">
                  <c:v>500</c:v>
                </c:pt>
                <c:pt idx="77">
                  <c:v>500</c:v>
                </c:pt>
                <c:pt idx="78">
                  <c:v>500</c:v>
                </c:pt>
                <c:pt idx="79">
                  <c:v>500</c:v>
                </c:pt>
                <c:pt idx="80">
                  <c:v>520</c:v>
                </c:pt>
                <c:pt idx="81">
                  <c:v>540</c:v>
                </c:pt>
                <c:pt idx="82">
                  <c:v>550</c:v>
                </c:pt>
                <c:pt idx="83">
                  <c:v>550</c:v>
                </c:pt>
                <c:pt idx="84">
                  <c:v>560</c:v>
                </c:pt>
                <c:pt idx="85">
                  <c:v>575</c:v>
                </c:pt>
                <c:pt idx="86">
                  <c:v>570</c:v>
                </c:pt>
                <c:pt idx="87">
                  <c:v>590</c:v>
                </c:pt>
                <c:pt idx="88">
                  <c:v>585</c:v>
                </c:pt>
                <c:pt idx="89">
                  <c:v>595</c:v>
                </c:pt>
                <c:pt idx="90">
                  <c:v>585</c:v>
                </c:pt>
                <c:pt idx="91">
                  <c:v>595</c:v>
                </c:pt>
                <c:pt idx="92">
                  <c:v>595</c:v>
                </c:pt>
                <c:pt idx="93">
                  <c:v>600</c:v>
                </c:pt>
                <c:pt idx="94">
                  <c:v>600</c:v>
                </c:pt>
                <c:pt idx="95">
                  <c:v>620</c:v>
                </c:pt>
                <c:pt idx="96">
                  <c:v>620</c:v>
                </c:pt>
                <c:pt idx="97">
                  <c:v>630</c:v>
                </c:pt>
                <c:pt idx="98">
                  <c:v>620</c:v>
                </c:pt>
                <c:pt idx="99">
                  <c:v>640</c:v>
                </c:pt>
                <c:pt idx="100">
                  <c:v>640</c:v>
                </c:pt>
                <c:pt idx="101">
                  <c:v>640</c:v>
                </c:pt>
                <c:pt idx="102">
                  <c:v>650</c:v>
                </c:pt>
                <c:pt idx="103">
                  <c:v>650</c:v>
                </c:pt>
                <c:pt idx="104">
                  <c:v>660</c:v>
                </c:pt>
                <c:pt idx="105">
                  <c:v>660</c:v>
                </c:pt>
                <c:pt idx="106">
                  <c:v>680</c:v>
                </c:pt>
                <c:pt idx="107">
                  <c:v>690</c:v>
                </c:pt>
                <c:pt idx="108">
                  <c:v>685</c:v>
                </c:pt>
                <c:pt idx="109">
                  <c:v>700</c:v>
                </c:pt>
                <c:pt idx="110">
                  <c:v>700</c:v>
                </c:pt>
                <c:pt idx="111">
                  <c:v>700</c:v>
                </c:pt>
                <c:pt idx="112">
                  <c:v>710</c:v>
                </c:pt>
                <c:pt idx="113">
                  <c:v>710</c:v>
                </c:pt>
                <c:pt idx="114">
                  <c:v>700</c:v>
                </c:pt>
                <c:pt idx="115">
                  <c:v>695</c:v>
                </c:pt>
                <c:pt idx="116">
                  <c:v>700</c:v>
                </c:pt>
                <c:pt idx="117">
                  <c:v>700</c:v>
                </c:pt>
                <c:pt idx="118">
                  <c:v>685</c:v>
                </c:pt>
                <c:pt idx="119">
                  <c:v>685</c:v>
                </c:pt>
                <c:pt idx="120">
                  <c:v>690</c:v>
                </c:pt>
                <c:pt idx="121">
                  <c:v>625</c:v>
                </c:pt>
                <c:pt idx="122">
                  <c:v>600</c:v>
                </c:pt>
                <c:pt idx="123">
                  <c:v>600</c:v>
                </c:pt>
                <c:pt idx="124">
                  <c:v>600</c:v>
                </c:pt>
                <c:pt idx="125">
                  <c:v>630</c:v>
                </c:pt>
                <c:pt idx="126">
                  <c:v>640</c:v>
                </c:pt>
                <c:pt idx="127">
                  <c:v>650</c:v>
                </c:pt>
                <c:pt idx="128">
                  <c:v>670</c:v>
                </c:pt>
                <c:pt idx="129">
                  <c:v>700</c:v>
                </c:pt>
                <c:pt idx="130">
                  <c:v>750</c:v>
                </c:pt>
                <c:pt idx="131">
                  <c:v>800</c:v>
                </c:pt>
                <c:pt idx="132">
                  <c:v>860</c:v>
                </c:pt>
                <c:pt idx="133">
                  <c:v>850</c:v>
                </c:pt>
                <c:pt idx="134">
                  <c:v>875</c:v>
                </c:pt>
                <c:pt idx="135">
                  <c:v>900</c:v>
                </c:pt>
                <c:pt idx="136">
                  <c:v>950</c:v>
                </c:pt>
                <c:pt idx="137">
                  <c:v>905</c:v>
                </c:pt>
                <c:pt idx="138">
                  <c:v>940</c:v>
                </c:pt>
                <c:pt idx="139">
                  <c:v>925</c:v>
                </c:pt>
                <c:pt idx="140">
                  <c:v>975</c:v>
                </c:pt>
                <c:pt idx="141">
                  <c:v>950</c:v>
                </c:pt>
                <c:pt idx="142">
                  <c:v>950</c:v>
                </c:pt>
                <c:pt idx="143">
                  <c:v>980</c:v>
                </c:pt>
              </c:numCache>
            </c:numRef>
          </c:val>
          <c:smooth val="0"/>
          <c:extLst>
            <c:ext xmlns:c16="http://schemas.microsoft.com/office/drawing/2014/chart" uri="{C3380CC4-5D6E-409C-BE32-E72D297353CC}">
              <c16:uniqueId val="{00000001-617F-4C2B-A3D4-409ECC1B6286}"/>
            </c:ext>
          </c:extLst>
        </c:ser>
        <c:ser>
          <c:idx val="2"/>
          <c:order val="2"/>
          <c:tx>
            <c:strRef>
              <c:f>'2BR_F-combined'!$P$1</c:f>
              <c:strCache>
                <c:ptCount val="1"/>
                <c:pt idx="0">
                  <c:v>Middle Ring</c:v>
                </c:pt>
              </c:strCache>
            </c:strRef>
          </c:tx>
          <c:spPr>
            <a:ln w="28575" cap="rnd">
              <a:solidFill>
                <a:schemeClr val="accent3"/>
              </a:solidFill>
              <a:prstDash val="sysDot"/>
              <a:round/>
            </a:ln>
            <a:effectLst/>
          </c:spPr>
          <c:marker>
            <c:symbol val="none"/>
          </c:marker>
          <c:cat>
            <c:numRef>
              <c:f>'2BR_F-combined'!$B$2:$B$145</c:f>
              <c:numCache>
                <c:formatCode>mmm\-yy</c:formatCode>
                <c:ptCount val="144"/>
                <c:pt idx="0">
                  <c:v>32933</c:v>
                </c:pt>
                <c:pt idx="1">
                  <c:v>33025</c:v>
                </c:pt>
                <c:pt idx="2">
                  <c:v>33117</c:v>
                </c:pt>
                <c:pt idx="3">
                  <c:v>33208</c:v>
                </c:pt>
                <c:pt idx="4">
                  <c:v>33298</c:v>
                </c:pt>
                <c:pt idx="5">
                  <c:v>33390</c:v>
                </c:pt>
                <c:pt idx="6">
                  <c:v>33482</c:v>
                </c:pt>
                <c:pt idx="7">
                  <c:v>33573</c:v>
                </c:pt>
                <c:pt idx="8">
                  <c:v>33664</c:v>
                </c:pt>
                <c:pt idx="9">
                  <c:v>33756</c:v>
                </c:pt>
                <c:pt idx="10">
                  <c:v>33848</c:v>
                </c:pt>
                <c:pt idx="11">
                  <c:v>33939</c:v>
                </c:pt>
                <c:pt idx="12">
                  <c:v>34029</c:v>
                </c:pt>
                <c:pt idx="13">
                  <c:v>34121</c:v>
                </c:pt>
                <c:pt idx="14">
                  <c:v>34213</c:v>
                </c:pt>
                <c:pt idx="15">
                  <c:v>34304</c:v>
                </c:pt>
                <c:pt idx="16">
                  <c:v>34394</c:v>
                </c:pt>
                <c:pt idx="17">
                  <c:v>34486</c:v>
                </c:pt>
                <c:pt idx="18">
                  <c:v>34578</c:v>
                </c:pt>
                <c:pt idx="19">
                  <c:v>34669</c:v>
                </c:pt>
                <c:pt idx="20">
                  <c:v>34759</c:v>
                </c:pt>
                <c:pt idx="21">
                  <c:v>34851</c:v>
                </c:pt>
                <c:pt idx="22">
                  <c:v>34943</c:v>
                </c:pt>
                <c:pt idx="23">
                  <c:v>35034</c:v>
                </c:pt>
                <c:pt idx="24">
                  <c:v>35125</c:v>
                </c:pt>
                <c:pt idx="25">
                  <c:v>35217</c:v>
                </c:pt>
                <c:pt idx="26">
                  <c:v>35309</c:v>
                </c:pt>
                <c:pt idx="27">
                  <c:v>35400</c:v>
                </c:pt>
                <c:pt idx="28">
                  <c:v>35490</c:v>
                </c:pt>
                <c:pt idx="29">
                  <c:v>35582</c:v>
                </c:pt>
                <c:pt idx="30">
                  <c:v>35674</c:v>
                </c:pt>
                <c:pt idx="31">
                  <c:v>35765</c:v>
                </c:pt>
                <c:pt idx="32">
                  <c:v>35855</c:v>
                </c:pt>
                <c:pt idx="33">
                  <c:v>35947</c:v>
                </c:pt>
                <c:pt idx="34">
                  <c:v>36039</c:v>
                </c:pt>
                <c:pt idx="35">
                  <c:v>36130</c:v>
                </c:pt>
                <c:pt idx="36">
                  <c:v>36220</c:v>
                </c:pt>
                <c:pt idx="37">
                  <c:v>36312</c:v>
                </c:pt>
                <c:pt idx="38">
                  <c:v>36404</c:v>
                </c:pt>
                <c:pt idx="39">
                  <c:v>36495</c:v>
                </c:pt>
                <c:pt idx="40">
                  <c:v>36586</c:v>
                </c:pt>
                <c:pt idx="41">
                  <c:v>36678</c:v>
                </c:pt>
                <c:pt idx="42">
                  <c:v>36770</c:v>
                </c:pt>
                <c:pt idx="43">
                  <c:v>36861</c:v>
                </c:pt>
                <c:pt idx="44">
                  <c:v>36951</c:v>
                </c:pt>
                <c:pt idx="45">
                  <c:v>37043</c:v>
                </c:pt>
                <c:pt idx="46">
                  <c:v>37135</c:v>
                </c:pt>
                <c:pt idx="47">
                  <c:v>37226</c:v>
                </c:pt>
                <c:pt idx="48">
                  <c:v>37316</c:v>
                </c:pt>
                <c:pt idx="49">
                  <c:v>37408</c:v>
                </c:pt>
                <c:pt idx="50">
                  <c:v>37500</c:v>
                </c:pt>
                <c:pt idx="51">
                  <c:v>37591</c:v>
                </c:pt>
                <c:pt idx="52">
                  <c:v>37681</c:v>
                </c:pt>
                <c:pt idx="53">
                  <c:v>37773</c:v>
                </c:pt>
                <c:pt idx="54">
                  <c:v>37865</c:v>
                </c:pt>
                <c:pt idx="55">
                  <c:v>37956</c:v>
                </c:pt>
                <c:pt idx="56">
                  <c:v>38047</c:v>
                </c:pt>
                <c:pt idx="57">
                  <c:v>38139</c:v>
                </c:pt>
                <c:pt idx="58">
                  <c:v>38231</c:v>
                </c:pt>
                <c:pt idx="59">
                  <c:v>38322</c:v>
                </c:pt>
                <c:pt idx="60">
                  <c:v>38412</c:v>
                </c:pt>
                <c:pt idx="61">
                  <c:v>38504</c:v>
                </c:pt>
                <c:pt idx="62">
                  <c:v>38596</c:v>
                </c:pt>
                <c:pt idx="63">
                  <c:v>38687</c:v>
                </c:pt>
                <c:pt idx="64">
                  <c:v>38777</c:v>
                </c:pt>
                <c:pt idx="65">
                  <c:v>38869</c:v>
                </c:pt>
                <c:pt idx="66">
                  <c:v>38961</c:v>
                </c:pt>
                <c:pt idx="67">
                  <c:v>39052</c:v>
                </c:pt>
                <c:pt idx="68">
                  <c:v>39142</c:v>
                </c:pt>
                <c:pt idx="69">
                  <c:v>39234</c:v>
                </c:pt>
                <c:pt idx="70">
                  <c:v>39326</c:v>
                </c:pt>
                <c:pt idx="71">
                  <c:v>39417</c:v>
                </c:pt>
                <c:pt idx="72">
                  <c:v>39508</c:v>
                </c:pt>
                <c:pt idx="73">
                  <c:v>39600</c:v>
                </c:pt>
                <c:pt idx="74">
                  <c:v>39692</c:v>
                </c:pt>
                <c:pt idx="75">
                  <c:v>39783</c:v>
                </c:pt>
                <c:pt idx="76">
                  <c:v>39873</c:v>
                </c:pt>
                <c:pt idx="77">
                  <c:v>39965</c:v>
                </c:pt>
                <c:pt idx="78">
                  <c:v>40057</c:v>
                </c:pt>
                <c:pt idx="79">
                  <c:v>40148</c:v>
                </c:pt>
                <c:pt idx="80">
                  <c:v>40238</c:v>
                </c:pt>
                <c:pt idx="81">
                  <c:v>40330</c:v>
                </c:pt>
                <c:pt idx="82">
                  <c:v>40422</c:v>
                </c:pt>
                <c:pt idx="83">
                  <c:v>40513</c:v>
                </c:pt>
                <c:pt idx="84">
                  <c:v>40603</c:v>
                </c:pt>
                <c:pt idx="85">
                  <c:v>40695</c:v>
                </c:pt>
                <c:pt idx="86">
                  <c:v>40787</c:v>
                </c:pt>
                <c:pt idx="87">
                  <c:v>40878</c:v>
                </c:pt>
                <c:pt idx="88">
                  <c:v>40969</c:v>
                </c:pt>
                <c:pt idx="89">
                  <c:v>41061</c:v>
                </c:pt>
                <c:pt idx="90">
                  <c:v>41153</c:v>
                </c:pt>
                <c:pt idx="91">
                  <c:v>41244</c:v>
                </c:pt>
                <c:pt idx="92">
                  <c:v>41334</c:v>
                </c:pt>
                <c:pt idx="93">
                  <c:v>41426</c:v>
                </c:pt>
                <c:pt idx="94">
                  <c:v>41518</c:v>
                </c:pt>
                <c:pt idx="95">
                  <c:v>41609</c:v>
                </c:pt>
                <c:pt idx="96">
                  <c:v>41699</c:v>
                </c:pt>
                <c:pt idx="97">
                  <c:v>41791</c:v>
                </c:pt>
                <c:pt idx="98">
                  <c:v>41883</c:v>
                </c:pt>
                <c:pt idx="99">
                  <c:v>41974</c:v>
                </c:pt>
                <c:pt idx="100">
                  <c:v>42064</c:v>
                </c:pt>
                <c:pt idx="101">
                  <c:v>42156</c:v>
                </c:pt>
                <c:pt idx="102">
                  <c:v>42248</c:v>
                </c:pt>
                <c:pt idx="103">
                  <c:v>42339</c:v>
                </c:pt>
                <c:pt idx="104">
                  <c:v>42430</c:v>
                </c:pt>
                <c:pt idx="105">
                  <c:v>42522</c:v>
                </c:pt>
                <c:pt idx="106">
                  <c:v>42614</c:v>
                </c:pt>
                <c:pt idx="107">
                  <c:v>42705</c:v>
                </c:pt>
                <c:pt idx="108">
                  <c:v>42795</c:v>
                </c:pt>
                <c:pt idx="109">
                  <c:v>42887</c:v>
                </c:pt>
                <c:pt idx="110">
                  <c:v>42979</c:v>
                </c:pt>
                <c:pt idx="111">
                  <c:v>43070</c:v>
                </c:pt>
                <c:pt idx="112">
                  <c:v>43160</c:v>
                </c:pt>
                <c:pt idx="113">
                  <c:v>43252</c:v>
                </c:pt>
                <c:pt idx="114">
                  <c:v>43344</c:v>
                </c:pt>
                <c:pt idx="115">
                  <c:v>43435</c:v>
                </c:pt>
                <c:pt idx="116">
                  <c:v>43525</c:v>
                </c:pt>
                <c:pt idx="117">
                  <c:v>43617</c:v>
                </c:pt>
                <c:pt idx="118">
                  <c:v>43709</c:v>
                </c:pt>
                <c:pt idx="119">
                  <c:v>43800</c:v>
                </c:pt>
                <c:pt idx="120">
                  <c:v>43891</c:v>
                </c:pt>
                <c:pt idx="121">
                  <c:v>43983</c:v>
                </c:pt>
                <c:pt idx="122">
                  <c:v>44075</c:v>
                </c:pt>
                <c:pt idx="123">
                  <c:v>44166</c:v>
                </c:pt>
                <c:pt idx="124">
                  <c:v>44256</c:v>
                </c:pt>
                <c:pt idx="125">
                  <c:v>44348</c:v>
                </c:pt>
                <c:pt idx="126">
                  <c:v>44440</c:v>
                </c:pt>
                <c:pt idx="127">
                  <c:v>44531</c:v>
                </c:pt>
                <c:pt idx="128">
                  <c:v>44621</c:v>
                </c:pt>
                <c:pt idx="129">
                  <c:v>44713</c:v>
                </c:pt>
                <c:pt idx="130">
                  <c:v>44805</c:v>
                </c:pt>
                <c:pt idx="131">
                  <c:v>44896</c:v>
                </c:pt>
                <c:pt idx="132">
                  <c:v>44986</c:v>
                </c:pt>
                <c:pt idx="133">
                  <c:v>45078</c:v>
                </c:pt>
                <c:pt idx="134">
                  <c:v>45170</c:v>
                </c:pt>
                <c:pt idx="135">
                  <c:v>45261</c:v>
                </c:pt>
                <c:pt idx="136">
                  <c:v>45352</c:v>
                </c:pt>
                <c:pt idx="137">
                  <c:v>45444</c:v>
                </c:pt>
                <c:pt idx="138">
                  <c:v>45536</c:v>
                </c:pt>
                <c:pt idx="139">
                  <c:v>45627</c:v>
                </c:pt>
                <c:pt idx="140">
                  <c:v>45717</c:v>
                </c:pt>
                <c:pt idx="141">
                  <c:v>45809</c:v>
                </c:pt>
                <c:pt idx="142">
                  <c:v>45901</c:v>
                </c:pt>
                <c:pt idx="143">
                  <c:v>45992</c:v>
                </c:pt>
              </c:numCache>
            </c:numRef>
          </c:cat>
          <c:val>
            <c:numRef>
              <c:f>'2BR_F-combined'!$P$2:$P$145</c:f>
              <c:numCache>
                <c:formatCode>General</c:formatCode>
                <c:ptCount val="144"/>
                <c:pt idx="0">
                  <c:v>160</c:v>
                </c:pt>
                <c:pt idx="1">
                  <c:v>160</c:v>
                </c:pt>
                <c:pt idx="2">
                  <c:v>165</c:v>
                </c:pt>
                <c:pt idx="3">
                  <c:v>160</c:v>
                </c:pt>
                <c:pt idx="4">
                  <c:v>165</c:v>
                </c:pt>
                <c:pt idx="5">
                  <c:v>160</c:v>
                </c:pt>
                <c:pt idx="6">
                  <c:v>160</c:v>
                </c:pt>
                <c:pt idx="7">
                  <c:v>160</c:v>
                </c:pt>
                <c:pt idx="8">
                  <c:v>160</c:v>
                </c:pt>
                <c:pt idx="9">
                  <c:v>165</c:v>
                </c:pt>
                <c:pt idx="10">
                  <c:v>160</c:v>
                </c:pt>
                <c:pt idx="11">
                  <c:v>160</c:v>
                </c:pt>
                <c:pt idx="12">
                  <c:v>160</c:v>
                </c:pt>
                <c:pt idx="13">
                  <c:v>160</c:v>
                </c:pt>
                <c:pt idx="14">
                  <c:v>160</c:v>
                </c:pt>
                <c:pt idx="15">
                  <c:v>160</c:v>
                </c:pt>
                <c:pt idx="16">
                  <c:v>160</c:v>
                </c:pt>
                <c:pt idx="17">
                  <c:v>165</c:v>
                </c:pt>
                <c:pt idx="18">
                  <c:v>165</c:v>
                </c:pt>
                <c:pt idx="19">
                  <c:v>165</c:v>
                </c:pt>
                <c:pt idx="20">
                  <c:v>165</c:v>
                </c:pt>
                <c:pt idx="21">
                  <c:v>170</c:v>
                </c:pt>
                <c:pt idx="22">
                  <c:v>170</c:v>
                </c:pt>
                <c:pt idx="23">
                  <c:v>175</c:v>
                </c:pt>
                <c:pt idx="24">
                  <c:v>180</c:v>
                </c:pt>
                <c:pt idx="25">
                  <c:v>180</c:v>
                </c:pt>
                <c:pt idx="26">
                  <c:v>180</c:v>
                </c:pt>
                <c:pt idx="27">
                  <c:v>185</c:v>
                </c:pt>
                <c:pt idx="28">
                  <c:v>185</c:v>
                </c:pt>
                <c:pt idx="29">
                  <c:v>185</c:v>
                </c:pt>
                <c:pt idx="30">
                  <c:v>190</c:v>
                </c:pt>
                <c:pt idx="31">
                  <c:v>190</c:v>
                </c:pt>
                <c:pt idx="32">
                  <c:v>190</c:v>
                </c:pt>
                <c:pt idx="33">
                  <c:v>195</c:v>
                </c:pt>
                <c:pt idx="34">
                  <c:v>195</c:v>
                </c:pt>
                <c:pt idx="35">
                  <c:v>200</c:v>
                </c:pt>
                <c:pt idx="36">
                  <c:v>200</c:v>
                </c:pt>
                <c:pt idx="37">
                  <c:v>200</c:v>
                </c:pt>
                <c:pt idx="38">
                  <c:v>210</c:v>
                </c:pt>
                <c:pt idx="39">
                  <c:v>210</c:v>
                </c:pt>
                <c:pt idx="40">
                  <c:v>220</c:v>
                </c:pt>
                <c:pt idx="41">
                  <c:v>220</c:v>
                </c:pt>
                <c:pt idx="42">
                  <c:v>225</c:v>
                </c:pt>
                <c:pt idx="43">
                  <c:v>230</c:v>
                </c:pt>
                <c:pt idx="44">
                  <c:v>230</c:v>
                </c:pt>
                <c:pt idx="45">
                  <c:v>230</c:v>
                </c:pt>
                <c:pt idx="46">
                  <c:v>230</c:v>
                </c:pt>
                <c:pt idx="47">
                  <c:v>230</c:v>
                </c:pt>
                <c:pt idx="48">
                  <c:v>230</c:v>
                </c:pt>
                <c:pt idx="49">
                  <c:v>230</c:v>
                </c:pt>
                <c:pt idx="50">
                  <c:v>230</c:v>
                </c:pt>
                <c:pt idx="51">
                  <c:v>230</c:v>
                </c:pt>
                <c:pt idx="52">
                  <c:v>230</c:v>
                </c:pt>
                <c:pt idx="53">
                  <c:v>240</c:v>
                </c:pt>
                <c:pt idx="54">
                  <c:v>240</c:v>
                </c:pt>
                <c:pt idx="55">
                  <c:v>240</c:v>
                </c:pt>
                <c:pt idx="56">
                  <c:v>250</c:v>
                </c:pt>
                <c:pt idx="57">
                  <c:v>250</c:v>
                </c:pt>
                <c:pt idx="58">
                  <c:v>250</c:v>
                </c:pt>
                <c:pt idx="59">
                  <c:v>250</c:v>
                </c:pt>
                <c:pt idx="60">
                  <c:v>260</c:v>
                </c:pt>
                <c:pt idx="61">
                  <c:v>255</c:v>
                </c:pt>
                <c:pt idx="62">
                  <c:v>260</c:v>
                </c:pt>
                <c:pt idx="63">
                  <c:v>265</c:v>
                </c:pt>
                <c:pt idx="64">
                  <c:v>270</c:v>
                </c:pt>
                <c:pt idx="65">
                  <c:v>270</c:v>
                </c:pt>
                <c:pt idx="66">
                  <c:v>280</c:v>
                </c:pt>
                <c:pt idx="67">
                  <c:v>280</c:v>
                </c:pt>
                <c:pt idx="68">
                  <c:v>290</c:v>
                </c:pt>
                <c:pt idx="69">
                  <c:v>300</c:v>
                </c:pt>
                <c:pt idx="70">
                  <c:v>300</c:v>
                </c:pt>
                <c:pt idx="71">
                  <c:v>320</c:v>
                </c:pt>
                <c:pt idx="72">
                  <c:v>325</c:v>
                </c:pt>
                <c:pt idx="73">
                  <c:v>350</c:v>
                </c:pt>
                <c:pt idx="74">
                  <c:v>360</c:v>
                </c:pt>
                <c:pt idx="75">
                  <c:v>360</c:v>
                </c:pt>
                <c:pt idx="76">
                  <c:v>370</c:v>
                </c:pt>
                <c:pt idx="77">
                  <c:v>370</c:v>
                </c:pt>
                <c:pt idx="78">
                  <c:v>370</c:v>
                </c:pt>
                <c:pt idx="79">
                  <c:v>380</c:v>
                </c:pt>
                <c:pt idx="80">
                  <c:v>380</c:v>
                </c:pt>
                <c:pt idx="81">
                  <c:v>390</c:v>
                </c:pt>
                <c:pt idx="82">
                  <c:v>395</c:v>
                </c:pt>
                <c:pt idx="83">
                  <c:v>400</c:v>
                </c:pt>
                <c:pt idx="84">
                  <c:v>400</c:v>
                </c:pt>
                <c:pt idx="85">
                  <c:v>410</c:v>
                </c:pt>
                <c:pt idx="86">
                  <c:v>420</c:v>
                </c:pt>
                <c:pt idx="87">
                  <c:v>420</c:v>
                </c:pt>
                <c:pt idx="88">
                  <c:v>420</c:v>
                </c:pt>
                <c:pt idx="89">
                  <c:v>420</c:v>
                </c:pt>
                <c:pt idx="90">
                  <c:v>430</c:v>
                </c:pt>
                <c:pt idx="91">
                  <c:v>430</c:v>
                </c:pt>
                <c:pt idx="92">
                  <c:v>430</c:v>
                </c:pt>
                <c:pt idx="93">
                  <c:v>440</c:v>
                </c:pt>
                <c:pt idx="94">
                  <c:v>450</c:v>
                </c:pt>
                <c:pt idx="95">
                  <c:v>450</c:v>
                </c:pt>
                <c:pt idx="96">
                  <c:v>455</c:v>
                </c:pt>
                <c:pt idx="97">
                  <c:v>460</c:v>
                </c:pt>
                <c:pt idx="98">
                  <c:v>470</c:v>
                </c:pt>
                <c:pt idx="99">
                  <c:v>470</c:v>
                </c:pt>
                <c:pt idx="100">
                  <c:v>480</c:v>
                </c:pt>
                <c:pt idx="101">
                  <c:v>480</c:v>
                </c:pt>
                <c:pt idx="102">
                  <c:v>480</c:v>
                </c:pt>
                <c:pt idx="103">
                  <c:v>485</c:v>
                </c:pt>
                <c:pt idx="104">
                  <c:v>490</c:v>
                </c:pt>
                <c:pt idx="105">
                  <c:v>500</c:v>
                </c:pt>
                <c:pt idx="106">
                  <c:v>510</c:v>
                </c:pt>
                <c:pt idx="107">
                  <c:v>500</c:v>
                </c:pt>
                <c:pt idx="108">
                  <c:v>510</c:v>
                </c:pt>
                <c:pt idx="109">
                  <c:v>530</c:v>
                </c:pt>
                <c:pt idx="110">
                  <c:v>520</c:v>
                </c:pt>
                <c:pt idx="111">
                  <c:v>520</c:v>
                </c:pt>
                <c:pt idx="112">
                  <c:v>530</c:v>
                </c:pt>
                <c:pt idx="113">
                  <c:v>515</c:v>
                </c:pt>
                <c:pt idx="114">
                  <c:v>510</c:v>
                </c:pt>
                <c:pt idx="115">
                  <c:v>500</c:v>
                </c:pt>
                <c:pt idx="116">
                  <c:v>520</c:v>
                </c:pt>
                <c:pt idx="117">
                  <c:v>500</c:v>
                </c:pt>
                <c:pt idx="118">
                  <c:v>500</c:v>
                </c:pt>
                <c:pt idx="119">
                  <c:v>495</c:v>
                </c:pt>
                <c:pt idx="120">
                  <c:v>500</c:v>
                </c:pt>
                <c:pt idx="121">
                  <c:v>480</c:v>
                </c:pt>
                <c:pt idx="122">
                  <c:v>480</c:v>
                </c:pt>
                <c:pt idx="123">
                  <c:v>450</c:v>
                </c:pt>
                <c:pt idx="124">
                  <c:v>455</c:v>
                </c:pt>
                <c:pt idx="125">
                  <c:v>450</c:v>
                </c:pt>
                <c:pt idx="126">
                  <c:v>450</c:v>
                </c:pt>
                <c:pt idx="127">
                  <c:v>450</c:v>
                </c:pt>
                <c:pt idx="128">
                  <c:v>480</c:v>
                </c:pt>
                <c:pt idx="129">
                  <c:v>500</c:v>
                </c:pt>
                <c:pt idx="130">
                  <c:v>530</c:v>
                </c:pt>
                <c:pt idx="131">
                  <c:v>560</c:v>
                </c:pt>
                <c:pt idx="132">
                  <c:v>600</c:v>
                </c:pt>
                <c:pt idx="133">
                  <c:v>650</c:v>
                </c:pt>
                <c:pt idx="134">
                  <c:v>680</c:v>
                </c:pt>
                <c:pt idx="135">
                  <c:v>670</c:v>
                </c:pt>
                <c:pt idx="136">
                  <c:v>700</c:v>
                </c:pt>
                <c:pt idx="137">
                  <c:v>700</c:v>
                </c:pt>
                <c:pt idx="138">
                  <c:v>710</c:v>
                </c:pt>
                <c:pt idx="139">
                  <c:v>700</c:v>
                </c:pt>
                <c:pt idx="140">
                  <c:v>720</c:v>
                </c:pt>
                <c:pt idx="141">
                  <c:v>700</c:v>
                </c:pt>
                <c:pt idx="142">
                  <c:v>730</c:v>
                </c:pt>
                <c:pt idx="143">
                  <c:v>725</c:v>
                </c:pt>
              </c:numCache>
            </c:numRef>
          </c:val>
          <c:smooth val="0"/>
          <c:extLst>
            <c:ext xmlns:c16="http://schemas.microsoft.com/office/drawing/2014/chart" uri="{C3380CC4-5D6E-409C-BE32-E72D297353CC}">
              <c16:uniqueId val="{00000002-617F-4C2B-A3D4-409ECC1B6286}"/>
            </c:ext>
          </c:extLst>
        </c:ser>
        <c:ser>
          <c:idx val="3"/>
          <c:order val="3"/>
          <c:tx>
            <c:strRef>
              <c:f>'2BR_F-combined'!$AF$1</c:f>
              <c:strCache>
                <c:ptCount val="1"/>
                <c:pt idx="0">
                  <c:v>Outer Ring</c:v>
                </c:pt>
              </c:strCache>
            </c:strRef>
          </c:tx>
          <c:spPr>
            <a:ln w="28575" cap="rnd">
              <a:solidFill>
                <a:schemeClr val="accent4"/>
              </a:solidFill>
              <a:prstDash val="sysDot"/>
              <a:round/>
            </a:ln>
            <a:effectLst/>
          </c:spPr>
          <c:marker>
            <c:symbol val="none"/>
          </c:marker>
          <c:cat>
            <c:numRef>
              <c:f>'2BR_F-combined'!$B$2:$B$145</c:f>
              <c:numCache>
                <c:formatCode>mmm\-yy</c:formatCode>
                <c:ptCount val="144"/>
                <c:pt idx="0">
                  <c:v>32933</c:v>
                </c:pt>
                <c:pt idx="1">
                  <c:v>33025</c:v>
                </c:pt>
                <c:pt idx="2">
                  <c:v>33117</c:v>
                </c:pt>
                <c:pt idx="3">
                  <c:v>33208</c:v>
                </c:pt>
                <c:pt idx="4">
                  <c:v>33298</c:v>
                </c:pt>
                <c:pt idx="5">
                  <c:v>33390</c:v>
                </c:pt>
                <c:pt idx="6">
                  <c:v>33482</c:v>
                </c:pt>
                <c:pt idx="7">
                  <c:v>33573</c:v>
                </c:pt>
                <c:pt idx="8">
                  <c:v>33664</c:v>
                </c:pt>
                <c:pt idx="9">
                  <c:v>33756</c:v>
                </c:pt>
                <c:pt idx="10">
                  <c:v>33848</c:v>
                </c:pt>
                <c:pt idx="11">
                  <c:v>33939</c:v>
                </c:pt>
                <c:pt idx="12">
                  <c:v>34029</c:v>
                </c:pt>
                <c:pt idx="13">
                  <c:v>34121</c:v>
                </c:pt>
                <c:pt idx="14">
                  <c:v>34213</c:v>
                </c:pt>
                <c:pt idx="15">
                  <c:v>34304</c:v>
                </c:pt>
                <c:pt idx="16">
                  <c:v>34394</c:v>
                </c:pt>
                <c:pt idx="17">
                  <c:v>34486</c:v>
                </c:pt>
                <c:pt idx="18">
                  <c:v>34578</c:v>
                </c:pt>
                <c:pt idx="19">
                  <c:v>34669</c:v>
                </c:pt>
                <c:pt idx="20">
                  <c:v>34759</c:v>
                </c:pt>
                <c:pt idx="21">
                  <c:v>34851</c:v>
                </c:pt>
                <c:pt idx="22">
                  <c:v>34943</c:v>
                </c:pt>
                <c:pt idx="23">
                  <c:v>35034</c:v>
                </c:pt>
                <c:pt idx="24">
                  <c:v>35125</c:v>
                </c:pt>
                <c:pt idx="25">
                  <c:v>35217</c:v>
                </c:pt>
                <c:pt idx="26">
                  <c:v>35309</c:v>
                </c:pt>
                <c:pt idx="27">
                  <c:v>35400</c:v>
                </c:pt>
                <c:pt idx="28">
                  <c:v>35490</c:v>
                </c:pt>
                <c:pt idx="29">
                  <c:v>35582</c:v>
                </c:pt>
                <c:pt idx="30">
                  <c:v>35674</c:v>
                </c:pt>
                <c:pt idx="31">
                  <c:v>35765</c:v>
                </c:pt>
                <c:pt idx="32">
                  <c:v>35855</c:v>
                </c:pt>
                <c:pt idx="33">
                  <c:v>35947</c:v>
                </c:pt>
                <c:pt idx="34">
                  <c:v>36039</c:v>
                </c:pt>
                <c:pt idx="35">
                  <c:v>36130</c:v>
                </c:pt>
                <c:pt idx="36">
                  <c:v>36220</c:v>
                </c:pt>
                <c:pt idx="37">
                  <c:v>36312</c:v>
                </c:pt>
                <c:pt idx="38">
                  <c:v>36404</c:v>
                </c:pt>
                <c:pt idx="39">
                  <c:v>36495</c:v>
                </c:pt>
                <c:pt idx="40">
                  <c:v>36586</c:v>
                </c:pt>
                <c:pt idx="41">
                  <c:v>36678</c:v>
                </c:pt>
                <c:pt idx="42">
                  <c:v>36770</c:v>
                </c:pt>
                <c:pt idx="43">
                  <c:v>36861</c:v>
                </c:pt>
                <c:pt idx="44">
                  <c:v>36951</c:v>
                </c:pt>
                <c:pt idx="45">
                  <c:v>37043</c:v>
                </c:pt>
                <c:pt idx="46">
                  <c:v>37135</c:v>
                </c:pt>
                <c:pt idx="47">
                  <c:v>37226</c:v>
                </c:pt>
                <c:pt idx="48">
                  <c:v>37316</c:v>
                </c:pt>
                <c:pt idx="49">
                  <c:v>37408</c:v>
                </c:pt>
                <c:pt idx="50">
                  <c:v>37500</c:v>
                </c:pt>
                <c:pt idx="51">
                  <c:v>37591</c:v>
                </c:pt>
                <c:pt idx="52">
                  <c:v>37681</c:v>
                </c:pt>
                <c:pt idx="53">
                  <c:v>37773</c:v>
                </c:pt>
                <c:pt idx="54">
                  <c:v>37865</c:v>
                </c:pt>
                <c:pt idx="55">
                  <c:v>37956</c:v>
                </c:pt>
                <c:pt idx="56">
                  <c:v>38047</c:v>
                </c:pt>
                <c:pt idx="57">
                  <c:v>38139</c:v>
                </c:pt>
                <c:pt idx="58">
                  <c:v>38231</c:v>
                </c:pt>
                <c:pt idx="59">
                  <c:v>38322</c:v>
                </c:pt>
                <c:pt idx="60">
                  <c:v>38412</c:v>
                </c:pt>
                <c:pt idx="61">
                  <c:v>38504</c:v>
                </c:pt>
                <c:pt idx="62">
                  <c:v>38596</c:v>
                </c:pt>
                <c:pt idx="63">
                  <c:v>38687</c:v>
                </c:pt>
                <c:pt idx="64">
                  <c:v>38777</c:v>
                </c:pt>
                <c:pt idx="65">
                  <c:v>38869</c:v>
                </c:pt>
                <c:pt idx="66">
                  <c:v>38961</c:v>
                </c:pt>
                <c:pt idx="67">
                  <c:v>39052</c:v>
                </c:pt>
                <c:pt idx="68">
                  <c:v>39142</c:v>
                </c:pt>
                <c:pt idx="69">
                  <c:v>39234</c:v>
                </c:pt>
                <c:pt idx="70">
                  <c:v>39326</c:v>
                </c:pt>
                <c:pt idx="71">
                  <c:v>39417</c:v>
                </c:pt>
                <c:pt idx="72">
                  <c:v>39508</c:v>
                </c:pt>
                <c:pt idx="73">
                  <c:v>39600</c:v>
                </c:pt>
                <c:pt idx="74">
                  <c:v>39692</c:v>
                </c:pt>
                <c:pt idx="75">
                  <c:v>39783</c:v>
                </c:pt>
                <c:pt idx="76">
                  <c:v>39873</c:v>
                </c:pt>
                <c:pt idx="77">
                  <c:v>39965</c:v>
                </c:pt>
                <c:pt idx="78">
                  <c:v>40057</c:v>
                </c:pt>
                <c:pt idx="79">
                  <c:v>40148</c:v>
                </c:pt>
                <c:pt idx="80">
                  <c:v>40238</c:v>
                </c:pt>
                <c:pt idx="81">
                  <c:v>40330</c:v>
                </c:pt>
                <c:pt idx="82">
                  <c:v>40422</c:v>
                </c:pt>
                <c:pt idx="83">
                  <c:v>40513</c:v>
                </c:pt>
                <c:pt idx="84">
                  <c:v>40603</c:v>
                </c:pt>
                <c:pt idx="85">
                  <c:v>40695</c:v>
                </c:pt>
                <c:pt idx="86">
                  <c:v>40787</c:v>
                </c:pt>
                <c:pt idx="87">
                  <c:v>40878</c:v>
                </c:pt>
                <c:pt idx="88">
                  <c:v>40969</c:v>
                </c:pt>
                <c:pt idx="89">
                  <c:v>41061</c:v>
                </c:pt>
                <c:pt idx="90">
                  <c:v>41153</c:v>
                </c:pt>
                <c:pt idx="91">
                  <c:v>41244</c:v>
                </c:pt>
                <c:pt idx="92">
                  <c:v>41334</c:v>
                </c:pt>
                <c:pt idx="93">
                  <c:v>41426</c:v>
                </c:pt>
                <c:pt idx="94">
                  <c:v>41518</c:v>
                </c:pt>
                <c:pt idx="95">
                  <c:v>41609</c:v>
                </c:pt>
                <c:pt idx="96">
                  <c:v>41699</c:v>
                </c:pt>
                <c:pt idx="97">
                  <c:v>41791</c:v>
                </c:pt>
                <c:pt idx="98">
                  <c:v>41883</c:v>
                </c:pt>
                <c:pt idx="99">
                  <c:v>41974</c:v>
                </c:pt>
                <c:pt idx="100">
                  <c:v>42064</c:v>
                </c:pt>
                <c:pt idx="101">
                  <c:v>42156</c:v>
                </c:pt>
                <c:pt idx="102">
                  <c:v>42248</c:v>
                </c:pt>
                <c:pt idx="103">
                  <c:v>42339</c:v>
                </c:pt>
                <c:pt idx="104">
                  <c:v>42430</c:v>
                </c:pt>
                <c:pt idx="105">
                  <c:v>42522</c:v>
                </c:pt>
                <c:pt idx="106">
                  <c:v>42614</c:v>
                </c:pt>
                <c:pt idx="107">
                  <c:v>42705</c:v>
                </c:pt>
                <c:pt idx="108">
                  <c:v>42795</c:v>
                </c:pt>
                <c:pt idx="109">
                  <c:v>42887</c:v>
                </c:pt>
                <c:pt idx="110">
                  <c:v>42979</c:v>
                </c:pt>
                <c:pt idx="111">
                  <c:v>43070</c:v>
                </c:pt>
                <c:pt idx="112">
                  <c:v>43160</c:v>
                </c:pt>
                <c:pt idx="113">
                  <c:v>43252</c:v>
                </c:pt>
                <c:pt idx="114">
                  <c:v>43344</c:v>
                </c:pt>
                <c:pt idx="115">
                  <c:v>43435</c:v>
                </c:pt>
                <c:pt idx="116">
                  <c:v>43525</c:v>
                </c:pt>
                <c:pt idx="117">
                  <c:v>43617</c:v>
                </c:pt>
                <c:pt idx="118">
                  <c:v>43709</c:v>
                </c:pt>
                <c:pt idx="119">
                  <c:v>43800</c:v>
                </c:pt>
                <c:pt idx="120">
                  <c:v>43891</c:v>
                </c:pt>
                <c:pt idx="121">
                  <c:v>43983</c:v>
                </c:pt>
                <c:pt idx="122">
                  <c:v>44075</c:v>
                </c:pt>
                <c:pt idx="123">
                  <c:v>44166</c:v>
                </c:pt>
                <c:pt idx="124">
                  <c:v>44256</c:v>
                </c:pt>
                <c:pt idx="125">
                  <c:v>44348</c:v>
                </c:pt>
                <c:pt idx="126">
                  <c:v>44440</c:v>
                </c:pt>
                <c:pt idx="127">
                  <c:v>44531</c:v>
                </c:pt>
                <c:pt idx="128">
                  <c:v>44621</c:v>
                </c:pt>
                <c:pt idx="129">
                  <c:v>44713</c:v>
                </c:pt>
                <c:pt idx="130">
                  <c:v>44805</c:v>
                </c:pt>
                <c:pt idx="131">
                  <c:v>44896</c:v>
                </c:pt>
                <c:pt idx="132">
                  <c:v>44986</c:v>
                </c:pt>
                <c:pt idx="133">
                  <c:v>45078</c:v>
                </c:pt>
                <c:pt idx="134">
                  <c:v>45170</c:v>
                </c:pt>
                <c:pt idx="135">
                  <c:v>45261</c:v>
                </c:pt>
                <c:pt idx="136">
                  <c:v>45352</c:v>
                </c:pt>
                <c:pt idx="137">
                  <c:v>45444</c:v>
                </c:pt>
                <c:pt idx="138">
                  <c:v>45536</c:v>
                </c:pt>
                <c:pt idx="139">
                  <c:v>45627</c:v>
                </c:pt>
                <c:pt idx="140">
                  <c:v>45717</c:v>
                </c:pt>
                <c:pt idx="141">
                  <c:v>45809</c:v>
                </c:pt>
                <c:pt idx="142">
                  <c:v>45901</c:v>
                </c:pt>
                <c:pt idx="143">
                  <c:v>45992</c:v>
                </c:pt>
              </c:numCache>
            </c:numRef>
          </c:cat>
          <c:val>
            <c:numRef>
              <c:f>'2BR_F-combined'!$AF$2:$AF$145</c:f>
              <c:numCache>
                <c:formatCode>General</c:formatCode>
                <c:ptCount val="144"/>
                <c:pt idx="0">
                  <c:v>140</c:v>
                </c:pt>
                <c:pt idx="1">
                  <c:v>145</c:v>
                </c:pt>
                <c:pt idx="2">
                  <c:v>145</c:v>
                </c:pt>
                <c:pt idx="3">
                  <c:v>145</c:v>
                </c:pt>
                <c:pt idx="4">
                  <c:v>145</c:v>
                </c:pt>
                <c:pt idx="5">
                  <c:v>145</c:v>
                </c:pt>
                <c:pt idx="6">
                  <c:v>150</c:v>
                </c:pt>
                <c:pt idx="7">
                  <c:v>145</c:v>
                </c:pt>
                <c:pt idx="8">
                  <c:v>145</c:v>
                </c:pt>
                <c:pt idx="9">
                  <c:v>145</c:v>
                </c:pt>
                <c:pt idx="10">
                  <c:v>150</c:v>
                </c:pt>
                <c:pt idx="11">
                  <c:v>150</c:v>
                </c:pt>
                <c:pt idx="12">
                  <c:v>145</c:v>
                </c:pt>
                <c:pt idx="13">
                  <c:v>150</c:v>
                </c:pt>
                <c:pt idx="14">
                  <c:v>150</c:v>
                </c:pt>
                <c:pt idx="15">
                  <c:v>145</c:v>
                </c:pt>
                <c:pt idx="16">
                  <c:v>150</c:v>
                </c:pt>
                <c:pt idx="17">
                  <c:v>150</c:v>
                </c:pt>
                <c:pt idx="18">
                  <c:v>150</c:v>
                </c:pt>
                <c:pt idx="19">
                  <c:v>150</c:v>
                </c:pt>
                <c:pt idx="20">
                  <c:v>150</c:v>
                </c:pt>
                <c:pt idx="21">
                  <c:v>150</c:v>
                </c:pt>
                <c:pt idx="22">
                  <c:v>155</c:v>
                </c:pt>
                <c:pt idx="23">
                  <c:v>160</c:v>
                </c:pt>
                <c:pt idx="24">
                  <c:v>160</c:v>
                </c:pt>
                <c:pt idx="25">
                  <c:v>165</c:v>
                </c:pt>
                <c:pt idx="26">
                  <c:v>165</c:v>
                </c:pt>
                <c:pt idx="27">
                  <c:v>165</c:v>
                </c:pt>
                <c:pt idx="28">
                  <c:v>165</c:v>
                </c:pt>
                <c:pt idx="29">
                  <c:v>170</c:v>
                </c:pt>
                <c:pt idx="30">
                  <c:v>175</c:v>
                </c:pt>
                <c:pt idx="31">
                  <c:v>170</c:v>
                </c:pt>
                <c:pt idx="32">
                  <c:v>170</c:v>
                </c:pt>
                <c:pt idx="33">
                  <c:v>175</c:v>
                </c:pt>
                <c:pt idx="34">
                  <c:v>175</c:v>
                </c:pt>
                <c:pt idx="35">
                  <c:v>182.5</c:v>
                </c:pt>
                <c:pt idx="36">
                  <c:v>185</c:v>
                </c:pt>
                <c:pt idx="37">
                  <c:v>190</c:v>
                </c:pt>
                <c:pt idx="38">
                  <c:v>190</c:v>
                </c:pt>
                <c:pt idx="39">
                  <c:v>200</c:v>
                </c:pt>
                <c:pt idx="40">
                  <c:v>200</c:v>
                </c:pt>
                <c:pt idx="41">
                  <c:v>205</c:v>
                </c:pt>
                <c:pt idx="42">
                  <c:v>210</c:v>
                </c:pt>
                <c:pt idx="43">
                  <c:v>215</c:v>
                </c:pt>
                <c:pt idx="44">
                  <c:v>215</c:v>
                </c:pt>
                <c:pt idx="45">
                  <c:v>215</c:v>
                </c:pt>
                <c:pt idx="46">
                  <c:v>210</c:v>
                </c:pt>
                <c:pt idx="47">
                  <c:v>220</c:v>
                </c:pt>
                <c:pt idx="48">
                  <c:v>215</c:v>
                </c:pt>
                <c:pt idx="49">
                  <c:v>210</c:v>
                </c:pt>
                <c:pt idx="50">
                  <c:v>220</c:v>
                </c:pt>
                <c:pt idx="51">
                  <c:v>220</c:v>
                </c:pt>
                <c:pt idx="52">
                  <c:v>220</c:v>
                </c:pt>
                <c:pt idx="53">
                  <c:v>220</c:v>
                </c:pt>
                <c:pt idx="54">
                  <c:v>220</c:v>
                </c:pt>
                <c:pt idx="55">
                  <c:v>230</c:v>
                </c:pt>
                <c:pt idx="56">
                  <c:v>230</c:v>
                </c:pt>
                <c:pt idx="57">
                  <c:v>230</c:v>
                </c:pt>
                <c:pt idx="58">
                  <c:v>230</c:v>
                </c:pt>
                <c:pt idx="59">
                  <c:v>230</c:v>
                </c:pt>
                <c:pt idx="60">
                  <c:v>230</c:v>
                </c:pt>
                <c:pt idx="61">
                  <c:v>230</c:v>
                </c:pt>
                <c:pt idx="62">
                  <c:v>240</c:v>
                </c:pt>
                <c:pt idx="63">
                  <c:v>240</c:v>
                </c:pt>
                <c:pt idx="64">
                  <c:v>240</c:v>
                </c:pt>
                <c:pt idx="65">
                  <c:v>250</c:v>
                </c:pt>
                <c:pt idx="66">
                  <c:v>250</c:v>
                </c:pt>
                <c:pt idx="67">
                  <c:v>250</c:v>
                </c:pt>
                <c:pt idx="68">
                  <c:v>260</c:v>
                </c:pt>
                <c:pt idx="69">
                  <c:v>260</c:v>
                </c:pt>
                <c:pt idx="70">
                  <c:v>270</c:v>
                </c:pt>
                <c:pt idx="71">
                  <c:v>280</c:v>
                </c:pt>
                <c:pt idx="72">
                  <c:v>290</c:v>
                </c:pt>
                <c:pt idx="73">
                  <c:v>300</c:v>
                </c:pt>
                <c:pt idx="74">
                  <c:v>310</c:v>
                </c:pt>
                <c:pt idx="75">
                  <c:v>320</c:v>
                </c:pt>
                <c:pt idx="76">
                  <c:v>320</c:v>
                </c:pt>
                <c:pt idx="77">
                  <c:v>320</c:v>
                </c:pt>
                <c:pt idx="78">
                  <c:v>330</c:v>
                </c:pt>
                <c:pt idx="79">
                  <c:v>330</c:v>
                </c:pt>
                <c:pt idx="80">
                  <c:v>340</c:v>
                </c:pt>
                <c:pt idx="81">
                  <c:v>340</c:v>
                </c:pt>
                <c:pt idx="82">
                  <c:v>350</c:v>
                </c:pt>
                <c:pt idx="83">
                  <c:v>350</c:v>
                </c:pt>
                <c:pt idx="84">
                  <c:v>360</c:v>
                </c:pt>
                <c:pt idx="85">
                  <c:v>360</c:v>
                </c:pt>
                <c:pt idx="86">
                  <c:v>370</c:v>
                </c:pt>
                <c:pt idx="87">
                  <c:v>375</c:v>
                </c:pt>
                <c:pt idx="88">
                  <c:v>370</c:v>
                </c:pt>
                <c:pt idx="89">
                  <c:v>370</c:v>
                </c:pt>
                <c:pt idx="90">
                  <c:v>370</c:v>
                </c:pt>
                <c:pt idx="91">
                  <c:v>380</c:v>
                </c:pt>
                <c:pt idx="92">
                  <c:v>380</c:v>
                </c:pt>
                <c:pt idx="93">
                  <c:v>380</c:v>
                </c:pt>
                <c:pt idx="94">
                  <c:v>390</c:v>
                </c:pt>
                <c:pt idx="95">
                  <c:v>390</c:v>
                </c:pt>
                <c:pt idx="96">
                  <c:v>390</c:v>
                </c:pt>
                <c:pt idx="97">
                  <c:v>400</c:v>
                </c:pt>
                <c:pt idx="98">
                  <c:v>395</c:v>
                </c:pt>
                <c:pt idx="99">
                  <c:v>400</c:v>
                </c:pt>
                <c:pt idx="100">
                  <c:v>404.4</c:v>
                </c:pt>
                <c:pt idx="101">
                  <c:v>400</c:v>
                </c:pt>
                <c:pt idx="102">
                  <c:v>410</c:v>
                </c:pt>
                <c:pt idx="103">
                  <c:v>410</c:v>
                </c:pt>
                <c:pt idx="104">
                  <c:v>420</c:v>
                </c:pt>
                <c:pt idx="105">
                  <c:v>410</c:v>
                </c:pt>
                <c:pt idx="106">
                  <c:v>420</c:v>
                </c:pt>
                <c:pt idx="107">
                  <c:v>430</c:v>
                </c:pt>
                <c:pt idx="108">
                  <c:v>440</c:v>
                </c:pt>
                <c:pt idx="109">
                  <c:v>450</c:v>
                </c:pt>
                <c:pt idx="110">
                  <c:v>450</c:v>
                </c:pt>
                <c:pt idx="111">
                  <c:v>450</c:v>
                </c:pt>
                <c:pt idx="112">
                  <c:v>460</c:v>
                </c:pt>
                <c:pt idx="113">
                  <c:v>450</c:v>
                </c:pt>
                <c:pt idx="114">
                  <c:v>450</c:v>
                </c:pt>
                <c:pt idx="115">
                  <c:v>450</c:v>
                </c:pt>
                <c:pt idx="116">
                  <c:v>440</c:v>
                </c:pt>
                <c:pt idx="117">
                  <c:v>430</c:v>
                </c:pt>
                <c:pt idx="118">
                  <c:v>430</c:v>
                </c:pt>
                <c:pt idx="119">
                  <c:v>430</c:v>
                </c:pt>
                <c:pt idx="120">
                  <c:v>430</c:v>
                </c:pt>
                <c:pt idx="121">
                  <c:v>420</c:v>
                </c:pt>
                <c:pt idx="122">
                  <c:v>430</c:v>
                </c:pt>
                <c:pt idx="123">
                  <c:v>430</c:v>
                </c:pt>
                <c:pt idx="124">
                  <c:v>445</c:v>
                </c:pt>
                <c:pt idx="125">
                  <c:v>450</c:v>
                </c:pt>
                <c:pt idx="126">
                  <c:v>450</c:v>
                </c:pt>
                <c:pt idx="127">
                  <c:v>450</c:v>
                </c:pt>
                <c:pt idx="128">
                  <c:v>470</c:v>
                </c:pt>
                <c:pt idx="129">
                  <c:v>470</c:v>
                </c:pt>
                <c:pt idx="130">
                  <c:v>500</c:v>
                </c:pt>
                <c:pt idx="131">
                  <c:v>500</c:v>
                </c:pt>
                <c:pt idx="132">
                  <c:v>530</c:v>
                </c:pt>
                <c:pt idx="133">
                  <c:v>550</c:v>
                </c:pt>
                <c:pt idx="134">
                  <c:v>570</c:v>
                </c:pt>
                <c:pt idx="135">
                  <c:v>580</c:v>
                </c:pt>
                <c:pt idx="136">
                  <c:v>600</c:v>
                </c:pt>
                <c:pt idx="137">
                  <c:v>600</c:v>
                </c:pt>
                <c:pt idx="138">
                  <c:v>625</c:v>
                </c:pt>
                <c:pt idx="139">
                  <c:v>620</c:v>
                </c:pt>
                <c:pt idx="140">
                  <c:v>620</c:v>
                </c:pt>
                <c:pt idx="141">
                  <c:v>640</c:v>
                </c:pt>
                <c:pt idx="142">
                  <c:v>640</c:v>
                </c:pt>
                <c:pt idx="143">
                  <c:v>650</c:v>
                </c:pt>
              </c:numCache>
            </c:numRef>
          </c:val>
          <c:smooth val="0"/>
          <c:extLst>
            <c:ext xmlns:c16="http://schemas.microsoft.com/office/drawing/2014/chart" uri="{C3380CC4-5D6E-409C-BE32-E72D297353CC}">
              <c16:uniqueId val="{00000003-617F-4C2B-A3D4-409ECC1B6286}"/>
            </c:ext>
          </c:extLst>
        </c:ser>
        <c:dLbls>
          <c:showLegendKey val="0"/>
          <c:showVal val="0"/>
          <c:showCatName val="0"/>
          <c:showSerName val="0"/>
          <c:showPercent val="0"/>
          <c:showBubbleSize val="0"/>
        </c:dLbls>
        <c:smooth val="0"/>
        <c:axId val="1213482335"/>
        <c:axId val="1213483775"/>
      </c:lineChart>
      <c:dateAx>
        <c:axId val="1213482335"/>
        <c:scaling>
          <c:orientation val="minMax"/>
          <c:min val="33025"/>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3775"/>
        <c:crosses val="autoZero"/>
        <c:auto val="1"/>
        <c:lblOffset val="100"/>
        <c:baseTimeUnit val="months"/>
        <c:majorUnit val="24"/>
        <c:majorTimeUnit val="months"/>
      </c:dateAx>
      <c:valAx>
        <c:axId val="1213483775"/>
        <c:scaling>
          <c:orientation val="minMax"/>
          <c:max val="14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2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weekly rents, 3-bed house, new bonds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'3BR_H-combined'!$C$1</c:f>
              <c:strCache>
                <c:ptCount val="1"/>
                <c:pt idx="0">
                  <c:v>Greater Sydney</c:v>
                </c:pt>
              </c:strCache>
            </c:strRef>
          </c:tx>
          <c:spPr>
            <a:ln w="28575" cap="rnd">
              <a:solidFill>
                <a:schemeClr val="accent1"/>
              </a:solidFill>
              <a:round/>
            </a:ln>
            <a:effectLst/>
          </c:spPr>
          <c:marker>
            <c:symbol val="none"/>
          </c:marker>
          <c:cat>
            <c:numRef>
              <c:f>'3BR_H-combined'!$B$2:$B$145</c:f>
              <c:numCache>
                <c:formatCode>mmm\-yy</c:formatCode>
                <c:ptCount val="144"/>
                <c:pt idx="0">
                  <c:v>32933</c:v>
                </c:pt>
                <c:pt idx="1">
                  <c:v>33025</c:v>
                </c:pt>
                <c:pt idx="2">
                  <c:v>33117</c:v>
                </c:pt>
                <c:pt idx="3">
                  <c:v>33208</c:v>
                </c:pt>
                <c:pt idx="4">
                  <c:v>33298</c:v>
                </c:pt>
                <c:pt idx="5">
                  <c:v>33390</c:v>
                </c:pt>
                <c:pt idx="6">
                  <c:v>33482</c:v>
                </c:pt>
                <c:pt idx="7">
                  <c:v>33573</c:v>
                </c:pt>
                <c:pt idx="8">
                  <c:v>33664</c:v>
                </c:pt>
                <c:pt idx="9">
                  <c:v>33756</c:v>
                </c:pt>
                <c:pt idx="10">
                  <c:v>33848</c:v>
                </c:pt>
                <c:pt idx="11">
                  <c:v>33939</c:v>
                </c:pt>
                <c:pt idx="12">
                  <c:v>34029</c:v>
                </c:pt>
                <c:pt idx="13">
                  <c:v>34121</c:v>
                </c:pt>
                <c:pt idx="14">
                  <c:v>34213</c:v>
                </c:pt>
                <c:pt idx="15">
                  <c:v>34304</c:v>
                </c:pt>
                <c:pt idx="16">
                  <c:v>34394</c:v>
                </c:pt>
                <c:pt idx="17">
                  <c:v>34486</c:v>
                </c:pt>
                <c:pt idx="18">
                  <c:v>34578</c:v>
                </c:pt>
                <c:pt idx="19">
                  <c:v>34669</c:v>
                </c:pt>
                <c:pt idx="20">
                  <c:v>34759</c:v>
                </c:pt>
                <c:pt idx="21">
                  <c:v>34851</c:v>
                </c:pt>
                <c:pt idx="22">
                  <c:v>34943</c:v>
                </c:pt>
                <c:pt idx="23">
                  <c:v>35034</c:v>
                </c:pt>
                <c:pt idx="24">
                  <c:v>35125</c:v>
                </c:pt>
                <c:pt idx="25">
                  <c:v>35217</c:v>
                </c:pt>
                <c:pt idx="26">
                  <c:v>35309</c:v>
                </c:pt>
                <c:pt idx="27">
                  <c:v>35400</c:v>
                </c:pt>
                <c:pt idx="28">
                  <c:v>35490</c:v>
                </c:pt>
                <c:pt idx="29">
                  <c:v>35582</c:v>
                </c:pt>
                <c:pt idx="30">
                  <c:v>35674</c:v>
                </c:pt>
                <c:pt idx="31">
                  <c:v>35765</c:v>
                </c:pt>
                <c:pt idx="32">
                  <c:v>35855</c:v>
                </c:pt>
                <c:pt idx="33">
                  <c:v>35947</c:v>
                </c:pt>
                <c:pt idx="34">
                  <c:v>36039</c:v>
                </c:pt>
                <c:pt idx="35">
                  <c:v>36130</c:v>
                </c:pt>
                <c:pt idx="36">
                  <c:v>36220</c:v>
                </c:pt>
                <c:pt idx="37">
                  <c:v>36312</c:v>
                </c:pt>
                <c:pt idx="38">
                  <c:v>36404</c:v>
                </c:pt>
                <c:pt idx="39">
                  <c:v>36495</c:v>
                </c:pt>
                <c:pt idx="40">
                  <c:v>36586</c:v>
                </c:pt>
                <c:pt idx="41">
                  <c:v>36678</c:v>
                </c:pt>
                <c:pt idx="42">
                  <c:v>36770</c:v>
                </c:pt>
                <c:pt idx="43">
                  <c:v>36861</c:v>
                </c:pt>
                <c:pt idx="44">
                  <c:v>36951</c:v>
                </c:pt>
                <c:pt idx="45">
                  <c:v>37043</c:v>
                </c:pt>
                <c:pt idx="46">
                  <c:v>37135</c:v>
                </c:pt>
                <c:pt idx="47">
                  <c:v>37226</c:v>
                </c:pt>
                <c:pt idx="48">
                  <c:v>37316</c:v>
                </c:pt>
                <c:pt idx="49">
                  <c:v>37408</c:v>
                </c:pt>
                <c:pt idx="50">
                  <c:v>37500</c:v>
                </c:pt>
                <c:pt idx="51">
                  <c:v>37591</c:v>
                </c:pt>
                <c:pt idx="52">
                  <c:v>37681</c:v>
                </c:pt>
                <c:pt idx="53">
                  <c:v>37773</c:v>
                </c:pt>
                <c:pt idx="54">
                  <c:v>37865</c:v>
                </c:pt>
                <c:pt idx="55">
                  <c:v>37956</c:v>
                </c:pt>
                <c:pt idx="56">
                  <c:v>38047</c:v>
                </c:pt>
                <c:pt idx="57">
                  <c:v>38139</c:v>
                </c:pt>
                <c:pt idx="58">
                  <c:v>38231</c:v>
                </c:pt>
                <c:pt idx="59">
                  <c:v>38322</c:v>
                </c:pt>
                <c:pt idx="60">
                  <c:v>38412</c:v>
                </c:pt>
                <c:pt idx="61">
                  <c:v>38504</c:v>
                </c:pt>
                <c:pt idx="62">
                  <c:v>38596</c:v>
                </c:pt>
                <c:pt idx="63">
                  <c:v>38687</c:v>
                </c:pt>
                <c:pt idx="64">
                  <c:v>38777</c:v>
                </c:pt>
                <c:pt idx="65">
                  <c:v>38869</c:v>
                </c:pt>
                <c:pt idx="66">
                  <c:v>38961</c:v>
                </c:pt>
                <c:pt idx="67">
                  <c:v>39052</c:v>
                </c:pt>
                <c:pt idx="68">
                  <c:v>39142</c:v>
                </c:pt>
                <c:pt idx="69">
                  <c:v>39234</c:v>
                </c:pt>
                <c:pt idx="70">
                  <c:v>39326</c:v>
                </c:pt>
                <c:pt idx="71">
                  <c:v>39417</c:v>
                </c:pt>
                <c:pt idx="72">
                  <c:v>39508</c:v>
                </c:pt>
                <c:pt idx="73">
                  <c:v>39600</c:v>
                </c:pt>
                <c:pt idx="74">
                  <c:v>39692</c:v>
                </c:pt>
                <c:pt idx="75">
                  <c:v>39783</c:v>
                </c:pt>
                <c:pt idx="76">
                  <c:v>39873</c:v>
                </c:pt>
                <c:pt idx="77">
                  <c:v>39965</c:v>
                </c:pt>
                <c:pt idx="78">
                  <c:v>40057</c:v>
                </c:pt>
                <c:pt idx="79">
                  <c:v>40148</c:v>
                </c:pt>
                <c:pt idx="80">
                  <c:v>40238</c:v>
                </c:pt>
                <c:pt idx="81">
                  <c:v>40330</c:v>
                </c:pt>
                <c:pt idx="82">
                  <c:v>40422</c:v>
                </c:pt>
                <c:pt idx="83">
                  <c:v>40513</c:v>
                </c:pt>
                <c:pt idx="84">
                  <c:v>40603</c:v>
                </c:pt>
                <c:pt idx="85">
                  <c:v>40695</c:v>
                </c:pt>
                <c:pt idx="86">
                  <c:v>40787</c:v>
                </c:pt>
                <c:pt idx="87">
                  <c:v>40878</c:v>
                </c:pt>
                <c:pt idx="88">
                  <c:v>40969</c:v>
                </c:pt>
                <c:pt idx="89">
                  <c:v>41061</c:v>
                </c:pt>
                <c:pt idx="90">
                  <c:v>41153</c:v>
                </c:pt>
                <c:pt idx="91">
                  <c:v>41244</c:v>
                </c:pt>
                <c:pt idx="92">
                  <c:v>41334</c:v>
                </c:pt>
                <c:pt idx="93">
                  <c:v>41426</c:v>
                </c:pt>
                <c:pt idx="94">
                  <c:v>41518</c:v>
                </c:pt>
                <c:pt idx="95">
                  <c:v>41609</c:v>
                </c:pt>
                <c:pt idx="96">
                  <c:v>41699</c:v>
                </c:pt>
                <c:pt idx="97">
                  <c:v>41791</c:v>
                </c:pt>
                <c:pt idx="98">
                  <c:v>41883</c:v>
                </c:pt>
                <c:pt idx="99">
                  <c:v>41974</c:v>
                </c:pt>
                <c:pt idx="100">
                  <c:v>42064</c:v>
                </c:pt>
                <c:pt idx="101">
                  <c:v>42156</c:v>
                </c:pt>
                <c:pt idx="102">
                  <c:v>42248</c:v>
                </c:pt>
                <c:pt idx="103">
                  <c:v>42339</c:v>
                </c:pt>
                <c:pt idx="104">
                  <c:v>42430</c:v>
                </c:pt>
                <c:pt idx="105">
                  <c:v>42522</c:v>
                </c:pt>
                <c:pt idx="106">
                  <c:v>42614</c:v>
                </c:pt>
                <c:pt idx="107">
                  <c:v>42705</c:v>
                </c:pt>
                <c:pt idx="108">
                  <c:v>42795</c:v>
                </c:pt>
                <c:pt idx="109">
                  <c:v>42887</c:v>
                </c:pt>
                <c:pt idx="110">
                  <c:v>42979</c:v>
                </c:pt>
                <c:pt idx="111">
                  <c:v>43070</c:v>
                </c:pt>
                <c:pt idx="112">
                  <c:v>43160</c:v>
                </c:pt>
                <c:pt idx="113">
                  <c:v>43252</c:v>
                </c:pt>
                <c:pt idx="114">
                  <c:v>43344</c:v>
                </c:pt>
                <c:pt idx="115">
                  <c:v>43435</c:v>
                </c:pt>
                <c:pt idx="116">
                  <c:v>43525</c:v>
                </c:pt>
                <c:pt idx="117">
                  <c:v>43617</c:v>
                </c:pt>
                <c:pt idx="118">
                  <c:v>43709</c:v>
                </c:pt>
                <c:pt idx="119">
                  <c:v>43800</c:v>
                </c:pt>
                <c:pt idx="120">
                  <c:v>43891</c:v>
                </c:pt>
                <c:pt idx="121">
                  <c:v>43983</c:v>
                </c:pt>
                <c:pt idx="122">
                  <c:v>44075</c:v>
                </c:pt>
                <c:pt idx="123">
                  <c:v>44166</c:v>
                </c:pt>
                <c:pt idx="124">
                  <c:v>44256</c:v>
                </c:pt>
                <c:pt idx="125">
                  <c:v>44348</c:v>
                </c:pt>
                <c:pt idx="126">
                  <c:v>44440</c:v>
                </c:pt>
                <c:pt idx="127">
                  <c:v>44531</c:v>
                </c:pt>
                <c:pt idx="128">
                  <c:v>44621</c:v>
                </c:pt>
                <c:pt idx="129">
                  <c:v>44713</c:v>
                </c:pt>
                <c:pt idx="130">
                  <c:v>44805</c:v>
                </c:pt>
                <c:pt idx="131">
                  <c:v>44896</c:v>
                </c:pt>
                <c:pt idx="132">
                  <c:v>44986</c:v>
                </c:pt>
                <c:pt idx="133">
                  <c:v>45078</c:v>
                </c:pt>
                <c:pt idx="134">
                  <c:v>45170</c:v>
                </c:pt>
                <c:pt idx="135">
                  <c:v>45261</c:v>
                </c:pt>
                <c:pt idx="136">
                  <c:v>45352</c:v>
                </c:pt>
                <c:pt idx="137">
                  <c:v>45444</c:v>
                </c:pt>
                <c:pt idx="138">
                  <c:v>45536</c:v>
                </c:pt>
                <c:pt idx="139">
                  <c:v>45627</c:v>
                </c:pt>
                <c:pt idx="140">
                  <c:v>45717</c:v>
                </c:pt>
                <c:pt idx="141">
                  <c:v>45809</c:v>
                </c:pt>
                <c:pt idx="142">
                  <c:v>45901</c:v>
                </c:pt>
                <c:pt idx="143">
                  <c:v>45992</c:v>
                </c:pt>
              </c:numCache>
            </c:numRef>
          </c:cat>
          <c:val>
            <c:numRef>
              <c:f>'3BR_H-combined'!$C$2:$C$145</c:f>
              <c:numCache>
                <c:formatCode>General</c:formatCode>
                <c:ptCount val="144"/>
                <c:pt idx="0">
                  <c:v>190</c:v>
                </c:pt>
                <c:pt idx="1">
                  <c:v>185</c:v>
                </c:pt>
                <c:pt idx="2">
                  <c:v>190</c:v>
                </c:pt>
                <c:pt idx="3">
                  <c:v>190</c:v>
                </c:pt>
                <c:pt idx="4">
                  <c:v>190</c:v>
                </c:pt>
                <c:pt idx="5">
                  <c:v>190</c:v>
                </c:pt>
                <c:pt idx="6">
                  <c:v>190</c:v>
                </c:pt>
                <c:pt idx="7">
                  <c:v>190</c:v>
                </c:pt>
                <c:pt idx="8">
                  <c:v>190</c:v>
                </c:pt>
                <c:pt idx="9">
                  <c:v>190</c:v>
                </c:pt>
                <c:pt idx="10">
                  <c:v>190</c:v>
                </c:pt>
                <c:pt idx="11">
                  <c:v>190</c:v>
                </c:pt>
                <c:pt idx="12">
                  <c:v>190</c:v>
                </c:pt>
                <c:pt idx="13">
                  <c:v>185</c:v>
                </c:pt>
                <c:pt idx="14">
                  <c:v>185</c:v>
                </c:pt>
                <c:pt idx="15">
                  <c:v>185</c:v>
                </c:pt>
                <c:pt idx="16">
                  <c:v>185</c:v>
                </c:pt>
                <c:pt idx="17">
                  <c:v>190</c:v>
                </c:pt>
                <c:pt idx="18">
                  <c:v>185</c:v>
                </c:pt>
                <c:pt idx="19">
                  <c:v>190</c:v>
                </c:pt>
                <c:pt idx="20">
                  <c:v>190</c:v>
                </c:pt>
                <c:pt idx="21">
                  <c:v>190</c:v>
                </c:pt>
                <c:pt idx="22">
                  <c:v>190</c:v>
                </c:pt>
                <c:pt idx="23">
                  <c:v>190</c:v>
                </c:pt>
                <c:pt idx="24">
                  <c:v>200</c:v>
                </c:pt>
                <c:pt idx="25">
                  <c:v>195</c:v>
                </c:pt>
                <c:pt idx="26">
                  <c:v>200</c:v>
                </c:pt>
                <c:pt idx="27">
                  <c:v>200</c:v>
                </c:pt>
                <c:pt idx="28">
                  <c:v>200</c:v>
                </c:pt>
                <c:pt idx="29">
                  <c:v>200</c:v>
                </c:pt>
                <c:pt idx="30">
                  <c:v>200</c:v>
                </c:pt>
                <c:pt idx="31">
                  <c:v>200</c:v>
                </c:pt>
                <c:pt idx="32">
                  <c:v>210</c:v>
                </c:pt>
                <c:pt idx="33">
                  <c:v>210</c:v>
                </c:pt>
                <c:pt idx="34">
                  <c:v>210</c:v>
                </c:pt>
                <c:pt idx="35">
                  <c:v>220</c:v>
                </c:pt>
                <c:pt idx="36">
                  <c:v>215</c:v>
                </c:pt>
                <c:pt idx="37">
                  <c:v>220</c:v>
                </c:pt>
                <c:pt idx="38">
                  <c:v>220</c:v>
                </c:pt>
                <c:pt idx="39">
                  <c:v>225</c:v>
                </c:pt>
                <c:pt idx="40">
                  <c:v>230</c:v>
                </c:pt>
                <c:pt idx="41">
                  <c:v>230</c:v>
                </c:pt>
                <c:pt idx="42">
                  <c:v>235</c:v>
                </c:pt>
                <c:pt idx="43">
                  <c:v>235</c:v>
                </c:pt>
                <c:pt idx="44">
                  <c:v>240</c:v>
                </c:pt>
                <c:pt idx="45">
                  <c:v>235</c:v>
                </c:pt>
                <c:pt idx="46">
                  <c:v>240</c:v>
                </c:pt>
                <c:pt idx="47">
                  <c:v>240</c:v>
                </c:pt>
                <c:pt idx="48">
                  <c:v>240</c:v>
                </c:pt>
                <c:pt idx="49">
                  <c:v>240</c:v>
                </c:pt>
                <c:pt idx="50">
                  <c:v>240</c:v>
                </c:pt>
                <c:pt idx="51">
                  <c:v>245</c:v>
                </c:pt>
                <c:pt idx="52">
                  <c:v>245</c:v>
                </c:pt>
                <c:pt idx="53">
                  <c:v>250</c:v>
                </c:pt>
                <c:pt idx="54">
                  <c:v>250</c:v>
                </c:pt>
                <c:pt idx="55">
                  <c:v>250</c:v>
                </c:pt>
                <c:pt idx="56">
                  <c:v>250</c:v>
                </c:pt>
                <c:pt idx="57">
                  <c:v>250</c:v>
                </c:pt>
                <c:pt idx="58">
                  <c:v>250</c:v>
                </c:pt>
                <c:pt idx="59">
                  <c:v>250</c:v>
                </c:pt>
                <c:pt idx="60">
                  <c:v>260</c:v>
                </c:pt>
                <c:pt idx="61">
                  <c:v>260</c:v>
                </c:pt>
                <c:pt idx="62">
                  <c:v>260</c:v>
                </c:pt>
                <c:pt idx="63">
                  <c:v>260</c:v>
                </c:pt>
                <c:pt idx="64">
                  <c:v>265</c:v>
                </c:pt>
                <c:pt idx="65">
                  <c:v>265</c:v>
                </c:pt>
                <c:pt idx="66">
                  <c:v>270</c:v>
                </c:pt>
                <c:pt idx="67">
                  <c:v>275</c:v>
                </c:pt>
                <c:pt idx="68">
                  <c:v>280</c:v>
                </c:pt>
                <c:pt idx="69">
                  <c:v>280</c:v>
                </c:pt>
                <c:pt idx="70">
                  <c:v>295</c:v>
                </c:pt>
                <c:pt idx="71">
                  <c:v>310</c:v>
                </c:pt>
                <c:pt idx="72">
                  <c:v>320</c:v>
                </c:pt>
                <c:pt idx="73">
                  <c:v>330</c:v>
                </c:pt>
                <c:pt idx="74">
                  <c:v>347.5</c:v>
                </c:pt>
                <c:pt idx="75">
                  <c:v>350</c:v>
                </c:pt>
                <c:pt idx="76">
                  <c:v>350</c:v>
                </c:pt>
                <c:pt idx="77">
                  <c:v>350</c:v>
                </c:pt>
                <c:pt idx="78">
                  <c:v>360</c:v>
                </c:pt>
                <c:pt idx="79">
                  <c:v>370</c:v>
                </c:pt>
                <c:pt idx="80">
                  <c:v>380</c:v>
                </c:pt>
                <c:pt idx="81">
                  <c:v>380</c:v>
                </c:pt>
                <c:pt idx="82">
                  <c:v>390</c:v>
                </c:pt>
                <c:pt idx="83">
                  <c:v>400</c:v>
                </c:pt>
                <c:pt idx="84">
                  <c:v>400</c:v>
                </c:pt>
                <c:pt idx="85">
                  <c:v>400</c:v>
                </c:pt>
                <c:pt idx="86">
                  <c:v>400</c:v>
                </c:pt>
                <c:pt idx="87">
                  <c:v>420</c:v>
                </c:pt>
                <c:pt idx="88">
                  <c:v>420</c:v>
                </c:pt>
                <c:pt idx="89">
                  <c:v>420</c:v>
                </c:pt>
                <c:pt idx="90">
                  <c:v>420</c:v>
                </c:pt>
                <c:pt idx="91">
                  <c:v>420</c:v>
                </c:pt>
                <c:pt idx="92">
                  <c:v>430</c:v>
                </c:pt>
                <c:pt idx="93">
                  <c:v>420</c:v>
                </c:pt>
                <c:pt idx="94">
                  <c:v>430</c:v>
                </c:pt>
                <c:pt idx="95">
                  <c:v>440</c:v>
                </c:pt>
                <c:pt idx="96">
                  <c:v>450</c:v>
                </c:pt>
                <c:pt idx="97">
                  <c:v>450</c:v>
                </c:pt>
                <c:pt idx="98">
                  <c:v>450</c:v>
                </c:pt>
                <c:pt idx="99">
                  <c:v>450</c:v>
                </c:pt>
                <c:pt idx="100">
                  <c:v>450</c:v>
                </c:pt>
                <c:pt idx="101">
                  <c:v>460</c:v>
                </c:pt>
                <c:pt idx="102">
                  <c:v>460</c:v>
                </c:pt>
                <c:pt idx="103">
                  <c:v>460</c:v>
                </c:pt>
                <c:pt idx="104">
                  <c:v>480</c:v>
                </c:pt>
                <c:pt idx="105">
                  <c:v>470</c:v>
                </c:pt>
                <c:pt idx="106">
                  <c:v>470</c:v>
                </c:pt>
                <c:pt idx="107">
                  <c:v>480</c:v>
                </c:pt>
                <c:pt idx="108">
                  <c:v>490</c:v>
                </c:pt>
                <c:pt idx="109">
                  <c:v>485</c:v>
                </c:pt>
                <c:pt idx="110">
                  <c:v>490</c:v>
                </c:pt>
                <c:pt idx="111">
                  <c:v>500</c:v>
                </c:pt>
                <c:pt idx="112">
                  <c:v>500</c:v>
                </c:pt>
                <c:pt idx="113">
                  <c:v>495</c:v>
                </c:pt>
                <c:pt idx="114">
                  <c:v>500</c:v>
                </c:pt>
                <c:pt idx="115">
                  <c:v>500</c:v>
                </c:pt>
                <c:pt idx="116">
                  <c:v>495</c:v>
                </c:pt>
                <c:pt idx="117">
                  <c:v>480</c:v>
                </c:pt>
                <c:pt idx="118">
                  <c:v>485</c:v>
                </c:pt>
                <c:pt idx="119">
                  <c:v>490</c:v>
                </c:pt>
                <c:pt idx="120">
                  <c:v>490</c:v>
                </c:pt>
                <c:pt idx="121">
                  <c:v>480</c:v>
                </c:pt>
                <c:pt idx="122">
                  <c:v>500</c:v>
                </c:pt>
                <c:pt idx="123">
                  <c:v>510</c:v>
                </c:pt>
                <c:pt idx="124">
                  <c:v>525</c:v>
                </c:pt>
                <c:pt idx="125">
                  <c:v>520</c:v>
                </c:pt>
                <c:pt idx="126">
                  <c:v>535</c:v>
                </c:pt>
                <c:pt idx="127">
                  <c:v>550</c:v>
                </c:pt>
                <c:pt idx="128">
                  <c:v>550</c:v>
                </c:pt>
                <c:pt idx="129">
                  <c:v>570</c:v>
                </c:pt>
                <c:pt idx="130">
                  <c:v>600</c:v>
                </c:pt>
                <c:pt idx="131">
                  <c:v>600</c:v>
                </c:pt>
                <c:pt idx="132">
                  <c:v>610</c:v>
                </c:pt>
                <c:pt idx="133">
                  <c:v>620</c:v>
                </c:pt>
                <c:pt idx="134">
                  <c:v>650</c:v>
                </c:pt>
                <c:pt idx="135">
                  <c:v>650</c:v>
                </c:pt>
                <c:pt idx="136">
                  <c:v>680</c:v>
                </c:pt>
                <c:pt idx="137">
                  <c:v>680</c:v>
                </c:pt>
                <c:pt idx="138">
                  <c:v>700</c:v>
                </c:pt>
                <c:pt idx="139">
                  <c:v>700</c:v>
                </c:pt>
                <c:pt idx="140">
                  <c:v>700</c:v>
                </c:pt>
                <c:pt idx="141">
                  <c:v>700</c:v>
                </c:pt>
                <c:pt idx="142">
                  <c:v>700</c:v>
                </c:pt>
                <c:pt idx="143">
                  <c:v>720</c:v>
                </c:pt>
              </c:numCache>
            </c:numRef>
          </c:val>
          <c:smooth val="0"/>
          <c:extLst>
            <c:ext xmlns:c16="http://schemas.microsoft.com/office/drawing/2014/chart" uri="{C3380CC4-5D6E-409C-BE32-E72D297353CC}">
              <c16:uniqueId val="{00000000-BD94-4DDC-8360-46B49DD12A0E}"/>
            </c:ext>
          </c:extLst>
        </c:ser>
        <c:ser>
          <c:idx val="1"/>
          <c:order val="1"/>
          <c:tx>
            <c:strRef>
              <c:f>'3BR_H-combined'!$D$1</c:f>
              <c:strCache>
                <c:ptCount val="1"/>
                <c:pt idx="0">
                  <c:v>Inner Ring</c:v>
                </c:pt>
              </c:strCache>
            </c:strRef>
          </c:tx>
          <c:spPr>
            <a:ln w="28575" cap="rnd">
              <a:solidFill>
                <a:schemeClr val="accent2"/>
              </a:solidFill>
              <a:prstDash val="sysDot"/>
              <a:round/>
            </a:ln>
            <a:effectLst/>
          </c:spPr>
          <c:marker>
            <c:symbol val="none"/>
          </c:marker>
          <c:cat>
            <c:numRef>
              <c:f>'3BR_H-combined'!$B$2:$B$145</c:f>
              <c:numCache>
                <c:formatCode>mmm\-yy</c:formatCode>
                <c:ptCount val="144"/>
                <c:pt idx="0">
                  <c:v>32933</c:v>
                </c:pt>
                <c:pt idx="1">
                  <c:v>33025</c:v>
                </c:pt>
                <c:pt idx="2">
                  <c:v>33117</c:v>
                </c:pt>
                <c:pt idx="3">
                  <c:v>33208</c:v>
                </c:pt>
                <c:pt idx="4">
                  <c:v>33298</c:v>
                </c:pt>
                <c:pt idx="5">
                  <c:v>33390</c:v>
                </c:pt>
                <c:pt idx="6">
                  <c:v>33482</c:v>
                </c:pt>
                <c:pt idx="7">
                  <c:v>33573</c:v>
                </c:pt>
                <c:pt idx="8">
                  <c:v>33664</c:v>
                </c:pt>
                <c:pt idx="9">
                  <c:v>33756</c:v>
                </c:pt>
                <c:pt idx="10">
                  <c:v>33848</c:v>
                </c:pt>
                <c:pt idx="11">
                  <c:v>33939</c:v>
                </c:pt>
                <c:pt idx="12">
                  <c:v>34029</c:v>
                </c:pt>
                <c:pt idx="13">
                  <c:v>34121</c:v>
                </c:pt>
                <c:pt idx="14">
                  <c:v>34213</c:v>
                </c:pt>
                <c:pt idx="15">
                  <c:v>34304</c:v>
                </c:pt>
                <c:pt idx="16">
                  <c:v>34394</c:v>
                </c:pt>
                <c:pt idx="17">
                  <c:v>34486</c:v>
                </c:pt>
                <c:pt idx="18">
                  <c:v>34578</c:v>
                </c:pt>
                <c:pt idx="19">
                  <c:v>34669</c:v>
                </c:pt>
                <c:pt idx="20">
                  <c:v>34759</c:v>
                </c:pt>
                <c:pt idx="21">
                  <c:v>34851</c:v>
                </c:pt>
                <c:pt idx="22">
                  <c:v>34943</c:v>
                </c:pt>
                <c:pt idx="23">
                  <c:v>35034</c:v>
                </c:pt>
                <c:pt idx="24">
                  <c:v>35125</c:v>
                </c:pt>
                <c:pt idx="25">
                  <c:v>35217</c:v>
                </c:pt>
                <c:pt idx="26">
                  <c:v>35309</c:v>
                </c:pt>
                <c:pt idx="27">
                  <c:v>35400</c:v>
                </c:pt>
                <c:pt idx="28">
                  <c:v>35490</c:v>
                </c:pt>
                <c:pt idx="29">
                  <c:v>35582</c:v>
                </c:pt>
                <c:pt idx="30">
                  <c:v>35674</c:v>
                </c:pt>
                <c:pt idx="31">
                  <c:v>35765</c:v>
                </c:pt>
                <c:pt idx="32">
                  <c:v>35855</c:v>
                </c:pt>
                <c:pt idx="33">
                  <c:v>35947</c:v>
                </c:pt>
                <c:pt idx="34">
                  <c:v>36039</c:v>
                </c:pt>
                <c:pt idx="35">
                  <c:v>36130</c:v>
                </c:pt>
                <c:pt idx="36">
                  <c:v>36220</c:v>
                </c:pt>
                <c:pt idx="37">
                  <c:v>36312</c:v>
                </c:pt>
                <c:pt idx="38">
                  <c:v>36404</c:v>
                </c:pt>
                <c:pt idx="39">
                  <c:v>36495</c:v>
                </c:pt>
                <c:pt idx="40">
                  <c:v>36586</c:v>
                </c:pt>
                <c:pt idx="41">
                  <c:v>36678</c:v>
                </c:pt>
                <c:pt idx="42">
                  <c:v>36770</c:v>
                </c:pt>
                <c:pt idx="43">
                  <c:v>36861</c:v>
                </c:pt>
                <c:pt idx="44">
                  <c:v>36951</c:v>
                </c:pt>
                <c:pt idx="45">
                  <c:v>37043</c:v>
                </c:pt>
                <c:pt idx="46">
                  <c:v>37135</c:v>
                </c:pt>
                <c:pt idx="47">
                  <c:v>37226</c:v>
                </c:pt>
                <c:pt idx="48">
                  <c:v>37316</c:v>
                </c:pt>
                <c:pt idx="49">
                  <c:v>37408</c:v>
                </c:pt>
                <c:pt idx="50">
                  <c:v>37500</c:v>
                </c:pt>
                <c:pt idx="51">
                  <c:v>37591</c:v>
                </c:pt>
                <c:pt idx="52">
                  <c:v>37681</c:v>
                </c:pt>
                <c:pt idx="53">
                  <c:v>37773</c:v>
                </c:pt>
                <c:pt idx="54">
                  <c:v>37865</c:v>
                </c:pt>
                <c:pt idx="55">
                  <c:v>37956</c:v>
                </c:pt>
                <c:pt idx="56">
                  <c:v>38047</c:v>
                </c:pt>
                <c:pt idx="57">
                  <c:v>38139</c:v>
                </c:pt>
                <c:pt idx="58">
                  <c:v>38231</c:v>
                </c:pt>
                <c:pt idx="59">
                  <c:v>38322</c:v>
                </c:pt>
                <c:pt idx="60">
                  <c:v>38412</c:v>
                </c:pt>
                <c:pt idx="61">
                  <c:v>38504</c:v>
                </c:pt>
                <c:pt idx="62">
                  <c:v>38596</c:v>
                </c:pt>
                <c:pt idx="63">
                  <c:v>38687</c:v>
                </c:pt>
                <c:pt idx="64">
                  <c:v>38777</c:v>
                </c:pt>
                <c:pt idx="65">
                  <c:v>38869</c:v>
                </c:pt>
                <c:pt idx="66">
                  <c:v>38961</c:v>
                </c:pt>
                <c:pt idx="67">
                  <c:v>39052</c:v>
                </c:pt>
                <c:pt idx="68">
                  <c:v>39142</c:v>
                </c:pt>
                <c:pt idx="69">
                  <c:v>39234</c:v>
                </c:pt>
                <c:pt idx="70">
                  <c:v>39326</c:v>
                </c:pt>
                <c:pt idx="71">
                  <c:v>39417</c:v>
                </c:pt>
                <c:pt idx="72">
                  <c:v>39508</c:v>
                </c:pt>
                <c:pt idx="73">
                  <c:v>39600</c:v>
                </c:pt>
                <c:pt idx="74">
                  <c:v>39692</c:v>
                </c:pt>
                <c:pt idx="75">
                  <c:v>39783</c:v>
                </c:pt>
                <c:pt idx="76">
                  <c:v>39873</c:v>
                </c:pt>
                <c:pt idx="77">
                  <c:v>39965</c:v>
                </c:pt>
                <c:pt idx="78">
                  <c:v>40057</c:v>
                </c:pt>
                <c:pt idx="79">
                  <c:v>40148</c:v>
                </c:pt>
                <c:pt idx="80">
                  <c:v>40238</c:v>
                </c:pt>
                <c:pt idx="81">
                  <c:v>40330</c:v>
                </c:pt>
                <c:pt idx="82">
                  <c:v>40422</c:v>
                </c:pt>
                <c:pt idx="83">
                  <c:v>40513</c:v>
                </c:pt>
                <c:pt idx="84">
                  <c:v>40603</c:v>
                </c:pt>
                <c:pt idx="85">
                  <c:v>40695</c:v>
                </c:pt>
                <c:pt idx="86">
                  <c:v>40787</c:v>
                </c:pt>
                <c:pt idx="87">
                  <c:v>40878</c:v>
                </c:pt>
                <c:pt idx="88">
                  <c:v>40969</c:v>
                </c:pt>
                <c:pt idx="89">
                  <c:v>41061</c:v>
                </c:pt>
                <c:pt idx="90">
                  <c:v>41153</c:v>
                </c:pt>
                <c:pt idx="91">
                  <c:v>41244</c:v>
                </c:pt>
                <c:pt idx="92">
                  <c:v>41334</c:v>
                </c:pt>
                <c:pt idx="93">
                  <c:v>41426</c:v>
                </c:pt>
                <c:pt idx="94">
                  <c:v>41518</c:v>
                </c:pt>
                <c:pt idx="95">
                  <c:v>41609</c:v>
                </c:pt>
                <c:pt idx="96">
                  <c:v>41699</c:v>
                </c:pt>
                <c:pt idx="97">
                  <c:v>41791</c:v>
                </c:pt>
                <c:pt idx="98">
                  <c:v>41883</c:v>
                </c:pt>
                <c:pt idx="99">
                  <c:v>41974</c:v>
                </c:pt>
                <c:pt idx="100">
                  <c:v>42064</c:v>
                </c:pt>
                <c:pt idx="101">
                  <c:v>42156</c:v>
                </c:pt>
                <c:pt idx="102">
                  <c:v>42248</c:v>
                </c:pt>
                <c:pt idx="103">
                  <c:v>42339</c:v>
                </c:pt>
                <c:pt idx="104">
                  <c:v>42430</c:v>
                </c:pt>
                <c:pt idx="105">
                  <c:v>42522</c:v>
                </c:pt>
                <c:pt idx="106">
                  <c:v>42614</c:v>
                </c:pt>
                <c:pt idx="107">
                  <c:v>42705</c:v>
                </c:pt>
                <c:pt idx="108">
                  <c:v>42795</c:v>
                </c:pt>
                <c:pt idx="109">
                  <c:v>42887</c:v>
                </c:pt>
                <c:pt idx="110">
                  <c:v>42979</c:v>
                </c:pt>
                <c:pt idx="111">
                  <c:v>43070</c:v>
                </c:pt>
                <c:pt idx="112">
                  <c:v>43160</c:v>
                </c:pt>
                <c:pt idx="113">
                  <c:v>43252</c:v>
                </c:pt>
                <c:pt idx="114">
                  <c:v>43344</c:v>
                </c:pt>
                <c:pt idx="115">
                  <c:v>43435</c:v>
                </c:pt>
                <c:pt idx="116">
                  <c:v>43525</c:v>
                </c:pt>
                <c:pt idx="117">
                  <c:v>43617</c:v>
                </c:pt>
                <c:pt idx="118">
                  <c:v>43709</c:v>
                </c:pt>
                <c:pt idx="119">
                  <c:v>43800</c:v>
                </c:pt>
                <c:pt idx="120">
                  <c:v>43891</c:v>
                </c:pt>
                <c:pt idx="121">
                  <c:v>43983</c:v>
                </c:pt>
                <c:pt idx="122">
                  <c:v>44075</c:v>
                </c:pt>
                <c:pt idx="123">
                  <c:v>44166</c:v>
                </c:pt>
                <c:pt idx="124">
                  <c:v>44256</c:v>
                </c:pt>
                <c:pt idx="125">
                  <c:v>44348</c:v>
                </c:pt>
                <c:pt idx="126">
                  <c:v>44440</c:v>
                </c:pt>
                <c:pt idx="127">
                  <c:v>44531</c:v>
                </c:pt>
                <c:pt idx="128">
                  <c:v>44621</c:v>
                </c:pt>
                <c:pt idx="129">
                  <c:v>44713</c:v>
                </c:pt>
                <c:pt idx="130">
                  <c:v>44805</c:v>
                </c:pt>
                <c:pt idx="131">
                  <c:v>44896</c:v>
                </c:pt>
                <c:pt idx="132">
                  <c:v>44986</c:v>
                </c:pt>
                <c:pt idx="133">
                  <c:v>45078</c:v>
                </c:pt>
                <c:pt idx="134">
                  <c:v>45170</c:v>
                </c:pt>
                <c:pt idx="135">
                  <c:v>45261</c:v>
                </c:pt>
                <c:pt idx="136">
                  <c:v>45352</c:v>
                </c:pt>
                <c:pt idx="137">
                  <c:v>45444</c:v>
                </c:pt>
                <c:pt idx="138">
                  <c:v>45536</c:v>
                </c:pt>
                <c:pt idx="139">
                  <c:v>45627</c:v>
                </c:pt>
                <c:pt idx="140">
                  <c:v>45717</c:v>
                </c:pt>
                <c:pt idx="141">
                  <c:v>45809</c:v>
                </c:pt>
                <c:pt idx="142">
                  <c:v>45901</c:v>
                </c:pt>
                <c:pt idx="143">
                  <c:v>45992</c:v>
                </c:pt>
              </c:numCache>
            </c:numRef>
          </c:cat>
          <c:val>
            <c:numRef>
              <c:f>'3BR_H-combined'!$D$2:$D$145</c:f>
              <c:numCache>
                <c:formatCode>General</c:formatCode>
                <c:ptCount val="144"/>
                <c:pt idx="0">
                  <c:v>270</c:v>
                </c:pt>
                <c:pt idx="1">
                  <c:v>275</c:v>
                </c:pt>
                <c:pt idx="2">
                  <c:v>270</c:v>
                </c:pt>
                <c:pt idx="3">
                  <c:v>270</c:v>
                </c:pt>
                <c:pt idx="4">
                  <c:v>270</c:v>
                </c:pt>
                <c:pt idx="5">
                  <c:v>270</c:v>
                </c:pt>
                <c:pt idx="6">
                  <c:v>265</c:v>
                </c:pt>
                <c:pt idx="7">
                  <c:v>270</c:v>
                </c:pt>
                <c:pt idx="8">
                  <c:v>280</c:v>
                </c:pt>
                <c:pt idx="9">
                  <c:v>280</c:v>
                </c:pt>
                <c:pt idx="10">
                  <c:v>275</c:v>
                </c:pt>
                <c:pt idx="11">
                  <c:v>275</c:v>
                </c:pt>
                <c:pt idx="12">
                  <c:v>280</c:v>
                </c:pt>
                <c:pt idx="13">
                  <c:v>275</c:v>
                </c:pt>
                <c:pt idx="14">
                  <c:v>275</c:v>
                </c:pt>
                <c:pt idx="15">
                  <c:v>280</c:v>
                </c:pt>
                <c:pt idx="16">
                  <c:v>280</c:v>
                </c:pt>
                <c:pt idx="17">
                  <c:v>290</c:v>
                </c:pt>
                <c:pt idx="18">
                  <c:v>300</c:v>
                </c:pt>
                <c:pt idx="19">
                  <c:v>295</c:v>
                </c:pt>
                <c:pt idx="20">
                  <c:v>300</c:v>
                </c:pt>
                <c:pt idx="21">
                  <c:v>320</c:v>
                </c:pt>
                <c:pt idx="22">
                  <c:v>310</c:v>
                </c:pt>
                <c:pt idx="23">
                  <c:v>320</c:v>
                </c:pt>
                <c:pt idx="24">
                  <c:v>330</c:v>
                </c:pt>
                <c:pt idx="25">
                  <c:v>320</c:v>
                </c:pt>
                <c:pt idx="26">
                  <c:v>340</c:v>
                </c:pt>
                <c:pt idx="27">
                  <c:v>340</c:v>
                </c:pt>
                <c:pt idx="28">
                  <c:v>350</c:v>
                </c:pt>
                <c:pt idx="29">
                  <c:v>350</c:v>
                </c:pt>
                <c:pt idx="30">
                  <c:v>350</c:v>
                </c:pt>
                <c:pt idx="31">
                  <c:v>350</c:v>
                </c:pt>
                <c:pt idx="32">
                  <c:v>355</c:v>
                </c:pt>
                <c:pt idx="33">
                  <c:v>370</c:v>
                </c:pt>
                <c:pt idx="34">
                  <c:v>360</c:v>
                </c:pt>
                <c:pt idx="35">
                  <c:v>360</c:v>
                </c:pt>
                <c:pt idx="36">
                  <c:v>370</c:v>
                </c:pt>
                <c:pt idx="37">
                  <c:v>390</c:v>
                </c:pt>
                <c:pt idx="38">
                  <c:v>395</c:v>
                </c:pt>
                <c:pt idx="39">
                  <c:v>400</c:v>
                </c:pt>
                <c:pt idx="40">
                  <c:v>420</c:v>
                </c:pt>
                <c:pt idx="41">
                  <c:v>435</c:v>
                </c:pt>
                <c:pt idx="42">
                  <c:v>420</c:v>
                </c:pt>
                <c:pt idx="43">
                  <c:v>430</c:v>
                </c:pt>
                <c:pt idx="44">
                  <c:v>430</c:v>
                </c:pt>
                <c:pt idx="45">
                  <c:v>430</c:v>
                </c:pt>
                <c:pt idx="46">
                  <c:v>430</c:v>
                </c:pt>
                <c:pt idx="47">
                  <c:v>420</c:v>
                </c:pt>
                <c:pt idx="48">
                  <c:v>425</c:v>
                </c:pt>
                <c:pt idx="49">
                  <c:v>420</c:v>
                </c:pt>
                <c:pt idx="50">
                  <c:v>420</c:v>
                </c:pt>
                <c:pt idx="51">
                  <c:v>420</c:v>
                </c:pt>
                <c:pt idx="52">
                  <c:v>435</c:v>
                </c:pt>
                <c:pt idx="53">
                  <c:v>450</c:v>
                </c:pt>
                <c:pt idx="54">
                  <c:v>420</c:v>
                </c:pt>
                <c:pt idx="55">
                  <c:v>440</c:v>
                </c:pt>
                <c:pt idx="56">
                  <c:v>440</c:v>
                </c:pt>
                <c:pt idx="57">
                  <c:v>450</c:v>
                </c:pt>
                <c:pt idx="58">
                  <c:v>470</c:v>
                </c:pt>
                <c:pt idx="59">
                  <c:v>450</c:v>
                </c:pt>
                <c:pt idx="60">
                  <c:v>450</c:v>
                </c:pt>
                <c:pt idx="61">
                  <c:v>460</c:v>
                </c:pt>
                <c:pt idx="62">
                  <c:v>470</c:v>
                </c:pt>
                <c:pt idx="63">
                  <c:v>475</c:v>
                </c:pt>
                <c:pt idx="64">
                  <c:v>475</c:v>
                </c:pt>
                <c:pt idx="65">
                  <c:v>500</c:v>
                </c:pt>
                <c:pt idx="66">
                  <c:v>492.5</c:v>
                </c:pt>
                <c:pt idx="67">
                  <c:v>510</c:v>
                </c:pt>
                <c:pt idx="68">
                  <c:v>525</c:v>
                </c:pt>
                <c:pt idx="69">
                  <c:v>540</c:v>
                </c:pt>
                <c:pt idx="70">
                  <c:v>567.5</c:v>
                </c:pt>
                <c:pt idx="71">
                  <c:v>560</c:v>
                </c:pt>
                <c:pt idx="72">
                  <c:v>600</c:v>
                </c:pt>
                <c:pt idx="73">
                  <c:v>637.5</c:v>
                </c:pt>
                <c:pt idx="74">
                  <c:v>630</c:v>
                </c:pt>
                <c:pt idx="75">
                  <c:v>630</c:v>
                </c:pt>
                <c:pt idx="76">
                  <c:v>650</c:v>
                </c:pt>
                <c:pt idx="77">
                  <c:v>645</c:v>
                </c:pt>
                <c:pt idx="78">
                  <c:v>630</c:v>
                </c:pt>
                <c:pt idx="79">
                  <c:v>660</c:v>
                </c:pt>
                <c:pt idx="80">
                  <c:v>660</c:v>
                </c:pt>
                <c:pt idx="81">
                  <c:v>700</c:v>
                </c:pt>
                <c:pt idx="82">
                  <c:v>700</c:v>
                </c:pt>
                <c:pt idx="83">
                  <c:v>730</c:v>
                </c:pt>
                <c:pt idx="84">
                  <c:v>720</c:v>
                </c:pt>
                <c:pt idx="85">
                  <c:v>750</c:v>
                </c:pt>
                <c:pt idx="86">
                  <c:v>750</c:v>
                </c:pt>
                <c:pt idx="87">
                  <c:v>750</c:v>
                </c:pt>
                <c:pt idx="88">
                  <c:v>750</c:v>
                </c:pt>
                <c:pt idx="89">
                  <c:v>750</c:v>
                </c:pt>
                <c:pt idx="90">
                  <c:v>770</c:v>
                </c:pt>
                <c:pt idx="91">
                  <c:v>750</c:v>
                </c:pt>
                <c:pt idx="92">
                  <c:v>790</c:v>
                </c:pt>
                <c:pt idx="93">
                  <c:v>780</c:v>
                </c:pt>
                <c:pt idx="94">
                  <c:v>790</c:v>
                </c:pt>
                <c:pt idx="95">
                  <c:v>795</c:v>
                </c:pt>
                <c:pt idx="96">
                  <c:v>800</c:v>
                </c:pt>
                <c:pt idx="97">
                  <c:v>840</c:v>
                </c:pt>
                <c:pt idx="98">
                  <c:v>815</c:v>
                </c:pt>
                <c:pt idx="99">
                  <c:v>822.5</c:v>
                </c:pt>
                <c:pt idx="100">
                  <c:v>845</c:v>
                </c:pt>
                <c:pt idx="101">
                  <c:v>850</c:v>
                </c:pt>
                <c:pt idx="102">
                  <c:v>850</c:v>
                </c:pt>
                <c:pt idx="103">
                  <c:v>850</c:v>
                </c:pt>
                <c:pt idx="104">
                  <c:v>875</c:v>
                </c:pt>
                <c:pt idx="105">
                  <c:v>900</c:v>
                </c:pt>
                <c:pt idx="106">
                  <c:v>895</c:v>
                </c:pt>
                <c:pt idx="107">
                  <c:v>900</c:v>
                </c:pt>
                <c:pt idx="108">
                  <c:v>900</c:v>
                </c:pt>
                <c:pt idx="109">
                  <c:v>950</c:v>
                </c:pt>
                <c:pt idx="110">
                  <c:v>950</c:v>
                </c:pt>
                <c:pt idx="111">
                  <c:v>995</c:v>
                </c:pt>
                <c:pt idx="112">
                  <c:v>957.5</c:v>
                </c:pt>
                <c:pt idx="113">
                  <c:v>950</c:v>
                </c:pt>
                <c:pt idx="114">
                  <c:v>950</c:v>
                </c:pt>
                <c:pt idx="115">
                  <c:v>925</c:v>
                </c:pt>
                <c:pt idx="116">
                  <c:v>950</c:v>
                </c:pt>
                <c:pt idx="117">
                  <c:v>950</c:v>
                </c:pt>
                <c:pt idx="118">
                  <c:v>900</c:v>
                </c:pt>
                <c:pt idx="119">
                  <c:v>925</c:v>
                </c:pt>
                <c:pt idx="120">
                  <c:v>950</c:v>
                </c:pt>
                <c:pt idx="121">
                  <c:v>865</c:v>
                </c:pt>
                <c:pt idx="122">
                  <c:v>890</c:v>
                </c:pt>
                <c:pt idx="123">
                  <c:v>875</c:v>
                </c:pt>
                <c:pt idx="124">
                  <c:v>900</c:v>
                </c:pt>
                <c:pt idx="125">
                  <c:v>900</c:v>
                </c:pt>
                <c:pt idx="126">
                  <c:v>900</c:v>
                </c:pt>
                <c:pt idx="127">
                  <c:v>930</c:v>
                </c:pt>
                <c:pt idx="128">
                  <c:v>950</c:v>
                </c:pt>
                <c:pt idx="129">
                  <c:v>990</c:v>
                </c:pt>
                <c:pt idx="130">
                  <c:v>1000</c:v>
                </c:pt>
                <c:pt idx="131">
                  <c:v>1093</c:v>
                </c:pt>
                <c:pt idx="132">
                  <c:v>1150</c:v>
                </c:pt>
                <c:pt idx="133">
                  <c:v>1195</c:v>
                </c:pt>
                <c:pt idx="134">
                  <c:v>1150</c:v>
                </c:pt>
                <c:pt idx="135">
                  <c:v>1250</c:v>
                </c:pt>
                <c:pt idx="136">
                  <c:v>1250</c:v>
                </c:pt>
                <c:pt idx="137">
                  <c:v>1200</c:v>
                </c:pt>
                <c:pt idx="138">
                  <c:v>1200</c:v>
                </c:pt>
                <c:pt idx="139">
                  <c:v>1250</c:v>
                </c:pt>
                <c:pt idx="140">
                  <c:v>1250</c:v>
                </c:pt>
                <c:pt idx="141">
                  <c:v>1270</c:v>
                </c:pt>
                <c:pt idx="142">
                  <c:v>1250</c:v>
                </c:pt>
                <c:pt idx="143">
                  <c:v>1300</c:v>
                </c:pt>
              </c:numCache>
            </c:numRef>
          </c:val>
          <c:smooth val="0"/>
          <c:extLst>
            <c:ext xmlns:c16="http://schemas.microsoft.com/office/drawing/2014/chart" uri="{C3380CC4-5D6E-409C-BE32-E72D297353CC}">
              <c16:uniqueId val="{00000001-BD94-4DDC-8360-46B49DD12A0E}"/>
            </c:ext>
          </c:extLst>
        </c:ser>
        <c:ser>
          <c:idx val="2"/>
          <c:order val="2"/>
          <c:tx>
            <c:strRef>
              <c:f>'3BR_H-combined'!$P$1</c:f>
              <c:strCache>
                <c:ptCount val="1"/>
                <c:pt idx="0">
                  <c:v>Middle Ring</c:v>
                </c:pt>
              </c:strCache>
            </c:strRef>
          </c:tx>
          <c:spPr>
            <a:ln w="28575" cap="rnd">
              <a:solidFill>
                <a:schemeClr val="accent3"/>
              </a:solidFill>
              <a:prstDash val="sysDot"/>
              <a:round/>
            </a:ln>
            <a:effectLst/>
          </c:spPr>
          <c:marker>
            <c:symbol val="none"/>
          </c:marker>
          <c:cat>
            <c:numRef>
              <c:f>'3BR_H-combined'!$B$2:$B$145</c:f>
              <c:numCache>
                <c:formatCode>mmm\-yy</c:formatCode>
                <c:ptCount val="144"/>
                <c:pt idx="0">
                  <c:v>32933</c:v>
                </c:pt>
                <c:pt idx="1">
                  <c:v>33025</c:v>
                </c:pt>
                <c:pt idx="2">
                  <c:v>33117</c:v>
                </c:pt>
                <c:pt idx="3">
                  <c:v>33208</c:v>
                </c:pt>
                <c:pt idx="4">
                  <c:v>33298</c:v>
                </c:pt>
                <c:pt idx="5">
                  <c:v>33390</c:v>
                </c:pt>
                <c:pt idx="6">
                  <c:v>33482</c:v>
                </c:pt>
                <c:pt idx="7">
                  <c:v>33573</c:v>
                </c:pt>
                <c:pt idx="8">
                  <c:v>33664</c:v>
                </c:pt>
                <c:pt idx="9">
                  <c:v>33756</c:v>
                </c:pt>
                <c:pt idx="10">
                  <c:v>33848</c:v>
                </c:pt>
                <c:pt idx="11">
                  <c:v>33939</c:v>
                </c:pt>
                <c:pt idx="12">
                  <c:v>34029</c:v>
                </c:pt>
                <c:pt idx="13">
                  <c:v>34121</c:v>
                </c:pt>
                <c:pt idx="14">
                  <c:v>34213</c:v>
                </c:pt>
                <c:pt idx="15">
                  <c:v>34304</c:v>
                </c:pt>
                <c:pt idx="16">
                  <c:v>34394</c:v>
                </c:pt>
                <c:pt idx="17">
                  <c:v>34486</c:v>
                </c:pt>
                <c:pt idx="18">
                  <c:v>34578</c:v>
                </c:pt>
                <c:pt idx="19">
                  <c:v>34669</c:v>
                </c:pt>
                <c:pt idx="20">
                  <c:v>34759</c:v>
                </c:pt>
                <c:pt idx="21">
                  <c:v>34851</c:v>
                </c:pt>
                <c:pt idx="22">
                  <c:v>34943</c:v>
                </c:pt>
                <c:pt idx="23">
                  <c:v>35034</c:v>
                </c:pt>
                <c:pt idx="24">
                  <c:v>35125</c:v>
                </c:pt>
                <c:pt idx="25">
                  <c:v>35217</c:v>
                </c:pt>
                <c:pt idx="26">
                  <c:v>35309</c:v>
                </c:pt>
                <c:pt idx="27">
                  <c:v>35400</c:v>
                </c:pt>
                <c:pt idx="28">
                  <c:v>35490</c:v>
                </c:pt>
                <c:pt idx="29">
                  <c:v>35582</c:v>
                </c:pt>
                <c:pt idx="30">
                  <c:v>35674</c:v>
                </c:pt>
                <c:pt idx="31">
                  <c:v>35765</c:v>
                </c:pt>
                <c:pt idx="32">
                  <c:v>35855</c:v>
                </c:pt>
                <c:pt idx="33">
                  <c:v>35947</c:v>
                </c:pt>
                <c:pt idx="34">
                  <c:v>36039</c:v>
                </c:pt>
                <c:pt idx="35">
                  <c:v>36130</c:v>
                </c:pt>
                <c:pt idx="36">
                  <c:v>36220</c:v>
                </c:pt>
                <c:pt idx="37">
                  <c:v>36312</c:v>
                </c:pt>
                <c:pt idx="38">
                  <c:v>36404</c:v>
                </c:pt>
                <c:pt idx="39">
                  <c:v>36495</c:v>
                </c:pt>
                <c:pt idx="40">
                  <c:v>36586</c:v>
                </c:pt>
                <c:pt idx="41">
                  <c:v>36678</c:v>
                </c:pt>
                <c:pt idx="42">
                  <c:v>36770</c:v>
                </c:pt>
                <c:pt idx="43">
                  <c:v>36861</c:v>
                </c:pt>
                <c:pt idx="44">
                  <c:v>36951</c:v>
                </c:pt>
                <c:pt idx="45">
                  <c:v>37043</c:v>
                </c:pt>
                <c:pt idx="46">
                  <c:v>37135</c:v>
                </c:pt>
                <c:pt idx="47">
                  <c:v>37226</c:v>
                </c:pt>
                <c:pt idx="48">
                  <c:v>37316</c:v>
                </c:pt>
                <c:pt idx="49">
                  <c:v>37408</c:v>
                </c:pt>
                <c:pt idx="50">
                  <c:v>37500</c:v>
                </c:pt>
                <c:pt idx="51">
                  <c:v>37591</c:v>
                </c:pt>
                <c:pt idx="52">
                  <c:v>37681</c:v>
                </c:pt>
                <c:pt idx="53">
                  <c:v>37773</c:v>
                </c:pt>
                <c:pt idx="54">
                  <c:v>37865</c:v>
                </c:pt>
                <c:pt idx="55">
                  <c:v>37956</c:v>
                </c:pt>
                <c:pt idx="56">
                  <c:v>38047</c:v>
                </c:pt>
                <c:pt idx="57">
                  <c:v>38139</c:v>
                </c:pt>
                <c:pt idx="58">
                  <c:v>38231</c:v>
                </c:pt>
                <c:pt idx="59">
                  <c:v>38322</c:v>
                </c:pt>
                <c:pt idx="60">
                  <c:v>38412</c:v>
                </c:pt>
                <c:pt idx="61">
                  <c:v>38504</c:v>
                </c:pt>
                <c:pt idx="62">
                  <c:v>38596</c:v>
                </c:pt>
                <c:pt idx="63">
                  <c:v>38687</c:v>
                </c:pt>
                <c:pt idx="64">
                  <c:v>38777</c:v>
                </c:pt>
                <c:pt idx="65">
                  <c:v>38869</c:v>
                </c:pt>
                <c:pt idx="66">
                  <c:v>38961</c:v>
                </c:pt>
                <c:pt idx="67">
                  <c:v>39052</c:v>
                </c:pt>
                <c:pt idx="68">
                  <c:v>39142</c:v>
                </c:pt>
                <c:pt idx="69">
                  <c:v>39234</c:v>
                </c:pt>
                <c:pt idx="70">
                  <c:v>39326</c:v>
                </c:pt>
                <c:pt idx="71">
                  <c:v>39417</c:v>
                </c:pt>
                <c:pt idx="72">
                  <c:v>39508</c:v>
                </c:pt>
                <c:pt idx="73">
                  <c:v>39600</c:v>
                </c:pt>
                <c:pt idx="74">
                  <c:v>39692</c:v>
                </c:pt>
                <c:pt idx="75">
                  <c:v>39783</c:v>
                </c:pt>
                <c:pt idx="76">
                  <c:v>39873</c:v>
                </c:pt>
                <c:pt idx="77">
                  <c:v>39965</c:v>
                </c:pt>
                <c:pt idx="78">
                  <c:v>40057</c:v>
                </c:pt>
                <c:pt idx="79">
                  <c:v>40148</c:v>
                </c:pt>
                <c:pt idx="80">
                  <c:v>40238</c:v>
                </c:pt>
                <c:pt idx="81">
                  <c:v>40330</c:v>
                </c:pt>
                <c:pt idx="82">
                  <c:v>40422</c:v>
                </c:pt>
                <c:pt idx="83">
                  <c:v>40513</c:v>
                </c:pt>
                <c:pt idx="84">
                  <c:v>40603</c:v>
                </c:pt>
                <c:pt idx="85">
                  <c:v>40695</c:v>
                </c:pt>
                <c:pt idx="86">
                  <c:v>40787</c:v>
                </c:pt>
                <c:pt idx="87">
                  <c:v>40878</c:v>
                </c:pt>
                <c:pt idx="88">
                  <c:v>40969</c:v>
                </c:pt>
                <c:pt idx="89">
                  <c:v>41061</c:v>
                </c:pt>
                <c:pt idx="90">
                  <c:v>41153</c:v>
                </c:pt>
                <c:pt idx="91">
                  <c:v>41244</c:v>
                </c:pt>
                <c:pt idx="92">
                  <c:v>41334</c:v>
                </c:pt>
                <c:pt idx="93">
                  <c:v>41426</c:v>
                </c:pt>
                <c:pt idx="94">
                  <c:v>41518</c:v>
                </c:pt>
                <c:pt idx="95">
                  <c:v>41609</c:v>
                </c:pt>
                <c:pt idx="96">
                  <c:v>41699</c:v>
                </c:pt>
                <c:pt idx="97">
                  <c:v>41791</c:v>
                </c:pt>
                <c:pt idx="98">
                  <c:v>41883</c:v>
                </c:pt>
                <c:pt idx="99">
                  <c:v>41974</c:v>
                </c:pt>
                <c:pt idx="100">
                  <c:v>42064</c:v>
                </c:pt>
                <c:pt idx="101">
                  <c:v>42156</c:v>
                </c:pt>
                <c:pt idx="102">
                  <c:v>42248</c:v>
                </c:pt>
                <c:pt idx="103">
                  <c:v>42339</c:v>
                </c:pt>
                <c:pt idx="104">
                  <c:v>42430</c:v>
                </c:pt>
                <c:pt idx="105">
                  <c:v>42522</c:v>
                </c:pt>
                <c:pt idx="106">
                  <c:v>42614</c:v>
                </c:pt>
                <c:pt idx="107">
                  <c:v>42705</c:v>
                </c:pt>
                <c:pt idx="108">
                  <c:v>42795</c:v>
                </c:pt>
                <c:pt idx="109">
                  <c:v>42887</c:v>
                </c:pt>
                <c:pt idx="110">
                  <c:v>42979</c:v>
                </c:pt>
                <c:pt idx="111">
                  <c:v>43070</c:v>
                </c:pt>
                <c:pt idx="112">
                  <c:v>43160</c:v>
                </c:pt>
                <c:pt idx="113">
                  <c:v>43252</c:v>
                </c:pt>
                <c:pt idx="114">
                  <c:v>43344</c:v>
                </c:pt>
                <c:pt idx="115">
                  <c:v>43435</c:v>
                </c:pt>
                <c:pt idx="116">
                  <c:v>43525</c:v>
                </c:pt>
                <c:pt idx="117">
                  <c:v>43617</c:v>
                </c:pt>
                <c:pt idx="118">
                  <c:v>43709</c:v>
                </c:pt>
                <c:pt idx="119">
                  <c:v>43800</c:v>
                </c:pt>
                <c:pt idx="120">
                  <c:v>43891</c:v>
                </c:pt>
                <c:pt idx="121">
                  <c:v>43983</c:v>
                </c:pt>
                <c:pt idx="122">
                  <c:v>44075</c:v>
                </c:pt>
                <c:pt idx="123">
                  <c:v>44166</c:v>
                </c:pt>
                <c:pt idx="124">
                  <c:v>44256</c:v>
                </c:pt>
                <c:pt idx="125">
                  <c:v>44348</c:v>
                </c:pt>
                <c:pt idx="126">
                  <c:v>44440</c:v>
                </c:pt>
                <c:pt idx="127">
                  <c:v>44531</c:v>
                </c:pt>
                <c:pt idx="128">
                  <c:v>44621</c:v>
                </c:pt>
                <c:pt idx="129">
                  <c:v>44713</c:v>
                </c:pt>
                <c:pt idx="130">
                  <c:v>44805</c:v>
                </c:pt>
                <c:pt idx="131">
                  <c:v>44896</c:v>
                </c:pt>
                <c:pt idx="132">
                  <c:v>44986</c:v>
                </c:pt>
                <c:pt idx="133">
                  <c:v>45078</c:v>
                </c:pt>
                <c:pt idx="134">
                  <c:v>45170</c:v>
                </c:pt>
                <c:pt idx="135">
                  <c:v>45261</c:v>
                </c:pt>
                <c:pt idx="136">
                  <c:v>45352</c:v>
                </c:pt>
                <c:pt idx="137">
                  <c:v>45444</c:v>
                </c:pt>
                <c:pt idx="138">
                  <c:v>45536</c:v>
                </c:pt>
                <c:pt idx="139">
                  <c:v>45627</c:v>
                </c:pt>
                <c:pt idx="140">
                  <c:v>45717</c:v>
                </c:pt>
                <c:pt idx="141">
                  <c:v>45809</c:v>
                </c:pt>
                <c:pt idx="142">
                  <c:v>45901</c:v>
                </c:pt>
                <c:pt idx="143">
                  <c:v>45992</c:v>
                </c:pt>
              </c:numCache>
            </c:numRef>
          </c:cat>
          <c:val>
            <c:numRef>
              <c:f>'3BR_H-combined'!$P$2:$P$145</c:f>
              <c:numCache>
                <c:formatCode>General</c:formatCode>
                <c:ptCount val="144"/>
                <c:pt idx="0">
                  <c:v>220</c:v>
                </c:pt>
                <c:pt idx="1">
                  <c:v>220</c:v>
                </c:pt>
                <c:pt idx="2">
                  <c:v>220</c:v>
                </c:pt>
                <c:pt idx="3">
                  <c:v>220</c:v>
                </c:pt>
                <c:pt idx="4">
                  <c:v>220</c:v>
                </c:pt>
                <c:pt idx="5">
                  <c:v>220</c:v>
                </c:pt>
                <c:pt idx="6">
                  <c:v>220</c:v>
                </c:pt>
                <c:pt idx="7">
                  <c:v>220</c:v>
                </c:pt>
                <c:pt idx="8">
                  <c:v>220</c:v>
                </c:pt>
                <c:pt idx="9">
                  <c:v>220</c:v>
                </c:pt>
                <c:pt idx="10">
                  <c:v>220</c:v>
                </c:pt>
                <c:pt idx="11">
                  <c:v>220</c:v>
                </c:pt>
                <c:pt idx="12">
                  <c:v>220</c:v>
                </c:pt>
                <c:pt idx="13">
                  <c:v>220</c:v>
                </c:pt>
                <c:pt idx="14">
                  <c:v>215</c:v>
                </c:pt>
                <c:pt idx="15">
                  <c:v>215</c:v>
                </c:pt>
                <c:pt idx="16">
                  <c:v>220</c:v>
                </c:pt>
                <c:pt idx="17">
                  <c:v>220</c:v>
                </c:pt>
                <c:pt idx="18">
                  <c:v>220</c:v>
                </c:pt>
                <c:pt idx="19">
                  <c:v>220</c:v>
                </c:pt>
                <c:pt idx="20">
                  <c:v>230</c:v>
                </c:pt>
                <c:pt idx="21">
                  <c:v>230</c:v>
                </c:pt>
                <c:pt idx="22">
                  <c:v>240</c:v>
                </c:pt>
                <c:pt idx="23">
                  <c:v>240</c:v>
                </c:pt>
                <c:pt idx="24">
                  <c:v>245</c:v>
                </c:pt>
                <c:pt idx="25">
                  <c:v>240</c:v>
                </c:pt>
                <c:pt idx="26">
                  <c:v>245</c:v>
                </c:pt>
                <c:pt idx="27">
                  <c:v>250</c:v>
                </c:pt>
                <c:pt idx="28">
                  <c:v>250</c:v>
                </c:pt>
                <c:pt idx="29">
                  <c:v>250</c:v>
                </c:pt>
                <c:pt idx="30">
                  <c:v>250</c:v>
                </c:pt>
                <c:pt idx="31">
                  <c:v>255</c:v>
                </c:pt>
                <c:pt idx="32">
                  <c:v>260</c:v>
                </c:pt>
                <c:pt idx="33">
                  <c:v>260</c:v>
                </c:pt>
                <c:pt idx="34">
                  <c:v>260</c:v>
                </c:pt>
                <c:pt idx="35">
                  <c:v>265</c:v>
                </c:pt>
                <c:pt idx="36">
                  <c:v>270</c:v>
                </c:pt>
                <c:pt idx="37">
                  <c:v>270</c:v>
                </c:pt>
                <c:pt idx="38">
                  <c:v>280</c:v>
                </c:pt>
                <c:pt idx="39">
                  <c:v>280</c:v>
                </c:pt>
                <c:pt idx="40">
                  <c:v>290</c:v>
                </c:pt>
                <c:pt idx="41">
                  <c:v>290</c:v>
                </c:pt>
                <c:pt idx="42">
                  <c:v>290</c:v>
                </c:pt>
                <c:pt idx="43">
                  <c:v>300</c:v>
                </c:pt>
                <c:pt idx="44">
                  <c:v>300</c:v>
                </c:pt>
                <c:pt idx="45">
                  <c:v>300</c:v>
                </c:pt>
                <c:pt idx="46">
                  <c:v>300</c:v>
                </c:pt>
                <c:pt idx="47">
                  <c:v>300</c:v>
                </c:pt>
                <c:pt idx="48">
                  <c:v>300</c:v>
                </c:pt>
                <c:pt idx="49">
                  <c:v>290</c:v>
                </c:pt>
                <c:pt idx="50">
                  <c:v>295</c:v>
                </c:pt>
                <c:pt idx="51">
                  <c:v>295</c:v>
                </c:pt>
                <c:pt idx="52">
                  <c:v>300</c:v>
                </c:pt>
                <c:pt idx="53">
                  <c:v>300</c:v>
                </c:pt>
                <c:pt idx="54">
                  <c:v>300</c:v>
                </c:pt>
                <c:pt idx="55">
                  <c:v>300</c:v>
                </c:pt>
                <c:pt idx="56">
                  <c:v>310</c:v>
                </c:pt>
                <c:pt idx="57">
                  <c:v>300</c:v>
                </c:pt>
                <c:pt idx="58">
                  <c:v>300</c:v>
                </c:pt>
                <c:pt idx="59">
                  <c:v>310</c:v>
                </c:pt>
                <c:pt idx="60">
                  <c:v>320</c:v>
                </c:pt>
                <c:pt idx="61">
                  <c:v>310</c:v>
                </c:pt>
                <c:pt idx="62">
                  <c:v>320</c:v>
                </c:pt>
                <c:pt idx="63">
                  <c:v>320</c:v>
                </c:pt>
                <c:pt idx="64">
                  <c:v>320</c:v>
                </c:pt>
                <c:pt idx="65">
                  <c:v>330</c:v>
                </c:pt>
                <c:pt idx="66">
                  <c:v>340</c:v>
                </c:pt>
                <c:pt idx="67">
                  <c:v>345</c:v>
                </c:pt>
                <c:pt idx="68">
                  <c:v>350</c:v>
                </c:pt>
                <c:pt idx="69">
                  <c:v>360</c:v>
                </c:pt>
                <c:pt idx="70">
                  <c:v>365</c:v>
                </c:pt>
                <c:pt idx="71">
                  <c:v>390</c:v>
                </c:pt>
                <c:pt idx="72">
                  <c:v>400</c:v>
                </c:pt>
                <c:pt idx="73">
                  <c:v>410</c:v>
                </c:pt>
                <c:pt idx="74">
                  <c:v>430</c:v>
                </c:pt>
                <c:pt idx="75">
                  <c:v>425</c:v>
                </c:pt>
                <c:pt idx="76">
                  <c:v>440</c:v>
                </c:pt>
                <c:pt idx="77">
                  <c:v>430</c:v>
                </c:pt>
                <c:pt idx="78">
                  <c:v>450</c:v>
                </c:pt>
                <c:pt idx="79">
                  <c:v>450</c:v>
                </c:pt>
                <c:pt idx="80">
                  <c:v>460</c:v>
                </c:pt>
                <c:pt idx="81">
                  <c:v>470</c:v>
                </c:pt>
                <c:pt idx="82">
                  <c:v>480</c:v>
                </c:pt>
                <c:pt idx="83">
                  <c:v>490</c:v>
                </c:pt>
                <c:pt idx="84">
                  <c:v>500</c:v>
                </c:pt>
                <c:pt idx="85">
                  <c:v>485</c:v>
                </c:pt>
                <c:pt idx="86">
                  <c:v>500</c:v>
                </c:pt>
                <c:pt idx="87">
                  <c:v>500</c:v>
                </c:pt>
                <c:pt idx="88">
                  <c:v>500</c:v>
                </c:pt>
                <c:pt idx="89">
                  <c:v>510</c:v>
                </c:pt>
                <c:pt idx="90">
                  <c:v>515</c:v>
                </c:pt>
                <c:pt idx="91">
                  <c:v>520</c:v>
                </c:pt>
                <c:pt idx="92">
                  <c:v>520</c:v>
                </c:pt>
                <c:pt idx="93">
                  <c:v>520</c:v>
                </c:pt>
                <c:pt idx="94">
                  <c:v>530</c:v>
                </c:pt>
                <c:pt idx="95">
                  <c:v>550</c:v>
                </c:pt>
                <c:pt idx="96">
                  <c:v>550</c:v>
                </c:pt>
                <c:pt idx="97">
                  <c:v>540</c:v>
                </c:pt>
                <c:pt idx="98">
                  <c:v>550</c:v>
                </c:pt>
                <c:pt idx="99">
                  <c:v>550</c:v>
                </c:pt>
                <c:pt idx="100">
                  <c:v>550</c:v>
                </c:pt>
                <c:pt idx="101">
                  <c:v>550</c:v>
                </c:pt>
                <c:pt idx="102">
                  <c:v>560</c:v>
                </c:pt>
                <c:pt idx="103">
                  <c:v>570</c:v>
                </c:pt>
                <c:pt idx="104">
                  <c:v>570</c:v>
                </c:pt>
                <c:pt idx="105">
                  <c:v>580</c:v>
                </c:pt>
                <c:pt idx="106">
                  <c:v>580</c:v>
                </c:pt>
                <c:pt idx="107">
                  <c:v>590</c:v>
                </c:pt>
                <c:pt idx="108">
                  <c:v>595</c:v>
                </c:pt>
                <c:pt idx="109">
                  <c:v>610</c:v>
                </c:pt>
                <c:pt idx="110">
                  <c:v>600</c:v>
                </c:pt>
                <c:pt idx="111">
                  <c:v>600</c:v>
                </c:pt>
                <c:pt idx="112">
                  <c:v>580</c:v>
                </c:pt>
                <c:pt idx="113">
                  <c:v>600</c:v>
                </c:pt>
                <c:pt idx="114">
                  <c:v>600</c:v>
                </c:pt>
                <c:pt idx="115">
                  <c:v>585</c:v>
                </c:pt>
                <c:pt idx="116">
                  <c:v>580</c:v>
                </c:pt>
                <c:pt idx="117">
                  <c:v>560</c:v>
                </c:pt>
                <c:pt idx="118">
                  <c:v>570</c:v>
                </c:pt>
                <c:pt idx="119">
                  <c:v>560</c:v>
                </c:pt>
                <c:pt idx="120">
                  <c:v>570</c:v>
                </c:pt>
                <c:pt idx="121">
                  <c:v>550</c:v>
                </c:pt>
                <c:pt idx="122">
                  <c:v>568</c:v>
                </c:pt>
                <c:pt idx="123">
                  <c:v>550</c:v>
                </c:pt>
                <c:pt idx="124">
                  <c:v>580</c:v>
                </c:pt>
                <c:pt idx="125">
                  <c:v>580</c:v>
                </c:pt>
                <c:pt idx="126">
                  <c:v>600</c:v>
                </c:pt>
                <c:pt idx="127">
                  <c:v>595</c:v>
                </c:pt>
                <c:pt idx="128">
                  <c:v>600</c:v>
                </c:pt>
                <c:pt idx="129">
                  <c:v>630</c:v>
                </c:pt>
                <c:pt idx="130">
                  <c:v>650</c:v>
                </c:pt>
                <c:pt idx="131">
                  <c:v>650</c:v>
                </c:pt>
                <c:pt idx="132">
                  <c:v>680</c:v>
                </c:pt>
                <c:pt idx="133">
                  <c:v>730</c:v>
                </c:pt>
                <c:pt idx="134">
                  <c:v>750</c:v>
                </c:pt>
                <c:pt idx="135">
                  <c:v>770</c:v>
                </c:pt>
                <c:pt idx="136">
                  <c:v>783</c:v>
                </c:pt>
                <c:pt idx="137">
                  <c:v>800</c:v>
                </c:pt>
                <c:pt idx="138">
                  <c:v>800</c:v>
                </c:pt>
                <c:pt idx="139">
                  <c:v>795</c:v>
                </c:pt>
                <c:pt idx="140">
                  <c:v>800</c:v>
                </c:pt>
                <c:pt idx="141">
                  <c:v>800</c:v>
                </c:pt>
                <c:pt idx="142">
                  <c:v>800</c:v>
                </c:pt>
                <c:pt idx="143">
                  <c:v>820</c:v>
                </c:pt>
              </c:numCache>
            </c:numRef>
          </c:val>
          <c:smooth val="0"/>
          <c:extLst>
            <c:ext xmlns:c16="http://schemas.microsoft.com/office/drawing/2014/chart" uri="{C3380CC4-5D6E-409C-BE32-E72D297353CC}">
              <c16:uniqueId val="{00000002-BD94-4DDC-8360-46B49DD12A0E}"/>
            </c:ext>
          </c:extLst>
        </c:ser>
        <c:ser>
          <c:idx val="3"/>
          <c:order val="3"/>
          <c:tx>
            <c:strRef>
              <c:f>'3BR_H-combined'!$AF$1</c:f>
              <c:strCache>
                <c:ptCount val="1"/>
                <c:pt idx="0">
                  <c:v>Outer Ring</c:v>
                </c:pt>
              </c:strCache>
            </c:strRef>
          </c:tx>
          <c:spPr>
            <a:ln w="28575" cap="rnd">
              <a:solidFill>
                <a:schemeClr val="accent4"/>
              </a:solidFill>
              <a:prstDash val="sysDot"/>
              <a:round/>
            </a:ln>
            <a:effectLst/>
          </c:spPr>
          <c:marker>
            <c:symbol val="none"/>
          </c:marker>
          <c:cat>
            <c:numRef>
              <c:f>'3BR_H-combined'!$B$2:$B$145</c:f>
              <c:numCache>
                <c:formatCode>mmm\-yy</c:formatCode>
                <c:ptCount val="144"/>
                <c:pt idx="0">
                  <c:v>32933</c:v>
                </c:pt>
                <c:pt idx="1">
                  <c:v>33025</c:v>
                </c:pt>
                <c:pt idx="2">
                  <c:v>33117</c:v>
                </c:pt>
                <c:pt idx="3">
                  <c:v>33208</c:v>
                </c:pt>
                <c:pt idx="4">
                  <c:v>33298</c:v>
                </c:pt>
                <c:pt idx="5">
                  <c:v>33390</c:v>
                </c:pt>
                <c:pt idx="6">
                  <c:v>33482</c:v>
                </c:pt>
                <c:pt idx="7">
                  <c:v>33573</c:v>
                </c:pt>
                <c:pt idx="8">
                  <c:v>33664</c:v>
                </c:pt>
                <c:pt idx="9">
                  <c:v>33756</c:v>
                </c:pt>
                <c:pt idx="10">
                  <c:v>33848</c:v>
                </c:pt>
                <c:pt idx="11">
                  <c:v>33939</c:v>
                </c:pt>
                <c:pt idx="12">
                  <c:v>34029</c:v>
                </c:pt>
                <c:pt idx="13">
                  <c:v>34121</c:v>
                </c:pt>
                <c:pt idx="14">
                  <c:v>34213</c:v>
                </c:pt>
                <c:pt idx="15">
                  <c:v>34304</c:v>
                </c:pt>
                <c:pt idx="16">
                  <c:v>34394</c:v>
                </c:pt>
                <c:pt idx="17">
                  <c:v>34486</c:v>
                </c:pt>
                <c:pt idx="18">
                  <c:v>34578</c:v>
                </c:pt>
                <c:pt idx="19">
                  <c:v>34669</c:v>
                </c:pt>
                <c:pt idx="20">
                  <c:v>34759</c:v>
                </c:pt>
                <c:pt idx="21">
                  <c:v>34851</c:v>
                </c:pt>
                <c:pt idx="22">
                  <c:v>34943</c:v>
                </c:pt>
                <c:pt idx="23">
                  <c:v>35034</c:v>
                </c:pt>
                <c:pt idx="24">
                  <c:v>35125</c:v>
                </c:pt>
                <c:pt idx="25">
                  <c:v>35217</c:v>
                </c:pt>
                <c:pt idx="26">
                  <c:v>35309</c:v>
                </c:pt>
                <c:pt idx="27">
                  <c:v>35400</c:v>
                </c:pt>
                <c:pt idx="28">
                  <c:v>35490</c:v>
                </c:pt>
                <c:pt idx="29">
                  <c:v>35582</c:v>
                </c:pt>
                <c:pt idx="30">
                  <c:v>35674</c:v>
                </c:pt>
                <c:pt idx="31">
                  <c:v>35765</c:v>
                </c:pt>
                <c:pt idx="32">
                  <c:v>35855</c:v>
                </c:pt>
                <c:pt idx="33">
                  <c:v>35947</c:v>
                </c:pt>
                <c:pt idx="34">
                  <c:v>36039</c:v>
                </c:pt>
                <c:pt idx="35">
                  <c:v>36130</c:v>
                </c:pt>
                <c:pt idx="36">
                  <c:v>36220</c:v>
                </c:pt>
                <c:pt idx="37">
                  <c:v>36312</c:v>
                </c:pt>
                <c:pt idx="38">
                  <c:v>36404</c:v>
                </c:pt>
                <c:pt idx="39">
                  <c:v>36495</c:v>
                </c:pt>
                <c:pt idx="40">
                  <c:v>36586</c:v>
                </c:pt>
                <c:pt idx="41">
                  <c:v>36678</c:v>
                </c:pt>
                <c:pt idx="42">
                  <c:v>36770</c:v>
                </c:pt>
                <c:pt idx="43">
                  <c:v>36861</c:v>
                </c:pt>
                <c:pt idx="44">
                  <c:v>36951</c:v>
                </c:pt>
                <c:pt idx="45">
                  <c:v>37043</c:v>
                </c:pt>
                <c:pt idx="46">
                  <c:v>37135</c:v>
                </c:pt>
                <c:pt idx="47">
                  <c:v>37226</c:v>
                </c:pt>
                <c:pt idx="48">
                  <c:v>37316</c:v>
                </c:pt>
                <c:pt idx="49">
                  <c:v>37408</c:v>
                </c:pt>
                <c:pt idx="50">
                  <c:v>37500</c:v>
                </c:pt>
                <c:pt idx="51">
                  <c:v>37591</c:v>
                </c:pt>
                <c:pt idx="52">
                  <c:v>37681</c:v>
                </c:pt>
                <c:pt idx="53">
                  <c:v>37773</c:v>
                </c:pt>
                <c:pt idx="54">
                  <c:v>37865</c:v>
                </c:pt>
                <c:pt idx="55">
                  <c:v>37956</c:v>
                </c:pt>
                <c:pt idx="56">
                  <c:v>38047</c:v>
                </c:pt>
                <c:pt idx="57">
                  <c:v>38139</c:v>
                </c:pt>
                <c:pt idx="58">
                  <c:v>38231</c:v>
                </c:pt>
                <c:pt idx="59">
                  <c:v>38322</c:v>
                </c:pt>
                <c:pt idx="60">
                  <c:v>38412</c:v>
                </c:pt>
                <c:pt idx="61">
                  <c:v>38504</c:v>
                </c:pt>
                <c:pt idx="62">
                  <c:v>38596</c:v>
                </c:pt>
                <c:pt idx="63">
                  <c:v>38687</c:v>
                </c:pt>
                <c:pt idx="64">
                  <c:v>38777</c:v>
                </c:pt>
                <c:pt idx="65">
                  <c:v>38869</c:v>
                </c:pt>
                <c:pt idx="66">
                  <c:v>38961</c:v>
                </c:pt>
                <c:pt idx="67">
                  <c:v>39052</c:v>
                </c:pt>
                <c:pt idx="68">
                  <c:v>39142</c:v>
                </c:pt>
                <c:pt idx="69">
                  <c:v>39234</c:v>
                </c:pt>
                <c:pt idx="70">
                  <c:v>39326</c:v>
                </c:pt>
                <c:pt idx="71">
                  <c:v>39417</c:v>
                </c:pt>
                <c:pt idx="72">
                  <c:v>39508</c:v>
                </c:pt>
                <c:pt idx="73">
                  <c:v>39600</c:v>
                </c:pt>
                <c:pt idx="74">
                  <c:v>39692</c:v>
                </c:pt>
                <c:pt idx="75">
                  <c:v>39783</c:v>
                </c:pt>
                <c:pt idx="76">
                  <c:v>39873</c:v>
                </c:pt>
                <c:pt idx="77">
                  <c:v>39965</c:v>
                </c:pt>
                <c:pt idx="78">
                  <c:v>40057</c:v>
                </c:pt>
                <c:pt idx="79">
                  <c:v>40148</c:v>
                </c:pt>
                <c:pt idx="80">
                  <c:v>40238</c:v>
                </c:pt>
                <c:pt idx="81">
                  <c:v>40330</c:v>
                </c:pt>
                <c:pt idx="82">
                  <c:v>40422</c:v>
                </c:pt>
                <c:pt idx="83">
                  <c:v>40513</c:v>
                </c:pt>
                <c:pt idx="84">
                  <c:v>40603</c:v>
                </c:pt>
                <c:pt idx="85">
                  <c:v>40695</c:v>
                </c:pt>
                <c:pt idx="86">
                  <c:v>40787</c:v>
                </c:pt>
                <c:pt idx="87">
                  <c:v>40878</c:v>
                </c:pt>
                <c:pt idx="88">
                  <c:v>40969</c:v>
                </c:pt>
                <c:pt idx="89">
                  <c:v>41061</c:v>
                </c:pt>
                <c:pt idx="90">
                  <c:v>41153</c:v>
                </c:pt>
                <c:pt idx="91">
                  <c:v>41244</c:v>
                </c:pt>
                <c:pt idx="92">
                  <c:v>41334</c:v>
                </c:pt>
                <c:pt idx="93">
                  <c:v>41426</c:v>
                </c:pt>
                <c:pt idx="94">
                  <c:v>41518</c:v>
                </c:pt>
                <c:pt idx="95">
                  <c:v>41609</c:v>
                </c:pt>
                <c:pt idx="96">
                  <c:v>41699</c:v>
                </c:pt>
                <c:pt idx="97">
                  <c:v>41791</c:v>
                </c:pt>
                <c:pt idx="98">
                  <c:v>41883</c:v>
                </c:pt>
                <c:pt idx="99">
                  <c:v>41974</c:v>
                </c:pt>
                <c:pt idx="100">
                  <c:v>42064</c:v>
                </c:pt>
                <c:pt idx="101">
                  <c:v>42156</c:v>
                </c:pt>
                <c:pt idx="102">
                  <c:v>42248</c:v>
                </c:pt>
                <c:pt idx="103">
                  <c:v>42339</c:v>
                </c:pt>
                <c:pt idx="104">
                  <c:v>42430</c:v>
                </c:pt>
                <c:pt idx="105">
                  <c:v>42522</c:v>
                </c:pt>
                <c:pt idx="106">
                  <c:v>42614</c:v>
                </c:pt>
                <c:pt idx="107">
                  <c:v>42705</c:v>
                </c:pt>
                <c:pt idx="108">
                  <c:v>42795</c:v>
                </c:pt>
                <c:pt idx="109">
                  <c:v>42887</c:v>
                </c:pt>
                <c:pt idx="110">
                  <c:v>42979</c:v>
                </c:pt>
                <c:pt idx="111">
                  <c:v>43070</c:v>
                </c:pt>
                <c:pt idx="112">
                  <c:v>43160</c:v>
                </c:pt>
                <c:pt idx="113">
                  <c:v>43252</c:v>
                </c:pt>
                <c:pt idx="114">
                  <c:v>43344</c:v>
                </c:pt>
                <c:pt idx="115">
                  <c:v>43435</c:v>
                </c:pt>
                <c:pt idx="116">
                  <c:v>43525</c:v>
                </c:pt>
                <c:pt idx="117">
                  <c:v>43617</c:v>
                </c:pt>
                <c:pt idx="118">
                  <c:v>43709</c:v>
                </c:pt>
                <c:pt idx="119">
                  <c:v>43800</c:v>
                </c:pt>
                <c:pt idx="120">
                  <c:v>43891</c:v>
                </c:pt>
                <c:pt idx="121">
                  <c:v>43983</c:v>
                </c:pt>
                <c:pt idx="122">
                  <c:v>44075</c:v>
                </c:pt>
                <c:pt idx="123">
                  <c:v>44166</c:v>
                </c:pt>
                <c:pt idx="124">
                  <c:v>44256</c:v>
                </c:pt>
                <c:pt idx="125">
                  <c:v>44348</c:v>
                </c:pt>
                <c:pt idx="126">
                  <c:v>44440</c:v>
                </c:pt>
                <c:pt idx="127">
                  <c:v>44531</c:v>
                </c:pt>
                <c:pt idx="128">
                  <c:v>44621</c:v>
                </c:pt>
                <c:pt idx="129">
                  <c:v>44713</c:v>
                </c:pt>
                <c:pt idx="130">
                  <c:v>44805</c:v>
                </c:pt>
                <c:pt idx="131">
                  <c:v>44896</c:v>
                </c:pt>
                <c:pt idx="132">
                  <c:v>44986</c:v>
                </c:pt>
                <c:pt idx="133">
                  <c:v>45078</c:v>
                </c:pt>
                <c:pt idx="134">
                  <c:v>45170</c:v>
                </c:pt>
                <c:pt idx="135">
                  <c:v>45261</c:v>
                </c:pt>
                <c:pt idx="136">
                  <c:v>45352</c:v>
                </c:pt>
                <c:pt idx="137">
                  <c:v>45444</c:v>
                </c:pt>
                <c:pt idx="138">
                  <c:v>45536</c:v>
                </c:pt>
                <c:pt idx="139">
                  <c:v>45627</c:v>
                </c:pt>
                <c:pt idx="140">
                  <c:v>45717</c:v>
                </c:pt>
                <c:pt idx="141">
                  <c:v>45809</c:v>
                </c:pt>
                <c:pt idx="142">
                  <c:v>45901</c:v>
                </c:pt>
                <c:pt idx="143">
                  <c:v>45992</c:v>
                </c:pt>
              </c:numCache>
            </c:numRef>
          </c:cat>
          <c:val>
            <c:numRef>
              <c:f>'3BR_H-combined'!$AF$2:$AF$145</c:f>
              <c:numCache>
                <c:formatCode>General</c:formatCode>
                <c:ptCount val="144"/>
                <c:pt idx="0">
                  <c:v>170</c:v>
                </c:pt>
                <c:pt idx="1">
                  <c:v>170</c:v>
                </c:pt>
                <c:pt idx="2">
                  <c:v>170</c:v>
                </c:pt>
                <c:pt idx="3">
                  <c:v>175</c:v>
                </c:pt>
                <c:pt idx="4">
                  <c:v>175</c:v>
                </c:pt>
                <c:pt idx="5">
                  <c:v>175</c:v>
                </c:pt>
                <c:pt idx="6">
                  <c:v>175</c:v>
                </c:pt>
                <c:pt idx="7">
                  <c:v>175</c:v>
                </c:pt>
                <c:pt idx="8">
                  <c:v>175</c:v>
                </c:pt>
                <c:pt idx="9">
                  <c:v>175</c:v>
                </c:pt>
                <c:pt idx="10">
                  <c:v>175</c:v>
                </c:pt>
                <c:pt idx="11">
                  <c:v>175</c:v>
                </c:pt>
                <c:pt idx="12">
                  <c:v>175</c:v>
                </c:pt>
                <c:pt idx="13">
                  <c:v>175</c:v>
                </c:pt>
                <c:pt idx="14">
                  <c:v>175</c:v>
                </c:pt>
                <c:pt idx="15">
                  <c:v>175</c:v>
                </c:pt>
                <c:pt idx="16">
                  <c:v>175</c:v>
                </c:pt>
                <c:pt idx="17">
                  <c:v>175</c:v>
                </c:pt>
                <c:pt idx="18">
                  <c:v>175</c:v>
                </c:pt>
                <c:pt idx="19">
                  <c:v>180</c:v>
                </c:pt>
                <c:pt idx="20">
                  <c:v>180</c:v>
                </c:pt>
                <c:pt idx="21">
                  <c:v>180</c:v>
                </c:pt>
                <c:pt idx="22">
                  <c:v>180</c:v>
                </c:pt>
                <c:pt idx="23">
                  <c:v>180</c:v>
                </c:pt>
                <c:pt idx="24">
                  <c:v>180</c:v>
                </c:pt>
                <c:pt idx="25">
                  <c:v>180</c:v>
                </c:pt>
                <c:pt idx="26">
                  <c:v>185</c:v>
                </c:pt>
                <c:pt idx="27">
                  <c:v>185</c:v>
                </c:pt>
                <c:pt idx="28">
                  <c:v>185</c:v>
                </c:pt>
                <c:pt idx="29">
                  <c:v>185</c:v>
                </c:pt>
                <c:pt idx="30">
                  <c:v>185</c:v>
                </c:pt>
                <c:pt idx="31">
                  <c:v>190</c:v>
                </c:pt>
                <c:pt idx="32">
                  <c:v>190</c:v>
                </c:pt>
                <c:pt idx="33">
                  <c:v>190</c:v>
                </c:pt>
                <c:pt idx="34">
                  <c:v>190</c:v>
                </c:pt>
                <c:pt idx="35">
                  <c:v>195</c:v>
                </c:pt>
                <c:pt idx="36">
                  <c:v>195</c:v>
                </c:pt>
                <c:pt idx="37">
                  <c:v>200</c:v>
                </c:pt>
                <c:pt idx="38">
                  <c:v>200</c:v>
                </c:pt>
                <c:pt idx="39">
                  <c:v>200</c:v>
                </c:pt>
                <c:pt idx="40">
                  <c:v>210</c:v>
                </c:pt>
                <c:pt idx="41">
                  <c:v>210</c:v>
                </c:pt>
                <c:pt idx="42">
                  <c:v>215</c:v>
                </c:pt>
                <c:pt idx="43">
                  <c:v>215</c:v>
                </c:pt>
                <c:pt idx="44">
                  <c:v>220</c:v>
                </c:pt>
                <c:pt idx="45">
                  <c:v>220</c:v>
                </c:pt>
                <c:pt idx="46">
                  <c:v>220</c:v>
                </c:pt>
                <c:pt idx="47">
                  <c:v>220</c:v>
                </c:pt>
                <c:pt idx="48">
                  <c:v>220</c:v>
                </c:pt>
                <c:pt idx="49">
                  <c:v>230</c:v>
                </c:pt>
                <c:pt idx="50">
                  <c:v>230</c:v>
                </c:pt>
                <c:pt idx="51">
                  <c:v>230</c:v>
                </c:pt>
                <c:pt idx="52">
                  <c:v>230</c:v>
                </c:pt>
                <c:pt idx="53">
                  <c:v>230</c:v>
                </c:pt>
                <c:pt idx="54">
                  <c:v>230</c:v>
                </c:pt>
                <c:pt idx="55">
                  <c:v>230</c:v>
                </c:pt>
                <c:pt idx="56">
                  <c:v>235</c:v>
                </c:pt>
                <c:pt idx="57">
                  <c:v>240</c:v>
                </c:pt>
                <c:pt idx="58">
                  <c:v>240</c:v>
                </c:pt>
                <c:pt idx="59">
                  <c:v>240</c:v>
                </c:pt>
                <c:pt idx="60">
                  <c:v>240</c:v>
                </c:pt>
                <c:pt idx="61">
                  <c:v>240</c:v>
                </c:pt>
                <c:pt idx="62">
                  <c:v>245</c:v>
                </c:pt>
                <c:pt idx="63">
                  <c:v>250</c:v>
                </c:pt>
                <c:pt idx="64">
                  <c:v>250</c:v>
                </c:pt>
                <c:pt idx="65">
                  <c:v>250</c:v>
                </c:pt>
                <c:pt idx="66">
                  <c:v>250</c:v>
                </c:pt>
                <c:pt idx="67">
                  <c:v>260</c:v>
                </c:pt>
                <c:pt idx="68">
                  <c:v>260</c:v>
                </c:pt>
                <c:pt idx="69">
                  <c:v>265</c:v>
                </c:pt>
                <c:pt idx="70">
                  <c:v>270</c:v>
                </c:pt>
                <c:pt idx="71">
                  <c:v>280</c:v>
                </c:pt>
                <c:pt idx="72">
                  <c:v>290</c:v>
                </c:pt>
                <c:pt idx="73">
                  <c:v>300</c:v>
                </c:pt>
                <c:pt idx="74">
                  <c:v>310</c:v>
                </c:pt>
                <c:pt idx="75">
                  <c:v>315</c:v>
                </c:pt>
                <c:pt idx="76">
                  <c:v>320</c:v>
                </c:pt>
                <c:pt idx="77">
                  <c:v>320</c:v>
                </c:pt>
                <c:pt idx="78">
                  <c:v>330</c:v>
                </c:pt>
                <c:pt idx="79">
                  <c:v>340</c:v>
                </c:pt>
                <c:pt idx="80">
                  <c:v>350</c:v>
                </c:pt>
                <c:pt idx="81">
                  <c:v>350</c:v>
                </c:pt>
                <c:pt idx="82">
                  <c:v>360</c:v>
                </c:pt>
                <c:pt idx="83">
                  <c:v>370</c:v>
                </c:pt>
                <c:pt idx="84">
                  <c:v>370</c:v>
                </c:pt>
                <c:pt idx="85">
                  <c:v>375</c:v>
                </c:pt>
                <c:pt idx="86">
                  <c:v>380</c:v>
                </c:pt>
                <c:pt idx="87">
                  <c:v>380</c:v>
                </c:pt>
                <c:pt idx="88">
                  <c:v>385</c:v>
                </c:pt>
                <c:pt idx="89">
                  <c:v>385</c:v>
                </c:pt>
                <c:pt idx="90">
                  <c:v>390</c:v>
                </c:pt>
                <c:pt idx="91">
                  <c:v>390</c:v>
                </c:pt>
                <c:pt idx="92">
                  <c:v>400</c:v>
                </c:pt>
                <c:pt idx="93">
                  <c:v>400</c:v>
                </c:pt>
                <c:pt idx="94">
                  <c:v>400</c:v>
                </c:pt>
                <c:pt idx="95">
                  <c:v>400</c:v>
                </c:pt>
                <c:pt idx="96">
                  <c:v>410</c:v>
                </c:pt>
                <c:pt idx="97">
                  <c:v>420</c:v>
                </c:pt>
                <c:pt idx="98">
                  <c:v>420</c:v>
                </c:pt>
                <c:pt idx="99">
                  <c:v>420</c:v>
                </c:pt>
                <c:pt idx="100">
                  <c:v>425</c:v>
                </c:pt>
                <c:pt idx="101">
                  <c:v>430</c:v>
                </c:pt>
                <c:pt idx="102">
                  <c:v>430</c:v>
                </c:pt>
                <c:pt idx="103">
                  <c:v>440</c:v>
                </c:pt>
                <c:pt idx="104">
                  <c:v>450</c:v>
                </c:pt>
                <c:pt idx="105">
                  <c:v>440</c:v>
                </c:pt>
                <c:pt idx="106">
                  <c:v>440</c:v>
                </c:pt>
                <c:pt idx="107">
                  <c:v>450</c:v>
                </c:pt>
                <c:pt idx="108">
                  <c:v>450</c:v>
                </c:pt>
                <c:pt idx="109">
                  <c:v>450</c:v>
                </c:pt>
                <c:pt idx="110">
                  <c:v>450</c:v>
                </c:pt>
                <c:pt idx="111">
                  <c:v>450</c:v>
                </c:pt>
                <c:pt idx="112">
                  <c:v>455</c:v>
                </c:pt>
                <c:pt idx="113">
                  <c:v>450</c:v>
                </c:pt>
                <c:pt idx="114">
                  <c:v>450</c:v>
                </c:pt>
                <c:pt idx="115">
                  <c:v>450</c:v>
                </c:pt>
                <c:pt idx="116">
                  <c:v>450</c:v>
                </c:pt>
                <c:pt idx="117">
                  <c:v>445</c:v>
                </c:pt>
                <c:pt idx="118">
                  <c:v>440</c:v>
                </c:pt>
                <c:pt idx="119">
                  <c:v>450</c:v>
                </c:pt>
                <c:pt idx="120">
                  <c:v>450</c:v>
                </c:pt>
                <c:pt idx="121">
                  <c:v>440</c:v>
                </c:pt>
                <c:pt idx="122">
                  <c:v>450</c:v>
                </c:pt>
                <c:pt idx="123">
                  <c:v>460</c:v>
                </c:pt>
                <c:pt idx="124">
                  <c:v>470</c:v>
                </c:pt>
                <c:pt idx="125">
                  <c:v>475</c:v>
                </c:pt>
                <c:pt idx="126">
                  <c:v>480</c:v>
                </c:pt>
                <c:pt idx="127">
                  <c:v>500</c:v>
                </c:pt>
                <c:pt idx="128">
                  <c:v>500</c:v>
                </c:pt>
                <c:pt idx="129">
                  <c:v>525</c:v>
                </c:pt>
                <c:pt idx="130">
                  <c:v>540</c:v>
                </c:pt>
                <c:pt idx="131">
                  <c:v>550</c:v>
                </c:pt>
                <c:pt idx="132">
                  <c:v>550</c:v>
                </c:pt>
                <c:pt idx="133">
                  <c:v>565</c:v>
                </c:pt>
                <c:pt idx="134">
                  <c:v>590</c:v>
                </c:pt>
                <c:pt idx="135">
                  <c:v>600</c:v>
                </c:pt>
                <c:pt idx="136">
                  <c:v>600</c:v>
                </c:pt>
                <c:pt idx="137">
                  <c:v>625</c:v>
                </c:pt>
                <c:pt idx="138">
                  <c:v>650</c:v>
                </c:pt>
                <c:pt idx="139">
                  <c:v>650</c:v>
                </c:pt>
                <c:pt idx="140">
                  <c:v>650</c:v>
                </c:pt>
                <c:pt idx="141">
                  <c:v>650</c:v>
                </c:pt>
                <c:pt idx="142">
                  <c:v>650</c:v>
                </c:pt>
                <c:pt idx="143">
                  <c:v>670</c:v>
                </c:pt>
              </c:numCache>
            </c:numRef>
          </c:val>
          <c:smooth val="0"/>
          <c:extLst>
            <c:ext xmlns:c16="http://schemas.microsoft.com/office/drawing/2014/chart" uri="{C3380CC4-5D6E-409C-BE32-E72D297353CC}">
              <c16:uniqueId val="{00000003-BD94-4DDC-8360-46B49DD12A0E}"/>
            </c:ext>
          </c:extLst>
        </c:ser>
        <c:dLbls>
          <c:showLegendKey val="0"/>
          <c:showVal val="0"/>
          <c:showCatName val="0"/>
          <c:showSerName val="0"/>
          <c:showPercent val="0"/>
          <c:showBubbleSize val="0"/>
        </c:dLbls>
        <c:smooth val="0"/>
        <c:axId val="1213482335"/>
        <c:axId val="1213483775"/>
      </c:lineChart>
      <c:dateAx>
        <c:axId val="1213482335"/>
        <c:scaling>
          <c:orientation val="minMax"/>
          <c:min val="33025"/>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3775"/>
        <c:crosses val="autoZero"/>
        <c:auto val="1"/>
        <c:lblOffset val="100"/>
        <c:baseTimeUnit val="months"/>
        <c:majorUnit val="24"/>
        <c:majorTimeUnit val="months"/>
      </c:dateAx>
      <c:valAx>
        <c:axId val="12134837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2335"/>
        <c:crosses val="autoZero"/>
        <c:crossBetween val="between"/>
        <c:min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Home sale prices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ABS median house price</c:v>
          </c:tx>
          <c:spPr>
            <a:ln w="38100" cap="rnd">
              <a:solidFill>
                <a:schemeClr val="accent5"/>
              </a:solidFill>
              <a:prstDash val="sysDot"/>
              <a:round/>
            </a:ln>
            <a:effectLst/>
          </c:spPr>
          <c:marker>
            <c:symbol val="none"/>
          </c:marker>
          <c:cat>
            <c:numRef>
              <c:f>'ABS-total-value-dwellings'!$A$11:$A$106</c:f>
              <c:numCache>
                <c:formatCode>mmm\-yyyy</c:formatCode>
                <c:ptCount val="96"/>
                <c:pt idx="0">
                  <c:v>37316</c:v>
                </c:pt>
                <c:pt idx="1">
                  <c:v>37408</c:v>
                </c:pt>
                <c:pt idx="2">
                  <c:v>37500</c:v>
                </c:pt>
                <c:pt idx="3">
                  <c:v>37591</c:v>
                </c:pt>
                <c:pt idx="4">
                  <c:v>37681</c:v>
                </c:pt>
                <c:pt idx="5">
                  <c:v>37773</c:v>
                </c:pt>
                <c:pt idx="6">
                  <c:v>37865</c:v>
                </c:pt>
                <c:pt idx="7">
                  <c:v>37956</c:v>
                </c:pt>
                <c:pt idx="8">
                  <c:v>38047</c:v>
                </c:pt>
                <c:pt idx="9">
                  <c:v>38139</c:v>
                </c:pt>
                <c:pt idx="10">
                  <c:v>38231</c:v>
                </c:pt>
                <c:pt idx="11">
                  <c:v>38322</c:v>
                </c:pt>
                <c:pt idx="12">
                  <c:v>38412</c:v>
                </c:pt>
                <c:pt idx="13">
                  <c:v>38504</c:v>
                </c:pt>
                <c:pt idx="14">
                  <c:v>38596</c:v>
                </c:pt>
                <c:pt idx="15">
                  <c:v>38687</c:v>
                </c:pt>
                <c:pt idx="16">
                  <c:v>38777</c:v>
                </c:pt>
                <c:pt idx="17">
                  <c:v>38869</c:v>
                </c:pt>
                <c:pt idx="18">
                  <c:v>38961</c:v>
                </c:pt>
                <c:pt idx="19">
                  <c:v>39052</c:v>
                </c:pt>
                <c:pt idx="20">
                  <c:v>39142</c:v>
                </c:pt>
                <c:pt idx="21">
                  <c:v>39234</c:v>
                </c:pt>
                <c:pt idx="22">
                  <c:v>39326</c:v>
                </c:pt>
                <c:pt idx="23">
                  <c:v>39417</c:v>
                </c:pt>
                <c:pt idx="24">
                  <c:v>39508</c:v>
                </c:pt>
                <c:pt idx="25">
                  <c:v>39600</c:v>
                </c:pt>
                <c:pt idx="26">
                  <c:v>39692</c:v>
                </c:pt>
                <c:pt idx="27">
                  <c:v>39783</c:v>
                </c:pt>
                <c:pt idx="28">
                  <c:v>39873</c:v>
                </c:pt>
                <c:pt idx="29">
                  <c:v>39965</c:v>
                </c:pt>
                <c:pt idx="30">
                  <c:v>40057</c:v>
                </c:pt>
                <c:pt idx="31">
                  <c:v>40148</c:v>
                </c:pt>
                <c:pt idx="32">
                  <c:v>40238</c:v>
                </c:pt>
                <c:pt idx="33">
                  <c:v>40330</c:v>
                </c:pt>
                <c:pt idx="34">
                  <c:v>40422</c:v>
                </c:pt>
                <c:pt idx="35">
                  <c:v>40513</c:v>
                </c:pt>
                <c:pt idx="36">
                  <c:v>40603</c:v>
                </c:pt>
                <c:pt idx="37">
                  <c:v>40695</c:v>
                </c:pt>
                <c:pt idx="38">
                  <c:v>40787</c:v>
                </c:pt>
                <c:pt idx="39">
                  <c:v>40878</c:v>
                </c:pt>
                <c:pt idx="40">
                  <c:v>40969</c:v>
                </c:pt>
                <c:pt idx="41">
                  <c:v>41061</c:v>
                </c:pt>
                <c:pt idx="42">
                  <c:v>41153</c:v>
                </c:pt>
                <c:pt idx="43">
                  <c:v>41244</c:v>
                </c:pt>
                <c:pt idx="44">
                  <c:v>41334</c:v>
                </c:pt>
                <c:pt idx="45">
                  <c:v>41426</c:v>
                </c:pt>
                <c:pt idx="46">
                  <c:v>41518</c:v>
                </c:pt>
                <c:pt idx="47">
                  <c:v>41609</c:v>
                </c:pt>
                <c:pt idx="48">
                  <c:v>41699</c:v>
                </c:pt>
                <c:pt idx="49">
                  <c:v>41791</c:v>
                </c:pt>
                <c:pt idx="50">
                  <c:v>41883</c:v>
                </c:pt>
                <c:pt idx="51">
                  <c:v>41974</c:v>
                </c:pt>
                <c:pt idx="52">
                  <c:v>42064</c:v>
                </c:pt>
                <c:pt idx="53">
                  <c:v>42156</c:v>
                </c:pt>
                <c:pt idx="54">
                  <c:v>42248</c:v>
                </c:pt>
                <c:pt idx="55">
                  <c:v>42339</c:v>
                </c:pt>
                <c:pt idx="56">
                  <c:v>42430</c:v>
                </c:pt>
                <c:pt idx="57">
                  <c:v>42522</c:v>
                </c:pt>
                <c:pt idx="58">
                  <c:v>42614</c:v>
                </c:pt>
                <c:pt idx="59">
                  <c:v>42705</c:v>
                </c:pt>
                <c:pt idx="60">
                  <c:v>42795</c:v>
                </c:pt>
                <c:pt idx="61">
                  <c:v>42887</c:v>
                </c:pt>
                <c:pt idx="62">
                  <c:v>42979</c:v>
                </c:pt>
                <c:pt idx="63">
                  <c:v>43070</c:v>
                </c:pt>
                <c:pt idx="64">
                  <c:v>43160</c:v>
                </c:pt>
                <c:pt idx="65">
                  <c:v>43252</c:v>
                </c:pt>
                <c:pt idx="66">
                  <c:v>43344</c:v>
                </c:pt>
                <c:pt idx="67">
                  <c:v>43435</c:v>
                </c:pt>
                <c:pt idx="68">
                  <c:v>43525</c:v>
                </c:pt>
                <c:pt idx="69">
                  <c:v>43617</c:v>
                </c:pt>
                <c:pt idx="70">
                  <c:v>43709</c:v>
                </c:pt>
                <c:pt idx="71">
                  <c:v>43800</c:v>
                </c:pt>
                <c:pt idx="72">
                  <c:v>43891</c:v>
                </c:pt>
                <c:pt idx="73">
                  <c:v>43983</c:v>
                </c:pt>
                <c:pt idx="74">
                  <c:v>44075</c:v>
                </c:pt>
                <c:pt idx="75">
                  <c:v>44166</c:v>
                </c:pt>
                <c:pt idx="76">
                  <c:v>44256</c:v>
                </c:pt>
                <c:pt idx="77">
                  <c:v>44348</c:v>
                </c:pt>
                <c:pt idx="78">
                  <c:v>44440</c:v>
                </c:pt>
                <c:pt idx="79">
                  <c:v>44531</c:v>
                </c:pt>
                <c:pt idx="80">
                  <c:v>44621</c:v>
                </c:pt>
                <c:pt idx="81">
                  <c:v>44713</c:v>
                </c:pt>
                <c:pt idx="82">
                  <c:v>44805</c:v>
                </c:pt>
                <c:pt idx="83">
                  <c:v>44896</c:v>
                </c:pt>
                <c:pt idx="84">
                  <c:v>44986</c:v>
                </c:pt>
                <c:pt idx="85">
                  <c:v>45078</c:v>
                </c:pt>
                <c:pt idx="86">
                  <c:v>45170</c:v>
                </c:pt>
                <c:pt idx="87">
                  <c:v>45261</c:v>
                </c:pt>
                <c:pt idx="88">
                  <c:v>45352</c:v>
                </c:pt>
                <c:pt idx="89">
                  <c:v>45444</c:v>
                </c:pt>
                <c:pt idx="90">
                  <c:v>45536</c:v>
                </c:pt>
                <c:pt idx="91">
                  <c:v>45627</c:v>
                </c:pt>
                <c:pt idx="92">
                  <c:v>45717</c:v>
                </c:pt>
                <c:pt idx="93">
                  <c:v>45809</c:v>
                </c:pt>
                <c:pt idx="94">
                  <c:v>45901</c:v>
                </c:pt>
                <c:pt idx="95">
                  <c:v>45992</c:v>
                </c:pt>
              </c:numCache>
            </c:numRef>
          </c:cat>
          <c:val>
            <c:numRef>
              <c:f>'ABS-total-value-dwellings'!$B$11:$B$106</c:f>
              <c:numCache>
                <c:formatCode>0.0;\-0.0;0.0;@</c:formatCode>
                <c:ptCount val="96"/>
                <c:pt idx="0">
                  <c:v>365</c:v>
                </c:pt>
                <c:pt idx="1">
                  <c:v>393.5</c:v>
                </c:pt>
                <c:pt idx="2">
                  <c:v>413</c:v>
                </c:pt>
                <c:pt idx="3">
                  <c:v>444</c:v>
                </c:pt>
                <c:pt idx="4">
                  <c:v>434.5</c:v>
                </c:pt>
                <c:pt idx="5">
                  <c:v>460</c:v>
                </c:pt>
                <c:pt idx="6">
                  <c:v>480</c:v>
                </c:pt>
                <c:pt idx="7">
                  <c:v>520</c:v>
                </c:pt>
                <c:pt idx="8">
                  <c:v>523</c:v>
                </c:pt>
                <c:pt idx="9">
                  <c:v>498</c:v>
                </c:pt>
                <c:pt idx="10">
                  <c:v>500</c:v>
                </c:pt>
                <c:pt idx="11">
                  <c:v>515</c:v>
                </c:pt>
                <c:pt idx="12">
                  <c:v>486</c:v>
                </c:pt>
                <c:pt idx="13">
                  <c:v>500</c:v>
                </c:pt>
                <c:pt idx="14">
                  <c:v>490</c:v>
                </c:pt>
                <c:pt idx="15">
                  <c:v>500</c:v>
                </c:pt>
                <c:pt idx="16">
                  <c:v>470</c:v>
                </c:pt>
                <c:pt idx="17">
                  <c:v>495</c:v>
                </c:pt>
                <c:pt idx="18">
                  <c:v>482</c:v>
                </c:pt>
                <c:pt idx="19">
                  <c:v>500</c:v>
                </c:pt>
                <c:pt idx="20">
                  <c:v>480</c:v>
                </c:pt>
                <c:pt idx="21">
                  <c:v>512.29999999999995</c:v>
                </c:pt>
                <c:pt idx="22">
                  <c:v>514</c:v>
                </c:pt>
                <c:pt idx="23">
                  <c:v>540</c:v>
                </c:pt>
                <c:pt idx="24">
                  <c:v>495</c:v>
                </c:pt>
                <c:pt idx="25">
                  <c:v>517</c:v>
                </c:pt>
                <c:pt idx="26">
                  <c:v>482</c:v>
                </c:pt>
                <c:pt idx="27">
                  <c:v>468</c:v>
                </c:pt>
                <c:pt idx="28">
                  <c:v>448</c:v>
                </c:pt>
                <c:pt idx="29">
                  <c:v>490</c:v>
                </c:pt>
                <c:pt idx="30">
                  <c:v>500</c:v>
                </c:pt>
                <c:pt idx="31">
                  <c:v>595</c:v>
                </c:pt>
                <c:pt idx="32">
                  <c:v>583</c:v>
                </c:pt>
                <c:pt idx="33">
                  <c:v>612.5</c:v>
                </c:pt>
                <c:pt idx="34">
                  <c:v>598</c:v>
                </c:pt>
                <c:pt idx="35">
                  <c:v>620</c:v>
                </c:pt>
                <c:pt idx="36">
                  <c:v>575</c:v>
                </c:pt>
                <c:pt idx="37">
                  <c:v>592</c:v>
                </c:pt>
                <c:pt idx="38">
                  <c:v>567</c:v>
                </c:pt>
                <c:pt idx="39">
                  <c:v>533</c:v>
                </c:pt>
                <c:pt idx="40">
                  <c:v>607.5</c:v>
                </c:pt>
                <c:pt idx="41">
                  <c:v>600</c:v>
                </c:pt>
                <c:pt idx="42">
                  <c:v>585</c:v>
                </c:pt>
                <c:pt idx="43">
                  <c:v>640</c:v>
                </c:pt>
                <c:pt idx="44">
                  <c:v>615</c:v>
                </c:pt>
                <c:pt idx="45">
                  <c:v>650</c:v>
                </c:pt>
                <c:pt idx="46">
                  <c:v>670</c:v>
                </c:pt>
                <c:pt idx="47">
                  <c:v>745</c:v>
                </c:pt>
                <c:pt idx="48">
                  <c:v>680</c:v>
                </c:pt>
                <c:pt idx="49">
                  <c:v>728</c:v>
                </c:pt>
                <c:pt idx="50">
                  <c:v>730</c:v>
                </c:pt>
                <c:pt idx="51">
                  <c:v>816</c:v>
                </c:pt>
                <c:pt idx="52">
                  <c:v>792.5</c:v>
                </c:pt>
                <c:pt idx="53">
                  <c:v>860</c:v>
                </c:pt>
                <c:pt idx="54">
                  <c:v>888.2</c:v>
                </c:pt>
                <c:pt idx="55">
                  <c:v>915</c:v>
                </c:pt>
                <c:pt idx="56">
                  <c:v>850</c:v>
                </c:pt>
                <c:pt idx="57">
                  <c:v>895</c:v>
                </c:pt>
                <c:pt idx="58">
                  <c:v>900</c:v>
                </c:pt>
                <c:pt idx="59">
                  <c:v>985.5</c:v>
                </c:pt>
                <c:pt idx="60">
                  <c:v>930</c:v>
                </c:pt>
                <c:pt idx="61">
                  <c:v>1050</c:v>
                </c:pt>
                <c:pt idx="62">
                  <c:v>950</c:v>
                </c:pt>
                <c:pt idx="63">
                  <c:v>1029</c:v>
                </c:pt>
                <c:pt idx="64">
                  <c:v>955</c:v>
                </c:pt>
                <c:pt idx="65">
                  <c:v>973.1</c:v>
                </c:pt>
                <c:pt idx="66">
                  <c:v>950</c:v>
                </c:pt>
                <c:pt idx="67">
                  <c:v>940</c:v>
                </c:pt>
                <c:pt idx="68">
                  <c:v>870</c:v>
                </c:pt>
                <c:pt idx="69">
                  <c:v>897</c:v>
                </c:pt>
                <c:pt idx="70">
                  <c:v>900</c:v>
                </c:pt>
                <c:pt idx="71">
                  <c:v>985</c:v>
                </c:pt>
                <c:pt idx="72">
                  <c:v>947.5</c:v>
                </c:pt>
                <c:pt idx="73">
                  <c:v>955</c:v>
                </c:pt>
                <c:pt idx="74">
                  <c:v>945</c:v>
                </c:pt>
                <c:pt idx="75">
                  <c:v>999</c:v>
                </c:pt>
                <c:pt idx="76">
                  <c:v>1052</c:v>
                </c:pt>
                <c:pt idx="77">
                  <c:v>1206.4000000000001</c:v>
                </c:pt>
                <c:pt idx="78">
                  <c:v>1300</c:v>
                </c:pt>
                <c:pt idx="79">
                  <c:v>1360</c:v>
                </c:pt>
                <c:pt idx="80">
                  <c:v>1325</c:v>
                </c:pt>
                <c:pt idx="81">
                  <c:v>1350</c:v>
                </c:pt>
                <c:pt idx="82">
                  <c:v>1300</c:v>
                </c:pt>
                <c:pt idx="83">
                  <c:v>1300</c:v>
                </c:pt>
                <c:pt idx="84">
                  <c:v>1250.0999999999999</c:v>
                </c:pt>
                <c:pt idx="85">
                  <c:v>1355</c:v>
                </c:pt>
                <c:pt idx="86">
                  <c:v>1370</c:v>
                </c:pt>
                <c:pt idx="87">
                  <c:v>1420</c:v>
                </c:pt>
                <c:pt idx="88">
                  <c:v>1401</c:v>
                </c:pt>
                <c:pt idx="89">
                  <c:v>1455</c:v>
                </c:pt>
                <c:pt idx="90">
                  <c:v>1410</c:v>
                </c:pt>
                <c:pt idx="91">
                  <c:v>1450</c:v>
                </c:pt>
                <c:pt idx="92">
                  <c:v>1450</c:v>
                </c:pt>
                <c:pt idx="93">
                  <c:v>1520</c:v>
                </c:pt>
                <c:pt idx="94">
                  <c:v>1511</c:v>
                </c:pt>
                <c:pt idx="95">
                  <c:v>1515</c:v>
                </c:pt>
              </c:numCache>
            </c:numRef>
          </c:val>
          <c:smooth val="0"/>
          <c:extLst>
            <c:ext xmlns:c16="http://schemas.microsoft.com/office/drawing/2014/chart" uri="{C3380CC4-5D6E-409C-BE32-E72D297353CC}">
              <c16:uniqueId val="{00000000-E8DC-4E95-94ED-4DA2A0FDB7EB}"/>
            </c:ext>
          </c:extLst>
        </c:ser>
        <c:ser>
          <c:idx val="1"/>
          <c:order val="1"/>
          <c:tx>
            <c:v>ABS median attached dwelling price</c:v>
          </c:tx>
          <c:spPr>
            <a:ln w="38100" cap="rnd">
              <a:solidFill>
                <a:schemeClr val="accent2"/>
              </a:solidFill>
              <a:prstDash val="sysDot"/>
              <a:round/>
            </a:ln>
            <a:effectLst/>
          </c:spPr>
          <c:marker>
            <c:symbol val="none"/>
          </c:marker>
          <c:cat>
            <c:numRef>
              <c:f>'ABS-total-value-dwellings'!$A$11:$A$106</c:f>
              <c:numCache>
                <c:formatCode>mmm\-yyyy</c:formatCode>
                <c:ptCount val="96"/>
                <c:pt idx="0">
                  <c:v>37316</c:v>
                </c:pt>
                <c:pt idx="1">
                  <c:v>37408</c:v>
                </c:pt>
                <c:pt idx="2">
                  <c:v>37500</c:v>
                </c:pt>
                <c:pt idx="3">
                  <c:v>37591</c:v>
                </c:pt>
                <c:pt idx="4">
                  <c:v>37681</c:v>
                </c:pt>
                <c:pt idx="5">
                  <c:v>37773</c:v>
                </c:pt>
                <c:pt idx="6">
                  <c:v>37865</c:v>
                </c:pt>
                <c:pt idx="7">
                  <c:v>37956</c:v>
                </c:pt>
                <c:pt idx="8">
                  <c:v>38047</c:v>
                </c:pt>
                <c:pt idx="9">
                  <c:v>38139</c:v>
                </c:pt>
                <c:pt idx="10">
                  <c:v>38231</c:v>
                </c:pt>
                <c:pt idx="11">
                  <c:v>38322</c:v>
                </c:pt>
                <c:pt idx="12">
                  <c:v>38412</c:v>
                </c:pt>
                <c:pt idx="13">
                  <c:v>38504</c:v>
                </c:pt>
                <c:pt idx="14">
                  <c:v>38596</c:v>
                </c:pt>
                <c:pt idx="15">
                  <c:v>38687</c:v>
                </c:pt>
                <c:pt idx="16">
                  <c:v>38777</c:v>
                </c:pt>
                <c:pt idx="17">
                  <c:v>38869</c:v>
                </c:pt>
                <c:pt idx="18">
                  <c:v>38961</c:v>
                </c:pt>
                <c:pt idx="19">
                  <c:v>39052</c:v>
                </c:pt>
                <c:pt idx="20">
                  <c:v>39142</c:v>
                </c:pt>
                <c:pt idx="21">
                  <c:v>39234</c:v>
                </c:pt>
                <c:pt idx="22">
                  <c:v>39326</c:v>
                </c:pt>
                <c:pt idx="23">
                  <c:v>39417</c:v>
                </c:pt>
                <c:pt idx="24">
                  <c:v>39508</c:v>
                </c:pt>
                <c:pt idx="25">
                  <c:v>39600</c:v>
                </c:pt>
                <c:pt idx="26">
                  <c:v>39692</c:v>
                </c:pt>
                <c:pt idx="27">
                  <c:v>39783</c:v>
                </c:pt>
                <c:pt idx="28">
                  <c:v>39873</c:v>
                </c:pt>
                <c:pt idx="29">
                  <c:v>39965</c:v>
                </c:pt>
                <c:pt idx="30">
                  <c:v>40057</c:v>
                </c:pt>
                <c:pt idx="31">
                  <c:v>40148</c:v>
                </c:pt>
                <c:pt idx="32">
                  <c:v>40238</c:v>
                </c:pt>
                <c:pt idx="33">
                  <c:v>40330</c:v>
                </c:pt>
                <c:pt idx="34">
                  <c:v>40422</c:v>
                </c:pt>
                <c:pt idx="35">
                  <c:v>40513</c:v>
                </c:pt>
                <c:pt idx="36">
                  <c:v>40603</c:v>
                </c:pt>
                <c:pt idx="37">
                  <c:v>40695</c:v>
                </c:pt>
                <c:pt idx="38">
                  <c:v>40787</c:v>
                </c:pt>
                <c:pt idx="39">
                  <c:v>40878</c:v>
                </c:pt>
                <c:pt idx="40">
                  <c:v>40969</c:v>
                </c:pt>
                <c:pt idx="41">
                  <c:v>41061</c:v>
                </c:pt>
                <c:pt idx="42">
                  <c:v>41153</c:v>
                </c:pt>
                <c:pt idx="43">
                  <c:v>41244</c:v>
                </c:pt>
                <c:pt idx="44">
                  <c:v>41334</c:v>
                </c:pt>
                <c:pt idx="45">
                  <c:v>41426</c:v>
                </c:pt>
                <c:pt idx="46">
                  <c:v>41518</c:v>
                </c:pt>
                <c:pt idx="47">
                  <c:v>41609</c:v>
                </c:pt>
                <c:pt idx="48">
                  <c:v>41699</c:v>
                </c:pt>
                <c:pt idx="49">
                  <c:v>41791</c:v>
                </c:pt>
                <c:pt idx="50">
                  <c:v>41883</c:v>
                </c:pt>
                <c:pt idx="51">
                  <c:v>41974</c:v>
                </c:pt>
                <c:pt idx="52">
                  <c:v>42064</c:v>
                </c:pt>
                <c:pt idx="53">
                  <c:v>42156</c:v>
                </c:pt>
                <c:pt idx="54">
                  <c:v>42248</c:v>
                </c:pt>
                <c:pt idx="55">
                  <c:v>42339</c:v>
                </c:pt>
                <c:pt idx="56">
                  <c:v>42430</c:v>
                </c:pt>
                <c:pt idx="57">
                  <c:v>42522</c:v>
                </c:pt>
                <c:pt idx="58">
                  <c:v>42614</c:v>
                </c:pt>
                <c:pt idx="59">
                  <c:v>42705</c:v>
                </c:pt>
                <c:pt idx="60">
                  <c:v>42795</c:v>
                </c:pt>
                <c:pt idx="61">
                  <c:v>42887</c:v>
                </c:pt>
                <c:pt idx="62">
                  <c:v>42979</c:v>
                </c:pt>
                <c:pt idx="63">
                  <c:v>43070</c:v>
                </c:pt>
                <c:pt idx="64">
                  <c:v>43160</c:v>
                </c:pt>
                <c:pt idx="65">
                  <c:v>43252</c:v>
                </c:pt>
                <c:pt idx="66">
                  <c:v>43344</c:v>
                </c:pt>
                <c:pt idx="67">
                  <c:v>43435</c:v>
                </c:pt>
                <c:pt idx="68">
                  <c:v>43525</c:v>
                </c:pt>
                <c:pt idx="69">
                  <c:v>43617</c:v>
                </c:pt>
                <c:pt idx="70">
                  <c:v>43709</c:v>
                </c:pt>
                <c:pt idx="71">
                  <c:v>43800</c:v>
                </c:pt>
                <c:pt idx="72">
                  <c:v>43891</c:v>
                </c:pt>
                <c:pt idx="73">
                  <c:v>43983</c:v>
                </c:pt>
                <c:pt idx="74">
                  <c:v>44075</c:v>
                </c:pt>
                <c:pt idx="75">
                  <c:v>44166</c:v>
                </c:pt>
                <c:pt idx="76">
                  <c:v>44256</c:v>
                </c:pt>
                <c:pt idx="77">
                  <c:v>44348</c:v>
                </c:pt>
                <c:pt idx="78">
                  <c:v>44440</c:v>
                </c:pt>
                <c:pt idx="79">
                  <c:v>44531</c:v>
                </c:pt>
                <c:pt idx="80">
                  <c:v>44621</c:v>
                </c:pt>
                <c:pt idx="81">
                  <c:v>44713</c:v>
                </c:pt>
                <c:pt idx="82">
                  <c:v>44805</c:v>
                </c:pt>
                <c:pt idx="83">
                  <c:v>44896</c:v>
                </c:pt>
                <c:pt idx="84">
                  <c:v>44986</c:v>
                </c:pt>
                <c:pt idx="85">
                  <c:v>45078</c:v>
                </c:pt>
                <c:pt idx="86">
                  <c:v>45170</c:v>
                </c:pt>
                <c:pt idx="87">
                  <c:v>45261</c:v>
                </c:pt>
                <c:pt idx="88">
                  <c:v>45352</c:v>
                </c:pt>
                <c:pt idx="89">
                  <c:v>45444</c:v>
                </c:pt>
                <c:pt idx="90">
                  <c:v>45536</c:v>
                </c:pt>
                <c:pt idx="91">
                  <c:v>45627</c:v>
                </c:pt>
                <c:pt idx="92">
                  <c:v>45717</c:v>
                </c:pt>
                <c:pt idx="93">
                  <c:v>45809</c:v>
                </c:pt>
                <c:pt idx="94">
                  <c:v>45901</c:v>
                </c:pt>
                <c:pt idx="95">
                  <c:v>45992</c:v>
                </c:pt>
              </c:numCache>
            </c:numRef>
          </c:cat>
          <c:val>
            <c:numRef>
              <c:f>'ABS-total-value-dwellings'!$Q$11:$Q$106</c:f>
              <c:numCache>
                <c:formatCode>General</c:formatCode>
                <c:ptCount val="96"/>
                <c:pt idx="6" formatCode="0.0;\-0.0;0.0;@">
                  <c:v>371</c:v>
                </c:pt>
                <c:pt idx="7" formatCode="0.0;\-0.0;0.0;@">
                  <c:v>387</c:v>
                </c:pt>
                <c:pt idx="8" formatCode="0.0;\-0.0;0.0;@">
                  <c:v>380</c:v>
                </c:pt>
                <c:pt idx="9" formatCode="0.0;\-0.0;0.0;@">
                  <c:v>380</c:v>
                </c:pt>
                <c:pt idx="10" formatCode="0.0;\-0.0;0.0;@">
                  <c:v>380</c:v>
                </c:pt>
                <c:pt idx="11" formatCode="0.0;\-0.0;0.0;@">
                  <c:v>390</c:v>
                </c:pt>
                <c:pt idx="12" formatCode="0.0;\-0.0;0.0;@">
                  <c:v>385</c:v>
                </c:pt>
                <c:pt idx="13" formatCode="0.0;\-0.0;0.0;@">
                  <c:v>387</c:v>
                </c:pt>
                <c:pt idx="14" formatCode="0.0;\-0.0;0.0;@">
                  <c:v>380</c:v>
                </c:pt>
                <c:pt idx="15" formatCode="0.0;\-0.0;0.0;@">
                  <c:v>383</c:v>
                </c:pt>
                <c:pt idx="16" formatCode="0.0;\-0.0;0.0;@">
                  <c:v>375</c:v>
                </c:pt>
                <c:pt idx="17" formatCode="0.0;\-0.0;0.0;@">
                  <c:v>390</c:v>
                </c:pt>
                <c:pt idx="18" formatCode="0.0;\-0.0;0.0;@">
                  <c:v>380</c:v>
                </c:pt>
                <c:pt idx="19" formatCode="0.0;\-0.0;0.0;@">
                  <c:v>393.1</c:v>
                </c:pt>
                <c:pt idx="20" formatCode="0.0;\-0.0;0.0;@">
                  <c:v>380</c:v>
                </c:pt>
                <c:pt idx="21" formatCode="0.0;\-0.0;0.0;@">
                  <c:v>395</c:v>
                </c:pt>
                <c:pt idx="22" formatCode="0.0;\-0.0;0.0;@">
                  <c:v>400</c:v>
                </c:pt>
                <c:pt idx="23" formatCode="0.0;\-0.0;0.0;@">
                  <c:v>410</c:v>
                </c:pt>
                <c:pt idx="24" formatCode="0.0;\-0.0;0.0;@">
                  <c:v>397.5</c:v>
                </c:pt>
                <c:pt idx="25" formatCode="0.0;\-0.0;0.0;@">
                  <c:v>395</c:v>
                </c:pt>
                <c:pt idx="26" formatCode="0.0;\-0.0;0.0;@">
                  <c:v>385</c:v>
                </c:pt>
                <c:pt idx="27" formatCode="0.0;\-0.0;0.0;@">
                  <c:v>373</c:v>
                </c:pt>
                <c:pt idx="28" formatCode="0.0;\-0.0;0.0;@">
                  <c:v>380</c:v>
                </c:pt>
                <c:pt idx="29" formatCode="0.0;\-0.0;0.0;@">
                  <c:v>398</c:v>
                </c:pt>
                <c:pt idx="30" formatCode="0.0;\-0.0;0.0;@">
                  <c:v>423</c:v>
                </c:pt>
                <c:pt idx="31" formatCode="0.0;\-0.0;0.0;@">
                  <c:v>450</c:v>
                </c:pt>
                <c:pt idx="32" formatCode="0.0;\-0.0;0.0;@">
                  <c:v>450</c:v>
                </c:pt>
                <c:pt idx="33" formatCode="0.0;\-0.0;0.0;@">
                  <c:v>480</c:v>
                </c:pt>
                <c:pt idx="34" formatCode="0.0;\-0.0;0.0;@">
                  <c:v>477</c:v>
                </c:pt>
                <c:pt idx="35" formatCode="0.0;\-0.0;0.0;@">
                  <c:v>487.6</c:v>
                </c:pt>
                <c:pt idx="36" formatCode="0.0;\-0.0;0.0;@">
                  <c:v>479</c:v>
                </c:pt>
                <c:pt idx="37" formatCode="0.0;\-0.0;0.0;@">
                  <c:v>485</c:v>
                </c:pt>
                <c:pt idx="38" formatCode="0.0;\-0.0;0.0;@">
                  <c:v>480</c:v>
                </c:pt>
                <c:pt idx="39" formatCode="0.0;\-0.0;0.0;@">
                  <c:v>460</c:v>
                </c:pt>
                <c:pt idx="40" formatCode="0.0;\-0.0;0.0;@">
                  <c:v>500</c:v>
                </c:pt>
                <c:pt idx="41" formatCode="0.0;\-0.0;0.0;@">
                  <c:v>510</c:v>
                </c:pt>
                <c:pt idx="42" formatCode="0.0;\-0.0;0.0;@">
                  <c:v>487</c:v>
                </c:pt>
                <c:pt idx="43" formatCode="0.0;\-0.0;0.0;@">
                  <c:v>525</c:v>
                </c:pt>
                <c:pt idx="44" formatCode="0.0;\-0.0;0.0;@">
                  <c:v>520</c:v>
                </c:pt>
                <c:pt idx="45" formatCode="0.0;\-0.0;0.0;@">
                  <c:v>530</c:v>
                </c:pt>
                <c:pt idx="46" formatCode="0.0;\-0.0;0.0;@">
                  <c:v>550</c:v>
                </c:pt>
                <c:pt idx="47" formatCode="0.0;\-0.0;0.0;@">
                  <c:v>565</c:v>
                </c:pt>
                <c:pt idx="48" formatCode="0.0;\-0.0;0.0;@">
                  <c:v>591.5</c:v>
                </c:pt>
                <c:pt idx="49" formatCode="0.0;\-0.0;0.0;@">
                  <c:v>610</c:v>
                </c:pt>
                <c:pt idx="50" formatCode="0.0;\-0.0;0.0;@">
                  <c:v>620</c:v>
                </c:pt>
                <c:pt idx="51" formatCode="0.0;\-0.0;0.0;@">
                  <c:v>650</c:v>
                </c:pt>
                <c:pt idx="52" formatCode="0.0;\-0.0;0.0;@">
                  <c:v>657</c:v>
                </c:pt>
                <c:pt idx="53" formatCode="0.0;\-0.0;0.0;@">
                  <c:v>705</c:v>
                </c:pt>
                <c:pt idx="54" formatCode="0.0;\-0.0;0.0;@">
                  <c:v>710</c:v>
                </c:pt>
                <c:pt idx="55" formatCode="0.0;\-0.0;0.0;@">
                  <c:v>723</c:v>
                </c:pt>
                <c:pt idx="56" formatCode="0.0;\-0.0;0.0;@">
                  <c:v>706.5</c:v>
                </c:pt>
                <c:pt idx="57" formatCode="0.0;\-0.0;0.0;@">
                  <c:v>720</c:v>
                </c:pt>
                <c:pt idx="58" formatCode="0.0;\-0.0;0.0;@">
                  <c:v>710</c:v>
                </c:pt>
                <c:pt idx="59" formatCode="0.0;\-0.0;0.0;@">
                  <c:v>735</c:v>
                </c:pt>
                <c:pt idx="60" formatCode="0.0;\-0.0;0.0;@">
                  <c:v>730</c:v>
                </c:pt>
                <c:pt idx="61" formatCode="0.0;\-0.0;0.0;@">
                  <c:v>770</c:v>
                </c:pt>
                <c:pt idx="62" formatCode="0.0;\-0.0;0.0;@">
                  <c:v>720</c:v>
                </c:pt>
                <c:pt idx="63" formatCode="0.0;\-0.0;0.0;@">
                  <c:v>741</c:v>
                </c:pt>
                <c:pt idx="64" formatCode="0.0;\-0.0;0.0;@">
                  <c:v>742</c:v>
                </c:pt>
                <c:pt idx="65" formatCode="0.0;\-0.0;0.0;@">
                  <c:v>730</c:v>
                </c:pt>
                <c:pt idx="66" formatCode="0.0;\-0.0;0.0;@">
                  <c:v>730</c:v>
                </c:pt>
                <c:pt idx="67" formatCode="0.0;\-0.0;0.0;@">
                  <c:v>725</c:v>
                </c:pt>
                <c:pt idx="68" formatCode="0.0;\-0.0;0.0;@">
                  <c:v>695</c:v>
                </c:pt>
                <c:pt idx="69" formatCode="0.0;\-0.0;0.0;@">
                  <c:v>700</c:v>
                </c:pt>
                <c:pt idx="70" formatCode="0.0;\-0.0;0.0;@">
                  <c:v>710</c:v>
                </c:pt>
                <c:pt idx="71" formatCode="0.0;\-0.0;0.0;@">
                  <c:v>736</c:v>
                </c:pt>
                <c:pt idx="72" formatCode="0.0;\-0.0;0.0;@">
                  <c:v>730</c:v>
                </c:pt>
                <c:pt idx="73" formatCode="0.0;\-0.0;0.0;@">
                  <c:v>730</c:v>
                </c:pt>
                <c:pt idx="74" formatCode="0.0;\-0.0;0.0;@">
                  <c:v>730</c:v>
                </c:pt>
                <c:pt idx="75" formatCode="0.0;\-0.0;0.0;@">
                  <c:v>743</c:v>
                </c:pt>
                <c:pt idx="76" formatCode="0.0;\-0.0;0.0;@">
                  <c:v>750</c:v>
                </c:pt>
                <c:pt idx="77" formatCode="0.0;\-0.0;0.0;@">
                  <c:v>785</c:v>
                </c:pt>
                <c:pt idx="78" formatCode="0.0;\-0.0;0.0;@">
                  <c:v>800</c:v>
                </c:pt>
                <c:pt idx="79" formatCode="0.0;\-0.0;0.0;@">
                  <c:v>806</c:v>
                </c:pt>
                <c:pt idx="80" formatCode="0.0;\-0.0;0.0;@">
                  <c:v>780</c:v>
                </c:pt>
                <c:pt idx="81" formatCode="0.0;\-0.0;0.0;@">
                  <c:v>775</c:v>
                </c:pt>
                <c:pt idx="82" formatCode="0.0;\-0.0;0.0;@">
                  <c:v>750</c:v>
                </c:pt>
                <c:pt idx="83" formatCode="0.0;\-0.0;0.0;@">
                  <c:v>765</c:v>
                </c:pt>
                <c:pt idx="84" formatCode="0.0;\-0.0;0.0;@">
                  <c:v>765</c:v>
                </c:pt>
                <c:pt idx="85" formatCode="0.0;\-0.0;0.0;@">
                  <c:v>800</c:v>
                </c:pt>
                <c:pt idx="86" formatCode="0.0;\-0.0;0.0;@">
                  <c:v>795</c:v>
                </c:pt>
                <c:pt idx="87" formatCode="0.0;\-0.0;0.0;@">
                  <c:v>800</c:v>
                </c:pt>
                <c:pt idx="88" formatCode="0.0;\-0.0;0.0;@">
                  <c:v>790</c:v>
                </c:pt>
                <c:pt idx="89" formatCode="0.0;\-0.0;0.0;@">
                  <c:v>800</c:v>
                </c:pt>
                <c:pt idx="90" formatCode="0.0;\-0.0;0.0;@">
                  <c:v>815</c:v>
                </c:pt>
                <c:pt idx="91" formatCode="0.0;\-0.0;0.0;@">
                  <c:v>820</c:v>
                </c:pt>
                <c:pt idx="92" formatCode="0.0;\-0.0;0.0;@">
                  <c:v>820</c:v>
                </c:pt>
                <c:pt idx="93" formatCode="0.0;\-0.0;0.0;@">
                  <c:v>835</c:v>
                </c:pt>
                <c:pt idx="94" formatCode="0.0;\-0.0;0.0;@">
                  <c:v>840</c:v>
                </c:pt>
                <c:pt idx="95" formatCode="0.0;\-0.0;0.0;@">
                  <c:v>850</c:v>
                </c:pt>
              </c:numCache>
            </c:numRef>
          </c:val>
          <c:smooth val="0"/>
          <c:extLst>
            <c:ext xmlns:c16="http://schemas.microsoft.com/office/drawing/2014/chart" uri="{C3380CC4-5D6E-409C-BE32-E72D297353CC}">
              <c16:uniqueId val="{00000001-E8DC-4E95-94ED-4DA2A0FDB7EB}"/>
            </c:ext>
          </c:extLst>
        </c:ser>
        <c:ser>
          <c:idx val="2"/>
          <c:order val="2"/>
          <c:tx>
            <c:v>DCJ non-strata</c:v>
          </c:tx>
          <c:spPr>
            <a:ln w="28575" cap="rnd">
              <a:solidFill>
                <a:schemeClr val="accent5"/>
              </a:solidFill>
              <a:prstDash val="solid"/>
              <a:round/>
            </a:ln>
            <a:effectLst/>
          </c:spPr>
          <c:marker>
            <c:symbol val="none"/>
          </c:marker>
          <c:val>
            <c:numRef>
              <c:f>'ns-combined'!$C$46:$C$141</c:f>
              <c:numCache>
                <c:formatCode>General</c:formatCode>
                <c:ptCount val="96"/>
                <c:pt idx="0">
                  <c:v>360</c:v>
                </c:pt>
                <c:pt idx="1">
                  <c:v>390</c:v>
                </c:pt>
                <c:pt idx="2">
                  <c:v>410</c:v>
                </c:pt>
                <c:pt idx="3">
                  <c:v>439</c:v>
                </c:pt>
                <c:pt idx="4">
                  <c:v>430</c:v>
                </c:pt>
                <c:pt idx="5">
                  <c:v>457</c:v>
                </c:pt>
                <c:pt idx="6">
                  <c:v>475</c:v>
                </c:pt>
                <c:pt idx="7">
                  <c:v>505</c:v>
                </c:pt>
                <c:pt idx="8">
                  <c:v>507</c:v>
                </c:pt>
                <c:pt idx="9">
                  <c:v>486</c:v>
                </c:pt>
                <c:pt idx="10">
                  <c:v>495</c:v>
                </c:pt>
                <c:pt idx="11">
                  <c:v>500</c:v>
                </c:pt>
                <c:pt idx="12">
                  <c:v>477</c:v>
                </c:pt>
                <c:pt idx="13">
                  <c:v>490</c:v>
                </c:pt>
                <c:pt idx="14">
                  <c:v>477</c:v>
                </c:pt>
                <c:pt idx="15">
                  <c:v>488</c:v>
                </c:pt>
                <c:pt idx="16">
                  <c:v>460</c:v>
                </c:pt>
                <c:pt idx="17">
                  <c:v>485</c:v>
                </c:pt>
                <c:pt idx="18">
                  <c:v>472</c:v>
                </c:pt>
                <c:pt idx="19">
                  <c:v>493</c:v>
                </c:pt>
                <c:pt idx="20">
                  <c:v>472</c:v>
                </c:pt>
                <c:pt idx="21">
                  <c:v>500</c:v>
                </c:pt>
                <c:pt idx="22">
                  <c:v>501</c:v>
                </c:pt>
                <c:pt idx="23">
                  <c:v>530</c:v>
                </c:pt>
                <c:pt idx="24">
                  <c:v>485</c:v>
                </c:pt>
                <c:pt idx="25">
                  <c:v>499</c:v>
                </c:pt>
                <c:pt idx="26">
                  <c:v>470</c:v>
                </c:pt>
                <c:pt idx="27">
                  <c:v>459</c:v>
                </c:pt>
                <c:pt idx="28">
                  <c:v>440</c:v>
                </c:pt>
                <c:pt idx="29">
                  <c:v>485</c:v>
                </c:pt>
                <c:pt idx="30">
                  <c:v>493</c:v>
                </c:pt>
                <c:pt idx="31">
                  <c:v>578</c:v>
                </c:pt>
                <c:pt idx="32">
                  <c:v>566</c:v>
                </c:pt>
                <c:pt idx="33">
                  <c:v>595</c:v>
                </c:pt>
                <c:pt idx="34">
                  <c:v>577</c:v>
                </c:pt>
                <c:pt idx="35">
                  <c:v>600</c:v>
                </c:pt>
                <c:pt idx="36">
                  <c:v>550</c:v>
                </c:pt>
                <c:pt idx="37">
                  <c:v>600</c:v>
                </c:pt>
                <c:pt idx="38">
                  <c:v>550</c:v>
                </c:pt>
                <c:pt idx="39">
                  <c:v>520</c:v>
                </c:pt>
                <c:pt idx="40">
                  <c:v>588</c:v>
                </c:pt>
                <c:pt idx="41">
                  <c:v>593</c:v>
                </c:pt>
                <c:pt idx="42">
                  <c:v>568</c:v>
                </c:pt>
                <c:pt idx="43">
                  <c:v>620</c:v>
                </c:pt>
                <c:pt idx="44">
                  <c:v>600</c:v>
                </c:pt>
                <c:pt idx="45">
                  <c:v>630</c:v>
                </c:pt>
                <c:pt idx="46">
                  <c:v>650</c:v>
                </c:pt>
                <c:pt idx="47">
                  <c:v>722</c:v>
                </c:pt>
                <c:pt idx="48">
                  <c:v>680</c:v>
                </c:pt>
                <c:pt idx="49">
                  <c:v>730</c:v>
                </c:pt>
                <c:pt idx="50">
                  <c:v>733</c:v>
                </c:pt>
                <c:pt idx="51">
                  <c:v>815</c:v>
                </c:pt>
                <c:pt idx="52">
                  <c:v>775</c:v>
                </c:pt>
                <c:pt idx="53">
                  <c:v>870</c:v>
                </c:pt>
                <c:pt idx="54">
                  <c:v>890</c:v>
                </c:pt>
                <c:pt idx="55">
                  <c:v>910</c:v>
                </c:pt>
                <c:pt idx="56">
                  <c:v>850</c:v>
                </c:pt>
                <c:pt idx="57">
                  <c:v>885</c:v>
                </c:pt>
                <c:pt idx="58">
                  <c:v>885</c:v>
                </c:pt>
                <c:pt idx="59">
                  <c:v>973</c:v>
                </c:pt>
                <c:pt idx="60">
                  <c:v>900</c:v>
                </c:pt>
                <c:pt idx="61">
                  <c:v>1075</c:v>
                </c:pt>
                <c:pt idx="62">
                  <c:v>950</c:v>
                </c:pt>
                <c:pt idx="63">
                  <c:v>1040</c:v>
                </c:pt>
                <c:pt idx="64">
                  <c:v>939</c:v>
                </c:pt>
                <c:pt idx="65">
                  <c:v>950</c:v>
                </c:pt>
                <c:pt idx="66">
                  <c:v>900</c:v>
                </c:pt>
                <c:pt idx="67">
                  <c:v>949</c:v>
                </c:pt>
                <c:pt idx="68">
                  <c:v>865</c:v>
                </c:pt>
                <c:pt idx="69">
                  <c:v>900</c:v>
                </c:pt>
                <c:pt idx="70">
                  <c:v>915</c:v>
                </c:pt>
                <c:pt idx="71">
                  <c:v>1015</c:v>
                </c:pt>
                <c:pt idx="72">
                  <c:v>981</c:v>
                </c:pt>
                <c:pt idx="73">
                  <c:v>980</c:v>
                </c:pt>
                <c:pt idx="74">
                  <c:v>1000</c:v>
                </c:pt>
                <c:pt idx="75">
                  <c:v>1070</c:v>
                </c:pt>
                <c:pt idx="76">
                  <c:v>1110</c:v>
                </c:pt>
                <c:pt idx="77">
                  <c:v>1260</c:v>
                </c:pt>
                <c:pt idx="78">
                  <c:v>1320</c:v>
                </c:pt>
                <c:pt idx="79">
                  <c:v>1400</c:v>
                </c:pt>
                <c:pt idx="80">
                  <c:v>1340</c:v>
                </c:pt>
                <c:pt idx="81">
                  <c:v>1390</c:v>
                </c:pt>
                <c:pt idx="82">
                  <c:v>1300</c:v>
                </c:pt>
                <c:pt idx="83">
                  <c:v>1300</c:v>
                </c:pt>
                <c:pt idx="84">
                  <c:v>1250</c:v>
                </c:pt>
                <c:pt idx="85">
                  <c:v>1360</c:v>
                </c:pt>
                <c:pt idx="86">
                  <c:v>1380</c:v>
                </c:pt>
                <c:pt idx="87">
                  <c:v>1420</c:v>
                </c:pt>
                <c:pt idx="88">
                  <c:v>1400</c:v>
                </c:pt>
                <c:pt idx="89">
                  <c:v>1460</c:v>
                </c:pt>
                <c:pt idx="90">
                  <c:v>1414</c:v>
                </c:pt>
                <c:pt idx="91">
                  <c:v>1452</c:v>
                </c:pt>
                <c:pt idx="92">
                  <c:v>1430</c:v>
                </c:pt>
                <c:pt idx="93">
                  <c:v>1525</c:v>
                </c:pt>
                <c:pt idx="94">
                  <c:v>1533</c:v>
                </c:pt>
                <c:pt idx="95">
                  <c:v>1562.75</c:v>
                </c:pt>
              </c:numCache>
            </c:numRef>
          </c:val>
          <c:smooth val="0"/>
          <c:extLst>
            <c:ext xmlns:c16="http://schemas.microsoft.com/office/drawing/2014/chart" uri="{C3380CC4-5D6E-409C-BE32-E72D297353CC}">
              <c16:uniqueId val="{00000002-E8DC-4E95-94ED-4DA2A0FDB7EB}"/>
            </c:ext>
          </c:extLst>
        </c:ser>
        <c:ser>
          <c:idx val="3"/>
          <c:order val="3"/>
          <c:tx>
            <c:v>DCJ strata</c:v>
          </c:tx>
          <c:spPr>
            <a:ln w="28575" cap="rnd">
              <a:solidFill>
                <a:schemeClr val="accent2"/>
              </a:solidFill>
              <a:round/>
            </a:ln>
            <a:effectLst/>
          </c:spPr>
          <c:marker>
            <c:symbol val="none"/>
          </c:marker>
          <c:val>
            <c:numRef>
              <c:f>'s-combined'!$C$46:$C$141</c:f>
              <c:numCache>
                <c:formatCode>General</c:formatCode>
                <c:ptCount val="96"/>
                <c:pt idx="0">
                  <c:v>335</c:v>
                </c:pt>
                <c:pt idx="1">
                  <c:v>353</c:v>
                </c:pt>
                <c:pt idx="2">
                  <c:v>365</c:v>
                </c:pt>
                <c:pt idx="3">
                  <c:v>363</c:v>
                </c:pt>
                <c:pt idx="4">
                  <c:v>365</c:v>
                </c:pt>
                <c:pt idx="5">
                  <c:v>378</c:v>
                </c:pt>
                <c:pt idx="6">
                  <c:v>380</c:v>
                </c:pt>
                <c:pt idx="7">
                  <c:v>390</c:v>
                </c:pt>
                <c:pt idx="8">
                  <c:v>380</c:v>
                </c:pt>
                <c:pt idx="9">
                  <c:v>384</c:v>
                </c:pt>
                <c:pt idx="10">
                  <c:v>383</c:v>
                </c:pt>
                <c:pt idx="11">
                  <c:v>395</c:v>
                </c:pt>
                <c:pt idx="12">
                  <c:v>390</c:v>
                </c:pt>
                <c:pt idx="13">
                  <c:v>395</c:v>
                </c:pt>
                <c:pt idx="14">
                  <c:v>385</c:v>
                </c:pt>
                <c:pt idx="15">
                  <c:v>385</c:v>
                </c:pt>
                <c:pt idx="16">
                  <c:v>380</c:v>
                </c:pt>
                <c:pt idx="17">
                  <c:v>391</c:v>
                </c:pt>
                <c:pt idx="18">
                  <c:v>380</c:v>
                </c:pt>
                <c:pt idx="19">
                  <c:v>398</c:v>
                </c:pt>
                <c:pt idx="20">
                  <c:v>380</c:v>
                </c:pt>
                <c:pt idx="21">
                  <c:v>400</c:v>
                </c:pt>
                <c:pt idx="22">
                  <c:v>400</c:v>
                </c:pt>
                <c:pt idx="23">
                  <c:v>415</c:v>
                </c:pt>
                <c:pt idx="24">
                  <c:v>396</c:v>
                </c:pt>
                <c:pt idx="25">
                  <c:v>395</c:v>
                </c:pt>
                <c:pt idx="26">
                  <c:v>385</c:v>
                </c:pt>
                <c:pt idx="27">
                  <c:v>378</c:v>
                </c:pt>
                <c:pt idx="28">
                  <c:v>385</c:v>
                </c:pt>
                <c:pt idx="29">
                  <c:v>400</c:v>
                </c:pt>
                <c:pt idx="30">
                  <c:v>429</c:v>
                </c:pt>
                <c:pt idx="31">
                  <c:v>452</c:v>
                </c:pt>
                <c:pt idx="32">
                  <c:v>450</c:v>
                </c:pt>
                <c:pt idx="33">
                  <c:v>480</c:v>
                </c:pt>
                <c:pt idx="34">
                  <c:v>479</c:v>
                </c:pt>
                <c:pt idx="35">
                  <c:v>490</c:v>
                </c:pt>
                <c:pt idx="36">
                  <c:v>594</c:v>
                </c:pt>
                <c:pt idx="37">
                  <c:v>512</c:v>
                </c:pt>
                <c:pt idx="38">
                  <c:v>489</c:v>
                </c:pt>
                <c:pt idx="39">
                  <c:v>475</c:v>
                </c:pt>
                <c:pt idx="40">
                  <c:v>505</c:v>
                </c:pt>
                <c:pt idx="41">
                  <c:v>520</c:v>
                </c:pt>
                <c:pt idx="42">
                  <c:v>490</c:v>
                </c:pt>
                <c:pt idx="43">
                  <c:v>528</c:v>
                </c:pt>
                <c:pt idx="44">
                  <c:v>520</c:v>
                </c:pt>
                <c:pt idx="45">
                  <c:v>545</c:v>
                </c:pt>
                <c:pt idx="46">
                  <c:v>563</c:v>
                </c:pt>
                <c:pt idx="47">
                  <c:v>585</c:v>
                </c:pt>
                <c:pt idx="48">
                  <c:v>637</c:v>
                </c:pt>
                <c:pt idx="49">
                  <c:v>625</c:v>
                </c:pt>
                <c:pt idx="50">
                  <c:v>648</c:v>
                </c:pt>
                <c:pt idx="51">
                  <c:v>645</c:v>
                </c:pt>
                <c:pt idx="52">
                  <c:v>660</c:v>
                </c:pt>
                <c:pt idx="53">
                  <c:v>685</c:v>
                </c:pt>
                <c:pt idx="54">
                  <c:v>690</c:v>
                </c:pt>
                <c:pt idx="55">
                  <c:v>690</c:v>
                </c:pt>
                <c:pt idx="56">
                  <c:v>680</c:v>
                </c:pt>
                <c:pt idx="57">
                  <c:v>705</c:v>
                </c:pt>
                <c:pt idx="58">
                  <c:v>710</c:v>
                </c:pt>
                <c:pt idx="59">
                  <c:v>730</c:v>
                </c:pt>
                <c:pt idx="60">
                  <c:v>720</c:v>
                </c:pt>
                <c:pt idx="61">
                  <c:v>770</c:v>
                </c:pt>
                <c:pt idx="62">
                  <c:v>720.92</c:v>
                </c:pt>
                <c:pt idx="63">
                  <c:v>738</c:v>
                </c:pt>
                <c:pt idx="64">
                  <c:v>725</c:v>
                </c:pt>
                <c:pt idx="65">
                  <c:v>730</c:v>
                </c:pt>
                <c:pt idx="66">
                  <c:v>720</c:v>
                </c:pt>
                <c:pt idx="67">
                  <c:v>725</c:v>
                </c:pt>
                <c:pt idx="68">
                  <c:v>695</c:v>
                </c:pt>
                <c:pt idx="69">
                  <c:v>700</c:v>
                </c:pt>
                <c:pt idx="70">
                  <c:v>720</c:v>
                </c:pt>
                <c:pt idx="71">
                  <c:v>740</c:v>
                </c:pt>
                <c:pt idx="72">
                  <c:v>730</c:v>
                </c:pt>
                <c:pt idx="73">
                  <c:v>735</c:v>
                </c:pt>
                <c:pt idx="74">
                  <c:v>730</c:v>
                </c:pt>
                <c:pt idx="75">
                  <c:v>750</c:v>
                </c:pt>
                <c:pt idx="76">
                  <c:v>750</c:v>
                </c:pt>
                <c:pt idx="77">
                  <c:v>780</c:v>
                </c:pt>
                <c:pt idx="78">
                  <c:v>800</c:v>
                </c:pt>
                <c:pt idx="79">
                  <c:v>805</c:v>
                </c:pt>
                <c:pt idx="80">
                  <c:v>781</c:v>
                </c:pt>
                <c:pt idx="81">
                  <c:v>779</c:v>
                </c:pt>
                <c:pt idx="82">
                  <c:v>750</c:v>
                </c:pt>
                <c:pt idx="83">
                  <c:v>760</c:v>
                </c:pt>
                <c:pt idx="84">
                  <c:v>751</c:v>
                </c:pt>
                <c:pt idx="85">
                  <c:v>780</c:v>
                </c:pt>
                <c:pt idx="86">
                  <c:v>790</c:v>
                </c:pt>
                <c:pt idx="87">
                  <c:v>790</c:v>
                </c:pt>
                <c:pt idx="88">
                  <c:v>778</c:v>
                </c:pt>
                <c:pt idx="89">
                  <c:v>798</c:v>
                </c:pt>
                <c:pt idx="90">
                  <c:v>802</c:v>
                </c:pt>
                <c:pt idx="91">
                  <c:v>820</c:v>
                </c:pt>
                <c:pt idx="92">
                  <c:v>810</c:v>
                </c:pt>
                <c:pt idx="93">
                  <c:v>825</c:v>
                </c:pt>
                <c:pt idx="94">
                  <c:v>838</c:v>
                </c:pt>
                <c:pt idx="95">
                  <c:v>847</c:v>
                </c:pt>
              </c:numCache>
            </c:numRef>
          </c:val>
          <c:smooth val="0"/>
          <c:extLst>
            <c:ext xmlns:c16="http://schemas.microsoft.com/office/drawing/2014/chart" uri="{C3380CC4-5D6E-409C-BE32-E72D297353CC}">
              <c16:uniqueId val="{00000003-E8DC-4E95-94ED-4DA2A0FDB7EB}"/>
            </c:ext>
          </c:extLst>
        </c:ser>
        <c:dLbls>
          <c:showLegendKey val="0"/>
          <c:showVal val="0"/>
          <c:showCatName val="0"/>
          <c:showSerName val="0"/>
          <c:showPercent val="0"/>
          <c:showBubbleSize val="0"/>
        </c:dLbls>
        <c:smooth val="0"/>
        <c:axId val="1814186064"/>
        <c:axId val="1714333456"/>
      </c:lineChart>
      <c:dateAx>
        <c:axId val="1814186064"/>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333456"/>
        <c:crosses val="autoZero"/>
        <c:auto val="1"/>
        <c:lblOffset val="100"/>
        <c:baseTimeUnit val="months"/>
        <c:majorUnit val="24"/>
        <c:majorTimeUnit val="months"/>
      </c:dateAx>
      <c:valAx>
        <c:axId val="1714333456"/>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18606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33CC8A3-6D49-4316-A100-1670F52EF4B3}">
  <sheetPr>
    <tabColor rgb="FFFF0000"/>
  </sheetPr>
  <sheetViews>
    <sheetView zoomScale="99"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5C39E79-61E4-4732-84C9-674D45B7A933}">
  <sheetPr>
    <tabColor rgb="FFFF0000"/>
  </sheetPr>
  <sheetViews>
    <sheetView zoomScale="149"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2117C33-C4F8-44B4-9799-8416016D8833}">
  <sheetPr>
    <tabColor theme="7"/>
  </sheetPr>
  <sheetViews>
    <sheetView zoomScale="15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168127</xdr:colOff>
      <xdr:row>0</xdr:row>
      <xdr:rowOff>34344</xdr:rowOff>
    </xdr:from>
    <xdr:to>
      <xdr:col>10</xdr:col>
      <xdr:colOff>523540</xdr:colOff>
      <xdr:row>14</xdr:row>
      <xdr:rowOff>110544</xdr:rowOff>
    </xdr:to>
    <xdr:graphicFrame macro="">
      <xdr:nvGraphicFramePr>
        <xdr:cNvPr id="2" name="Chart 1">
          <a:extLst>
            <a:ext uri="{FF2B5EF4-FFF2-40B4-BE49-F238E27FC236}">
              <a16:creationId xmlns:a16="http://schemas.microsoft.com/office/drawing/2014/main" id="{016BA478-FE0A-440C-8376-49217A836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168088</xdr:colOff>
      <xdr:row>14</xdr:row>
      <xdr:rowOff>155761</xdr:rowOff>
    </xdr:from>
    <xdr:to>
      <xdr:col>10</xdr:col>
      <xdr:colOff>526676</xdr:colOff>
      <xdr:row>29</xdr:row>
      <xdr:rowOff>41461</xdr:rowOff>
    </xdr:to>
    <xdr:graphicFrame macro="">
      <xdr:nvGraphicFramePr>
        <xdr:cNvPr id="3" name="Chart 2">
          <a:extLst>
            <a:ext uri="{FF2B5EF4-FFF2-40B4-BE49-F238E27FC236}">
              <a16:creationId xmlns:a16="http://schemas.microsoft.com/office/drawing/2014/main" id="{5CB90F4E-02E0-47A0-B466-804A077B4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184899</xdr:colOff>
      <xdr:row>29</xdr:row>
      <xdr:rowOff>85162</xdr:rowOff>
    </xdr:from>
    <xdr:to>
      <xdr:col>10</xdr:col>
      <xdr:colOff>521075</xdr:colOff>
      <xdr:row>52</xdr:row>
      <xdr:rowOff>22412</xdr:rowOff>
    </xdr:to>
    <xdr:graphicFrame macro="">
      <xdr:nvGraphicFramePr>
        <xdr:cNvPr id="11" name="Chart 10">
          <a:extLst>
            <a:ext uri="{FF2B5EF4-FFF2-40B4-BE49-F238E27FC236}">
              <a16:creationId xmlns:a16="http://schemas.microsoft.com/office/drawing/2014/main" id="{B8003069-A1BC-126C-F12C-1245F7F05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9294091" cy="6067778"/>
    <xdr:graphicFrame macro="">
      <xdr:nvGraphicFramePr>
        <xdr:cNvPr id="2" name="Chart 1">
          <a:extLst>
            <a:ext uri="{FF2B5EF4-FFF2-40B4-BE49-F238E27FC236}">
              <a16:creationId xmlns:a16="http://schemas.microsoft.com/office/drawing/2014/main" id="{3520ECC8-8C00-BCC9-1A70-5890CC678DE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6205101" cy="4057181"/>
    <xdr:graphicFrame macro="">
      <xdr:nvGraphicFramePr>
        <xdr:cNvPr id="2" name="Chart 1">
          <a:extLst>
            <a:ext uri="{FF2B5EF4-FFF2-40B4-BE49-F238E27FC236}">
              <a16:creationId xmlns:a16="http://schemas.microsoft.com/office/drawing/2014/main" id="{883F9BC4-A5D5-2BF4-5C78-8CBD82A1B49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6201833" cy="4053417"/>
    <xdr:graphicFrame macro="">
      <xdr:nvGraphicFramePr>
        <xdr:cNvPr id="2" name="Chart 1">
          <a:extLst>
            <a:ext uri="{FF2B5EF4-FFF2-40B4-BE49-F238E27FC236}">
              <a16:creationId xmlns:a16="http://schemas.microsoft.com/office/drawing/2014/main" id="{06828363-2C47-1A6D-8F6E-A1AFC55DB38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03beea78131baf44/Documents/Personal%20Projects/2026-03%20aus%20rent%20vs%20buy/analysis-and-results-nt.xlsx" TargetMode="External"/><Relationship Id="rId1" Type="http://schemas.openxmlformats.org/officeDocument/2006/relationships/externalLinkPath" Target="analysis-and-results-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alysis"/>
      <sheetName val="cpi"/>
      <sheetName val="msci-indices"/>
      <sheetName val="mortgage-rates"/>
      <sheetName val="nt-rent &gt;&gt;"/>
      <sheetName val="domain-values"/>
      <sheetName val="Ableson and Joyeux 2023"/>
      <sheetName val="2BR_F-processed"/>
      <sheetName val="3BR_H-processed"/>
      <sheetName val="chart-2bflat"/>
      <sheetName val="chart-3bhouse"/>
      <sheetName val="nt-buy &gt;&gt;"/>
      <sheetName val="ABS-total-value-dwellings"/>
      <sheetName val="ns-combined"/>
      <sheetName val="s-combined"/>
    </sheetNames>
    <sheetDataSet>
      <sheetData sheetId="0">
        <row r="2">
          <cell r="M2" t="str">
            <v>Renter's portfolio</v>
          </cell>
        </row>
        <row r="11">
          <cell r="B11">
            <v>38777</v>
          </cell>
        </row>
        <row r="12">
          <cell r="B12">
            <v>45992</v>
          </cell>
        </row>
        <row r="13">
          <cell r="B13" t="str">
            <v>Darwin</v>
          </cell>
        </row>
        <row r="19">
          <cell r="B19" t="str">
            <v>Discounted</v>
          </cell>
        </row>
        <row r="41">
          <cell r="B41">
            <v>0.7</v>
          </cell>
        </row>
        <row r="42">
          <cell r="B42">
            <v>0.30000000000000004</v>
          </cell>
        </row>
        <row r="43">
          <cell r="B43">
            <v>2.5000000000000001E-3</v>
          </cell>
        </row>
        <row r="54">
          <cell r="B54">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65180-035D-48DB-8733-6519DE93E6F1}">
  <sheetPr>
    <tabColor theme="4"/>
  </sheetPr>
  <dimension ref="A1:BO163"/>
  <sheetViews>
    <sheetView tabSelected="1" topLeftCell="D1" zoomScaleNormal="100" workbookViewId="0">
      <selection activeCell="O3" sqref="O3"/>
    </sheetView>
  </sheetViews>
  <sheetFormatPr defaultRowHeight="15" outlineLevelCol="1" x14ac:dyDescent="0.25"/>
  <cols>
    <col min="1" max="1" width="65.140625" bestFit="1" customWidth="1"/>
    <col min="2" max="3" width="14" bestFit="1" customWidth="1"/>
    <col min="12" max="12" width="14.28515625" bestFit="1" customWidth="1"/>
    <col min="13" max="14" width="25.42578125" bestFit="1" customWidth="1"/>
    <col min="15" max="16" width="25.28515625" customWidth="1" outlineLevel="1"/>
    <col min="17" max="17" width="14.28515625" customWidth="1" outlineLevel="1"/>
    <col min="18" max="18" width="14.42578125" customWidth="1" outlineLevel="1"/>
    <col min="19" max="19" width="4.140625" customWidth="1"/>
    <col min="20" max="20" width="32.140625" customWidth="1" outlineLevel="1"/>
    <col min="21" max="21" width="20.28515625" customWidth="1" outlineLevel="1"/>
    <col min="22" max="22" width="13.140625" customWidth="1" outlineLevel="1"/>
    <col min="23" max="23" width="19.140625" customWidth="1" outlineLevel="1"/>
    <col min="24" max="26" width="23.85546875" customWidth="1" outlineLevel="1"/>
    <col min="27" max="28" width="29.42578125" customWidth="1" outlineLevel="1"/>
    <col min="29" max="34" width="26.7109375" customWidth="1" outlineLevel="1"/>
    <col min="35" max="35" width="27" customWidth="1" outlineLevel="1"/>
    <col min="36" max="36" width="19.140625" customWidth="1" outlineLevel="1"/>
    <col min="37" max="39" width="16.7109375" customWidth="1" outlineLevel="1"/>
    <col min="40" max="40" width="13.140625" customWidth="1" outlineLevel="1"/>
    <col min="41" max="41" width="19" customWidth="1" outlineLevel="1"/>
    <col min="42" max="42" width="26.7109375" customWidth="1" outlineLevel="1"/>
    <col min="43" max="43" width="4.140625" customWidth="1"/>
    <col min="44" max="44" width="18.140625" customWidth="1" outlineLevel="1"/>
    <col min="45" max="45" width="12.28515625" customWidth="1" outlineLevel="1"/>
    <col min="46" max="46" width="20.28515625" customWidth="1" outlineLevel="1"/>
    <col min="47" max="48" width="15.5703125" customWidth="1" outlineLevel="1"/>
    <col min="49" max="49" width="22" customWidth="1" outlineLevel="1"/>
    <col min="50" max="50" width="22.7109375" customWidth="1" outlineLevel="1"/>
    <col min="51" max="51" width="26.140625" customWidth="1" outlineLevel="1"/>
    <col min="52" max="53" width="27.140625" customWidth="1" outlineLevel="1"/>
    <col min="54" max="55" width="14.140625" customWidth="1" outlineLevel="1"/>
    <col min="56" max="57" width="17.42578125" customWidth="1" outlineLevel="1"/>
    <col min="58" max="58" width="20" customWidth="1" outlineLevel="1"/>
    <col min="59" max="59" width="22.42578125" customWidth="1" outlineLevel="1"/>
    <col min="60" max="67" width="9.85546875" customWidth="1"/>
  </cols>
  <sheetData>
    <row r="1" spans="1:67" x14ac:dyDescent="0.25">
      <c r="A1" s="11" t="s">
        <v>389</v>
      </c>
      <c r="B1" s="7" t="s">
        <v>554</v>
      </c>
      <c r="C1" s="7" t="s">
        <v>553</v>
      </c>
      <c r="O1" s="9"/>
      <c r="S1" s="13"/>
      <c r="T1" t="s">
        <v>76</v>
      </c>
      <c r="X1" s="13" cm="1">
        <f t="array" ref="X1">SUM(_xlfn._xlws.FILTER(X3:X82,ISNUMBER(X3:X82)))</f>
        <v>495610.30753282661</v>
      </c>
      <c r="Y1" s="36"/>
      <c r="AA1" s="37"/>
      <c r="AI1" t="s">
        <v>532</v>
      </c>
      <c r="AP1" s="13"/>
      <c r="AQ1" s="13"/>
      <c r="AR1" t="s">
        <v>83</v>
      </c>
      <c r="AT1" s="13"/>
      <c r="AW1" s="14"/>
      <c r="AX1" s="49"/>
      <c r="AY1" t="s">
        <v>388</v>
      </c>
      <c r="BB1" t="s">
        <v>385</v>
      </c>
      <c r="BG1" s="13" cm="1">
        <f t="array" ref="BG1">SUM(_xlfn._xlws.FILTER(BG3:BG82,ISNUMBER(BG3:BG82)))</f>
        <v>847025.77073256439</v>
      </c>
      <c r="BH1" t="s">
        <v>540</v>
      </c>
    </row>
    <row r="2" spans="1:67" x14ac:dyDescent="0.25">
      <c r="A2" s="7" t="s">
        <v>391</v>
      </c>
      <c r="B2" s="35">
        <f>_xlfn.XLOOKUP(Q_end,L:L,O:O)</f>
        <v>1.5721834866391358</v>
      </c>
      <c r="E2" t="str">
        <f>"Renter vs owner wealth, "&amp;IF(Council_Area="Greater Sydney","Sydney",Council_Area)&amp;IF(B10="2BR_F"," 2-bedroom flat"," 3-bedroom house")</f>
        <v>Renter vs owner wealth, Sydney 3-bedroom house</v>
      </c>
      <c r="L2" t="s">
        <v>116</v>
      </c>
      <c r="M2" s="7" t="s">
        <v>124</v>
      </c>
      <c r="N2" s="7" t="s">
        <v>123</v>
      </c>
      <c r="O2" t="s">
        <v>378</v>
      </c>
      <c r="P2" t="s">
        <v>380</v>
      </c>
      <c r="Q2" t="s">
        <v>120</v>
      </c>
      <c r="R2" t="s">
        <v>115</v>
      </c>
      <c r="S2" s="7"/>
      <c r="T2" t="s">
        <v>367</v>
      </c>
      <c r="U2" t="s">
        <v>368</v>
      </c>
      <c r="V2" t="s">
        <v>68</v>
      </c>
      <c r="W2" t="s">
        <v>564</v>
      </c>
      <c r="X2" s="7" t="s">
        <v>122</v>
      </c>
      <c r="Y2" t="s">
        <v>369</v>
      </c>
      <c r="Z2" t="s">
        <v>405</v>
      </c>
      <c r="AA2" t="s">
        <v>409</v>
      </c>
      <c r="AB2" t="s">
        <v>538</v>
      </c>
      <c r="AC2" t="s">
        <v>374</v>
      </c>
      <c r="AD2" t="s">
        <v>375</v>
      </c>
      <c r="AE2" t="s">
        <v>376</v>
      </c>
      <c r="AF2" t="s">
        <v>371</v>
      </c>
      <c r="AG2" t="s">
        <v>370</v>
      </c>
      <c r="AH2" t="s">
        <v>379</v>
      </c>
      <c r="AI2" s="7" t="s">
        <v>536</v>
      </c>
      <c r="AJ2" t="s">
        <v>535</v>
      </c>
      <c r="AK2" t="s">
        <v>531</v>
      </c>
      <c r="AL2" t="s">
        <v>537</v>
      </c>
      <c r="AM2" t="s">
        <v>539</v>
      </c>
      <c r="AN2" t="s">
        <v>530</v>
      </c>
      <c r="AO2" t="s">
        <v>533</v>
      </c>
      <c r="AP2" s="7" t="s">
        <v>377</v>
      </c>
      <c r="AQ2" s="7"/>
      <c r="AR2" t="s">
        <v>84</v>
      </c>
      <c r="AS2" t="s">
        <v>114</v>
      </c>
      <c r="AT2" t="s">
        <v>88</v>
      </c>
      <c r="AU2" t="s">
        <v>403</v>
      </c>
      <c r="AV2" t="s">
        <v>381</v>
      </c>
      <c r="AW2" t="s">
        <v>555</v>
      </c>
      <c r="AX2" s="11" t="s">
        <v>382</v>
      </c>
      <c r="AY2" t="s">
        <v>383</v>
      </c>
      <c r="AZ2" t="s">
        <v>384</v>
      </c>
      <c r="BA2" t="s">
        <v>387</v>
      </c>
      <c r="BB2" t="s">
        <v>113</v>
      </c>
      <c r="BC2" t="s">
        <v>119</v>
      </c>
      <c r="BD2" t="s">
        <v>118</v>
      </c>
      <c r="BE2" t="s">
        <v>86</v>
      </c>
      <c r="BF2" t="s">
        <v>87</v>
      </c>
      <c r="BG2" s="7" t="s">
        <v>121</v>
      </c>
      <c r="BH2" t="s">
        <v>528</v>
      </c>
      <c r="BI2" t="s">
        <v>542</v>
      </c>
      <c r="BJ2" t="s">
        <v>543</v>
      </c>
      <c r="BK2" t="s">
        <v>544</v>
      </c>
      <c r="BL2" t="s">
        <v>562</v>
      </c>
      <c r="BM2" t="s">
        <v>545</v>
      </c>
      <c r="BN2" t="s">
        <v>547</v>
      </c>
      <c r="BO2" t="s">
        <v>546</v>
      </c>
    </row>
    <row r="3" spans="1:67" x14ac:dyDescent="0.25">
      <c r="A3" s="7" t="s">
        <v>560</v>
      </c>
      <c r="B3" s="35" cm="1">
        <f t="array" ref="B3">SUM(_xlfn._xlws.FILTER($X$3:$X$82,ISNUMBER($X$3:$X$82)))/(SUM(_xlfn._xlws.FILTER($BG$3:$BG$82,ISNUMBER($BG$3:$BG$82)))-AT3)</f>
        <v>0.67712267571892359</v>
      </c>
      <c r="L3" s="1">
        <f>Q_start</f>
        <v>38777</v>
      </c>
      <c r="M3" s="12">
        <f t="shared" ref="M3:M34" si="0">AP3</f>
        <v>171246.00017809734</v>
      </c>
      <c r="N3" s="12">
        <f>AX3-BC3</f>
        <v>80327.5</v>
      </c>
      <c r="O3" s="9">
        <f>M3/N3</f>
        <v>2.131847750497617</v>
      </c>
      <c r="P3" s="9">
        <f t="shared" ref="P3:P34" si="1">X3/BG3</f>
        <v>2.8454398802646639E-2</v>
      </c>
      <c r="Q3">
        <v>1</v>
      </c>
      <c r="R3">
        <f t="shared" ref="R3:R34" si="2">EOMONTH(L3,0)-EOMONTH(L3,-3)</f>
        <v>90</v>
      </c>
      <c r="S3" s="24"/>
      <c r="T3" s="24">
        <f>IF($B$10="3BR_H",
INDEX('3BR_H-combined'!$C:$BH,MATCH($L3,'3BR_H-combined'!$B:$B,0),MATCH(Council_Area,'3BR_H-combined'!$C$1:$BH$1,0)),
INDEX('2BR_F-combined'!$C:$BH,MATCH($L3,'2BR_F-combined'!$B:$B,0),MATCH(Council_Area,'2BR_F-combined'!$C$1:$BH$1,0)))</f>
        <v>265</v>
      </c>
      <c r="U3" s="24">
        <f>IF(MOD(Q3,4)=1,T3,U2)</f>
        <v>265</v>
      </c>
      <c r="V3" s="24">
        <f>U3*(R3)/7</f>
        <v>3407.1428571428573</v>
      </c>
      <c r="W3" s="24">
        <f>$B$53/4*BH3/_xlfn.XLOOKUP(Q_end,cpi!A:A,cpi!B:B)</f>
        <v>116.93158258465792</v>
      </c>
      <c r="X3" s="24">
        <f t="shared" ref="X3:X34" si="3">V3+W3</f>
        <v>3524.0744397275153</v>
      </c>
      <c r="Y3" s="24">
        <f>BG3-X3</f>
        <v>120325.82533041731</v>
      </c>
      <c r="Z3" s="32">
        <f>MAX(0,Y3*$B$47)</f>
        <v>38504.264105733535</v>
      </c>
      <c r="AA3" s="24">
        <f t="shared" ref="AA3:AA34" si="4">(Y3+Z3)*eff_invest</f>
        <v>158830.08943615085</v>
      </c>
      <c r="AB3" s="24">
        <f>AA3*(_xlfn.XLOOKUP(Q_end,cpi!A:A,cpi!B:B)/BH3)</f>
        <v>271663.28535946843</v>
      </c>
      <c r="AC3" s="24" cm="1">
        <f t="array" ref="AC3">INDEX('msci-indices'!C:C,MATCH($L3,'msci-indices'!$B:$B)-2)</f>
        <v>754.87961099999995</v>
      </c>
      <c r="AD3" s="24" cm="1">
        <f t="array" ref="AD3">INDEX('msci-indices'!D:D,MATCH($L3,'msci-indices'!$B:$B)-2)</f>
        <v>712.95624699999996</v>
      </c>
      <c r="AE3" s="32">
        <f>AA3</f>
        <v>158830.08943615085</v>
      </c>
      <c r="AF3" s="24" cm="1">
        <f t="array" ref="AF3">INDEX('msci-indices'!C:C,MATCH($L3,'msci-indices'!$B:$B)+1)</f>
        <v>809.32011899999998</v>
      </c>
      <c r="AG3" s="24" cm="1">
        <f t="array" ref="AG3">INDEX('msci-indices'!D:D,MATCH($L3,'msci-indices'!$B:$B)+1)</f>
        <v>780.24346800000001</v>
      </c>
      <c r="AH3" s="24">
        <f t="shared" ref="AH3:AH34" si="5">(InvestFees/4)*AE3</f>
        <v>99.268805897594291</v>
      </c>
      <c r="AI3" s="24">
        <f t="shared" ref="AI3:AI34" si="6">((AF3/AC3)*GlobalPortfolio+(AG3/AD3)*AusPortfolio)*AE3-AH3</f>
        <v>171246.00017809734</v>
      </c>
      <c r="AJ3" s="32">
        <f>AA3</f>
        <v>158830.08943615085</v>
      </c>
      <c r="AK3" s="24">
        <f t="shared" ref="AK3:AK34" si="7">AI3-AJ3</f>
        <v>12415.910741946485</v>
      </c>
      <c r="AL3" s="24">
        <f>AJ3*(_xlfn.XLOOKUP(Q_end,cpi!A:A,cpi!B:B)/BH3)</f>
        <v>271663.28535946843</v>
      </c>
      <c r="AM3" s="32">
        <f>AA3</f>
        <v>158830.08943615085</v>
      </c>
      <c r="AN3" s="24">
        <f>AI3-AM3</f>
        <v>12415.910741946485</v>
      </c>
      <c r="AO3" s="24">
        <f t="shared" ref="AO3:AO34" si="8">IF($B$49="Real gains",MAX($B$50*AN3,0),IF($B$49="Discounted nominal gains",MAX($B$50*AK3/2,0),0))</f>
        <v>0</v>
      </c>
      <c r="AP3" s="24">
        <f>AI3-AO3</f>
        <v>171246.00017809734</v>
      </c>
      <c r="AQ3" s="24"/>
      <c r="AR3" s="12">
        <f>IF($B$10="3BR_H",
INDEX('ns-combined'!$C:$BH,MATCH($L3,'ns-combined'!$B:$B,0),MATCH(Council_Area,'ns-combined'!$C$1:$BH$1,0))*1000,
INDEX('s-combined'!$C:$BH,MATCH($L3,'s-combined'!$B:$B,0),MATCH(Council_Area,'s-combined'!$C$1:$BH$1,0))*1000)</f>
        <v>460000</v>
      </c>
      <c r="AS3" s="32">
        <f>AR3*$B$14/4</f>
        <v>1150</v>
      </c>
      <c r="AT3" s="15">
        <f>SUM(B20:B26)*AR3</f>
        <v>115090</v>
      </c>
      <c r="AU3" s="24">
        <f t="shared" ref="AU3:AU34" si="9">SUM($B$28:$B$29)*AR3</f>
        <v>9200</v>
      </c>
      <c r="AV3" s="24">
        <f t="shared" ref="AV3:AV34" si="10">AR3*$B$15/4</f>
        <v>1322.5</v>
      </c>
      <c r="AW3" s="24">
        <f>SUM($AV$3:AV3)</f>
        <v>1322.5</v>
      </c>
      <c r="AX3" s="24">
        <f>AR3-AS3-AU3-AW3</f>
        <v>448327.5</v>
      </c>
      <c r="AY3" s="24">
        <f t="shared" ref="AY3:AY34" si="11">$B$36*V3</f>
        <v>1192.5000000000002</v>
      </c>
      <c r="AZ3" s="26">
        <f t="shared" ref="AZ3:AZ34" si="12">SUM(AY3:AY3)*4/AR3</f>
        <v>1.0369565217391307E-2</v>
      </c>
      <c r="BA3" s="26">
        <f t="shared" ref="BA3:BA34" si="13">SUM(AY3:AY3)/V3</f>
        <v>0.35000000000000003</v>
      </c>
      <c r="BB3" s="27">
        <f>IF(MortgageRate="Discounted",_xlfn.XLOOKUP(L3,'mortgage-rates'!$A:$A,'mortgage-rates'!$E:$E)/100,_xlfn.XLOOKUP(L3,'mortgage-rates'!$A:$A,'mortgage-rates'!$D:$D)/100)</f>
        <v>6.6400000000000001E-2</v>
      </c>
      <c r="BC3" s="12">
        <f>(1-B20)*AR3</f>
        <v>368000</v>
      </c>
      <c r="BD3" s="12">
        <f t="shared" ref="BD3:BD34" si="14">IF($B$16*12/3-Q3+1&gt;0,-PMT($BB3/4,$B$16*12/3-Q3+1,BC3),0)</f>
        <v>7567.3997701448307</v>
      </c>
      <c r="BE3" s="12">
        <f t="shared" ref="BE3:BE34" si="15">BC3*($BB3/4)</f>
        <v>6108.8</v>
      </c>
      <c r="BF3" s="12">
        <f>BD3-BE3</f>
        <v>1458.5997701448305</v>
      </c>
      <c r="BG3" s="14">
        <f>AT3+AY3+BD3</f>
        <v>123849.89977014482</v>
      </c>
      <c r="BH3" s="24">
        <f>INDEX(cpi!B:B,MATCH($L3,cpi!A:A))</f>
        <v>84.6</v>
      </c>
      <c r="BI3" s="24">
        <f t="shared" ref="BI3:BI34" si="16">100*BH3/BH$3</f>
        <v>100</v>
      </c>
      <c r="BJ3" s="24">
        <f t="shared" ref="BJ3:BJ34" si="17">100*AC3/AC$3</f>
        <v>100</v>
      </c>
      <c r="BK3" s="24">
        <f t="shared" ref="BK3:BK34" si="18">100*AD3/AD$3</f>
        <v>100</v>
      </c>
      <c r="BL3" s="24">
        <f t="shared" ref="BL3:BL34" si="19">BJ3*GlobalPortfolio+BK3*AusPortfolio</f>
        <v>100</v>
      </c>
      <c r="BM3" s="24">
        <f t="shared" ref="BM3:BM34" si="20">100*AE3/$AE$3</f>
        <v>100</v>
      </c>
      <c r="BN3" s="24">
        <f t="shared" ref="BN3:BN34" si="21">100*AR3/AR$3</f>
        <v>100</v>
      </c>
      <c r="BO3">
        <f t="shared" ref="BO3:BO34" si="22">100*AX3/AX$3</f>
        <v>100</v>
      </c>
    </row>
    <row r="4" spans="1:67" x14ac:dyDescent="0.25">
      <c r="A4" t="s">
        <v>548</v>
      </c>
      <c r="B4" s="4">
        <f>((_xlfn.XLOOKUP(Q_end,L:L,AR:AR)/_xlfn.XLOOKUP(Q_start,L:L,AR:AR))^(1/YEARFRAC(EOMONTH(Q_start,-3)+1,EOMONTH(Q_end,0))))-1</f>
        <v>6.305707889924661E-2</v>
      </c>
      <c r="L4" s="1">
        <f>IF(DATE(YEAR(L3),MONTH(L3)+3,1)&lt;=Q_end,DATE(YEAR(L3),MONTH(L3)+3,1),"")</f>
        <v>38869</v>
      </c>
      <c r="M4" s="12">
        <f t="shared" si="0"/>
        <v>177232.23462276673</v>
      </c>
      <c r="N4" s="12">
        <f t="shared" ref="N4:N34" si="23">AX4-BC4</f>
        <v>103741.72477014485</v>
      </c>
      <c r="O4" s="9">
        <f t="shared" ref="O4:O67" si="24">M4/N4</f>
        <v>1.7083987664119811</v>
      </c>
      <c r="P4" s="9">
        <f t="shared" si="1"/>
        <v>0.39708887240926616</v>
      </c>
      <c r="Q4">
        <v>2</v>
      </c>
      <c r="R4">
        <f t="shared" si="2"/>
        <v>91</v>
      </c>
      <c r="S4" s="24"/>
      <c r="T4" s="24">
        <f>IF($B$10="3BR_H",
INDEX('3BR_H-combined'!$C:$BH,MATCH($L4,'3BR_H-combined'!$B:$B,0),MATCH(Council_Area,'3BR_H-combined'!$C$1:$BH$1,0)),
INDEX('2BR_F-combined'!$C:$BH,MATCH($L4,'2BR_F-combined'!$B:$B,0),MATCH(Council_Area,'2BR_F-combined'!$C$1:$BH$1,0)))</f>
        <v>265</v>
      </c>
      <c r="U4" s="24">
        <f t="shared" ref="U4:U67" si="25">IF(MOD(Q4,4)=1,T4,U3)</f>
        <v>265</v>
      </c>
      <c r="V4" s="24">
        <f>U4*(R4)/7</f>
        <v>3445</v>
      </c>
      <c r="W4" s="24">
        <f>$B$53/4*BH4/_xlfn.XLOOKUP(Q_end,cpi!A:A,cpi!B:B)</f>
        <v>118.72840359364203</v>
      </c>
      <c r="X4" s="24">
        <f t="shared" si="3"/>
        <v>3563.7284035936418</v>
      </c>
      <c r="Y4" s="24">
        <f t="shared" ref="Y4:Y34" si="26">BG4-X4</f>
        <v>5410.9083873377012</v>
      </c>
      <c r="Z4" s="24">
        <f t="shared" ref="Z4:Z35" si="27">Y4*$B$47</f>
        <v>1731.4906839480641</v>
      </c>
      <c r="AA4" s="24">
        <f t="shared" si="4"/>
        <v>7142.3990712857649</v>
      </c>
      <c r="AB4" s="24">
        <f>AA4*(_xlfn.XLOOKUP(Q_end,cpi!A:A,cpi!B:B)/BH4)</f>
        <v>12031.491799942376</v>
      </c>
      <c r="AC4" s="24" cm="1">
        <f t="array" ref="AC4">INDEX('msci-indices'!C:C,MATCH($L4,'msci-indices'!$B:$B)-2)</f>
        <v>809.32011899999998</v>
      </c>
      <c r="AD4" s="24" cm="1">
        <f t="array" ref="AD4">INDEX('msci-indices'!D:D,MATCH($L4,'msci-indices'!$B:$B)-2)</f>
        <v>780.24346800000001</v>
      </c>
      <c r="AE4" s="24">
        <f t="shared" ref="AE4:AE35" si="28">AI3+AA4</f>
        <v>178388.3992493831</v>
      </c>
      <c r="AF4" s="24" cm="1">
        <f t="array" ref="AF4">INDEX('msci-indices'!C:C,MATCH($L4,'msci-indices'!$B:$B)+1)</f>
        <v>802.64573099999996</v>
      </c>
      <c r="AG4" s="24" cm="1">
        <f t="array" ref="AG4">INDEX('msci-indices'!D:D,MATCH($L4,'msci-indices'!$B:$B)+1)</f>
        <v>780.02674300000001</v>
      </c>
      <c r="AH4" s="24">
        <f t="shared" si="5"/>
        <v>111.49274953086444</v>
      </c>
      <c r="AI4" s="24">
        <f t="shared" si="6"/>
        <v>177232.23462276673</v>
      </c>
      <c r="AJ4" s="24">
        <f t="shared" ref="AJ4:AJ35" si="29">AJ3+AA4</f>
        <v>165972.48850743662</v>
      </c>
      <c r="AK4" s="24">
        <f t="shared" si="7"/>
        <v>11259.746115330112</v>
      </c>
      <c r="AL4" s="24">
        <f>AJ4*(_xlfn.XLOOKUP(Q_end,cpi!A:A,cpi!B:B)/BH4)</f>
        <v>279583.45852184022</v>
      </c>
      <c r="AM4" s="24" cm="1">
        <f t="array" ref="AM4">SUMPRODUCT($AA$3:AA4,_xlfn.SORTBY($BH$3:BH4,_xlfn.SEQUENCE(ROWS($BH$3:BH4)),-1)/$BH$3)</f>
        <v>168413.13999995432</v>
      </c>
      <c r="AN4" s="24">
        <f t="shared" ref="AN4:AN67" si="30">AI4-AM4</f>
        <v>8819.0946228124085</v>
      </c>
      <c r="AO4" s="24">
        <f t="shared" si="8"/>
        <v>0</v>
      </c>
      <c r="AP4" s="24">
        <f t="shared" ref="AP4:AP67" si="31">AI4-AO4</f>
        <v>177232.23462276673</v>
      </c>
      <c r="AQ4" s="24"/>
      <c r="AR4" s="12">
        <f>IF($B$10="3BR_H",
INDEX('ns-combined'!$C:$BH,MATCH($L4,'ns-combined'!$B:$B,0),MATCH(Council_Area,'ns-combined'!$C$1:$BH$1,0))*1000,
INDEX('s-combined'!$C:$BH,MATCH($L4,'s-combined'!$B:$B,0),MATCH(Council_Area,'s-combined'!$C$1:$BH$1,0))*1000)</f>
        <v>485000</v>
      </c>
      <c r="AS4" s="24">
        <f>AS3+$AS$3</f>
        <v>2300</v>
      </c>
      <c r="AT4" s="12">
        <v>0</v>
      </c>
      <c r="AU4" s="24">
        <f t="shared" si="9"/>
        <v>9700</v>
      </c>
      <c r="AV4" s="24">
        <f t="shared" si="10"/>
        <v>1394.375</v>
      </c>
      <c r="AW4" s="24">
        <f>SUM($AV$3:AV4)</f>
        <v>2716.875</v>
      </c>
      <c r="AX4" s="24">
        <f t="shared" ref="AX4:AX34" si="32">AR4-AS4-AU4-AW4</f>
        <v>470283.125</v>
      </c>
      <c r="AY4" s="24">
        <f t="shared" si="11"/>
        <v>1205.7500000000002</v>
      </c>
      <c r="AZ4" s="26">
        <f t="shared" si="12"/>
        <v>9.9443298969072186E-3</v>
      </c>
      <c r="BA4" s="26">
        <f t="shared" si="13"/>
        <v>0.35000000000000009</v>
      </c>
      <c r="BB4" s="27">
        <f>IF(MortgageRate="Discounted",_xlfn.XLOOKUP(L4,'mortgage-rates'!$A:$A,'mortgage-rates'!$E:$E)/100,_xlfn.XLOOKUP(L4,'mortgage-rates'!$A:$A,'mortgage-rates'!$D:$D)/100)</f>
        <v>6.93E-2</v>
      </c>
      <c r="BC4" s="12">
        <f>BC3-BF3</f>
        <v>366541.40022985515</v>
      </c>
      <c r="BD4" s="12">
        <f t="shared" si="14"/>
        <v>7768.8867909313421</v>
      </c>
      <c r="BE4" s="12">
        <f t="shared" si="15"/>
        <v>6350.3297589822405</v>
      </c>
      <c r="BF4" s="12">
        <f>BD4-BE4</f>
        <v>1418.5570319491017</v>
      </c>
      <c r="BG4" s="14">
        <f t="shared" ref="BG4:BG34" si="33">AT4+AY4+BD4</f>
        <v>8974.6367909313431</v>
      </c>
      <c r="BH4" s="24">
        <f>INDEX(cpi!B:B,MATCH($L4,cpi!A:A))</f>
        <v>85.9</v>
      </c>
      <c r="BI4" s="24">
        <f t="shared" si="16"/>
        <v>101.53664302600474</v>
      </c>
      <c r="BJ4" s="24">
        <f t="shared" si="17"/>
        <v>107.21181327548136</v>
      </c>
      <c r="BK4" s="24">
        <f t="shared" si="18"/>
        <v>109.43777704215839</v>
      </c>
      <c r="BL4" s="24">
        <f t="shared" si="19"/>
        <v>107.87960240548446</v>
      </c>
      <c r="BM4" s="24">
        <f t="shared" si="20"/>
        <v>112.31398274890138</v>
      </c>
      <c r="BN4" s="24">
        <f t="shared" si="21"/>
        <v>105.43478260869566</v>
      </c>
      <c r="BO4">
        <f t="shared" si="22"/>
        <v>104.89722914610414</v>
      </c>
    </row>
    <row r="5" spans="1:67" x14ac:dyDescent="0.25">
      <c r="A5" t="s">
        <v>559</v>
      </c>
      <c r="B5" s="4">
        <f>((_xlfn.XLOOKUP(Q_end,L:L,AX:AX)/_xlfn.XLOOKUP(Q_start,L:L,AX:AX))^(1/YEARFRAC(EOMONTH(Q_start,-3)+1,EOMONTH(Q_end,0))))-1</f>
        <v>5.2061805646878234E-2</v>
      </c>
      <c r="L5" s="1">
        <f t="shared" ref="L5:L68" si="34">DATE(YEAR(L4),MONTH(L4)+3,1)</f>
        <v>38961</v>
      </c>
      <c r="M5" s="12">
        <f t="shared" si="0"/>
        <v>191229.56540565987</v>
      </c>
      <c r="N5" s="12">
        <f t="shared" si="23"/>
        <v>89913.281802093959</v>
      </c>
      <c r="O5" s="9">
        <f t="shared" si="24"/>
        <v>2.1268222177294209</v>
      </c>
      <c r="P5" s="9">
        <f t="shared" si="1"/>
        <v>0.39199261349898129</v>
      </c>
      <c r="Q5">
        <v>3</v>
      </c>
      <c r="R5">
        <f t="shared" si="2"/>
        <v>92</v>
      </c>
      <c r="S5" s="24"/>
      <c r="T5" s="24">
        <f>IF($B$10="3BR_H",
INDEX('3BR_H-combined'!$C:$BH,MATCH($L5,'3BR_H-combined'!$B:$B,0),MATCH(Council_Area,'3BR_H-combined'!$C$1:$BH$1,0)),
INDEX('2BR_F-combined'!$C:$BH,MATCH($L5,'2BR_F-combined'!$B:$B,0),MATCH(Council_Area,'2BR_F-combined'!$C$1:$BH$1,0)))</f>
        <v>270</v>
      </c>
      <c r="U5" s="24">
        <f t="shared" si="25"/>
        <v>265</v>
      </c>
      <c r="V5" s="24">
        <f t="shared" ref="V5:V67" si="35">U5*(R5)/7</f>
        <v>3482.8571428571427</v>
      </c>
      <c r="W5" s="24">
        <f>$B$53/4*BH5/_xlfn.XLOOKUP(Q_end,cpi!A:A,cpi!B:B)</f>
        <v>119.69592259847963</v>
      </c>
      <c r="X5" s="24">
        <f t="shared" si="3"/>
        <v>3602.5530654556223</v>
      </c>
      <c r="Y5" s="24">
        <f t="shared" si="26"/>
        <v>5587.806501013567</v>
      </c>
      <c r="Z5" s="24">
        <f t="shared" si="27"/>
        <v>1788.0980803243413</v>
      </c>
      <c r="AA5" s="24">
        <f t="shared" si="4"/>
        <v>7375.904581337908</v>
      </c>
      <c r="AB5" s="24">
        <f>AA5*(_xlfn.XLOOKUP(Q_end,cpi!A:A,cpi!B:B)/BH5)</f>
        <v>12324.40407528401</v>
      </c>
      <c r="AC5" s="24" cm="1">
        <f t="array" ref="AC5">INDEX('msci-indices'!C:C,MATCH($L5,'msci-indices'!$B:$B)-2)</f>
        <v>802.64573099999996</v>
      </c>
      <c r="AD5" s="24" cm="1">
        <f t="array" ref="AD5">INDEX('msci-indices'!D:D,MATCH($L5,'msci-indices'!$B:$B)-2)</f>
        <v>780.02674300000001</v>
      </c>
      <c r="AE5" s="24">
        <f t="shared" si="28"/>
        <v>184608.13920410463</v>
      </c>
      <c r="AF5" s="24" cm="1">
        <f t="array" ref="AF5">INDEX('msci-indices'!C:C,MATCH($L5,'msci-indices'!$B:$B)+1)</f>
        <v>835.13401499999998</v>
      </c>
      <c r="AG5" s="24" cm="1">
        <f t="array" ref="AG5">INDEX('msci-indices'!D:D,MATCH($L5,'msci-indices'!$B:$B)+1)</f>
        <v>801.24066600000003</v>
      </c>
      <c r="AH5" s="24">
        <f t="shared" si="5"/>
        <v>115.3800870025654</v>
      </c>
      <c r="AI5" s="24">
        <f t="shared" si="6"/>
        <v>191229.56540565987</v>
      </c>
      <c r="AJ5" s="24">
        <f t="shared" si="29"/>
        <v>173348.39308877452</v>
      </c>
      <c r="AK5" s="24">
        <f t="shared" si="7"/>
        <v>17881.17231688535</v>
      </c>
      <c r="AL5" s="24">
        <f>AJ5*(_xlfn.XLOOKUP(Q_end,cpi!A:A,cpi!B:B)/BH5)</f>
        <v>289647.95011484611</v>
      </c>
      <c r="AM5" s="24" cm="1">
        <f t="array" ref="AM5">SUMPRODUCT($AA$3:AA5,_xlfn.SORTBY($BH$3:BH5,_xlfn.SEQUENCE(ROWS($BH$3:BH5)),-1)/$BH$3)</f>
        <v>177212.99471602007</v>
      </c>
      <c r="AN5" s="24">
        <f t="shared" si="30"/>
        <v>14016.570689639804</v>
      </c>
      <c r="AO5" s="24">
        <f t="shared" si="8"/>
        <v>0</v>
      </c>
      <c r="AP5" s="24">
        <f t="shared" si="31"/>
        <v>191229.56540565987</v>
      </c>
      <c r="AQ5" s="24"/>
      <c r="AR5" s="12">
        <f>IF($B$10="3BR_H",
INDEX('ns-combined'!$C:$BH,MATCH($L5,'ns-combined'!$B:$B,0),MATCH(Council_Area,'ns-combined'!$C$1:$BH$1,0))*1000,
INDEX('s-combined'!$C:$BH,MATCH($L5,'s-combined'!$B:$B,0),MATCH(Council_Area,'s-combined'!$C$1:$BH$1,0))*1000)</f>
        <v>472000</v>
      </c>
      <c r="AS5" s="24">
        <f t="shared" ref="AS5:AS68" si="36">AS4+$AS$3</f>
        <v>3450</v>
      </c>
      <c r="AT5" s="12">
        <v>0</v>
      </c>
      <c r="AU5" s="24">
        <f t="shared" si="9"/>
        <v>9440</v>
      </c>
      <c r="AV5" s="24">
        <f t="shared" si="10"/>
        <v>1357</v>
      </c>
      <c r="AW5" s="24">
        <f>SUM($AV$3:AV5)</f>
        <v>4073.875</v>
      </c>
      <c r="AX5" s="24">
        <f t="shared" si="32"/>
        <v>455036.125</v>
      </c>
      <c r="AY5" s="24">
        <f t="shared" si="11"/>
        <v>1219</v>
      </c>
      <c r="AZ5" s="26">
        <f t="shared" si="12"/>
        <v>1.0330508474576271E-2</v>
      </c>
      <c r="BA5" s="26">
        <f t="shared" si="13"/>
        <v>0.35000000000000003</v>
      </c>
      <c r="BB5" s="27">
        <f>IF(MortgageRate="Discounted",_xlfn.XLOOKUP(L5,'mortgage-rates'!$A:$A,'mortgage-rates'!$E:$E)/100,_xlfn.XLOOKUP(L5,'mortgage-rates'!$A:$A,'mortgage-rates'!$D:$D)/100)</f>
        <v>7.22E-2</v>
      </c>
      <c r="BC5" s="12">
        <f>BC4-BF4</f>
        <v>365122.84319790604</v>
      </c>
      <c r="BD5" s="12">
        <f t="shared" si="14"/>
        <v>7971.3595664691893</v>
      </c>
      <c r="BE5" s="12">
        <f t="shared" si="15"/>
        <v>6590.4673197222037</v>
      </c>
      <c r="BF5" s="12">
        <f t="shared" ref="BF5:BF68" si="37">BD5-BE5</f>
        <v>1380.8922467469856</v>
      </c>
      <c r="BG5" s="14">
        <f>AT5+AY5+BD5</f>
        <v>9190.3595664691893</v>
      </c>
      <c r="BH5" s="24">
        <f>INDEX(cpi!B:B,MATCH($L5,cpi!A:A))</f>
        <v>86.6</v>
      </c>
      <c r="BI5" s="24">
        <f t="shared" si="16"/>
        <v>102.36406619385343</v>
      </c>
      <c r="BJ5" s="24">
        <f t="shared" si="17"/>
        <v>106.3276473895915</v>
      </c>
      <c r="BK5" s="24">
        <f t="shared" si="18"/>
        <v>109.40737896360702</v>
      </c>
      <c r="BL5" s="24">
        <f t="shared" si="19"/>
        <v>107.25156686179616</v>
      </c>
      <c r="BM5" s="24">
        <f t="shared" si="20"/>
        <v>116.22995356828559</v>
      </c>
      <c r="BN5" s="24">
        <f t="shared" si="21"/>
        <v>102.60869565217391</v>
      </c>
      <c r="BO5">
        <f t="shared" si="22"/>
        <v>101.49636705310292</v>
      </c>
    </row>
    <row r="6" spans="1:67" x14ac:dyDescent="0.25">
      <c r="A6" t="s">
        <v>525</v>
      </c>
      <c r="B6" s="4">
        <f>((_xlfn.XLOOKUP(Q_end,L:L,U:U)/_xlfn.XLOOKUP(Q_start,L:L,U:U))^(1/YEARFRAC(EOMONTH(Q_start,-3)+1,EOMONTH(Q_end,0))))-1</f>
        <v>4.9766255368866252E-2</v>
      </c>
      <c r="L6" s="1">
        <f t="shared" si="34"/>
        <v>39052</v>
      </c>
      <c r="M6" s="12">
        <f t="shared" si="0"/>
        <v>216879.3622324646</v>
      </c>
      <c r="N6" s="12">
        <f t="shared" si="23"/>
        <v>109306.79904884094</v>
      </c>
      <c r="O6" s="9">
        <f t="shared" si="24"/>
        <v>1.9841342361105792</v>
      </c>
      <c r="P6" s="9">
        <f t="shared" si="1"/>
        <v>0.38467430499096222</v>
      </c>
      <c r="Q6">
        <v>4</v>
      </c>
      <c r="R6">
        <f t="shared" si="2"/>
        <v>92</v>
      </c>
      <c r="S6" s="24"/>
      <c r="T6" s="24">
        <f>IF($B$10="3BR_H",
INDEX('3BR_H-combined'!$C:$BH,MATCH($L6,'3BR_H-combined'!$B:$B,0),MATCH(Council_Area,'3BR_H-combined'!$C$1:$BH$1,0)),
INDEX('2BR_F-combined'!$C:$BH,MATCH($L6,'2BR_F-combined'!$B:$B,0),MATCH(Council_Area,'2BR_F-combined'!$C$1:$BH$1,0)))</f>
        <v>275</v>
      </c>
      <c r="U6" s="24">
        <f t="shared" si="25"/>
        <v>265</v>
      </c>
      <c r="V6" s="24">
        <f t="shared" si="35"/>
        <v>3482.8571428571427</v>
      </c>
      <c r="W6" s="24">
        <f>$B$53/4*BH6/_xlfn.XLOOKUP(Q_end,cpi!A:A,cpi!B:B)</f>
        <v>119.83413959917071</v>
      </c>
      <c r="X6" s="24">
        <f t="shared" si="3"/>
        <v>3602.6912824563133</v>
      </c>
      <c r="Y6" s="24">
        <f t="shared" si="26"/>
        <v>5762.8713135194103</v>
      </c>
      <c r="Z6" s="24">
        <f t="shared" si="27"/>
        <v>1844.1188203262111</v>
      </c>
      <c r="AA6" s="24">
        <f t="shared" si="4"/>
        <v>7606.9901338456211</v>
      </c>
      <c r="AB6" s="24">
        <f>AA6*(_xlfn.XLOOKUP(Q_end,cpi!A:A,cpi!B:B)/BH6)</f>
        <v>12695.864733188711</v>
      </c>
      <c r="AC6" s="24" cm="1">
        <f t="array" ref="AC6">INDEX('msci-indices'!C:C,MATCH($L6,'msci-indices'!$B:$B)-2)</f>
        <v>835.13401499999998</v>
      </c>
      <c r="AD6" s="24" cm="1">
        <f t="array" ref="AD6">INDEX('msci-indices'!D:D,MATCH($L6,'msci-indices'!$B:$B)-2)</f>
        <v>801.24066600000003</v>
      </c>
      <c r="AE6" s="24">
        <f t="shared" si="28"/>
        <v>198836.5555395055</v>
      </c>
      <c r="AF6" s="24" cm="1">
        <f t="array" ref="AF6">INDEX('msci-indices'!C:C,MATCH($L6,'msci-indices'!$B:$B)+1)</f>
        <v>906.58022200000005</v>
      </c>
      <c r="AG6" s="24" cm="1">
        <f t="array" ref="AG6">INDEX('msci-indices'!D:D,MATCH($L6,'msci-indices'!$B:$B)+1)</f>
        <v>885.32149100000004</v>
      </c>
      <c r="AH6" s="24">
        <f t="shared" si="5"/>
        <v>124.27284721219094</v>
      </c>
      <c r="AI6" s="24">
        <f t="shared" si="6"/>
        <v>216879.3622324646</v>
      </c>
      <c r="AJ6" s="24">
        <f t="shared" si="29"/>
        <v>180955.38322262015</v>
      </c>
      <c r="AK6" s="24">
        <f t="shared" si="7"/>
        <v>35923.97900984445</v>
      </c>
      <c r="AL6" s="24">
        <f>AJ6*(_xlfn.XLOOKUP(Q_end,cpi!A:A,cpi!B:B)/BH6)</f>
        <v>302009.73416739481</v>
      </c>
      <c r="AM6" s="24" cm="1">
        <f t="array" ref="AM6">SUMPRODUCT($AA$3:AA6,_xlfn.SORTBY($BH$3:BH6,_xlfn.SEQUENCE(ROWS($BH$3:BH6)),-1)/$BH$3)</f>
        <v>185180.16646037702</v>
      </c>
      <c r="AN6" s="24">
        <f t="shared" si="30"/>
        <v>31699.19577208758</v>
      </c>
      <c r="AO6" s="24">
        <f t="shared" si="8"/>
        <v>0</v>
      </c>
      <c r="AP6" s="24">
        <f t="shared" si="31"/>
        <v>216879.3622324646</v>
      </c>
      <c r="AQ6" s="24"/>
      <c r="AR6" s="12">
        <f>IF($B$10="3BR_H",
INDEX('ns-combined'!$C:$BH,MATCH($L6,'ns-combined'!$B:$B,0),MATCH(Council_Area,'ns-combined'!$C$1:$BH$1,0))*1000,
INDEX('s-combined'!$C:$BH,MATCH($L6,'s-combined'!$B:$B,0),MATCH(Council_Area,'s-combined'!$C$1:$BH$1,0))*1000)</f>
        <v>493000</v>
      </c>
      <c r="AS6" s="24">
        <f t="shared" si="36"/>
        <v>4600</v>
      </c>
      <c r="AT6" s="12">
        <v>0</v>
      </c>
      <c r="AU6" s="24">
        <f t="shared" si="9"/>
        <v>9860</v>
      </c>
      <c r="AV6" s="24">
        <f t="shared" si="10"/>
        <v>1417.375</v>
      </c>
      <c r="AW6" s="24">
        <f>SUM($AV$3:AV6)</f>
        <v>5491.25</v>
      </c>
      <c r="AX6" s="24">
        <f t="shared" si="32"/>
        <v>473048.75</v>
      </c>
      <c r="AY6" s="24">
        <f t="shared" si="11"/>
        <v>1219</v>
      </c>
      <c r="AZ6" s="26">
        <f t="shared" si="12"/>
        <v>9.8904665314401615E-3</v>
      </c>
      <c r="BA6" s="26">
        <f t="shared" si="13"/>
        <v>0.35000000000000003</v>
      </c>
      <c r="BB6" s="27">
        <f>IF(MortgageRate="Discounted",_xlfn.XLOOKUP(L6,'mortgage-rates'!$A:$A,'mortgage-rates'!$E:$E)/100,_xlfn.XLOOKUP(L6,'mortgage-rates'!$A:$A,'mortgage-rates'!$D:$D)/100)</f>
        <v>7.4700000000000003E-2</v>
      </c>
      <c r="BC6" s="12">
        <f t="shared" ref="BC6:BC35" si="38">BC5-BF5</f>
        <v>363741.95095115906</v>
      </c>
      <c r="BD6" s="12">
        <f t="shared" si="14"/>
        <v>8146.5625959757244</v>
      </c>
      <c r="BE6" s="12">
        <f t="shared" si="15"/>
        <v>6792.8809340128955</v>
      </c>
      <c r="BF6" s="12">
        <f t="shared" si="37"/>
        <v>1353.6816619628289</v>
      </c>
      <c r="BG6" s="14">
        <f t="shared" si="33"/>
        <v>9365.5625959757235</v>
      </c>
      <c r="BH6" s="24">
        <f>INDEX(cpi!B:B,MATCH($L6,cpi!A:A))</f>
        <v>86.7</v>
      </c>
      <c r="BI6" s="24">
        <f t="shared" si="16"/>
        <v>102.48226950354611</v>
      </c>
      <c r="BJ6" s="24">
        <f t="shared" si="17"/>
        <v>110.63141762349176</v>
      </c>
      <c r="BK6" s="24">
        <f t="shared" si="18"/>
        <v>112.38286632194978</v>
      </c>
      <c r="BL6" s="24">
        <f t="shared" si="19"/>
        <v>111.15685223302917</v>
      </c>
      <c r="BM6" s="24">
        <f t="shared" si="20"/>
        <v>125.18821606496488</v>
      </c>
      <c r="BN6" s="24">
        <f t="shared" si="21"/>
        <v>107.17391304347827</v>
      </c>
      <c r="BO6">
        <f t="shared" si="22"/>
        <v>105.51410520211229</v>
      </c>
    </row>
    <row r="7" spans="1:67" x14ac:dyDescent="0.25">
      <c r="A7" t="s">
        <v>549</v>
      </c>
      <c r="B7" s="4">
        <f>((_xlfn.XLOOKUP(Q_end,L:L,BL:BL)/_xlfn.XLOOKUP(Q_start,L:L,BL:BL))^(1/YEARFRAC(EOMONTH(Q_start,-3)+1,EOMONTH(Q_end,0))))-1</f>
        <v>8.0631421747286103E-2</v>
      </c>
      <c r="L7" s="1">
        <f t="shared" si="34"/>
        <v>39142</v>
      </c>
      <c r="M7" s="12">
        <f t="shared" si="0"/>
        <v>233286.98434311754</v>
      </c>
      <c r="N7" s="12">
        <f t="shared" si="23"/>
        <v>87573.480710803764</v>
      </c>
      <c r="O7" s="9">
        <f t="shared" si="24"/>
        <v>2.6638998752773952</v>
      </c>
      <c r="P7" s="9">
        <f t="shared" si="1"/>
        <v>0.39545095263497992</v>
      </c>
      <c r="Q7">
        <v>5</v>
      </c>
      <c r="R7">
        <f t="shared" si="2"/>
        <v>90</v>
      </c>
      <c r="S7" s="24"/>
      <c r="T7" s="24">
        <f>IF($B$10="3BR_H",
INDEX('3BR_H-combined'!$C:$BH,MATCH($L7,'3BR_H-combined'!$B:$B,0),MATCH(Council_Area,'3BR_H-combined'!$C$1:$BH$1,0)),
INDEX('2BR_F-combined'!$C:$BH,MATCH($L7,'2BR_F-combined'!$B:$B,0),MATCH(Council_Area,'2BR_F-combined'!$C$1:$BH$1,0)))</f>
        <v>280</v>
      </c>
      <c r="U7" s="24">
        <f>IF(MOD(Q7,4)=1,T7,U6)</f>
        <v>280</v>
      </c>
      <c r="V7" s="24">
        <f t="shared" si="35"/>
        <v>3600</v>
      </c>
      <c r="W7" s="24">
        <f>$B$53/4*BH7/_xlfn.XLOOKUP(Q_end,cpi!A:A,cpi!B:B)</f>
        <v>119.83413959917071</v>
      </c>
      <c r="X7" s="24">
        <f t="shared" si="3"/>
        <v>3719.8341395991706</v>
      </c>
      <c r="Y7" s="24">
        <f t="shared" si="26"/>
        <v>5686.7284563765552</v>
      </c>
      <c r="Z7" s="24">
        <f t="shared" si="27"/>
        <v>1819.7531060404974</v>
      </c>
      <c r="AA7" s="24">
        <f t="shared" si="4"/>
        <v>7506.4815624170524</v>
      </c>
      <c r="AB7" s="24">
        <f>AA7*(_xlfn.XLOOKUP(Q_end,cpi!A:A,cpi!B:B)/BH7)</f>
        <v>12528.11859379178</v>
      </c>
      <c r="AC7" s="24" cm="1">
        <f t="array" ref="AC7">INDEX('msci-indices'!C:C,MATCH($L7,'msci-indices'!$B:$B)-2)</f>
        <v>906.58022200000005</v>
      </c>
      <c r="AD7" s="24" cm="1">
        <f t="array" ref="AD7">INDEX('msci-indices'!D:D,MATCH($L7,'msci-indices'!$B:$B)-2)</f>
        <v>885.32149100000004</v>
      </c>
      <c r="AE7" s="24">
        <f t="shared" si="28"/>
        <v>224385.84379488166</v>
      </c>
      <c r="AF7" s="24" cm="1">
        <f t="array" ref="AF7">INDEX('msci-indices'!C:C,MATCH($L7,'msci-indices'!$B:$B)+1)</f>
        <v>932.09759399999996</v>
      </c>
      <c r="AG7" s="24" cm="1">
        <f t="array" ref="AG7">INDEX('msci-indices'!D:D,MATCH($L7,'msci-indices'!$B:$B)+1)</f>
        <v>946.08734200000004</v>
      </c>
      <c r="AH7" s="24">
        <f t="shared" si="5"/>
        <v>140.24115237180104</v>
      </c>
      <c r="AI7" s="24">
        <f t="shared" si="6"/>
        <v>233286.98434311754</v>
      </c>
      <c r="AJ7" s="24">
        <f t="shared" si="29"/>
        <v>188461.86478503721</v>
      </c>
      <c r="AK7" s="24">
        <f t="shared" si="7"/>
        <v>44825.119558080332</v>
      </c>
      <c r="AL7" s="24">
        <f>AJ7*(_xlfn.XLOOKUP(Q_end,cpi!A:A,cpi!B:B)/BH7)</f>
        <v>314537.8527611866</v>
      </c>
      <c r="AM7" s="24" cm="1">
        <f t="array" ref="AM7">SUMPRODUCT($AA$3:AA7,_xlfn.SORTBY($BH$3:BH7,_xlfn.SEQUENCE(ROWS($BH$3:BH7)),-1)/$BH$3)</f>
        <v>192873.01280161279</v>
      </c>
      <c r="AN7" s="24">
        <f t="shared" si="30"/>
        <v>40413.971541504754</v>
      </c>
      <c r="AO7" s="24">
        <f t="shared" si="8"/>
        <v>0</v>
      </c>
      <c r="AP7" s="24">
        <f t="shared" si="31"/>
        <v>233286.98434311754</v>
      </c>
      <c r="AQ7" s="24"/>
      <c r="AR7" s="12">
        <f>IF($B$10="3BR_H",
INDEX('ns-combined'!$C:$BH,MATCH($L7,'ns-combined'!$B:$B,0),MATCH(Council_Area,'ns-combined'!$C$1:$BH$1,0))*1000,
INDEX('s-combined'!$C:$BH,MATCH($L7,'s-combined'!$B:$B,0),MATCH(Council_Area,'s-combined'!$C$1:$BH$1,0))*1000)</f>
        <v>472000</v>
      </c>
      <c r="AS7" s="24">
        <f t="shared" si="36"/>
        <v>5750</v>
      </c>
      <c r="AT7" s="12">
        <v>0</v>
      </c>
      <c r="AU7" s="24">
        <f t="shared" si="9"/>
        <v>9440</v>
      </c>
      <c r="AV7" s="24">
        <f t="shared" si="10"/>
        <v>1357</v>
      </c>
      <c r="AW7" s="24">
        <f>SUM($AV$3:AV7)</f>
        <v>6848.25</v>
      </c>
      <c r="AX7" s="24">
        <f t="shared" si="32"/>
        <v>449961.75</v>
      </c>
      <c r="AY7" s="24">
        <f t="shared" si="11"/>
        <v>1260.0000000000002</v>
      </c>
      <c r="AZ7" s="26">
        <f t="shared" si="12"/>
        <v>1.0677966101694917E-2</v>
      </c>
      <c r="BA7" s="26">
        <f t="shared" si="13"/>
        <v>0.35000000000000009</v>
      </c>
      <c r="BB7" s="27">
        <f>IF(MortgageRate="Discounted",_xlfn.XLOOKUP(L7,'mortgage-rates'!$A:$A,'mortgage-rates'!$E:$E)/100,_xlfn.XLOOKUP(L7,'mortgage-rates'!$A:$A,'mortgage-rates'!$D:$D)/100)</f>
        <v>7.4700000000000003E-2</v>
      </c>
      <c r="BC7" s="12">
        <f t="shared" si="38"/>
        <v>362388.26928919624</v>
      </c>
      <c r="BD7" s="12">
        <f t="shared" si="14"/>
        <v>8146.5625959757244</v>
      </c>
      <c r="BE7" s="12">
        <f t="shared" si="15"/>
        <v>6767.6009289757403</v>
      </c>
      <c r="BF7" s="12">
        <f t="shared" si="37"/>
        <v>1378.9616669999841</v>
      </c>
      <c r="BG7" s="14">
        <f t="shared" si="33"/>
        <v>9406.5625959757253</v>
      </c>
      <c r="BH7" s="24">
        <f>INDEX(cpi!B:B,MATCH($L7,cpi!A:A))</f>
        <v>86.7</v>
      </c>
      <c r="BI7" s="24">
        <f t="shared" si="16"/>
        <v>102.48226950354611</v>
      </c>
      <c r="BJ7" s="24">
        <f t="shared" si="17"/>
        <v>120.09600057935597</v>
      </c>
      <c r="BK7" s="24">
        <f t="shared" si="18"/>
        <v>124.17613208738743</v>
      </c>
      <c r="BL7" s="24">
        <f t="shared" si="19"/>
        <v>121.32004003176542</v>
      </c>
      <c r="BM7" s="24">
        <f t="shared" si="20"/>
        <v>141.27414055576918</v>
      </c>
      <c r="BN7" s="24">
        <f t="shared" si="21"/>
        <v>102.60869565217391</v>
      </c>
      <c r="BO7">
        <f t="shared" si="22"/>
        <v>100.36452147146896</v>
      </c>
    </row>
    <row r="8" spans="1:67" x14ac:dyDescent="0.25">
      <c r="A8" t="s">
        <v>550</v>
      </c>
      <c r="B8" s="4">
        <f>((_xlfn.XLOOKUP(Q_end,L:L,BI:BI)/_xlfn.XLOOKUP(Q_start,L:L,BI:BI))^(1/YEARFRAC(EOMONTH(Q_start,-3)+1,EOMONTH(Q_end,0))))-1</f>
        <v>2.7199757989349482E-2</v>
      </c>
      <c r="L8" s="1">
        <f t="shared" si="34"/>
        <v>39234</v>
      </c>
      <c r="M8" s="12">
        <f t="shared" si="0"/>
        <v>255575.3666742552</v>
      </c>
      <c r="N8" s="12">
        <f t="shared" si="23"/>
        <v>113804.94237780373</v>
      </c>
      <c r="O8" s="9">
        <f t="shared" si="24"/>
        <v>2.2457316996463068</v>
      </c>
      <c r="P8" s="9">
        <f t="shared" si="1"/>
        <v>0.39925601802304223</v>
      </c>
      <c r="Q8">
        <v>6</v>
      </c>
      <c r="R8">
        <f t="shared" si="2"/>
        <v>91</v>
      </c>
      <c r="S8" s="24"/>
      <c r="T8" s="24">
        <f>IF($B$10="3BR_H",
INDEX('3BR_H-combined'!$C:$BH,MATCH($L8,'3BR_H-combined'!$B:$B,0),MATCH(Council_Area,'3BR_H-combined'!$C$1:$BH$1,0)),
INDEX('2BR_F-combined'!$C:$BH,MATCH($L8,'2BR_F-combined'!$B:$B,0),MATCH(Council_Area,'2BR_F-combined'!$C$1:$BH$1,0)))</f>
        <v>280</v>
      </c>
      <c r="U8" s="24">
        <f t="shared" si="25"/>
        <v>280</v>
      </c>
      <c r="V8" s="24">
        <f t="shared" si="35"/>
        <v>3640</v>
      </c>
      <c r="W8" s="24">
        <f>$B$53/4*BH8/_xlfn.XLOOKUP(Q_end,cpi!A:A,cpi!B:B)</f>
        <v>121.21630960608155</v>
      </c>
      <c r="X8" s="24">
        <f t="shared" si="3"/>
        <v>3761.2163096060817</v>
      </c>
      <c r="Y8" s="24">
        <f t="shared" si="26"/>
        <v>5659.3462863696441</v>
      </c>
      <c r="Z8" s="24">
        <f t="shared" si="27"/>
        <v>1810.9908116382858</v>
      </c>
      <c r="AA8" s="24">
        <f t="shared" si="4"/>
        <v>7470.3370980079299</v>
      </c>
      <c r="AB8" s="24">
        <f>AA8*(_xlfn.XLOOKUP(Q_end,cpi!A:A,cpi!B:B)/BH8)</f>
        <v>12325.630308799855</v>
      </c>
      <c r="AC8" s="24" cm="1">
        <f t="array" ref="AC8">INDEX('msci-indices'!C:C,MATCH($L8,'msci-indices'!$B:$B)-2)</f>
        <v>932.09759399999996</v>
      </c>
      <c r="AD8" s="24" cm="1">
        <f t="array" ref="AD8">INDEX('msci-indices'!D:D,MATCH($L8,'msci-indices'!$B:$B)-2)</f>
        <v>946.08734200000004</v>
      </c>
      <c r="AE8" s="24">
        <f t="shared" si="28"/>
        <v>240757.32144112547</v>
      </c>
      <c r="AF8" s="24" cm="1">
        <f t="array" ref="AF8">INDEX('msci-indices'!C:C,MATCH($L8,'msci-indices'!$B:$B)+1)</f>
        <v>991.70582300000001</v>
      </c>
      <c r="AG8" s="24" cm="1">
        <f t="array" ref="AG8">INDEX('msci-indices'!D:D,MATCH($L8,'msci-indices'!$B:$B)+1)</f>
        <v>1000.983113</v>
      </c>
      <c r="AH8" s="24">
        <f t="shared" si="5"/>
        <v>150.47332590070343</v>
      </c>
      <c r="AI8" s="24">
        <f t="shared" si="6"/>
        <v>255575.3666742552</v>
      </c>
      <c r="AJ8" s="24">
        <f t="shared" si="29"/>
        <v>195932.20188304514</v>
      </c>
      <c r="AK8" s="24">
        <f t="shared" si="7"/>
        <v>59643.16479121006</v>
      </c>
      <c r="AL8" s="24">
        <f>AJ8*(_xlfn.XLOOKUP(Q_end,cpi!A:A,cpi!B:B)/BH8)</f>
        <v>323276.96251398663</v>
      </c>
      <c r="AM8" s="24" cm="1">
        <f t="array" ref="AM8">SUMPRODUCT($AA$3:AA8,_xlfn.SORTBY($BH$3:BH8,_xlfn.SEQUENCE(ROWS($BH$3:BH8)),-1)/$BH$3)</f>
        <v>202407.78251213985</v>
      </c>
      <c r="AN8" s="24">
        <f t="shared" si="30"/>
        <v>53167.584162115352</v>
      </c>
      <c r="AO8" s="24">
        <f t="shared" si="8"/>
        <v>0</v>
      </c>
      <c r="AP8" s="24">
        <f t="shared" si="31"/>
        <v>255575.3666742552</v>
      </c>
      <c r="AQ8" s="24"/>
      <c r="AR8" s="12">
        <f>IF($B$10="3BR_H",
INDEX('ns-combined'!$C:$BH,MATCH($L8,'ns-combined'!$B:$B,0),MATCH(Council_Area,'ns-combined'!$C$1:$BH$1,0))*1000,
INDEX('s-combined'!$C:$BH,MATCH($L8,'s-combined'!$B:$B,0),MATCH(Council_Area,'s-combined'!$C$1:$BH$1,0))*1000)</f>
        <v>500000</v>
      </c>
      <c r="AS8" s="24">
        <f t="shared" si="36"/>
        <v>6900</v>
      </c>
      <c r="AT8" s="12">
        <v>0</v>
      </c>
      <c r="AU8" s="24">
        <f t="shared" si="9"/>
        <v>10000</v>
      </c>
      <c r="AV8" s="24">
        <f t="shared" si="10"/>
        <v>1437.5</v>
      </c>
      <c r="AW8" s="24">
        <f>SUM($AV$3:AV8)</f>
        <v>8285.75</v>
      </c>
      <c r="AX8" s="24">
        <f t="shared" si="32"/>
        <v>474814.25</v>
      </c>
      <c r="AY8" s="24">
        <f t="shared" si="11"/>
        <v>1274.0000000000002</v>
      </c>
      <c r="AZ8" s="26">
        <f t="shared" si="12"/>
        <v>1.0192000000000001E-2</v>
      </c>
      <c r="BA8" s="26">
        <f t="shared" si="13"/>
        <v>0.35000000000000009</v>
      </c>
      <c r="BB8" s="27">
        <f>IF(MortgageRate="Discounted",_xlfn.XLOOKUP(L8,'mortgage-rates'!$A:$A,'mortgage-rates'!$E:$E)/100,_xlfn.XLOOKUP(L8,'mortgage-rates'!$A:$A,'mortgage-rates'!$D:$D)/100)</f>
        <v>7.4700000000000003E-2</v>
      </c>
      <c r="BC8" s="12">
        <f t="shared" si="38"/>
        <v>361009.30762219627</v>
      </c>
      <c r="BD8" s="12">
        <f t="shared" si="14"/>
        <v>8146.5625959757244</v>
      </c>
      <c r="BE8" s="12">
        <f t="shared" si="15"/>
        <v>6741.8488198445157</v>
      </c>
      <c r="BF8" s="12">
        <f t="shared" si="37"/>
        <v>1404.7137761312088</v>
      </c>
      <c r="BG8" s="14">
        <f t="shared" si="33"/>
        <v>9420.5625959757253</v>
      </c>
      <c r="BH8" s="24">
        <f>INDEX(cpi!B:B,MATCH($L8,cpi!A:A))</f>
        <v>87.7</v>
      </c>
      <c r="BI8" s="24">
        <f t="shared" si="16"/>
        <v>103.66430260047282</v>
      </c>
      <c r="BJ8" s="24">
        <f t="shared" si="17"/>
        <v>123.47632396180853</v>
      </c>
      <c r="BK8" s="24">
        <f t="shared" si="18"/>
        <v>132.69921485097811</v>
      </c>
      <c r="BL8" s="24">
        <f t="shared" si="19"/>
        <v>126.2431912285594</v>
      </c>
      <c r="BM8" s="24">
        <f t="shared" si="20"/>
        <v>151.58168222143391</v>
      </c>
      <c r="BN8" s="24">
        <f t="shared" si="21"/>
        <v>108.69565217391305</v>
      </c>
      <c r="BO8">
        <f t="shared" si="22"/>
        <v>105.90790214742572</v>
      </c>
    </row>
    <row r="9" spans="1:67" x14ac:dyDescent="0.25">
      <c r="L9" s="1">
        <f t="shared" si="34"/>
        <v>39326</v>
      </c>
      <c r="M9" s="12">
        <f t="shared" si="0"/>
        <v>271190.09095056803</v>
      </c>
      <c r="N9" s="12">
        <f t="shared" si="23"/>
        <v>113599.28115393495</v>
      </c>
      <c r="O9" s="9">
        <f t="shared" si="24"/>
        <v>2.3872518223340387</v>
      </c>
      <c r="P9" s="9">
        <f t="shared" si="1"/>
        <v>0.39570697348284672</v>
      </c>
      <c r="Q9">
        <v>7</v>
      </c>
      <c r="R9">
        <f t="shared" si="2"/>
        <v>92</v>
      </c>
      <c r="S9" s="24"/>
      <c r="T9" s="24">
        <f>IF($B$10="3BR_H",
INDEX('3BR_H-combined'!$C:$BH,MATCH($L9,'3BR_H-combined'!$B:$B,0),MATCH(Council_Area,'3BR_H-combined'!$C$1:$BH$1,0)),
INDEX('2BR_F-combined'!$C:$BH,MATCH($L9,'2BR_F-combined'!$B:$B,0),MATCH(Council_Area,'2BR_F-combined'!$C$1:$BH$1,0)))</f>
        <v>295</v>
      </c>
      <c r="U9" s="24">
        <f t="shared" si="25"/>
        <v>280</v>
      </c>
      <c r="V9" s="24">
        <f t="shared" si="35"/>
        <v>3680</v>
      </c>
      <c r="W9" s="24">
        <f>$B$53/4*BH9/_xlfn.XLOOKUP(Q_end,cpi!A:A,cpi!B:B)</f>
        <v>121.90739460953698</v>
      </c>
      <c r="X9" s="24">
        <f t="shared" si="3"/>
        <v>3801.9073946095368</v>
      </c>
      <c r="Y9" s="24">
        <f t="shared" si="26"/>
        <v>5805.9783627395018</v>
      </c>
      <c r="Z9" s="24">
        <f t="shared" si="27"/>
        <v>1857.9130760766402</v>
      </c>
      <c r="AA9" s="24">
        <f t="shared" si="4"/>
        <v>7663.891438816142</v>
      </c>
      <c r="AB9" s="24">
        <f>AA9*(_xlfn.XLOOKUP(Q_end,cpi!A:A,cpi!B:B)/BH9)</f>
        <v>12573.300353704031</v>
      </c>
      <c r="AC9" s="24" cm="1">
        <f t="array" ref="AC9">INDEX('msci-indices'!C:C,MATCH($L9,'msci-indices'!$B:$B)-2)</f>
        <v>991.70582300000001</v>
      </c>
      <c r="AD9" s="24" cm="1">
        <f t="array" ref="AD9">INDEX('msci-indices'!D:D,MATCH($L9,'msci-indices'!$B:$B)-2)</f>
        <v>1000.983113</v>
      </c>
      <c r="AE9" s="24">
        <f t="shared" si="28"/>
        <v>263239.25811307132</v>
      </c>
      <c r="AF9" s="24" cm="1">
        <f t="array" ref="AF9">INDEX('msci-indices'!C:C,MATCH($L9,'msci-indices'!$B:$B)+1)</f>
        <v>1009.870131</v>
      </c>
      <c r="AG9" s="24" cm="1">
        <f t="array" ref="AG9">INDEX('msci-indices'!D:D,MATCH($L9,'msci-indices'!$B:$B)+1)</f>
        <v>1061.067018</v>
      </c>
      <c r="AH9" s="24">
        <f t="shared" si="5"/>
        <v>164.52453632066957</v>
      </c>
      <c r="AI9" s="24">
        <f t="shared" si="6"/>
        <v>271190.09095056803</v>
      </c>
      <c r="AJ9" s="24">
        <f t="shared" si="29"/>
        <v>203596.09332186129</v>
      </c>
      <c r="AK9" s="24">
        <f t="shared" si="7"/>
        <v>67593.99762870674</v>
      </c>
      <c r="AL9" s="24">
        <f>AJ9*(_xlfn.XLOOKUP(Q_end,cpi!A:A,cpi!B:B)/BH9)</f>
        <v>334017.62702577468</v>
      </c>
      <c r="AM9" s="24" cm="1">
        <f t="array" ref="AM9">SUMPRODUCT($AA$3:AA9,_xlfn.SORTBY($BH$3:BH9,_xlfn.SEQUENCE(ROWS($BH$3:BH9)),-1)/$BH$3)</f>
        <v>211280.70608007952</v>
      </c>
      <c r="AN9" s="24">
        <f t="shared" si="30"/>
        <v>59909.384870488517</v>
      </c>
      <c r="AO9" s="24">
        <f t="shared" si="8"/>
        <v>0</v>
      </c>
      <c r="AP9" s="24">
        <f t="shared" si="31"/>
        <v>271190.09095056803</v>
      </c>
      <c r="AQ9" s="24"/>
      <c r="AR9" s="12">
        <f>IF($B$10="3BR_H",
INDEX('ns-combined'!$C:$BH,MATCH($L9,'ns-combined'!$B:$B,0),MATCH(Council_Area,'ns-combined'!$C$1:$BH$1,0))*1000,
INDEX('s-combined'!$C:$BH,MATCH($L9,'s-combined'!$B:$B,0),MATCH(Council_Area,'s-combined'!$C$1:$BH$1,0))*1000)</f>
        <v>501000</v>
      </c>
      <c r="AS9" s="24">
        <f t="shared" si="36"/>
        <v>8050</v>
      </c>
      <c r="AT9" s="12">
        <v>0</v>
      </c>
      <c r="AU9" s="24">
        <f t="shared" si="9"/>
        <v>10020</v>
      </c>
      <c r="AV9" s="24">
        <f t="shared" si="10"/>
        <v>1440.375</v>
      </c>
      <c r="AW9" s="24">
        <f>SUM($AV$3:AV9)</f>
        <v>9726.125</v>
      </c>
      <c r="AX9" s="24">
        <f t="shared" si="32"/>
        <v>473203.875</v>
      </c>
      <c r="AY9" s="24">
        <f t="shared" si="11"/>
        <v>1288.0000000000002</v>
      </c>
      <c r="AZ9" s="26">
        <f t="shared" si="12"/>
        <v>1.0283433133732537E-2</v>
      </c>
      <c r="BA9" s="26">
        <f t="shared" si="13"/>
        <v>0.35000000000000009</v>
      </c>
      <c r="BB9" s="27">
        <f>IF(MortgageRate="Discounted",_xlfn.XLOOKUP(L9,'mortgage-rates'!$A:$A,'mortgage-rates'!$E:$E)/100,_xlfn.XLOOKUP(L9,'mortgage-rates'!$A:$A,'mortgage-rates'!$D:$D)/100)</f>
        <v>7.7199999999999991E-2</v>
      </c>
      <c r="BC9" s="12">
        <f t="shared" si="38"/>
        <v>359604.59384606505</v>
      </c>
      <c r="BD9" s="12">
        <f t="shared" si="14"/>
        <v>8319.8857573490386</v>
      </c>
      <c r="BE9" s="12">
        <f t="shared" si="15"/>
        <v>6940.3686612290549</v>
      </c>
      <c r="BF9" s="12">
        <f t="shared" si="37"/>
        <v>1379.5170961199838</v>
      </c>
      <c r="BG9" s="14">
        <f t="shared" si="33"/>
        <v>9607.8857573490386</v>
      </c>
      <c r="BH9" s="24">
        <f>INDEX(cpi!B:B,MATCH($L9,cpi!A:A))</f>
        <v>88.2</v>
      </c>
      <c r="BI9" s="24">
        <f t="shared" si="16"/>
        <v>104.25531914893618</v>
      </c>
      <c r="BJ9" s="24">
        <f t="shared" si="17"/>
        <v>131.37271275432553</v>
      </c>
      <c r="BK9" s="24">
        <f t="shared" si="18"/>
        <v>140.39895396273877</v>
      </c>
      <c r="BL9" s="24">
        <f t="shared" si="19"/>
        <v>134.08058511684951</v>
      </c>
      <c r="BM9" s="24">
        <f t="shared" si="20"/>
        <v>165.73639103747567</v>
      </c>
      <c r="BN9" s="24">
        <f t="shared" si="21"/>
        <v>108.91304347826087</v>
      </c>
      <c r="BO9">
        <f t="shared" si="22"/>
        <v>105.54870602405607</v>
      </c>
    </row>
    <row r="10" spans="1:67" x14ac:dyDescent="0.25">
      <c r="A10" t="s">
        <v>390</v>
      </c>
      <c r="B10" t="s">
        <v>527</v>
      </c>
      <c r="C10" t="s">
        <v>527</v>
      </c>
      <c r="L10" s="1">
        <f t="shared" si="34"/>
        <v>39417</v>
      </c>
      <c r="M10" s="12">
        <f t="shared" si="0"/>
        <v>271364.41529185866</v>
      </c>
      <c r="N10" s="12">
        <f t="shared" si="23"/>
        <v>140725.04825005494</v>
      </c>
      <c r="O10" s="9">
        <f t="shared" si="24"/>
        <v>1.9283305898013983</v>
      </c>
      <c r="P10" s="9">
        <f t="shared" si="1"/>
        <v>0.38883535297689853</v>
      </c>
      <c r="Q10">
        <v>8</v>
      </c>
      <c r="R10">
        <f t="shared" si="2"/>
        <v>92</v>
      </c>
      <c r="S10" s="24"/>
      <c r="T10" s="24">
        <f>IF($B$10="3BR_H",
INDEX('3BR_H-combined'!$C:$BH,MATCH($L10,'3BR_H-combined'!$B:$B,0),MATCH(Council_Area,'3BR_H-combined'!$C$1:$BH$1,0)),
INDEX('2BR_F-combined'!$C:$BH,MATCH($L10,'2BR_F-combined'!$B:$B,0),MATCH(Council_Area,'2BR_F-combined'!$C$1:$BH$1,0)))</f>
        <v>310</v>
      </c>
      <c r="U10" s="24">
        <f t="shared" si="25"/>
        <v>280</v>
      </c>
      <c r="V10" s="24">
        <f t="shared" si="35"/>
        <v>3680</v>
      </c>
      <c r="W10" s="24">
        <f>$B$53/4*BH10/_xlfn.XLOOKUP(Q_end,cpi!A:A,cpi!B:B)</f>
        <v>123.42778161713892</v>
      </c>
      <c r="X10" s="24">
        <f t="shared" si="3"/>
        <v>3803.4277816171389</v>
      </c>
      <c r="Y10" s="24">
        <f t="shared" si="26"/>
        <v>5978.1616559130134</v>
      </c>
      <c r="Z10" s="24">
        <f t="shared" si="27"/>
        <v>1913.0117298921641</v>
      </c>
      <c r="AA10" s="24">
        <f t="shared" si="4"/>
        <v>7891.1733858051775</v>
      </c>
      <c r="AB10" s="24">
        <f>AA10*(_xlfn.XLOOKUP(Q_end,cpi!A:A,cpi!B:B)/BH10)</f>
        <v>12786.705363113204</v>
      </c>
      <c r="AC10" s="24" cm="1">
        <f t="array" ref="AC10">INDEX('msci-indices'!C:C,MATCH($L10,'msci-indices'!$B:$B)-2)</f>
        <v>1009.870131</v>
      </c>
      <c r="AD10" s="24" cm="1">
        <f t="array" ref="AD10">INDEX('msci-indices'!D:D,MATCH($L10,'msci-indices'!$B:$B)-2)</f>
        <v>1061.067018</v>
      </c>
      <c r="AE10" s="24">
        <f t="shared" si="28"/>
        <v>279081.26433637319</v>
      </c>
      <c r="AF10" s="24" cm="1">
        <f t="array" ref="AF10">INDEX('msci-indices'!C:C,MATCH($L10,'msci-indices'!$B:$B)+1)</f>
        <v>983.50383399999998</v>
      </c>
      <c r="AG10" s="24" cm="1">
        <f t="array" ref="AG10">INDEX('msci-indices'!D:D,MATCH($L10,'msci-indices'!$B:$B)+1)</f>
        <v>1030.119647</v>
      </c>
      <c r="AH10" s="24">
        <f t="shared" si="5"/>
        <v>174.42579021023326</v>
      </c>
      <c r="AI10" s="24">
        <f t="shared" si="6"/>
        <v>271364.41529185866</v>
      </c>
      <c r="AJ10" s="24">
        <f t="shared" si="29"/>
        <v>211487.26670766648</v>
      </c>
      <c r="AK10" s="24">
        <f t="shared" si="7"/>
        <v>59877.148584192182</v>
      </c>
      <c r="AL10" s="24">
        <f>AJ10*(_xlfn.XLOOKUP(Q_end,cpi!A:A,cpi!B:B)/BH10)</f>
        <v>342689.89353414712</v>
      </c>
      <c r="AM10" s="24" cm="1">
        <f t="array" ref="AM10">SUMPRODUCT($AA$3:AA10,_xlfn.SORTBY($BH$3:BH10,_xlfn.SEQUENCE(ROWS($BH$3:BH10)),-1)/$BH$3)</f>
        <v>221554.89537004608</v>
      </c>
      <c r="AN10" s="24">
        <f t="shared" si="30"/>
        <v>49809.519921812578</v>
      </c>
      <c r="AO10" s="24">
        <f t="shared" si="8"/>
        <v>0</v>
      </c>
      <c r="AP10" s="24">
        <f t="shared" si="31"/>
        <v>271364.41529185866</v>
      </c>
      <c r="AQ10" s="24"/>
      <c r="AR10" s="12">
        <f>IF($B$10="3BR_H",
INDEX('ns-combined'!$C:$BH,MATCH($L10,'ns-combined'!$B:$B,0),MATCH(Council_Area,'ns-combined'!$C$1:$BH$1,0))*1000,
INDEX('s-combined'!$C:$BH,MATCH($L10,'s-combined'!$B:$B,0),MATCH(Council_Area,'s-combined'!$C$1:$BH$1,0))*1000)</f>
        <v>530000</v>
      </c>
      <c r="AS10" s="24">
        <f t="shared" si="36"/>
        <v>9200</v>
      </c>
      <c r="AT10" s="12">
        <v>0</v>
      </c>
      <c r="AU10" s="24">
        <f t="shared" si="9"/>
        <v>10600</v>
      </c>
      <c r="AV10" s="24">
        <f t="shared" si="10"/>
        <v>1523.75</v>
      </c>
      <c r="AW10" s="24">
        <f>SUM($AV$3:AV10)</f>
        <v>11249.875</v>
      </c>
      <c r="AX10" s="24">
        <f t="shared" si="32"/>
        <v>498950.125</v>
      </c>
      <c r="AY10" s="24">
        <f t="shared" si="11"/>
        <v>1288.0000000000002</v>
      </c>
      <c r="AZ10" s="26">
        <f t="shared" si="12"/>
        <v>9.720754716981134E-3</v>
      </c>
      <c r="BA10" s="26">
        <f t="shared" si="13"/>
        <v>0.35000000000000009</v>
      </c>
      <c r="BB10" s="27">
        <f>IF(MortgageRate="Discounted",_xlfn.XLOOKUP(L10,'mortgage-rates'!$A:$A,'mortgage-rates'!$E:$E)/100,_xlfn.XLOOKUP(L10,'mortgage-rates'!$A:$A,'mortgage-rates'!$D:$D)/100)</f>
        <v>7.9699999999999993E-2</v>
      </c>
      <c r="BC10" s="12">
        <f t="shared" si="38"/>
        <v>358225.07674994506</v>
      </c>
      <c r="BD10" s="12">
        <f t="shared" si="14"/>
        <v>8493.5894375301523</v>
      </c>
      <c r="BE10" s="12">
        <f t="shared" si="15"/>
        <v>7137.6346542426545</v>
      </c>
      <c r="BF10" s="12">
        <f t="shared" si="37"/>
        <v>1355.9547832874978</v>
      </c>
      <c r="BG10" s="14">
        <f t="shared" si="33"/>
        <v>9781.5894375301523</v>
      </c>
      <c r="BH10" s="24">
        <f>INDEX(cpi!B:B,MATCH($L10,cpi!A:A))</f>
        <v>89.3</v>
      </c>
      <c r="BI10" s="24">
        <f t="shared" si="16"/>
        <v>105.55555555555556</v>
      </c>
      <c r="BJ10" s="24">
        <f t="shared" si="17"/>
        <v>133.77896505407139</v>
      </c>
      <c r="BK10" s="24">
        <f t="shared" si="18"/>
        <v>148.82638625649071</v>
      </c>
      <c r="BL10" s="24">
        <f t="shared" si="19"/>
        <v>138.29319141479718</v>
      </c>
      <c r="BM10" s="24">
        <f t="shared" si="20"/>
        <v>175.71057557614921</v>
      </c>
      <c r="BN10" s="24">
        <f t="shared" si="21"/>
        <v>115.21739130434783</v>
      </c>
      <c r="BO10">
        <f t="shared" si="22"/>
        <v>111.29143873619174</v>
      </c>
    </row>
    <row r="11" spans="1:67" x14ac:dyDescent="0.25">
      <c r="A11" t="s">
        <v>65</v>
      </c>
      <c r="B11" s="1">
        <v>38777</v>
      </c>
      <c r="C11" s="1">
        <v>38777</v>
      </c>
      <c r="L11" s="1">
        <f t="shared" si="34"/>
        <v>39508</v>
      </c>
      <c r="M11" s="12">
        <f t="shared" si="0"/>
        <v>249614.15478632069</v>
      </c>
      <c r="N11" s="12">
        <f t="shared" si="23"/>
        <v>95436.628033342422</v>
      </c>
      <c r="O11" s="9">
        <f t="shared" si="24"/>
        <v>2.6154963762876631</v>
      </c>
      <c r="P11" s="9">
        <f t="shared" si="1"/>
        <v>0.40957641935189609</v>
      </c>
      <c r="Q11">
        <v>9</v>
      </c>
      <c r="R11">
        <f t="shared" si="2"/>
        <v>91</v>
      </c>
      <c r="S11" s="24"/>
      <c r="T11" s="24">
        <f>IF($B$10="3BR_H",
INDEX('3BR_H-combined'!$C:$BH,MATCH($L11,'3BR_H-combined'!$B:$B,0),MATCH(Council_Area,'3BR_H-combined'!$C$1:$BH$1,0)),
INDEX('2BR_F-combined'!$C:$BH,MATCH($L11,'2BR_F-combined'!$B:$B,0),MATCH(Council_Area,'2BR_F-combined'!$C$1:$BH$1,0)))</f>
        <v>320</v>
      </c>
      <c r="U11" s="24">
        <f t="shared" si="25"/>
        <v>320</v>
      </c>
      <c r="V11" s="24">
        <f t="shared" si="35"/>
        <v>4160</v>
      </c>
      <c r="W11" s="24">
        <f>$B$53/4*BH11/_xlfn.XLOOKUP(Q_end,cpi!A:A,cpi!B:B)</f>
        <v>124.94816862474086</v>
      </c>
      <c r="X11" s="24">
        <f t="shared" si="3"/>
        <v>4284.9481686247409</v>
      </c>
      <c r="Y11" s="24">
        <f t="shared" si="26"/>
        <v>6176.9533622425397</v>
      </c>
      <c r="Z11" s="24">
        <f t="shared" si="27"/>
        <v>1976.6250759176123</v>
      </c>
      <c r="AA11" s="24">
        <f t="shared" si="4"/>
        <v>8153.5784381601516</v>
      </c>
      <c r="AB11" s="24">
        <f>AA11*(_xlfn.XLOOKUP(Q_end,cpi!A:A,cpi!B:B)/BH11)</f>
        <v>13051.137168161215</v>
      </c>
      <c r="AC11" s="24" cm="1">
        <f t="array" ref="AC11">INDEX('msci-indices'!C:C,MATCH($L11,'msci-indices'!$B:$B)-2)</f>
        <v>983.50383399999998</v>
      </c>
      <c r="AD11" s="24" cm="1">
        <f t="array" ref="AD11">INDEX('msci-indices'!D:D,MATCH($L11,'msci-indices'!$B:$B)-2)</f>
        <v>1030.119647</v>
      </c>
      <c r="AE11" s="24">
        <f t="shared" si="28"/>
        <v>279517.99373001879</v>
      </c>
      <c r="AF11" s="24" cm="1">
        <f t="array" ref="AF11">INDEX('msci-indices'!C:C,MATCH($L11,'msci-indices'!$B:$B)+1)</f>
        <v>894.99836200000004</v>
      </c>
      <c r="AG11" s="24" cm="1">
        <f t="array" ref="AG11">INDEX('msci-indices'!D:D,MATCH($L11,'msci-indices'!$B:$B)+1)</f>
        <v>881.21372699999995</v>
      </c>
      <c r="AH11" s="24">
        <f t="shared" si="5"/>
        <v>174.69874608126176</v>
      </c>
      <c r="AI11" s="24">
        <f t="shared" si="6"/>
        <v>249614.15478632069</v>
      </c>
      <c r="AJ11" s="24">
        <f t="shared" si="29"/>
        <v>219640.84514582664</v>
      </c>
      <c r="AK11" s="24">
        <f t="shared" si="7"/>
        <v>29973.309640494059</v>
      </c>
      <c r="AL11" s="24">
        <f>AJ11*(_xlfn.XLOOKUP(Q_end,cpi!A:A,cpi!B:B)/BH11)</f>
        <v>351571.13155532203</v>
      </c>
      <c r="AM11" s="24" cm="1">
        <f t="array" ref="AM11">SUMPRODUCT($AA$3:AA11,_xlfn.SORTBY($BH$3:BH11,_xlfn.SEQUENCE(ROWS($BH$3:BH11)),-1)/$BH$3)</f>
        <v>232193.52065101019</v>
      </c>
      <c r="AN11" s="24">
        <f t="shared" si="30"/>
        <v>17420.634135310509</v>
      </c>
      <c r="AO11" s="24">
        <f t="shared" si="8"/>
        <v>0</v>
      </c>
      <c r="AP11" s="24">
        <f t="shared" si="31"/>
        <v>249614.15478632069</v>
      </c>
      <c r="AQ11" s="24"/>
      <c r="AR11" s="12">
        <f>IF($B$10="3BR_H",
INDEX('ns-combined'!$C:$BH,MATCH($L11,'ns-combined'!$B:$B,0),MATCH(Council_Area,'ns-combined'!$C$1:$BH$1,0))*1000,
INDEX('s-combined'!$C:$BH,MATCH($L11,'s-combined'!$B:$B,0),MATCH(Council_Area,'s-combined'!$C$1:$BH$1,0))*1000)</f>
        <v>485000</v>
      </c>
      <c r="AS11" s="24">
        <f t="shared" si="36"/>
        <v>10350</v>
      </c>
      <c r="AT11" s="12">
        <v>0</v>
      </c>
      <c r="AU11" s="24">
        <f t="shared" si="9"/>
        <v>9700</v>
      </c>
      <c r="AV11" s="24">
        <f t="shared" si="10"/>
        <v>1394.375</v>
      </c>
      <c r="AW11" s="24">
        <f>SUM($AV$3:AV11)</f>
        <v>12644.25</v>
      </c>
      <c r="AX11" s="24">
        <f t="shared" si="32"/>
        <v>452305.75</v>
      </c>
      <c r="AY11" s="24">
        <f t="shared" si="11"/>
        <v>1456.0000000000002</v>
      </c>
      <c r="AZ11" s="26">
        <f t="shared" si="12"/>
        <v>1.2008247422680415E-2</v>
      </c>
      <c r="BA11" s="26">
        <f t="shared" si="13"/>
        <v>0.35000000000000003</v>
      </c>
      <c r="BB11" s="27">
        <f>IF(MortgageRate="Discounted",_xlfn.XLOOKUP(L11,'mortgage-rates'!$A:$A,'mortgage-rates'!$E:$E)/100,_xlfn.XLOOKUP(L11,'mortgage-rates'!$A:$A,'mortgage-rates'!$D:$D)/100)</f>
        <v>8.6999999999999994E-2</v>
      </c>
      <c r="BC11" s="12">
        <f t="shared" si="38"/>
        <v>356869.12196665758</v>
      </c>
      <c r="BD11" s="12">
        <f t="shared" si="14"/>
        <v>9005.9015308672806</v>
      </c>
      <c r="BE11" s="12">
        <f t="shared" si="15"/>
        <v>7761.9034027748021</v>
      </c>
      <c r="BF11" s="12">
        <f t="shared" si="37"/>
        <v>1243.9981280924785</v>
      </c>
      <c r="BG11" s="14">
        <f t="shared" si="33"/>
        <v>10461.901530867281</v>
      </c>
      <c r="BH11" s="24">
        <f>INDEX(cpi!B:B,MATCH($L11,cpi!A:A))</f>
        <v>90.4</v>
      </c>
      <c r="BI11" s="24">
        <f t="shared" si="16"/>
        <v>106.85579196217495</v>
      </c>
      <c r="BJ11" s="24">
        <f t="shared" si="17"/>
        <v>130.28618334215415</v>
      </c>
      <c r="BK11" s="24">
        <f t="shared" si="18"/>
        <v>144.48567514971225</v>
      </c>
      <c r="BL11" s="24">
        <f t="shared" si="19"/>
        <v>134.54603088442158</v>
      </c>
      <c r="BM11" s="24">
        <f t="shared" si="20"/>
        <v>175.98554198534532</v>
      </c>
      <c r="BN11" s="24">
        <f t="shared" si="21"/>
        <v>105.43478260869566</v>
      </c>
      <c r="BO11">
        <f t="shared" si="22"/>
        <v>100.88735355292727</v>
      </c>
    </row>
    <row r="12" spans="1:67" x14ac:dyDescent="0.25">
      <c r="A12" t="s">
        <v>66</v>
      </c>
      <c r="B12" s="1">
        <v>45992</v>
      </c>
      <c r="C12" s="1">
        <v>45992</v>
      </c>
      <c r="L12" s="1">
        <f t="shared" si="34"/>
        <v>39600</v>
      </c>
      <c r="M12" s="12">
        <f t="shared" si="0"/>
        <v>253859.37253698136</v>
      </c>
      <c r="N12" s="12">
        <f t="shared" si="23"/>
        <v>107816.00116143492</v>
      </c>
      <c r="O12" s="9">
        <f t="shared" si="24"/>
        <v>2.3545611950203287</v>
      </c>
      <c r="P12" s="9">
        <f t="shared" si="1"/>
        <v>0.40589362390836642</v>
      </c>
      <c r="Q12">
        <v>10</v>
      </c>
      <c r="R12">
        <f t="shared" si="2"/>
        <v>91</v>
      </c>
      <c r="S12" s="24"/>
      <c r="T12" s="24">
        <f>IF($B$10="3BR_H",
INDEX('3BR_H-combined'!$C:$BH,MATCH($L12,'3BR_H-combined'!$B:$B,0),MATCH(Council_Area,'3BR_H-combined'!$C$1:$BH$1,0)),
INDEX('2BR_F-combined'!$C:$BH,MATCH($L12,'2BR_F-combined'!$B:$B,0),MATCH(Council_Area,'2BR_F-combined'!$C$1:$BH$1,0)))</f>
        <v>330</v>
      </c>
      <c r="U12" s="24">
        <f t="shared" si="25"/>
        <v>320</v>
      </c>
      <c r="V12" s="24">
        <f t="shared" si="35"/>
        <v>4160</v>
      </c>
      <c r="W12" s="24">
        <f>$B$53/4*BH12/_xlfn.XLOOKUP(Q_end,cpi!A:A,cpi!B:B)</f>
        <v>126.60677263303387</v>
      </c>
      <c r="X12" s="24">
        <f t="shared" si="3"/>
        <v>4286.6067726330339</v>
      </c>
      <c r="Y12" s="24">
        <f t="shared" si="26"/>
        <v>6274.30505287711</v>
      </c>
      <c r="Z12" s="24">
        <f t="shared" si="27"/>
        <v>2007.777616920675</v>
      </c>
      <c r="AA12" s="24">
        <f t="shared" si="4"/>
        <v>8282.0826697977845</v>
      </c>
      <c r="AB12" s="24">
        <f>AA12*(_xlfn.XLOOKUP(Q_end,cpi!A:A,cpi!B:B)/BH12)</f>
        <v>13083.158977289731</v>
      </c>
      <c r="AC12" s="24" cm="1">
        <f t="array" ref="AC12">INDEX('msci-indices'!C:C,MATCH($L12,'msci-indices'!$B:$B)-2)</f>
        <v>894.99836200000004</v>
      </c>
      <c r="AD12" s="24" cm="1">
        <f t="array" ref="AD12">INDEX('msci-indices'!D:D,MATCH($L12,'msci-indices'!$B:$B)-2)</f>
        <v>881.21372699999995</v>
      </c>
      <c r="AE12" s="24">
        <f t="shared" si="28"/>
        <v>257896.23745611848</v>
      </c>
      <c r="AF12" s="24" cm="1">
        <f t="array" ref="AF12">INDEX('msci-indices'!C:C,MATCH($L12,'msci-indices'!$B:$B)+1)</f>
        <v>881.79173700000001</v>
      </c>
      <c r="AG12" s="24" cm="1">
        <f t="array" ref="AG12">INDEX('msci-indices'!D:D,MATCH($L12,'msci-indices'!$B:$B)+1)</f>
        <v>867.41146500000002</v>
      </c>
      <c r="AH12" s="24">
        <f t="shared" si="5"/>
        <v>161.18514841007405</v>
      </c>
      <c r="AI12" s="24">
        <f t="shared" si="6"/>
        <v>253859.37253698136</v>
      </c>
      <c r="AJ12" s="24">
        <f t="shared" si="29"/>
        <v>227922.92781562443</v>
      </c>
      <c r="AK12" s="24">
        <f t="shared" si="7"/>
        <v>25936.444721356936</v>
      </c>
      <c r="AL12" s="24">
        <f>AJ12*(_xlfn.XLOOKUP(Q_end,cpi!A:A,cpi!B:B)/BH12)</f>
        <v>360048.5551847255</v>
      </c>
      <c r="AM12" s="24" cm="1">
        <f t="array" ref="AM12">SUMPRODUCT($AA$3:AA12,_xlfn.SORTBY($BH$3:BH12,_xlfn.SEQUENCE(ROWS($BH$3:BH12)),-1)/$BH$3)</f>
        <v>243250.61609213371</v>
      </c>
      <c r="AN12" s="24">
        <f t="shared" si="30"/>
        <v>10608.756444847648</v>
      </c>
      <c r="AO12" s="24">
        <f t="shared" si="8"/>
        <v>0</v>
      </c>
      <c r="AP12" s="24">
        <f t="shared" si="31"/>
        <v>253859.37253698136</v>
      </c>
      <c r="AQ12" s="24"/>
      <c r="AR12" s="12">
        <f>IF($B$10="3BR_H",
INDEX('ns-combined'!$C:$BH,MATCH($L12,'ns-combined'!$B:$B,0),MATCH(Council_Area,'ns-combined'!$C$1:$BH$1,0))*1000,
INDEX('s-combined'!$C:$BH,MATCH($L12,'s-combined'!$B:$B,0),MATCH(Council_Area,'s-combined'!$C$1:$BH$1,0))*1000)</f>
        <v>499000</v>
      </c>
      <c r="AS12" s="24">
        <f t="shared" si="36"/>
        <v>11500</v>
      </c>
      <c r="AT12" s="12">
        <v>0</v>
      </c>
      <c r="AU12" s="24">
        <f t="shared" si="9"/>
        <v>9980</v>
      </c>
      <c r="AV12" s="24">
        <f t="shared" si="10"/>
        <v>1434.625</v>
      </c>
      <c r="AW12" s="24">
        <f>SUM($AV$3:AV12)</f>
        <v>14078.875</v>
      </c>
      <c r="AX12" s="24">
        <f t="shared" si="32"/>
        <v>463441.125</v>
      </c>
      <c r="AY12" s="24">
        <f t="shared" si="11"/>
        <v>1456.0000000000002</v>
      </c>
      <c r="AZ12" s="26">
        <f t="shared" si="12"/>
        <v>1.1671342685370744E-2</v>
      </c>
      <c r="BA12" s="26">
        <f t="shared" si="13"/>
        <v>0.35000000000000003</v>
      </c>
      <c r="BB12" s="27">
        <f>IF(MortgageRate="Discounted",_xlfn.XLOOKUP(L12,'mortgage-rates'!$A:$A,'mortgage-rates'!$E:$E)/100,_xlfn.XLOOKUP(L12,'mortgage-rates'!$A:$A,'mortgage-rates'!$D:$D)/100)</f>
        <v>8.8399999999999992E-2</v>
      </c>
      <c r="BC12" s="12">
        <f t="shared" si="38"/>
        <v>355625.12383856508</v>
      </c>
      <c r="BD12" s="12">
        <f t="shared" si="14"/>
        <v>9104.9118255101439</v>
      </c>
      <c r="BE12" s="12">
        <f t="shared" si="15"/>
        <v>7859.3152368322872</v>
      </c>
      <c r="BF12" s="12">
        <f t="shared" si="37"/>
        <v>1245.5965886778567</v>
      </c>
      <c r="BG12" s="14">
        <f t="shared" si="33"/>
        <v>10560.911825510144</v>
      </c>
      <c r="BH12" s="24">
        <f>INDEX(cpi!B:B,MATCH($L12,cpi!A:A))</f>
        <v>91.6</v>
      </c>
      <c r="BI12" s="24">
        <f t="shared" si="16"/>
        <v>108.274231678487</v>
      </c>
      <c r="BJ12" s="24">
        <f t="shared" si="17"/>
        <v>118.56173473997831</v>
      </c>
      <c r="BK12" s="24">
        <f t="shared" si="18"/>
        <v>123.59997274839783</v>
      </c>
      <c r="BL12" s="24">
        <f t="shared" si="19"/>
        <v>120.07320614250416</v>
      </c>
      <c r="BM12" s="24">
        <f t="shared" si="20"/>
        <v>162.37240586569831</v>
      </c>
      <c r="BN12" s="24">
        <f t="shared" si="21"/>
        <v>108.47826086956522</v>
      </c>
      <c r="BO12">
        <f t="shared" si="22"/>
        <v>103.37111263529451</v>
      </c>
    </row>
    <row r="13" spans="1:67" x14ac:dyDescent="0.25">
      <c r="A13" t="s">
        <v>67</v>
      </c>
      <c r="B13" s="1" t="s">
        <v>60</v>
      </c>
      <c r="C13" s="1" t="s">
        <v>60</v>
      </c>
      <c r="L13" s="1">
        <f t="shared" si="34"/>
        <v>39692</v>
      </c>
      <c r="M13" s="12">
        <f t="shared" si="0"/>
        <v>225654.88952510554</v>
      </c>
      <c r="N13" s="12">
        <f t="shared" si="23"/>
        <v>78140.347750112764</v>
      </c>
      <c r="O13" s="9">
        <f t="shared" si="24"/>
        <v>2.8878152711417884</v>
      </c>
      <c r="P13" s="9">
        <f t="shared" si="1"/>
        <v>0.41192349261414513</v>
      </c>
      <c r="Q13">
        <v>11</v>
      </c>
      <c r="R13">
        <f t="shared" si="2"/>
        <v>92</v>
      </c>
      <c r="S13" s="24"/>
      <c r="T13" s="24">
        <f>IF($B$10="3BR_H",
INDEX('3BR_H-combined'!$C:$BH,MATCH($L13,'3BR_H-combined'!$B:$B,0),MATCH(Council_Area,'3BR_H-combined'!$C$1:$BH$1,0)),
INDEX('2BR_F-combined'!$C:$BH,MATCH($L13,'2BR_F-combined'!$B:$B,0),MATCH(Council_Area,'2BR_F-combined'!$C$1:$BH$1,0)))</f>
        <v>347.5</v>
      </c>
      <c r="U13" s="24">
        <f t="shared" si="25"/>
        <v>320</v>
      </c>
      <c r="V13" s="24">
        <f t="shared" si="35"/>
        <v>4205.7142857142853</v>
      </c>
      <c r="W13" s="24">
        <f>$B$53/4*BH13/_xlfn.XLOOKUP(Q_end,cpi!A:A,cpi!B:B)</f>
        <v>127.98894263994472</v>
      </c>
      <c r="X13" s="24">
        <f t="shared" si="3"/>
        <v>4333.7032283542303</v>
      </c>
      <c r="Y13" s="24">
        <f t="shared" si="26"/>
        <v>6186.9475868049685</v>
      </c>
      <c r="Z13" s="24">
        <f t="shared" si="27"/>
        <v>1979.8232277775896</v>
      </c>
      <c r="AA13" s="24">
        <f t="shared" si="4"/>
        <v>8166.7708145825582</v>
      </c>
      <c r="AB13" s="24">
        <f>AA13*(_xlfn.XLOOKUP(Q_end,cpi!A:A,cpi!B:B)/BH13)</f>
        <v>12761.681823651146</v>
      </c>
      <c r="AC13" s="24" cm="1">
        <f t="array" ref="AC13">INDEX('msci-indices'!C:C,MATCH($L13,'msci-indices'!$B:$B)-2)</f>
        <v>881.79173700000001</v>
      </c>
      <c r="AD13" s="24" cm="1">
        <f t="array" ref="AD13">INDEX('msci-indices'!D:D,MATCH($L13,'msci-indices'!$B:$B)-2)</f>
        <v>867.41146500000002</v>
      </c>
      <c r="AE13" s="24">
        <f t="shared" si="28"/>
        <v>262026.14335156392</v>
      </c>
      <c r="AF13" s="24" cm="1">
        <f t="array" ref="AF13">INDEX('msci-indices'!C:C,MATCH($L13,'msci-indices'!$B:$B)+1)</f>
        <v>747.65997700000003</v>
      </c>
      <c r="AG13" s="24" cm="1">
        <f t="array" ref="AG13">INDEX('msci-indices'!D:D,MATCH($L13,'msci-indices'!$B:$B)+1)</f>
        <v>775.74397499999998</v>
      </c>
      <c r="AH13" s="24">
        <f t="shared" si="5"/>
        <v>163.76633959472744</v>
      </c>
      <c r="AI13" s="24">
        <f t="shared" si="6"/>
        <v>225654.88952510554</v>
      </c>
      <c r="AJ13" s="24">
        <f t="shared" si="29"/>
        <v>236089.69863020699</v>
      </c>
      <c r="AK13" s="24">
        <f t="shared" si="7"/>
        <v>-10434.809105101449</v>
      </c>
      <c r="AL13" s="24">
        <f>AJ13*(_xlfn.XLOOKUP(Q_end,cpi!A:A,cpi!B:B)/BH13)</f>
        <v>368922.02366944874</v>
      </c>
      <c r="AM13" s="24" cm="1">
        <f t="array" ref="AM13">SUMPRODUCT($AA$3:AA13,_xlfn.SORTBY($BH$3:BH13,_xlfn.SEQUENCE(ROWS($BH$3:BH13)),-1)/$BH$3)</f>
        <v>253927.65948477341</v>
      </c>
      <c r="AN13" s="24">
        <f t="shared" si="30"/>
        <v>-28272.769959667872</v>
      </c>
      <c r="AO13" s="24">
        <f t="shared" si="8"/>
        <v>0</v>
      </c>
      <c r="AP13" s="24">
        <f t="shared" si="31"/>
        <v>225654.88952510554</v>
      </c>
      <c r="AQ13" s="24"/>
      <c r="AR13" s="12">
        <f>IF($B$10="3BR_H",
INDEX('ns-combined'!$C:$BH,MATCH($L13,'ns-combined'!$B:$B,0),MATCH(Council_Area,'ns-combined'!$C$1:$BH$1,0))*1000,
INDEX('s-combined'!$C:$BH,MATCH($L13,'s-combined'!$B:$B,0),MATCH(Council_Area,'s-combined'!$C$1:$BH$1,0))*1000)</f>
        <v>470000</v>
      </c>
      <c r="AS13" s="24">
        <f t="shared" si="36"/>
        <v>12650</v>
      </c>
      <c r="AT13" s="12">
        <v>0</v>
      </c>
      <c r="AU13" s="24">
        <f t="shared" si="9"/>
        <v>9400</v>
      </c>
      <c r="AV13" s="24">
        <f t="shared" si="10"/>
        <v>1351.25</v>
      </c>
      <c r="AW13" s="24">
        <f>SUM($AV$3:AV13)</f>
        <v>15430.125</v>
      </c>
      <c r="AX13" s="24">
        <f t="shared" si="32"/>
        <v>432519.875</v>
      </c>
      <c r="AY13" s="24">
        <f t="shared" si="11"/>
        <v>1472</v>
      </c>
      <c r="AZ13" s="26">
        <f t="shared" si="12"/>
        <v>1.2527659574468086E-2</v>
      </c>
      <c r="BA13" s="26">
        <f t="shared" si="13"/>
        <v>0.35000000000000003</v>
      </c>
      <c r="BB13" s="27">
        <f>IF(MortgageRate="Discounted",_xlfn.XLOOKUP(L13,'mortgage-rates'!$A:$A,'mortgage-rates'!$E:$E)/100,_xlfn.XLOOKUP(L13,'mortgage-rates'!$A:$A,'mortgage-rates'!$D:$D)/100)</f>
        <v>8.7599999999999997E-2</v>
      </c>
      <c r="BC13" s="12">
        <f t="shared" si="38"/>
        <v>354379.52724988724</v>
      </c>
      <c r="BD13" s="12">
        <f t="shared" si="14"/>
        <v>9048.6508151591988</v>
      </c>
      <c r="BE13" s="12">
        <f t="shared" si="15"/>
        <v>7760.9116467725298</v>
      </c>
      <c r="BF13" s="12">
        <f t="shared" si="37"/>
        <v>1287.739168386669</v>
      </c>
      <c r="BG13" s="14">
        <f t="shared" si="33"/>
        <v>10520.650815159199</v>
      </c>
      <c r="BH13" s="24">
        <f>INDEX(cpi!B:B,MATCH($L13,cpi!A:A))</f>
        <v>92.6</v>
      </c>
      <c r="BI13" s="24">
        <f t="shared" si="16"/>
        <v>109.45626477541371</v>
      </c>
      <c r="BJ13" s="24">
        <f t="shared" si="17"/>
        <v>116.8122339179194</v>
      </c>
      <c r="BK13" s="24">
        <f t="shared" si="18"/>
        <v>121.6640528293176</v>
      </c>
      <c r="BL13" s="24">
        <f t="shared" si="19"/>
        <v>118.26777959133886</v>
      </c>
      <c r="BM13" s="24">
        <f t="shared" si="20"/>
        <v>164.97260958660954</v>
      </c>
      <c r="BN13" s="24">
        <f t="shared" si="21"/>
        <v>102.17391304347827</v>
      </c>
      <c r="BO13">
        <f t="shared" si="22"/>
        <v>96.474089811577471</v>
      </c>
    </row>
    <row r="14" spans="1:67" x14ac:dyDescent="0.25">
      <c r="A14" t="s">
        <v>396</v>
      </c>
      <c r="B14" s="4">
        <v>0.01</v>
      </c>
      <c r="C14" s="4">
        <v>0.01</v>
      </c>
      <c r="L14" s="1">
        <f t="shared" si="34"/>
        <v>39783</v>
      </c>
      <c r="M14" s="12">
        <f t="shared" si="0"/>
        <v>182515.55120517121</v>
      </c>
      <c r="N14" s="12">
        <f t="shared" si="23"/>
        <v>66178.461918499437</v>
      </c>
      <c r="O14" s="9">
        <f t="shared" si="24"/>
        <v>2.7579297843147828</v>
      </c>
      <c r="P14" s="9">
        <f t="shared" si="1"/>
        <v>0.49178914668791573</v>
      </c>
      <c r="Q14">
        <v>12</v>
      </c>
      <c r="R14">
        <f t="shared" si="2"/>
        <v>92</v>
      </c>
      <c r="S14" s="24"/>
      <c r="T14" s="24">
        <f>IF($B$10="3BR_H",
INDEX('3BR_H-combined'!$C:$BH,MATCH($L14,'3BR_H-combined'!$B:$B,0),MATCH(Council_Area,'3BR_H-combined'!$C$1:$BH$1,0)),
INDEX('2BR_F-combined'!$C:$BH,MATCH($L14,'2BR_F-combined'!$B:$B,0),MATCH(Council_Area,'2BR_F-combined'!$C$1:$BH$1,0)))</f>
        <v>350</v>
      </c>
      <c r="U14" s="24">
        <f t="shared" si="25"/>
        <v>320</v>
      </c>
      <c r="V14" s="24">
        <f t="shared" si="35"/>
        <v>4205.7142857142853</v>
      </c>
      <c r="W14" s="24">
        <f>$B$53/4*BH14/_xlfn.XLOOKUP(Q_end,cpi!A:A,cpi!B:B)</f>
        <v>127.98894263994472</v>
      </c>
      <c r="X14" s="24">
        <f t="shared" si="3"/>
        <v>4333.7032283542303</v>
      </c>
      <c r="Y14" s="24">
        <f t="shared" si="26"/>
        <v>4478.4132193972146</v>
      </c>
      <c r="Z14" s="24">
        <f t="shared" si="27"/>
        <v>1433.0922302071085</v>
      </c>
      <c r="AA14" s="24">
        <f t="shared" si="4"/>
        <v>5911.5054496043231</v>
      </c>
      <c r="AB14" s="24">
        <f>AA14*(_xlfn.XLOOKUP(Q_end,cpi!A:A,cpi!B:B)/BH14)</f>
        <v>9237.5252544032992</v>
      </c>
      <c r="AC14" s="24" cm="1">
        <f t="array" ref="AC14">INDEX('msci-indices'!C:C,MATCH($L14,'msci-indices'!$B:$B)-2)</f>
        <v>747.65997700000003</v>
      </c>
      <c r="AD14" s="24" cm="1">
        <f t="array" ref="AD14">INDEX('msci-indices'!D:D,MATCH($L14,'msci-indices'!$B:$B)-2)</f>
        <v>775.74397499999998</v>
      </c>
      <c r="AE14" s="24">
        <f t="shared" si="28"/>
        <v>231566.39497470987</v>
      </c>
      <c r="AF14" s="24" cm="1">
        <f t="array" ref="AF14">INDEX('msci-indices'!C:C,MATCH($L14,'msci-indices'!$B:$B)+1)</f>
        <v>582.01081599999998</v>
      </c>
      <c r="AG14" s="24" cm="1">
        <f t="array" ref="AG14">INDEX('msci-indices'!D:D,MATCH($L14,'msci-indices'!$B:$B)+1)</f>
        <v>630.66129899999999</v>
      </c>
      <c r="AH14" s="24">
        <f t="shared" si="5"/>
        <v>144.72899685919367</v>
      </c>
      <c r="AI14" s="24">
        <f t="shared" si="6"/>
        <v>182515.55120517121</v>
      </c>
      <c r="AJ14" s="24">
        <f t="shared" si="29"/>
        <v>242001.20407981132</v>
      </c>
      <c r="AK14" s="24">
        <f t="shared" si="7"/>
        <v>-59485.652874640102</v>
      </c>
      <c r="AL14" s="24">
        <f>AJ14*(_xlfn.XLOOKUP(Q_end,cpi!A:A,cpi!B:B)/BH14)</f>
        <v>378159.54892385204</v>
      </c>
      <c r="AM14" s="24" cm="1">
        <f t="array" ref="AM14">SUMPRODUCT($AA$3:AA14,_xlfn.SORTBY($BH$3:BH14,_xlfn.SEQUENCE(ROWS($BH$3:BH14)),-1)/$BH$3)</f>
        <v>260563.12452296208</v>
      </c>
      <c r="AN14" s="24">
        <f t="shared" si="30"/>
        <v>-78047.57331779087</v>
      </c>
      <c r="AO14" s="24">
        <f t="shared" si="8"/>
        <v>0</v>
      </c>
      <c r="AP14" s="24">
        <f t="shared" si="31"/>
        <v>182515.55120517121</v>
      </c>
      <c r="AQ14" s="24"/>
      <c r="AR14" s="12">
        <f>IF($B$10="3BR_H",
INDEX('ns-combined'!$C:$BH,MATCH($L14,'ns-combined'!$B:$B,0),MATCH(Council_Area,'ns-combined'!$C$1:$BH$1,0))*1000,
INDEX('s-combined'!$C:$BH,MATCH($L14,'s-combined'!$B:$B,0),MATCH(Council_Area,'s-combined'!$C$1:$BH$1,0))*1000)</f>
        <v>459000</v>
      </c>
      <c r="AS14" s="24">
        <f t="shared" si="36"/>
        <v>13800</v>
      </c>
      <c r="AT14" s="12">
        <v>0</v>
      </c>
      <c r="AU14" s="24">
        <f t="shared" si="9"/>
        <v>9180</v>
      </c>
      <c r="AV14" s="24">
        <f t="shared" si="10"/>
        <v>1319.625</v>
      </c>
      <c r="AW14" s="24">
        <f>SUM($AV$3:AV14)</f>
        <v>16749.75</v>
      </c>
      <c r="AX14" s="24">
        <f t="shared" si="32"/>
        <v>419270.25</v>
      </c>
      <c r="AY14" s="24">
        <f t="shared" si="11"/>
        <v>1472</v>
      </c>
      <c r="AZ14" s="26">
        <f t="shared" si="12"/>
        <v>1.2827886710239652E-2</v>
      </c>
      <c r="BA14" s="26">
        <f t="shared" si="13"/>
        <v>0.35000000000000003</v>
      </c>
      <c r="BB14" s="27">
        <f>IF(MortgageRate="Discounted",_xlfn.XLOOKUP(L14,'mortgage-rates'!$A:$A,'mortgage-rates'!$E:$E)/100,_xlfn.XLOOKUP(L14,'mortgage-rates'!$A:$A,'mortgage-rates'!$D:$D)/100)</f>
        <v>6.2E-2</v>
      </c>
      <c r="BC14" s="12">
        <f t="shared" si="38"/>
        <v>353091.78808150056</v>
      </c>
      <c r="BD14" s="12">
        <f t="shared" si="14"/>
        <v>7340.1164477514449</v>
      </c>
      <c r="BE14" s="12">
        <f t="shared" si="15"/>
        <v>5472.9227152632584</v>
      </c>
      <c r="BF14" s="12">
        <f t="shared" si="37"/>
        <v>1867.1937324881865</v>
      </c>
      <c r="BG14" s="14">
        <f t="shared" si="33"/>
        <v>8812.1164477514449</v>
      </c>
      <c r="BH14" s="24">
        <f>INDEX(cpi!B:B,MATCH($L14,cpi!A:A))</f>
        <v>92.6</v>
      </c>
      <c r="BI14" s="24">
        <f t="shared" si="16"/>
        <v>109.45626477541371</v>
      </c>
      <c r="BJ14" s="24">
        <f t="shared" si="17"/>
        <v>99.043604583459881</v>
      </c>
      <c r="BK14" s="24">
        <f t="shared" si="18"/>
        <v>108.80667337781247</v>
      </c>
      <c r="BL14" s="24">
        <f t="shared" si="19"/>
        <v>101.97252522176566</v>
      </c>
      <c r="BM14" s="24">
        <f t="shared" si="20"/>
        <v>145.79504160500946</v>
      </c>
      <c r="BN14" s="24">
        <f t="shared" si="21"/>
        <v>99.782608695652172</v>
      </c>
      <c r="BO14">
        <f t="shared" si="22"/>
        <v>93.518744667681545</v>
      </c>
    </row>
    <row r="15" spans="1:67" x14ac:dyDescent="0.25">
      <c r="A15" t="s">
        <v>552</v>
      </c>
      <c r="B15" s="4">
        <v>1.15E-2</v>
      </c>
      <c r="C15" s="4">
        <v>1.15E-2</v>
      </c>
      <c r="L15" s="1">
        <f t="shared" si="34"/>
        <v>39873</v>
      </c>
      <c r="M15" s="12">
        <f t="shared" si="0"/>
        <v>170999.65559353272</v>
      </c>
      <c r="N15" s="12">
        <f t="shared" si="23"/>
        <v>47010.655650987639</v>
      </c>
      <c r="O15" s="9">
        <f t="shared" si="24"/>
        <v>3.6374658729087566</v>
      </c>
      <c r="P15" s="9">
        <f t="shared" si="1"/>
        <v>0.55848575558077806</v>
      </c>
      <c r="Q15">
        <v>13</v>
      </c>
      <c r="R15">
        <f t="shared" si="2"/>
        <v>90</v>
      </c>
      <c r="S15" s="24"/>
      <c r="T15" s="24">
        <f>IF($B$10="3BR_H",
INDEX('3BR_H-combined'!$C:$BH,MATCH($L15,'3BR_H-combined'!$B:$B,0),MATCH(Council_Area,'3BR_H-combined'!$C$1:$BH$1,0)),
INDEX('2BR_F-combined'!$C:$BH,MATCH($L15,'2BR_F-combined'!$B:$B,0),MATCH(Council_Area,'2BR_F-combined'!$C$1:$BH$1,0)))</f>
        <v>350</v>
      </c>
      <c r="U15" s="24">
        <f t="shared" si="25"/>
        <v>350</v>
      </c>
      <c r="V15" s="24">
        <f t="shared" si="35"/>
        <v>4500</v>
      </c>
      <c r="W15" s="24">
        <f>$B$53/4*BH15/_xlfn.XLOOKUP(Q_end,cpi!A:A,cpi!B:B)</f>
        <v>127.85072563925364</v>
      </c>
      <c r="X15" s="24">
        <f t="shared" si="3"/>
        <v>4627.8507256392541</v>
      </c>
      <c r="Y15" s="24">
        <f t="shared" si="26"/>
        <v>3658.5749878092111</v>
      </c>
      <c r="Z15" s="24">
        <f t="shared" si="27"/>
        <v>1170.7439960989473</v>
      </c>
      <c r="AA15" s="24">
        <f t="shared" si="4"/>
        <v>4829.3189839081588</v>
      </c>
      <c r="AB15" s="24">
        <f>AA15*(_xlfn.XLOOKUP(Q_end,cpi!A:A,cpi!B:B)/BH15)</f>
        <v>7554.6211564487621</v>
      </c>
      <c r="AC15" s="24" cm="1">
        <f t="array" ref="AC15">INDEX('msci-indices'!C:C,MATCH($L15,'msci-indices'!$B:$B)-2)</f>
        <v>582.01081599999998</v>
      </c>
      <c r="AD15" s="24" cm="1">
        <f t="array" ref="AD15">INDEX('msci-indices'!D:D,MATCH($L15,'msci-indices'!$B:$B)-2)</f>
        <v>630.66129899999999</v>
      </c>
      <c r="AE15" s="24">
        <f t="shared" si="28"/>
        <v>187344.87018907937</v>
      </c>
      <c r="AF15" s="24" cm="1">
        <f t="array" ref="AF15">INDEX('msci-indices'!C:C,MATCH($L15,'msci-indices'!$B:$B)+1)</f>
        <v>513.55423199999996</v>
      </c>
      <c r="AG15" s="24" cm="1">
        <f t="array" ref="AG15">INDEX('msci-indices'!D:D,MATCH($L15,'msci-indices'!$B:$B)+1)</f>
        <v>621.64895000000001</v>
      </c>
      <c r="AH15" s="24">
        <f t="shared" si="5"/>
        <v>117.09054386817461</v>
      </c>
      <c r="AI15" s="24">
        <f t="shared" si="6"/>
        <v>170999.65559353272</v>
      </c>
      <c r="AJ15" s="24">
        <f t="shared" si="29"/>
        <v>246830.52306371948</v>
      </c>
      <c r="AK15" s="24">
        <f t="shared" si="7"/>
        <v>-75830.867470186757</v>
      </c>
      <c r="AL15" s="24">
        <f>AJ15*(_xlfn.XLOOKUP(Q_end,cpi!A:A,cpi!B:B)/BH15)</f>
        <v>386122.99121427245</v>
      </c>
      <c r="AM15" s="24" cm="1">
        <f t="array" ref="AM15">SUMPRODUCT($AA$3:AA15,_xlfn.SORTBY($BH$3:BH15,_xlfn.SEQUENCE(ROWS($BH$3:BH15)),-1)/$BH$3)</f>
        <v>265901.29466941988</v>
      </c>
      <c r="AN15" s="24">
        <f t="shared" si="30"/>
        <v>-94901.639075887157</v>
      </c>
      <c r="AO15" s="24">
        <f t="shared" si="8"/>
        <v>0</v>
      </c>
      <c r="AP15" s="24">
        <f t="shared" si="31"/>
        <v>170999.65559353272</v>
      </c>
      <c r="AQ15" s="24"/>
      <c r="AR15" s="12">
        <f>IF($B$10="3BR_H",
INDEX('ns-combined'!$C:$BH,MATCH($L15,'ns-combined'!$B:$B,0),MATCH(Council_Area,'ns-combined'!$C$1:$BH$1,0))*1000,
INDEX('s-combined'!$C:$BH,MATCH($L15,'s-combined'!$B:$B,0),MATCH(Council_Area,'s-combined'!$C$1:$BH$1,0))*1000)</f>
        <v>440000</v>
      </c>
      <c r="AS15" s="24">
        <f t="shared" si="36"/>
        <v>14950</v>
      </c>
      <c r="AT15" s="12">
        <v>0</v>
      </c>
      <c r="AU15" s="24">
        <f t="shared" si="9"/>
        <v>8800</v>
      </c>
      <c r="AV15" s="24">
        <f t="shared" si="10"/>
        <v>1265</v>
      </c>
      <c r="AW15" s="24">
        <f>SUM($AV$3:AV15)</f>
        <v>18014.75</v>
      </c>
      <c r="AX15" s="24">
        <f t="shared" si="32"/>
        <v>398235.25</v>
      </c>
      <c r="AY15" s="24">
        <f t="shared" si="11"/>
        <v>1575.0000000000002</v>
      </c>
      <c r="AZ15" s="26">
        <f t="shared" si="12"/>
        <v>1.431818181818182E-2</v>
      </c>
      <c r="BA15" s="26">
        <f t="shared" si="13"/>
        <v>0.35000000000000003</v>
      </c>
      <c r="BB15" s="27">
        <f>IF(MortgageRate="Discounted",_xlfn.XLOOKUP(L15,'mortgage-rates'!$A:$A,'mortgage-rates'!$E:$E)/100,_xlfn.XLOOKUP(L15,'mortgage-rates'!$A:$A,'mortgage-rates'!$D:$D)/100)</f>
        <v>5.1799999999999999E-2</v>
      </c>
      <c r="BC15" s="12">
        <f t="shared" si="38"/>
        <v>351224.59434901236</v>
      </c>
      <c r="BD15" s="12">
        <f t="shared" si="14"/>
        <v>6711.4257134484642</v>
      </c>
      <c r="BE15" s="12">
        <f t="shared" si="15"/>
        <v>4548.3584968197101</v>
      </c>
      <c r="BF15" s="12">
        <f t="shared" si="37"/>
        <v>2163.0672166287541</v>
      </c>
      <c r="BG15" s="14">
        <f t="shared" si="33"/>
        <v>8286.4257134484651</v>
      </c>
      <c r="BH15" s="24">
        <f>INDEX(cpi!B:B,MATCH($L15,cpi!A:A))</f>
        <v>92.5</v>
      </c>
      <c r="BI15" s="24">
        <f t="shared" si="16"/>
        <v>109.33806146572105</v>
      </c>
      <c r="BJ15" s="24">
        <f t="shared" si="17"/>
        <v>77.099819298205958</v>
      </c>
      <c r="BK15" s="24">
        <f t="shared" si="18"/>
        <v>88.457223238272576</v>
      </c>
      <c r="BL15" s="24">
        <f t="shared" si="19"/>
        <v>80.507040480225939</v>
      </c>
      <c r="BM15" s="24">
        <f t="shared" si="20"/>
        <v>117.95300931590256</v>
      </c>
      <c r="BN15" s="24">
        <f t="shared" si="21"/>
        <v>95.652173913043484</v>
      </c>
      <c r="BO15">
        <f t="shared" si="22"/>
        <v>88.826862059543529</v>
      </c>
    </row>
    <row r="16" spans="1:67" x14ac:dyDescent="0.25">
      <c r="A16" t="s">
        <v>117</v>
      </c>
      <c r="B16" s="25">
        <v>25</v>
      </c>
      <c r="C16" s="25">
        <v>25</v>
      </c>
      <c r="L16" s="1">
        <f t="shared" si="34"/>
        <v>39965</v>
      </c>
      <c r="M16" s="12">
        <f t="shared" si="0"/>
        <v>208361.68472350034</v>
      </c>
      <c r="N16" s="12">
        <f t="shared" si="23"/>
        <v>90729.347867616394</v>
      </c>
      <c r="O16" s="9">
        <f t="shared" si="24"/>
        <v>2.2965191486609364</v>
      </c>
      <c r="P16" s="9">
        <f t="shared" si="1"/>
        <v>0.56503702625782137</v>
      </c>
      <c r="Q16">
        <v>14</v>
      </c>
      <c r="R16">
        <f t="shared" si="2"/>
        <v>91</v>
      </c>
      <c r="S16" s="24"/>
      <c r="T16" s="24">
        <f>IF($B$10="3BR_H",
INDEX('3BR_H-combined'!$C:$BH,MATCH($L16,'3BR_H-combined'!$B:$B,0),MATCH(Council_Area,'3BR_H-combined'!$C$1:$BH$1,0)),
INDEX('2BR_F-combined'!$C:$BH,MATCH($L16,'2BR_F-combined'!$B:$B,0),MATCH(Council_Area,'2BR_F-combined'!$C$1:$BH$1,0)))</f>
        <v>350</v>
      </c>
      <c r="U16" s="24">
        <f t="shared" si="25"/>
        <v>350</v>
      </c>
      <c r="V16" s="24">
        <f t="shared" si="35"/>
        <v>4550</v>
      </c>
      <c r="W16" s="24">
        <f>$B$53/4*BH16/_xlfn.XLOOKUP(Q_end,cpi!A:A,cpi!B:B)</f>
        <v>128.54181064270907</v>
      </c>
      <c r="X16" s="24">
        <f t="shared" si="3"/>
        <v>4678.5418106427087</v>
      </c>
      <c r="Y16" s="24">
        <f t="shared" si="26"/>
        <v>3601.5205449664109</v>
      </c>
      <c r="Z16" s="24">
        <f t="shared" si="27"/>
        <v>1152.4865743892512</v>
      </c>
      <c r="AA16" s="24">
        <f t="shared" si="4"/>
        <v>4754.0071193556623</v>
      </c>
      <c r="AB16" s="24">
        <f>AA16*(_xlfn.XLOOKUP(Q_end,cpi!A:A,cpi!B:B)/BH16)</f>
        <v>7396.8261308684323</v>
      </c>
      <c r="AC16" s="24" cm="1">
        <f t="array" ref="AC16">INDEX('msci-indices'!C:C,MATCH($L16,'msci-indices'!$B:$B)-2)</f>
        <v>513.55423199999996</v>
      </c>
      <c r="AD16" s="24" cm="1">
        <f t="array" ref="AD16">INDEX('msci-indices'!D:D,MATCH($L16,'msci-indices'!$B:$B)-2)</f>
        <v>621.64895000000001</v>
      </c>
      <c r="AE16" s="24">
        <f t="shared" si="28"/>
        <v>175753.66271288838</v>
      </c>
      <c r="AF16" s="24" cm="1">
        <f t="array" ref="AF16">INDEX('msci-indices'!C:C,MATCH($L16,'msci-indices'!$B:$B)+1)</f>
        <v>624.35597900000005</v>
      </c>
      <c r="AG16" s="24" cm="1">
        <f t="array" ref="AG16">INDEX('msci-indices'!D:D,MATCH($L16,'msci-indices'!$B:$B)+1)</f>
        <v>694.44244900000001</v>
      </c>
      <c r="AH16" s="24">
        <f t="shared" si="5"/>
        <v>109.84603919555525</v>
      </c>
      <c r="AI16" s="24">
        <f t="shared" si="6"/>
        <v>208361.68472350034</v>
      </c>
      <c r="AJ16" s="24">
        <f t="shared" si="29"/>
        <v>251584.53018307514</v>
      </c>
      <c r="AK16" s="24">
        <f t="shared" si="7"/>
        <v>-43222.845459574804</v>
      </c>
      <c r="AL16" s="24">
        <f>AJ16*(_xlfn.XLOOKUP(Q_end,cpi!A:A,cpi!B:B)/BH16)</f>
        <v>391443.88728484913</v>
      </c>
      <c r="AM16" s="24" cm="1">
        <f t="array" ref="AM16">SUMPRODUCT($AA$3:AA16,_xlfn.SORTBY($BH$3:BH16,_xlfn.SEQUENCE(ROWS($BH$3:BH16)),-1)/$BH$3)</f>
        <v>272254.53624405357</v>
      </c>
      <c r="AN16" s="24">
        <f t="shared" si="30"/>
        <v>-63892.851520553231</v>
      </c>
      <c r="AO16" s="24">
        <f t="shared" si="8"/>
        <v>0</v>
      </c>
      <c r="AP16" s="24">
        <f t="shared" si="31"/>
        <v>208361.68472350034</v>
      </c>
      <c r="AQ16" s="24"/>
      <c r="AR16" s="12">
        <f>IF($B$10="3BR_H",
INDEX('ns-combined'!$C:$BH,MATCH($L16,'ns-combined'!$B:$B,0),MATCH(Council_Area,'ns-combined'!$C$1:$BH$1,0))*1000,
INDEX('s-combined'!$C:$BH,MATCH($L16,'s-combined'!$B:$B,0),MATCH(Council_Area,'s-combined'!$C$1:$BH$1,0))*1000)</f>
        <v>485000</v>
      </c>
      <c r="AS16" s="24">
        <f t="shared" si="36"/>
        <v>16100</v>
      </c>
      <c r="AT16" s="12">
        <v>0</v>
      </c>
      <c r="AU16" s="24">
        <f t="shared" si="9"/>
        <v>9700</v>
      </c>
      <c r="AV16" s="24">
        <f t="shared" si="10"/>
        <v>1394.375</v>
      </c>
      <c r="AW16" s="24">
        <f>SUM($AV$3:AV16)</f>
        <v>19409.125</v>
      </c>
      <c r="AX16" s="24">
        <f t="shared" si="32"/>
        <v>439790.875</v>
      </c>
      <c r="AY16" s="24">
        <f t="shared" si="11"/>
        <v>1592.5000000000002</v>
      </c>
      <c r="AZ16" s="26">
        <f t="shared" si="12"/>
        <v>1.3134020618556702E-2</v>
      </c>
      <c r="BA16" s="26">
        <f t="shared" si="13"/>
        <v>0.35000000000000003</v>
      </c>
      <c r="BB16" s="27">
        <f>IF(MortgageRate="Discounted",_xlfn.XLOOKUP(L16,'mortgage-rates'!$A:$A,'mortgage-rates'!$E:$E)/100,_xlfn.XLOOKUP(L16,'mortgage-rates'!$A:$A,'mortgage-rates'!$D:$D)/100)</f>
        <v>5.1399999999999994E-2</v>
      </c>
      <c r="BC16" s="12">
        <f t="shared" si="38"/>
        <v>349061.52713238361</v>
      </c>
      <c r="BD16" s="12">
        <f t="shared" si="14"/>
        <v>6687.5623556091186</v>
      </c>
      <c r="BE16" s="12">
        <f t="shared" si="15"/>
        <v>4485.4406236511286</v>
      </c>
      <c r="BF16" s="12">
        <f t="shared" si="37"/>
        <v>2202.1217319579901</v>
      </c>
      <c r="BG16" s="14">
        <f t="shared" si="33"/>
        <v>8280.0623556091195</v>
      </c>
      <c r="BH16" s="24">
        <f>INDEX(cpi!B:B,MATCH($L16,cpi!A:A))</f>
        <v>93</v>
      </c>
      <c r="BI16" s="24">
        <f t="shared" si="16"/>
        <v>109.9290780141844</v>
      </c>
      <c r="BJ16" s="24">
        <f t="shared" si="17"/>
        <v>68.031276049393796</v>
      </c>
      <c r="BK16" s="24">
        <f t="shared" si="18"/>
        <v>87.193141601016094</v>
      </c>
      <c r="BL16" s="24">
        <f t="shared" si="19"/>
        <v>73.779835714880477</v>
      </c>
      <c r="BM16" s="24">
        <f t="shared" si="20"/>
        <v>110.6551430757336</v>
      </c>
      <c r="BN16" s="24">
        <f t="shared" si="21"/>
        <v>105.43478260869566</v>
      </c>
      <c r="BO16">
        <f t="shared" si="22"/>
        <v>98.095895299752968</v>
      </c>
    </row>
    <row r="17" spans="1:67" x14ac:dyDescent="0.25">
      <c r="L17" s="1">
        <f t="shared" si="34"/>
        <v>40057</v>
      </c>
      <c r="M17" s="12">
        <f t="shared" si="0"/>
        <v>254076.63796838376</v>
      </c>
      <c r="N17" s="12">
        <f t="shared" si="23"/>
        <v>98204.094599574397</v>
      </c>
      <c r="O17" s="9">
        <f t="shared" si="24"/>
        <v>2.5872305936364173</v>
      </c>
      <c r="P17" s="9">
        <f t="shared" si="1"/>
        <v>0.56998780207423427</v>
      </c>
      <c r="Q17">
        <v>15</v>
      </c>
      <c r="R17">
        <f t="shared" si="2"/>
        <v>92</v>
      </c>
      <c r="S17" s="24"/>
      <c r="T17" s="24">
        <f>IF($B$10="3BR_H",
INDEX('3BR_H-combined'!$C:$BH,MATCH($L17,'3BR_H-combined'!$B:$B,0),MATCH(Council_Area,'3BR_H-combined'!$C$1:$BH$1,0)),
INDEX('2BR_F-combined'!$C:$BH,MATCH($L17,'2BR_F-combined'!$B:$B,0),MATCH(Council_Area,'2BR_F-combined'!$C$1:$BH$1,0)))</f>
        <v>360</v>
      </c>
      <c r="U17" s="24">
        <f t="shared" si="25"/>
        <v>350</v>
      </c>
      <c r="V17" s="24">
        <f t="shared" si="35"/>
        <v>4600</v>
      </c>
      <c r="W17" s="24">
        <f>$B$53/4*BH17/_xlfn.XLOOKUP(Q_end,cpi!A:A,cpi!B:B)</f>
        <v>129.50932964754665</v>
      </c>
      <c r="X17" s="24">
        <f t="shared" si="3"/>
        <v>4729.509329647547</v>
      </c>
      <c r="Y17" s="24">
        <f t="shared" si="26"/>
        <v>3568.0530259615707</v>
      </c>
      <c r="Z17" s="24">
        <f t="shared" si="27"/>
        <v>1141.7769683077024</v>
      </c>
      <c r="AA17" s="24">
        <f t="shared" si="4"/>
        <v>4709.8299942692729</v>
      </c>
      <c r="AB17" s="24">
        <f>AA17*(_xlfn.XLOOKUP(Q_end,cpi!A:A,cpi!B:B)/BH17)</f>
        <v>7273.3447190049483</v>
      </c>
      <c r="AC17" s="24" cm="1">
        <f t="array" ref="AC17">INDEX('msci-indices'!C:C,MATCH($L17,'msci-indices'!$B:$B)-2)</f>
        <v>624.35597900000005</v>
      </c>
      <c r="AD17" s="24" cm="1">
        <f t="array" ref="AD17">INDEX('msci-indices'!D:D,MATCH($L17,'msci-indices'!$B:$B)-2)</f>
        <v>694.44244900000001</v>
      </c>
      <c r="AE17" s="24">
        <f t="shared" si="28"/>
        <v>213071.51471776961</v>
      </c>
      <c r="AF17" s="24" cm="1">
        <f t="array" ref="AF17">INDEX('msci-indices'!C:C,MATCH($L17,'msci-indices'!$B:$B)+1)</f>
        <v>736.86332800000002</v>
      </c>
      <c r="AG17" s="24" cm="1">
        <f t="array" ref="AG17">INDEX('msci-indices'!D:D,MATCH($L17,'msci-indices'!$B:$B)+1)</f>
        <v>849.38296100000002</v>
      </c>
      <c r="AH17" s="24">
        <f t="shared" si="5"/>
        <v>133.169696698606</v>
      </c>
      <c r="AI17" s="24">
        <f t="shared" si="6"/>
        <v>254076.63796838376</v>
      </c>
      <c r="AJ17" s="24">
        <f t="shared" si="29"/>
        <v>256294.36017734441</v>
      </c>
      <c r="AK17" s="24">
        <f t="shared" si="7"/>
        <v>-2217.7222089606512</v>
      </c>
      <c r="AL17" s="24">
        <f>AJ17*(_xlfn.XLOOKUP(Q_end,cpi!A:A,cpi!B:B)/BH17)</f>
        <v>395792.89133043471</v>
      </c>
      <c r="AM17" s="24" cm="1">
        <f t="array" ref="AM17">SUMPRODUCT($AA$3:AA17,_xlfn.SORTBY($BH$3:BH17,_xlfn.SEQUENCE(ROWS($BH$3:BH17)),-1)/$BH$3)</f>
        <v>278975.085907917</v>
      </c>
      <c r="AN17" s="24">
        <f t="shared" si="30"/>
        <v>-24898.447939533246</v>
      </c>
      <c r="AO17" s="24">
        <f t="shared" si="8"/>
        <v>0</v>
      </c>
      <c r="AP17" s="24">
        <f t="shared" si="31"/>
        <v>254076.63796838376</v>
      </c>
      <c r="AQ17" s="24"/>
      <c r="AR17" s="12">
        <f>IF($B$10="3BR_H",
INDEX('ns-combined'!$C:$BH,MATCH($L17,'ns-combined'!$B:$B,0),MATCH(Council_Area,'ns-combined'!$C$1:$BH$1,0))*1000,
INDEX('s-combined'!$C:$BH,MATCH($L17,'s-combined'!$B:$B,0),MATCH(Council_Area,'s-combined'!$C$1:$BH$1,0))*1000)</f>
        <v>493000</v>
      </c>
      <c r="AS17" s="24">
        <f t="shared" si="36"/>
        <v>17250</v>
      </c>
      <c r="AT17" s="12">
        <v>0</v>
      </c>
      <c r="AU17" s="24">
        <f t="shared" si="9"/>
        <v>9860</v>
      </c>
      <c r="AV17" s="24">
        <f t="shared" si="10"/>
        <v>1417.375</v>
      </c>
      <c r="AW17" s="24">
        <f>SUM($AV$3:AV17)</f>
        <v>20826.5</v>
      </c>
      <c r="AX17" s="24">
        <f t="shared" si="32"/>
        <v>445063.5</v>
      </c>
      <c r="AY17" s="24">
        <f t="shared" si="11"/>
        <v>1610.0000000000002</v>
      </c>
      <c r="AZ17" s="26">
        <f t="shared" si="12"/>
        <v>1.3062880324543613E-2</v>
      </c>
      <c r="BA17" s="26">
        <f t="shared" si="13"/>
        <v>0.35000000000000003</v>
      </c>
      <c r="BB17" s="27">
        <f>IF(MortgageRate="Discounted",_xlfn.XLOOKUP(L17,'mortgage-rates'!$A:$A,'mortgage-rates'!$E:$E)/100,_xlfn.XLOOKUP(L17,'mortgage-rates'!$A:$A,'mortgage-rates'!$D:$D)/100)</f>
        <v>5.1399999999999994E-2</v>
      </c>
      <c r="BC17" s="12">
        <f t="shared" si="38"/>
        <v>346859.4054004256</v>
      </c>
      <c r="BD17" s="12">
        <f t="shared" si="14"/>
        <v>6687.5623556091177</v>
      </c>
      <c r="BE17" s="12">
        <f t="shared" si="15"/>
        <v>4457.1433593954689</v>
      </c>
      <c r="BF17" s="12">
        <f t="shared" si="37"/>
        <v>2230.4189962136488</v>
      </c>
      <c r="BG17" s="14">
        <f t="shared" si="33"/>
        <v>8297.5623556091177</v>
      </c>
      <c r="BH17" s="24">
        <f>INDEX(cpi!B:B,MATCH($L17,cpi!A:A))</f>
        <v>93.7</v>
      </c>
      <c r="BI17" s="24">
        <f t="shared" si="16"/>
        <v>110.75650118203311</v>
      </c>
      <c r="BJ17" s="24">
        <f t="shared" si="17"/>
        <v>82.709344629523997</v>
      </c>
      <c r="BK17" s="24">
        <f t="shared" si="18"/>
        <v>97.403235040312381</v>
      </c>
      <c r="BL17" s="24">
        <f t="shared" si="19"/>
        <v>87.117511752760507</v>
      </c>
      <c r="BM17" s="24">
        <f t="shared" si="20"/>
        <v>134.15059795922588</v>
      </c>
      <c r="BN17" s="24">
        <f t="shared" si="21"/>
        <v>107.17391304347827</v>
      </c>
      <c r="BO17">
        <f t="shared" si="22"/>
        <v>99.271960787593898</v>
      </c>
    </row>
    <row r="18" spans="1:67" x14ac:dyDescent="0.25">
      <c r="A18" s="7" t="s">
        <v>385</v>
      </c>
      <c r="L18" s="1">
        <f t="shared" si="34"/>
        <v>40148</v>
      </c>
      <c r="M18" s="12">
        <f t="shared" si="0"/>
        <v>269071.9750872617</v>
      </c>
      <c r="N18" s="12">
        <f t="shared" si="23"/>
        <v>180922.76359578804</v>
      </c>
      <c r="O18" s="9">
        <f t="shared" si="24"/>
        <v>1.4872201249833541</v>
      </c>
      <c r="P18" s="9">
        <f t="shared" si="1"/>
        <v>0.53691923617511095</v>
      </c>
      <c r="Q18">
        <v>16</v>
      </c>
      <c r="R18">
        <f t="shared" si="2"/>
        <v>92</v>
      </c>
      <c r="S18" s="24"/>
      <c r="T18" s="24">
        <f>IF($B$10="3BR_H",
INDEX('3BR_H-combined'!$C:$BH,MATCH($L18,'3BR_H-combined'!$B:$B,0),MATCH(Council_Area,'3BR_H-combined'!$C$1:$BH$1,0)),
INDEX('2BR_F-combined'!$C:$BH,MATCH($L18,'2BR_F-combined'!$B:$B,0),MATCH(Council_Area,'2BR_F-combined'!$C$1:$BH$1,0)))</f>
        <v>370</v>
      </c>
      <c r="U18" s="24">
        <f t="shared" si="25"/>
        <v>350</v>
      </c>
      <c r="V18" s="24">
        <f t="shared" si="35"/>
        <v>4600</v>
      </c>
      <c r="W18" s="24">
        <f>$B$53/4*BH18/_xlfn.XLOOKUP(Q_end,cpi!A:A,cpi!B:B)</f>
        <v>130.61506565307533</v>
      </c>
      <c r="X18" s="24">
        <f t="shared" si="3"/>
        <v>4730.6150656530754</v>
      </c>
      <c r="Y18" s="24">
        <f t="shared" si="26"/>
        <v>4080.0490844207579</v>
      </c>
      <c r="Z18" s="24">
        <f t="shared" si="27"/>
        <v>1305.6157070146423</v>
      </c>
      <c r="AA18" s="24">
        <f t="shared" si="4"/>
        <v>5385.6647914353998</v>
      </c>
      <c r="AB18" s="24">
        <f>AA18*(_xlfn.XLOOKUP(Q_end,cpi!A:A,cpi!B:B)/BH18)</f>
        <v>8246.6211145047855</v>
      </c>
      <c r="AC18" s="24" cm="1">
        <f t="array" ref="AC18">INDEX('msci-indices'!C:C,MATCH($L18,'msci-indices'!$B:$B)-2)</f>
        <v>736.86332800000002</v>
      </c>
      <c r="AD18" s="24" cm="1">
        <f t="array" ref="AD18">INDEX('msci-indices'!D:D,MATCH($L18,'msci-indices'!$B:$B)-2)</f>
        <v>849.38296100000002</v>
      </c>
      <c r="AE18" s="24">
        <f t="shared" si="28"/>
        <v>259462.30275981917</v>
      </c>
      <c r="AF18" s="24" cm="1">
        <f t="array" ref="AF18">INDEX('msci-indices'!C:C,MATCH($L18,'msci-indices'!$B:$B)+1)</f>
        <v>765.74116200000003</v>
      </c>
      <c r="AG18" s="24" cm="1">
        <f t="array" ref="AG18">INDEX('msci-indices'!D:D,MATCH($L18,'msci-indices'!$B:$B)+1)</f>
        <v>878.343298</v>
      </c>
      <c r="AH18" s="24">
        <f t="shared" si="5"/>
        <v>162.16393922488697</v>
      </c>
      <c r="AI18" s="24">
        <f t="shared" si="6"/>
        <v>269071.9750872617</v>
      </c>
      <c r="AJ18" s="24">
        <f t="shared" si="29"/>
        <v>261680.02496877982</v>
      </c>
      <c r="AK18" s="24">
        <f t="shared" si="7"/>
        <v>7391.9501184818801</v>
      </c>
      <c r="AL18" s="24">
        <f>AJ18*(_xlfn.XLOOKUP(Q_end,cpi!A:A,cpi!B:B)/BH18)</f>
        <v>400688.88479346491</v>
      </c>
      <c r="AM18" s="24" cm="1">
        <f t="array" ref="AM18">SUMPRODUCT($AA$3:AA18,_xlfn.SORTBY($BH$3:BH18,_xlfn.SEQUENCE(ROWS($BH$3:BH18)),-1)/$BH$3)</f>
        <v>286624.91814652761</v>
      </c>
      <c r="AN18" s="24">
        <f t="shared" si="30"/>
        <v>-17552.943059265905</v>
      </c>
      <c r="AO18" s="24">
        <f t="shared" si="8"/>
        <v>0</v>
      </c>
      <c r="AP18" s="24">
        <f t="shared" si="31"/>
        <v>269071.9750872617</v>
      </c>
      <c r="AQ18" s="24"/>
      <c r="AR18" s="12">
        <f>IF($B$10="3BR_H",
INDEX('ns-combined'!$C:$BH,MATCH($L18,'ns-combined'!$B:$B,0),MATCH(Council_Area,'ns-combined'!$C$1:$BH$1,0))*1000,
INDEX('s-combined'!$C:$BH,MATCH($L18,'s-combined'!$B:$B,0),MATCH(Council_Area,'s-combined'!$C$1:$BH$1,0))*1000)</f>
        <v>578000</v>
      </c>
      <c r="AS18" s="24">
        <f t="shared" si="36"/>
        <v>18400</v>
      </c>
      <c r="AT18" s="12">
        <v>0</v>
      </c>
      <c r="AU18" s="24">
        <f t="shared" si="9"/>
        <v>11560</v>
      </c>
      <c r="AV18" s="24">
        <f t="shared" si="10"/>
        <v>1661.75</v>
      </c>
      <c r="AW18" s="24">
        <f>SUM($AV$3:AV18)</f>
        <v>22488.25</v>
      </c>
      <c r="AX18" s="24">
        <f t="shared" si="32"/>
        <v>525551.75</v>
      </c>
      <c r="AY18" s="24">
        <f t="shared" si="11"/>
        <v>1610.0000000000002</v>
      </c>
      <c r="AZ18" s="26">
        <f t="shared" si="12"/>
        <v>1.1141868512110728E-2</v>
      </c>
      <c r="BA18" s="26">
        <f t="shared" si="13"/>
        <v>0.35000000000000003</v>
      </c>
      <c r="BB18" s="27">
        <f>IF(MortgageRate="Discounted",_xlfn.XLOOKUP(L18,'mortgage-rates'!$A:$A,'mortgage-rates'!$E:$E)/100,_xlfn.XLOOKUP(L18,'mortgage-rates'!$A:$A,'mortgage-rates'!$D:$D)/100)</f>
        <v>0.06</v>
      </c>
      <c r="BC18" s="12">
        <f t="shared" si="38"/>
        <v>344628.98640421196</v>
      </c>
      <c r="BD18" s="12">
        <f t="shared" si="14"/>
        <v>7200.6641500738324</v>
      </c>
      <c r="BE18" s="12">
        <f t="shared" si="15"/>
        <v>5169.4347960631794</v>
      </c>
      <c r="BF18" s="12">
        <f t="shared" si="37"/>
        <v>2031.229354010653</v>
      </c>
      <c r="BG18" s="14">
        <f t="shared" si="33"/>
        <v>8810.6641500738333</v>
      </c>
      <c r="BH18" s="24">
        <f>INDEX(cpi!B:B,MATCH($L18,cpi!A:A))</f>
        <v>94.5</v>
      </c>
      <c r="BI18" s="24">
        <f t="shared" si="16"/>
        <v>111.70212765957447</v>
      </c>
      <c r="BJ18" s="24">
        <f t="shared" si="17"/>
        <v>97.613356787298372</v>
      </c>
      <c r="BK18" s="24">
        <f t="shared" si="18"/>
        <v>119.1353557212046</v>
      </c>
      <c r="BL18" s="24">
        <f t="shared" si="19"/>
        <v>104.06995646747023</v>
      </c>
      <c r="BM18" s="24">
        <f t="shared" si="20"/>
        <v>163.35840625722378</v>
      </c>
      <c r="BN18" s="24">
        <f t="shared" si="21"/>
        <v>125.65217391304348</v>
      </c>
      <c r="BO18">
        <f t="shared" si="22"/>
        <v>117.22496389358226</v>
      </c>
    </row>
    <row r="19" spans="1:67" x14ac:dyDescent="0.25">
      <c r="A19" t="s">
        <v>386</v>
      </c>
      <c r="B19" t="s">
        <v>392</v>
      </c>
      <c r="C19" t="s">
        <v>392</v>
      </c>
      <c r="L19" s="1">
        <f>DATE(YEAR(L18),MONTH(L18)+3,1)</f>
        <v>40238</v>
      </c>
      <c r="M19" s="12">
        <f t="shared" si="0"/>
        <v>282918.25155437831</v>
      </c>
      <c r="N19" s="12">
        <f t="shared" si="23"/>
        <v>168416.7429497987</v>
      </c>
      <c r="O19" s="9">
        <f t="shared" si="24"/>
        <v>1.6798701043560138</v>
      </c>
      <c r="P19" s="9">
        <f t="shared" si="1"/>
        <v>0.55366017497427311</v>
      </c>
      <c r="Q19">
        <v>17</v>
      </c>
      <c r="R19">
        <f t="shared" si="2"/>
        <v>90</v>
      </c>
      <c r="S19" s="24"/>
      <c r="T19" s="24">
        <f>IF($B$10="3BR_H",
INDEX('3BR_H-combined'!$C:$BH,MATCH($L19,'3BR_H-combined'!$B:$B,0),MATCH(Council_Area,'3BR_H-combined'!$C$1:$BH$1,0)),
INDEX('2BR_F-combined'!$C:$BH,MATCH($L19,'2BR_F-combined'!$B:$B,0),MATCH(Council_Area,'2BR_F-combined'!$C$1:$BH$1,0)))</f>
        <v>380</v>
      </c>
      <c r="U19" s="24">
        <f t="shared" si="25"/>
        <v>380</v>
      </c>
      <c r="V19" s="24">
        <f t="shared" si="35"/>
        <v>4885.7142857142853</v>
      </c>
      <c r="W19" s="24">
        <f>$B$53/4*BH19/_xlfn.XLOOKUP(Q_end,cpi!A:A,cpi!B:B)</f>
        <v>131.58258465791295</v>
      </c>
      <c r="X19" s="24">
        <f t="shared" si="3"/>
        <v>5017.2968703721981</v>
      </c>
      <c r="Y19" s="24">
        <f t="shared" si="26"/>
        <v>4044.7543609726181</v>
      </c>
      <c r="Z19" s="24">
        <f t="shared" si="27"/>
        <v>1294.3213955112376</v>
      </c>
      <c r="AA19" s="24">
        <f t="shared" si="4"/>
        <v>5339.0757564838559</v>
      </c>
      <c r="AB19" s="24">
        <f>AA19*(_xlfn.XLOOKUP(Q_end,cpi!A:A,cpi!B:B)/BH19)</f>
        <v>8115.170818941323</v>
      </c>
      <c r="AC19" s="24" cm="1">
        <f t="array" ref="AC19">INDEX('msci-indices'!C:C,MATCH($L19,'msci-indices'!$B:$B)-2)</f>
        <v>765.74116200000003</v>
      </c>
      <c r="AD19" s="24" cm="1">
        <f t="array" ref="AD19">INDEX('msci-indices'!D:D,MATCH($L19,'msci-indices'!$B:$B)-2)</f>
        <v>878.343298</v>
      </c>
      <c r="AE19" s="24">
        <f t="shared" si="28"/>
        <v>274411.05084374553</v>
      </c>
      <c r="AF19" s="24" cm="1">
        <f t="array" ref="AF19">INDEX('msci-indices'!C:C,MATCH($L19,'msci-indices'!$B:$B)+1)</f>
        <v>794.63717599999995</v>
      </c>
      <c r="AG19" s="24" cm="1">
        <f t="array" ref="AG19">INDEX('msci-indices'!D:D,MATCH($L19,'msci-indices'!$B:$B)+1)</f>
        <v>893.60148100000004</v>
      </c>
      <c r="AH19" s="24">
        <f t="shared" si="5"/>
        <v>171.50690677734096</v>
      </c>
      <c r="AI19" s="24">
        <f t="shared" si="6"/>
        <v>282918.25155437831</v>
      </c>
      <c r="AJ19" s="24">
        <f t="shared" si="29"/>
        <v>267019.10072526365</v>
      </c>
      <c r="AK19" s="24">
        <f t="shared" si="7"/>
        <v>15899.15082911466</v>
      </c>
      <c r="AL19" s="24">
        <f>AJ19*(_xlfn.XLOOKUP(Q_end,cpi!A:A,cpi!B:B)/BH19)</f>
        <v>405857.81381245429</v>
      </c>
      <c r="AM19" s="24" cm="1">
        <f t="array" ref="AM19">SUMPRODUCT($AA$3:AA19,_xlfn.SORTBY($BH$3:BH19,_xlfn.SEQUENCE(ROWS($BH$3:BH19)),-1)/$BH$3)</f>
        <v>294104.56158024759</v>
      </c>
      <c r="AN19" s="24">
        <f t="shared" si="30"/>
        <v>-11186.310025869287</v>
      </c>
      <c r="AO19" s="24">
        <f t="shared" si="8"/>
        <v>0</v>
      </c>
      <c r="AP19" s="24">
        <f t="shared" si="31"/>
        <v>282918.25155437831</v>
      </c>
      <c r="AQ19" s="24"/>
      <c r="AR19" s="12">
        <f>IF($B$10="3BR_H",
INDEX('ns-combined'!$C:$BH,MATCH($L19,'ns-combined'!$B:$B,0),MATCH(Council_Area,'ns-combined'!$C$1:$BH$1,0))*1000,
INDEX('s-combined'!$C:$BH,MATCH($L19,'s-combined'!$B:$B,0),MATCH(Council_Area,'s-combined'!$C$1:$BH$1,0))*1000)</f>
        <v>566000</v>
      </c>
      <c r="AS19" s="24">
        <f t="shared" si="36"/>
        <v>19550</v>
      </c>
      <c r="AT19" s="12">
        <v>0</v>
      </c>
      <c r="AU19" s="24">
        <f t="shared" si="9"/>
        <v>11320</v>
      </c>
      <c r="AV19" s="24">
        <f t="shared" si="10"/>
        <v>1627.25</v>
      </c>
      <c r="AW19" s="24">
        <f>SUM($AV$3:AV19)</f>
        <v>24115.5</v>
      </c>
      <c r="AX19" s="24">
        <f t="shared" si="32"/>
        <v>511014.5</v>
      </c>
      <c r="AY19" s="24">
        <f t="shared" si="11"/>
        <v>1710</v>
      </c>
      <c r="AZ19" s="26">
        <f t="shared" si="12"/>
        <v>1.2084805653710248E-2</v>
      </c>
      <c r="BA19" s="26">
        <f t="shared" si="13"/>
        <v>0.35000000000000003</v>
      </c>
      <c r="BB19" s="27">
        <f>IF(MortgageRate="Discounted",_xlfn.XLOOKUP(L19,'mortgage-rates'!$A:$A,'mortgage-rates'!$E:$E)/100,_xlfn.XLOOKUP(L19,'mortgage-rates'!$A:$A,'mortgage-rates'!$D:$D)/100)</f>
        <v>6.25E-2</v>
      </c>
      <c r="BC19" s="12">
        <f t="shared" si="38"/>
        <v>342597.7570502013</v>
      </c>
      <c r="BD19" s="12">
        <f t="shared" si="14"/>
        <v>7352.0512313448171</v>
      </c>
      <c r="BE19" s="12">
        <f t="shared" si="15"/>
        <v>5353.0899539093953</v>
      </c>
      <c r="BF19" s="12">
        <f t="shared" si="37"/>
        <v>1998.9612774354218</v>
      </c>
      <c r="BG19" s="14">
        <f t="shared" si="33"/>
        <v>9062.0512313448162</v>
      </c>
      <c r="BH19" s="24">
        <f>INDEX(cpi!B:B,MATCH($L19,cpi!A:A))</f>
        <v>95.2</v>
      </c>
      <c r="BI19" s="24">
        <f t="shared" si="16"/>
        <v>112.52955082742318</v>
      </c>
      <c r="BJ19" s="24">
        <f t="shared" si="17"/>
        <v>101.43884545849789</v>
      </c>
      <c r="BK19" s="24">
        <f t="shared" si="18"/>
        <v>123.19736332992677</v>
      </c>
      <c r="BL19" s="24">
        <f t="shared" si="19"/>
        <v>107.96640081992655</v>
      </c>
      <c r="BM19" s="24">
        <f t="shared" si="20"/>
        <v>172.77019223366858</v>
      </c>
      <c r="BN19" s="24">
        <f t="shared" si="21"/>
        <v>123.04347826086956</v>
      </c>
      <c r="BO19">
        <f t="shared" si="22"/>
        <v>113.9824124105704</v>
      </c>
    </row>
    <row r="20" spans="1:67" x14ac:dyDescent="0.25">
      <c r="A20" t="s">
        <v>398</v>
      </c>
      <c r="B20" s="10">
        <v>0.2</v>
      </c>
      <c r="C20" s="10">
        <v>0.2</v>
      </c>
      <c r="L20" s="1">
        <f t="shared" si="34"/>
        <v>40330</v>
      </c>
      <c r="M20" s="12">
        <f t="shared" si="0"/>
        <v>253048.61465707922</v>
      </c>
      <c r="N20" s="12">
        <f t="shared" si="23"/>
        <v>195975.07922723412</v>
      </c>
      <c r="O20" s="9">
        <f t="shared" si="24"/>
        <v>1.2912285360715074</v>
      </c>
      <c r="P20" s="9">
        <f t="shared" si="1"/>
        <v>0.54043852840779705</v>
      </c>
      <c r="Q20">
        <v>18</v>
      </c>
      <c r="R20">
        <f t="shared" si="2"/>
        <v>91</v>
      </c>
      <c r="S20" s="24"/>
      <c r="T20" s="24">
        <f>IF($B$10="3BR_H",
INDEX('3BR_H-combined'!$C:$BH,MATCH($L20,'3BR_H-combined'!$B:$B,0),MATCH(Council_Area,'3BR_H-combined'!$C$1:$BH$1,0)),
INDEX('2BR_F-combined'!$C:$BH,MATCH($L20,'2BR_F-combined'!$B:$B,0),MATCH(Council_Area,'2BR_F-combined'!$C$1:$BH$1,0)))</f>
        <v>380</v>
      </c>
      <c r="U20" s="24">
        <f t="shared" si="25"/>
        <v>380</v>
      </c>
      <c r="V20" s="24">
        <f t="shared" si="35"/>
        <v>4940</v>
      </c>
      <c r="W20" s="24">
        <f>$B$53/4*BH20/_xlfn.XLOOKUP(Q_end,cpi!A:A,cpi!B:B)</f>
        <v>132.41188666205943</v>
      </c>
      <c r="X20" s="24">
        <f t="shared" si="3"/>
        <v>5072.4118866620593</v>
      </c>
      <c r="Y20" s="24">
        <f t="shared" si="26"/>
        <v>4313.321402202544</v>
      </c>
      <c r="Z20" s="24">
        <f t="shared" si="27"/>
        <v>1380.2628487048139</v>
      </c>
      <c r="AA20" s="24">
        <f t="shared" si="4"/>
        <v>5693.5842509073582</v>
      </c>
      <c r="AB20" s="24">
        <f>AA20*(_xlfn.XLOOKUP(Q_end,cpi!A:A,cpi!B:B)/BH20)</f>
        <v>8599.8083622786507</v>
      </c>
      <c r="AC20" s="24" cm="1">
        <f t="array" ref="AC20">INDEX('msci-indices'!C:C,MATCH($L20,'msci-indices'!$B:$B)-2)</f>
        <v>794.63717599999995</v>
      </c>
      <c r="AD20" s="24" cm="1">
        <f t="array" ref="AD20">INDEX('msci-indices'!D:D,MATCH($L20,'msci-indices'!$B:$B)-2)</f>
        <v>893.60148100000004</v>
      </c>
      <c r="AE20" s="24">
        <f t="shared" si="28"/>
        <v>288611.83580528566</v>
      </c>
      <c r="AF20" s="24" cm="1">
        <f t="array" ref="AF20">INDEX('msci-indices'!C:C,MATCH($L20,'msci-indices'!$B:$B)+1)</f>
        <v>696.18017999999995</v>
      </c>
      <c r="AG20" s="24" cm="1">
        <f t="array" ref="AG20">INDEX('msci-indices'!D:D,MATCH($L20,'msci-indices'!$B:$B)+1)</f>
        <v>786.77036999999996</v>
      </c>
      <c r="AH20" s="24">
        <f t="shared" si="5"/>
        <v>180.38239737830355</v>
      </c>
      <c r="AI20" s="24">
        <f t="shared" si="6"/>
        <v>253048.61465707922</v>
      </c>
      <c r="AJ20" s="24">
        <f t="shared" si="29"/>
        <v>272712.684976171</v>
      </c>
      <c r="AK20" s="24">
        <f t="shared" si="7"/>
        <v>-19664.070319091785</v>
      </c>
      <c r="AL20" s="24">
        <f>AJ20*(_xlfn.XLOOKUP(Q_end,cpi!A:A,cpi!B:B)/BH20)</f>
        <v>411915.71519887203</v>
      </c>
      <c r="AM20" s="24" cm="1">
        <f t="array" ref="AM20">SUMPRODUCT($AA$3:AA20,_xlfn.SORTBY($BH$3:BH20,_xlfn.SEQUENCE(ROWS($BH$3:BH20)),-1)/$BH$3)</f>
        <v>301798.92102892965</v>
      </c>
      <c r="AN20" s="24">
        <f t="shared" si="30"/>
        <v>-48750.306371850427</v>
      </c>
      <c r="AO20" s="24">
        <f t="shared" si="8"/>
        <v>0</v>
      </c>
      <c r="AP20" s="24">
        <f t="shared" si="31"/>
        <v>253048.61465707922</v>
      </c>
      <c r="AQ20" s="24"/>
      <c r="AR20" s="12">
        <f>IF($B$10="3BR_H",
INDEX('ns-combined'!$C:$BH,MATCH($L20,'ns-combined'!$B:$B,0),MATCH(Council_Area,'ns-combined'!$C$1:$BH$1,0))*1000,
INDEX('s-combined'!$C:$BH,MATCH($L20,'s-combined'!$B:$B,0),MATCH(Council_Area,'s-combined'!$C$1:$BH$1,0))*1000)</f>
        <v>595000</v>
      </c>
      <c r="AS20" s="24">
        <f t="shared" si="36"/>
        <v>20700</v>
      </c>
      <c r="AT20" s="12">
        <v>0</v>
      </c>
      <c r="AU20" s="24">
        <f t="shared" si="9"/>
        <v>11900</v>
      </c>
      <c r="AV20" s="24">
        <f t="shared" si="10"/>
        <v>1710.625</v>
      </c>
      <c r="AW20" s="24">
        <f>SUM($AV$3:AV20)</f>
        <v>25826.125</v>
      </c>
      <c r="AX20" s="24">
        <f t="shared" si="32"/>
        <v>536573.875</v>
      </c>
      <c r="AY20" s="24">
        <f t="shared" si="11"/>
        <v>1729.0000000000002</v>
      </c>
      <c r="AZ20" s="26">
        <f t="shared" si="12"/>
        <v>1.1623529411764708E-2</v>
      </c>
      <c r="BA20" s="26">
        <f t="shared" si="13"/>
        <v>0.35000000000000003</v>
      </c>
      <c r="BB20" s="27">
        <f>IF(MortgageRate="Discounted",_xlfn.XLOOKUP(L20,'mortgage-rates'!$A:$A,'mortgage-rates'!$E:$E)/100,_xlfn.XLOOKUP(L20,'mortgage-rates'!$A:$A,'mortgage-rates'!$D:$D)/100)</f>
        <v>6.7500000000000004E-2</v>
      </c>
      <c r="BC20" s="12">
        <f t="shared" si="38"/>
        <v>340598.79577276588</v>
      </c>
      <c r="BD20" s="12">
        <f t="shared" si="14"/>
        <v>7656.7332888646024</v>
      </c>
      <c r="BE20" s="12">
        <f t="shared" si="15"/>
        <v>5747.6046786654242</v>
      </c>
      <c r="BF20" s="12">
        <f t="shared" si="37"/>
        <v>1909.1286101991782</v>
      </c>
      <c r="BG20" s="14">
        <f t="shared" si="33"/>
        <v>9385.7332888646033</v>
      </c>
      <c r="BH20" s="24">
        <f>INDEX(cpi!B:B,MATCH($L20,cpi!A:A))</f>
        <v>95.8</v>
      </c>
      <c r="BI20" s="24">
        <f t="shared" si="16"/>
        <v>113.2387706855792</v>
      </c>
      <c r="BJ20" s="24">
        <f t="shared" si="17"/>
        <v>105.26674246073921</v>
      </c>
      <c r="BK20" s="24">
        <f t="shared" si="18"/>
        <v>125.3374922739123</v>
      </c>
      <c r="BL20" s="24">
        <f t="shared" si="19"/>
        <v>111.28796740469113</v>
      </c>
      <c r="BM20" s="24">
        <f t="shared" si="20"/>
        <v>181.71105791721322</v>
      </c>
      <c r="BN20" s="24">
        <f t="shared" si="21"/>
        <v>129.34782608695653</v>
      </c>
      <c r="BO20">
        <f t="shared" si="22"/>
        <v>119.68346242423229</v>
      </c>
    </row>
    <row r="21" spans="1:67" x14ac:dyDescent="0.25">
      <c r="A21" t="s">
        <v>397</v>
      </c>
      <c r="B21" s="4">
        <v>0</v>
      </c>
      <c r="C21" s="4">
        <v>0</v>
      </c>
      <c r="L21" s="1">
        <f t="shared" si="34"/>
        <v>40422</v>
      </c>
      <c r="M21" s="12">
        <f t="shared" si="0"/>
        <v>290505.1889075319</v>
      </c>
      <c r="N21" s="12">
        <f t="shared" si="23"/>
        <v>177435.33283743332</v>
      </c>
      <c r="O21" s="9">
        <f t="shared" si="24"/>
        <v>1.6372454361933282</v>
      </c>
      <c r="P21" s="9">
        <f t="shared" si="1"/>
        <v>0.54520705111574175</v>
      </c>
      <c r="Q21">
        <v>19</v>
      </c>
      <c r="R21">
        <f t="shared" si="2"/>
        <v>92</v>
      </c>
      <c r="S21" s="24"/>
      <c r="T21" s="24">
        <f>IF($B$10="3BR_H",
INDEX('3BR_H-combined'!$C:$BH,MATCH($L21,'3BR_H-combined'!$B:$B,0),MATCH(Council_Area,'3BR_H-combined'!$C$1:$BH$1,0)),
INDEX('2BR_F-combined'!$C:$BH,MATCH($L21,'2BR_F-combined'!$B:$B,0),MATCH(Council_Area,'2BR_F-combined'!$C$1:$BH$1,0)))</f>
        <v>390</v>
      </c>
      <c r="U21" s="24">
        <f t="shared" si="25"/>
        <v>380</v>
      </c>
      <c r="V21" s="24">
        <f t="shared" si="35"/>
        <v>4994.2857142857147</v>
      </c>
      <c r="W21" s="24">
        <f>$B$53/4*BH21/_xlfn.XLOOKUP(Q_end,cpi!A:A,cpi!B:B)</f>
        <v>133.24118866620594</v>
      </c>
      <c r="X21" s="24">
        <f t="shared" si="3"/>
        <v>5127.5269029519204</v>
      </c>
      <c r="Y21" s="24">
        <f t="shared" si="26"/>
        <v>4277.2063859126811</v>
      </c>
      <c r="Z21" s="24">
        <f t="shared" si="27"/>
        <v>1368.7060434920577</v>
      </c>
      <c r="AA21" s="24">
        <f t="shared" si="4"/>
        <v>5645.9124294047388</v>
      </c>
      <c r="AB21" s="24">
        <f>AA21*(_xlfn.XLOOKUP(Q_end,cpi!A:A,cpi!B:B)/BH21)</f>
        <v>8474.7253997392691</v>
      </c>
      <c r="AC21" s="24" cm="1">
        <f t="array" ref="AC21">INDEX('msci-indices'!C:C,MATCH($L21,'msci-indices'!$B:$B)-2)</f>
        <v>696.18017999999995</v>
      </c>
      <c r="AD21" s="24" cm="1">
        <f t="array" ref="AD21">INDEX('msci-indices'!D:D,MATCH($L21,'msci-indices'!$B:$B)-2)</f>
        <v>786.77036999999996</v>
      </c>
      <c r="AE21" s="24">
        <f t="shared" si="28"/>
        <v>258694.52708648395</v>
      </c>
      <c r="AF21" s="24" cm="1">
        <f t="array" ref="AF21">INDEX('msci-indices'!C:C,MATCH($L21,'msci-indices'!$B:$B)+1)</f>
        <v>792.86985700000002</v>
      </c>
      <c r="AG21" s="24" cm="1">
        <f t="array" ref="AG21">INDEX('msci-indices'!D:D,MATCH($L21,'msci-indices'!$B:$B)+1)</f>
        <v>855.92990299999997</v>
      </c>
      <c r="AH21" s="24">
        <f t="shared" si="5"/>
        <v>161.68407942905247</v>
      </c>
      <c r="AI21" s="24">
        <f t="shared" si="6"/>
        <v>290505.1889075319</v>
      </c>
      <c r="AJ21" s="24">
        <f t="shared" si="29"/>
        <v>278358.59740557574</v>
      </c>
      <c r="AK21" s="24">
        <f t="shared" si="7"/>
        <v>12146.591501956165</v>
      </c>
      <c r="AL21" s="24">
        <f>AJ21*(_xlfn.XLOOKUP(Q_end,cpi!A:A,cpi!B:B)/BH21)</f>
        <v>417826.64984011208</v>
      </c>
      <c r="AM21" s="24" cm="1">
        <f t="array" ref="AM21">SUMPRODUCT($AA$3:AA21,_xlfn.SORTBY($BH$3:BH21,_xlfn.SEQUENCE(ROWS($BH$3:BH21)),-1)/$BH$3)</f>
        <v>309471.78336490627</v>
      </c>
      <c r="AN21" s="24">
        <f t="shared" si="30"/>
        <v>-18966.594457374362</v>
      </c>
      <c r="AO21" s="24">
        <f t="shared" si="8"/>
        <v>0</v>
      </c>
      <c r="AP21" s="24">
        <f t="shared" si="31"/>
        <v>290505.1889075319</v>
      </c>
      <c r="AQ21" s="24"/>
      <c r="AR21" s="12">
        <f>IF($B$10="3BR_H",
INDEX('ns-combined'!$C:$BH,MATCH($L21,'ns-combined'!$B:$B,0),MATCH(Council_Area,'ns-combined'!$C$1:$BH$1,0))*1000,
INDEX('s-combined'!$C:$BH,MATCH($L21,'s-combined'!$B:$B,0),MATCH(Council_Area,'s-combined'!$C$1:$BH$1,0))*1000)</f>
        <v>577000</v>
      </c>
      <c r="AS21" s="24">
        <f t="shared" si="36"/>
        <v>21850</v>
      </c>
      <c r="AT21" s="12">
        <v>0</v>
      </c>
      <c r="AU21" s="24">
        <f t="shared" si="9"/>
        <v>11540</v>
      </c>
      <c r="AV21" s="24">
        <f t="shared" si="10"/>
        <v>1658.875</v>
      </c>
      <c r="AW21" s="24">
        <f>SUM($AV$3:AV21)</f>
        <v>27485</v>
      </c>
      <c r="AX21" s="24">
        <f t="shared" si="32"/>
        <v>516125</v>
      </c>
      <c r="AY21" s="24">
        <f t="shared" si="11"/>
        <v>1748.0000000000002</v>
      </c>
      <c r="AZ21" s="26">
        <f t="shared" si="12"/>
        <v>1.2117850953206241E-2</v>
      </c>
      <c r="BA21" s="26">
        <f t="shared" si="13"/>
        <v>0.35000000000000003</v>
      </c>
      <c r="BB21" s="27">
        <f>IF(MortgageRate="Discounted",_xlfn.XLOOKUP(L21,'mortgage-rates'!$A:$A,'mortgage-rates'!$E:$E)/100,_xlfn.XLOOKUP(L21,'mortgage-rates'!$A:$A,'mortgage-rates'!$D:$D)/100)</f>
        <v>6.7500000000000004E-2</v>
      </c>
      <c r="BC21" s="12">
        <f t="shared" si="38"/>
        <v>338689.66716256668</v>
      </c>
      <c r="BD21" s="12">
        <f t="shared" si="14"/>
        <v>7656.7332888646015</v>
      </c>
      <c r="BE21" s="12">
        <f t="shared" si="15"/>
        <v>5715.388133368313</v>
      </c>
      <c r="BF21" s="12">
        <f t="shared" si="37"/>
        <v>1941.3451554962885</v>
      </c>
      <c r="BG21" s="14">
        <f t="shared" si="33"/>
        <v>9404.7332888646015</v>
      </c>
      <c r="BH21" s="24">
        <f>INDEX(cpi!B:B,MATCH($L21,cpi!A:A))</f>
        <v>96.4</v>
      </c>
      <c r="BI21" s="24">
        <f t="shared" si="16"/>
        <v>113.94799054373523</v>
      </c>
      <c r="BJ21" s="24">
        <f t="shared" si="17"/>
        <v>92.224001000339641</v>
      </c>
      <c r="BK21" s="24">
        <f t="shared" si="18"/>
        <v>110.35324724491825</v>
      </c>
      <c r="BL21" s="24">
        <f t="shared" si="19"/>
        <v>97.662774873713232</v>
      </c>
      <c r="BM21" s="24">
        <f t="shared" si="20"/>
        <v>162.87501191043418</v>
      </c>
      <c r="BN21" s="24">
        <f t="shared" si="21"/>
        <v>125.43478260869566</v>
      </c>
      <c r="BO21">
        <f t="shared" si="22"/>
        <v>115.12231571786251</v>
      </c>
    </row>
    <row r="22" spans="1:67" x14ac:dyDescent="0.25">
      <c r="L22" s="1">
        <f t="shared" si="34"/>
        <v>40513</v>
      </c>
      <c r="M22" s="12">
        <f t="shared" si="0"/>
        <v>320357.57033754932</v>
      </c>
      <c r="N22" s="12">
        <f t="shared" si="23"/>
        <v>199041.67799292959</v>
      </c>
      <c r="O22" s="9">
        <f t="shared" si="24"/>
        <v>1.6094999477894731</v>
      </c>
      <c r="P22" s="9">
        <f t="shared" si="1"/>
        <v>0.53152258559730503</v>
      </c>
      <c r="Q22">
        <v>20</v>
      </c>
      <c r="R22">
        <f t="shared" si="2"/>
        <v>92</v>
      </c>
      <c r="S22" s="24"/>
      <c r="T22" s="24">
        <f>IF($B$10="3BR_H",
INDEX('3BR_H-combined'!$C:$BH,MATCH($L22,'3BR_H-combined'!$B:$B,0),MATCH(Council_Area,'3BR_H-combined'!$C$1:$BH$1,0)),
INDEX('2BR_F-combined'!$C:$BH,MATCH($L22,'2BR_F-combined'!$B:$B,0),MATCH(Council_Area,'2BR_F-combined'!$C$1:$BH$1,0)))</f>
        <v>400</v>
      </c>
      <c r="U22" s="24">
        <f t="shared" si="25"/>
        <v>380</v>
      </c>
      <c r="V22" s="24">
        <f t="shared" si="35"/>
        <v>4994.2857142857147</v>
      </c>
      <c r="W22" s="24">
        <f>$B$53/4*BH22/_xlfn.XLOOKUP(Q_end,cpi!A:A,cpi!B:B)</f>
        <v>134.07049067035246</v>
      </c>
      <c r="X22" s="24">
        <f t="shared" si="3"/>
        <v>5128.3562049560669</v>
      </c>
      <c r="Y22" s="24">
        <f t="shared" si="26"/>
        <v>4520.0695513888195</v>
      </c>
      <c r="Z22" s="24">
        <f t="shared" si="27"/>
        <v>1446.4222564444219</v>
      </c>
      <c r="AA22" s="24">
        <f t="shared" si="4"/>
        <v>5966.4918078332412</v>
      </c>
      <c r="AB22" s="24">
        <f>AA22*(_xlfn.XLOOKUP(Q_end,cpi!A:A,cpi!B:B)/BH22)</f>
        <v>8900.5295318914414</v>
      </c>
      <c r="AC22" s="24" cm="1">
        <f t="array" ref="AC22">INDEX('msci-indices'!C:C,MATCH($L22,'msci-indices'!$B:$B)-2)</f>
        <v>792.86985700000002</v>
      </c>
      <c r="AD22" s="24" cm="1">
        <f t="array" ref="AD22">INDEX('msci-indices'!D:D,MATCH($L22,'msci-indices'!$B:$B)-2)</f>
        <v>855.92990299999997</v>
      </c>
      <c r="AE22" s="24">
        <f t="shared" si="28"/>
        <v>296471.68071536516</v>
      </c>
      <c r="AF22" s="24" cm="1">
        <f t="array" ref="AF22">INDEX('msci-indices'!C:C,MATCH($L22,'msci-indices'!$B:$B)+1)</f>
        <v>869.423677</v>
      </c>
      <c r="AG22" s="24" cm="1">
        <f t="array" ref="AG22">INDEX('msci-indices'!D:D,MATCH($L22,'msci-indices'!$B:$B)+1)</f>
        <v>894.74693600000001</v>
      </c>
      <c r="AH22" s="24">
        <f t="shared" si="5"/>
        <v>185.29480044710323</v>
      </c>
      <c r="AI22" s="24">
        <f t="shared" si="6"/>
        <v>320357.57033754932</v>
      </c>
      <c r="AJ22" s="24">
        <f t="shared" si="29"/>
        <v>284325.089213409</v>
      </c>
      <c r="AK22" s="24">
        <f t="shared" si="7"/>
        <v>36032.481124140322</v>
      </c>
      <c r="AL22" s="24">
        <f>AJ22*(_xlfn.XLOOKUP(Q_end,cpi!A:A,cpi!B:B)/BH22)</f>
        <v>424142.68463072449</v>
      </c>
      <c r="AM22" s="24" cm="1">
        <f t="array" ref="AM22">SUMPRODUCT($AA$3:AA22,_xlfn.SORTBY($BH$3:BH22,_xlfn.SEQUENCE(ROWS($BH$3:BH22)),-1)/$BH$3)</f>
        <v>317476.7412405166</v>
      </c>
      <c r="AN22" s="24">
        <f t="shared" si="30"/>
        <v>2880.8290970327216</v>
      </c>
      <c r="AO22" s="24">
        <f t="shared" si="8"/>
        <v>0</v>
      </c>
      <c r="AP22" s="24">
        <f t="shared" si="31"/>
        <v>320357.57033754932</v>
      </c>
      <c r="AQ22" s="24"/>
      <c r="AR22" s="12">
        <f>IF($B$10="3BR_H",
INDEX('ns-combined'!$C:$BH,MATCH($L22,'ns-combined'!$B:$B,0),MATCH(Council_Area,'ns-combined'!$C$1:$BH$1,0))*1000,
INDEX('s-combined'!$C:$BH,MATCH($L22,'s-combined'!$B:$B,0),MATCH(Council_Area,'s-combined'!$C$1:$BH$1,0))*1000)</f>
        <v>600000</v>
      </c>
      <c r="AS22" s="24">
        <f t="shared" si="36"/>
        <v>23000</v>
      </c>
      <c r="AT22" s="12">
        <v>0</v>
      </c>
      <c r="AU22" s="24">
        <f t="shared" si="9"/>
        <v>12000</v>
      </c>
      <c r="AV22" s="24">
        <f t="shared" si="10"/>
        <v>1725</v>
      </c>
      <c r="AW22" s="24">
        <f>SUM($AV$3:AV22)</f>
        <v>29210</v>
      </c>
      <c r="AX22" s="24">
        <f t="shared" si="32"/>
        <v>535790</v>
      </c>
      <c r="AY22" s="24">
        <f t="shared" si="11"/>
        <v>1748.0000000000002</v>
      </c>
      <c r="AZ22" s="26">
        <f t="shared" si="12"/>
        <v>1.1653333333333335E-2</v>
      </c>
      <c r="BA22" s="26">
        <f t="shared" si="13"/>
        <v>0.35000000000000003</v>
      </c>
      <c r="BB22" s="27">
        <f>IF(MortgageRate="Discounted",_xlfn.XLOOKUP(L22,'mortgage-rates'!$A:$A,'mortgage-rates'!$E:$E)/100,_xlfn.XLOOKUP(L22,'mortgage-rates'!$A:$A,'mortgage-rates'!$D:$D)/100)</f>
        <v>7.1500000000000008E-2</v>
      </c>
      <c r="BC22" s="12">
        <f t="shared" si="38"/>
        <v>336748.32200707041</v>
      </c>
      <c r="BD22" s="12">
        <f t="shared" si="14"/>
        <v>7900.4257563448864</v>
      </c>
      <c r="BE22" s="12">
        <f t="shared" si="15"/>
        <v>6019.3762558763847</v>
      </c>
      <c r="BF22" s="12">
        <f t="shared" si="37"/>
        <v>1881.0495004685017</v>
      </c>
      <c r="BG22" s="14">
        <f t="shared" si="33"/>
        <v>9648.4257563448864</v>
      </c>
      <c r="BH22" s="24">
        <f>INDEX(cpi!B:B,MATCH($L22,cpi!A:A))</f>
        <v>97</v>
      </c>
      <c r="BI22" s="24">
        <f t="shared" si="16"/>
        <v>114.65721040189126</v>
      </c>
      <c r="BJ22" s="24">
        <f t="shared" si="17"/>
        <v>105.03262314234105</v>
      </c>
      <c r="BK22" s="24">
        <f t="shared" si="18"/>
        <v>120.0536367556367</v>
      </c>
      <c r="BL22" s="24">
        <f t="shared" si="19"/>
        <v>109.53892722632975</v>
      </c>
      <c r="BM22" s="24">
        <f t="shared" si="20"/>
        <v>186.65964476116835</v>
      </c>
      <c r="BN22" s="24">
        <f t="shared" si="21"/>
        <v>130.43478260869566</v>
      </c>
      <c r="BO22">
        <f t="shared" si="22"/>
        <v>119.50861814187174</v>
      </c>
    </row>
    <row r="23" spans="1:67" x14ac:dyDescent="0.25">
      <c r="A23" s="7" t="s">
        <v>402</v>
      </c>
      <c r="L23" s="1">
        <f t="shared" si="34"/>
        <v>40603</v>
      </c>
      <c r="M23" s="12">
        <f t="shared" si="0"/>
        <v>340622.0279817612</v>
      </c>
      <c r="N23" s="12">
        <f t="shared" si="23"/>
        <v>149191.47749339807</v>
      </c>
      <c r="O23" s="9">
        <f t="shared" si="24"/>
        <v>2.28311987859249</v>
      </c>
      <c r="P23" s="9">
        <f t="shared" si="1"/>
        <v>0.54555643736706561</v>
      </c>
      <c r="Q23">
        <v>21</v>
      </c>
      <c r="R23">
        <f t="shared" si="2"/>
        <v>90</v>
      </c>
      <c r="S23" s="24"/>
      <c r="T23" s="24">
        <f>IF($B$10="3BR_H",
INDEX('3BR_H-combined'!$C:$BH,MATCH($L23,'3BR_H-combined'!$B:$B,0),MATCH(Council_Area,'3BR_H-combined'!$C$1:$BH$1,0)),
INDEX('2BR_F-combined'!$C:$BH,MATCH($L23,'2BR_F-combined'!$B:$B,0),MATCH(Council_Area,'2BR_F-combined'!$C$1:$BH$1,0)))</f>
        <v>400</v>
      </c>
      <c r="U23" s="24">
        <f t="shared" si="25"/>
        <v>400</v>
      </c>
      <c r="V23" s="24">
        <f t="shared" si="35"/>
        <v>5142.8571428571431</v>
      </c>
      <c r="W23" s="24">
        <f>$B$53/4*BH23/_xlfn.XLOOKUP(Q_end,cpi!A:A,cpi!B:B)</f>
        <v>136.00552868002765</v>
      </c>
      <c r="X23" s="24">
        <f t="shared" si="3"/>
        <v>5278.8626715371711</v>
      </c>
      <c r="Y23" s="24">
        <f t="shared" si="26"/>
        <v>4397.244711621438</v>
      </c>
      <c r="Z23" s="24">
        <f t="shared" si="27"/>
        <v>1407.11830771886</v>
      </c>
      <c r="AA23" s="24">
        <f t="shared" si="4"/>
        <v>5804.3630193402978</v>
      </c>
      <c r="AB23" s="24">
        <f>AA23*(_xlfn.XLOOKUP(Q_end,cpi!A:A,cpi!B:B)/BH23)</f>
        <v>8535.4809847412689</v>
      </c>
      <c r="AC23" s="24" cm="1">
        <f t="array" ref="AC23">INDEX('msci-indices'!C:C,MATCH($L23,'msci-indices'!$B:$B)-2)</f>
        <v>869.423677</v>
      </c>
      <c r="AD23" s="24" cm="1">
        <f t="array" ref="AD23">INDEX('msci-indices'!D:D,MATCH($L23,'msci-indices'!$B:$B)-2)</f>
        <v>894.74693600000001</v>
      </c>
      <c r="AE23" s="24">
        <f t="shared" si="28"/>
        <v>326161.93335688964</v>
      </c>
      <c r="AF23" s="24" cm="1">
        <f t="array" ref="AF23">INDEX('msci-indices'!C:C,MATCH($L23,'msci-indices'!$B:$B)+1)</f>
        <v>912.83803799999998</v>
      </c>
      <c r="AG23" s="24" cm="1">
        <f t="array" ref="AG23">INDEX('msci-indices'!D:D,MATCH($L23,'msci-indices'!$B:$B)+1)</f>
        <v>924.58628799999997</v>
      </c>
      <c r="AH23" s="24">
        <f t="shared" si="5"/>
        <v>203.85120834805602</v>
      </c>
      <c r="AI23" s="24">
        <f t="shared" si="6"/>
        <v>340622.0279817612</v>
      </c>
      <c r="AJ23" s="24">
        <f t="shared" si="29"/>
        <v>290129.45223274932</v>
      </c>
      <c r="AK23" s="24">
        <f t="shared" si="7"/>
        <v>50492.575749011885</v>
      </c>
      <c r="AL23" s="24">
        <f>AJ23*(_xlfn.XLOOKUP(Q_end,cpi!A:A,cpi!B:B)/BH23)</f>
        <v>426643.61522437824</v>
      </c>
      <c r="AM23" s="24" cm="1">
        <f t="array" ref="AM23">SUMPRODUCT($AA$3:AA23,_xlfn.SORTBY($BH$3:BH23,_xlfn.SEQUENCE(ROWS($BH$3:BH23)),-1)/$BH$3)</f>
        <v>326841.19661733886</v>
      </c>
      <c r="AN23" s="24">
        <f t="shared" si="30"/>
        <v>13780.831364422338</v>
      </c>
      <c r="AO23" s="24">
        <f t="shared" si="8"/>
        <v>0</v>
      </c>
      <c r="AP23" s="24">
        <f t="shared" si="31"/>
        <v>340622.0279817612</v>
      </c>
      <c r="AQ23" s="24"/>
      <c r="AR23" s="12">
        <f>IF($B$10="3BR_H",
INDEX('ns-combined'!$C:$BH,MATCH($L23,'ns-combined'!$B:$B,0),MATCH(Council_Area,'ns-combined'!$C$1:$BH$1,0))*1000,
INDEX('s-combined'!$C:$BH,MATCH($L23,'s-combined'!$B:$B,0),MATCH(Council_Area,'s-combined'!$C$1:$BH$1,0))*1000)</f>
        <v>550000</v>
      </c>
      <c r="AS23" s="24">
        <f t="shared" si="36"/>
        <v>24150</v>
      </c>
      <c r="AT23" s="12">
        <v>0</v>
      </c>
      <c r="AU23" s="24">
        <f t="shared" si="9"/>
        <v>11000</v>
      </c>
      <c r="AV23" s="24">
        <f t="shared" si="10"/>
        <v>1581.25</v>
      </c>
      <c r="AW23" s="24">
        <f>SUM($AV$3:AV23)</f>
        <v>30791.25</v>
      </c>
      <c r="AX23" s="24">
        <f t="shared" si="32"/>
        <v>484058.75</v>
      </c>
      <c r="AY23" s="24">
        <f t="shared" si="11"/>
        <v>1800.0000000000002</v>
      </c>
      <c r="AZ23" s="26">
        <f t="shared" si="12"/>
        <v>1.3090909090909092E-2</v>
      </c>
      <c r="BA23" s="26">
        <f t="shared" si="13"/>
        <v>0.35000000000000003</v>
      </c>
      <c r="BB23" s="27">
        <f>IF(MortgageRate="Discounted",_xlfn.XLOOKUP(L23,'mortgage-rates'!$A:$A,'mortgage-rates'!$E:$E)/100,_xlfn.XLOOKUP(L23,'mortgage-rates'!$A:$A,'mortgage-rates'!$D:$D)/100)</f>
        <v>7.1099999999999997E-2</v>
      </c>
      <c r="BC23" s="12">
        <f t="shared" si="38"/>
        <v>334867.27250660193</v>
      </c>
      <c r="BD23" s="12">
        <f t="shared" si="14"/>
        <v>7876.1073831586082</v>
      </c>
      <c r="BE23" s="12">
        <f t="shared" si="15"/>
        <v>5952.2657688048494</v>
      </c>
      <c r="BF23" s="12">
        <f t="shared" si="37"/>
        <v>1923.8416143537588</v>
      </c>
      <c r="BG23" s="14">
        <f t="shared" si="33"/>
        <v>9676.1073831586091</v>
      </c>
      <c r="BH23" s="24">
        <f>INDEX(cpi!B:B,MATCH($L23,cpi!A:A))</f>
        <v>98.4</v>
      </c>
      <c r="BI23" s="24">
        <f t="shared" si="16"/>
        <v>116.31205673758866</v>
      </c>
      <c r="BJ23" s="24">
        <f t="shared" si="17"/>
        <v>115.17381902105713</v>
      </c>
      <c r="BK23" s="24">
        <f t="shared" si="18"/>
        <v>125.49815500810108</v>
      </c>
      <c r="BL23" s="24">
        <f t="shared" si="19"/>
        <v>118.2711198171703</v>
      </c>
      <c r="BM23" s="24">
        <f t="shared" si="20"/>
        <v>205.3527354387127</v>
      </c>
      <c r="BN23" s="24">
        <f t="shared" si="21"/>
        <v>119.56521739130434</v>
      </c>
      <c r="BO23">
        <f t="shared" si="22"/>
        <v>107.96989923660716</v>
      </c>
    </row>
    <row r="24" spans="1:67" x14ac:dyDescent="0.25">
      <c r="A24" s="8" t="s">
        <v>557</v>
      </c>
      <c r="L24" s="1">
        <f t="shared" si="34"/>
        <v>40695</v>
      </c>
      <c r="M24" s="12">
        <f t="shared" si="0"/>
        <v>342345.3512281623</v>
      </c>
      <c r="N24" s="12">
        <f t="shared" si="23"/>
        <v>197240.31910775183</v>
      </c>
      <c r="O24" s="9">
        <f t="shared" si="24"/>
        <v>1.735676320018221</v>
      </c>
      <c r="P24" s="9">
        <f t="shared" si="1"/>
        <v>0.55285277458190896</v>
      </c>
      <c r="Q24">
        <v>22</v>
      </c>
      <c r="R24">
        <f t="shared" si="2"/>
        <v>91</v>
      </c>
      <c r="S24" s="24"/>
      <c r="T24" s="24">
        <f>IF($B$10="3BR_H",
INDEX('3BR_H-combined'!$C:$BH,MATCH($L24,'3BR_H-combined'!$B:$B,0),MATCH(Council_Area,'3BR_H-combined'!$C$1:$BH$1,0)),
INDEX('2BR_F-combined'!$C:$BH,MATCH($L24,'2BR_F-combined'!$B:$B,0),MATCH(Council_Area,'2BR_F-combined'!$C$1:$BH$1,0)))</f>
        <v>400</v>
      </c>
      <c r="U24" s="24">
        <f t="shared" si="25"/>
        <v>400</v>
      </c>
      <c r="V24" s="24">
        <f t="shared" si="35"/>
        <v>5200</v>
      </c>
      <c r="W24" s="24">
        <f>$B$53/4*BH24/_xlfn.XLOOKUP(Q_end,cpi!A:A,cpi!B:B)</f>
        <v>137.24948168624741</v>
      </c>
      <c r="X24" s="24">
        <f t="shared" si="3"/>
        <v>5337.2494816862472</v>
      </c>
      <c r="Y24" s="24">
        <f t="shared" si="26"/>
        <v>4316.766428286357</v>
      </c>
      <c r="Z24" s="24">
        <f t="shared" si="27"/>
        <v>1381.365257051634</v>
      </c>
      <c r="AA24" s="24">
        <f t="shared" si="4"/>
        <v>5698.1316853379913</v>
      </c>
      <c r="AB24" s="24">
        <f>AA24*(_xlfn.XLOOKUP(Q_end,cpi!A:A,cpi!B:B)/BH24)</f>
        <v>8303.319787194434</v>
      </c>
      <c r="AC24" s="24" cm="1">
        <f t="array" ref="AC24">INDEX('msci-indices'!C:C,MATCH($L24,'msci-indices'!$B:$B)-2)</f>
        <v>912.83803799999998</v>
      </c>
      <c r="AD24" s="24" cm="1">
        <f t="array" ref="AD24">INDEX('msci-indices'!D:D,MATCH($L24,'msci-indices'!$B:$B)-2)</f>
        <v>924.58628799999997</v>
      </c>
      <c r="AE24" s="24">
        <f t="shared" si="28"/>
        <v>346320.15966709919</v>
      </c>
      <c r="AF24" s="24" cm="1">
        <f t="array" ref="AF24">INDEX('msci-indices'!C:C,MATCH($L24,'msci-indices'!$B:$B)+1)</f>
        <v>915.80493999999999</v>
      </c>
      <c r="AG24" s="24" cm="1">
        <f t="array" ref="AG24">INDEX('msci-indices'!D:D,MATCH($L24,'msci-indices'!$B:$B)+1)</f>
        <v>884.12823400000002</v>
      </c>
      <c r="AH24" s="24">
        <f t="shared" si="5"/>
        <v>216.45009979193699</v>
      </c>
      <c r="AI24" s="24">
        <f t="shared" si="6"/>
        <v>342345.3512281623</v>
      </c>
      <c r="AJ24" s="24">
        <f t="shared" si="29"/>
        <v>295827.5839180873</v>
      </c>
      <c r="AK24" s="24">
        <f t="shared" si="7"/>
        <v>46517.767310074996</v>
      </c>
      <c r="AL24" s="24">
        <f>AJ24*(_xlfn.XLOOKUP(Q_end,cpi!A:A,cpi!B:B)/BH24)</f>
        <v>431080.07445062668</v>
      </c>
      <c r="AM24" s="24" cm="1">
        <f t="array" ref="AM24">SUMPRODUCT($AA$3:AA24,_xlfn.SORTBY($BH$3:BH24,_xlfn.SEQUENCE(ROWS($BH$3:BH24)),-1)/$BH$3)</f>
        <v>335246.28387054655</v>
      </c>
      <c r="AN24" s="24">
        <f t="shared" si="30"/>
        <v>7099.0673576157424</v>
      </c>
      <c r="AO24" s="24">
        <f t="shared" si="8"/>
        <v>0</v>
      </c>
      <c r="AP24" s="24">
        <f t="shared" si="31"/>
        <v>342345.3512281623</v>
      </c>
      <c r="AQ24" s="24"/>
      <c r="AR24" s="12">
        <f>IF($B$10="3BR_H",
INDEX('ns-combined'!$C:$BH,MATCH($L24,'ns-combined'!$B:$B,0),MATCH(Council_Area,'ns-combined'!$C$1:$BH$1,0))*1000,
INDEX('s-combined'!$C:$BH,MATCH($L24,'s-combined'!$B:$B,0),MATCH(Council_Area,'s-combined'!$C$1:$BH$1,0))*1000)</f>
        <v>600000</v>
      </c>
      <c r="AS24" s="24">
        <f t="shared" si="36"/>
        <v>25300</v>
      </c>
      <c r="AT24" s="12">
        <v>0</v>
      </c>
      <c r="AU24" s="24">
        <f t="shared" si="9"/>
        <v>12000</v>
      </c>
      <c r="AV24" s="24">
        <f t="shared" si="10"/>
        <v>1725</v>
      </c>
      <c r="AW24" s="24">
        <f>SUM($AV$3:AV24)</f>
        <v>32516.25</v>
      </c>
      <c r="AX24" s="24">
        <f t="shared" si="32"/>
        <v>530183.75</v>
      </c>
      <c r="AY24" s="24">
        <f t="shared" si="11"/>
        <v>1820.0000000000002</v>
      </c>
      <c r="AZ24" s="26">
        <f t="shared" si="12"/>
        <v>1.2133333333333335E-2</v>
      </c>
      <c r="BA24" s="26">
        <f t="shared" si="13"/>
        <v>0.35000000000000003</v>
      </c>
      <c r="BB24" s="27">
        <f>IF(MortgageRate="Discounted",_xlfn.XLOOKUP(L24,'mortgage-rates'!$A:$A,'mortgage-rates'!$E:$E)/100,_xlfn.XLOOKUP(L24,'mortgage-rates'!$A:$A,'mortgage-rates'!$D:$D)/100)</f>
        <v>7.0400000000000004E-2</v>
      </c>
      <c r="BC24" s="12">
        <f t="shared" si="38"/>
        <v>332943.43089224817</v>
      </c>
      <c r="BD24" s="12">
        <f t="shared" si="14"/>
        <v>7834.0159099726043</v>
      </c>
      <c r="BE24" s="12">
        <f t="shared" si="15"/>
        <v>5859.8043837035684</v>
      </c>
      <c r="BF24" s="12">
        <f t="shared" si="37"/>
        <v>1974.2115262690359</v>
      </c>
      <c r="BG24" s="14">
        <f t="shared" si="33"/>
        <v>9654.0159099726043</v>
      </c>
      <c r="BH24" s="24">
        <f>INDEX(cpi!B:B,MATCH($L24,cpi!A:A))</f>
        <v>99.3</v>
      </c>
      <c r="BI24" s="24">
        <f t="shared" si="16"/>
        <v>117.3758865248227</v>
      </c>
      <c r="BJ24" s="24">
        <f t="shared" si="17"/>
        <v>120.92498256652478</v>
      </c>
      <c r="BK24" s="24">
        <f t="shared" si="18"/>
        <v>129.68345419378869</v>
      </c>
      <c r="BL24" s="24">
        <f t="shared" si="19"/>
        <v>123.55252405470395</v>
      </c>
      <c r="BM24" s="24">
        <f t="shared" si="20"/>
        <v>218.04442778855116</v>
      </c>
      <c r="BN24" s="24">
        <f t="shared" si="21"/>
        <v>130.43478260869566</v>
      </c>
      <c r="BO24">
        <f t="shared" si="22"/>
        <v>118.25813718765858</v>
      </c>
    </row>
    <row r="25" spans="1:67" x14ac:dyDescent="0.25">
      <c r="A25" t="s">
        <v>399</v>
      </c>
      <c r="B25" s="4">
        <v>1.4999999999999999E-2</v>
      </c>
      <c r="C25" s="4">
        <v>1.4999999999999999E-2</v>
      </c>
      <c r="L25" s="1">
        <f t="shared" si="34"/>
        <v>40787</v>
      </c>
      <c r="M25" s="12">
        <f t="shared" si="0"/>
        <v>293257.74600516749</v>
      </c>
      <c r="N25" s="12">
        <f t="shared" si="23"/>
        <v>147483.28063402086</v>
      </c>
      <c r="O25" s="9">
        <f t="shared" si="24"/>
        <v>1.9884134984282411</v>
      </c>
      <c r="P25" s="9">
        <f t="shared" si="1"/>
        <v>0.55801697065717093</v>
      </c>
      <c r="Q25">
        <v>23</v>
      </c>
      <c r="R25">
        <f t="shared" si="2"/>
        <v>92</v>
      </c>
      <c r="S25" s="24"/>
      <c r="T25" s="24">
        <f>IF($B$10="3BR_H",
INDEX('3BR_H-combined'!$C:$BH,MATCH($L25,'3BR_H-combined'!$B:$B,0),MATCH(Council_Area,'3BR_H-combined'!$C$1:$BH$1,0)),
INDEX('2BR_F-combined'!$C:$BH,MATCH($L25,'2BR_F-combined'!$B:$B,0),MATCH(Council_Area,'2BR_F-combined'!$C$1:$BH$1,0)))</f>
        <v>400</v>
      </c>
      <c r="U25" s="24">
        <f t="shared" si="25"/>
        <v>400</v>
      </c>
      <c r="V25" s="24">
        <f t="shared" si="35"/>
        <v>5257.1428571428569</v>
      </c>
      <c r="W25" s="24">
        <f>$B$53/4*BH25/_xlfn.XLOOKUP(Q_end,cpi!A:A,cpi!B:B)</f>
        <v>137.80234968901175</v>
      </c>
      <c r="X25" s="24">
        <f t="shared" si="3"/>
        <v>5394.9452068318687</v>
      </c>
      <c r="Y25" s="24">
        <f t="shared" si="26"/>
        <v>4273.1213404602267</v>
      </c>
      <c r="Z25" s="24">
        <f t="shared" si="27"/>
        <v>1367.3988289472722</v>
      </c>
      <c r="AA25" s="24">
        <f t="shared" si="4"/>
        <v>5640.5201694074985</v>
      </c>
      <c r="AB25" s="24">
        <f>AA25*(_xlfn.XLOOKUP(Q_end,cpi!A:A,cpi!B:B)/BH25)</f>
        <v>8186.3918607147934</v>
      </c>
      <c r="AC25" s="24" cm="1">
        <f t="array" ref="AC25">INDEX('msci-indices'!C:C,MATCH($L25,'msci-indices'!$B:$B)-2)</f>
        <v>915.80493999999999</v>
      </c>
      <c r="AD25" s="24" cm="1">
        <f t="array" ref="AD25">INDEX('msci-indices'!D:D,MATCH($L25,'msci-indices'!$B:$B)-2)</f>
        <v>884.12823400000002</v>
      </c>
      <c r="AE25" s="24">
        <f t="shared" si="28"/>
        <v>347985.87139756978</v>
      </c>
      <c r="AF25" s="24" cm="1">
        <f t="array" ref="AF25">INDEX('msci-indices'!C:C,MATCH($L25,'msci-indices'!$B:$B)+1)</f>
        <v>758.748516</v>
      </c>
      <c r="AG25" s="24" cm="1">
        <f t="array" ref="AG25">INDEX('msci-indices'!D:D,MATCH($L25,'msci-indices'!$B:$B)+1)</f>
        <v>776.26675599999999</v>
      </c>
      <c r="AH25" s="24">
        <f t="shared" si="5"/>
        <v>217.49116962348111</v>
      </c>
      <c r="AI25" s="24">
        <f t="shared" si="6"/>
        <v>293257.74600516749</v>
      </c>
      <c r="AJ25" s="24">
        <f t="shared" si="29"/>
        <v>301468.10408749478</v>
      </c>
      <c r="AK25" s="24">
        <f t="shared" si="7"/>
        <v>-8210.3580823272932</v>
      </c>
      <c r="AL25" s="24">
        <f>AJ25*(_xlfn.XLOOKUP(Q_end,cpi!A:A,cpi!B:B)/BH25)</f>
        <v>437536.9574870661</v>
      </c>
      <c r="AM25" s="24" cm="1">
        <f t="array" ref="AM25">SUMPRODUCT($AA$3:AA25,_xlfn.SORTBY($BH$3:BH25,_xlfn.SEQUENCE(ROWS($BH$3:BH25)),-1)/$BH$3)</f>
        <v>342738.05518547207</v>
      </c>
      <c r="AN25" s="24">
        <f t="shared" si="30"/>
        <v>-49480.309180304583</v>
      </c>
      <c r="AO25" s="24">
        <f t="shared" si="8"/>
        <v>0</v>
      </c>
      <c r="AP25" s="24">
        <f t="shared" si="31"/>
        <v>293257.74600516749</v>
      </c>
      <c r="AQ25" s="24"/>
      <c r="AR25" s="12">
        <f>IF($B$10="3BR_H",
INDEX('ns-combined'!$C:$BH,MATCH($L25,'ns-combined'!$B:$B,0),MATCH(Council_Area,'ns-combined'!$C$1:$BH$1,0))*1000,
INDEX('s-combined'!$C:$BH,MATCH($L25,'s-combined'!$B:$B,0),MATCH(Council_Area,'s-combined'!$C$1:$BH$1,0))*1000)</f>
        <v>550000</v>
      </c>
      <c r="AS25" s="24">
        <f t="shared" si="36"/>
        <v>26450</v>
      </c>
      <c r="AT25" s="12">
        <v>0</v>
      </c>
      <c r="AU25" s="24">
        <f t="shared" si="9"/>
        <v>11000</v>
      </c>
      <c r="AV25" s="24">
        <f t="shared" si="10"/>
        <v>1581.25</v>
      </c>
      <c r="AW25" s="24">
        <f>SUM($AV$3:AV25)</f>
        <v>34097.5</v>
      </c>
      <c r="AX25" s="24">
        <f t="shared" si="32"/>
        <v>478452.5</v>
      </c>
      <c r="AY25" s="24">
        <f t="shared" si="11"/>
        <v>1840</v>
      </c>
      <c r="AZ25" s="26">
        <f t="shared" si="12"/>
        <v>1.3381818181818182E-2</v>
      </c>
      <c r="BA25" s="26">
        <f t="shared" si="13"/>
        <v>0.35000000000000003</v>
      </c>
      <c r="BB25" s="27">
        <f>IF(MortgageRate="Discounted",_xlfn.XLOOKUP(L25,'mortgage-rates'!$A:$A,'mortgage-rates'!$E:$E)/100,_xlfn.XLOOKUP(L25,'mortgage-rates'!$A:$A,'mortgage-rates'!$D:$D)/100)</f>
        <v>7.0300000000000001E-2</v>
      </c>
      <c r="BC25" s="12">
        <f t="shared" si="38"/>
        <v>330969.21936597914</v>
      </c>
      <c r="BD25" s="12">
        <f t="shared" si="14"/>
        <v>7828.0665472920946</v>
      </c>
      <c r="BE25" s="12">
        <f t="shared" si="15"/>
        <v>5816.7840303570838</v>
      </c>
      <c r="BF25" s="12">
        <f t="shared" si="37"/>
        <v>2011.2825169350108</v>
      </c>
      <c r="BG25" s="14">
        <f t="shared" si="33"/>
        <v>9668.0665472920955</v>
      </c>
      <c r="BH25" s="24">
        <f>INDEX(cpi!B:B,MATCH($L25,cpi!A:A))</f>
        <v>99.7</v>
      </c>
      <c r="BI25" s="24">
        <f t="shared" si="16"/>
        <v>117.84869976359339</v>
      </c>
      <c r="BJ25" s="24">
        <f t="shared" si="17"/>
        <v>121.31801238966038</v>
      </c>
      <c r="BK25" s="24">
        <f t="shared" si="18"/>
        <v>124.0087645939373</v>
      </c>
      <c r="BL25" s="24">
        <f t="shared" si="19"/>
        <v>122.12523805094347</v>
      </c>
      <c r="BM25" s="24">
        <f t="shared" si="20"/>
        <v>219.09316593154654</v>
      </c>
      <c r="BN25" s="24">
        <f t="shared" si="21"/>
        <v>119.56521739130434</v>
      </c>
      <c r="BO25">
        <f t="shared" si="22"/>
        <v>106.719418282394</v>
      </c>
    </row>
    <row r="26" spans="1:67" x14ac:dyDescent="0.25">
      <c r="A26" t="s">
        <v>400</v>
      </c>
      <c r="B26" s="4">
        <f>(8990+(4.5/100)*(AR3-300000))/AR3</f>
        <v>3.5195652173913045E-2</v>
      </c>
      <c r="C26" s="4"/>
      <c r="L26" s="1">
        <f t="shared" si="34"/>
        <v>40878</v>
      </c>
      <c r="M26" s="12">
        <f t="shared" si="0"/>
        <v>316011.30041603587</v>
      </c>
      <c r="N26" s="12">
        <f t="shared" si="23"/>
        <v>117449.56315095589</v>
      </c>
      <c r="O26" s="9">
        <f t="shared" si="24"/>
        <v>2.6906128208401423</v>
      </c>
      <c r="P26" s="9">
        <f t="shared" si="1"/>
        <v>0.57506580708339172</v>
      </c>
      <c r="Q26">
        <v>24</v>
      </c>
      <c r="R26">
        <f t="shared" si="2"/>
        <v>92</v>
      </c>
      <c r="S26" s="24"/>
      <c r="T26" s="24">
        <f>IF($B$10="3BR_H",
INDEX('3BR_H-combined'!$C:$BH,MATCH($L26,'3BR_H-combined'!$B:$B,0),MATCH(Council_Area,'3BR_H-combined'!$C$1:$BH$1,0)),
INDEX('2BR_F-combined'!$C:$BH,MATCH($L26,'2BR_F-combined'!$B:$B,0),MATCH(Council_Area,'2BR_F-combined'!$C$1:$BH$1,0)))</f>
        <v>420</v>
      </c>
      <c r="U26" s="24">
        <f t="shared" si="25"/>
        <v>400</v>
      </c>
      <c r="V26" s="24">
        <f t="shared" si="35"/>
        <v>5257.1428571428569</v>
      </c>
      <c r="W26" s="24">
        <f>$B$53/4*BH26/_xlfn.XLOOKUP(Q_end,cpi!A:A,cpi!B:B)</f>
        <v>138.07878369039392</v>
      </c>
      <c r="X26" s="24">
        <f t="shared" si="3"/>
        <v>5395.2216408332506</v>
      </c>
      <c r="Y26" s="24">
        <f t="shared" si="26"/>
        <v>3986.6987835380705</v>
      </c>
      <c r="Z26" s="24">
        <f t="shared" si="27"/>
        <v>1275.7436107321823</v>
      </c>
      <c r="AA26" s="24">
        <f t="shared" si="4"/>
        <v>5262.4423942702524</v>
      </c>
      <c r="AB26" s="24">
        <f>AA26*(_xlfn.XLOOKUP(Q_end,cpi!A:A,cpi!B:B)/BH26)</f>
        <v>7622.3765210300844</v>
      </c>
      <c r="AC26" s="24" cm="1">
        <f t="array" ref="AC26">INDEX('msci-indices'!C:C,MATCH($L26,'msci-indices'!$B:$B)-2)</f>
        <v>758.748516</v>
      </c>
      <c r="AD26" s="24" cm="1">
        <f t="array" ref="AD26">INDEX('msci-indices'!D:D,MATCH($L26,'msci-indices'!$B:$B)-2)</f>
        <v>776.26675599999999</v>
      </c>
      <c r="AE26" s="24">
        <f t="shared" si="28"/>
        <v>298520.18839943776</v>
      </c>
      <c r="AF26" s="24" cm="1">
        <f t="array" ref="AF26">INDEX('msci-indices'!C:C,MATCH($L26,'msci-indices'!$B:$B)+1)</f>
        <v>816.97540400000003</v>
      </c>
      <c r="AG26" s="24" cm="1">
        <f t="array" ref="AG26">INDEX('msci-indices'!D:D,MATCH($L26,'msci-indices'!$B:$B)+1)</f>
        <v>790.49635000000001</v>
      </c>
      <c r="AH26" s="24">
        <f t="shared" si="5"/>
        <v>186.5751177496486</v>
      </c>
      <c r="AI26" s="24">
        <f t="shared" si="6"/>
        <v>316011.30041603587</v>
      </c>
      <c r="AJ26" s="24">
        <f t="shared" si="29"/>
        <v>306730.54648176505</v>
      </c>
      <c r="AK26" s="24">
        <f t="shared" si="7"/>
        <v>9280.7539342708187</v>
      </c>
      <c r="AL26" s="24">
        <f>AJ26*(_xlfn.XLOOKUP(Q_end,cpi!A:A,cpi!B:B)/BH26)</f>
        <v>444283.38414325722</v>
      </c>
      <c r="AM26" s="24" cm="1">
        <f t="array" ref="AM26">SUMPRODUCT($AA$3:AA26,_xlfn.SORTBY($BH$3:BH26,_xlfn.SEQUENCE(ROWS($BH$3:BH26)),-1)/$BH$3)</f>
        <v>349530.39601602638</v>
      </c>
      <c r="AN26" s="24">
        <f t="shared" si="30"/>
        <v>-33519.095599990513</v>
      </c>
      <c r="AO26" s="24">
        <f t="shared" si="8"/>
        <v>0</v>
      </c>
      <c r="AP26" s="24">
        <f t="shared" si="31"/>
        <v>316011.30041603587</v>
      </c>
      <c r="AQ26" s="24"/>
      <c r="AR26" s="12">
        <f>IF($B$10="3BR_H",
INDEX('ns-combined'!$C:$BH,MATCH($L26,'ns-combined'!$B:$B,0),MATCH(Council_Area,'ns-combined'!$C$1:$BH$1,0))*1000,
INDEX('s-combined'!$C:$BH,MATCH($L26,'s-combined'!$B:$B,0),MATCH(Council_Area,'s-combined'!$C$1:$BH$1,0))*1000)</f>
        <v>520000</v>
      </c>
      <c r="AS26" s="24">
        <f t="shared" si="36"/>
        <v>27600</v>
      </c>
      <c r="AT26" s="12">
        <v>0</v>
      </c>
      <c r="AU26" s="24">
        <f t="shared" si="9"/>
        <v>10400</v>
      </c>
      <c r="AV26" s="24">
        <f t="shared" si="10"/>
        <v>1495</v>
      </c>
      <c r="AW26" s="24">
        <f>SUM($AV$3:AV26)</f>
        <v>35592.5</v>
      </c>
      <c r="AX26" s="24">
        <f t="shared" si="32"/>
        <v>446407.5</v>
      </c>
      <c r="AY26" s="24">
        <f t="shared" si="11"/>
        <v>1840</v>
      </c>
      <c r="AZ26" s="26">
        <f t="shared" si="12"/>
        <v>1.4153846153846154E-2</v>
      </c>
      <c r="BA26" s="26">
        <f t="shared" si="13"/>
        <v>0.35000000000000003</v>
      </c>
      <c r="BB26" s="27">
        <f>IF(MortgageRate="Discounted",_xlfn.XLOOKUP(L26,'mortgage-rates'!$A:$A,'mortgage-rates'!$E:$E)/100,_xlfn.XLOOKUP(L26,'mortgage-rates'!$A:$A,'mortgage-rates'!$D:$D)/100)</f>
        <v>6.54E-2</v>
      </c>
      <c r="BC26" s="12">
        <f t="shared" si="38"/>
        <v>328957.93684904411</v>
      </c>
      <c r="BD26" s="12">
        <f t="shared" si="14"/>
        <v>7541.9204243713202</v>
      </c>
      <c r="BE26" s="12">
        <f t="shared" si="15"/>
        <v>5378.4622674818711</v>
      </c>
      <c r="BF26" s="12">
        <f t="shared" si="37"/>
        <v>2163.4581568894491</v>
      </c>
      <c r="BG26" s="14">
        <f t="shared" si="33"/>
        <v>9381.9204243713211</v>
      </c>
      <c r="BH26" s="24">
        <f>INDEX(cpi!B:B,MATCH($L26,cpi!A:A))</f>
        <v>99.9</v>
      </c>
      <c r="BI26" s="24">
        <f t="shared" si="16"/>
        <v>118.08510638297874</v>
      </c>
      <c r="BJ26" s="24">
        <f t="shared" si="17"/>
        <v>100.5125194724593</v>
      </c>
      <c r="BK26" s="24">
        <f t="shared" si="18"/>
        <v>108.87999919579919</v>
      </c>
      <c r="BL26" s="24">
        <f t="shared" si="19"/>
        <v>103.02276338946128</v>
      </c>
      <c r="BM26" s="24">
        <f t="shared" si="20"/>
        <v>187.94939262402281</v>
      </c>
      <c r="BN26" s="24">
        <f t="shared" si="21"/>
        <v>113.04347826086956</v>
      </c>
      <c r="BO26">
        <f t="shared" si="22"/>
        <v>99.571741639761115</v>
      </c>
    </row>
    <row r="27" spans="1:67" x14ac:dyDescent="0.25">
      <c r="A27" s="8" t="s">
        <v>558</v>
      </c>
      <c r="L27" s="1">
        <f t="shared" si="34"/>
        <v>40969</v>
      </c>
      <c r="M27" s="12">
        <f t="shared" si="0"/>
        <v>355912.97330587247</v>
      </c>
      <c r="N27" s="12">
        <f t="shared" si="23"/>
        <v>183412.52130784531</v>
      </c>
      <c r="O27" s="9">
        <f t="shared" si="24"/>
        <v>1.9405053197458477</v>
      </c>
      <c r="P27" s="9">
        <f t="shared" si="1"/>
        <v>0.58614696263860055</v>
      </c>
      <c r="Q27">
        <v>25</v>
      </c>
      <c r="R27">
        <f t="shared" si="2"/>
        <v>91</v>
      </c>
      <c r="S27" s="24"/>
      <c r="T27" s="24">
        <f>IF($B$10="3BR_H",
INDEX('3BR_H-combined'!$C:$BH,MATCH($L27,'3BR_H-combined'!$B:$B,0),MATCH(Council_Area,'3BR_H-combined'!$C$1:$BH$1,0)),
INDEX('2BR_F-combined'!$C:$BH,MATCH($L27,'2BR_F-combined'!$B:$B,0),MATCH(Council_Area,'2BR_F-combined'!$C$1:$BH$1,0)))</f>
        <v>420</v>
      </c>
      <c r="U27" s="24">
        <f t="shared" si="25"/>
        <v>420</v>
      </c>
      <c r="V27" s="24">
        <f t="shared" si="35"/>
        <v>5460</v>
      </c>
      <c r="W27" s="24">
        <f>$B$53/4*BH27/_xlfn.XLOOKUP(Q_end,cpi!A:A,cpi!B:B)</f>
        <v>138.07878369039392</v>
      </c>
      <c r="X27" s="24">
        <f t="shared" si="3"/>
        <v>5598.0787836903937</v>
      </c>
      <c r="Y27" s="24">
        <f t="shared" si="26"/>
        <v>3952.5614831977409</v>
      </c>
      <c r="Z27" s="24">
        <f t="shared" si="27"/>
        <v>1264.8196746232768</v>
      </c>
      <c r="AA27" s="24">
        <f t="shared" si="4"/>
        <v>5217.381157821018</v>
      </c>
      <c r="AB27" s="24">
        <f>AA27*(_xlfn.XLOOKUP(Q_end,cpi!A:A,cpi!B:B)/BH27)</f>
        <v>7557.107643010022</v>
      </c>
      <c r="AC27" s="24" cm="1">
        <f t="array" ref="AC27">INDEX('msci-indices'!C:C,MATCH($L27,'msci-indices'!$B:$B)-2)</f>
        <v>816.97540400000003</v>
      </c>
      <c r="AD27" s="24" cm="1">
        <f t="array" ref="AD27">INDEX('msci-indices'!D:D,MATCH($L27,'msci-indices'!$B:$B)-2)</f>
        <v>790.49635000000001</v>
      </c>
      <c r="AE27" s="24">
        <f t="shared" si="28"/>
        <v>321228.68157385691</v>
      </c>
      <c r="AF27" s="24" cm="1">
        <f t="array" ref="AF27">INDEX('msci-indices'!C:C,MATCH($L27,'msci-indices'!$B:$B)+1)</f>
        <v>913.58723299999997</v>
      </c>
      <c r="AG27" s="24" cm="1">
        <f t="array" ref="AG27">INDEX('msci-indices'!D:D,MATCH($L27,'msci-indices'!$B:$B)+1)</f>
        <v>858.531702</v>
      </c>
      <c r="AH27" s="24">
        <f t="shared" si="5"/>
        <v>200.76792598366058</v>
      </c>
      <c r="AI27" s="24">
        <f t="shared" si="6"/>
        <v>355912.97330587247</v>
      </c>
      <c r="AJ27" s="24">
        <f t="shared" si="29"/>
        <v>311947.92763958609</v>
      </c>
      <c r="AK27" s="24">
        <f t="shared" si="7"/>
        <v>43965.045666286373</v>
      </c>
      <c r="AL27" s="24">
        <f>AJ27*(_xlfn.XLOOKUP(Q_end,cpi!A:A,cpi!B:B)/BH27)</f>
        <v>451840.49178626732</v>
      </c>
      <c r="AM27" s="24" cm="1">
        <f t="array" ref="AM27">SUMPRODUCT($AA$3:AA27,_xlfn.SORTBY($BH$3:BH27,_xlfn.SEQUENCE(ROWS($BH$3:BH27)),-1)/$BH$3)</f>
        <v>355924.24920365488</v>
      </c>
      <c r="AN27" s="24">
        <f t="shared" si="30"/>
        <v>-11.275897782412358</v>
      </c>
      <c r="AO27" s="24">
        <f t="shared" si="8"/>
        <v>0</v>
      </c>
      <c r="AP27" s="24">
        <f t="shared" si="31"/>
        <v>355912.97330587247</v>
      </c>
      <c r="AQ27" s="24"/>
      <c r="AR27" s="12">
        <f>IF($B$10="3BR_H",
INDEX('ns-combined'!$C:$BH,MATCH($L27,'ns-combined'!$B:$B,0),MATCH(Council_Area,'ns-combined'!$C$1:$BH$1,0))*1000,
INDEX('s-combined'!$C:$BH,MATCH($L27,'s-combined'!$B:$B,0),MATCH(Council_Area,'s-combined'!$C$1:$BH$1,0))*1000)</f>
        <v>588000</v>
      </c>
      <c r="AS27" s="24">
        <f t="shared" si="36"/>
        <v>28750</v>
      </c>
      <c r="AT27" s="12">
        <v>0</v>
      </c>
      <c r="AU27" s="24">
        <f t="shared" si="9"/>
        <v>11760</v>
      </c>
      <c r="AV27" s="24">
        <f t="shared" si="10"/>
        <v>1690.5</v>
      </c>
      <c r="AW27" s="24">
        <f>SUM($AV$3:AV27)</f>
        <v>37283</v>
      </c>
      <c r="AX27" s="24">
        <f t="shared" si="32"/>
        <v>510207</v>
      </c>
      <c r="AY27" s="24">
        <f t="shared" si="11"/>
        <v>1911.0000000000002</v>
      </c>
      <c r="AZ27" s="26">
        <f t="shared" si="12"/>
        <v>1.3000000000000001E-2</v>
      </c>
      <c r="BA27" s="26">
        <f t="shared" si="13"/>
        <v>0.35000000000000003</v>
      </c>
      <c r="BB27" s="27">
        <f>IF(MortgageRate="Discounted",_xlfn.XLOOKUP(L27,'mortgage-rates'!$A:$A,'mortgage-rates'!$E:$E)/100,_xlfn.XLOOKUP(L27,'mortgage-rates'!$A:$A,'mortgage-rates'!$D:$D)/100)</f>
        <v>6.7099999999999993E-2</v>
      </c>
      <c r="BC27" s="12">
        <f t="shared" si="38"/>
        <v>326794.47869215469</v>
      </c>
      <c r="BD27" s="12">
        <f t="shared" si="14"/>
        <v>7639.6402668881346</v>
      </c>
      <c r="BE27" s="12">
        <f t="shared" si="15"/>
        <v>5481.9773800608946</v>
      </c>
      <c r="BF27" s="12">
        <f t="shared" si="37"/>
        <v>2157.6628868272401</v>
      </c>
      <c r="BG27" s="14">
        <f t="shared" si="33"/>
        <v>9550.6402668881346</v>
      </c>
      <c r="BH27" s="24">
        <f>INDEX(cpi!B:B,MATCH($L27,cpi!A:A))</f>
        <v>99.9</v>
      </c>
      <c r="BI27" s="24">
        <f t="shared" si="16"/>
        <v>118.08510638297874</v>
      </c>
      <c r="BJ27" s="24">
        <f t="shared" si="17"/>
        <v>108.22592001362189</v>
      </c>
      <c r="BK27" s="24">
        <f t="shared" si="18"/>
        <v>110.87585715480799</v>
      </c>
      <c r="BL27" s="24">
        <f t="shared" si="19"/>
        <v>109.02090115597773</v>
      </c>
      <c r="BM27" s="24">
        <f t="shared" si="20"/>
        <v>202.24674223519199</v>
      </c>
      <c r="BN27" s="24">
        <f t="shared" si="21"/>
        <v>127.82608695652173</v>
      </c>
      <c r="BO27">
        <f t="shared" si="22"/>
        <v>113.80229854291784</v>
      </c>
    </row>
    <row r="28" spans="1:67" x14ac:dyDescent="0.25">
      <c r="A28" t="s">
        <v>401</v>
      </c>
      <c r="B28" s="4">
        <v>1.4999999999999999E-2</v>
      </c>
      <c r="C28" s="4">
        <v>1.4999999999999999E-2</v>
      </c>
      <c r="L28" s="1">
        <f t="shared" si="34"/>
        <v>41061</v>
      </c>
      <c r="M28" s="12">
        <f t="shared" si="0"/>
        <v>341539.28477055044</v>
      </c>
      <c r="N28" s="12">
        <f t="shared" si="23"/>
        <v>187615.30919467256</v>
      </c>
      <c r="O28" s="9">
        <f t="shared" si="24"/>
        <v>1.8204233238566048</v>
      </c>
      <c r="P28" s="9">
        <f t="shared" si="1"/>
        <v>0.60705542003197221</v>
      </c>
      <c r="Q28">
        <v>26</v>
      </c>
      <c r="R28">
        <f t="shared" si="2"/>
        <v>91</v>
      </c>
      <c r="S28" s="24"/>
      <c r="T28" s="24">
        <f>IF($B$10="3BR_H",
INDEX('3BR_H-combined'!$C:$BH,MATCH($L28,'3BR_H-combined'!$B:$B,0),MATCH(Council_Area,'3BR_H-combined'!$C$1:$BH$1,0)),
INDEX('2BR_F-combined'!$C:$BH,MATCH($L28,'2BR_F-combined'!$B:$B,0),MATCH(Council_Area,'2BR_F-combined'!$C$1:$BH$1,0)))</f>
        <v>420</v>
      </c>
      <c r="U28" s="24">
        <f t="shared" si="25"/>
        <v>420</v>
      </c>
      <c r="V28" s="24">
        <f t="shared" si="35"/>
        <v>5460</v>
      </c>
      <c r="W28" s="24">
        <f>$B$53/4*BH28/_xlfn.XLOOKUP(Q_end,cpi!A:A,cpi!B:B)</f>
        <v>138.90808569454043</v>
      </c>
      <c r="X28" s="24">
        <f t="shared" si="3"/>
        <v>5598.9080856945402</v>
      </c>
      <c r="Y28" s="24">
        <f t="shared" si="26"/>
        <v>3624.1511292279756</v>
      </c>
      <c r="Z28" s="24">
        <f t="shared" si="27"/>
        <v>1159.7283613529521</v>
      </c>
      <c r="AA28" s="24">
        <f t="shared" si="4"/>
        <v>4783.8794905809282</v>
      </c>
      <c r="AB28" s="24">
        <f>AA28*(_xlfn.XLOOKUP(Q_end,cpi!A:A,cpi!B:B)/BH28)</f>
        <v>6887.8344506175154</v>
      </c>
      <c r="AC28" s="24" cm="1">
        <f t="array" ref="AC28">INDEX('msci-indices'!C:C,MATCH($L28,'msci-indices'!$B:$B)-2)</f>
        <v>913.58723299999997</v>
      </c>
      <c r="AD28" s="24" cm="1">
        <f t="array" ref="AD28">INDEX('msci-indices'!D:D,MATCH($L28,'msci-indices'!$B:$B)-2)</f>
        <v>858.531702</v>
      </c>
      <c r="AE28" s="24">
        <f t="shared" si="28"/>
        <v>360696.8527964534</v>
      </c>
      <c r="AF28" s="24" cm="1">
        <f t="array" ref="AF28">INDEX('msci-indices'!C:C,MATCH($L28,'msci-indices'!$B:$B)+1)</f>
        <v>865.80589099999997</v>
      </c>
      <c r="AG28" s="24" cm="1">
        <f t="array" ref="AG28">INDEX('msci-indices'!D:D,MATCH($L28,'msci-indices'!$B:$B)+1)</f>
        <v>813.09506399999998</v>
      </c>
      <c r="AH28" s="24">
        <f t="shared" si="5"/>
        <v>225.43553299778338</v>
      </c>
      <c r="AI28" s="24">
        <f t="shared" si="6"/>
        <v>341539.28477055044</v>
      </c>
      <c r="AJ28" s="24">
        <f t="shared" si="29"/>
        <v>316731.80713016703</v>
      </c>
      <c r="AK28" s="24">
        <f t="shared" si="7"/>
        <v>24807.477640383411</v>
      </c>
      <c r="AL28" s="24">
        <f>AJ28*(_xlfn.XLOOKUP(Q_end,cpi!A:A,cpi!B:B)/BH28)</f>
        <v>456030.77106204146</v>
      </c>
      <c r="AM28" s="24" cm="1">
        <f t="array" ref="AM28">SUMPRODUCT($AA$3:AA28,_xlfn.SORTBY($BH$3:BH28,_xlfn.SEQUENCE(ROWS($BH$3:BH28)),-1)/$BH$3)</f>
        <v>362998.29036346421</v>
      </c>
      <c r="AN28" s="24">
        <f t="shared" si="30"/>
        <v>-21459.005592913774</v>
      </c>
      <c r="AO28" s="24">
        <f t="shared" si="8"/>
        <v>0</v>
      </c>
      <c r="AP28" s="24">
        <f t="shared" si="31"/>
        <v>341539.28477055044</v>
      </c>
      <c r="AQ28" s="24"/>
      <c r="AR28" s="12">
        <f>IF($B$10="3BR_H",
INDEX('ns-combined'!$C:$BH,MATCH($L28,'ns-combined'!$B:$B,0),MATCH(Council_Area,'ns-combined'!$C$1:$BH$1,0))*1000,
INDEX('s-combined'!$C:$BH,MATCH($L28,'s-combined'!$B:$B,0),MATCH(Council_Area,'s-combined'!$C$1:$BH$1,0))*1000)</f>
        <v>593000</v>
      </c>
      <c r="AS28" s="24">
        <f t="shared" si="36"/>
        <v>29900</v>
      </c>
      <c r="AT28" s="12">
        <v>0</v>
      </c>
      <c r="AU28" s="24">
        <f t="shared" si="9"/>
        <v>11860</v>
      </c>
      <c r="AV28" s="24">
        <f t="shared" si="10"/>
        <v>1704.875</v>
      </c>
      <c r="AW28" s="24">
        <f>SUM($AV$3:AV28)</f>
        <v>38987.875</v>
      </c>
      <c r="AX28" s="24">
        <f t="shared" si="32"/>
        <v>512252.125</v>
      </c>
      <c r="AY28" s="24">
        <f t="shared" si="11"/>
        <v>1911.0000000000002</v>
      </c>
      <c r="AZ28" s="26">
        <f t="shared" si="12"/>
        <v>1.2890387858347388E-2</v>
      </c>
      <c r="BA28" s="26">
        <f t="shared" si="13"/>
        <v>0.35000000000000003</v>
      </c>
      <c r="BB28" s="27">
        <f>IF(MortgageRate="Discounted",_xlfn.XLOOKUP(L28,'mortgage-rates'!$A:$A,'mortgage-rates'!$E:$E)/100,_xlfn.XLOOKUP(L28,'mortgage-rates'!$A:$A,'mortgage-rates'!$D:$D)/100)</f>
        <v>6.13E-2</v>
      </c>
      <c r="BC28" s="12">
        <f t="shared" si="38"/>
        <v>324636.81580532744</v>
      </c>
      <c r="BD28" s="12">
        <f t="shared" si="14"/>
        <v>7312.0592149225149</v>
      </c>
      <c r="BE28" s="12">
        <f t="shared" si="15"/>
        <v>4975.0592022166429</v>
      </c>
      <c r="BF28" s="12">
        <f t="shared" si="37"/>
        <v>2337.000012705872</v>
      </c>
      <c r="BG28" s="14">
        <f t="shared" si="33"/>
        <v>9223.0592149225158</v>
      </c>
      <c r="BH28" s="24">
        <f>INDEX(cpi!B:B,MATCH($L28,cpi!A:A))</f>
        <v>100.5</v>
      </c>
      <c r="BI28" s="24">
        <f t="shared" si="16"/>
        <v>118.79432624113475</v>
      </c>
      <c r="BJ28" s="24">
        <f t="shared" si="17"/>
        <v>121.02422951783765</v>
      </c>
      <c r="BK28" s="24">
        <f t="shared" si="18"/>
        <v>120.41856784515979</v>
      </c>
      <c r="BL28" s="24">
        <f t="shared" si="19"/>
        <v>120.8425310160343</v>
      </c>
      <c r="BM28" s="24">
        <f t="shared" si="20"/>
        <v>227.09604589214331</v>
      </c>
      <c r="BN28" s="24">
        <f t="shared" si="21"/>
        <v>128.91304347826087</v>
      </c>
      <c r="BO28">
        <f t="shared" si="22"/>
        <v>114.25846618822177</v>
      </c>
    </row>
    <row r="29" spans="1:67" x14ac:dyDescent="0.25">
      <c r="A29" t="s">
        <v>408</v>
      </c>
      <c r="B29" s="4">
        <v>5.0000000000000001E-3</v>
      </c>
      <c r="C29" s="4">
        <v>5.0000000000000001E-3</v>
      </c>
      <c r="L29" s="1">
        <f t="shared" si="34"/>
        <v>41153</v>
      </c>
      <c r="M29" s="12">
        <f t="shared" si="0"/>
        <v>371251.94561013684</v>
      </c>
      <c r="N29" s="12">
        <f t="shared" si="23"/>
        <v>162669.30920737842</v>
      </c>
      <c r="O29" s="9">
        <f t="shared" si="24"/>
        <v>2.2822494754486695</v>
      </c>
      <c r="P29" s="9">
        <f t="shared" si="1"/>
        <v>0.6141660355670987</v>
      </c>
      <c r="Q29">
        <v>27</v>
      </c>
      <c r="R29">
        <f t="shared" si="2"/>
        <v>92</v>
      </c>
      <c r="S29" s="24"/>
      <c r="T29" s="24">
        <f>IF($B$10="3BR_H",
INDEX('3BR_H-combined'!$C:$BH,MATCH($L29,'3BR_H-combined'!$B:$B,0),MATCH(Council_Area,'3BR_H-combined'!$C$1:$BH$1,0)),
INDEX('2BR_F-combined'!$C:$BH,MATCH($L29,'2BR_F-combined'!$B:$B,0),MATCH(Council_Area,'2BR_F-combined'!$C$1:$BH$1,0)))</f>
        <v>420</v>
      </c>
      <c r="U29" s="24">
        <f t="shared" si="25"/>
        <v>420</v>
      </c>
      <c r="V29" s="24">
        <f t="shared" si="35"/>
        <v>5520</v>
      </c>
      <c r="W29" s="24">
        <f>$B$53/4*BH29/_xlfn.XLOOKUP(Q_end,cpi!A:A,cpi!B:B)</f>
        <v>140.42847270214239</v>
      </c>
      <c r="X29" s="24">
        <f t="shared" si="3"/>
        <v>5660.4284727021422</v>
      </c>
      <c r="Y29" s="24">
        <f t="shared" si="26"/>
        <v>3556.0181311474298</v>
      </c>
      <c r="Z29" s="24">
        <f t="shared" si="27"/>
        <v>1137.9258019671774</v>
      </c>
      <c r="AA29" s="24">
        <f t="shared" si="4"/>
        <v>4693.9439331146077</v>
      </c>
      <c r="AB29" s="24">
        <f>AA29*(_xlfn.XLOOKUP(Q_end,cpi!A:A,cpi!B:B)/BH29)</f>
        <v>6685.1740858433432</v>
      </c>
      <c r="AC29" s="24" cm="1">
        <f t="array" ref="AC29">INDEX('msci-indices'!C:C,MATCH($L29,'msci-indices'!$B:$B)-2)</f>
        <v>865.80589099999997</v>
      </c>
      <c r="AD29" s="24" cm="1">
        <f t="array" ref="AD29">INDEX('msci-indices'!D:D,MATCH($L29,'msci-indices'!$B:$B)-2)</f>
        <v>813.09506399999998</v>
      </c>
      <c r="AE29" s="24">
        <f t="shared" si="28"/>
        <v>346233.22870366502</v>
      </c>
      <c r="AF29" s="24" cm="1">
        <f t="array" ref="AF29">INDEX('msci-indices'!C:C,MATCH($L29,'msci-indices'!$B:$B)+1)</f>
        <v>923.89950299999998</v>
      </c>
      <c r="AG29" s="24" cm="1">
        <f t="array" ref="AG29">INDEX('msci-indices'!D:D,MATCH($L29,'msci-indices'!$B:$B)+1)</f>
        <v>883.33647499999995</v>
      </c>
      <c r="AH29" s="24">
        <f t="shared" si="5"/>
        <v>216.39576793979063</v>
      </c>
      <c r="AI29" s="24">
        <f t="shared" si="6"/>
        <v>371251.94561013684</v>
      </c>
      <c r="AJ29" s="24">
        <f t="shared" si="29"/>
        <v>321425.75106328161</v>
      </c>
      <c r="AK29" s="24">
        <f t="shared" si="7"/>
        <v>49826.194546855229</v>
      </c>
      <c r="AL29" s="24">
        <f>AJ29*(_xlfn.XLOOKUP(Q_end,cpi!A:A,cpi!B:B)/BH29)</f>
        <v>457778.60412260675</v>
      </c>
      <c r="AM29" s="24" cm="1">
        <f t="array" ref="AM29">SUMPRODUCT($AA$3:AA29,_xlfn.SORTBY($BH$3:BH29,_xlfn.SEQUENCE(ROWS($BH$3:BH29)),-1)/$BH$3)</f>
        <v>370945.74088585959</v>
      </c>
      <c r="AN29" s="24">
        <f t="shared" si="30"/>
        <v>306.20472427725326</v>
      </c>
      <c r="AO29" s="24">
        <f t="shared" si="8"/>
        <v>0</v>
      </c>
      <c r="AP29" s="24">
        <f t="shared" si="31"/>
        <v>371251.94561013684</v>
      </c>
      <c r="AQ29" s="24"/>
      <c r="AR29" s="12">
        <f>IF($B$10="3BR_H",
INDEX('ns-combined'!$C:$BH,MATCH($L29,'ns-combined'!$B:$B,0),MATCH(Council_Area,'ns-combined'!$C$1:$BH$1,0))*1000,
INDEX('s-combined'!$C:$BH,MATCH($L29,'s-combined'!$B:$B,0),MATCH(Council_Area,'s-combined'!$C$1:$BH$1,0))*1000)</f>
        <v>568000</v>
      </c>
      <c r="AS29" s="24">
        <f t="shared" si="36"/>
        <v>31050</v>
      </c>
      <c r="AT29" s="12">
        <v>0</v>
      </c>
      <c r="AU29" s="24">
        <f t="shared" si="9"/>
        <v>11360</v>
      </c>
      <c r="AV29" s="24">
        <f t="shared" si="10"/>
        <v>1633</v>
      </c>
      <c r="AW29" s="24">
        <f>SUM($AV$3:AV29)</f>
        <v>40620.875</v>
      </c>
      <c r="AX29" s="24">
        <f t="shared" si="32"/>
        <v>484969.125</v>
      </c>
      <c r="AY29" s="24">
        <f t="shared" si="11"/>
        <v>1932.0000000000002</v>
      </c>
      <c r="AZ29" s="26">
        <f t="shared" si="12"/>
        <v>1.3605633802816902E-2</v>
      </c>
      <c r="BA29" s="26">
        <f t="shared" si="13"/>
        <v>0.35000000000000003</v>
      </c>
      <c r="BB29" s="27">
        <f>IF(MortgageRate="Discounted",_xlfn.XLOOKUP(L29,'mortgage-rates'!$A:$A,'mortgage-rates'!$E:$E)/100,_xlfn.XLOOKUP(L29,'mortgage-rates'!$A:$A,'mortgage-rates'!$D:$D)/100)</f>
        <v>6.08E-2</v>
      </c>
      <c r="BC29" s="12">
        <f t="shared" si="38"/>
        <v>322299.81579262158</v>
      </c>
      <c r="BD29" s="12">
        <f t="shared" si="14"/>
        <v>7284.4466038495711</v>
      </c>
      <c r="BE29" s="12">
        <f t="shared" si="15"/>
        <v>4898.9572000478483</v>
      </c>
      <c r="BF29" s="12">
        <f t="shared" si="37"/>
        <v>2385.4894038017228</v>
      </c>
      <c r="BG29" s="14">
        <f t="shared" si="33"/>
        <v>9216.4466038495721</v>
      </c>
      <c r="BH29" s="24">
        <f>INDEX(cpi!B:B,MATCH($L29,cpi!A:A))</f>
        <v>101.6</v>
      </c>
      <c r="BI29" s="24">
        <f t="shared" si="16"/>
        <v>120.09456264775415</v>
      </c>
      <c r="BJ29" s="24">
        <f t="shared" si="17"/>
        <v>114.69456564776658</v>
      </c>
      <c r="BK29" s="24">
        <f t="shared" si="18"/>
        <v>114.04557676875227</v>
      </c>
      <c r="BL29" s="24">
        <f t="shared" si="19"/>
        <v>114.49986898406229</v>
      </c>
      <c r="BM29" s="24">
        <f t="shared" si="20"/>
        <v>217.9896957388855</v>
      </c>
      <c r="BN29" s="24">
        <f t="shared" si="21"/>
        <v>123.47826086956522</v>
      </c>
      <c r="BO29">
        <f t="shared" si="22"/>
        <v>108.17295949947304</v>
      </c>
    </row>
    <row r="30" spans="1:67" x14ac:dyDescent="0.25">
      <c r="L30" s="1">
        <f t="shared" si="34"/>
        <v>41244</v>
      </c>
      <c r="M30" s="12">
        <f t="shared" si="0"/>
        <v>390027.82887622801</v>
      </c>
      <c r="N30" s="12">
        <f t="shared" si="23"/>
        <v>213082.29861118016</v>
      </c>
      <c r="O30" s="9">
        <f t="shared" si="24"/>
        <v>1.8304093367601946</v>
      </c>
      <c r="P30" s="9">
        <f t="shared" si="1"/>
        <v>0.629013949045795</v>
      </c>
      <c r="Q30">
        <v>28</v>
      </c>
      <c r="R30">
        <f t="shared" si="2"/>
        <v>92</v>
      </c>
      <c r="S30" s="24"/>
      <c r="T30" s="24">
        <f>IF($B$10="3BR_H",
INDEX('3BR_H-combined'!$C:$BH,MATCH($L30,'3BR_H-combined'!$B:$B,0),MATCH(Council_Area,'3BR_H-combined'!$C$1:$BH$1,0)),
INDEX('2BR_F-combined'!$C:$BH,MATCH($L30,'2BR_F-combined'!$B:$B,0),MATCH(Council_Area,'2BR_F-combined'!$C$1:$BH$1,0)))</f>
        <v>420</v>
      </c>
      <c r="U30" s="24">
        <f t="shared" si="25"/>
        <v>420</v>
      </c>
      <c r="V30" s="24">
        <f t="shared" si="35"/>
        <v>5520</v>
      </c>
      <c r="W30" s="24">
        <f>$B$53/4*BH30/_xlfn.XLOOKUP(Q_end,cpi!A:A,cpi!B:B)</f>
        <v>140.98134070490673</v>
      </c>
      <c r="X30" s="24">
        <f t="shared" si="3"/>
        <v>5660.9813407049069</v>
      </c>
      <c r="Y30" s="24">
        <f t="shared" si="26"/>
        <v>3338.7894104724446</v>
      </c>
      <c r="Z30" s="24">
        <f t="shared" si="27"/>
        <v>1068.412611351182</v>
      </c>
      <c r="AA30" s="24">
        <f t="shared" si="4"/>
        <v>4407.2020218236266</v>
      </c>
      <c r="AB30" s="24">
        <f>AA30*(_xlfn.XLOOKUP(Q_end,cpi!A:A,cpi!B:B)/BH30)</f>
        <v>6252.1777701752817</v>
      </c>
      <c r="AC30" s="24" cm="1">
        <f t="array" ref="AC30">INDEX('msci-indices'!C:C,MATCH($L30,'msci-indices'!$B:$B)-2)</f>
        <v>923.89950299999998</v>
      </c>
      <c r="AD30" s="24" cm="1">
        <f t="array" ref="AD30">INDEX('msci-indices'!D:D,MATCH($L30,'msci-indices'!$B:$B)-2)</f>
        <v>883.33647499999995</v>
      </c>
      <c r="AE30" s="24">
        <f t="shared" si="28"/>
        <v>375659.14763196046</v>
      </c>
      <c r="AF30" s="24" cm="1">
        <f t="array" ref="AF30">INDEX('msci-indices'!C:C,MATCH($L30,'msci-indices'!$B:$B)+1)</f>
        <v>948.15110700000002</v>
      </c>
      <c r="AG30" s="24" cm="1">
        <f t="array" ref="AG30">INDEX('msci-indices'!D:D,MATCH($L30,'msci-indices'!$B:$B)+1)</f>
        <v>943.69728799999996</v>
      </c>
      <c r="AH30" s="24">
        <f t="shared" si="5"/>
        <v>234.78696726997529</v>
      </c>
      <c r="AI30" s="24">
        <f t="shared" si="6"/>
        <v>390027.82887622801</v>
      </c>
      <c r="AJ30" s="24">
        <f t="shared" si="29"/>
        <v>325832.95308510523</v>
      </c>
      <c r="AK30" s="24">
        <f t="shared" si="7"/>
        <v>64194.875791122788</v>
      </c>
      <c r="AL30" s="24">
        <f>AJ30*(_xlfn.XLOOKUP(Q_end,cpi!A:A,cpi!B:B)/BH30)</f>
        <v>462235.57168053649</v>
      </c>
      <c r="AM30" s="24" cm="1">
        <f t="array" ref="AM30">SUMPRODUCT($AA$3:AA30,_xlfn.SORTBY($BH$3:BH30,_xlfn.SEQUENCE(ROWS($BH$3:BH30)),-1)/$BH$3)</f>
        <v>377362.80935810559</v>
      </c>
      <c r="AN30" s="24">
        <f t="shared" si="30"/>
        <v>12665.019518122426</v>
      </c>
      <c r="AO30" s="24">
        <f t="shared" si="8"/>
        <v>0</v>
      </c>
      <c r="AP30" s="24">
        <f t="shared" si="31"/>
        <v>390027.82887622801</v>
      </c>
      <c r="AQ30" s="24"/>
      <c r="AR30" s="12">
        <f>IF($B$10="3BR_H",
INDEX('ns-combined'!$C:$BH,MATCH($L30,'ns-combined'!$B:$B,0),MATCH(Council_Area,'ns-combined'!$C$1:$BH$1,0))*1000,
INDEX('s-combined'!$C:$BH,MATCH($L30,'s-combined'!$B:$B,0),MATCH(Council_Area,'s-combined'!$C$1:$BH$1,0))*1000)</f>
        <v>620000</v>
      </c>
      <c r="AS30" s="24">
        <f t="shared" si="36"/>
        <v>32200</v>
      </c>
      <c r="AT30" s="12">
        <v>0</v>
      </c>
      <c r="AU30" s="24">
        <f t="shared" si="9"/>
        <v>12400</v>
      </c>
      <c r="AV30" s="24">
        <f t="shared" si="10"/>
        <v>1782.5</v>
      </c>
      <c r="AW30" s="24">
        <f>SUM($AV$3:AV30)</f>
        <v>42403.375</v>
      </c>
      <c r="AX30" s="24">
        <f t="shared" si="32"/>
        <v>532996.625</v>
      </c>
      <c r="AY30" s="24">
        <f t="shared" si="11"/>
        <v>1932.0000000000002</v>
      </c>
      <c r="AZ30" s="26">
        <f t="shared" si="12"/>
        <v>1.2464516129032259E-2</v>
      </c>
      <c r="BA30" s="26">
        <f t="shared" si="13"/>
        <v>0.35000000000000003</v>
      </c>
      <c r="BB30" s="27">
        <f>IF(MortgageRate="Discounted",_xlfn.XLOOKUP(L30,'mortgage-rates'!$A:$A,'mortgage-rates'!$E:$E)/100,_xlfn.XLOOKUP(L30,'mortgage-rates'!$A:$A,'mortgage-rates'!$D:$D)/100)</f>
        <v>5.6799999999999996E-2</v>
      </c>
      <c r="BC30" s="12">
        <f t="shared" si="38"/>
        <v>319914.32638881984</v>
      </c>
      <c r="BD30" s="12">
        <f t="shared" si="14"/>
        <v>7067.7707511773506</v>
      </c>
      <c r="BE30" s="12">
        <f t="shared" si="15"/>
        <v>4542.7834347212411</v>
      </c>
      <c r="BF30" s="12">
        <f t="shared" si="37"/>
        <v>2524.9873164561095</v>
      </c>
      <c r="BG30" s="14">
        <f t="shared" si="33"/>
        <v>8999.7707511773515</v>
      </c>
      <c r="BH30" s="24">
        <f>INDEX(cpi!B:B,MATCH($L30,cpi!A:A))</f>
        <v>102</v>
      </c>
      <c r="BI30" s="24">
        <f t="shared" si="16"/>
        <v>120.56737588652483</v>
      </c>
      <c r="BJ30" s="24">
        <f t="shared" si="17"/>
        <v>122.39031092336657</v>
      </c>
      <c r="BK30" s="24">
        <f t="shared" si="18"/>
        <v>123.89771163615318</v>
      </c>
      <c r="BL30" s="24">
        <f t="shared" si="19"/>
        <v>122.84253113720254</v>
      </c>
      <c r="BM30" s="24">
        <f t="shared" si="20"/>
        <v>236.51636095248446</v>
      </c>
      <c r="BN30" s="24">
        <f t="shared" si="21"/>
        <v>134.78260869565219</v>
      </c>
      <c r="BO30">
        <f t="shared" si="22"/>
        <v>118.88555241425074</v>
      </c>
    </row>
    <row r="31" spans="1:67" x14ac:dyDescent="0.25">
      <c r="A31" s="7" t="s">
        <v>82</v>
      </c>
      <c r="L31" s="1">
        <f t="shared" si="34"/>
        <v>41334</v>
      </c>
      <c r="M31" s="12">
        <f t="shared" si="0"/>
        <v>426191.28566333232</v>
      </c>
      <c r="N31" s="12">
        <f t="shared" si="23"/>
        <v>193132.28592763626</v>
      </c>
      <c r="O31" s="9">
        <f t="shared" si="24"/>
        <v>2.2067324663832735</v>
      </c>
      <c r="P31" s="9">
        <f t="shared" si="1"/>
        <v>0.63205441551304398</v>
      </c>
      <c r="Q31">
        <v>29</v>
      </c>
      <c r="R31">
        <f t="shared" si="2"/>
        <v>90</v>
      </c>
      <c r="S31" s="24"/>
      <c r="T31" s="24">
        <f>IF($B$10="3BR_H",
INDEX('3BR_H-combined'!$C:$BH,MATCH($L31,'3BR_H-combined'!$B:$B,0),MATCH(Council_Area,'3BR_H-combined'!$C$1:$BH$1,0)),
INDEX('2BR_F-combined'!$C:$BH,MATCH($L31,'2BR_F-combined'!$B:$B,0),MATCH(Council_Area,'2BR_F-combined'!$C$1:$BH$1,0)))</f>
        <v>430</v>
      </c>
      <c r="U31" s="24">
        <f t="shared" si="25"/>
        <v>430</v>
      </c>
      <c r="V31" s="24">
        <f t="shared" si="35"/>
        <v>5528.5714285714284</v>
      </c>
      <c r="W31" s="24">
        <f>$B$53/4*BH31/_xlfn.XLOOKUP(Q_end,cpi!A:A,cpi!B:B)</f>
        <v>141.53420870767104</v>
      </c>
      <c r="X31" s="24">
        <f t="shared" si="3"/>
        <v>5670.105637279099</v>
      </c>
      <c r="Y31" s="24">
        <f t="shared" si="26"/>
        <v>3300.808097540119</v>
      </c>
      <c r="Z31" s="24">
        <f t="shared" si="27"/>
        <v>1056.2585912128379</v>
      </c>
      <c r="AA31" s="24">
        <f t="shared" si="4"/>
        <v>4357.0666887529569</v>
      </c>
      <c r="AB31" s="24">
        <f>AA31*(_xlfn.XLOOKUP(Q_end,cpi!A:A,cpi!B:B)/BH31)</f>
        <v>6156.9096666264923</v>
      </c>
      <c r="AC31" s="24" cm="1">
        <f t="array" ref="AC31">INDEX('msci-indices'!C:C,MATCH($L31,'msci-indices'!$B:$B)-2)</f>
        <v>948.15110700000002</v>
      </c>
      <c r="AD31" s="24" cm="1">
        <f t="array" ref="AD31">INDEX('msci-indices'!D:D,MATCH($L31,'msci-indices'!$B:$B)-2)</f>
        <v>943.69728799999996</v>
      </c>
      <c r="AE31" s="24">
        <f t="shared" si="28"/>
        <v>394384.89556498098</v>
      </c>
      <c r="AF31" s="24" cm="1">
        <f t="array" ref="AF31">INDEX('msci-indices'!C:C,MATCH($L31,'msci-indices'!$B:$B)+1)</f>
        <v>1024.705295</v>
      </c>
      <c r="AG31" s="24" cm="1">
        <f t="array" ref="AG31">INDEX('msci-indices'!D:D,MATCH($L31,'msci-indices'!$B:$B)+1)</f>
        <v>1021.5672520000001</v>
      </c>
      <c r="AH31" s="24">
        <f t="shared" si="5"/>
        <v>246.49055972811311</v>
      </c>
      <c r="AI31" s="24">
        <f t="shared" si="6"/>
        <v>426191.28566333232</v>
      </c>
      <c r="AJ31" s="24">
        <f t="shared" si="29"/>
        <v>330190.01977385819</v>
      </c>
      <c r="AK31" s="24">
        <f t="shared" si="7"/>
        <v>96001.265889474133</v>
      </c>
      <c r="AL31" s="24">
        <f>AJ31*(_xlfn.XLOOKUP(Q_end,cpi!A:A,cpi!B:B)/BH31)</f>
        <v>466586.87364528584</v>
      </c>
      <c r="AM31" s="24" cm="1">
        <f t="array" ref="AM31">SUMPRODUCT($AA$3:AA31,_xlfn.SORTBY($BH$3:BH31,_xlfn.SEQUENCE(ROWS($BH$3:BH31)),-1)/$BH$3)</f>
        <v>383743.91606012965</v>
      </c>
      <c r="AN31" s="24">
        <f t="shared" si="30"/>
        <v>42447.369603202678</v>
      </c>
      <c r="AO31" s="24">
        <f t="shared" si="8"/>
        <v>0</v>
      </c>
      <c r="AP31" s="24">
        <f t="shared" si="31"/>
        <v>426191.28566333232</v>
      </c>
      <c r="AQ31" s="24"/>
      <c r="AR31" s="12">
        <f>IF($B$10="3BR_H",
INDEX('ns-combined'!$C:$BH,MATCH($L31,'ns-combined'!$B:$B,0),MATCH(Council_Area,'ns-combined'!$C$1:$BH$1,0))*1000,
INDEX('s-combined'!$C:$BH,MATCH($L31,'s-combined'!$B:$B,0),MATCH(Council_Area,'s-combined'!$C$1:$BH$1,0))*1000)</f>
        <v>600000</v>
      </c>
      <c r="AS31" s="24">
        <f t="shared" si="36"/>
        <v>33350</v>
      </c>
      <c r="AT31" s="12">
        <v>0</v>
      </c>
      <c r="AU31" s="24">
        <f t="shared" si="9"/>
        <v>12000</v>
      </c>
      <c r="AV31" s="24">
        <f t="shared" si="10"/>
        <v>1725</v>
      </c>
      <c r="AW31" s="24">
        <f>SUM($AV$3:AV31)</f>
        <v>44128.375</v>
      </c>
      <c r="AX31" s="24">
        <f t="shared" si="32"/>
        <v>510521.625</v>
      </c>
      <c r="AY31" s="24">
        <f t="shared" si="11"/>
        <v>1935.0000000000002</v>
      </c>
      <c r="AZ31" s="26">
        <f t="shared" si="12"/>
        <v>1.2900000000000002E-2</v>
      </c>
      <c r="BA31" s="26">
        <f t="shared" si="13"/>
        <v>0.35000000000000003</v>
      </c>
      <c r="BB31" s="27">
        <f>IF(MortgageRate="Discounted",_xlfn.XLOOKUP(L31,'mortgage-rates'!$A:$A,'mortgage-rates'!$E:$E)/100,_xlfn.XLOOKUP(L31,'mortgage-rates'!$A:$A,'mortgage-rates'!$D:$D)/100)</f>
        <v>5.62E-2</v>
      </c>
      <c r="BC31" s="12">
        <f t="shared" si="38"/>
        <v>317389.33907236374</v>
      </c>
      <c r="BD31" s="12">
        <f t="shared" si="14"/>
        <v>7035.9137348192171</v>
      </c>
      <c r="BE31" s="12">
        <f t="shared" si="15"/>
        <v>4459.320213966711</v>
      </c>
      <c r="BF31" s="12">
        <f t="shared" si="37"/>
        <v>2576.5935208525061</v>
      </c>
      <c r="BG31" s="14">
        <f t="shared" si="33"/>
        <v>8970.913734819218</v>
      </c>
      <c r="BH31" s="24">
        <f>INDEX(cpi!B:B,MATCH($L31,cpi!A:A))</f>
        <v>102.4</v>
      </c>
      <c r="BI31" s="24">
        <f t="shared" si="16"/>
        <v>121.04018912529551</v>
      </c>
      <c r="BJ31" s="24">
        <f t="shared" si="17"/>
        <v>125.60295617786929</v>
      </c>
      <c r="BK31" s="24">
        <f t="shared" si="18"/>
        <v>132.36398333992017</v>
      </c>
      <c r="BL31" s="24">
        <f t="shared" si="19"/>
        <v>127.63126432648455</v>
      </c>
      <c r="BM31" s="24">
        <f t="shared" si="20"/>
        <v>248.30615972392454</v>
      </c>
      <c r="BN31" s="24">
        <f t="shared" si="21"/>
        <v>130.43478260869566</v>
      </c>
      <c r="BO31">
        <f t="shared" si="22"/>
        <v>113.87247603593356</v>
      </c>
    </row>
    <row r="32" spans="1:67" x14ac:dyDescent="0.25">
      <c r="A32" t="s">
        <v>77</v>
      </c>
      <c r="B32" s="10">
        <v>7.0000000000000007E-2</v>
      </c>
      <c r="C32" s="10">
        <v>7.0000000000000007E-2</v>
      </c>
      <c r="L32" s="1">
        <f t="shared" si="34"/>
        <v>41426</v>
      </c>
      <c r="M32" s="12">
        <f t="shared" si="0"/>
        <v>427558.07214322605</v>
      </c>
      <c r="N32" s="12">
        <f t="shared" si="23"/>
        <v>222147.62944848876</v>
      </c>
      <c r="O32" s="9">
        <f t="shared" si="24"/>
        <v>1.9246573695370786</v>
      </c>
      <c r="P32" s="9">
        <f t="shared" si="1"/>
        <v>0.64721458632161843</v>
      </c>
      <c r="Q32">
        <v>30</v>
      </c>
      <c r="R32">
        <f t="shared" si="2"/>
        <v>91</v>
      </c>
      <c r="S32" s="24"/>
      <c r="T32" s="24">
        <f>IF($B$10="3BR_H",
INDEX('3BR_H-combined'!$C:$BH,MATCH($L32,'3BR_H-combined'!$B:$B,0),MATCH(Council_Area,'3BR_H-combined'!$C$1:$BH$1,0)),
INDEX('2BR_F-combined'!$C:$BH,MATCH($L32,'2BR_F-combined'!$B:$B,0),MATCH(Council_Area,'2BR_F-combined'!$C$1:$BH$1,0)))</f>
        <v>420</v>
      </c>
      <c r="U32" s="24">
        <f t="shared" si="25"/>
        <v>430</v>
      </c>
      <c r="V32" s="24">
        <f t="shared" si="35"/>
        <v>5590</v>
      </c>
      <c r="W32" s="24">
        <f>$B$53/4*BH32/_xlfn.XLOOKUP(Q_end,cpi!A:A,cpi!B:B)</f>
        <v>142.22529371112648</v>
      </c>
      <c r="X32" s="24">
        <f t="shared" si="3"/>
        <v>5732.2252937111261</v>
      </c>
      <c r="Y32" s="24">
        <f t="shared" si="26"/>
        <v>3124.536304153462</v>
      </c>
      <c r="Z32" s="24">
        <f t="shared" si="27"/>
        <v>999.85161732910763</v>
      </c>
      <c r="AA32" s="24">
        <f t="shared" si="4"/>
        <v>4124.3879214825693</v>
      </c>
      <c r="AB32" s="24">
        <f>AA32*(_xlfn.XLOOKUP(Q_end,cpi!A:A,cpi!B:B)/BH32)</f>
        <v>5799.7952598496368</v>
      </c>
      <c r="AC32" s="24" cm="1">
        <f t="array" ref="AC32">INDEX('msci-indices'!C:C,MATCH($L32,'msci-indices'!$B:$B)-2)</f>
        <v>1024.705295</v>
      </c>
      <c r="AD32" s="24" cm="1">
        <f t="array" ref="AD32">INDEX('msci-indices'!D:D,MATCH($L32,'msci-indices'!$B:$B)-2)</f>
        <v>1021.5672520000001</v>
      </c>
      <c r="AE32" s="24">
        <f t="shared" si="28"/>
        <v>430315.67358481488</v>
      </c>
      <c r="AF32" s="24" cm="1">
        <f t="array" ref="AF32">INDEX('msci-indices'!C:C,MATCH($L32,'msci-indices'!$B:$B)+1)</f>
        <v>1030.5183939999999</v>
      </c>
      <c r="AG32" s="24" cm="1">
        <f t="array" ref="AG32">INDEX('msci-indices'!D:D,MATCH($L32,'msci-indices'!$B:$B)+1)</f>
        <v>988.35138400000005</v>
      </c>
      <c r="AH32" s="24">
        <f t="shared" si="5"/>
        <v>268.9472959905093</v>
      </c>
      <c r="AI32" s="24">
        <f t="shared" si="6"/>
        <v>427558.07214322605</v>
      </c>
      <c r="AJ32" s="24">
        <f t="shared" si="29"/>
        <v>334314.40769534075</v>
      </c>
      <c r="AK32" s="24">
        <f t="shared" si="7"/>
        <v>93243.664447885298</v>
      </c>
      <c r="AL32" s="24">
        <f>AJ32*(_xlfn.XLOOKUP(Q_end,cpi!A:A,cpi!B:B)/BH32)</f>
        <v>470119.48293018265</v>
      </c>
      <c r="AM32" s="24" cm="1">
        <f t="array" ref="AM32">SUMPRODUCT($AA$3:AA32,_xlfn.SORTBY($BH$3:BH32,_xlfn.SEQUENCE(ROWS($BH$3:BH32)),-1)/$BH$3)</f>
        <v>390096.41472041962</v>
      </c>
      <c r="AN32" s="24">
        <f t="shared" si="30"/>
        <v>37461.657422806427</v>
      </c>
      <c r="AO32" s="24">
        <f t="shared" si="8"/>
        <v>0</v>
      </c>
      <c r="AP32" s="24">
        <f t="shared" si="31"/>
        <v>427558.07214322605</v>
      </c>
      <c r="AQ32" s="24"/>
      <c r="AR32" s="12">
        <f>IF($B$10="3BR_H",
INDEX('ns-combined'!$C:$BH,MATCH($L32,'ns-combined'!$B:$B,0),MATCH(Council_Area,'ns-combined'!$C$1:$BH$1,0))*1000,
INDEX('s-combined'!$C:$BH,MATCH($L32,'s-combined'!$B:$B,0),MATCH(Council_Area,'s-combined'!$C$1:$BH$1,0))*1000)</f>
        <v>630000</v>
      </c>
      <c r="AS32" s="24">
        <f t="shared" si="36"/>
        <v>34500</v>
      </c>
      <c r="AT32" s="12">
        <v>0</v>
      </c>
      <c r="AU32" s="24">
        <f t="shared" si="9"/>
        <v>12600</v>
      </c>
      <c r="AV32" s="24">
        <f t="shared" si="10"/>
        <v>1811.25</v>
      </c>
      <c r="AW32" s="24">
        <f>SUM($AV$3:AV32)</f>
        <v>45939.625</v>
      </c>
      <c r="AX32" s="24">
        <f t="shared" si="32"/>
        <v>536960.375</v>
      </c>
      <c r="AY32" s="24">
        <f t="shared" si="11"/>
        <v>1956.5000000000002</v>
      </c>
      <c r="AZ32" s="26">
        <f t="shared" si="12"/>
        <v>1.2422222222222223E-2</v>
      </c>
      <c r="BA32" s="26">
        <f t="shared" si="13"/>
        <v>0.35000000000000003</v>
      </c>
      <c r="BB32" s="27">
        <f>IF(MortgageRate="Discounted",_xlfn.XLOOKUP(L32,'mortgage-rates'!$A:$A,'mortgage-rates'!$E:$E)/100,_xlfn.XLOOKUP(L32,'mortgage-rates'!$A:$A,'mortgage-rates'!$D:$D)/100)</f>
        <v>5.3600000000000002E-2</v>
      </c>
      <c r="BC32" s="12">
        <f t="shared" si="38"/>
        <v>314812.74555151124</v>
      </c>
      <c r="BD32" s="12">
        <f t="shared" si="14"/>
        <v>6900.2615978645881</v>
      </c>
      <c r="BE32" s="12">
        <f t="shared" si="15"/>
        <v>4218.4907903902504</v>
      </c>
      <c r="BF32" s="12">
        <f t="shared" si="37"/>
        <v>2681.7708074743377</v>
      </c>
      <c r="BG32" s="14">
        <f t="shared" si="33"/>
        <v>8856.7615978645881</v>
      </c>
      <c r="BH32" s="24">
        <f>INDEX(cpi!B:B,MATCH($L32,cpi!A:A))</f>
        <v>102.9</v>
      </c>
      <c r="BI32" s="24">
        <f t="shared" si="16"/>
        <v>121.63120567375887</v>
      </c>
      <c r="BJ32" s="24">
        <f t="shared" si="17"/>
        <v>135.74420080608061</v>
      </c>
      <c r="BK32" s="24">
        <f t="shared" si="18"/>
        <v>143.28610714873224</v>
      </c>
      <c r="BL32" s="24">
        <f t="shared" si="19"/>
        <v>138.0067727088761</v>
      </c>
      <c r="BM32" s="24">
        <f t="shared" si="20"/>
        <v>270.92830779888232</v>
      </c>
      <c r="BN32" s="24">
        <f t="shared" si="21"/>
        <v>136.95652173913044</v>
      </c>
      <c r="BO32">
        <f t="shared" si="22"/>
        <v>119.76967172435329</v>
      </c>
    </row>
    <row r="33" spans="1:67" x14ac:dyDescent="0.25">
      <c r="A33" t="s">
        <v>79</v>
      </c>
      <c r="B33" s="10">
        <v>0.16</v>
      </c>
      <c r="C33" s="10">
        <v>0.16</v>
      </c>
      <c r="L33" s="1">
        <f t="shared" si="34"/>
        <v>41518</v>
      </c>
      <c r="M33" s="12">
        <f t="shared" si="0"/>
        <v>470338.25180730608</v>
      </c>
      <c r="N33" s="12">
        <f t="shared" si="23"/>
        <v>241410.65025596309</v>
      </c>
      <c r="O33" s="9">
        <f t="shared" si="24"/>
        <v>1.9482912262098437</v>
      </c>
      <c r="P33" s="9">
        <f t="shared" si="1"/>
        <v>0.66339704565497859</v>
      </c>
      <c r="Q33">
        <v>31</v>
      </c>
      <c r="R33">
        <f t="shared" si="2"/>
        <v>92</v>
      </c>
      <c r="S33" s="24"/>
      <c r="T33" s="24">
        <f>IF($B$10="3BR_H",
INDEX('3BR_H-combined'!$C:$BH,MATCH($L33,'3BR_H-combined'!$B:$B,0),MATCH(Council_Area,'3BR_H-combined'!$C$1:$BH$1,0)),
INDEX('2BR_F-combined'!$C:$BH,MATCH($L33,'2BR_F-combined'!$B:$B,0),MATCH(Council_Area,'2BR_F-combined'!$C$1:$BH$1,0)))</f>
        <v>430</v>
      </c>
      <c r="U33" s="24">
        <f t="shared" si="25"/>
        <v>430</v>
      </c>
      <c r="V33" s="24">
        <f t="shared" si="35"/>
        <v>5651.4285714285716</v>
      </c>
      <c r="W33" s="24">
        <f>$B$53/4*BH33/_xlfn.XLOOKUP(Q_end,cpi!A:A,cpi!B:B)</f>
        <v>143.60746371803734</v>
      </c>
      <c r="X33" s="24">
        <f t="shared" si="3"/>
        <v>5795.0360351466088</v>
      </c>
      <c r="Y33" s="24">
        <f t="shared" si="26"/>
        <v>2940.3601700401532</v>
      </c>
      <c r="Z33" s="24">
        <f t="shared" si="27"/>
        <v>940.91525441284887</v>
      </c>
      <c r="AA33" s="24">
        <f t="shared" si="4"/>
        <v>3881.275424453002</v>
      </c>
      <c r="AB33" s="24">
        <f>AA33*(_xlfn.XLOOKUP(Q_end,cpi!A:A,cpi!B:B)/BH33)</f>
        <v>5405.3951291467692</v>
      </c>
      <c r="AC33" s="24" cm="1">
        <f t="array" ref="AC33">INDEX('msci-indices'!C:C,MATCH($L33,'msci-indices'!$B:$B)-2)</f>
        <v>1030.5183939999999</v>
      </c>
      <c r="AD33" s="24" cm="1">
        <f t="array" ref="AD33">INDEX('msci-indices'!D:D,MATCH($L33,'msci-indices'!$B:$B)-2)</f>
        <v>988.35138400000005</v>
      </c>
      <c r="AE33" s="24">
        <f t="shared" si="28"/>
        <v>431439.34756767907</v>
      </c>
      <c r="AF33" s="24" cm="1">
        <f t="array" ref="AF33">INDEX('msci-indices'!C:C,MATCH($L33,'msci-indices'!$B:$B)+1)</f>
        <v>1119.437079</v>
      </c>
      <c r="AG33" s="24" cm="1">
        <f t="array" ref="AG33">INDEX('msci-indices'!D:D,MATCH($L33,'msci-indices'!$B:$B)+1)</f>
        <v>1088.458187</v>
      </c>
      <c r="AH33" s="24">
        <f t="shared" si="5"/>
        <v>269.6495922297994</v>
      </c>
      <c r="AI33" s="24">
        <f t="shared" si="6"/>
        <v>470338.25180730608</v>
      </c>
      <c r="AJ33" s="24">
        <f t="shared" si="29"/>
        <v>338195.68311979377</v>
      </c>
      <c r="AK33" s="24">
        <f t="shared" si="7"/>
        <v>132142.56868751231</v>
      </c>
      <c r="AL33" s="24">
        <f>AJ33*(_xlfn.XLOOKUP(Q_end,cpi!A:A,cpi!B:B)/BH33)</f>
        <v>471000.14771351451</v>
      </c>
      <c r="AM33" s="24" cm="1">
        <f t="array" ref="AM33">SUMPRODUCT($AA$3:AA33,_xlfn.SORTBY($BH$3:BH33,_xlfn.SEQUENCE(ROWS($BH$3:BH33)),-1)/$BH$3)</f>
        <v>397153.37554933404</v>
      </c>
      <c r="AN33" s="24">
        <f t="shared" si="30"/>
        <v>73184.876257972035</v>
      </c>
      <c r="AO33" s="24">
        <f t="shared" si="8"/>
        <v>0</v>
      </c>
      <c r="AP33" s="24">
        <f t="shared" si="31"/>
        <v>470338.25180730608</v>
      </c>
      <c r="AQ33" s="24"/>
      <c r="AR33" s="12">
        <f>IF($B$10="3BR_H",
INDEX('ns-combined'!$C:$BH,MATCH($L33,'ns-combined'!$B:$B,0),MATCH(Council_Area,'ns-combined'!$C$1:$BH$1,0))*1000,
INDEX('s-combined'!$C:$BH,MATCH($L33,'s-combined'!$B:$B,0),MATCH(Council_Area,'s-combined'!$C$1:$BH$1,0))*1000)</f>
        <v>650000</v>
      </c>
      <c r="AS33" s="24">
        <f t="shared" si="36"/>
        <v>35650</v>
      </c>
      <c r="AT33" s="12">
        <v>0</v>
      </c>
      <c r="AU33" s="24">
        <f t="shared" si="9"/>
        <v>13000</v>
      </c>
      <c r="AV33" s="24">
        <f t="shared" si="10"/>
        <v>1868.75</v>
      </c>
      <c r="AW33" s="24">
        <f>SUM($AV$3:AV33)</f>
        <v>47808.375</v>
      </c>
      <c r="AX33" s="24">
        <f t="shared" si="32"/>
        <v>553541.625</v>
      </c>
      <c r="AY33" s="24">
        <f t="shared" si="11"/>
        <v>1978.0000000000002</v>
      </c>
      <c r="AZ33" s="26">
        <f t="shared" si="12"/>
        <v>1.2172307692307694E-2</v>
      </c>
      <c r="BA33" s="26">
        <f t="shared" si="13"/>
        <v>0.35000000000000003</v>
      </c>
      <c r="BB33" s="27">
        <f>IF(MortgageRate="Discounted",_xlfn.XLOOKUP(L33,'mortgage-rates'!$A:$A,'mortgage-rates'!$E:$E)/100,_xlfn.XLOOKUP(L33,'mortgage-rates'!$A:$A,'mortgage-rates'!$D:$D)/100)</f>
        <v>5.0799999999999998E-2</v>
      </c>
      <c r="BC33" s="12">
        <f t="shared" si="38"/>
        <v>312130.97474403691</v>
      </c>
      <c r="BD33" s="12">
        <f t="shared" si="14"/>
        <v>6757.396205186762</v>
      </c>
      <c r="BE33" s="12">
        <f t="shared" si="15"/>
        <v>3964.0633792492686</v>
      </c>
      <c r="BF33" s="12">
        <f t="shared" si="37"/>
        <v>2793.3328259374935</v>
      </c>
      <c r="BG33" s="14">
        <f t="shared" si="33"/>
        <v>8735.396205186762</v>
      </c>
      <c r="BH33" s="24">
        <f>INDEX(cpi!B:B,MATCH($L33,cpi!A:A))</f>
        <v>103.9</v>
      </c>
      <c r="BI33" s="24">
        <f t="shared" si="16"/>
        <v>122.81323877068559</v>
      </c>
      <c r="BJ33" s="24">
        <f t="shared" si="17"/>
        <v>136.51427048544301</v>
      </c>
      <c r="BK33" s="24">
        <f t="shared" si="18"/>
        <v>138.62721424474736</v>
      </c>
      <c r="BL33" s="24">
        <f t="shared" si="19"/>
        <v>137.14815361323431</v>
      </c>
      <c r="BM33" s="24">
        <f t="shared" si="20"/>
        <v>271.63577701133022</v>
      </c>
      <c r="BN33" s="24">
        <f t="shared" si="21"/>
        <v>141.30434782608697</v>
      </c>
      <c r="BO33">
        <f t="shared" si="22"/>
        <v>123.46813992003614</v>
      </c>
    </row>
    <row r="34" spans="1:67" x14ac:dyDescent="0.25">
      <c r="A34" t="s">
        <v>78</v>
      </c>
      <c r="B34" s="10">
        <v>7.0000000000000007E-2</v>
      </c>
      <c r="C34" s="10">
        <v>7.0000000000000007E-2</v>
      </c>
      <c r="L34" s="1">
        <f t="shared" si="34"/>
        <v>41609</v>
      </c>
      <c r="M34" s="12">
        <f t="shared" si="0"/>
        <v>504975.38913207571</v>
      </c>
      <c r="N34" s="12">
        <f t="shared" si="23"/>
        <v>311538.23308190057</v>
      </c>
      <c r="O34" s="9">
        <f t="shared" si="24"/>
        <v>1.6209098451146517</v>
      </c>
      <c r="P34" s="9">
        <f t="shared" si="1"/>
        <v>0.66276250649815582</v>
      </c>
      <c r="Q34">
        <v>32</v>
      </c>
      <c r="R34">
        <f t="shared" si="2"/>
        <v>92</v>
      </c>
      <c r="S34" s="24"/>
      <c r="T34" s="24">
        <f>IF($B$10="3BR_H",
INDEX('3BR_H-combined'!$C:$BH,MATCH($L34,'3BR_H-combined'!$B:$B,0),MATCH(Council_Area,'3BR_H-combined'!$C$1:$BH$1,0)),
INDEX('2BR_F-combined'!$C:$BH,MATCH($L34,'2BR_F-combined'!$B:$B,0),MATCH(Council_Area,'2BR_F-combined'!$C$1:$BH$1,0)))</f>
        <v>440</v>
      </c>
      <c r="U34" s="24">
        <f t="shared" si="25"/>
        <v>430</v>
      </c>
      <c r="V34" s="24">
        <f t="shared" si="35"/>
        <v>5651.4285714285716</v>
      </c>
      <c r="W34" s="24">
        <f>$B$53/4*BH34/_xlfn.XLOOKUP(Q_end,cpi!A:A,cpi!B:B)</f>
        <v>144.71319972356602</v>
      </c>
      <c r="X34" s="24">
        <f t="shared" si="3"/>
        <v>5796.1417711521372</v>
      </c>
      <c r="Y34" s="24">
        <f t="shared" si="26"/>
        <v>2949.2862129643199</v>
      </c>
      <c r="Z34" s="24">
        <f t="shared" si="27"/>
        <v>943.77158814858228</v>
      </c>
      <c r="AA34" s="24">
        <f t="shared" si="4"/>
        <v>3893.0578011129023</v>
      </c>
      <c r="AB34" s="24">
        <f>AA34*(_xlfn.XLOOKUP(Q_end,cpi!A:A,cpi!B:B)/BH34)</f>
        <v>5380.3769228370284</v>
      </c>
      <c r="AC34" s="24" cm="1">
        <f t="array" ref="AC34">INDEX('msci-indices'!C:C,MATCH($L34,'msci-indices'!$B:$B)-2)</f>
        <v>1119.437079</v>
      </c>
      <c r="AD34" s="24" cm="1">
        <f t="array" ref="AD34">INDEX('msci-indices'!D:D,MATCH($L34,'msci-indices'!$B:$B)-2)</f>
        <v>1088.458187</v>
      </c>
      <c r="AE34" s="24">
        <f t="shared" si="28"/>
        <v>474231.30960841896</v>
      </c>
      <c r="AF34" s="24" cm="1">
        <f t="array" ref="AF34">INDEX('msci-indices'!C:C,MATCH($L34,'msci-indices'!$B:$B)+1)</f>
        <v>1208.107446</v>
      </c>
      <c r="AG34" s="24" cm="1">
        <f t="array" ref="AG34">INDEX('msci-indices'!D:D,MATCH($L34,'msci-indices'!$B:$B)+1)</f>
        <v>1124.7671330000001</v>
      </c>
      <c r="AH34" s="24">
        <f t="shared" si="5"/>
        <v>296.39456850526187</v>
      </c>
      <c r="AI34" s="24">
        <f t="shared" si="6"/>
        <v>504975.38913207571</v>
      </c>
      <c r="AJ34" s="24">
        <f t="shared" si="29"/>
        <v>342088.74092090665</v>
      </c>
      <c r="AK34" s="24">
        <f t="shared" si="7"/>
        <v>162886.64821116906</v>
      </c>
      <c r="AL34" s="24">
        <f>AJ34*(_xlfn.XLOOKUP(Q_end,cpi!A:A,cpi!B:B)/BH34)</f>
        <v>472781.66963949555</v>
      </c>
      <c r="AM34" s="24" cm="1">
        <f t="array" ref="AM34">SUMPRODUCT($AA$3:AA34,_xlfn.SORTBY($BH$3:BH34,_xlfn.SEQUENCE(ROWS($BH$3:BH34)),-1)/$BH$3)</f>
        <v>403878.62111340079</v>
      </c>
      <c r="AN34" s="24">
        <f t="shared" si="30"/>
        <v>101096.76801867492</v>
      </c>
      <c r="AO34" s="24">
        <f t="shared" si="8"/>
        <v>0</v>
      </c>
      <c r="AP34" s="24">
        <f t="shared" si="31"/>
        <v>504975.38913207571</v>
      </c>
      <c r="AQ34" s="24"/>
      <c r="AR34" s="12">
        <f>IF($B$10="3BR_H",
INDEX('ns-combined'!$C:$BH,MATCH($L34,'ns-combined'!$B:$B,0),MATCH(Council_Area,'ns-combined'!$C$1:$BH$1,0))*1000,
INDEX('s-combined'!$C:$BH,MATCH($L34,'s-combined'!$B:$B,0),MATCH(Council_Area,'s-combined'!$C$1:$BH$1,0))*1000)</f>
        <v>722000</v>
      </c>
      <c r="AS34" s="24">
        <f t="shared" si="36"/>
        <v>36800</v>
      </c>
      <c r="AT34" s="12">
        <v>0</v>
      </c>
      <c r="AU34" s="24">
        <f t="shared" si="9"/>
        <v>14440</v>
      </c>
      <c r="AV34" s="24">
        <f t="shared" si="10"/>
        <v>2075.75</v>
      </c>
      <c r="AW34" s="24">
        <f>SUM($AV$3:AV34)</f>
        <v>49884.125</v>
      </c>
      <c r="AX34" s="24">
        <f t="shared" si="32"/>
        <v>620875.875</v>
      </c>
      <c r="AY34" s="24">
        <f t="shared" si="11"/>
        <v>1978.0000000000002</v>
      </c>
      <c r="AZ34" s="26">
        <f t="shared" si="12"/>
        <v>1.0958448753462606E-2</v>
      </c>
      <c r="BA34" s="26">
        <f t="shared" si="13"/>
        <v>0.35000000000000003</v>
      </c>
      <c r="BB34" s="27">
        <f>IF(MortgageRate="Discounted",_xlfn.XLOOKUP(L34,'mortgage-rates'!$A:$A,'mortgage-rates'!$E:$E)/100,_xlfn.XLOOKUP(L34,'mortgage-rates'!$A:$A,'mortgage-rates'!$D:$D)/100)</f>
        <v>5.0999999999999997E-2</v>
      </c>
      <c r="BC34" s="12">
        <f t="shared" si="38"/>
        <v>309337.64191809943</v>
      </c>
      <c r="BD34" s="12">
        <f t="shared" si="14"/>
        <v>6767.4279841164562</v>
      </c>
      <c r="BE34" s="12">
        <f t="shared" si="15"/>
        <v>3944.0549344557676</v>
      </c>
      <c r="BF34" s="12">
        <f t="shared" si="37"/>
        <v>2823.3730496606886</v>
      </c>
      <c r="BG34" s="14">
        <f t="shared" si="33"/>
        <v>8745.4279841164571</v>
      </c>
      <c r="BH34" s="24">
        <f>INDEX(cpi!B:B,MATCH($L34,cpi!A:A))</f>
        <v>104.7</v>
      </c>
      <c r="BI34" s="24">
        <f t="shared" si="16"/>
        <v>123.75886524822695</v>
      </c>
      <c r="BJ34" s="24">
        <f t="shared" si="17"/>
        <v>148.29345801472445</v>
      </c>
      <c r="BK34" s="24">
        <f t="shared" si="18"/>
        <v>152.66830069587706</v>
      </c>
      <c r="BL34" s="24">
        <f t="shared" si="19"/>
        <v>149.60591081907023</v>
      </c>
      <c r="BM34" s="24">
        <f t="shared" si="20"/>
        <v>298.57775141470171</v>
      </c>
      <c r="BN34" s="24">
        <f t="shared" si="21"/>
        <v>156.95652173913044</v>
      </c>
      <c r="BO34">
        <f t="shared" si="22"/>
        <v>138.48712715592953</v>
      </c>
    </row>
    <row r="35" spans="1:67" x14ac:dyDescent="0.25">
      <c r="A35" t="s">
        <v>80</v>
      </c>
      <c r="B35" s="10">
        <v>0.05</v>
      </c>
      <c r="C35" s="10">
        <v>0.05</v>
      </c>
      <c r="L35" s="1">
        <f t="shared" si="34"/>
        <v>41699</v>
      </c>
      <c r="M35" s="12">
        <f t="shared" ref="M35:M66" si="39">AP35</f>
        <v>517032.83275146037</v>
      </c>
      <c r="N35" s="12">
        <f t="shared" ref="N35:N66" si="40">AX35-BC35</f>
        <v>270096.60613156128</v>
      </c>
      <c r="O35" s="9">
        <f t="shared" si="24"/>
        <v>1.9142514974794573</v>
      </c>
      <c r="P35" s="9">
        <f t="shared" ref="P35:P66" si="41">X35/BG35</f>
        <v>0.6753639827883795</v>
      </c>
      <c r="Q35">
        <v>33</v>
      </c>
      <c r="R35">
        <f t="shared" ref="R35:R66" si="42">EOMONTH(L35,0)-EOMONTH(L35,-3)</f>
        <v>90</v>
      </c>
      <c r="S35" s="24"/>
      <c r="T35" s="24">
        <f>IF($B$10="3BR_H",
INDEX('3BR_H-combined'!$C:$BH,MATCH($L35,'3BR_H-combined'!$B:$B,0),MATCH(Council_Area,'3BR_H-combined'!$C$1:$BH$1,0)),
INDEX('2BR_F-combined'!$C:$BH,MATCH($L35,'2BR_F-combined'!$B:$B,0),MATCH(Council_Area,'2BR_F-combined'!$C$1:$BH$1,0)))</f>
        <v>450</v>
      </c>
      <c r="U35" s="24">
        <f t="shared" si="25"/>
        <v>450</v>
      </c>
      <c r="V35" s="24">
        <f t="shared" si="35"/>
        <v>5785.7142857142853</v>
      </c>
      <c r="W35" s="24">
        <f>$B$53/4*BH35/_xlfn.XLOOKUP(Q_end,cpi!A:A,cpi!B:B)</f>
        <v>145.6807187284036</v>
      </c>
      <c r="X35" s="24">
        <f t="shared" ref="X35:X66" si="43">V35+W35</f>
        <v>5931.3950044426892</v>
      </c>
      <c r="Y35" s="24">
        <f t="shared" ref="Y35:Y66" si="44">BG35-X35</f>
        <v>2851.1210248452535</v>
      </c>
      <c r="Z35" s="24">
        <f t="shared" si="27"/>
        <v>912.35872795048101</v>
      </c>
      <c r="AA35" s="24">
        <f t="shared" ref="AA35:AA66" si="45">(Y35+Z35)*eff_invest</f>
        <v>3763.4797527957344</v>
      </c>
      <c r="AB35" s="24">
        <f>AA35*(_xlfn.XLOOKUP(Q_end,cpi!A:A,cpi!B:B)/BH35)</f>
        <v>5166.7506663144468</v>
      </c>
      <c r="AC35" s="24" cm="1">
        <f t="array" ref="AC35">INDEX('msci-indices'!C:C,MATCH($L35,'msci-indices'!$B:$B)-2)</f>
        <v>1208.107446</v>
      </c>
      <c r="AD35" s="24" cm="1">
        <f t="array" ref="AD35">INDEX('msci-indices'!D:D,MATCH($L35,'msci-indices'!$B:$B)-2)</f>
        <v>1124.7671330000001</v>
      </c>
      <c r="AE35" s="24">
        <f t="shared" si="28"/>
        <v>508738.86888487142</v>
      </c>
      <c r="AF35" s="24" cm="1">
        <f t="array" ref="AF35">INDEX('msci-indices'!C:C,MATCH($L35,'msci-indices'!$B:$B)+1)</f>
        <v>1225.920044</v>
      </c>
      <c r="AG35" s="24" cm="1">
        <f t="array" ref="AG35">INDEX('msci-indices'!D:D,MATCH($L35,'msci-indices'!$B:$B)+1)</f>
        <v>1149.5383919999999</v>
      </c>
      <c r="AH35" s="24">
        <f t="shared" ref="AH35:AH66" si="46">(InvestFees/4)*AE35</f>
        <v>317.96179305304463</v>
      </c>
      <c r="AI35" s="24">
        <f t="shared" ref="AI35:AI66" si="47">((AF35/AC35)*GlobalPortfolio+(AG35/AD35)*AusPortfolio)*AE35-AH35</f>
        <v>517032.83275146037</v>
      </c>
      <c r="AJ35" s="24">
        <f t="shared" si="29"/>
        <v>345852.22067370237</v>
      </c>
      <c r="AK35" s="24">
        <f t="shared" ref="AK35:AK66" si="48">AI35-AJ35</f>
        <v>171180.61207775801</v>
      </c>
      <c r="AL35" s="24">
        <f>AJ35*(_xlfn.XLOOKUP(Q_end,cpi!A:A,cpi!B:B)/BH35)</f>
        <v>474808.50409378292</v>
      </c>
      <c r="AM35" s="24" cm="1">
        <f t="array" ref="AM35">SUMPRODUCT($AA$3:AA35,_xlfn.SORTBY($BH$3:BH35,_xlfn.SEQUENCE(ROWS($BH$3:BH35)),-1)/$BH$3)</f>
        <v>410309.86455746816</v>
      </c>
      <c r="AN35" s="24">
        <f t="shared" si="30"/>
        <v>106722.96819399222</v>
      </c>
      <c r="AO35" s="24">
        <f t="shared" ref="AO35:AO66" si="49">IF($B$49="Real gains",MAX($B$50*AN35,0),IF($B$49="Discounted nominal gains",MAX($B$50*AK35/2,0),0))</f>
        <v>0</v>
      </c>
      <c r="AP35" s="24">
        <f t="shared" si="31"/>
        <v>517032.83275146037</v>
      </c>
      <c r="AQ35" s="24"/>
      <c r="AR35" s="12">
        <f>IF($B$10="3BR_H",
INDEX('ns-combined'!$C:$BH,MATCH($L35,'ns-combined'!$B:$B,0),MATCH(Council_Area,'ns-combined'!$C$1:$BH$1,0))*1000,
INDEX('s-combined'!$C:$BH,MATCH($L35,'s-combined'!$B:$B,0),MATCH(Council_Area,'s-combined'!$C$1:$BH$1,0))*1000)</f>
        <v>680000</v>
      </c>
      <c r="AS35" s="24">
        <f t="shared" si="36"/>
        <v>37950</v>
      </c>
      <c r="AT35" s="12">
        <v>0</v>
      </c>
      <c r="AU35" s="24">
        <f t="shared" ref="AU35:AU66" si="50">SUM($B$28:$B$29)*AR35</f>
        <v>13600</v>
      </c>
      <c r="AV35" s="24">
        <f t="shared" ref="AV35:AV66" si="51">AR35*$B$15/4</f>
        <v>1955</v>
      </c>
      <c r="AW35" s="24">
        <f>SUM($AV$3:AV35)</f>
        <v>51839.125</v>
      </c>
      <c r="AX35" s="24">
        <f t="shared" ref="AX35:AX66" si="52">AR35-AS35-AU35-AW35</f>
        <v>576610.875</v>
      </c>
      <c r="AY35" s="24">
        <f t="shared" ref="AY35:AY66" si="53">$B$36*V35</f>
        <v>2025</v>
      </c>
      <c r="AZ35" s="26">
        <f t="shared" ref="AZ35:AZ66" si="54">SUM(AY35:AY35)*4/AR35</f>
        <v>1.1911764705882353E-2</v>
      </c>
      <c r="BA35" s="26">
        <f t="shared" ref="BA35:BA66" si="55">SUM(AY35:AY35)/V35</f>
        <v>0.35000000000000003</v>
      </c>
      <c r="BB35" s="27">
        <f>IF(MortgageRate="Discounted",_xlfn.XLOOKUP(L35,'mortgage-rates'!$A:$A,'mortgage-rates'!$E:$E)/100,_xlfn.XLOOKUP(L35,'mortgage-rates'!$A:$A,'mortgage-rates'!$D:$D)/100)</f>
        <v>5.0799999999999998E-2</v>
      </c>
      <c r="BC35" s="12">
        <f t="shared" si="38"/>
        <v>306514.26886843872</v>
      </c>
      <c r="BD35" s="12">
        <f t="shared" ref="BD35:BD66" si="56">IF($B$16*12/3-Q35+1&gt;0,-PMT($BB35/4,$B$16*12/3-Q35+1,BC35),0)</f>
        <v>6757.5160292879427</v>
      </c>
      <c r="BE35" s="12">
        <f t="shared" ref="BE35:BE67" si="57">BC35*($BB35/4)</f>
        <v>3892.7312146291715</v>
      </c>
      <c r="BF35" s="12">
        <f t="shared" si="37"/>
        <v>2864.7848146587712</v>
      </c>
      <c r="BG35" s="14">
        <f t="shared" ref="BG35:BG66" si="58">AT35+AY35+BD35</f>
        <v>8782.5160292879427</v>
      </c>
      <c r="BH35" s="24">
        <f>INDEX(cpi!B:B,MATCH($L35,cpi!A:A))</f>
        <v>105.4</v>
      </c>
      <c r="BI35" s="24">
        <f t="shared" ref="BI35:BI66" si="59">100*BH35/BH$3</f>
        <v>124.58628841607566</v>
      </c>
      <c r="BJ35" s="24">
        <f t="shared" ref="BJ35:BJ66" si="60">100*AC35/AC$3</f>
        <v>160.03975049738099</v>
      </c>
      <c r="BK35" s="24">
        <f t="shared" ref="BK35:BK66" si="61">100*AD35/AD$3</f>
        <v>157.76103200341271</v>
      </c>
      <c r="BL35" s="24">
        <f t="shared" ref="BL35:BL66" si="62">BJ35*GlobalPortfolio+BK35*AusPortfolio</f>
        <v>159.3561349491905</v>
      </c>
      <c r="BM35" s="24">
        <f t="shared" ref="BM35:BM66" si="63">100*AE35/$AE$3</f>
        <v>320.30383581026865</v>
      </c>
      <c r="BN35" s="24">
        <f t="shared" ref="BN35:BN66" si="64">100*AR35/AR$3</f>
        <v>147.82608695652175</v>
      </c>
      <c r="BO35">
        <f t="shared" ref="BO35:BO66" si="65">100*AX35/AX$3</f>
        <v>128.61376449135955</v>
      </c>
    </row>
    <row r="36" spans="1:67" x14ac:dyDescent="0.25">
      <c r="A36" t="s">
        <v>81</v>
      </c>
      <c r="B36" s="10">
        <f>SUM(B32:B35)</f>
        <v>0.35000000000000003</v>
      </c>
      <c r="C36" s="10"/>
      <c r="L36" s="1">
        <f t="shared" si="34"/>
        <v>41791</v>
      </c>
      <c r="M36" s="12">
        <f t="shared" si="39"/>
        <v>538561.19985012885</v>
      </c>
      <c r="N36" s="12">
        <f t="shared" si="40"/>
        <v>318712.64094622002</v>
      </c>
      <c r="O36" s="9">
        <f t="shared" si="24"/>
        <v>1.689801817245794</v>
      </c>
      <c r="P36" s="9">
        <f t="shared" si="41"/>
        <v>0.68104909948905423</v>
      </c>
      <c r="Q36">
        <v>34</v>
      </c>
      <c r="R36">
        <f t="shared" si="42"/>
        <v>91</v>
      </c>
      <c r="S36" s="24"/>
      <c r="T36" s="24">
        <f>IF($B$10="3BR_H",
INDEX('3BR_H-combined'!$C:$BH,MATCH($L36,'3BR_H-combined'!$B:$B,0),MATCH(Council_Area,'3BR_H-combined'!$C$1:$BH$1,0)),
INDEX('2BR_F-combined'!$C:$BH,MATCH($L36,'2BR_F-combined'!$B:$B,0),MATCH(Council_Area,'2BR_F-combined'!$C$1:$BH$1,0)))</f>
        <v>450</v>
      </c>
      <c r="U36" s="24">
        <f t="shared" si="25"/>
        <v>450</v>
      </c>
      <c r="V36" s="24">
        <f t="shared" si="35"/>
        <v>5850</v>
      </c>
      <c r="W36" s="24">
        <f>$B$53/4*BH36/_xlfn.XLOOKUP(Q_end,cpi!A:A,cpi!B:B)</f>
        <v>146.64823773324119</v>
      </c>
      <c r="X36" s="24">
        <f t="shared" si="43"/>
        <v>5996.6482377332413</v>
      </c>
      <c r="Y36" s="24">
        <f t="shared" si="44"/>
        <v>2808.3677915547014</v>
      </c>
      <c r="Z36" s="24">
        <f t="shared" ref="Z36:Z67" si="66">Y36*$B$47</f>
        <v>898.67769329750433</v>
      </c>
      <c r="AA36" s="24">
        <f t="shared" si="45"/>
        <v>3707.0454848522058</v>
      </c>
      <c r="AB36" s="24">
        <f>AA36*(_xlfn.XLOOKUP(Q_end,cpi!A:A,cpi!B:B)/BH36)</f>
        <v>5055.6972823573442</v>
      </c>
      <c r="AC36" s="24" cm="1">
        <f t="array" ref="AC36">INDEX('msci-indices'!C:C,MATCH($L36,'msci-indices'!$B:$B)-2)</f>
        <v>1225.920044</v>
      </c>
      <c r="AD36" s="24" cm="1">
        <f t="array" ref="AD36">INDEX('msci-indices'!D:D,MATCH($L36,'msci-indices'!$B:$B)-2)</f>
        <v>1149.5383919999999</v>
      </c>
      <c r="AE36" s="24">
        <f t="shared" ref="AE36:AE67" si="67">AI35+AA36</f>
        <v>520739.87823631259</v>
      </c>
      <c r="AF36" s="24" cm="1">
        <f t="array" ref="AF36">INDEX('msci-indices'!C:C,MATCH($L36,'msci-indices'!$B:$B)+1)</f>
        <v>1282.9430809999999</v>
      </c>
      <c r="AG36" s="24" cm="1">
        <f t="array" ref="AG36">INDEX('msci-indices'!D:D,MATCH($L36,'msci-indices'!$B:$B)+1)</f>
        <v>1158.3053090000001</v>
      </c>
      <c r="AH36" s="24">
        <f t="shared" si="46"/>
        <v>325.46242389769537</v>
      </c>
      <c r="AI36" s="24">
        <f t="shared" si="47"/>
        <v>538561.19985012885</v>
      </c>
      <c r="AJ36" s="24">
        <f t="shared" ref="AJ36:AJ67" si="68">AJ35+AA36</f>
        <v>349559.26615855459</v>
      </c>
      <c r="AK36" s="24">
        <f t="shared" si="48"/>
        <v>189001.93369157426</v>
      </c>
      <c r="AL36" s="24">
        <f>AJ36*(_xlfn.XLOOKUP(Q_end,cpi!A:A,cpi!B:B)/BH36)</f>
        <v>476731.62877608719</v>
      </c>
      <c r="AM36" s="24" cm="1">
        <f t="array" ref="AM36">SUMPRODUCT($AA$3:AA36,_xlfn.SORTBY($BH$3:BH36,_xlfn.SEQUENCE(ROWS($BH$3:BH36)),-1)/$BH$3)</f>
        <v>416722.05233446055</v>
      </c>
      <c r="AN36" s="24">
        <f t="shared" si="30"/>
        <v>121839.1475156683</v>
      </c>
      <c r="AO36" s="24">
        <f t="shared" si="49"/>
        <v>0</v>
      </c>
      <c r="AP36" s="24">
        <f t="shared" si="31"/>
        <v>538561.19985012885</v>
      </c>
      <c r="AQ36" s="24"/>
      <c r="AR36" s="12">
        <f>IF($B$10="3BR_H",
INDEX('ns-combined'!$C:$BH,MATCH($L36,'ns-combined'!$B:$B,0),MATCH(Council_Area,'ns-combined'!$C$1:$BH$1,0))*1000,
INDEX('s-combined'!$C:$BH,MATCH($L36,'s-combined'!$B:$B,0),MATCH(Council_Area,'s-combined'!$C$1:$BH$1,0))*1000)</f>
        <v>730000</v>
      </c>
      <c r="AS36" s="24">
        <f t="shared" si="36"/>
        <v>39100</v>
      </c>
      <c r="AT36" s="12">
        <v>0</v>
      </c>
      <c r="AU36" s="24">
        <f t="shared" si="50"/>
        <v>14600</v>
      </c>
      <c r="AV36" s="24">
        <f t="shared" si="51"/>
        <v>2098.75</v>
      </c>
      <c r="AW36" s="24">
        <f>SUM($AV$3:AV36)</f>
        <v>53937.875</v>
      </c>
      <c r="AX36" s="24">
        <f t="shared" si="52"/>
        <v>622362.125</v>
      </c>
      <c r="AY36" s="24">
        <f t="shared" si="53"/>
        <v>2047.5000000000002</v>
      </c>
      <c r="AZ36" s="26">
        <f t="shared" si="54"/>
        <v>1.1219178082191783E-2</v>
      </c>
      <c r="BA36" s="26">
        <f t="shared" si="55"/>
        <v>0.35000000000000003</v>
      </c>
      <c r="BB36" s="27">
        <f>IF(MortgageRate="Discounted",_xlfn.XLOOKUP(L36,'mortgage-rates'!$A:$A,'mortgage-rates'!$E:$E)/100,_xlfn.XLOOKUP(L36,'mortgage-rates'!$A:$A,'mortgage-rates'!$D:$D)/100)</f>
        <v>5.0799999999999998E-2</v>
      </c>
      <c r="BC36" s="12">
        <f t="shared" ref="BC36:BC67" si="69">BC35-BF35</f>
        <v>303649.48405377998</v>
      </c>
      <c r="BD36" s="12">
        <f t="shared" si="56"/>
        <v>6757.5160292879427</v>
      </c>
      <c r="BE36" s="12">
        <f t="shared" si="57"/>
        <v>3856.3484474830057</v>
      </c>
      <c r="BF36" s="12">
        <f t="shared" si="37"/>
        <v>2901.1675818049371</v>
      </c>
      <c r="BG36" s="14">
        <f t="shared" si="58"/>
        <v>8805.0160292879427</v>
      </c>
      <c r="BH36" s="24">
        <f>INDEX(cpi!B:B,MATCH($L36,cpi!A:A))</f>
        <v>106.1</v>
      </c>
      <c r="BI36" s="24">
        <f t="shared" si="59"/>
        <v>125.41371158392435</v>
      </c>
      <c r="BJ36" s="24">
        <f t="shared" si="60"/>
        <v>162.39941126188398</v>
      </c>
      <c r="BK36" s="24">
        <f t="shared" si="61"/>
        <v>161.2354750851913</v>
      </c>
      <c r="BL36" s="24">
        <f t="shared" si="62"/>
        <v>162.05023040887616</v>
      </c>
      <c r="BM36" s="24">
        <f t="shared" si="63"/>
        <v>327.85971479645121</v>
      </c>
      <c r="BN36" s="24">
        <f t="shared" si="64"/>
        <v>158.69565217391303</v>
      </c>
      <c r="BO36">
        <f t="shared" si="65"/>
        <v>138.81863704546342</v>
      </c>
    </row>
    <row r="37" spans="1:67" x14ac:dyDescent="0.25">
      <c r="A37" s="8" t="s">
        <v>394</v>
      </c>
      <c r="B37" s="4" cm="1">
        <f t="array" ref="B37">AVERAGE(_xlfn._xlws.FILTER($AZ$3:$AZ$82,ISNUMBER($AZ$3:$AZ$82)))</f>
        <v>1.0213382333922116E-2</v>
      </c>
      <c r="C37" s="4"/>
      <c r="L37" s="1">
        <f t="shared" si="34"/>
        <v>41883</v>
      </c>
      <c r="M37" s="12">
        <f t="shared" si="39"/>
        <v>530248.19069920678</v>
      </c>
      <c r="N37" s="12">
        <f t="shared" si="40"/>
        <v>321296.43352802494</v>
      </c>
      <c r="O37" s="9">
        <f t="shared" si="24"/>
        <v>1.6503394851812325</v>
      </c>
      <c r="P37" s="9">
        <f t="shared" si="41"/>
        <v>0.68662694759323528</v>
      </c>
      <c r="Q37">
        <v>35</v>
      </c>
      <c r="R37">
        <f t="shared" si="42"/>
        <v>92</v>
      </c>
      <c r="S37" s="24"/>
      <c r="T37" s="24">
        <f>IF($B$10="3BR_H",
INDEX('3BR_H-combined'!$C:$BH,MATCH($L37,'3BR_H-combined'!$B:$B,0),MATCH(Council_Area,'3BR_H-combined'!$C$1:$BH$1,0)),
INDEX('2BR_F-combined'!$C:$BH,MATCH($L37,'2BR_F-combined'!$B:$B,0),MATCH(Council_Area,'2BR_F-combined'!$C$1:$BH$1,0)))</f>
        <v>450</v>
      </c>
      <c r="U37" s="24">
        <f t="shared" si="25"/>
        <v>450</v>
      </c>
      <c r="V37" s="24">
        <f t="shared" si="35"/>
        <v>5914.2857142857147</v>
      </c>
      <c r="W37" s="24">
        <f>$B$53/4*BH37/_xlfn.XLOOKUP(Q_end,cpi!A:A,cpi!B:B)</f>
        <v>146.92467173462336</v>
      </c>
      <c r="X37" s="24">
        <f t="shared" si="43"/>
        <v>6061.2103860203379</v>
      </c>
      <c r="Y37" s="24">
        <f t="shared" si="44"/>
        <v>2766.3056432676067</v>
      </c>
      <c r="Z37" s="24">
        <f t="shared" si="66"/>
        <v>885.21780584563396</v>
      </c>
      <c r="AA37" s="24">
        <f t="shared" si="45"/>
        <v>3651.5234491132405</v>
      </c>
      <c r="AB37" s="24">
        <f>AA37*(_xlfn.XLOOKUP(Q_end,cpi!A:A,cpi!B:B)/BH37)</f>
        <v>4970.6062378803945</v>
      </c>
      <c r="AC37" s="24" cm="1">
        <f t="array" ref="AC37">INDEX('msci-indices'!C:C,MATCH($L37,'msci-indices'!$B:$B)-2)</f>
        <v>1282.9430809999999</v>
      </c>
      <c r="AD37" s="24" cm="1">
        <f t="array" ref="AD37">INDEX('msci-indices'!D:D,MATCH($L37,'msci-indices'!$B:$B)-2)</f>
        <v>1158.3053090000001</v>
      </c>
      <c r="AE37" s="24">
        <f t="shared" si="67"/>
        <v>542212.72329924209</v>
      </c>
      <c r="AF37" s="24" cm="1">
        <f t="array" ref="AF37">INDEX('msci-indices'!C:C,MATCH($L37,'msci-indices'!$B:$B)+1)</f>
        <v>1247.292238</v>
      </c>
      <c r="AG37" s="24" cm="1">
        <f t="array" ref="AG37">INDEX('msci-indices'!D:D,MATCH($L37,'msci-indices'!$B:$B)+1)</f>
        <v>1150.6246120000001</v>
      </c>
      <c r="AH37" s="24">
        <f t="shared" si="46"/>
        <v>338.88295206202633</v>
      </c>
      <c r="AI37" s="24">
        <f t="shared" si="47"/>
        <v>530248.19069920678</v>
      </c>
      <c r="AJ37" s="24">
        <f t="shared" si="68"/>
        <v>353210.78960766783</v>
      </c>
      <c r="AK37" s="24">
        <f t="shared" si="48"/>
        <v>177037.40109153895</v>
      </c>
      <c r="AL37" s="24">
        <f>AJ37*(_xlfn.XLOOKUP(Q_end,cpi!A:A,cpi!B:B)/BH37)</f>
        <v>480805.27992690058</v>
      </c>
      <c r="AM37" s="24" cm="1">
        <f t="array" ref="AM37">SUMPRODUCT($AA$3:AA37,_xlfn.SORTBY($BH$3:BH37,_xlfn.SEQUENCE(ROWS($BH$3:BH37)),-1)/$BH$3)</f>
        <v>422187.31332050927</v>
      </c>
      <c r="AN37" s="24">
        <f t="shared" si="30"/>
        <v>108060.87737869751</v>
      </c>
      <c r="AO37" s="24">
        <f t="shared" si="49"/>
        <v>0</v>
      </c>
      <c r="AP37" s="24">
        <f t="shared" si="31"/>
        <v>530248.19069920678</v>
      </c>
      <c r="AQ37" s="24"/>
      <c r="AR37" s="12">
        <f>IF($B$10="3BR_H",
INDEX('ns-combined'!$C:$BH,MATCH($L37,'ns-combined'!$B:$B,0),MATCH(Council_Area,'ns-combined'!$C$1:$BH$1,0))*1000,
INDEX('s-combined'!$C:$BH,MATCH($L37,'s-combined'!$B:$B,0),MATCH(Council_Area,'s-combined'!$C$1:$BH$1,0))*1000)</f>
        <v>733000</v>
      </c>
      <c r="AS37" s="24">
        <f t="shared" si="36"/>
        <v>40250</v>
      </c>
      <c r="AT37" s="12">
        <v>0</v>
      </c>
      <c r="AU37" s="24">
        <f t="shared" si="50"/>
        <v>14660</v>
      </c>
      <c r="AV37" s="24">
        <f t="shared" si="51"/>
        <v>2107.375</v>
      </c>
      <c r="AW37" s="24">
        <f>SUM($AV$3:AV37)</f>
        <v>56045.25</v>
      </c>
      <c r="AX37" s="24">
        <f t="shared" si="52"/>
        <v>622044.75</v>
      </c>
      <c r="AY37" s="24">
        <f t="shared" si="53"/>
        <v>2070.0000000000005</v>
      </c>
      <c r="AZ37" s="26">
        <f t="shared" si="54"/>
        <v>1.129604365620737E-2</v>
      </c>
      <c r="BA37" s="26">
        <f t="shared" si="55"/>
        <v>0.35000000000000003</v>
      </c>
      <c r="BB37" s="27">
        <f>IF(MortgageRate="Discounted",_xlfn.XLOOKUP(L37,'mortgage-rates'!$A:$A,'mortgage-rates'!$E:$E)/100,_xlfn.XLOOKUP(L37,'mortgage-rates'!$A:$A,'mortgage-rates'!$D:$D)/100)</f>
        <v>5.0799999999999998E-2</v>
      </c>
      <c r="BC37" s="12">
        <f t="shared" si="69"/>
        <v>300748.31647197506</v>
      </c>
      <c r="BD37" s="12">
        <f t="shared" si="56"/>
        <v>6757.5160292879445</v>
      </c>
      <c r="BE37" s="12">
        <f t="shared" si="57"/>
        <v>3819.5036191940831</v>
      </c>
      <c r="BF37" s="12">
        <f t="shared" si="37"/>
        <v>2938.0124100938615</v>
      </c>
      <c r="BG37" s="14">
        <f t="shared" si="58"/>
        <v>8827.5160292879445</v>
      </c>
      <c r="BH37" s="24">
        <f>INDEX(cpi!B:B,MATCH($L37,cpi!A:A))</f>
        <v>106.3</v>
      </c>
      <c r="BI37" s="24">
        <f t="shared" si="59"/>
        <v>125.6501182033097</v>
      </c>
      <c r="BJ37" s="24">
        <f t="shared" si="60"/>
        <v>169.95333591014156</v>
      </c>
      <c r="BK37" s="24">
        <f t="shared" si="61"/>
        <v>162.46513216960426</v>
      </c>
      <c r="BL37" s="24">
        <f t="shared" si="62"/>
        <v>167.70687478798038</v>
      </c>
      <c r="BM37" s="24">
        <f t="shared" si="63"/>
        <v>341.37909587793172</v>
      </c>
      <c r="BN37" s="24">
        <f t="shared" si="64"/>
        <v>159.34782608695653</v>
      </c>
      <c r="BO37">
        <f t="shared" si="65"/>
        <v>138.74784616156717</v>
      </c>
    </row>
    <row r="38" spans="1:67" x14ac:dyDescent="0.25">
      <c r="A38" s="8" t="s">
        <v>395</v>
      </c>
      <c r="B38" s="34" cm="1">
        <f t="array" ref="B38">AVERAGE(_xlfn._xlws.FILTER($BA$3:$BA$82,ISNUMBER($BA$3:$BA$82)))</f>
        <v>0.35000000000000048</v>
      </c>
      <c r="C38" s="34"/>
      <c r="L38" s="1">
        <f t="shared" si="34"/>
        <v>41974</v>
      </c>
      <c r="M38" s="12">
        <f t="shared" si="39"/>
        <v>542454.34403050714</v>
      </c>
      <c r="N38" s="12">
        <f t="shared" si="40"/>
        <v>401101.32093811879</v>
      </c>
      <c r="O38" s="9">
        <f t="shared" si="24"/>
        <v>1.3524122602283728</v>
      </c>
      <c r="P38" s="9">
        <f t="shared" si="41"/>
        <v>0.68665826263140295</v>
      </c>
      <c r="Q38">
        <v>36</v>
      </c>
      <c r="R38">
        <f t="shared" si="42"/>
        <v>92</v>
      </c>
      <c r="S38" s="24"/>
      <c r="T38" s="24">
        <f>IF($B$10="3BR_H",
INDEX('3BR_H-combined'!$C:$BH,MATCH($L38,'3BR_H-combined'!$B:$B,0),MATCH(Council_Area,'3BR_H-combined'!$C$1:$BH$1,0)),
INDEX('2BR_F-combined'!$C:$BH,MATCH($L38,'2BR_F-combined'!$B:$B,0),MATCH(Council_Area,'2BR_F-combined'!$C$1:$BH$1,0)))</f>
        <v>450</v>
      </c>
      <c r="U38" s="24">
        <f t="shared" si="25"/>
        <v>450</v>
      </c>
      <c r="V38" s="24">
        <f t="shared" si="35"/>
        <v>5914.2857142857147</v>
      </c>
      <c r="W38" s="24">
        <f>$B$53/4*BH38/_xlfn.XLOOKUP(Q_end,cpi!A:A,cpi!B:B)</f>
        <v>147.20110573600553</v>
      </c>
      <c r="X38" s="24">
        <f t="shared" si="43"/>
        <v>6061.4868200217206</v>
      </c>
      <c r="Y38" s="24">
        <f t="shared" si="44"/>
        <v>2766.0292092662239</v>
      </c>
      <c r="Z38" s="24">
        <f t="shared" si="66"/>
        <v>885.12934696519153</v>
      </c>
      <c r="AA38" s="24">
        <f t="shared" si="45"/>
        <v>3651.1585562314153</v>
      </c>
      <c r="AB38" s="24">
        <f>AA38*(_xlfn.XLOOKUP(Q_end,cpi!A:A,cpi!B:B)/BH38)</f>
        <v>4960.7759914242797</v>
      </c>
      <c r="AC38" s="24" cm="1">
        <f t="array" ref="AC38">INDEX('msci-indices'!C:C,MATCH($L38,'msci-indices'!$B:$B)-2)</f>
        <v>1247.292238</v>
      </c>
      <c r="AD38" s="24" cm="1">
        <f t="array" ref="AD38">INDEX('msci-indices'!D:D,MATCH($L38,'msci-indices'!$B:$B)-2)</f>
        <v>1150.6246120000001</v>
      </c>
      <c r="AE38" s="24">
        <f t="shared" si="67"/>
        <v>533899.3492554382</v>
      </c>
      <c r="AF38" s="24" cm="1">
        <f t="array" ref="AF38">INDEX('msci-indices'!C:C,MATCH($L38,'msci-indices'!$B:$B)+1)</f>
        <v>1262.6926370000001</v>
      </c>
      <c r="AG38" s="24" cm="1">
        <f t="array" ref="AG38">INDEX('msci-indices'!D:D,MATCH($L38,'msci-indices'!$B:$B)+1)</f>
        <v>1181.3296580000001</v>
      </c>
      <c r="AH38" s="24">
        <f t="shared" si="46"/>
        <v>333.68709328464888</v>
      </c>
      <c r="AI38" s="24">
        <f t="shared" si="47"/>
        <v>542454.34403050714</v>
      </c>
      <c r="AJ38" s="24">
        <f t="shared" si="68"/>
        <v>356861.94816389924</v>
      </c>
      <c r="AK38" s="24">
        <f t="shared" si="48"/>
        <v>185592.3958666079</v>
      </c>
      <c r="AL38" s="24">
        <f>AJ38*(_xlfn.XLOOKUP(Q_end,cpi!A:A,cpi!B:B)/BH38)</f>
        <v>484863.13520484709</v>
      </c>
      <c r="AM38" s="24" cm="1">
        <f t="array" ref="AM38">SUMPRODUCT($AA$3:AA38,_xlfn.SORTBY($BH$3:BH38,_xlfn.SEQUENCE(ROWS($BH$3:BH38)),-1)/$BH$3)</f>
        <v>427669.36329772981</v>
      </c>
      <c r="AN38" s="24">
        <f t="shared" si="30"/>
        <v>114784.98073277733</v>
      </c>
      <c r="AO38" s="24">
        <f t="shared" si="49"/>
        <v>0</v>
      </c>
      <c r="AP38" s="24">
        <f t="shared" si="31"/>
        <v>542454.34403050714</v>
      </c>
      <c r="AQ38" s="24"/>
      <c r="AR38" s="12">
        <f>IF($B$10="3BR_H",
INDEX('ns-combined'!$C:$BH,MATCH($L38,'ns-combined'!$B:$B,0),MATCH(Council_Area,'ns-combined'!$C$1:$BH$1,0))*1000,
INDEX('s-combined'!$C:$BH,MATCH($L38,'s-combined'!$B:$B,0),MATCH(Council_Area,'s-combined'!$C$1:$BH$1,0))*1000)</f>
        <v>815000</v>
      </c>
      <c r="AS38" s="24">
        <f t="shared" si="36"/>
        <v>41400</v>
      </c>
      <c r="AT38" s="12">
        <v>0</v>
      </c>
      <c r="AU38" s="24">
        <f t="shared" si="50"/>
        <v>16300</v>
      </c>
      <c r="AV38" s="24">
        <f t="shared" si="51"/>
        <v>2343.125</v>
      </c>
      <c r="AW38" s="24">
        <f>SUM($AV$3:AV38)</f>
        <v>58388.375</v>
      </c>
      <c r="AX38" s="24">
        <f t="shared" si="52"/>
        <v>698911.625</v>
      </c>
      <c r="AY38" s="24">
        <f t="shared" si="53"/>
        <v>2070.0000000000005</v>
      </c>
      <c r="AZ38" s="26">
        <f t="shared" si="54"/>
        <v>1.015950920245399E-2</v>
      </c>
      <c r="BA38" s="26">
        <f t="shared" si="55"/>
        <v>0.35000000000000003</v>
      </c>
      <c r="BB38" s="27">
        <f>IF(MortgageRate="Discounted",_xlfn.XLOOKUP(L38,'mortgage-rates'!$A:$A,'mortgage-rates'!$E:$E)/100,_xlfn.XLOOKUP(L38,'mortgage-rates'!$A:$A,'mortgage-rates'!$D:$D)/100)</f>
        <v>5.0799999999999998E-2</v>
      </c>
      <c r="BC38" s="12">
        <f t="shared" si="69"/>
        <v>297810.30406188121</v>
      </c>
      <c r="BD38" s="12">
        <f t="shared" si="56"/>
        <v>6757.5160292879445</v>
      </c>
      <c r="BE38" s="12">
        <f t="shared" si="57"/>
        <v>3782.1908615858911</v>
      </c>
      <c r="BF38" s="12">
        <f t="shared" si="37"/>
        <v>2975.3251677020535</v>
      </c>
      <c r="BG38" s="14">
        <f t="shared" si="58"/>
        <v>8827.5160292879445</v>
      </c>
      <c r="BH38" s="24">
        <f>INDEX(cpi!B:B,MATCH($L38,cpi!A:A))</f>
        <v>106.5</v>
      </c>
      <c r="BI38" s="24">
        <f t="shared" si="59"/>
        <v>125.88652482269504</v>
      </c>
      <c r="BJ38" s="24">
        <f t="shared" si="60"/>
        <v>165.23061688574342</v>
      </c>
      <c r="BK38" s="24">
        <f t="shared" si="61"/>
        <v>161.38782945540277</v>
      </c>
      <c r="BL38" s="24">
        <f t="shared" si="62"/>
        <v>164.07778065664121</v>
      </c>
      <c r="BM38" s="24">
        <f t="shared" si="63"/>
        <v>336.14496544753501</v>
      </c>
      <c r="BN38" s="24">
        <f t="shared" si="64"/>
        <v>177.17391304347825</v>
      </c>
      <c r="BO38">
        <f t="shared" si="65"/>
        <v>155.89309712208151</v>
      </c>
    </row>
    <row r="39" spans="1:67" x14ac:dyDescent="0.25">
      <c r="A39" s="8"/>
      <c r="B39" s="34"/>
      <c r="C39" s="34"/>
      <c r="L39" s="1">
        <f t="shared" si="34"/>
        <v>42064</v>
      </c>
      <c r="M39" s="12">
        <f t="shared" si="39"/>
        <v>572370.40783226967</v>
      </c>
      <c r="N39" s="12">
        <f t="shared" si="40"/>
        <v>361498.52110582084</v>
      </c>
      <c r="O39" s="9">
        <f t="shared" si="24"/>
        <v>1.5833271076224422</v>
      </c>
      <c r="P39" s="9">
        <f t="shared" si="41"/>
        <v>0.68509101118019144</v>
      </c>
      <c r="Q39">
        <v>37</v>
      </c>
      <c r="R39">
        <f t="shared" si="42"/>
        <v>90</v>
      </c>
      <c r="S39" s="24"/>
      <c r="T39" s="24">
        <f>IF($B$10="3BR_H",
INDEX('3BR_H-combined'!$C:$BH,MATCH($L39,'3BR_H-combined'!$B:$B,0),MATCH(Council_Area,'3BR_H-combined'!$C$1:$BH$1,0)),
INDEX('2BR_F-combined'!$C:$BH,MATCH($L39,'2BR_F-combined'!$B:$B,0),MATCH(Council_Area,'2BR_F-combined'!$C$1:$BH$1,0)))</f>
        <v>450</v>
      </c>
      <c r="U39" s="24">
        <f t="shared" si="25"/>
        <v>450</v>
      </c>
      <c r="V39" s="24">
        <f t="shared" si="35"/>
        <v>5785.7142857142853</v>
      </c>
      <c r="W39" s="24">
        <f>$B$53/4*BH39/_xlfn.XLOOKUP(Q_end,cpi!A:A,cpi!B:B)</f>
        <v>147.6157567380788</v>
      </c>
      <c r="X39" s="24">
        <f t="shared" si="43"/>
        <v>5933.3300424523641</v>
      </c>
      <c r="Y39" s="24">
        <f t="shared" si="44"/>
        <v>2727.3149603643342</v>
      </c>
      <c r="Z39" s="24">
        <f t="shared" si="66"/>
        <v>872.74078731658676</v>
      </c>
      <c r="AA39" s="24">
        <f t="shared" si="45"/>
        <v>3600.0557476809208</v>
      </c>
      <c r="AB39" s="24">
        <f>AA39*(_xlfn.XLOOKUP(Q_end,cpi!A:A,cpi!B:B)/BH39)</f>
        <v>4877.6036206875397</v>
      </c>
      <c r="AC39" s="24" cm="1">
        <f t="array" ref="AC39">INDEX('msci-indices'!C:C,MATCH($L39,'msci-indices'!$B:$B)-2)</f>
        <v>1262.6926370000001</v>
      </c>
      <c r="AD39" s="24" cm="1">
        <f t="array" ref="AD39">INDEX('msci-indices'!D:D,MATCH($L39,'msci-indices'!$B:$B)-2)</f>
        <v>1181.3296580000001</v>
      </c>
      <c r="AE39" s="24">
        <f t="shared" si="67"/>
        <v>546054.39977818809</v>
      </c>
      <c r="AF39" s="24" cm="1">
        <f t="array" ref="AF39">INDEX('msci-indices'!C:C,MATCH($L39,'msci-indices'!$B:$B)+1)</f>
        <v>1295.5072580000001</v>
      </c>
      <c r="AG39" s="24" cm="1">
        <f t="array" ref="AG39">INDEX('msci-indices'!D:D,MATCH($L39,'msci-indices'!$B:$B)+1)</f>
        <v>1301.9298140000001</v>
      </c>
      <c r="AH39" s="24">
        <f t="shared" si="46"/>
        <v>341.28399986136759</v>
      </c>
      <c r="AI39" s="24">
        <f t="shared" si="47"/>
        <v>572370.40783226967</v>
      </c>
      <c r="AJ39" s="24">
        <f t="shared" si="68"/>
        <v>360462.00391158019</v>
      </c>
      <c r="AK39" s="24">
        <f t="shared" si="48"/>
        <v>211908.40392068948</v>
      </c>
      <c r="AL39" s="24">
        <f>AJ39*(_xlfn.XLOOKUP(Q_end,cpi!A:A,cpi!B:B)/BH39)</f>
        <v>488378.76372664468</v>
      </c>
      <c r="AM39" s="24" cm="1">
        <f t="array" ref="AM39">SUMPRODUCT($AA$3:AA39,_xlfn.SORTBY($BH$3:BH39,_xlfn.SEQUENCE(ROWS($BH$3:BH39)),-1)/$BH$3)</f>
        <v>433289.05471615907</v>
      </c>
      <c r="AN39" s="24">
        <f t="shared" si="30"/>
        <v>139081.35311611061</v>
      </c>
      <c r="AO39" s="24">
        <f t="shared" si="49"/>
        <v>0</v>
      </c>
      <c r="AP39" s="24">
        <f t="shared" si="31"/>
        <v>572370.40783226967</v>
      </c>
      <c r="AQ39" s="24"/>
      <c r="AR39" s="12">
        <f>IF($B$10="3BR_H",
INDEX('ns-combined'!$C:$BH,MATCH($L39,'ns-combined'!$B:$B,0),MATCH(Council_Area,'ns-combined'!$C$1:$BH$1,0))*1000,
INDEX('s-combined'!$C:$BH,MATCH($L39,'s-combined'!$B:$B,0),MATCH(Council_Area,'s-combined'!$C$1:$BH$1,0))*1000)</f>
        <v>775000</v>
      </c>
      <c r="AS39" s="24">
        <f t="shared" si="36"/>
        <v>42550</v>
      </c>
      <c r="AT39" s="12">
        <v>0</v>
      </c>
      <c r="AU39" s="24">
        <f t="shared" si="50"/>
        <v>15500</v>
      </c>
      <c r="AV39" s="24">
        <f t="shared" si="51"/>
        <v>2228.125</v>
      </c>
      <c r="AW39" s="24">
        <f>SUM($AV$3:AV39)</f>
        <v>60616.5</v>
      </c>
      <c r="AX39" s="24">
        <f t="shared" si="52"/>
        <v>656333.5</v>
      </c>
      <c r="AY39" s="24">
        <f t="shared" si="53"/>
        <v>2025</v>
      </c>
      <c r="AZ39" s="26">
        <f t="shared" si="54"/>
        <v>1.0451612903225806E-2</v>
      </c>
      <c r="BA39" s="26">
        <f t="shared" si="55"/>
        <v>0.35000000000000003</v>
      </c>
      <c r="BB39" s="27">
        <f>IF(MortgageRate="Discounted",_xlfn.XLOOKUP(L39,'mortgage-rates'!$A:$A,'mortgage-rates'!$E:$E)/100,_xlfn.XLOOKUP(L39,'mortgage-rates'!$A:$A,'mortgage-rates'!$D:$D)/100)</f>
        <v>4.82E-2</v>
      </c>
      <c r="BC39" s="12">
        <f t="shared" si="69"/>
        <v>294834.97889417916</v>
      </c>
      <c r="BD39" s="12">
        <f t="shared" si="56"/>
        <v>6635.6450028166983</v>
      </c>
      <c r="BE39" s="12">
        <f t="shared" si="57"/>
        <v>3552.7614956748589</v>
      </c>
      <c r="BF39" s="12">
        <f t="shared" si="37"/>
        <v>3082.8835071418393</v>
      </c>
      <c r="BG39" s="14">
        <f t="shared" si="58"/>
        <v>8660.6450028166983</v>
      </c>
      <c r="BH39" s="24">
        <f>INDEX(cpi!B:B,MATCH($L39,cpi!A:A))</f>
        <v>106.8</v>
      </c>
      <c r="BI39" s="24">
        <f t="shared" si="59"/>
        <v>126.24113475177306</v>
      </c>
      <c r="BJ39" s="24">
        <f t="shared" si="60"/>
        <v>167.2707301403058</v>
      </c>
      <c r="BK39" s="24">
        <f t="shared" si="61"/>
        <v>165.69455180045574</v>
      </c>
      <c r="BL39" s="24">
        <f t="shared" si="62"/>
        <v>166.79787663835077</v>
      </c>
      <c r="BM39" s="24">
        <f t="shared" si="63"/>
        <v>343.79782931350678</v>
      </c>
      <c r="BN39" s="24">
        <f t="shared" si="64"/>
        <v>168.47826086956522</v>
      </c>
      <c r="BO39">
        <f t="shared" si="65"/>
        <v>146.39599399992193</v>
      </c>
    </row>
    <row r="40" spans="1:67" x14ac:dyDescent="0.25">
      <c r="A40" s="7" t="s">
        <v>410</v>
      </c>
      <c r="L40" s="1">
        <f t="shared" si="34"/>
        <v>42156</v>
      </c>
      <c r="M40" s="12">
        <f t="shared" si="39"/>
        <v>565817.341881008</v>
      </c>
      <c r="N40" s="12">
        <f t="shared" si="40"/>
        <v>454030.15461296268</v>
      </c>
      <c r="O40" s="9">
        <f t="shared" si="24"/>
        <v>1.2462109314376666</v>
      </c>
      <c r="P40" s="9">
        <f t="shared" si="41"/>
        <v>0.69638286415476469</v>
      </c>
      <c r="Q40">
        <v>38</v>
      </c>
      <c r="R40">
        <f t="shared" si="42"/>
        <v>91</v>
      </c>
      <c r="S40" s="24"/>
      <c r="T40" s="24">
        <f>IF($B$10="3BR_H",
INDEX('3BR_H-combined'!$C:$BH,MATCH($L40,'3BR_H-combined'!$B:$B,0),MATCH(Council_Area,'3BR_H-combined'!$C$1:$BH$1,0)),
INDEX('2BR_F-combined'!$C:$BH,MATCH($L40,'2BR_F-combined'!$B:$B,0),MATCH(Council_Area,'2BR_F-combined'!$C$1:$BH$1,0)))</f>
        <v>460</v>
      </c>
      <c r="U40" s="24">
        <f t="shared" si="25"/>
        <v>450</v>
      </c>
      <c r="V40" s="24">
        <f t="shared" si="35"/>
        <v>5850</v>
      </c>
      <c r="W40" s="24">
        <f>$B$53/4*BH40/_xlfn.XLOOKUP(Q_end,cpi!A:A,cpi!B:B)</f>
        <v>148.85970974429856</v>
      </c>
      <c r="X40" s="24">
        <f t="shared" si="43"/>
        <v>5998.8597097442989</v>
      </c>
      <c r="Y40" s="24">
        <f t="shared" si="44"/>
        <v>2615.4529313707581</v>
      </c>
      <c r="Z40" s="24">
        <f t="shared" si="66"/>
        <v>836.94493803864248</v>
      </c>
      <c r="AA40" s="24">
        <f t="shared" si="45"/>
        <v>3452.3978694094003</v>
      </c>
      <c r="AB40" s="24">
        <f>AA40*(_xlfn.XLOOKUP(Q_end,cpi!A:A,cpi!B:B)/BH40)</f>
        <v>4638.458418788674</v>
      </c>
      <c r="AC40" s="24" cm="1">
        <f t="array" ref="AC40">INDEX('msci-indices'!C:C,MATCH($L40,'msci-indices'!$B:$B)-2)</f>
        <v>1295.5072580000001</v>
      </c>
      <c r="AD40" s="24" cm="1">
        <f t="array" ref="AD40">INDEX('msci-indices'!D:D,MATCH($L40,'msci-indices'!$B:$B)-2)</f>
        <v>1301.9298140000001</v>
      </c>
      <c r="AE40" s="24">
        <f t="shared" si="67"/>
        <v>575822.80570167908</v>
      </c>
      <c r="AF40" s="24" cm="1">
        <f t="array" ref="AF40">INDEX('msci-indices'!C:C,MATCH($L40,'msci-indices'!$B:$B)+1)</f>
        <v>1301.506973</v>
      </c>
      <c r="AG40" s="24" cm="1">
        <f t="array" ref="AG40">INDEX('msci-indices'!D:D,MATCH($L40,'msci-indices'!$B:$B)+1)</f>
        <v>1215.1659059999999</v>
      </c>
      <c r="AH40" s="24">
        <f t="shared" si="46"/>
        <v>359.88925356354946</v>
      </c>
      <c r="AI40" s="24">
        <f t="shared" si="47"/>
        <v>565817.341881008</v>
      </c>
      <c r="AJ40" s="24">
        <f t="shared" si="68"/>
        <v>363914.4017809896</v>
      </c>
      <c r="AK40" s="24">
        <f t="shared" si="48"/>
        <v>201902.9401000184</v>
      </c>
      <c r="AL40" s="24">
        <f>AJ40*(_xlfn.XLOOKUP(Q_end,cpi!A:A,cpi!B:B)/BH40)</f>
        <v>488936.06255997391</v>
      </c>
      <c r="AM40" s="24" cm="1">
        <f t="array" ref="AM40">SUMPRODUCT($AA$3:AA40,_xlfn.SORTBY($BH$3:BH40,_xlfn.SEQUENCE(ROWS($BH$3:BH40)),-1)/$BH$3)</f>
        <v>439874.30804614659</v>
      </c>
      <c r="AN40" s="24">
        <f t="shared" si="30"/>
        <v>125943.03383486142</v>
      </c>
      <c r="AO40" s="24">
        <f t="shared" si="49"/>
        <v>0</v>
      </c>
      <c r="AP40" s="24">
        <f t="shared" si="31"/>
        <v>565817.341881008</v>
      </c>
      <c r="AQ40" s="24"/>
      <c r="AR40" s="12">
        <f>IF($B$10="3BR_H",
INDEX('ns-combined'!$C:$BH,MATCH($L40,'ns-combined'!$B:$B,0),MATCH(Council_Area,'ns-combined'!$C$1:$BH$1,0))*1000,
INDEX('s-combined'!$C:$BH,MATCH($L40,'s-combined'!$B:$B,0),MATCH(Council_Area,'s-combined'!$C$1:$BH$1,0))*1000)</f>
        <v>870000</v>
      </c>
      <c r="AS40" s="24">
        <f t="shared" si="36"/>
        <v>43700</v>
      </c>
      <c r="AT40" s="12">
        <v>0</v>
      </c>
      <c r="AU40" s="24">
        <f t="shared" si="50"/>
        <v>17400</v>
      </c>
      <c r="AV40" s="24">
        <f t="shared" si="51"/>
        <v>2501.25</v>
      </c>
      <c r="AW40" s="24">
        <f>SUM($AV$3:AV40)</f>
        <v>63117.75</v>
      </c>
      <c r="AX40" s="24">
        <f t="shared" si="52"/>
        <v>745782.25</v>
      </c>
      <c r="AY40" s="24">
        <f t="shared" si="53"/>
        <v>2047.5000000000002</v>
      </c>
      <c r="AZ40" s="26">
        <f t="shared" si="54"/>
        <v>9.4137931034482761E-3</v>
      </c>
      <c r="BA40" s="26">
        <f t="shared" si="55"/>
        <v>0.35000000000000003</v>
      </c>
      <c r="BB40" s="27">
        <f>IF(MortgageRate="Discounted",_xlfn.XLOOKUP(L40,'mortgage-rates'!$A:$A,'mortgage-rates'!$E:$E)/100,_xlfn.XLOOKUP(L40,'mortgage-rates'!$A:$A,'mortgage-rates'!$D:$D)/100)</f>
        <v>4.6699999999999998E-2</v>
      </c>
      <c r="BC40" s="12">
        <f t="shared" si="69"/>
        <v>291752.09538703732</v>
      </c>
      <c r="BD40" s="12">
        <f t="shared" si="56"/>
        <v>6566.8126411150561</v>
      </c>
      <c r="BE40" s="12">
        <f t="shared" si="57"/>
        <v>3406.2057136436606</v>
      </c>
      <c r="BF40" s="12">
        <f t="shared" si="37"/>
        <v>3160.6069274713955</v>
      </c>
      <c r="BG40" s="14">
        <f t="shared" si="58"/>
        <v>8614.312641115057</v>
      </c>
      <c r="BH40" s="24">
        <f>INDEX(cpi!B:B,MATCH($L40,cpi!A:A))</f>
        <v>107.7</v>
      </c>
      <c r="BI40" s="24">
        <f t="shared" si="59"/>
        <v>127.3049645390071</v>
      </c>
      <c r="BJ40" s="24">
        <f t="shared" si="60"/>
        <v>171.61773071123525</v>
      </c>
      <c r="BK40" s="24">
        <f t="shared" si="61"/>
        <v>182.61005769685053</v>
      </c>
      <c r="BL40" s="24">
        <f t="shared" si="62"/>
        <v>174.91542880691983</v>
      </c>
      <c r="BM40" s="24">
        <f t="shared" si="63"/>
        <v>362.54012558064937</v>
      </c>
      <c r="BN40" s="24">
        <f t="shared" si="64"/>
        <v>189.13043478260869</v>
      </c>
      <c r="BO40">
        <f t="shared" si="65"/>
        <v>166.3476476459731</v>
      </c>
    </row>
    <row r="41" spans="1:67" x14ac:dyDescent="0.25">
      <c r="A41" t="s">
        <v>372</v>
      </c>
      <c r="B41" s="10">
        <v>0.7</v>
      </c>
      <c r="C41" s="10">
        <v>0.7</v>
      </c>
      <c r="L41" s="1">
        <f t="shared" si="34"/>
        <v>42248</v>
      </c>
      <c r="M41" s="12">
        <f t="shared" si="39"/>
        <v>522701.92307329649</v>
      </c>
      <c r="N41" s="12">
        <f t="shared" si="40"/>
        <v>473082.01154043409</v>
      </c>
      <c r="O41" s="9">
        <f t="shared" si="24"/>
        <v>1.1048864897045898</v>
      </c>
      <c r="P41" s="9">
        <f t="shared" si="41"/>
        <v>0.70239492491783528</v>
      </c>
      <c r="Q41">
        <v>39</v>
      </c>
      <c r="R41">
        <f t="shared" si="42"/>
        <v>92</v>
      </c>
      <c r="S41" s="24"/>
      <c r="T41" s="24">
        <f>IF($B$10="3BR_H",
INDEX('3BR_H-combined'!$C:$BH,MATCH($L41,'3BR_H-combined'!$B:$B,0),MATCH(Council_Area,'3BR_H-combined'!$C$1:$BH$1,0)),
INDEX('2BR_F-combined'!$C:$BH,MATCH($L41,'2BR_F-combined'!$B:$B,0),MATCH(Council_Area,'2BR_F-combined'!$C$1:$BH$1,0)))</f>
        <v>460</v>
      </c>
      <c r="U41" s="24">
        <f t="shared" si="25"/>
        <v>450</v>
      </c>
      <c r="V41" s="24">
        <f t="shared" si="35"/>
        <v>5914.2857142857147</v>
      </c>
      <c r="W41" s="24">
        <f>$B$53/4*BH41/_xlfn.XLOOKUP(Q_end,cpi!A:A,cpi!B:B)</f>
        <v>148.99792674498966</v>
      </c>
      <c r="X41" s="24">
        <f t="shared" si="43"/>
        <v>6063.2836410307045</v>
      </c>
      <c r="Y41" s="24">
        <f t="shared" si="44"/>
        <v>2569.0162602534274</v>
      </c>
      <c r="Z41" s="24">
        <f t="shared" si="66"/>
        <v>822.0852032810966</v>
      </c>
      <c r="AA41" s="24">
        <f t="shared" si="45"/>
        <v>3391.1014635345241</v>
      </c>
      <c r="AB41" s="24">
        <f>AA41*(_xlfn.XLOOKUP(Q_end,cpi!A:A,cpi!B:B)/BH41)</f>
        <v>4551.8773819429098</v>
      </c>
      <c r="AC41" s="24" cm="1">
        <f t="array" ref="AC41">INDEX('msci-indices'!C:C,MATCH($L41,'msci-indices'!$B:$B)-2)</f>
        <v>1301.506973</v>
      </c>
      <c r="AD41" s="24" cm="1">
        <f t="array" ref="AD41">INDEX('msci-indices'!D:D,MATCH($L41,'msci-indices'!$B:$B)-2)</f>
        <v>1215.1659059999999</v>
      </c>
      <c r="AE41" s="24">
        <f t="shared" si="67"/>
        <v>569208.44334454252</v>
      </c>
      <c r="AF41" s="24" cm="1">
        <f t="array" ref="AF41">INDEX('msci-indices'!C:C,MATCH($L41,'msci-indices'!$B:$B)+1)</f>
        <v>1189.2854910000001</v>
      </c>
      <c r="AG41" s="24" cm="1">
        <f t="array" ref="AG41">INDEX('msci-indices'!D:D,MATCH($L41,'msci-indices'!$B:$B)+1)</f>
        <v>1131.230902</v>
      </c>
      <c r="AH41" s="24">
        <f t="shared" si="46"/>
        <v>355.75527709033906</v>
      </c>
      <c r="AI41" s="24">
        <f t="shared" si="47"/>
        <v>522701.92307329649</v>
      </c>
      <c r="AJ41" s="24">
        <f t="shared" si="68"/>
        <v>367305.50324452412</v>
      </c>
      <c r="AK41" s="24">
        <f t="shared" si="48"/>
        <v>155396.41982877237</v>
      </c>
      <c r="AL41" s="24">
        <f>AJ41*(_xlfn.XLOOKUP(Q_end,cpi!A:A,cpi!B:B)/BH41)</f>
        <v>493034.38144232507</v>
      </c>
      <c r="AM41" s="24" cm="1">
        <f t="array" ref="AM41">SUMPRODUCT($AA$3:AA41,_xlfn.SORTBY($BH$3:BH41,_xlfn.SEQUENCE(ROWS($BH$3:BH41)),-1)/$BH$3)</f>
        <v>444941.76840735786</v>
      </c>
      <c r="AN41" s="24">
        <f t="shared" si="30"/>
        <v>77760.154665938637</v>
      </c>
      <c r="AO41" s="24">
        <f t="shared" si="49"/>
        <v>0</v>
      </c>
      <c r="AP41" s="24">
        <f t="shared" si="31"/>
        <v>522701.92307329649</v>
      </c>
      <c r="AQ41" s="24"/>
      <c r="AR41" s="12">
        <f>IF($B$10="3BR_H",
INDEX('ns-combined'!$C:$BH,MATCH($L41,'ns-combined'!$B:$B,0),MATCH(Council_Area,'ns-combined'!$C$1:$BH$1,0))*1000,
INDEX('s-combined'!$C:$BH,MATCH($L41,'s-combined'!$B:$B,0),MATCH(Council_Area,'s-combined'!$C$1:$BH$1,0))*1000)</f>
        <v>890000</v>
      </c>
      <c r="AS41" s="24">
        <f t="shared" si="36"/>
        <v>44850</v>
      </c>
      <c r="AT41" s="12">
        <v>0</v>
      </c>
      <c r="AU41" s="24">
        <f t="shared" si="50"/>
        <v>17800</v>
      </c>
      <c r="AV41" s="24">
        <f t="shared" si="51"/>
        <v>2558.75</v>
      </c>
      <c r="AW41" s="24">
        <f>SUM($AV$3:AV41)</f>
        <v>65676.5</v>
      </c>
      <c r="AX41" s="24">
        <f t="shared" si="52"/>
        <v>761673.5</v>
      </c>
      <c r="AY41" s="24">
        <f t="shared" si="53"/>
        <v>2070.0000000000005</v>
      </c>
      <c r="AZ41" s="26">
        <f t="shared" si="54"/>
        <v>9.3033707865168552E-3</v>
      </c>
      <c r="BA41" s="26">
        <f t="shared" si="55"/>
        <v>0.35000000000000003</v>
      </c>
      <c r="BB41" s="27">
        <f>IF(MortgageRate="Discounted",_xlfn.XLOOKUP(L41,'mortgage-rates'!$A:$A,'mortgage-rates'!$E:$E)/100,_xlfn.XLOOKUP(L41,'mortgage-rates'!$A:$A,'mortgage-rates'!$D:$D)/100)</f>
        <v>4.6600000000000003E-2</v>
      </c>
      <c r="BC41" s="12">
        <f t="shared" si="69"/>
        <v>288591.48845956591</v>
      </c>
      <c r="BD41" s="12">
        <f t="shared" si="56"/>
        <v>6562.2999012841319</v>
      </c>
      <c r="BE41" s="12">
        <f t="shared" si="57"/>
        <v>3362.0908405539431</v>
      </c>
      <c r="BF41" s="12">
        <f t="shared" si="37"/>
        <v>3200.2090607301889</v>
      </c>
      <c r="BG41" s="14">
        <f t="shared" si="58"/>
        <v>8632.2999012841319</v>
      </c>
      <c r="BH41" s="24">
        <f>INDEX(cpi!B:B,MATCH($L41,cpi!A:A))</f>
        <v>107.8</v>
      </c>
      <c r="BI41" s="24">
        <f t="shared" si="59"/>
        <v>127.42316784869978</v>
      </c>
      <c r="BJ41" s="24">
        <f t="shared" si="60"/>
        <v>172.41252168354035</v>
      </c>
      <c r="BK41" s="24">
        <f t="shared" si="61"/>
        <v>170.44045986176764</v>
      </c>
      <c r="BL41" s="24">
        <f t="shared" si="62"/>
        <v>171.82090313700854</v>
      </c>
      <c r="BM41" s="24">
        <f t="shared" si="63"/>
        <v>358.37569906636764</v>
      </c>
      <c r="BN41" s="24">
        <f t="shared" si="64"/>
        <v>193.47826086956522</v>
      </c>
      <c r="BO41">
        <f t="shared" si="65"/>
        <v>169.89221049344508</v>
      </c>
    </row>
    <row r="42" spans="1:67" x14ac:dyDescent="0.25">
      <c r="A42" t="s">
        <v>373</v>
      </c>
      <c r="B42" s="10">
        <f>1-GlobalPortfolio</f>
        <v>0.30000000000000004</v>
      </c>
      <c r="C42" s="10">
        <v>0.30000000000000004</v>
      </c>
      <c r="L42" s="1">
        <f t="shared" si="34"/>
        <v>42339</v>
      </c>
      <c r="M42" s="12">
        <f t="shared" si="39"/>
        <v>555664.50361447386</v>
      </c>
      <c r="N42" s="12">
        <f t="shared" si="40"/>
        <v>492115.97060116427</v>
      </c>
      <c r="O42" s="9">
        <f t="shared" si="24"/>
        <v>1.1291332466525712</v>
      </c>
      <c r="P42" s="9">
        <f t="shared" si="41"/>
        <v>0.69635307618642206</v>
      </c>
      <c r="Q42">
        <v>40</v>
      </c>
      <c r="R42">
        <f t="shared" si="42"/>
        <v>92</v>
      </c>
      <c r="S42" s="24"/>
      <c r="T42" s="24">
        <f>IF($B$10="3BR_H",
INDEX('3BR_H-combined'!$C:$BH,MATCH($L42,'3BR_H-combined'!$B:$B,0),MATCH(Council_Area,'3BR_H-combined'!$C$1:$BH$1,0)),
INDEX('2BR_F-combined'!$C:$BH,MATCH($L42,'2BR_F-combined'!$B:$B,0),MATCH(Council_Area,'2BR_F-combined'!$C$1:$BH$1,0)))</f>
        <v>460</v>
      </c>
      <c r="U42" s="24">
        <f t="shared" si="25"/>
        <v>450</v>
      </c>
      <c r="V42" s="24">
        <f t="shared" si="35"/>
        <v>5914.2857142857147</v>
      </c>
      <c r="W42" s="24">
        <f>$B$53/4*BH42/_xlfn.XLOOKUP(Q_end,cpi!A:A,cpi!B:B)</f>
        <v>149.68901174844507</v>
      </c>
      <c r="X42" s="24">
        <f t="shared" si="43"/>
        <v>6063.9747260341601</v>
      </c>
      <c r="Y42" s="24">
        <f t="shared" si="44"/>
        <v>2644.2150320172013</v>
      </c>
      <c r="Z42" s="24">
        <f t="shared" si="66"/>
        <v>846.14881024550425</v>
      </c>
      <c r="AA42" s="24">
        <f t="shared" si="45"/>
        <v>3490.3638422627055</v>
      </c>
      <c r="AB42" s="24">
        <f>AA42*(_xlfn.XLOOKUP(Q_end,cpi!A:A,cpi!B:B)/BH42)</f>
        <v>4663.4870542512781</v>
      </c>
      <c r="AC42" s="24" cm="1">
        <f t="array" ref="AC42">INDEX('msci-indices'!C:C,MATCH($L42,'msci-indices'!$B:$B)-2)</f>
        <v>1189.2854910000001</v>
      </c>
      <c r="AD42" s="24" cm="1">
        <f t="array" ref="AD42">INDEX('msci-indices'!D:D,MATCH($L42,'msci-indices'!$B:$B)-2)</f>
        <v>1131.230902</v>
      </c>
      <c r="AE42" s="24">
        <f t="shared" si="67"/>
        <v>526192.28691555921</v>
      </c>
      <c r="AF42" s="24" cm="1">
        <f t="array" ref="AF42">INDEX('msci-indices'!C:C,MATCH($L42,'msci-indices'!$B:$B)+1)</f>
        <v>1252.64913</v>
      </c>
      <c r="AG42" s="24" cm="1">
        <f t="array" ref="AG42">INDEX('msci-indices'!D:D,MATCH($L42,'msci-indices'!$B:$B)+1)</f>
        <v>1204.1584660000001</v>
      </c>
      <c r="AH42" s="24">
        <f t="shared" si="46"/>
        <v>328.87017932222449</v>
      </c>
      <c r="AI42" s="24">
        <f t="shared" si="47"/>
        <v>555664.50361447386</v>
      </c>
      <c r="AJ42" s="24">
        <f t="shared" si="68"/>
        <v>370795.86708678683</v>
      </c>
      <c r="AK42" s="24">
        <f t="shared" si="48"/>
        <v>184868.63652768702</v>
      </c>
      <c r="AL42" s="24">
        <f>AJ42*(_xlfn.XLOOKUP(Q_end,cpi!A:A,cpi!B:B)/BH42)</f>
        <v>495421.62481494044</v>
      </c>
      <c r="AM42" s="24" cm="1">
        <f t="array" ref="AM42">SUMPRODUCT($AA$3:AA42,_xlfn.SORTBY($BH$3:BH42,_xlfn.SEQUENCE(ROWS($BH$3:BH42)),-1)/$BH$3)</f>
        <v>450846.38630101463</v>
      </c>
      <c r="AN42" s="24">
        <f t="shared" si="30"/>
        <v>104818.11731345922</v>
      </c>
      <c r="AO42" s="24">
        <f t="shared" si="49"/>
        <v>0</v>
      </c>
      <c r="AP42" s="24">
        <f t="shared" si="31"/>
        <v>555664.50361447386</v>
      </c>
      <c r="AQ42" s="24"/>
      <c r="AR42" s="12">
        <f>IF($B$10="3BR_H",
INDEX('ns-combined'!$C:$BH,MATCH($L42,'ns-combined'!$B:$B,0),MATCH(Council_Area,'ns-combined'!$C$1:$BH$1,0))*1000,
INDEX('s-combined'!$C:$BH,MATCH($L42,'s-combined'!$B:$B,0),MATCH(Council_Area,'s-combined'!$C$1:$BH$1,0))*1000)</f>
        <v>910000</v>
      </c>
      <c r="AS42" s="24">
        <f t="shared" si="36"/>
        <v>46000</v>
      </c>
      <c r="AT42" s="12">
        <v>0</v>
      </c>
      <c r="AU42" s="24">
        <f t="shared" si="50"/>
        <v>18200</v>
      </c>
      <c r="AV42" s="24">
        <f t="shared" si="51"/>
        <v>2616.25</v>
      </c>
      <c r="AW42" s="24">
        <f>SUM($AV$3:AV42)</f>
        <v>68292.75</v>
      </c>
      <c r="AX42" s="24">
        <f t="shared" si="52"/>
        <v>777507.25</v>
      </c>
      <c r="AY42" s="24">
        <f t="shared" si="53"/>
        <v>2070.0000000000005</v>
      </c>
      <c r="AZ42" s="26">
        <f t="shared" si="54"/>
        <v>9.0989010989011004E-3</v>
      </c>
      <c r="BA42" s="26">
        <f t="shared" si="55"/>
        <v>0.35000000000000003</v>
      </c>
      <c r="BB42" s="27">
        <f>IF(MortgageRate="Discounted",_xlfn.XLOOKUP(L42,'mortgage-rates'!$A:$A,'mortgage-rates'!$E:$E)/100,_xlfn.XLOOKUP(L42,'mortgage-rates'!$A:$A,'mortgage-rates'!$D:$D)/100)</f>
        <v>4.8300000000000003E-2</v>
      </c>
      <c r="BC42" s="12">
        <f t="shared" si="69"/>
        <v>285391.27939883573</v>
      </c>
      <c r="BD42" s="12">
        <f t="shared" si="56"/>
        <v>6638.1897580513614</v>
      </c>
      <c r="BE42" s="12">
        <f t="shared" si="57"/>
        <v>3446.0996987409417</v>
      </c>
      <c r="BF42" s="12">
        <f t="shared" si="37"/>
        <v>3192.0900593104197</v>
      </c>
      <c r="BG42" s="14">
        <f t="shared" si="58"/>
        <v>8708.1897580513614</v>
      </c>
      <c r="BH42" s="24">
        <f>INDEX(cpi!B:B,MATCH($L42,cpi!A:A))</f>
        <v>108.3</v>
      </c>
      <c r="BI42" s="24">
        <f t="shared" si="59"/>
        <v>128.01418439716312</v>
      </c>
      <c r="BJ42" s="24">
        <f t="shared" si="60"/>
        <v>157.54637874303378</v>
      </c>
      <c r="BK42" s="24">
        <f t="shared" si="61"/>
        <v>158.66764710457753</v>
      </c>
      <c r="BL42" s="24">
        <f t="shared" si="62"/>
        <v>157.88275925149691</v>
      </c>
      <c r="BM42" s="24">
        <f t="shared" si="63"/>
        <v>331.29257106354942</v>
      </c>
      <c r="BN42" s="24">
        <f t="shared" si="64"/>
        <v>197.82608695652175</v>
      </c>
      <c r="BO42">
        <f t="shared" si="65"/>
        <v>173.42394789523283</v>
      </c>
    </row>
    <row r="43" spans="1:67" x14ac:dyDescent="0.25">
      <c r="A43" t="s">
        <v>393</v>
      </c>
      <c r="B43" s="4">
        <v>2.5000000000000001E-3</v>
      </c>
      <c r="C43" s="4">
        <v>2.5000000000000001E-3</v>
      </c>
      <c r="L43" s="1">
        <f t="shared" si="34"/>
        <v>42430</v>
      </c>
      <c r="M43" s="12">
        <f t="shared" si="39"/>
        <v>553082.77843792597</v>
      </c>
      <c r="N43" s="12">
        <f t="shared" si="40"/>
        <v>432914.3106604747</v>
      </c>
      <c r="O43" s="9">
        <f t="shared" si="24"/>
        <v>1.2775802620017724</v>
      </c>
      <c r="P43" s="9">
        <f t="shared" si="41"/>
        <v>0.72425905245537048</v>
      </c>
      <c r="Q43">
        <v>41</v>
      </c>
      <c r="R43">
        <f t="shared" si="42"/>
        <v>91</v>
      </c>
      <c r="S43" s="24"/>
      <c r="T43" s="24">
        <f>IF($B$10="3BR_H",
INDEX('3BR_H-combined'!$C:$BH,MATCH($L43,'3BR_H-combined'!$B:$B,0),MATCH(Council_Area,'3BR_H-combined'!$C$1:$BH$1,0)),
INDEX('2BR_F-combined'!$C:$BH,MATCH($L43,'2BR_F-combined'!$B:$B,0),MATCH(Council_Area,'2BR_F-combined'!$C$1:$BH$1,0)))</f>
        <v>480</v>
      </c>
      <c r="U43" s="24">
        <f t="shared" si="25"/>
        <v>480</v>
      </c>
      <c r="V43" s="24">
        <f t="shared" si="35"/>
        <v>6240</v>
      </c>
      <c r="W43" s="24">
        <f>$B$53/4*BH43/_xlfn.XLOOKUP(Q_end,cpi!A:A,cpi!B:B)</f>
        <v>149.550794747754</v>
      </c>
      <c r="X43" s="24">
        <f t="shared" si="43"/>
        <v>6389.5507947477536</v>
      </c>
      <c r="Y43" s="24">
        <f t="shared" si="44"/>
        <v>2432.6389633036079</v>
      </c>
      <c r="Z43" s="24">
        <f t="shared" si="66"/>
        <v>778.44446825715443</v>
      </c>
      <c r="AA43" s="24">
        <f t="shared" si="45"/>
        <v>3211.0834315607622</v>
      </c>
      <c r="AB43" s="24">
        <f>AA43*(_xlfn.XLOOKUP(Q_end,cpi!A:A,cpi!B:B)/BH43)</f>
        <v>4294.3047370318136</v>
      </c>
      <c r="AC43" s="24" cm="1">
        <f t="array" ref="AC43">INDEX('msci-indices'!C:C,MATCH($L43,'msci-indices'!$B:$B)-2)</f>
        <v>1252.64913</v>
      </c>
      <c r="AD43" s="24" cm="1">
        <f t="array" ref="AD43">INDEX('msci-indices'!D:D,MATCH($L43,'msci-indices'!$B:$B)-2)</f>
        <v>1204.1584660000001</v>
      </c>
      <c r="AE43" s="24">
        <f t="shared" si="67"/>
        <v>558875.58704603463</v>
      </c>
      <c r="AF43" s="24" cm="1">
        <f t="array" ref="AF43">INDEX('msci-indices'!C:C,MATCH($L43,'msci-indices'!$B:$B)+1)</f>
        <v>1249.9268750000001</v>
      </c>
      <c r="AG43" s="24" cm="1">
        <f t="array" ref="AG43">INDEX('msci-indices'!D:D,MATCH($L43,'msci-indices'!$B:$B)+1)</f>
        <v>1171.1690430000001</v>
      </c>
      <c r="AH43" s="24">
        <f t="shared" si="46"/>
        <v>349.29724190377163</v>
      </c>
      <c r="AI43" s="24">
        <f t="shared" si="47"/>
        <v>553082.77843792597</v>
      </c>
      <c r="AJ43" s="24">
        <f t="shared" si="68"/>
        <v>374006.95051834761</v>
      </c>
      <c r="AK43" s="24">
        <f t="shared" si="48"/>
        <v>179075.82791957835</v>
      </c>
      <c r="AL43" s="24">
        <f>AJ43*(_xlfn.XLOOKUP(Q_end,cpi!A:A,cpi!B:B)/BH43)</f>
        <v>500173.80536048888</v>
      </c>
      <c r="AM43" s="24" cm="1">
        <f t="array" ref="AM43">SUMPRODUCT($AA$3:AA43,_xlfn.SORTBY($BH$3:BH43,_xlfn.SEQUENCE(ROWS($BH$3:BH43)),-1)/$BH$3)</f>
        <v>455365.58394021791</v>
      </c>
      <c r="AN43" s="24">
        <f t="shared" si="30"/>
        <v>97717.194497708057</v>
      </c>
      <c r="AO43" s="24">
        <f t="shared" si="49"/>
        <v>0</v>
      </c>
      <c r="AP43" s="24">
        <f t="shared" si="31"/>
        <v>553082.77843792597</v>
      </c>
      <c r="AQ43" s="24"/>
      <c r="AR43" s="12">
        <f>IF($B$10="3BR_H",
INDEX('ns-combined'!$C:$BH,MATCH($L43,'ns-combined'!$B:$B,0),MATCH(Council_Area,'ns-combined'!$C$1:$BH$1,0))*1000,
INDEX('s-combined'!$C:$BH,MATCH($L43,'s-combined'!$B:$B,0),MATCH(Council_Area,'s-combined'!$C$1:$BH$1,0))*1000)</f>
        <v>850000</v>
      </c>
      <c r="AS43" s="24">
        <f t="shared" si="36"/>
        <v>47150</v>
      </c>
      <c r="AT43" s="12">
        <v>0</v>
      </c>
      <c r="AU43" s="24">
        <f t="shared" si="50"/>
        <v>17000</v>
      </c>
      <c r="AV43" s="24">
        <f t="shared" si="51"/>
        <v>2443.75</v>
      </c>
      <c r="AW43" s="24">
        <f>SUM($AV$3:AV43)</f>
        <v>70736.5</v>
      </c>
      <c r="AX43" s="24">
        <f t="shared" si="52"/>
        <v>715113.5</v>
      </c>
      <c r="AY43" s="24">
        <f t="shared" si="53"/>
        <v>2184</v>
      </c>
      <c r="AZ43" s="26">
        <f t="shared" si="54"/>
        <v>1.027764705882353E-2</v>
      </c>
      <c r="BA43" s="26">
        <f t="shared" si="55"/>
        <v>0.35</v>
      </c>
      <c r="BB43" s="27">
        <f>IF(MortgageRate="Discounted",_xlfn.XLOOKUP(L43,'mortgage-rates'!$A:$A,'mortgage-rates'!$E:$E)/100,_xlfn.XLOOKUP(L43,'mortgage-rates'!$A:$A,'mortgage-rates'!$D:$D)/100)</f>
        <v>4.8300000000000003E-2</v>
      </c>
      <c r="BC43" s="12">
        <f t="shared" si="69"/>
        <v>282199.1893395253</v>
      </c>
      <c r="BD43" s="12">
        <f t="shared" si="56"/>
        <v>6638.1897580513614</v>
      </c>
      <c r="BE43" s="12">
        <f t="shared" si="57"/>
        <v>3407.5552112747682</v>
      </c>
      <c r="BF43" s="12">
        <f t="shared" si="37"/>
        <v>3230.6345467765932</v>
      </c>
      <c r="BG43" s="14">
        <f t="shared" si="58"/>
        <v>8822.1897580513614</v>
      </c>
      <c r="BH43" s="24">
        <f>INDEX(cpi!B:B,MATCH($L43,cpi!A:A))</f>
        <v>108.2</v>
      </c>
      <c r="BI43" s="24">
        <f t="shared" si="59"/>
        <v>127.89598108747046</v>
      </c>
      <c r="BJ43" s="24">
        <f t="shared" si="60"/>
        <v>165.94025216028786</v>
      </c>
      <c r="BK43" s="24">
        <f t="shared" si="61"/>
        <v>168.89654464308245</v>
      </c>
      <c r="BL43" s="24">
        <f t="shared" si="62"/>
        <v>166.82713990512624</v>
      </c>
      <c r="BM43" s="24">
        <f t="shared" si="63"/>
        <v>351.87009528865161</v>
      </c>
      <c r="BN43" s="24">
        <f t="shared" si="64"/>
        <v>184.78260869565219</v>
      </c>
      <c r="BO43">
        <f t="shared" si="65"/>
        <v>159.50694525765206</v>
      </c>
    </row>
    <row r="44" spans="1:67" x14ac:dyDescent="0.25">
      <c r="A44" s="8" t="s">
        <v>526</v>
      </c>
      <c r="B44" t="s">
        <v>696</v>
      </c>
      <c r="C44" t="s">
        <v>404</v>
      </c>
      <c r="L44" s="1">
        <f t="shared" si="34"/>
        <v>42522</v>
      </c>
      <c r="M44" s="12">
        <f t="shared" si="39"/>
        <v>566781.46487162402</v>
      </c>
      <c r="N44" s="12">
        <f t="shared" si="40"/>
        <v>466750.57020725129</v>
      </c>
      <c r="O44" s="9">
        <f t="shared" si="24"/>
        <v>1.214313385026945</v>
      </c>
      <c r="P44" s="9">
        <f t="shared" si="41"/>
        <v>0.73299515374529112</v>
      </c>
      <c r="Q44">
        <v>42</v>
      </c>
      <c r="R44">
        <f t="shared" si="42"/>
        <v>91</v>
      </c>
      <c r="S44" s="24"/>
      <c r="T44" s="24">
        <f>IF($B$10="3BR_H",
INDEX('3BR_H-combined'!$C:$BH,MATCH($L44,'3BR_H-combined'!$B:$B,0),MATCH(Council_Area,'3BR_H-combined'!$C$1:$BH$1,0)),
INDEX('2BR_F-combined'!$C:$BH,MATCH($L44,'2BR_F-combined'!$B:$B,0),MATCH(Council_Area,'2BR_F-combined'!$C$1:$BH$1,0)))</f>
        <v>470</v>
      </c>
      <c r="U44" s="24">
        <f t="shared" si="25"/>
        <v>480</v>
      </c>
      <c r="V44" s="24">
        <f t="shared" si="35"/>
        <v>6240</v>
      </c>
      <c r="W44" s="24">
        <f>$B$53/4*BH44/_xlfn.XLOOKUP(Q_end,cpi!A:A,cpi!B:B)</f>
        <v>150.38009675190048</v>
      </c>
      <c r="X44" s="24">
        <f t="shared" si="43"/>
        <v>6390.3800967519001</v>
      </c>
      <c r="Y44" s="24">
        <f t="shared" si="44"/>
        <v>2327.7950018143001</v>
      </c>
      <c r="Z44" s="24">
        <f t="shared" si="66"/>
        <v>744.89440058057596</v>
      </c>
      <c r="AA44" s="24">
        <f t="shared" si="45"/>
        <v>3072.6894023948762</v>
      </c>
      <c r="AB44" s="24">
        <f>AA44*(_xlfn.XLOOKUP(Q_end,cpi!A:A,cpi!B:B)/BH44)</f>
        <v>4086.5639386630382</v>
      </c>
      <c r="AC44" s="24" cm="1">
        <f t="array" ref="AC44">INDEX('msci-indices'!C:C,MATCH($L44,'msci-indices'!$B:$B)-2)</f>
        <v>1249.9268750000001</v>
      </c>
      <c r="AD44" s="24" cm="1">
        <f t="array" ref="AD44">INDEX('msci-indices'!D:D,MATCH($L44,'msci-indices'!$B:$B)-2)</f>
        <v>1171.1690430000001</v>
      </c>
      <c r="AE44" s="24">
        <f t="shared" si="67"/>
        <v>556155.4678403209</v>
      </c>
      <c r="AF44" s="24" cm="1">
        <f t="array" ref="AF44">INDEX('msci-indices'!C:C,MATCH($L44,'msci-indices'!$B:$B)+1)</f>
        <v>1263.5195100000001</v>
      </c>
      <c r="AG44" s="24" cm="1">
        <f t="array" ref="AG44">INDEX('msci-indices'!D:D,MATCH($L44,'msci-indices'!$B:$B)+1)</f>
        <v>1218.479752</v>
      </c>
      <c r="AH44" s="24">
        <f t="shared" si="46"/>
        <v>347.59716740020059</v>
      </c>
      <c r="AI44" s="24">
        <f t="shared" si="47"/>
        <v>566781.46487162402</v>
      </c>
      <c r="AJ44" s="24">
        <f t="shared" si="68"/>
        <v>377079.63992074248</v>
      </c>
      <c r="AK44" s="24">
        <f t="shared" si="48"/>
        <v>189701.82495088154</v>
      </c>
      <c r="AL44" s="24">
        <f>AJ44*(_xlfn.XLOOKUP(Q_end,cpi!A:A,cpi!B:B)/BH44)</f>
        <v>501502.05787253153</v>
      </c>
      <c r="AM44" s="24" cm="1">
        <f t="array" ref="AM44">SUMPRODUCT($AA$3:AA44,_xlfn.SORTBY($BH$3:BH44,_xlfn.SEQUENCE(ROWS($BH$3:BH44)),-1)/$BH$3)</f>
        <v>461010.95111363666</v>
      </c>
      <c r="AN44" s="24">
        <f t="shared" si="30"/>
        <v>105770.51375798736</v>
      </c>
      <c r="AO44" s="24">
        <f t="shared" si="49"/>
        <v>0</v>
      </c>
      <c r="AP44" s="24">
        <f t="shared" si="31"/>
        <v>566781.46487162402</v>
      </c>
      <c r="AQ44" s="24"/>
      <c r="AR44" s="12">
        <f>IF($B$10="3BR_H",
INDEX('ns-combined'!$C:$BH,MATCH($L44,'ns-combined'!$B:$B,0),MATCH(Council_Area,'ns-combined'!$C$1:$BH$1,0))*1000,
INDEX('s-combined'!$C:$BH,MATCH($L44,'s-combined'!$B:$B,0),MATCH(Council_Area,'s-combined'!$C$1:$BH$1,0))*1000)</f>
        <v>885000</v>
      </c>
      <c r="AS44" s="24">
        <f t="shared" si="36"/>
        <v>48300</v>
      </c>
      <c r="AT44" s="12">
        <v>0</v>
      </c>
      <c r="AU44" s="24">
        <f t="shared" si="50"/>
        <v>17700</v>
      </c>
      <c r="AV44" s="24">
        <f t="shared" si="51"/>
        <v>2544.375</v>
      </c>
      <c r="AW44" s="24">
        <f>SUM($AV$3:AV44)</f>
        <v>73280.875</v>
      </c>
      <c r="AX44" s="24">
        <f t="shared" si="52"/>
        <v>745719.125</v>
      </c>
      <c r="AY44" s="24">
        <f t="shared" si="53"/>
        <v>2184</v>
      </c>
      <c r="AZ44" s="26">
        <f t="shared" si="54"/>
        <v>9.8711864406779669E-3</v>
      </c>
      <c r="BA44" s="26">
        <f t="shared" si="55"/>
        <v>0.35</v>
      </c>
      <c r="BB44" s="27">
        <f>IF(MortgageRate="Discounted",_xlfn.XLOOKUP(L44,'mortgage-rates'!$A:$A,'mortgage-rates'!$E:$E)/100,_xlfn.XLOOKUP(L44,'mortgage-rates'!$A:$A,'mortgage-rates'!$D:$D)/100)</f>
        <v>4.5899999999999996E-2</v>
      </c>
      <c r="BC44" s="12">
        <f t="shared" si="69"/>
        <v>278968.55479274871</v>
      </c>
      <c r="BD44" s="12">
        <f t="shared" si="56"/>
        <v>6534.1750985662011</v>
      </c>
      <c r="BE44" s="12">
        <f t="shared" si="57"/>
        <v>3201.164166246791</v>
      </c>
      <c r="BF44" s="12">
        <f t="shared" si="37"/>
        <v>3333.0109323194101</v>
      </c>
      <c r="BG44" s="14">
        <f t="shared" si="58"/>
        <v>8718.1750985662002</v>
      </c>
      <c r="BH44" s="24">
        <f>INDEX(cpi!B:B,MATCH($L44,cpi!A:A))</f>
        <v>108.8</v>
      </c>
      <c r="BI44" s="24">
        <f t="shared" si="59"/>
        <v>128.60520094562648</v>
      </c>
      <c r="BJ44" s="24">
        <f t="shared" si="60"/>
        <v>165.57963108106787</v>
      </c>
      <c r="BK44" s="24">
        <f t="shared" si="61"/>
        <v>164.2694131551666</v>
      </c>
      <c r="BL44" s="24">
        <f t="shared" si="62"/>
        <v>165.1865657032975</v>
      </c>
      <c r="BM44" s="24">
        <f t="shared" si="63"/>
        <v>350.15749837746802</v>
      </c>
      <c r="BN44" s="24">
        <f t="shared" si="64"/>
        <v>192.39130434782609</v>
      </c>
      <c r="BO44">
        <f t="shared" si="65"/>
        <v>166.33356753712408</v>
      </c>
    </row>
    <row r="45" spans="1:67" x14ac:dyDescent="0.25">
      <c r="A45" t="s">
        <v>407</v>
      </c>
      <c r="B45" s="10">
        <v>0.47</v>
      </c>
      <c r="C45" s="10">
        <v>0.32</v>
      </c>
      <c r="L45" s="1">
        <f t="shared" si="34"/>
        <v>42614</v>
      </c>
      <c r="M45" s="12">
        <f t="shared" si="39"/>
        <v>599328.33902876719</v>
      </c>
      <c r="N45" s="12">
        <f t="shared" si="40"/>
        <v>466389.20613957068</v>
      </c>
      <c r="O45" s="9">
        <f t="shared" si="24"/>
        <v>1.2850390427976874</v>
      </c>
      <c r="P45" s="9">
        <f t="shared" si="41"/>
        <v>0.74178744187237067</v>
      </c>
      <c r="Q45">
        <v>43</v>
      </c>
      <c r="R45">
        <f t="shared" si="42"/>
        <v>92</v>
      </c>
      <c r="S45" s="24"/>
      <c r="T45" s="24">
        <f>IF($B$10="3BR_H",
INDEX('3BR_H-combined'!$C:$BH,MATCH($L45,'3BR_H-combined'!$B:$B,0),MATCH(Council_Area,'3BR_H-combined'!$C$1:$BH$1,0)),
INDEX('2BR_F-combined'!$C:$BH,MATCH($L45,'2BR_F-combined'!$B:$B,0),MATCH(Council_Area,'2BR_F-combined'!$C$1:$BH$1,0)))</f>
        <v>470</v>
      </c>
      <c r="U45" s="24">
        <f t="shared" si="25"/>
        <v>480</v>
      </c>
      <c r="V45" s="24">
        <f t="shared" si="35"/>
        <v>6308.5714285714284</v>
      </c>
      <c r="W45" s="24">
        <f>$B$53/4*BH45/_xlfn.XLOOKUP(Q_end,cpi!A:A,cpi!B:B)</f>
        <v>151.07118175535592</v>
      </c>
      <c r="X45" s="24">
        <f t="shared" si="43"/>
        <v>6459.6426103267841</v>
      </c>
      <c r="Y45" s="24">
        <f t="shared" si="44"/>
        <v>2248.56980429941</v>
      </c>
      <c r="Z45" s="24">
        <f t="shared" si="66"/>
        <v>719.54233737581103</v>
      </c>
      <c r="AA45" s="24">
        <f t="shared" si="45"/>
        <v>2968.1121416752212</v>
      </c>
      <c r="AB45" s="24">
        <f>AA45*(_xlfn.XLOOKUP(Q_end,cpi!A:A,cpi!B:B)/BH45)</f>
        <v>3929.4220210467015</v>
      </c>
      <c r="AC45" s="24" cm="1">
        <f t="array" ref="AC45">INDEX('msci-indices'!C:C,MATCH($L45,'msci-indices'!$B:$B)-2)</f>
        <v>1263.5195100000001</v>
      </c>
      <c r="AD45" s="24" cm="1">
        <f t="array" ref="AD45">INDEX('msci-indices'!D:D,MATCH($L45,'msci-indices'!$B:$B)-2)</f>
        <v>1218.479752</v>
      </c>
      <c r="AE45" s="24">
        <f t="shared" si="67"/>
        <v>569749.57701329922</v>
      </c>
      <c r="AF45" s="24" cm="1">
        <f t="array" ref="AF45">INDEX('msci-indices'!C:C,MATCH($L45,'msci-indices'!$B:$B)+1)</f>
        <v>1329.025858</v>
      </c>
      <c r="AG45" s="24" cm="1">
        <f t="array" ref="AG45">INDEX('msci-indices'!D:D,MATCH($L45,'msci-indices'!$B:$B)+1)</f>
        <v>1284.47801</v>
      </c>
      <c r="AH45" s="24">
        <f t="shared" si="46"/>
        <v>356.09348563331201</v>
      </c>
      <c r="AI45" s="24">
        <f t="shared" si="47"/>
        <v>599328.33902876719</v>
      </c>
      <c r="AJ45" s="24">
        <f t="shared" si="68"/>
        <v>380047.75206241768</v>
      </c>
      <c r="AK45" s="24">
        <f t="shared" si="48"/>
        <v>219280.58696634951</v>
      </c>
      <c r="AL45" s="24">
        <f>AJ45*(_xlfn.XLOOKUP(Q_end,cpi!A:A,cpi!B:B)/BH45)</f>
        <v>503137.32592343853</v>
      </c>
      <c r="AM45" s="24" cm="1">
        <f t="array" ref="AM45">SUMPRODUCT($AA$3:AA45,_xlfn.SORTBY($BH$3:BH45,_xlfn.SEQUENCE(ROWS($BH$3:BH45)),-1)/$BH$3)</f>
        <v>466364.97298537032</v>
      </c>
      <c r="AN45" s="24">
        <f t="shared" si="30"/>
        <v>132963.36604339688</v>
      </c>
      <c r="AO45" s="24">
        <f t="shared" si="49"/>
        <v>0</v>
      </c>
      <c r="AP45" s="24">
        <f t="shared" si="31"/>
        <v>599328.33902876719</v>
      </c>
      <c r="AQ45" s="24"/>
      <c r="AR45" s="12">
        <f>IF($B$10="3BR_H",
INDEX('ns-combined'!$C:$BH,MATCH($L45,'ns-combined'!$B:$B,0),MATCH(Council_Area,'ns-combined'!$C$1:$BH$1,0))*1000,
INDEX('s-combined'!$C:$BH,MATCH($L45,'s-combined'!$B:$B,0),MATCH(Council_Area,'s-combined'!$C$1:$BH$1,0))*1000)</f>
        <v>885000</v>
      </c>
      <c r="AS45" s="24">
        <f t="shared" si="36"/>
        <v>49450</v>
      </c>
      <c r="AT45" s="12">
        <v>0</v>
      </c>
      <c r="AU45" s="24">
        <f t="shared" si="50"/>
        <v>17700</v>
      </c>
      <c r="AV45" s="24">
        <f t="shared" si="51"/>
        <v>2544.375</v>
      </c>
      <c r="AW45" s="24">
        <f>SUM($AV$3:AV45)</f>
        <v>75825.25</v>
      </c>
      <c r="AX45" s="24">
        <f t="shared" si="52"/>
        <v>742024.75</v>
      </c>
      <c r="AY45" s="24">
        <f t="shared" si="53"/>
        <v>2208</v>
      </c>
      <c r="AZ45" s="26">
        <f t="shared" si="54"/>
        <v>9.9796610169491529E-3</v>
      </c>
      <c r="BA45" s="26">
        <f t="shared" si="55"/>
        <v>0.35000000000000003</v>
      </c>
      <c r="BB45" s="27">
        <f>IF(MortgageRate="Discounted",_xlfn.XLOOKUP(L45,'mortgage-rates'!$A:$A,'mortgage-rates'!$E:$E)/100,_xlfn.XLOOKUP(L45,'mortgage-rates'!$A:$A,'mortgage-rates'!$D:$D)/100)</f>
        <v>4.5100000000000001E-2</v>
      </c>
      <c r="BC45" s="12">
        <f t="shared" si="69"/>
        <v>275635.54386042932</v>
      </c>
      <c r="BD45" s="12">
        <f t="shared" si="56"/>
        <v>6500.212414626194</v>
      </c>
      <c r="BE45" s="12">
        <f t="shared" si="57"/>
        <v>3107.7907570263405</v>
      </c>
      <c r="BF45" s="12">
        <f t="shared" si="37"/>
        <v>3392.4216575998535</v>
      </c>
      <c r="BG45" s="14">
        <f t="shared" si="58"/>
        <v>8708.212414626194</v>
      </c>
      <c r="BH45" s="24">
        <f>INDEX(cpi!B:B,MATCH($L45,cpi!A:A))</f>
        <v>109.3</v>
      </c>
      <c r="BI45" s="24">
        <f t="shared" si="59"/>
        <v>129.19621749408984</v>
      </c>
      <c r="BJ45" s="24">
        <f t="shared" si="60"/>
        <v>167.38026720925703</v>
      </c>
      <c r="BK45" s="24">
        <f t="shared" si="61"/>
        <v>170.90526341934137</v>
      </c>
      <c r="BL45" s="24">
        <f t="shared" si="62"/>
        <v>168.43776607228233</v>
      </c>
      <c r="BM45" s="24">
        <f t="shared" si="63"/>
        <v>358.71639878559444</v>
      </c>
      <c r="BN45" s="24">
        <f t="shared" si="64"/>
        <v>192.39130434782609</v>
      </c>
      <c r="BO45">
        <f t="shared" si="65"/>
        <v>165.50953265191183</v>
      </c>
    </row>
    <row r="46" spans="1:67" x14ac:dyDescent="0.25">
      <c r="A46" t="s">
        <v>406</v>
      </c>
      <c r="B46" s="10">
        <v>0.15</v>
      </c>
      <c r="C46" s="10">
        <v>0.15</v>
      </c>
      <c r="L46" s="1">
        <f t="shared" si="34"/>
        <v>42705</v>
      </c>
      <c r="M46" s="12">
        <f t="shared" si="39"/>
        <v>620365.82786268543</v>
      </c>
      <c r="N46" s="12">
        <f t="shared" si="40"/>
        <v>552074.25279717054</v>
      </c>
      <c r="O46" s="9">
        <f t="shared" si="24"/>
        <v>1.123699981876541</v>
      </c>
      <c r="P46" s="9">
        <f t="shared" si="41"/>
        <v>0.7418668020177771</v>
      </c>
      <c r="Q46">
        <v>44</v>
      </c>
      <c r="R46">
        <f t="shared" si="42"/>
        <v>92</v>
      </c>
      <c r="S46" s="24"/>
      <c r="T46" s="24">
        <f>IF($B$10="3BR_H",
INDEX('3BR_H-combined'!$C:$BH,MATCH($L46,'3BR_H-combined'!$B:$B,0),MATCH(Council_Area,'3BR_H-combined'!$C$1:$BH$1,0)),
INDEX('2BR_F-combined'!$C:$BH,MATCH($L46,'2BR_F-combined'!$B:$B,0),MATCH(Council_Area,'2BR_F-combined'!$C$1:$BH$1,0)))</f>
        <v>480</v>
      </c>
      <c r="U46" s="24">
        <f t="shared" si="25"/>
        <v>480</v>
      </c>
      <c r="V46" s="24">
        <f t="shared" si="35"/>
        <v>6308.5714285714284</v>
      </c>
      <c r="W46" s="24">
        <f>$B$53/4*BH46/_xlfn.XLOOKUP(Q_end,cpi!A:A,cpi!B:B)</f>
        <v>151.76226675881134</v>
      </c>
      <c r="X46" s="24">
        <f t="shared" si="43"/>
        <v>6460.3336953302396</v>
      </c>
      <c r="Y46" s="24">
        <f t="shared" si="44"/>
        <v>2247.8787192959544</v>
      </c>
      <c r="Z46" s="24">
        <f t="shared" si="66"/>
        <v>719.32119017470529</v>
      </c>
      <c r="AA46" s="24">
        <f t="shared" si="45"/>
        <v>2967.1999094706598</v>
      </c>
      <c r="AB46" s="24">
        <f>AA46*(_xlfn.XLOOKUP(Q_end,cpi!A:A,cpi!B:B)/BH46)</f>
        <v>3910.3262923534103</v>
      </c>
      <c r="AC46" s="24" cm="1">
        <f t="array" ref="AC46">INDEX('msci-indices'!C:C,MATCH($L46,'msci-indices'!$B:$B)-2)</f>
        <v>1329.025858</v>
      </c>
      <c r="AD46" s="24" cm="1">
        <f t="array" ref="AD46">INDEX('msci-indices'!D:D,MATCH($L46,'msci-indices'!$B:$B)-2)</f>
        <v>1284.47801</v>
      </c>
      <c r="AE46" s="24">
        <f t="shared" si="67"/>
        <v>602295.53893823782</v>
      </c>
      <c r="AF46" s="24" cm="1">
        <f t="array" ref="AF46">INDEX('msci-indices'!C:C,MATCH($L46,'msci-indices'!$B:$B)+1)</f>
        <v>1355.3009059999999</v>
      </c>
      <c r="AG46" s="24" cm="1">
        <f t="array" ref="AG46">INDEX('msci-indices'!D:D,MATCH($L46,'msci-indices'!$B:$B)+1)</f>
        <v>1356.3584840000001</v>
      </c>
      <c r="AH46" s="24">
        <f t="shared" si="46"/>
        <v>376.43471183639866</v>
      </c>
      <c r="AI46" s="24">
        <f t="shared" si="47"/>
        <v>620365.82786268543</v>
      </c>
      <c r="AJ46" s="24">
        <f t="shared" si="68"/>
        <v>383014.95197188837</v>
      </c>
      <c r="AK46" s="24">
        <f t="shared" si="48"/>
        <v>237350.87589079706</v>
      </c>
      <c r="AL46" s="24">
        <f>AJ46*(_xlfn.XLOOKUP(Q_end,cpi!A:A,cpi!B:B)/BH46)</f>
        <v>504756.49863690569</v>
      </c>
      <c r="AM46" s="24" cm="1">
        <f t="array" ref="AM46">SUMPRODUCT($AA$3:AA46,_xlfn.SORTBY($BH$3:BH46,_xlfn.SEQUENCE(ROWS($BH$3:BH46)),-1)/$BH$3)</f>
        <v>471716.26493141189</v>
      </c>
      <c r="AN46" s="24">
        <f t="shared" si="30"/>
        <v>148649.56293127354</v>
      </c>
      <c r="AO46" s="24">
        <f t="shared" si="49"/>
        <v>0</v>
      </c>
      <c r="AP46" s="24">
        <f t="shared" si="31"/>
        <v>620365.82786268543</v>
      </c>
      <c r="AQ46" s="24"/>
      <c r="AR46" s="12">
        <f>IF($B$10="3BR_H",
INDEX('ns-combined'!$C:$BH,MATCH($L46,'ns-combined'!$B:$B,0),MATCH(Council_Area,'ns-combined'!$C$1:$BH$1,0))*1000,
INDEX('s-combined'!$C:$BH,MATCH($L46,'s-combined'!$B:$B,0),MATCH(Council_Area,'s-combined'!$C$1:$BH$1,0))*1000)</f>
        <v>973000</v>
      </c>
      <c r="AS46" s="24">
        <f t="shared" si="36"/>
        <v>50600</v>
      </c>
      <c r="AT46" s="12">
        <v>0</v>
      </c>
      <c r="AU46" s="24">
        <f t="shared" si="50"/>
        <v>19460</v>
      </c>
      <c r="AV46" s="24">
        <f t="shared" si="51"/>
        <v>2797.375</v>
      </c>
      <c r="AW46" s="24">
        <f>SUM($AV$3:AV46)</f>
        <v>78622.625</v>
      </c>
      <c r="AX46" s="24">
        <f t="shared" si="52"/>
        <v>824317.375</v>
      </c>
      <c r="AY46" s="24">
        <f t="shared" si="53"/>
        <v>2208</v>
      </c>
      <c r="AZ46" s="26">
        <f t="shared" si="54"/>
        <v>9.0770811921891056E-3</v>
      </c>
      <c r="BA46" s="26">
        <f t="shared" si="55"/>
        <v>0.35000000000000003</v>
      </c>
      <c r="BB46" s="27">
        <f>IF(MortgageRate="Discounted",_xlfn.XLOOKUP(L46,'mortgage-rates'!$A:$A,'mortgage-rates'!$E:$E)/100,_xlfn.XLOOKUP(L46,'mortgage-rates'!$A:$A,'mortgage-rates'!$D:$D)/100)</f>
        <v>4.5100000000000001E-2</v>
      </c>
      <c r="BC46" s="12">
        <f t="shared" si="69"/>
        <v>272243.12220282946</v>
      </c>
      <c r="BD46" s="12">
        <f t="shared" si="56"/>
        <v>6500.212414626194</v>
      </c>
      <c r="BE46" s="12">
        <f t="shared" si="57"/>
        <v>3069.5412028369024</v>
      </c>
      <c r="BF46" s="12">
        <f t="shared" si="37"/>
        <v>3430.6712117892916</v>
      </c>
      <c r="BG46" s="14">
        <f t="shared" si="58"/>
        <v>8708.212414626194</v>
      </c>
      <c r="BH46" s="24">
        <f>INDEX(cpi!B:B,MATCH($L46,cpi!A:A))</f>
        <v>109.8</v>
      </c>
      <c r="BI46" s="24">
        <f t="shared" si="59"/>
        <v>129.78723404255319</v>
      </c>
      <c r="BJ46" s="24">
        <f t="shared" si="60"/>
        <v>176.05798840419337</v>
      </c>
      <c r="BK46" s="24">
        <f t="shared" si="61"/>
        <v>180.16224914289867</v>
      </c>
      <c r="BL46" s="24">
        <f t="shared" si="62"/>
        <v>177.28926662580494</v>
      </c>
      <c r="BM46" s="24">
        <f t="shared" si="63"/>
        <v>379.20745437869851</v>
      </c>
      <c r="BN46" s="24">
        <f t="shared" si="64"/>
        <v>211.52173913043478</v>
      </c>
      <c r="BO46">
        <f t="shared" si="65"/>
        <v>183.8650038197523</v>
      </c>
    </row>
    <row r="47" spans="1:67" x14ac:dyDescent="0.25">
      <c r="A47" t="s">
        <v>534</v>
      </c>
      <c r="B47" s="10">
        <f>IF(B44="Yes",B45-B46,0)</f>
        <v>0.31999999999999995</v>
      </c>
      <c r="C47" s="10"/>
      <c r="L47" s="1">
        <f t="shared" si="34"/>
        <v>42795</v>
      </c>
      <c r="M47" s="12">
        <f t="shared" si="39"/>
        <v>659441.99710593687</v>
      </c>
      <c r="N47" s="12">
        <f t="shared" si="40"/>
        <v>480227.42400895985</v>
      </c>
      <c r="O47" s="9">
        <f t="shared" si="24"/>
        <v>1.373186878002272</v>
      </c>
      <c r="P47" s="9">
        <f t="shared" si="41"/>
        <v>0.74054908722843593</v>
      </c>
      <c r="Q47">
        <v>45</v>
      </c>
      <c r="R47">
        <f t="shared" si="42"/>
        <v>90</v>
      </c>
      <c r="S47" s="24"/>
      <c r="T47" s="24">
        <f>IF($B$10="3BR_H",
INDEX('3BR_H-combined'!$C:$BH,MATCH($L47,'3BR_H-combined'!$B:$B,0),MATCH(Council_Area,'3BR_H-combined'!$C$1:$BH$1,0)),
INDEX('2BR_F-combined'!$C:$BH,MATCH($L47,'2BR_F-combined'!$B:$B,0),MATCH(Council_Area,'2BR_F-combined'!$C$1:$BH$1,0)))</f>
        <v>490</v>
      </c>
      <c r="U47" s="24">
        <f t="shared" si="25"/>
        <v>490</v>
      </c>
      <c r="V47" s="24">
        <f t="shared" si="35"/>
        <v>6300</v>
      </c>
      <c r="W47" s="24">
        <f>$B$53/4*BH47/_xlfn.XLOOKUP(Q_end,cpi!A:A,cpi!B:B)</f>
        <v>152.72978576364895</v>
      </c>
      <c r="X47" s="24">
        <f t="shared" si="43"/>
        <v>6452.7297857636486</v>
      </c>
      <c r="Y47" s="24">
        <f t="shared" si="44"/>
        <v>2260.7098727922812</v>
      </c>
      <c r="Z47" s="24">
        <f t="shared" si="66"/>
        <v>723.42715929352983</v>
      </c>
      <c r="AA47" s="24">
        <f t="shared" si="45"/>
        <v>2984.1370320858109</v>
      </c>
      <c r="AB47" s="24">
        <f>AA47*(_xlfn.XLOOKUP(Q_end,cpi!A:A,cpi!B:B)/BH47)</f>
        <v>3907.734194957618</v>
      </c>
      <c r="AC47" s="24" cm="1">
        <f t="array" ref="AC47">INDEX('msci-indices'!C:C,MATCH($L47,'msci-indices'!$B:$B)-2)</f>
        <v>1355.3009059999999</v>
      </c>
      <c r="AD47" s="24" cm="1">
        <f t="array" ref="AD47">INDEX('msci-indices'!D:D,MATCH($L47,'msci-indices'!$B:$B)-2)</f>
        <v>1356.3584840000001</v>
      </c>
      <c r="AE47" s="24">
        <f t="shared" si="67"/>
        <v>623349.96489477123</v>
      </c>
      <c r="AF47" s="24" cm="1">
        <f t="array" ref="AF47">INDEX('msci-indices'!C:C,MATCH($L47,'msci-indices'!$B:$B)+1)</f>
        <v>1439.6180119999999</v>
      </c>
      <c r="AG47" s="24" cm="1">
        <f t="array" ref="AG47">INDEX('msci-indices'!D:D,MATCH($L47,'msci-indices'!$B:$B)+1)</f>
        <v>1424.068485</v>
      </c>
      <c r="AH47" s="24">
        <f t="shared" si="46"/>
        <v>389.59372805923203</v>
      </c>
      <c r="AI47" s="24">
        <f t="shared" si="47"/>
        <v>659441.99710593687</v>
      </c>
      <c r="AJ47" s="24">
        <f t="shared" si="68"/>
        <v>385999.08900397416</v>
      </c>
      <c r="AK47" s="24">
        <f t="shared" si="48"/>
        <v>273442.9081019627</v>
      </c>
      <c r="AL47" s="24">
        <f>AJ47*(_xlfn.XLOOKUP(Q_end,cpi!A:A,cpi!B:B)/BH47)</f>
        <v>505466.68035181041</v>
      </c>
      <c r="AM47" s="24" cm="1">
        <f t="array" ref="AM47">SUMPRODUCT($AA$3:AA47,_xlfn.SORTBY($BH$3:BH47,_xlfn.SEQUENCE(ROWS($BH$3:BH47)),-1)/$BH$3)</f>
        <v>477468.06003742007</v>
      </c>
      <c r="AN47" s="24">
        <f t="shared" si="30"/>
        <v>181973.9370685168</v>
      </c>
      <c r="AO47" s="24">
        <f t="shared" si="49"/>
        <v>0</v>
      </c>
      <c r="AP47" s="24">
        <f t="shared" si="31"/>
        <v>659441.99710593687</v>
      </c>
      <c r="AQ47" s="24"/>
      <c r="AR47" s="12">
        <f>IF($B$10="3BR_H",
INDEX('ns-combined'!$C:$BH,MATCH($L47,'ns-combined'!$B:$B,0),MATCH(Council_Area,'ns-combined'!$C$1:$BH$1,0))*1000,
INDEX('s-combined'!$C:$BH,MATCH($L47,'s-combined'!$B:$B,0),MATCH(Council_Area,'s-combined'!$C$1:$BH$1,0))*1000)</f>
        <v>900000</v>
      </c>
      <c r="AS47" s="24">
        <f t="shared" si="36"/>
        <v>51750</v>
      </c>
      <c r="AT47" s="12">
        <v>0</v>
      </c>
      <c r="AU47" s="24">
        <f t="shared" si="50"/>
        <v>18000</v>
      </c>
      <c r="AV47" s="24">
        <f t="shared" si="51"/>
        <v>2587.5</v>
      </c>
      <c r="AW47" s="24">
        <f>SUM($AV$3:AV47)</f>
        <v>81210.125</v>
      </c>
      <c r="AX47" s="24">
        <f t="shared" si="52"/>
        <v>749039.875</v>
      </c>
      <c r="AY47" s="24">
        <f t="shared" si="53"/>
        <v>2205</v>
      </c>
      <c r="AZ47" s="26">
        <f t="shared" si="54"/>
        <v>9.7999999999999997E-3</v>
      </c>
      <c r="BA47" s="26">
        <f t="shared" si="55"/>
        <v>0.35</v>
      </c>
      <c r="BB47" s="27">
        <f>IF(MortgageRate="Discounted",_xlfn.XLOOKUP(L47,'mortgage-rates'!$A:$A,'mortgage-rates'!$E:$E)/100,_xlfn.XLOOKUP(L47,'mortgage-rates'!$A:$A,'mortgage-rates'!$D:$D)/100)</f>
        <v>4.53E-2</v>
      </c>
      <c r="BC47" s="12">
        <f t="shared" si="69"/>
        <v>268812.45099104015</v>
      </c>
      <c r="BD47" s="12">
        <f t="shared" si="56"/>
        <v>6508.4396585559298</v>
      </c>
      <c r="BE47" s="12">
        <f t="shared" si="57"/>
        <v>3044.3010074735298</v>
      </c>
      <c r="BF47" s="12">
        <f t="shared" si="37"/>
        <v>3464.1386510824</v>
      </c>
      <c r="BG47" s="14">
        <f t="shared" si="58"/>
        <v>8713.4396585559298</v>
      </c>
      <c r="BH47" s="24">
        <f>INDEX(cpi!B:B,MATCH($L47,cpi!A:A))</f>
        <v>110.5</v>
      </c>
      <c r="BI47" s="24">
        <f t="shared" si="59"/>
        <v>130.6146572104019</v>
      </c>
      <c r="BJ47" s="24">
        <f t="shared" si="60"/>
        <v>179.53868222836397</v>
      </c>
      <c r="BK47" s="24">
        <f t="shared" si="61"/>
        <v>190.24428072652827</v>
      </c>
      <c r="BL47" s="24">
        <f t="shared" si="62"/>
        <v>182.75036177781325</v>
      </c>
      <c r="BM47" s="24">
        <f t="shared" si="63"/>
        <v>392.46339727420207</v>
      </c>
      <c r="BN47" s="24">
        <f t="shared" si="64"/>
        <v>195.65217391304347</v>
      </c>
      <c r="BO47">
        <f t="shared" si="65"/>
        <v>167.07426490679248</v>
      </c>
    </row>
    <row r="48" spans="1:67" x14ac:dyDescent="0.25">
      <c r="A48" t="s">
        <v>541</v>
      </c>
      <c r="B48" s="10">
        <v>0.32</v>
      </c>
      <c r="C48" s="10">
        <v>0.32</v>
      </c>
      <c r="L48" s="1">
        <f t="shared" si="34"/>
        <v>42887</v>
      </c>
      <c r="M48" s="12">
        <f t="shared" si="39"/>
        <v>676928.16423417919</v>
      </c>
      <c r="N48" s="12">
        <f t="shared" si="40"/>
        <v>650950.9376600422</v>
      </c>
      <c r="O48" s="9">
        <f t="shared" si="24"/>
        <v>1.0399065813892467</v>
      </c>
      <c r="P48" s="9">
        <f t="shared" si="41"/>
        <v>0.74828010106708265</v>
      </c>
      <c r="Q48">
        <v>46</v>
      </c>
      <c r="R48">
        <f t="shared" si="42"/>
        <v>91</v>
      </c>
      <c r="S48" s="24"/>
      <c r="T48" s="24">
        <f>IF($B$10="3BR_H",
INDEX('3BR_H-combined'!$C:$BH,MATCH($L48,'3BR_H-combined'!$B:$B,0),MATCH(Council_Area,'3BR_H-combined'!$C$1:$BH$1,0)),
INDEX('2BR_F-combined'!$C:$BH,MATCH($L48,'2BR_F-combined'!$B:$B,0),MATCH(Council_Area,'2BR_F-combined'!$C$1:$BH$1,0)))</f>
        <v>485</v>
      </c>
      <c r="U48" s="24">
        <f t="shared" si="25"/>
        <v>490</v>
      </c>
      <c r="V48" s="24">
        <f t="shared" si="35"/>
        <v>6370</v>
      </c>
      <c r="W48" s="24">
        <f>$B$53/4*BH48/_xlfn.XLOOKUP(Q_end,cpi!A:A,cpi!B:B)</f>
        <v>153.28265376641329</v>
      </c>
      <c r="X48" s="24">
        <f t="shared" si="43"/>
        <v>6523.2826537664132</v>
      </c>
      <c r="Y48" s="24">
        <f t="shared" si="44"/>
        <v>2194.4189722208412</v>
      </c>
      <c r="Z48" s="24">
        <f t="shared" si="66"/>
        <v>702.21407111066901</v>
      </c>
      <c r="AA48" s="24">
        <f t="shared" si="45"/>
        <v>2896.6330433315102</v>
      </c>
      <c r="AB48" s="24">
        <f>AA48*(_xlfn.XLOOKUP(Q_end,cpi!A:A,cpi!B:B)/BH48)</f>
        <v>3779.4661981070285</v>
      </c>
      <c r="AC48" s="24" cm="1">
        <f t="array" ref="AC48">INDEX('msci-indices'!C:C,MATCH($L48,'msci-indices'!$B:$B)-2)</f>
        <v>1439.6180119999999</v>
      </c>
      <c r="AD48" s="24" cm="1">
        <f t="array" ref="AD48">INDEX('msci-indices'!D:D,MATCH($L48,'msci-indices'!$B:$B)-2)</f>
        <v>1424.068485</v>
      </c>
      <c r="AE48" s="24">
        <f t="shared" si="67"/>
        <v>662338.63014926843</v>
      </c>
      <c r="AF48" s="24" cm="1">
        <f t="array" ref="AF48">INDEX('msci-indices'!C:C,MATCH($L48,'msci-indices'!$B:$B)+1)</f>
        <v>1498.0163219999999</v>
      </c>
      <c r="AG48" s="24" cm="1">
        <f t="array" ref="AG48">INDEX('msci-indices'!D:D,MATCH($L48,'msci-indices'!$B:$B)+1)</f>
        <v>1396.8056610000001</v>
      </c>
      <c r="AH48" s="24">
        <f t="shared" si="46"/>
        <v>413.96164384329279</v>
      </c>
      <c r="AI48" s="24">
        <f t="shared" si="47"/>
        <v>676928.16423417919</v>
      </c>
      <c r="AJ48" s="24">
        <f t="shared" si="68"/>
        <v>388895.72204730567</v>
      </c>
      <c r="AK48" s="24">
        <f t="shared" si="48"/>
        <v>288032.44218687352</v>
      </c>
      <c r="AL48" s="24">
        <f>AJ48*(_xlfn.XLOOKUP(Q_end,cpi!A:A,cpi!B:B)/BH48)</f>
        <v>507423.00252700737</v>
      </c>
      <c r="AM48" s="24" cm="1">
        <f t="array" ref="AM48">SUMPRODUCT($AA$3:AA48,_xlfn.SORTBY($BH$3:BH48,_xlfn.SEQUENCE(ROWS($BH$3:BH48)),-1)/$BH$3)</f>
        <v>482608.07905912382</v>
      </c>
      <c r="AN48" s="24">
        <f t="shared" si="30"/>
        <v>194320.08517505537</v>
      </c>
      <c r="AO48" s="24">
        <f t="shared" si="49"/>
        <v>0</v>
      </c>
      <c r="AP48" s="24">
        <f t="shared" si="31"/>
        <v>676928.16423417919</v>
      </c>
      <c r="AQ48" s="24"/>
      <c r="AR48" s="12">
        <f>IF($B$10="3BR_H",
INDEX('ns-combined'!$C:$BH,MATCH($L48,'ns-combined'!$B:$B,0),MATCH(Council_Area,'ns-combined'!$C$1:$BH$1,0))*1000,
INDEX('s-combined'!$C:$BH,MATCH($L48,'s-combined'!$B:$B,0),MATCH(Council_Area,'s-combined'!$C$1:$BH$1,0))*1000)</f>
        <v>1075000</v>
      </c>
      <c r="AS48" s="24">
        <f t="shared" si="36"/>
        <v>52900</v>
      </c>
      <c r="AT48" s="12">
        <v>0</v>
      </c>
      <c r="AU48" s="24">
        <f t="shared" si="50"/>
        <v>21500</v>
      </c>
      <c r="AV48" s="24">
        <f t="shared" si="51"/>
        <v>3090.625</v>
      </c>
      <c r="AW48" s="24">
        <f>SUM($AV$3:AV48)</f>
        <v>84300.75</v>
      </c>
      <c r="AX48" s="24">
        <f t="shared" si="52"/>
        <v>916299.25</v>
      </c>
      <c r="AY48" s="24">
        <f t="shared" si="53"/>
        <v>2229.5</v>
      </c>
      <c r="AZ48" s="26">
        <f t="shared" si="54"/>
        <v>8.2958139534883724E-3</v>
      </c>
      <c r="BA48" s="26">
        <f t="shared" si="55"/>
        <v>0.35</v>
      </c>
      <c r="BB48" s="27">
        <f>IF(MortgageRate="Discounted",_xlfn.XLOOKUP(L48,'mortgage-rates'!$A:$A,'mortgage-rates'!$E:$E)/100,_xlfn.XLOOKUP(L48,'mortgage-rates'!$A:$A,'mortgage-rates'!$D:$D)/100)</f>
        <v>4.4800000000000006E-2</v>
      </c>
      <c r="BC48" s="12">
        <f t="shared" si="69"/>
        <v>265348.31233995775</v>
      </c>
      <c r="BD48" s="12">
        <f t="shared" si="56"/>
        <v>6488.2016259872553</v>
      </c>
      <c r="BE48" s="12">
        <f t="shared" si="57"/>
        <v>2971.901098207527</v>
      </c>
      <c r="BF48" s="12">
        <f t="shared" si="37"/>
        <v>3516.3005277797283</v>
      </c>
      <c r="BG48" s="14">
        <f t="shared" si="58"/>
        <v>8717.7016259872544</v>
      </c>
      <c r="BH48" s="24">
        <f>INDEX(cpi!B:B,MATCH($L48,cpi!A:A))</f>
        <v>110.9</v>
      </c>
      <c r="BI48" s="24">
        <f t="shared" si="59"/>
        <v>131.0874704491726</v>
      </c>
      <c r="BJ48" s="24">
        <f t="shared" si="60"/>
        <v>190.70829189477206</v>
      </c>
      <c r="BK48" s="24">
        <f t="shared" si="61"/>
        <v>199.74135734026328</v>
      </c>
      <c r="BL48" s="24">
        <f t="shared" si="62"/>
        <v>193.41821152841945</v>
      </c>
      <c r="BM48" s="24">
        <f t="shared" si="63"/>
        <v>417.01080223563451</v>
      </c>
      <c r="BN48" s="24">
        <f t="shared" si="64"/>
        <v>233.69565217391303</v>
      </c>
      <c r="BO48">
        <f t="shared" si="65"/>
        <v>204.38167411100144</v>
      </c>
    </row>
    <row r="49" spans="1:67" x14ac:dyDescent="0.25">
      <c r="A49" s="8" t="s">
        <v>556</v>
      </c>
      <c r="B49" t="s">
        <v>404</v>
      </c>
      <c r="C49" t="s">
        <v>404</v>
      </c>
      <c r="L49" s="1">
        <f t="shared" si="34"/>
        <v>42979</v>
      </c>
      <c r="M49" s="12">
        <f t="shared" si="39"/>
        <v>705331.11496997706</v>
      </c>
      <c r="N49" s="12">
        <f t="shared" si="40"/>
        <v>528085.98818782205</v>
      </c>
      <c r="O49" s="9">
        <f t="shared" si="24"/>
        <v>1.3356368673790961</v>
      </c>
      <c r="P49" s="9">
        <f t="shared" si="41"/>
        <v>0.75459689088109361</v>
      </c>
      <c r="Q49">
        <v>47</v>
      </c>
      <c r="R49">
        <f t="shared" si="42"/>
        <v>92</v>
      </c>
      <c r="S49" s="24"/>
      <c r="T49" s="24">
        <f>IF($B$10="3BR_H",
INDEX('3BR_H-combined'!$C:$BH,MATCH($L49,'3BR_H-combined'!$B:$B,0),MATCH(Council_Area,'3BR_H-combined'!$C$1:$BH$1,0)),
INDEX('2BR_F-combined'!$C:$BH,MATCH($L49,'2BR_F-combined'!$B:$B,0),MATCH(Council_Area,'2BR_F-combined'!$C$1:$BH$1,0)))</f>
        <v>490</v>
      </c>
      <c r="U49" s="24">
        <f t="shared" si="25"/>
        <v>490</v>
      </c>
      <c r="V49" s="24">
        <f t="shared" si="35"/>
        <v>6440</v>
      </c>
      <c r="W49" s="24">
        <f>$B$53/4*BH49/_xlfn.XLOOKUP(Q_end,cpi!A:A,cpi!B:B)</f>
        <v>153.83552176917763</v>
      </c>
      <c r="X49" s="24">
        <f t="shared" si="43"/>
        <v>6593.8355217691778</v>
      </c>
      <c r="Y49" s="24">
        <f t="shared" si="44"/>
        <v>2144.3869668896159</v>
      </c>
      <c r="Z49" s="24">
        <f t="shared" si="66"/>
        <v>686.20382940467698</v>
      </c>
      <c r="AA49" s="24">
        <f t="shared" si="45"/>
        <v>2830.5907962942929</v>
      </c>
      <c r="AB49" s="24">
        <f>AA49*(_xlfn.XLOOKUP(Q_end,cpi!A:A,cpi!B:B)/BH49)</f>
        <v>3680.0223560088425</v>
      </c>
      <c r="AC49" s="24" cm="1">
        <f t="array" ref="AC49">INDEX('msci-indices'!C:C,MATCH($L49,'msci-indices'!$B:$B)-2)</f>
        <v>1498.0163219999999</v>
      </c>
      <c r="AD49" s="24" cm="1">
        <f t="array" ref="AD49">INDEX('msci-indices'!D:D,MATCH($L49,'msci-indices'!$B:$B)-2)</f>
        <v>1396.8056610000001</v>
      </c>
      <c r="AE49" s="24">
        <f t="shared" si="67"/>
        <v>679758.75503047346</v>
      </c>
      <c r="AF49" s="24" cm="1">
        <f t="array" ref="AF49">INDEX('msci-indices'!C:C,MATCH($L49,'msci-indices'!$B:$B)+1)</f>
        <v>1573.3488809999999</v>
      </c>
      <c r="AG49" s="24" cm="1">
        <f t="array" ref="AG49">INDEX('msci-indices'!D:D,MATCH($L49,'msci-indices'!$B:$B)+1)</f>
        <v>1410.9739790000001</v>
      </c>
      <c r="AH49" s="24">
        <f t="shared" si="46"/>
        <v>424.84922189404591</v>
      </c>
      <c r="AI49" s="24">
        <f t="shared" si="47"/>
        <v>705331.11496997706</v>
      </c>
      <c r="AJ49" s="24">
        <f t="shared" si="68"/>
        <v>391726.31284359994</v>
      </c>
      <c r="AK49" s="24">
        <f t="shared" si="48"/>
        <v>313604.80212637712</v>
      </c>
      <c r="AL49" s="24">
        <f>AJ49*(_xlfn.XLOOKUP(Q_end,cpi!A:A,cpi!B:B)/BH49)</f>
        <v>509279.40223242505</v>
      </c>
      <c r="AM49" s="24" cm="1">
        <f t="array" ref="AM49">SUMPRODUCT($AA$3:AA49,_xlfn.SORTBY($BH$3:BH49,_xlfn.SEQUENCE(ROWS($BH$3:BH49)),-1)/$BH$3)</f>
        <v>487696.95858606102</v>
      </c>
      <c r="AN49" s="24">
        <f t="shared" si="30"/>
        <v>217634.15638391604</v>
      </c>
      <c r="AO49" s="24">
        <f t="shared" si="49"/>
        <v>0</v>
      </c>
      <c r="AP49" s="24">
        <f t="shared" si="31"/>
        <v>705331.11496997706</v>
      </c>
      <c r="AQ49" s="24"/>
      <c r="AR49" s="12">
        <f>IF($B$10="3BR_H",
INDEX('ns-combined'!$C:$BH,MATCH($L49,'ns-combined'!$B:$B,0),MATCH(Council_Area,'ns-combined'!$C$1:$BH$1,0))*1000,
INDEX('s-combined'!$C:$BH,MATCH($L49,'s-combined'!$B:$B,0),MATCH(Council_Area,'s-combined'!$C$1:$BH$1,0))*1000)</f>
        <v>950000</v>
      </c>
      <c r="AS49" s="24">
        <f t="shared" si="36"/>
        <v>54050</v>
      </c>
      <c r="AT49" s="12">
        <v>0</v>
      </c>
      <c r="AU49" s="24">
        <f t="shared" si="50"/>
        <v>19000</v>
      </c>
      <c r="AV49" s="24">
        <f t="shared" si="51"/>
        <v>2731.25</v>
      </c>
      <c r="AW49" s="24">
        <f>SUM($AV$3:AV49)</f>
        <v>87032</v>
      </c>
      <c r="AX49" s="24">
        <f t="shared" si="52"/>
        <v>789918</v>
      </c>
      <c r="AY49" s="24">
        <f t="shared" si="53"/>
        <v>2254</v>
      </c>
      <c r="AZ49" s="26">
        <f t="shared" si="54"/>
        <v>9.4905263157894736E-3</v>
      </c>
      <c r="BA49" s="26">
        <f t="shared" si="55"/>
        <v>0.35</v>
      </c>
      <c r="BB49" s="27">
        <f>IF(MortgageRate="Discounted",_xlfn.XLOOKUP(L49,'mortgage-rates'!$A:$A,'mortgage-rates'!$E:$E)/100,_xlfn.XLOOKUP(L49,'mortgage-rates'!$A:$A,'mortgage-rates'!$D:$D)/100)</f>
        <v>4.4699999999999997E-2</v>
      </c>
      <c r="BC49" s="12">
        <f t="shared" si="69"/>
        <v>261832.01181217801</v>
      </c>
      <c r="BD49" s="12">
        <f t="shared" si="56"/>
        <v>6484.2224886587937</v>
      </c>
      <c r="BE49" s="12">
        <f t="shared" si="57"/>
        <v>2925.9727320010888</v>
      </c>
      <c r="BF49" s="12">
        <f t="shared" si="37"/>
        <v>3558.2497566577049</v>
      </c>
      <c r="BG49" s="14">
        <f t="shared" si="58"/>
        <v>8738.2224886587937</v>
      </c>
      <c r="BH49" s="24">
        <f>INDEX(cpi!B:B,MATCH($L49,cpi!A:A))</f>
        <v>111.3</v>
      </c>
      <c r="BI49" s="24">
        <f t="shared" si="59"/>
        <v>131.56028368794327</v>
      </c>
      <c r="BJ49" s="24">
        <f t="shared" si="60"/>
        <v>198.44440095759853</v>
      </c>
      <c r="BK49" s="24">
        <f t="shared" si="61"/>
        <v>195.91744470681382</v>
      </c>
      <c r="BL49" s="24">
        <f t="shared" si="62"/>
        <v>197.68631408236314</v>
      </c>
      <c r="BM49" s="24">
        <f t="shared" si="63"/>
        <v>427.97857600132761</v>
      </c>
      <c r="BN49" s="24">
        <f t="shared" si="64"/>
        <v>206.52173913043478</v>
      </c>
      <c r="BO49">
        <f t="shared" si="65"/>
        <v>176.1921809391572</v>
      </c>
    </row>
    <row r="50" spans="1:67" x14ac:dyDescent="0.25">
      <c r="A50" t="s">
        <v>551</v>
      </c>
      <c r="B50" s="10">
        <f>IF(OR(B44="Yes",B49="No"),0,MAX(0.3,B48))</f>
        <v>0</v>
      </c>
      <c r="C50" s="10"/>
      <c r="L50" s="1">
        <f t="shared" si="34"/>
        <v>43070</v>
      </c>
      <c r="M50" s="12">
        <f>AP50</f>
        <v>751483.09424997913</v>
      </c>
      <c r="N50" s="12">
        <f t="shared" si="40"/>
        <v>615704.23794447968</v>
      </c>
      <c r="O50" s="9">
        <f t="shared" si="24"/>
        <v>1.2205261031803116</v>
      </c>
      <c r="P50" s="9">
        <f t="shared" si="41"/>
        <v>0.75337270889117491</v>
      </c>
      <c r="Q50">
        <v>48</v>
      </c>
      <c r="R50">
        <f t="shared" si="42"/>
        <v>92</v>
      </c>
      <c r="S50" s="24"/>
      <c r="T50" s="24">
        <f>IF($B$10="3BR_H",
INDEX('3BR_H-combined'!$C:$BH,MATCH($L50,'3BR_H-combined'!$B:$B,0),MATCH(Council_Area,'3BR_H-combined'!$C$1:$BH$1,0)),
INDEX('2BR_F-combined'!$C:$BH,MATCH($L50,'2BR_F-combined'!$B:$B,0),MATCH(Council_Area,'2BR_F-combined'!$C$1:$BH$1,0)))</f>
        <v>500</v>
      </c>
      <c r="U50" s="24">
        <f t="shared" si="25"/>
        <v>490</v>
      </c>
      <c r="V50" s="24">
        <f t="shared" si="35"/>
        <v>6440</v>
      </c>
      <c r="W50" s="24">
        <f>$B$53/4*BH50/_xlfn.XLOOKUP(Q_end,cpi!A:A,cpi!B:B)</f>
        <v>154.94125777470629</v>
      </c>
      <c r="X50" s="24">
        <f t="shared" si="43"/>
        <v>6594.9412577747062</v>
      </c>
      <c r="Y50" s="24">
        <f t="shared" si="44"/>
        <v>2158.9479924494462</v>
      </c>
      <c r="Z50" s="24">
        <f t="shared" si="66"/>
        <v>690.86335758382268</v>
      </c>
      <c r="AA50" s="24">
        <f t="shared" si="45"/>
        <v>2849.8113500332688</v>
      </c>
      <c r="AB50" s="24">
        <f>AA50*(_xlfn.XLOOKUP(Q_end,cpi!A:A,cpi!B:B)/BH50)</f>
        <v>3678.570047723586</v>
      </c>
      <c r="AC50" s="24" cm="1">
        <f t="array" ref="AC50">INDEX('msci-indices'!C:C,MATCH($L50,'msci-indices'!$B:$B)-2)</f>
        <v>1573.3488809999999</v>
      </c>
      <c r="AD50" s="24" cm="1">
        <f t="array" ref="AD50">INDEX('msci-indices'!D:D,MATCH($L50,'msci-indices'!$B:$B)-2)</f>
        <v>1410.9739790000001</v>
      </c>
      <c r="AE50" s="24">
        <f t="shared" si="67"/>
        <v>708180.92632001033</v>
      </c>
      <c r="AF50" s="24" cm="1">
        <f t="array" ref="AF50">INDEX('msci-indices'!C:C,MATCH($L50,'msci-indices'!$B:$B)+1)</f>
        <v>1659.3666479999999</v>
      </c>
      <c r="AG50" s="24" cm="1">
        <f t="array" ref="AG50">INDEX('msci-indices'!D:D,MATCH($L50,'msci-indices'!$B:$B)+1)</f>
        <v>1521.502109</v>
      </c>
      <c r="AH50" s="24">
        <f t="shared" si="46"/>
        <v>442.61307895000647</v>
      </c>
      <c r="AI50" s="24">
        <f t="shared" si="47"/>
        <v>751483.09424997913</v>
      </c>
      <c r="AJ50" s="24">
        <f t="shared" si="68"/>
        <v>394576.12419363321</v>
      </c>
      <c r="AK50" s="24">
        <f t="shared" si="48"/>
        <v>356906.97005634592</v>
      </c>
      <c r="AL50" s="24">
        <f>AJ50*(_xlfn.XLOOKUP(Q_end,cpi!A:A,cpi!B:B)/BH50)</f>
        <v>509323.50732220092</v>
      </c>
      <c r="AM50" s="24" cm="1">
        <f t="array" ref="AM50">SUMPRODUCT($AA$3:AA50,_xlfn.SORTBY($BH$3:BH50,_xlfn.SEQUENCE(ROWS($BH$3:BH50)),-1)/$BH$3)</f>
        <v>493568.26829388691</v>
      </c>
      <c r="AN50" s="24">
        <f t="shared" si="30"/>
        <v>257914.82595609222</v>
      </c>
      <c r="AO50" s="24">
        <f t="shared" si="49"/>
        <v>0</v>
      </c>
      <c r="AP50" s="24">
        <f t="shared" si="31"/>
        <v>751483.09424997913</v>
      </c>
      <c r="AQ50" s="24"/>
      <c r="AR50" s="12">
        <f>IF($B$10="3BR_H",
INDEX('ns-combined'!$C:$BH,MATCH($L50,'ns-combined'!$B:$B,0),MATCH(Council_Area,'ns-combined'!$C$1:$BH$1,0))*1000,
INDEX('s-combined'!$C:$BH,MATCH($L50,'s-combined'!$B:$B,0),MATCH(Council_Area,'s-combined'!$C$1:$BH$1,0))*1000)</f>
        <v>1040000</v>
      </c>
      <c r="AS50" s="24">
        <f t="shared" si="36"/>
        <v>55200</v>
      </c>
      <c r="AT50" s="12">
        <v>0</v>
      </c>
      <c r="AU50" s="24">
        <f t="shared" si="50"/>
        <v>20800</v>
      </c>
      <c r="AV50" s="24">
        <f t="shared" si="51"/>
        <v>2990</v>
      </c>
      <c r="AW50" s="24">
        <f>SUM($AV$3:AV50)</f>
        <v>90022</v>
      </c>
      <c r="AX50" s="24">
        <f t="shared" si="52"/>
        <v>873978</v>
      </c>
      <c r="AY50" s="24">
        <f t="shared" si="53"/>
        <v>2254</v>
      </c>
      <c r="AZ50" s="26">
        <f t="shared" si="54"/>
        <v>8.6692307692307694E-3</v>
      </c>
      <c r="BA50" s="26">
        <f t="shared" si="55"/>
        <v>0.35</v>
      </c>
      <c r="BB50" s="27">
        <f>IF(MortgageRate="Discounted",_xlfn.XLOOKUP(L50,'mortgage-rates'!$A:$A,'mortgage-rates'!$E:$E)/100,_xlfn.XLOOKUP(L50,'mortgage-rates'!$A:$A,'mortgage-rates'!$D:$D)/100)</f>
        <v>4.5100000000000001E-2</v>
      </c>
      <c r="BC50" s="12">
        <f t="shared" si="69"/>
        <v>258273.76205552032</v>
      </c>
      <c r="BD50" s="12">
        <f t="shared" si="56"/>
        <v>6499.8892502241524</v>
      </c>
      <c r="BE50" s="12">
        <f t="shared" si="57"/>
        <v>2912.0366671759916</v>
      </c>
      <c r="BF50" s="12">
        <f t="shared" si="37"/>
        <v>3587.8525830481608</v>
      </c>
      <c r="BG50" s="14">
        <f t="shared" si="58"/>
        <v>8753.8892502241524</v>
      </c>
      <c r="BH50" s="24">
        <f>INDEX(cpi!B:B,MATCH($L50,cpi!A:A))</f>
        <v>112.1</v>
      </c>
      <c r="BI50" s="24">
        <f t="shared" si="59"/>
        <v>132.50591016548464</v>
      </c>
      <c r="BJ50" s="24">
        <f t="shared" si="60"/>
        <v>208.42381461538773</v>
      </c>
      <c r="BK50" s="24">
        <f t="shared" si="61"/>
        <v>197.90470802901882</v>
      </c>
      <c r="BL50" s="24">
        <f t="shared" si="62"/>
        <v>205.26808263947706</v>
      </c>
      <c r="BM50" s="24">
        <f t="shared" si="63"/>
        <v>445.87327806340909</v>
      </c>
      <c r="BN50" s="24">
        <f t="shared" si="64"/>
        <v>226.08695652173913</v>
      </c>
      <c r="BO50">
        <f t="shared" si="65"/>
        <v>194.941867273366</v>
      </c>
    </row>
    <row r="51" spans="1:67" x14ac:dyDescent="0.25">
      <c r="L51" s="1">
        <f t="shared" si="34"/>
        <v>43160</v>
      </c>
      <c r="M51" s="12">
        <f t="shared" si="39"/>
        <v>738621.64506368234</v>
      </c>
      <c r="N51" s="12">
        <f t="shared" si="40"/>
        <v>516462.46552752785</v>
      </c>
      <c r="O51" s="9">
        <f t="shared" si="24"/>
        <v>1.4301555182896699</v>
      </c>
      <c r="P51" s="9">
        <f t="shared" si="41"/>
        <v>0.75250575179355628</v>
      </c>
      <c r="Q51">
        <v>49</v>
      </c>
      <c r="R51">
        <f t="shared" si="42"/>
        <v>90</v>
      </c>
      <c r="S51" s="24"/>
      <c r="T51" s="24">
        <f>IF($B$10="3BR_H",
INDEX('3BR_H-combined'!$C:$BH,MATCH($L51,'3BR_H-combined'!$B:$B,0),MATCH(Council_Area,'3BR_H-combined'!$C$1:$BH$1,0)),
INDEX('2BR_F-combined'!$C:$BH,MATCH($L51,'2BR_F-combined'!$B:$B,0),MATCH(Council_Area,'2BR_F-combined'!$C$1:$BH$1,0)))</f>
        <v>500</v>
      </c>
      <c r="U51" s="24">
        <f t="shared" si="25"/>
        <v>500</v>
      </c>
      <c r="V51" s="24">
        <f t="shared" si="35"/>
        <v>6428.5714285714284</v>
      </c>
      <c r="W51" s="24">
        <f>$B$53/4*BH51/_xlfn.XLOOKUP(Q_end,cpi!A:A,cpi!B:B)</f>
        <v>155.7705597788528</v>
      </c>
      <c r="X51" s="24">
        <f t="shared" si="43"/>
        <v>6584.3419883502811</v>
      </c>
      <c r="Y51" s="24">
        <f t="shared" si="44"/>
        <v>2165.5472618738695</v>
      </c>
      <c r="Z51" s="24">
        <f t="shared" si="66"/>
        <v>692.97512379963814</v>
      </c>
      <c r="AA51" s="24">
        <f t="shared" si="45"/>
        <v>2858.5223856735074</v>
      </c>
      <c r="AB51" s="24">
        <f>AA51*(_xlfn.XLOOKUP(Q_end,cpi!A:A,cpi!B:B)/BH51)</f>
        <v>3670.1702680297822</v>
      </c>
      <c r="AC51" s="24" cm="1">
        <f t="array" ref="AC51">INDEX('msci-indices'!C:C,MATCH($L51,'msci-indices'!$B:$B)-2)</f>
        <v>1659.3666479999999</v>
      </c>
      <c r="AD51" s="24" cm="1">
        <f t="array" ref="AD51">INDEX('msci-indices'!D:D,MATCH($L51,'msci-indices'!$B:$B)-2)</f>
        <v>1521.502109</v>
      </c>
      <c r="AE51" s="24">
        <f t="shared" si="67"/>
        <v>754341.61663565261</v>
      </c>
      <c r="AF51" s="24" cm="1">
        <f t="array" ref="AF51">INDEX('msci-indices'!C:C,MATCH($L51,'msci-indices'!$B:$B)+1)</f>
        <v>1639.7568659999999</v>
      </c>
      <c r="AG51" s="24" cm="1">
        <f t="array" ref="AG51">INDEX('msci-indices'!D:D,MATCH($L51,'msci-indices'!$B:$B)+1)</f>
        <v>1460.9362550000001</v>
      </c>
      <c r="AH51" s="24">
        <f t="shared" si="46"/>
        <v>471.4635103972829</v>
      </c>
      <c r="AI51" s="24">
        <f t="shared" si="47"/>
        <v>738621.64506368234</v>
      </c>
      <c r="AJ51" s="24">
        <f t="shared" si="68"/>
        <v>397434.64657930669</v>
      </c>
      <c r="AK51" s="24">
        <f t="shared" si="48"/>
        <v>341186.99848437565</v>
      </c>
      <c r="AL51" s="24">
        <f>AJ51*(_xlfn.XLOOKUP(Q_end,cpi!A:A,cpi!B:B)/BH51)</f>
        <v>510282.10612267675</v>
      </c>
      <c r="AM51" s="24" cm="1">
        <f t="array" ref="AM51">SUMPRODUCT($AA$3:AA51,_xlfn.SORTBY($BH$3:BH51,_xlfn.SEQUENCE(ROWS($BH$3:BH51)),-1)/$BH$3)</f>
        <v>499105.28469706152</v>
      </c>
      <c r="AN51" s="24">
        <f t="shared" si="30"/>
        <v>239516.36036662082</v>
      </c>
      <c r="AO51" s="24">
        <f t="shared" si="49"/>
        <v>0</v>
      </c>
      <c r="AP51" s="24">
        <f t="shared" si="31"/>
        <v>738621.64506368234</v>
      </c>
      <c r="AQ51" s="24"/>
      <c r="AR51" s="12">
        <f>IF($B$10="3BR_H",
INDEX('ns-combined'!$C:$BH,MATCH($L51,'ns-combined'!$B:$B,0),MATCH(Council_Area,'ns-combined'!$C$1:$BH$1,0))*1000,
INDEX('s-combined'!$C:$BH,MATCH($L51,'s-combined'!$B:$B,0),MATCH(Council_Area,'s-combined'!$C$1:$BH$1,0))*1000)</f>
        <v>939000</v>
      </c>
      <c r="AS51" s="24">
        <f t="shared" si="36"/>
        <v>56350</v>
      </c>
      <c r="AT51" s="12">
        <v>0</v>
      </c>
      <c r="AU51" s="24">
        <f t="shared" si="50"/>
        <v>18780</v>
      </c>
      <c r="AV51" s="24">
        <f t="shared" si="51"/>
        <v>2699.625</v>
      </c>
      <c r="AW51" s="24">
        <f>SUM($AV$3:AV51)</f>
        <v>92721.625</v>
      </c>
      <c r="AX51" s="24">
        <f t="shared" si="52"/>
        <v>771148.375</v>
      </c>
      <c r="AY51" s="24">
        <f t="shared" si="53"/>
        <v>2250</v>
      </c>
      <c r="AZ51" s="26">
        <f t="shared" si="54"/>
        <v>9.5846645367412137E-3</v>
      </c>
      <c r="BA51" s="26">
        <f t="shared" si="55"/>
        <v>0.35000000000000003</v>
      </c>
      <c r="BB51" s="27">
        <f>IF(MortgageRate="Discounted",_xlfn.XLOOKUP(L51,'mortgage-rates'!$A:$A,'mortgage-rates'!$E:$E)/100,_xlfn.XLOOKUP(L51,'mortgage-rates'!$A:$A,'mortgage-rates'!$D:$D)/100)</f>
        <v>4.5100000000000001E-2</v>
      </c>
      <c r="BC51" s="12">
        <f t="shared" si="69"/>
        <v>254685.90947247215</v>
      </c>
      <c r="BD51" s="12">
        <f t="shared" si="56"/>
        <v>6499.8892502241515</v>
      </c>
      <c r="BE51" s="12">
        <f t="shared" si="57"/>
        <v>2871.5836293021234</v>
      </c>
      <c r="BF51" s="12">
        <f t="shared" si="37"/>
        <v>3628.3056209220281</v>
      </c>
      <c r="BG51" s="14">
        <f t="shared" si="58"/>
        <v>8749.8892502241506</v>
      </c>
      <c r="BH51" s="24">
        <f>INDEX(cpi!B:B,MATCH($L51,cpi!A:A))</f>
        <v>112.7</v>
      </c>
      <c r="BI51" s="24">
        <f t="shared" si="59"/>
        <v>133.21513002364068</v>
      </c>
      <c r="BJ51" s="24">
        <f t="shared" si="60"/>
        <v>219.81871331798365</v>
      </c>
      <c r="BK51" s="24">
        <f t="shared" si="61"/>
        <v>213.4075008673008</v>
      </c>
      <c r="BL51" s="24">
        <f t="shared" si="62"/>
        <v>217.89534958277881</v>
      </c>
      <c r="BM51" s="24">
        <f t="shared" si="63"/>
        <v>474.9362159988554</v>
      </c>
      <c r="BN51" s="24">
        <f t="shared" si="64"/>
        <v>204.13043478260869</v>
      </c>
      <c r="BO51">
        <f t="shared" si="65"/>
        <v>172.00559300957448</v>
      </c>
    </row>
    <row r="52" spans="1:67" x14ac:dyDescent="0.25">
      <c r="A52" s="8" t="s">
        <v>411</v>
      </c>
      <c r="B52" s="10"/>
      <c r="C52" s="10"/>
      <c r="L52" s="1">
        <f t="shared" si="34"/>
        <v>43252</v>
      </c>
      <c r="M52" s="12">
        <f t="shared" si="39"/>
        <v>770802.09285683278</v>
      </c>
      <c r="N52" s="12">
        <f t="shared" si="40"/>
        <v>526989.52114844986</v>
      </c>
      <c r="O52" s="9">
        <f t="shared" si="24"/>
        <v>1.4626516504105256</v>
      </c>
      <c r="P52" s="9">
        <f t="shared" si="41"/>
        <v>0.75858070170085301</v>
      </c>
      <c r="Q52">
        <v>50</v>
      </c>
      <c r="R52">
        <f t="shared" si="42"/>
        <v>91</v>
      </c>
      <c r="S52" s="24"/>
      <c r="T52" s="24">
        <f>IF($B$10="3BR_H",
INDEX('3BR_H-combined'!$C:$BH,MATCH($L52,'3BR_H-combined'!$B:$B,0),MATCH(Council_Area,'3BR_H-combined'!$C$1:$BH$1,0)),
INDEX('2BR_F-combined'!$C:$BH,MATCH($L52,'2BR_F-combined'!$B:$B,0),MATCH(Council_Area,'2BR_F-combined'!$C$1:$BH$1,0)))</f>
        <v>495</v>
      </c>
      <c r="U52" s="24">
        <f t="shared" si="25"/>
        <v>500</v>
      </c>
      <c r="V52" s="24">
        <f t="shared" si="35"/>
        <v>6500</v>
      </c>
      <c r="W52" s="24">
        <f>$B$53/4*BH52/_xlfn.XLOOKUP(Q_end,cpi!A:A,cpi!B:B)</f>
        <v>156.46164478230824</v>
      </c>
      <c r="X52" s="24">
        <f t="shared" si="43"/>
        <v>6656.4616447823082</v>
      </c>
      <c r="Y52" s="24">
        <f t="shared" si="44"/>
        <v>2118.4276054418424</v>
      </c>
      <c r="Z52" s="24">
        <f t="shared" si="66"/>
        <v>677.89683374138951</v>
      </c>
      <c r="AA52" s="24">
        <f t="shared" si="45"/>
        <v>2796.3244391832318</v>
      </c>
      <c r="AB52" s="24">
        <f>AA52*(_xlfn.XLOOKUP(Q_end,cpi!A:A,cpi!B:B)/BH52)</f>
        <v>3574.4535896626639</v>
      </c>
      <c r="AC52" s="24" cm="1">
        <f t="array" ref="AC52">INDEX('msci-indices'!C:C,MATCH($L52,'msci-indices'!$B:$B)-2)</f>
        <v>1639.7568659999999</v>
      </c>
      <c r="AD52" s="24" cm="1">
        <f t="array" ref="AD52">INDEX('msci-indices'!D:D,MATCH($L52,'msci-indices'!$B:$B)-2)</f>
        <v>1460.9362550000001</v>
      </c>
      <c r="AE52" s="24">
        <f t="shared" si="67"/>
        <v>741417.96950286557</v>
      </c>
      <c r="AF52" s="24" cm="1">
        <f t="array" ref="AF52">INDEX('msci-indices'!C:C,MATCH($L52,'msci-indices'!$B:$B)+1)</f>
        <v>1671.6050210000001</v>
      </c>
      <c r="AG52" s="24" cm="1">
        <f t="array" ref="AG52">INDEX('msci-indices'!D:D,MATCH($L52,'msci-indices'!$B:$B)+1)</f>
        <v>1590.772543</v>
      </c>
      <c r="AH52" s="24">
        <f t="shared" si="46"/>
        <v>463.38623093929101</v>
      </c>
      <c r="AI52" s="24">
        <f t="shared" si="47"/>
        <v>770802.09285683278</v>
      </c>
      <c r="AJ52" s="24">
        <f t="shared" si="68"/>
        <v>400230.97101848992</v>
      </c>
      <c r="AK52" s="24">
        <f t="shared" si="48"/>
        <v>370571.12183834286</v>
      </c>
      <c r="AL52" s="24">
        <f>AJ52*(_xlfn.XLOOKUP(Q_end,cpi!A:A,cpi!B:B)/BH52)</f>
        <v>511602.66348388232</v>
      </c>
      <c r="AM52" s="24" cm="1">
        <f t="array" ref="AM52">SUMPRODUCT($AA$3:AA52,_xlfn.SORTBY($BH$3:BH52,_xlfn.SEQUENCE(ROWS($BH$3:BH52)),-1)/$BH$3)</f>
        <v>504419.85107580968</v>
      </c>
      <c r="AN52" s="24">
        <f t="shared" si="30"/>
        <v>266382.2417810231</v>
      </c>
      <c r="AO52" s="24">
        <f t="shared" si="49"/>
        <v>0</v>
      </c>
      <c r="AP52" s="24">
        <f t="shared" si="31"/>
        <v>770802.09285683278</v>
      </c>
      <c r="AQ52" s="24"/>
      <c r="AR52" s="12">
        <f>IF($B$10="3BR_H",
INDEX('ns-combined'!$C:$BH,MATCH($L52,'ns-combined'!$B:$B,0),MATCH(Council_Area,'ns-combined'!$C$1:$BH$1,0))*1000,
INDEX('s-combined'!$C:$BH,MATCH($L52,'s-combined'!$B:$B,0),MATCH(Council_Area,'s-combined'!$C$1:$BH$1,0))*1000)</f>
        <v>950000</v>
      </c>
      <c r="AS52" s="24">
        <f t="shared" si="36"/>
        <v>57500</v>
      </c>
      <c r="AT52" s="12">
        <v>0</v>
      </c>
      <c r="AU52" s="24">
        <f t="shared" si="50"/>
        <v>19000</v>
      </c>
      <c r="AV52" s="24">
        <f t="shared" si="51"/>
        <v>2731.25</v>
      </c>
      <c r="AW52" s="24">
        <f>SUM($AV$3:AV52)</f>
        <v>95452.875</v>
      </c>
      <c r="AX52" s="24">
        <f t="shared" si="52"/>
        <v>778047.125</v>
      </c>
      <c r="AY52" s="24">
        <f t="shared" si="53"/>
        <v>2275</v>
      </c>
      <c r="AZ52" s="26">
        <f t="shared" si="54"/>
        <v>9.5789473684210532E-3</v>
      </c>
      <c r="BA52" s="26">
        <f t="shared" si="55"/>
        <v>0.35</v>
      </c>
      <c r="BB52" s="27">
        <f>IF(MortgageRate="Discounted",_xlfn.XLOOKUP(L52,'mortgage-rates'!$A:$A,'mortgage-rates'!$E:$E)/100,_xlfn.XLOOKUP(L52,'mortgage-rates'!$A:$A,'mortgage-rates'!$D:$D)/100)</f>
        <v>4.5100000000000001E-2</v>
      </c>
      <c r="BC52" s="12">
        <f t="shared" si="69"/>
        <v>251057.60385155011</v>
      </c>
      <c r="BD52" s="12">
        <f t="shared" si="56"/>
        <v>6499.8892502241515</v>
      </c>
      <c r="BE52" s="12">
        <f t="shared" si="57"/>
        <v>2830.6744834262277</v>
      </c>
      <c r="BF52" s="12">
        <f t="shared" si="37"/>
        <v>3669.2147667979239</v>
      </c>
      <c r="BG52" s="14">
        <f t="shared" si="58"/>
        <v>8774.8892502241506</v>
      </c>
      <c r="BH52" s="24">
        <f>INDEX(cpi!B:B,MATCH($L52,cpi!A:A))</f>
        <v>113.2</v>
      </c>
      <c r="BI52" s="24">
        <f t="shared" si="59"/>
        <v>133.80614657210404</v>
      </c>
      <c r="BJ52" s="24">
        <f t="shared" si="60"/>
        <v>217.22097697509543</v>
      </c>
      <c r="BK52" s="24">
        <f t="shared" si="61"/>
        <v>204.91246989522486</v>
      </c>
      <c r="BL52" s="24">
        <f t="shared" si="62"/>
        <v>213.52842485113428</v>
      </c>
      <c r="BM52" s="24">
        <f t="shared" si="63"/>
        <v>466.79944092137089</v>
      </c>
      <c r="BN52" s="24">
        <f t="shared" si="64"/>
        <v>206.52173913043478</v>
      </c>
      <c r="BO52">
        <f t="shared" si="65"/>
        <v>173.54436767764636</v>
      </c>
    </row>
    <row r="53" spans="1:67" x14ac:dyDescent="0.25">
      <c r="A53" t="s">
        <v>563</v>
      </c>
      <c r="B53" s="25">
        <v>800</v>
      </c>
      <c r="C53" s="25">
        <v>800</v>
      </c>
      <c r="L53" s="1">
        <f t="shared" si="34"/>
        <v>43344</v>
      </c>
      <c r="M53" s="12">
        <f t="shared" si="39"/>
        <v>800644.92223987984</v>
      </c>
      <c r="N53" s="12">
        <f t="shared" si="40"/>
        <v>477921.23591524782</v>
      </c>
      <c r="O53" s="9">
        <f t="shared" si="24"/>
        <v>1.6752654246606071</v>
      </c>
      <c r="P53" s="9">
        <f t="shared" si="41"/>
        <v>0.76104037751414866</v>
      </c>
      <c r="Q53">
        <v>51</v>
      </c>
      <c r="R53">
        <f t="shared" si="42"/>
        <v>92</v>
      </c>
      <c r="S53" s="24"/>
      <c r="T53" s="24">
        <f>IF($B$10="3BR_H",
INDEX('3BR_H-combined'!$C:$BH,MATCH($L53,'3BR_H-combined'!$B:$B,0),MATCH(Council_Area,'3BR_H-combined'!$C$1:$BH$1,0)),
INDEX('2BR_F-combined'!$C:$BH,MATCH($L53,'2BR_F-combined'!$B:$B,0),MATCH(Council_Area,'2BR_F-combined'!$C$1:$BH$1,0)))</f>
        <v>500</v>
      </c>
      <c r="U53" s="24">
        <f t="shared" si="25"/>
        <v>500</v>
      </c>
      <c r="V53" s="24">
        <f t="shared" si="35"/>
        <v>6571.4285714285716</v>
      </c>
      <c r="W53" s="24">
        <f>$B$53/4*BH53/_xlfn.XLOOKUP(Q_end,cpi!A:A,cpi!B:B)</f>
        <v>156.87629578438148</v>
      </c>
      <c r="X53" s="24">
        <f t="shared" si="43"/>
        <v>6728.3048672129535</v>
      </c>
      <c r="Y53" s="24">
        <f t="shared" si="44"/>
        <v>2112.6253462274835</v>
      </c>
      <c r="Z53" s="24">
        <f t="shared" si="66"/>
        <v>676.04011079279462</v>
      </c>
      <c r="AA53" s="24">
        <f t="shared" si="45"/>
        <v>2788.6654570202782</v>
      </c>
      <c r="AB53" s="24">
        <f>AA53*(_xlfn.XLOOKUP(Q_end,cpi!A:A,cpi!B:B)/BH53)</f>
        <v>3555.2413359544862</v>
      </c>
      <c r="AC53" s="24" cm="1">
        <f t="array" ref="AC53">INDEX('msci-indices'!C:C,MATCH($L53,'msci-indices'!$B:$B)-2)</f>
        <v>1671.6050210000001</v>
      </c>
      <c r="AD53" s="24" cm="1">
        <f t="array" ref="AD53">INDEX('msci-indices'!D:D,MATCH($L53,'msci-indices'!$B:$B)-2)</f>
        <v>1590.772543</v>
      </c>
      <c r="AE53" s="24">
        <f t="shared" si="67"/>
        <v>773590.75831385306</v>
      </c>
      <c r="AF53" s="24" cm="1">
        <f t="array" ref="AF53">INDEX('msci-indices'!C:C,MATCH($L53,'msci-indices'!$B:$B)+1)</f>
        <v>1747.837315</v>
      </c>
      <c r="AG53" s="24" cm="1">
        <f t="array" ref="AG53">INDEX('msci-indices'!D:D,MATCH($L53,'msci-indices'!$B:$B)+1)</f>
        <v>1610.255349</v>
      </c>
      <c r="AH53" s="24">
        <f t="shared" si="46"/>
        <v>483.49422394615817</v>
      </c>
      <c r="AI53" s="24">
        <f t="shared" si="47"/>
        <v>800644.92223987984</v>
      </c>
      <c r="AJ53" s="24">
        <f t="shared" si="68"/>
        <v>403019.6364755102</v>
      </c>
      <c r="AK53" s="24">
        <f t="shared" si="48"/>
        <v>397625.28576436965</v>
      </c>
      <c r="AL53" s="24">
        <f>AJ53*(_xlfn.XLOOKUP(Q_end,cpi!A:A,cpi!B:B)/BH53)</f>
        <v>513805.65108375612</v>
      </c>
      <c r="AM53" s="24" cm="1">
        <f t="array" ref="AM53">SUMPRODUCT($AA$3:AA53,_xlfn.SORTBY($BH$3:BH53,_xlfn.SEQUENCE(ROWS($BH$3:BH53)),-1)/$BH$3)</f>
        <v>509366.68613148533</v>
      </c>
      <c r="AN53" s="24">
        <f t="shared" si="30"/>
        <v>291278.23610839451</v>
      </c>
      <c r="AO53" s="24">
        <f t="shared" si="49"/>
        <v>0</v>
      </c>
      <c r="AP53" s="24">
        <f t="shared" si="31"/>
        <v>800644.92223987984</v>
      </c>
      <c r="AQ53" s="24"/>
      <c r="AR53" s="12">
        <f>IF($B$10="3BR_H",
INDEX('ns-combined'!$C:$BH,MATCH($L53,'ns-combined'!$B:$B,0),MATCH(Council_Area,'ns-combined'!$C$1:$BH$1,0))*1000,
INDEX('s-combined'!$C:$BH,MATCH($L53,'s-combined'!$B:$B,0),MATCH(Council_Area,'s-combined'!$C$1:$BH$1,0))*1000)</f>
        <v>900000</v>
      </c>
      <c r="AS53" s="24">
        <f t="shared" si="36"/>
        <v>58650</v>
      </c>
      <c r="AT53" s="12">
        <v>0</v>
      </c>
      <c r="AU53" s="24">
        <f t="shared" si="50"/>
        <v>18000</v>
      </c>
      <c r="AV53" s="24">
        <f t="shared" si="51"/>
        <v>2587.5</v>
      </c>
      <c r="AW53" s="24">
        <f>SUM($AV$3:AV53)</f>
        <v>98040.375</v>
      </c>
      <c r="AX53" s="24">
        <f t="shared" si="52"/>
        <v>725309.625</v>
      </c>
      <c r="AY53" s="24">
        <f t="shared" si="53"/>
        <v>2300.0000000000005</v>
      </c>
      <c r="AZ53" s="26">
        <f t="shared" si="54"/>
        <v>1.0222222222222225E-2</v>
      </c>
      <c r="BA53" s="26">
        <f t="shared" si="55"/>
        <v>0.35000000000000009</v>
      </c>
      <c r="BB53" s="27">
        <f>IF(MortgageRate="Discounted",_xlfn.XLOOKUP(L53,'mortgage-rates'!$A:$A,'mortgage-rates'!$E:$E)/100,_xlfn.XLOOKUP(L53,'mortgage-rates'!$A:$A,'mortgage-rates'!$D:$D)/100)</f>
        <v>4.6199999999999998E-2</v>
      </c>
      <c r="BC53" s="12">
        <f t="shared" si="69"/>
        <v>247388.38908475218</v>
      </c>
      <c r="BD53" s="12">
        <f t="shared" si="56"/>
        <v>6540.930213440437</v>
      </c>
      <c r="BE53" s="12">
        <f t="shared" si="57"/>
        <v>2857.3358939288878</v>
      </c>
      <c r="BF53" s="12">
        <f t="shared" si="37"/>
        <v>3683.5943195115492</v>
      </c>
      <c r="BG53" s="14">
        <f t="shared" si="58"/>
        <v>8840.930213440437</v>
      </c>
      <c r="BH53" s="24">
        <f>INDEX(cpi!B:B,MATCH($L53,cpi!A:A))</f>
        <v>113.5</v>
      </c>
      <c r="BI53" s="24">
        <f t="shared" si="59"/>
        <v>134.16075650118205</v>
      </c>
      <c r="BJ53" s="24">
        <f t="shared" si="60"/>
        <v>221.43994838933332</v>
      </c>
      <c r="BK53" s="24">
        <f t="shared" si="61"/>
        <v>223.12344546999952</v>
      </c>
      <c r="BL53" s="24">
        <f t="shared" si="62"/>
        <v>221.94499751353317</v>
      </c>
      <c r="BM53" s="24">
        <f t="shared" si="63"/>
        <v>487.05554536933874</v>
      </c>
      <c r="BN53" s="24">
        <f t="shared" si="64"/>
        <v>195.65217391304347</v>
      </c>
      <c r="BO53">
        <f t="shared" si="65"/>
        <v>161.78120347290763</v>
      </c>
    </row>
    <row r="54" spans="1:67" x14ac:dyDescent="0.25">
      <c r="A54" t="s">
        <v>561</v>
      </c>
      <c r="B54" s="10">
        <v>1</v>
      </c>
      <c r="C54" s="10">
        <v>1</v>
      </c>
      <c r="L54" s="1">
        <f t="shared" si="34"/>
        <v>43435</v>
      </c>
      <c r="M54" s="12">
        <f t="shared" si="39"/>
        <v>704428.9172617289</v>
      </c>
      <c r="N54" s="12">
        <f t="shared" si="40"/>
        <v>525746.45523475937</v>
      </c>
      <c r="O54" s="9">
        <f t="shared" si="24"/>
        <v>1.3398643210008581</v>
      </c>
      <c r="P54" s="9">
        <f t="shared" si="41"/>
        <v>0.76017088173249137</v>
      </c>
      <c r="Q54">
        <v>52</v>
      </c>
      <c r="R54">
        <f t="shared" si="42"/>
        <v>92</v>
      </c>
      <c r="S54" s="24"/>
      <c r="T54" s="24">
        <f>IF($B$10="3BR_H",
INDEX('3BR_H-combined'!$C:$BH,MATCH($L54,'3BR_H-combined'!$B:$B,0),MATCH(Council_Area,'3BR_H-combined'!$C$1:$BH$1,0)),
INDEX('2BR_F-combined'!$C:$BH,MATCH($L54,'2BR_F-combined'!$B:$B,0),MATCH(Council_Area,'2BR_F-combined'!$C$1:$BH$1,0)))</f>
        <v>500</v>
      </c>
      <c r="U54" s="24">
        <f t="shared" si="25"/>
        <v>500</v>
      </c>
      <c r="V54" s="24">
        <f t="shared" si="35"/>
        <v>6571.4285714285716</v>
      </c>
      <c r="W54" s="24">
        <f>$B$53/4*BH54/_xlfn.XLOOKUP(Q_end,cpi!A:A,cpi!B:B)</f>
        <v>157.56738078783692</v>
      </c>
      <c r="X54" s="24">
        <f t="shared" si="43"/>
        <v>6728.9959522164081</v>
      </c>
      <c r="Y54" s="24">
        <f t="shared" si="44"/>
        <v>2122.9557785319175</v>
      </c>
      <c r="Z54" s="24">
        <f t="shared" si="66"/>
        <v>679.34584913021354</v>
      </c>
      <c r="AA54" s="24">
        <f t="shared" si="45"/>
        <v>2802.3016276621311</v>
      </c>
      <c r="AB54" s="24">
        <f>AA54*(_xlfn.XLOOKUP(Q_end,cpi!A:A,cpi!B:B)/BH54)</f>
        <v>3556.9565396728976</v>
      </c>
      <c r="AC54" s="24" cm="1">
        <f t="array" ref="AC54">INDEX('msci-indices'!C:C,MATCH($L54,'msci-indices'!$B:$B)-2)</f>
        <v>1747.837315</v>
      </c>
      <c r="AD54" s="24" cm="1">
        <f t="array" ref="AD54">INDEX('msci-indices'!D:D,MATCH($L54,'msci-indices'!$B:$B)-2)</f>
        <v>1610.255349</v>
      </c>
      <c r="AE54" s="24">
        <f t="shared" si="67"/>
        <v>803447.22386754199</v>
      </c>
      <c r="AF54" s="24" cm="1">
        <f t="array" ref="AF54">INDEX('msci-indices'!C:C,MATCH($L54,'msci-indices'!$B:$B)+1)</f>
        <v>1503.1567950000001</v>
      </c>
      <c r="AG54" s="24" cm="1">
        <f t="array" ref="AG54">INDEX('msci-indices'!D:D,MATCH($L54,'msci-indices'!$B:$B)+1)</f>
        <v>1478.088164</v>
      </c>
      <c r="AH54" s="24">
        <f t="shared" si="46"/>
        <v>502.15451491721376</v>
      </c>
      <c r="AI54" s="24">
        <f t="shared" si="47"/>
        <v>704428.9172617289</v>
      </c>
      <c r="AJ54" s="24">
        <f t="shared" si="68"/>
        <v>405821.93810317235</v>
      </c>
      <c r="AK54" s="24">
        <f t="shared" si="48"/>
        <v>298606.97915855655</v>
      </c>
      <c r="AL54" s="24">
        <f>AJ54*(_xlfn.XLOOKUP(Q_end,cpi!A:A,cpi!B:B)/BH54)</f>
        <v>515109.07406604412</v>
      </c>
      <c r="AM54" s="24" cm="1">
        <f t="array" ref="AM54">SUMPRODUCT($AA$3:AA54,_xlfn.SORTBY($BH$3:BH54,_xlfn.SEQUENCE(ROWS($BH$3:BH54)),-1)/$BH$3)</f>
        <v>514711.50359465939</v>
      </c>
      <c r="AN54" s="24">
        <f t="shared" si="30"/>
        <v>189717.41366706952</v>
      </c>
      <c r="AO54" s="24">
        <f t="shared" si="49"/>
        <v>0</v>
      </c>
      <c r="AP54" s="24">
        <f t="shared" si="31"/>
        <v>704428.9172617289</v>
      </c>
      <c r="AQ54" s="24"/>
      <c r="AR54" s="12">
        <f>IF($B$10="3BR_H",
INDEX('ns-combined'!$C:$BH,MATCH($L54,'ns-combined'!$B:$B,0),MATCH(Council_Area,'ns-combined'!$C$1:$BH$1,0))*1000,
INDEX('s-combined'!$C:$BH,MATCH($L54,'s-combined'!$B:$B,0),MATCH(Council_Area,'s-combined'!$C$1:$BH$1,0))*1000)</f>
        <v>949000</v>
      </c>
      <c r="AS54" s="24">
        <f t="shared" si="36"/>
        <v>59800</v>
      </c>
      <c r="AT54" s="12">
        <v>0</v>
      </c>
      <c r="AU54" s="24">
        <f t="shared" si="50"/>
        <v>18980</v>
      </c>
      <c r="AV54" s="24">
        <f t="shared" si="51"/>
        <v>2728.375</v>
      </c>
      <c r="AW54" s="24">
        <f>SUM($AV$3:AV54)</f>
        <v>100768.75</v>
      </c>
      <c r="AX54" s="24">
        <f t="shared" si="52"/>
        <v>769451.25</v>
      </c>
      <c r="AY54" s="24">
        <f t="shared" si="53"/>
        <v>2300.0000000000005</v>
      </c>
      <c r="AZ54" s="26">
        <f t="shared" si="54"/>
        <v>9.694415173867231E-3</v>
      </c>
      <c r="BA54" s="26">
        <f t="shared" si="55"/>
        <v>0.35000000000000009</v>
      </c>
      <c r="BB54" s="27">
        <f>IF(MortgageRate="Discounted",_xlfn.XLOOKUP(L54,'mortgage-rates'!$A:$A,'mortgage-rates'!$E:$E)/100,_xlfn.XLOOKUP(L54,'mortgage-rates'!$A:$A,'mortgage-rates'!$D:$D)/100)</f>
        <v>4.6500000000000007E-2</v>
      </c>
      <c r="BC54" s="12">
        <f t="shared" si="69"/>
        <v>243704.79476524063</v>
      </c>
      <c r="BD54" s="12">
        <f t="shared" si="56"/>
        <v>6551.9517307483247</v>
      </c>
      <c r="BE54" s="12">
        <f t="shared" si="57"/>
        <v>2833.0682391459227</v>
      </c>
      <c r="BF54" s="12">
        <f t="shared" si="37"/>
        <v>3718.883491602402</v>
      </c>
      <c r="BG54" s="14">
        <f t="shared" si="58"/>
        <v>8851.9517307483256</v>
      </c>
      <c r="BH54" s="24">
        <f>INDEX(cpi!B:B,MATCH($L54,cpi!A:A))</f>
        <v>114</v>
      </c>
      <c r="BI54" s="24">
        <f t="shared" si="59"/>
        <v>134.75177304964541</v>
      </c>
      <c r="BJ54" s="24">
        <f t="shared" si="60"/>
        <v>231.53855125118753</v>
      </c>
      <c r="BK54" s="24">
        <f t="shared" si="61"/>
        <v>225.85612452035926</v>
      </c>
      <c r="BL54" s="24">
        <f t="shared" si="62"/>
        <v>229.83382323193905</v>
      </c>
      <c r="BM54" s="24">
        <f t="shared" si="63"/>
        <v>505.85328429883242</v>
      </c>
      <c r="BN54" s="24">
        <f t="shared" si="64"/>
        <v>206.30434782608697</v>
      </c>
      <c r="BO54">
        <f t="shared" si="65"/>
        <v>171.62704719206383</v>
      </c>
    </row>
    <row r="55" spans="1:67" x14ac:dyDescent="0.25">
      <c r="L55" s="1">
        <f t="shared" si="34"/>
        <v>43525</v>
      </c>
      <c r="M55" s="12">
        <f t="shared" si="39"/>
        <v>792454.52898710466</v>
      </c>
      <c r="N55" s="12">
        <f t="shared" si="40"/>
        <v>443508.46372636175</v>
      </c>
      <c r="O55" s="9">
        <f t="shared" si="24"/>
        <v>1.786785583140613</v>
      </c>
      <c r="P55" s="9">
        <f t="shared" si="41"/>
        <v>0.74195441347862279</v>
      </c>
      <c r="Q55">
        <v>53</v>
      </c>
      <c r="R55">
        <f t="shared" si="42"/>
        <v>90</v>
      </c>
      <c r="S55" s="24"/>
      <c r="T55" s="24">
        <f>IF($B$10="3BR_H",
INDEX('3BR_H-combined'!$C:$BH,MATCH($L55,'3BR_H-combined'!$B:$B,0),MATCH(Council_Area,'3BR_H-combined'!$C$1:$BH$1,0)),
INDEX('2BR_F-combined'!$C:$BH,MATCH($L55,'2BR_F-combined'!$B:$B,0),MATCH(Council_Area,'2BR_F-combined'!$C$1:$BH$1,0)))</f>
        <v>495</v>
      </c>
      <c r="U55" s="24">
        <f t="shared" si="25"/>
        <v>495</v>
      </c>
      <c r="V55" s="24">
        <f t="shared" si="35"/>
        <v>6364.2857142857147</v>
      </c>
      <c r="W55" s="24">
        <f>$B$53/4*BH55/_xlfn.XLOOKUP(Q_end,cpi!A:A,cpi!B:B)</f>
        <v>157.705597788528</v>
      </c>
      <c r="X55" s="24">
        <f t="shared" si="43"/>
        <v>6521.9913120742431</v>
      </c>
      <c r="Y55" s="24">
        <f t="shared" si="44"/>
        <v>2268.2944434833726</v>
      </c>
      <c r="Z55" s="24">
        <f t="shared" si="66"/>
        <v>725.8542219146791</v>
      </c>
      <c r="AA55" s="24">
        <f t="shared" si="45"/>
        <v>2994.1486653980519</v>
      </c>
      <c r="AB55" s="24">
        <f>AA55*(_xlfn.XLOOKUP(Q_end,cpi!A:A,cpi!B:B)/BH55)</f>
        <v>3797.1368263198779</v>
      </c>
      <c r="AC55" s="24" cm="1">
        <f t="array" ref="AC55">INDEX('msci-indices'!C:C,MATCH($L55,'msci-indices'!$B:$B)-2)</f>
        <v>1503.1567950000001</v>
      </c>
      <c r="AD55" s="24" cm="1">
        <f t="array" ref="AD55">INDEX('msci-indices'!D:D,MATCH($L55,'msci-indices'!$B:$B)-2)</f>
        <v>1478.088164</v>
      </c>
      <c r="AE55" s="24">
        <f t="shared" si="67"/>
        <v>707423.06592712691</v>
      </c>
      <c r="AF55" s="24" cm="1">
        <f t="array" ref="AF55">INDEX('msci-indices'!C:C,MATCH($L55,'msci-indices'!$B:$B)+1)</f>
        <v>1693.1497079999999</v>
      </c>
      <c r="AG55" s="24" cm="1">
        <f t="array" ref="AG55">INDEX('msci-indices'!D:D,MATCH($L55,'msci-indices'!$B:$B)+1)</f>
        <v>1637.459214</v>
      </c>
      <c r="AH55" s="24">
        <f t="shared" si="46"/>
        <v>442.13941620445434</v>
      </c>
      <c r="AI55" s="24">
        <f t="shared" si="47"/>
        <v>792454.52898710466</v>
      </c>
      <c r="AJ55" s="24">
        <f t="shared" si="68"/>
        <v>408816.08676857041</v>
      </c>
      <c r="AK55" s="24">
        <f t="shared" si="48"/>
        <v>383638.44221853424</v>
      </c>
      <c r="AL55" s="24">
        <f>AJ55*(_xlfn.XLOOKUP(Q_end,cpi!A:A,cpi!B:B)/BH55)</f>
        <v>518454.75683972071</v>
      </c>
      <c r="AM55" s="24" cm="1">
        <f t="array" ref="AM55">SUMPRODUCT($AA$3:AA55,_xlfn.SORTBY($BH$3:BH55,_xlfn.SEQUENCE(ROWS($BH$3:BH55)),-1)/$BH$3)</f>
        <v>519521.06980618165</v>
      </c>
      <c r="AN55" s="24">
        <f t="shared" si="30"/>
        <v>272933.459180923</v>
      </c>
      <c r="AO55" s="24">
        <f t="shared" si="49"/>
        <v>0</v>
      </c>
      <c r="AP55" s="24">
        <f t="shared" si="31"/>
        <v>792454.52898710466</v>
      </c>
      <c r="AQ55" s="24"/>
      <c r="AR55" s="12">
        <f>IF($B$10="3BR_H",
INDEX('ns-combined'!$C:$BH,MATCH($L55,'ns-combined'!$B:$B,0),MATCH(Council_Area,'ns-combined'!$C$1:$BH$1,0))*1000,
INDEX('s-combined'!$C:$BH,MATCH($L55,'s-combined'!$B:$B,0),MATCH(Council_Area,'s-combined'!$C$1:$BH$1,0))*1000)</f>
        <v>865000</v>
      </c>
      <c r="AS55" s="24">
        <f t="shared" si="36"/>
        <v>60950</v>
      </c>
      <c r="AT55" s="12">
        <v>0</v>
      </c>
      <c r="AU55" s="24">
        <f t="shared" si="50"/>
        <v>17300</v>
      </c>
      <c r="AV55" s="24">
        <f t="shared" si="51"/>
        <v>2486.875</v>
      </c>
      <c r="AW55" s="24">
        <f>SUM($AV$3:AV55)</f>
        <v>103255.625</v>
      </c>
      <c r="AX55" s="24">
        <f t="shared" si="52"/>
        <v>683494.375</v>
      </c>
      <c r="AY55" s="24">
        <f t="shared" si="53"/>
        <v>2227.5000000000005</v>
      </c>
      <c r="AZ55" s="26">
        <f t="shared" si="54"/>
        <v>1.0300578034682083E-2</v>
      </c>
      <c r="BA55" s="26">
        <f t="shared" si="55"/>
        <v>0.35000000000000003</v>
      </c>
      <c r="BB55" s="27">
        <f>IF(MortgageRate="Discounted",_xlfn.XLOOKUP(L55,'mortgage-rates'!$A:$A,'mortgage-rates'!$E:$E)/100,_xlfn.XLOOKUP(L55,'mortgage-rates'!$A:$A,'mortgage-rates'!$D:$D)/100)</f>
        <v>4.6799999999999994E-2</v>
      </c>
      <c r="BC55" s="12">
        <f t="shared" si="69"/>
        <v>239985.91127363822</v>
      </c>
      <c r="BD55" s="12">
        <f t="shared" si="56"/>
        <v>6562.7857555576156</v>
      </c>
      <c r="BE55" s="12">
        <f t="shared" si="57"/>
        <v>2807.8351619015671</v>
      </c>
      <c r="BF55" s="12">
        <f t="shared" si="37"/>
        <v>3754.9505936560486</v>
      </c>
      <c r="BG55" s="14">
        <f t="shared" si="58"/>
        <v>8790.2857555576156</v>
      </c>
      <c r="BH55" s="24">
        <f>INDEX(cpi!B:B,MATCH($L55,cpi!A:A))</f>
        <v>114.1</v>
      </c>
      <c r="BI55" s="24">
        <f t="shared" si="59"/>
        <v>134.86997635933807</v>
      </c>
      <c r="BJ55" s="24">
        <f t="shared" si="60"/>
        <v>199.12536689244348</v>
      </c>
      <c r="BK55" s="24">
        <f t="shared" si="61"/>
        <v>207.31821485814123</v>
      </c>
      <c r="BL55" s="24">
        <f t="shared" si="62"/>
        <v>201.58322128215281</v>
      </c>
      <c r="BM55" s="24">
        <f t="shared" si="63"/>
        <v>445.39612641313062</v>
      </c>
      <c r="BN55" s="24">
        <f t="shared" si="64"/>
        <v>188.04347826086956</v>
      </c>
      <c r="BO55">
        <f t="shared" si="65"/>
        <v>152.45426055729351</v>
      </c>
    </row>
    <row r="56" spans="1:67" x14ac:dyDescent="0.25">
      <c r="B56" s="13"/>
      <c r="L56" s="1">
        <f t="shared" si="34"/>
        <v>43617</v>
      </c>
      <c r="M56" s="12">
        <f t="shared" si="39"/>
        <v>834767.97143931943</v>
      </c>
      <c r="N56" s="12">
        <f t="shared" si="40"/>
        <v>477825.91432001779</v>
      </c>
      <c r="O56" s="9">
        <f t="shared" si="24"/>
        <v>1.7470127643186892</v>
      </c>
      <c r="P56" s="9">
        <f t="shared" si="41"/>
        <v>0.75467600907326771</v>
      </c>
      <c r="Q56">
        <v>54</v>
      </c>
      <c r="R56">
        <f t="shared" si="42"/>
        <v>91</v>
      </c>
      <c r="S56" s="24"/>
      <c r="T56" s="24">
        <f>IF($B$10="3BR_H",
INDEX('3BR_H-combined'!$C:$BH,MATCH($L56,'3BR_H-combined'!$B:$B,0),MATCH(Council_Area,'3BR_H-combined'!$C$1:$BH$1,0)),
INDEX('2BR_F-combined'!$C:$BH,MATCH($L56,'2BR_F-combined'!$B:$B,0),MATCH(Council_Area,'2BR_F-combined'!$C$1:$BH$1,0)))</f>
        <v>480</v>
      </c>
      <c r="U56" s="24">
        <f t="shared" si="25"/>
        <v>495</v>
      </c>
      <c r="V56" s="24">
        <f t="shared" si="35"/>
        <v>6435</v>
      </c>
      <c r="W56" s="24">
        <f>$B$53/4*BH56/_xlfn.XLOOKUP(Q_end,cpi!A:A,cpi!B:B)</f>
        <v>158.81133379405668</v>
      </c>
      <c r="X56" s="24">
        <f t="shared" si="43"/>
        <v>6593.8113337940567</v>
      </c>
      <c r="Y56" s="24">
        <f t="shared" si="44"/>
        <v>2143.46301243986</v>
      </c>
      <c r="Z56" s="24">
        <f t="shared" si="66"/>
        <v>685.90816398075515</v>
      </c>
      <c r="AA56" s="24">
        <f t="shared" si="45"/>
        <v>2829.371176420615</v>
      </c>
      <c r="AB56" s="24">
        <f>AA56*(_xlfn.XLOOKUP(Q_end,cpi!A:A,cpi!B:B)/BH56)</f>
        <v>3563.1854589039422</v>
      </c>
      <c r="AC56" s="24" cm="1">
        <f t="array" ref="AC56">INDEX('msci-indices'!C:C,MATCH($L56,'msci-indices'!$B:$B)-2)</f>
        <v>1693.1497079999999</v>
      </c>
      <c r="AD56" s="24" cm="1">
        <f t="array" ref="AD56">INDEX('msci-indices'!D:D,MATCH($L56,'msci-indices'!$B:$B)-2)</f>
        <v>1637.459214</v>
      </c>
      <c r="AE56" s="24">
        <f t="shared" si="67"/>
        <v>795283.90016352525</v>
      </c>
      <c r="AF56" s="24" cm="1">
        <f t="array" ref="AF56">INDEX('msci-indices'!C:C,MATCH($L56,'msci-indices'!$B:$B)+1)</f>
        <v>1756.4484090000001</v>
      </c>
      <c r="AG56" s="24" cm="1">
        <f t="array" ref="AG56">INDEX('msci-indices'!D:D,MATCH($L56,'msci-indices'!$B:$B)+1)</f>
        <v>1769.0189379999999</v>
      </c>
      <c r="AH56" s="24">
        <f t="shared" si="46"/>
        <v>497.05243760220327</v>
      </c>
      <c r="AI56" s="24">
        <f t="shared" si="47"/>
        <v>834767.97143931943</v>
      </c>
      <c r="AJ56" s="24">
        <f t="shared" si="68"/>
        <v>411645.45794499101</v>
      </c>
      <c r="AK56" s="24">
        <f t="shared" si="48"/>
        <v>423122.51349432842</v>
      </c>
      <c r="AL56" s="24">
        <f>AJ56*(_xlfn.XLOOKUP(Q_end,cpi!A:A,cpi!B:B)/BH56)</f>
        <v>518408.16157215135</v>
      </c>
      <c r="AM56" s="24" cm="1">
        <f t="array" ref="AM56">SUMPRODUCT($AA$3:AA56,_xlfn.SORTBY($BH$3:BH56,_xlfn.SEQUENCE(ROWS($BH$3:BH56)),-1)/$BH$3)</f>
        <v>525456.78862108663</v>
      </c>
      <c r="AN56" s="24">
        <f t="shared" si="30"/>
        <v>309311.1828182328</v>
      </c>
      <c r="AO56" s="24">
        <f t="shared" si="49"/>
        <v>0</v>
      </c>
      <c r="AP56" s="24">
        <f t="shared" si="31"/>
        <v>834767.97143931943</v>
      </c>
      <c r="AQ56" s="24"/>
      <c r="AR56" s="12">
        <f>IF($B$10="3BR_H",
INDEX('ns-combined'!$C:$BH,MATCH($L56,'ns-combined'!$B:$B,0),MATCH(Council_Area,'ns-combined'!$C$1:$BH$1,0))*1000,
INDEX('s-combined'!$C:$BH,MATCH($L56,'s-combined'!$B:$B,0),MATCH(Council_Area,'s-combined'!$C$1:$BH$1,0))*1000)</f>
        <v>900000</v>
      </c>
      <c r="AS56" s="24">
        <f t="shared" si="36"/>
        <v>62100</v>
      </c>
      <c r="AT56" s="12">
        <v>0</v>
      </c>
      <c r="AU56" s="24">
        <f t="shared" si="50"/>
        <v>18000</v>
      </c>
      <c r="AV56" s="24">
        <f t="shared" si="51"/>
        <v>2587.5</v>
      </c>
      <c r="AW56" s="24">
        <f>SUM($AV$3:AV56)</f>
        <v>105843.125</v>
      </c>
      <c r="AX56" s="24">
        <f t="shared" si="52"/>
        <v>714056.875</v>
      </c>
      <c r="AY56" s="24">
        <f t="shared" si="53"/>
        <v>2252.25</v>
      </c>
      <c r="AZ56" s="26">
        <f t="shared" si="54"/>
        <v>1.001E-2</v>
      </c>
      <c r="BA56" s="26">
        <f t="shared" si="55"/>
        <v>0.35</v>
      </c>
      <c r="BB56" s="27">
        <f>IF(MortgageRate="Discounted",_xlfn.XLOOKUP(L56,'mortgage-rates'!$A:$A,'mortgage-rates'!$E:$E)/100,_xlfn.XLOOKUP(L56,'mortgage-rates'!$A:$A,'mortgage-rates'!$D:$D)/100)</f>
        <v>4.4600000000000001E-2</v>
      </c>
      <c r="BC56" s="12">
        <f t="shared" si="69"/>
        <v>236230.96067998218</v>
      </c>
      <c r="BD56" s="12">
        <f t="shared" si="56"/>
        <v>6485.0243462339158</v>
      </c>
      <c r="BE56" s="12">
        <f t="shared" si="57"/>
        <v>2633.9752115818014</v>
      </c>
      <c r="BF56" s="12">
        <f t="shared" si="37"/>
        <v>3851.0491346521144</v>
      </c>
      <c r="BG56" s="14">
        <f t="shared" si="58"/>
        <v>8737.2743462339167</v>
      </c>
      <c r="BH56" s="24">
        <f>INDEX(cpi!B:B,MATCH($L56,cpi!A:A))</f>
        <v>114.9</v>
      </c>
      <c r="BI56" s="24">
        <f t="shared" si="59"/>
        <v>135.81560283687944</v>
      </c>
      <c r="BJ56" s="24">
        <f t="shared" si="60"/>
        <v>224.29400441178427</v>
      </c>
      <c r="BK56" s="24">
        <f t="shared" si="61"/>
        <v>229.67176750188432</v>
      </c>
      <c r="BL56" s="24">
        <f t="shared" si="62"/>
        <v>225.90733333881428</v>
      </c>
      <c r="BM56" s="24">
        <f t="shared" si="63"/>
        <v>500.71362610623385</v>
      </c>
      <c r="BN56" s="24">
        <f t="shared" si="64"/>
        <v>195.65217391304347</v>
      </c>
      <c r="BO56">
        <f t="shared" si="65"/>
        <v>159.27126375250236</v>
      </c>
    </row>
    <row r="57" spans="1:67" x14ac:dyDescent="0.25">
      <c r="B57" s="13"/>
      <c r="L57" s="1">
        <f t="shared" si="34"/>
        <v>43709</v>
      </c>
      <c r="M57" s="12">
        <f t="shared" si="39"/>
        <v>845943.69993513438</v>
      </c>
      <c r="N57" s="12">
        <f t="shared" si="40"/>
        <v>492596.33845466992</v>
      </c>
      <c r="O57" s="9">
        <f t="shared" si="24"/>
        <v>1.7173162565295448</v>
      </c>
      <c r="P57" s="9">
        <f t="shared" si="41"/>
        <v>0.7670262707981137</v>
      </c>
      <c r="Q57">
        <v>55</v>
      </c>
      <c r="R57">
        <f t="shared" si="42"/>
        <v>92</v>
      </c>
      <c r="S57" s="24"/>
      <c r="T57" s="24">
        <f>IF($B$10="3BR_H",
INDEX('3BR_H-combined'!$C:$BH,MATCH($L57,'3BR_H-combined'!$B:$B,0),MATCH(Council_Area,'3BR_H-combined'!$C$1:$BH$1,0)),
INDEX('2BR_F-combined'!$C:$BH,MATCH($L57,'2BR_F-combined'!$B:$B,0),MATCH(Council_Area,'2BR_F-combined'!$C$1:$BH$1,0)))</f>
        <v>485</v>
      </c>
      <c r="U57" s="24">
        <f t="shared" si="25"/>
        <v>495</v>
      </c>
      <c r="V57" s="24">
        <f t="shared" si="35"/>
        <v>6505.7142857142853</v>
      </c>
      <c r="W57" s="24">
        <f>$B$53/4*BH57/_xlfn.XLOOKUP(Q_end,cpi!A:A,cpi!B:B)</f>
        <v>159.50241879751209</v>
      </c>
      <c r="X57" s="24">
        <f t="shared" si="43"/>
        <v>6665.2167045117976</v>
      </c>
      <c r="Y57" s="24">
        <f t="shared" si="44"/>
        <v>2024.4683274968729</v>
      </c>
      <c r="Z57" s="24">
        <f t="shared" si="66"/>
        <v>647.82986479899921</v>
      </c>
      <c r="AA57" s="24">
        <f t="shared" si="45"/>
        <v>2672.298192295872</v>
      </c>
      <c r="AB57" s="24">
        <f>AA57*(_xlfn.XLOOKUP(Q_end,cpi!A:A,cpi!B:B)/BH57)</f>
        <v>3350.7933139099882</v>
      </c>
      <c r="AC57" s="24" cm="1">
        <f t="array" ref="AC57">INDEX('msci-indices'!C:C,MATCH($L57,'msci-indices'!$B:$B)-2)</f>
        <v>1756.4484090000001</v>
      </c>
      <c r="AD57" s="24" cm="1">
        <f t="array" ref="AD57">INDEX('msci-indices'!D:D,MATCH($L57,'msci-indices'!$B:$B)-2)</f>
        <v>1769.0189379999999</v>
      </c>
      <c r="AE57" s="24">
        <f t="shared" si="67"/>
        <v>837440.26963161526</v>
      </c>
      <c r="AF57" s="24" cm="1">
        <f t="array" ref="AF57">INDEX('msci-indices'!C:C,MATCH($L57,'msci-indices'!$B:$B)+1)</f>
        <v>1762.7547079999999</v>
      </c>
      <c r="AG57" s="24" cm="1">
        <f t="array" ref="AG57">INDEX('msci-indices'!D:D,MATCH($L57,'msci-indices'!$B:$B)+1)</f>
        <v>1817.7602159999999</v>
      </c>
      <c r="AH57" s="24">
        <f t="shared" si="46"/>
        <v>523.40016851975952</v>
      </c>
      <c r="AI57" s="24">
        <f t="shared" si="47"/>
        <v>845943.69993513438</v>
      </c>
      <c r="AJ57" s="24">
        <f t="shared" si="68"/>
        <v>414317.75613728689</v>
      </c>
      <c r="AK57" s="24">
        <f t="shared" si="48"/>
        <v>431625.94379784749</v>
      </c>
      <c r="AL57" s="24">
        <f>AJ57*(_xlfn.XLOOKUP(Q_end,cpi!A:A,cpi!B:B)/BH57)</f>
        <v>519512.81900403299</v>
      </c>
      <c r="AM57" s="24" cm="1">
        <f t="array" ref="AM57">SUMPRODUCT($AA$3:AA57,_xlfn.SORTBY($BH$3:BH57,_xlfn.SEQUENCE(ROWS($BH$3:BH57)),-1)/$BH$3)</f>
        <v>530711.48420872237</v>
      </c>
      <c r="AN57" s="24">
        <f t="shared" si="30"/>
        <v>315232.21572641202</v>
      </c>
      <c r="AO57" s="24">
        <f t="shared" si="49"/>
        <v>0</v>
      </c>
      <c r="AP57" s="24">
        <f t="shared" si="31"/>
        <v>845943.69993513438</v>
      </c>
      <c r="AQ57" s="24"/>
      <c r="AR57" s="12">
        <f>IF($B$10="3BR_H",
INDEX('ns-combined'!$C:$BH,MATCH($L57,'ns-combined'!$B:$B,0),MATCH(Council_Area,'ns-combined'!$C$1:$BH$1,0))*1000,
INDEX('s-combined'!$C:$BH,MATCH($L57,'s-combined'!$B:$B,0),MATCH(Council_Area,'s-combined'!$C$1:$BH$1,0))*1000)</f>
        <v>915000</v>
      </c>
      <c r="AS57" s="24">
        <f t="shared" si="36"/>
        <v>63250</v>
      </c>
      <c r="AT57" s="12">
        <v>0</v>
      </c>
      <c r="AU57" s="24">
        <f t="shared" si="50"/>
        <v>18300</v>
      </c>
      <c r="AV57" s="24">
        <f t="shared" si="51"/>
        <v>2630.625</v>
      </c>
      <c r="AW57" s="24">
        <f>SUM($AV$3:AV57)</f>
        <v>108473.75</v>
      </c>
      <c r="AX57" s="24">
        <f t="shared" si="52"/>
        <v>724976.25</v>
      </c>
      <c r="AY57" s="24">
        <f t="shared" si="53"/>
        <v>2277</v>
      </c>
      <c r="AZ57" s="26">
        <f t="shared" si="54"/>
        <v>9.9540983606557377E-3</v>
      </c>
      <c r="BA57" s="26">
        <f t="shared" si="55"/>
        <v>0.35000000000000003</v>
      </c>
      <c r="BB57" s="27">
        <f>IF(MortgageRate="Discounted",_xlfn.XLOOKUP(L57,'mortgage-rates'!$A:$A,'mortgage-rates'!$E:$E)/100,_xlfn.XLOOKUP(L57,'mortgage-rates'!$A:$A,'mortgage-rates'!$D:$D)/100)</f>
        <v>4.2500000000000003E-2</v>
      </c>
      <c r="BC57" s="12">
        <f t="shared" si="69"/>
        <v>232379.91154533008</v>
      </c>
      <c r="BD57" s="12">
        <f t="shared" si="56"/>
        <v>6412.6850320086714</v>
      </c>
      <c r="BE57" s="12">
        <f t="shared" si="57"/>
        <v>2469.0365601691324</v>
      </c>
      <c r="BF57" s="12">
        <f t="shared" si="37"/>
        <v>3943.6484718395391</v>
      </c>
      <c r="BG57" s="14">
        <f t="shared" si="58"/>
        <v>8689.6850320086705</v>
      </c>
      <c r="BH57" s="24">
        <f>INDEX(cpi!B:B,MATCH($L57,cpi!A:A))</f>
        <v>115.4</v>
      </c>
      <c r="BI57" s="24">
        <f t="shared" si="59"/>
        <v>136.40661938534279</v>
      </c>
      <c r="BJ57" s="24">
        <f t="shared" si="60"/>
        <v>232.67927539772964</v>
      </c>
      <c r="BK57" s="24">
        <f t="shared" si="61"/>
        <v>248.12447403942869</v>
      </c>
      <c r="BL57" s="24">
        <f t="shared" si="62"/>
        <v>237.31283499023937</v>
      </c>
      <c r="BM57" s="24">
        <f t="shared" si="63"/>
        <v>527.25542912211438</v>
      </c>
      <c r="BN57" s="24">
        <f t="shared" si="64"/>
        <v>198.91304347826087</v>
      </c>
      <c r="BO57">
        <f t="shared" si="65"/>
        <v>161.70684376934273</v>
      </c>
    </row>
    <row r="58" spans="1:67" x14ac:dyDescent="0.25">
      <c r="B58" s="13"/>
      <c r="L58" s="1">
        <f t="shared" si="34"/>
        <v>43800</v>
      </c>
      <c r="M58" s="12">
        <f t="shared" si="39"/>
        <v>900008.50264244538</v>
      </c>
      <c r="N58" s="12">
        <f t="shared" si="40"/>
        <v>590471.86192650953</v>
      </c>
      <c r="O58" s="9">
        <f t="shared" si="24"/>
        <v>1.5242191214768859</v>
      </c>
      <c r="P58" s="9">
        <f t="shared" si="41"/>
        <v>0.77011685407151365</v>
      </c>
      <c r="Q58">
        <v>56</v>
      </c>
      <c r="R58">
        <f t="shared" si="42"/>
        <v>92</v>
      </c>
      <c r="S58" s="24"/>
      <c r="T58" s="24">
        <f>IF($B$10="3BR_H",
INDEX('3BR_H-combined'!$C:$BH,MATCH($L58,'3BR_H-combined'!$B:$B,0),MATCH(Council_Area,'3BR_H-combined'!$C$1:$BH$1,0)),
INDEX('2BR_F-combined'!$C:$BH,MATCH($L58,'2BR_F-combined'!$B:$B,0),MATCH(Council_Area,'2BR_F-combined'!$C$1:$BH$1,0)))</f>
        <v>490</v>
      </c>
      <c r="U58" s="24">
        <f t="shared" si="25"/>
        <v>495</v>
      </c>
      <c r="V58" s="24">
        <f t="shared" si="35"/>
        <v>6505.7142857142853</v>
      </c>
      <c r="W58" s="24">
        <f>$B$53/4*BH58/_xlfn.XLOOKUP(Q_end,cpi!A:A,cpi!B:B)</f>
        <v>160.4699378023497</v>
      </c>
      <c r="X58" s="24">
        <f t="shared" si="43"/>
        <v>6666.184223516635</v>
      </c>
      <c r="Y58" s="24">
        <f t="shared" si="44"/>
        <v>1989.8842526806257</v>
      </c>
      <c r="Z58" s="24">
        <f t="shared" si="66"/>
        <v>636.76296085780007</v>
      </c>
      <c r="AA58" s="24">
        <f t="shared" si="45"/>
        <v>2626.6472135384256</v>
      </c>
      <c r="AB58" s="24">
        <f>AA58*(_xlfn.XLOOKUP(Q_end,cpi!A:A,cpi!B:B)/BH58)</f>
        <v>3273.6938139449626</v>
      </c>
      <c r="AC58" s="24" cm="1">
        <f t="array" ref="AC58">INDEX('msci-indices'!C:C,MATCH($L58,'msci-indices'!$B:$B)-2)</f>
        <v>1762.7547079999999</v>
      </c>
      <c r="AD58" s="24" cm="1">
        <f t="array" ref="AD58">INDEX('msci-indices'!D:D,MATCH($L58,'msci-indices'!$B:$B)-2)</f>
        <v>1817.7602159999999</v>
      </c>
      <c r="AE58" s="24">
        <f t="shared" si="67"/>
        <v>848570.34714867279</v>
      </c>
      <c r="AF58" s="24" cm="1">
        <f t="array" ref="AF58">INDEX('msci-indices'!C:C,MATCH($L58,'msci-indices'!$B:$B)+1)</f>
        <v>1916.2448380000001</v>
      </c>
      <c r="AG58" s="24" cm="1">
        <f t="array" ref="AG58">INDEX('msci-indices'!D:D,MATCH($L58,'msci-indices'!$B:$B)+1)</f>
        <v>1819.5211509999999</v>
      </c>
      <c r="AH58" s="24">
        <f t="shared" si="46"/>
        <v>530.35646696792048</v>
      </c>
      <c r="AI58" s="24">
        <f t="shared" si="47"/>
        <v>900008.50264244538</v>
      </c>
      <c r="AJ58" s="24">
        <f t="shared" si="68"/>
        <v>416944.40335082531</v>
      </c>
      <c r="AK58" s="24">
        <f t="shared" si="48"/>
        <v>483064.09929162008</v>
      </c>
      <c r="AL58" s="24">
        <f>AJ58*(_xlfn.XLOOKUP(Q_end,cpi!A:A,cpi!B:B)/BH58)</f>
        <v>519654.22191959014</v>
      </c>
      <c r="AM58" s="24" cm="1">
        <f t="array" ref="AM58">SUMPRODUCT($AA$3:AA58,_xlfn.SORTBY($BH$3:BH58,_xlfn.SEQUENCE(ROWS($BH$3:BH58)),-1)/$BH$3)</f>
        <v>536290.56879944203</v>
      </c>
      <c r="AN58" s="24">
        <f t="shared" si="30"/>
        <v>363717.93384300335</v>
      </c>
      <c r="AO58" s="24">
        <f t="shared" si="49"/>
        <v>0</v>
      </c>
      <c r="AP58" s="24">
        <f t="shared" si="31"/>
        <v>900008.50264244538</v>
      </c>
      <c r="AQ58" s="24"/>
      <c r="AR58" s="12">
        <f>IF($B$10="3BR_H",
INDEX('ns-combined'!$C:$BH,MATCH($L58,'ns-combined'!$B:$B,0),MATCH(Council_Area,'ns-combined'!$C$1:$BH$1,0))*1000,
INDEX('s-combined'!$C:$BH,MATCH($L58,'s-combined'!$B:$B,0),MATCH(Council_Area,'s-combined'!$C$1:$BH$1,0))*1000)</f>
        <v>1015000</v>
      </c>
      <c r="AS58" s="24">
        <f t="shared" si="36"/>
        <v>64400</v>
      </c>
      <c r="AT58" s="12">
        <v>0</v>
      </c>
      <c r="AU58" s="24">
        <f t="shared" si="50"/>
        <v>20300</v>
      </c>
      <c r="AV58" s="24">
        <f t="shared" si="51"/>
        <v>2918.125</v>
      </c>
      <c r="AW58" s="24">
        <f>SUM($AV$3:AV58)</f>
        <v>111391.875</v>
      </c>
      <c r="AX58" s="24">
        <f t="shared" si="52"/>
        <v>818908.125</v>
      </c>
      <c r="AY58" s="24">
        <f t="shared" si="53"/>
        <v>2277</v>
      </c>
      <c r="AZ58" s="26">
        <f t="shared" si="54"/>
        <v>8.9733990147783244E-3</v>
      </c>
      <c r="BA58" s="26">
        <f t="shared" si="55"/>
        <v>0.35000000000000003</v>
      </c>
      <c r="BB58" s="27">
        <f>IF(MortgageRate="Discounted",_xlfn.XLOOKUP(L58,'mortgage-rates'!$A:$A,'mortgage-rates'!$E:$E)/100,_xlfn.XLOOKUP(L58,'mortgage-rates'!$A:$A,'mortgage-rates'!$D:$D)/100)</f>
        <v>4.1500000000000002E-2</v>
      </c>
      <c r="BC58" s="12">
        <f t="shared" si="69"/>
        <v>228436.26307349053</v>
      </c>
      <c r="BD58" s="12">
        <f t="shared" si="56"/>
        <v>6379.0684761972607</v>
      </c>
      <c r="BE58" s="12">
        <f t="shared" si="57"/>
        <v>2370.0262293874644</v>
      </c>
      <c r="BF58" s="12">
        <f t="shared" si="37"/>
        <v>4009.0422468097963</v>
      </c>
      <c r="BG58" s="14">
        <f t="shared" si="58"/>
        <v>8656.0684761972607</v>
      </c>
      <c r="BH58" s="24">
        <f>INDEX(cpi!B:B,MATCH($L58,cpi!A:A))</f>
        <v>116.1</v>
      </c>
      <c r="BI58" s="24">
        <f t="shared" si="59"/>
        <v>137.2340425531915</v>
      </c>
      <c r="BJ58" s="24">
        <f t="shared" si="60"/>
        <v>233.51467999842427</v>
      </c>
      <c r="BK58" s="24">
        <f t="shared" si="61"/>
        <v>254.96097743007783</v>
      </c>
      <c r="BL58" s="24">
        <f t="shared" si="62"/>
        <v>239.94856922792033</v>
      </c>
      <c r="BM58" s="24">
        <f t="shared" si="63"/>
        <v>534.26296626861449</v>
      </c>
      <c r="BN58" s="24">
        <f t="shared" si="64"/>
        <v>220.65217391304347</v>
      </c>
      <c r="BO58">
        <f t="shared" si="65"/>
        <v>182.6584639577095</v>
      </c>
    </row>
    <row r="59" spans="1:67" x14ac:dyDescent="0.25">
      <c r="B59" s="13"/>
      <c r="L59" s="1">
        <f t="shared" si="34"/>
        <v>43891</v>
      </c>
      <c r="M59" s="12">
        <f t="shared" si="39"/>
        <v>697271.18213557045</v>
      </c>
      <c r="N59" s="12">
        <f t="shared" si="40"/>
        <v>557190.52917331923</v>
      </c>
      <c r="O59" s="9">
        <f t="shared" si="24"/>
        <v>1.2514053014685715</v>
      </c>
      <c r="P59" s="9">
        <f t="shared" si="41"/>
        <v>0.76569430126536142</v>
      </c>
      <c r="Q59">
        <v>57</v>
      </c>
      <c r="R59">
        <f t="shared" si="42"/>
        <v>91</v>
      </c>
      <c r="S59" s="24"/>
      <c r="T59" s="24">
        <f>IF($B$10="3BR_H",
INDEX('3BR_H-combined'!$C:$BH,MATCH($L59,'3BR_H-combined'!$B:$B,0),MATCH(Council_Area,'3BR_H-combined'!$C$1:$BH$1,0)),
INDEX('2BR_F-combined'!$C:$BH,MATCH($L59,'2BR_F-combined'!$B:$B,0),MATCH(Council_Area,'2BR_F-combined'!$C$1:$BH$1,0)))</f>
        <v>490</v>
      </c>
      <c r="U59" s="24">
        <f t="shared" si="25"/>
        <v>490</v>
      </c>
      <c r="V59" s="24">
        <f t="shared" si="35"/>
        <v>6370</v>
      </c>
      <c r="W59" s="24">
        <f>$B$53/4*BH59/_xlfn.XLOOKUP(Q_end,cpi!A:A,cpi!B:B)</f>
        <v>161.29923980649622</v>
      </c>
      <c r="X59" s="24">
        <f t="shared" si="43"/>
        <v>6531.2992398064962</v>
      </c>
      <c r="Y59" s="24">
        <f t="shared" si="44"/>
        <v>1998.60522600066</v>
      </c>
      <c r="Z59" s="24">
        <f t="shared" si="66"/>
        <v>639.55367232021115</v>
      </c>
      <c r="AA59" s="24">
        <f t="shared" si="45"/>
        <v>2638.1588983208712</v>
      </c>
      <c r="AB59" s="24">
        <f>AA59*(_xlfn.XLOOKUP(Q_end,cpi!A:A,cpi!B:B)/BH59)</f>
        <v>3271.1361832650387</v>
      </c>
      <c r="AC59" s="24" cm="1">
        <f t="array" ref="AC59">INDEX('msci-indices'!C:C,MATCH($L59,'msci-indices'!$B:$B)-2)</f>
        <v>1916.2448380000001</v>
      </c>
      <c r="AD59" s="24" cm="1">
        <f t="array" ref="AD59">INDEX('msci-indices'!D:D,MATCH($L59,'msci-indices'!$B:$B)-2)</f>
        <v>1819.5211509999999</v>
      </c>
      <c r="AE59" s="24">
        <f t="shared" si="67"/>
        <v>902646.66154076625</v>
      </c>
      <c r="AF59" s="24" cm="1">
        <f t="array" ref="AF59">INDEX('msci-indices'!C:C,MATCH($L59,'msci-indices'!$B:$B)+1)</f>
        <v>1491.44822</v>
      </c>
      <c r="AG59" s="24" cm="1">
        <f t="array" ref="AG59">INDEX('msci-indices'!D:D,MATCH($L59,'msci-indices'!$B:$B)+1)</f>
        <v>1384.5123450000001</v>
      </c>
      <c r="AH59" s="24">
        <f t="shared" si="46"/>
        <v>564.15416346297889</v>
      </c>
      <c r="AI59" s="24">
        <f t="shared" si="47"/>
        <v>697271.18213557045</v>
      </c>
      <c r="AJ59" s="24">
        <f t="shared" si="68"/>
        <v>419582.56224914617</v>
      </c>
      <c r="AK59" s="24">
        <f t="shared" si="48"/>
        <v>277688.61988642428</v>
      </c>
      <c r="AL59" s="24">
        <f>AJ59*(_xlfn.XLOOKUP(Q_end,cpi!A:A,cpi!B:B)/BH59)</f>
        <v>520253.61403128912</v>
      </c>
      <c r="AM59" s="24" cm="1">
        <f t="array" ref="AM59">SUMPRODUCT($AA$3:AA59,_xlfn.SORTBY($BH$3:BH59,_xlfn.SEQUENCE(ROWS($BH$3:BH59)),-1)/$BH$3)</f>
        <v>541724.73554869241</v>
      </c>
      <c r="AN59" s="24">
        <f t="shared" si="30"/>
        <v>155546.44658687804</v>
      </c>
      <c r="AO59" s="24">
        <f t="shared" si="49"/>
        <v>0</v>
      </c>
      <c r="AP59" s="24">
        <f t="shared" si="31"/>
        <v>697271.18213557045</v>
      </c>
      <c r="AQ59" s="24"/>
      <c r="AR59" s="12">
        <f>IF($B$10="3BR_H",
INDEX('ns-combined'!$C:$BH,MATCH($L59,'ns-combined'!$B:$B,0),MATCH(Council_Area,'ns-combined'!$C$1:$BH$1,0))*1000,
INDEX('s-combined'!$C:$BH,MATCH($L59,'s-combined'!$B:$B,0),MATCH(Council_Area,'s-combined'!$C$1:$BH$1,0))*1000)</f>
        <v>981000</v>
      </c>
      <c r="AS59" s="24">
        <f t="shared" si="36"/>
        <v>65550</v>
      </c>
      <c r="AT59" s="12">
        <v>0</v>
      </c>
      <c r="AU59" s="24">
        <f t="shared" si="50"/>
        <v>19620</v>
      </c>
      <c r="AV59" s="24">
        <f t="shared" si="51"/>
        <v>2820.375</v>
      </c>
      <c r="AW59" s="24">
        <f>SUM($AV$3:AV59)</f>
        <v>114212.25</v>
      </c>
      <c r="AX59" s="24">
        <f t="shared" si="52"/>
        <v>781617.75</v>
      </c>
      <c r="AY59" s="24">
        <f t="shared" si="53"/>
        <v>2229.5</v>
      </c>
      <c r="AZ59" s="26">
        <f t="shared" si="54"/>
        <v>9.0907237512742097E-3</v>
      </c>
      <c r="BA59" s="26">
        <f t="shared" si="55"/>
        <v>0.35</v>
      </c>
      <c r="BB59" s="27">
        <f>IF(MortgageRate="Discounted",_xlfn.XLOOKUP(L59,'mortgage-rates'!$A:$A,'mortgage-rates'!$E:$E)/100,_xlfn.XLOOKUP(L59,'mortgage-rates'!$A:$A,'mortgage-rates'!$D:$D)/100)</f>
        <v>3.9100000000000003E-2</v>
      </c>
      <c r="BC59" s="12">
        <f t="shared" si="69"/>
        <v>224427.22082668074</v>
      </c>
      <c r="BD59" s="12">
        <f t="shared" si="56"/>
        <v>6300.4044658071562</v>
      </c>
      <c r="BE59" s="12">
        <f t="shared" si="57"/>
        <v>2193.7760835808044</v>
      </c>
      <c r="BF59" s="12">
        <f t="shared" si="37"/>
        <v>4106.6283822263522</v>
      </c>
      <c r="BG59" s="14">
        <f t="shared" si="58"/>
        <v>8529.9044658071562</v>
      </c>
      <c r="BH59" s="24">
        <f>INDEX(cpi!B:B,MATCH($L59,cpi!A:A))</f>
        <v>116.7</v>
      </c>
      <c r="BI59" s="24">
        <f t="shared" si="59"/>
        <v>137.94326241134752</v>
      </c>
      <c r="BJ59" s="24">
        <f t="shared" si="60"/>
        <v>253.84774076246714</v>
      </c>
      <c r="BK59" s="24">
        <f t="shared" si="61"/>
        <v>255.20796804239237</v>
      </c>
      <c r="BL59" s="24">
        <f t="shared" si="62"/>
        <v>254.25580894644472</v>
      </c>
      <c r="BM59" s="24">
        <f t="shared" si="63"/>
        <v>568.30960981333897</v>
      </c>
      <c r="BN59" s="24">
        <f t="shared" si="64"/>
        <v>213.2608695652174</v>
      </c>
      <c r="BO59">
        <f t="shared" si="65"/>
        <v>174.34079997323386</v>
      </c>
    </row>
    <row r="60" spans="1:67" x14ac:dyDescent="0.25">
      <c r="L60" s="1">
        <f t="shared" si="34"/>
        <v>43983</v>
      </c>
      <c r="M60" s="12">
        <f t="shared" si="39"/>
        <v>832982.75938718161</v>
      </c>
      <c r="N60" s="12">
        <f t="shared" si="40"/>
        <v>556349.65755554568</v>
      </c>
      <c r="O60" s="9">
        <f t="shared" si="24"/>
        <v>1.4972288525297008</v>
      </c>
      <c r="P60" s="9">
        <f t="shared" si="41"/>
        <v>0.77284368930633973</v>
      </c>
      <c r="Q60">
        <v>58</v>
      </c>
      <c r="R60">
        <f t="shared" si="42"/>
        <v>91</v>
      </c>
      <c r="S60" s="24"/>
      <c r="T60" s="24">
        <f>IF($B$10="3BR_H",
INDEX('3BR_H-combined'!$C:$BH,MATCH($L60,'3BR_H-combined'!$B:$B,0),MATCH(Council_Area,'3BR_H-combined'!$C$1:$BH$1,0)),
INDEX('2BR_F-combined'!$C:$BH,MATCH($L60,'2BR_F-combined'!$B:$B,0),MATCH(Council_Area,'2BR_F-combined'!$C$1:$BH$1,0)))</f>
        <v>480</v>
      </c>
      <c r="U60" s="24">
        <f t="shared" si="25"/>
        <v>490</v>
      </c>
      <c r="V60" s="24">
        <f t="shared" si="35"/>
        <v>6370</v>
      </c>
      <c r="W60" s="24">
        <f>$B$53/4*BH60/_xlfn.XLOOKUP(Q_end,cpi!A:A,cpi!B:B)</f>
        <v>158.25846579129234</v>
      </c>
      <c r="X60" s="24">
        <f t="shared" si="43"/>
        <v>6528.2584657912921</v>
      </c>
      <c r="Y60" s="24">
        <f t="shared" si="44"/>
        <v>1918.8034124659825</v>
      </c>
      <c r="Z60" s="24">
        <f t="shared" si="66"/>
        <v>614.01709198911431</v>
      </c>
      <c r="AA60" s="24">
        <f t="shared" si="45"/>
        <v>2532.8205044550969</v>
      </c>
      <c r="AB60" s="24">
        <f>AA60*(_xlfn.XLOOKUP(Q_end,cpi!A:A,cpi!B:B)/BH60)</f>
        <v>3200.8657379445631</v>
      </c>
      <c r="AC60" s="24" cm="1">
        <f t="array" ref="AC60">INDEX('msci-indices'!C:C,MATCH($L60,'msci-indices'!$B:$B)-2)</f>
        <v>1491.44822</v>
      </c>
      <c r="AD60" s="24" cm="1">
        <f t="array" ref="AD60">INDEX('msci-indices'!D:D,MATCH($L60,'msci-indices'!$B:$B)-2)</f>
        <v>1384.5123450000001</v>
      </c>
      <c r="AE60" s="24">
        <f t="shared" si="67"/>
        <v>699804.00264002557</v>
      </c>
      <c r="AF60" s="24" cm="1">
        <f t="array" ref="AF60">INDEX('msci-indices'!C:C,MATCH($L60,'msci-indices'!$B:$B)+1)</f>
        <v>1788.7914370000001</v>
      </c>
      <c r="AG60" s="24" cm="1">
        <f t="array" ref="AG60">INDEX('msci-indices'!D:D,MATCH($L60,'msci-indices'!$B:$B)+1)</f>
        <v>1621.623241</v>
      </c>
      <c r="AH60" s="24">
        <f t="shared" si="46"/>
        <v>437.37750165001597</v>
      </c>
      <c r="AI60" s="24">
        <f t="shared" si="47"/>
        <v>832982.75938718161</v>
      </c>
      <c r="AJ60" s="24">
        <f t="shared" si="68"/>
        <v>422115.38275360124</v>
      </c>
      <c r="AK60" s="24">
        <f t="shared" si="48"/>
        <v>410867.37663358037</v>
      </c>
      <c r="AL60" s="24">
        <f>AJ60*(_xlfn.XLOOKUP(Q_end,cpi!A:A,cpi!B:B)/BH60)</f>
        <v>533450.61907813186</v>
      </c>
      <c r="AM60" s="24" cm="1">
        <f t="array" ref="AM60">SUMPRODUCT($AA$3:AA60,_xlfn.SORTBY($BH$3:BH60,_xlfn.SEQUENCE(ROWS($BH$3:BH60)),-1)/$BH$3)</f>
        <v>541819.72749729489</v>
      </c>
      <c r="AN60" s="24">
        <f t="shared" si="30"/>
        <v>291163.03188988671</v>
      </c>
      <c r="AO60" s="24">
        <f t="shared" si="49"/>
        <v>0</v>
      </c>
      <c r="AP60" s="24">
        <f t="shared" si="31"/>
        <v>832982.75938718161</v>
      </c>
      <c r="AQ60" s="24"/>
      <c r="AR60" s="12">
        <f>IF($B$10="3BR_H",
INDEX('ns-combined'!$C:$BH,MATCH($L60,'ns-combined'!$B:$B,0),MATCH(Council_Area,'ns-combined'!$C$1:$BH$1,0))*1000,
INDEX('s-combined'!$C:$BH,MATCH($L60,'s-combined'!$B:$B,0),MATCH(Council_Area,'s-combined'!$C$1:$BH$1,0))*1000)</f>
        <v>980000</v>
      </c>
      <c r="AS60" s="24">
        <f t="shared" si="36"/>
        <v>66700</v>
      </c>
      <c r="AT60" s="12">
        <v>0</v>
      </c>
      <c r="AU60" s="24">
        <f t="shared" si="50"/>
        <v>19600</v>
      </c>
      <c r="AV60" s="24">
        <f t="shared" si="51"/>
        <v>2817.5</v>
      </c>
      <c r="AW60" s="24">
        <f>SUM($AV$3:AV60)</f>
        <v>117029.75</v>
      </c>
      <c r="AX60" s="24">
        <f t="shared" si="52"/>
        <v>776670.25</v>
      </c>
      <c r="AY60" s="24">
        <f t="shared" si="53"/>
        <v>2229.5</v>
      </c>
      <c r="AZ60" s="26">
        <f t="shared" si="54"/>
        <v>9.1000000000000004E-3</v>
      </c>
      <c r="BA60" s="26">
        <f t="shared" si="55"/>
        <v>0.35</v>
      </c>
      <c r="BB60" s="27">
        <f>IF(MortgageRate="Discounted",_xlfn.XLOOKUP(L60,'mortgage-rates'!$A:$A,'mortgage-rates'!$E:$E)/100,_xlfn.XLOOKUP(L60,'mortgage-rates'!$A:$A,'mortgage-rates'!$D:$D)/100)</f>
        <v>3.6499999999999998E-2</v>
      </c>
      <c r="BC60" s="12">
        <f t="shared" si="69"/>
        <v>220320.59244445438</v>
      </c>
      <c r="BD60" s="12">
        <f t="shared" si="56"/>
        <v>6217.5618782572747</v>
      </c>
      <c r="BE60" s="12">
        <f t="shared" si="57"/>
        <v>2010.4254060556461</v>
      </c>
      <c r="BF60" s="12">
        <f t="shared" si="37"/>
        <v>4207.1364722016287</v>
      </c>
      <c r="BG60" s="14">
        <f t="shared" si="58"/>
        <v>8447.0618782572747</v>
      </c>
      <c r="BH60" s="24">
        <f>INDEX(cpi!B:B,MATCH($L60,cpi!A:A))</f>
        <v>114.5</v>
      </c>
      <c r="BI60" s="24">
        <f t="shared" si="59"/>
        <v>135.34278959810877</v>
      </c>
      <c r="BJ60" s="24">
        <f t="shared" si="60"/>
        <v>197.57431493271579</v>
      </c>
      <c r="BK60" s="24">
        <f t="shared" si="61"/>
        <v>194.19317115542438</v>
      </c>
      <c r="BL60" s="24">
        <f t="shared" si="62"/>
        <v>196.55997179952837</v>
      </c>
      <c r="BM60" s="24">
        <f t="shared" si="63"/>
        <v>440.59913655173278</v>
      </c>
      <c r="BN60" s="24">
        <f t="shared" si="64"/>
        <v>213.04347826086956</v>
      </c>
      <c r="BO60">
        <f t="shared" si="65"/>
        <v>173.2372540163162</v>
      </c>
    </row>
    <row r="61" spans="1:67" x14ac:dyDescent="0.25">
      <c r="L61" s="1">
        <f t="shared" si="34"/>
        <v>44075</v>
      </c>
      <c r="M61" s="12">
        <f t="shared" si="39"/>
        <v>880879.0768211321</v>
      </c>
      <c r="N61" s="12">
        <f t="shared" si="40"/>
        <v>576131.79402774724</v>
      </c>
      <c r="O61" s="9">
        <f t="shared" si="24"/>
        <v>1.5289541142364169</v>
      </c>
      <c r="P61" s="9">
        <f t="shared" si="41"/>
        <v>0.77914890425859507</v>
      </c>
      <c r="Q61">
        <v>59</v>
      </c>
      <c r="R61">
        <f t="shared" si="42"/>
        <v>92</v>
      </c>
      <c r="S61" s="24"/>
      <c r="T61" s="24">
        <f>IF($B$10="3BR_H",
INDEX('3BR_H-combined'!$C:$BH,MATCH($L61,'3BR_H-combined'!$B:$B,0),MATCH(Council_Area,'3BR_H-combined'!$C$1:$BH$1,0)),
INDEX('2BR_F-combined'!$C:$BH,MATCH($L61,'2BR_F-combined'!$B:$B,0),MATCH(Council_Area,'2BR_F-combined'!$C$1:$BH$1,0)))</f>
        <v>500</v>
      </c>
      <c r="U61" s="24">
        <f t="shared" si="25"/>
        <v>490</v>
      </c>
      <c r="V61" s="24">
        <f t="shared" si="35"/>
        <v>6440</v>
      </c>
      <c r="W61" s="24">
        <f>$B$53/4*BH61/_xlfn.XLOOKUP(Q_end,cpi!A:A,cpi!B:B)</f>
        <v>160.60815480304078</v>
      </c>
      <c r="X61" s="24">
        <f t="shared" si="43"/>
        <v>6600.6081548030406</v>
      </c>
      <c r="Y61" s="24">
        <f t="shared" si="44"/>
        <v>1870.953723454234</v>
      </c>
      <c r="Z61" s="24">
        <f t="shared" si="66"/>
        <v>598.70519150535483</v>
      </c>
      <c r="AA61" s="24">
        <f t="shared" si="45"/>
        <v>2469.6589149595889</v>
      </c>
      <c r="AB61" s="24">
        <f>AA61*(_xlfn.XLOOKUP(Q_end,cpi!A:A,cpi!B:B)/BH61)</f>
        <v>3075.3842082155979</v>
      </c>
      <c r="AC61" s="24" cm="1">
        <f t="array" ref="AC61">INDEX('msci-indices'!C:C,MATCH($L61,'msci-indices'!$B:$B)-2)</f>
        <v>1788.7914370000001</v>
      </c>
      <c r="AD61" s="24" cm="1">
        <f t="array" ref="AD61">INDEX('msci-indices'!D:D,MATCH($L61,'msci-indices'!$B:$B)-2)</f>
        <v>1621.623241</v>
      </c>
      <c r="AE61" s="24">
        <f t="shared" si="67"/>
        <v>835452.41830214125</v>
      </c>
      <c r="AF61" s="24" cm="1">
        <f t="array" ref="AF61">INDEX('msci-indices'!C:C,MATCH($L61,'msci-indices'!$B:$B)+1)</f>
        <v>1929.6383699999999</v>
      </c>
      <c r="AG61" s="24" cm="1">
        <f t="array" ref="AG61">INDEX('msci-indices'!D:D,MATCH($L61,'msci-indices'!$B:$B)+1)</f>
        <v>1620.9837990000001</v>
      </c>
      <c r="AH61" s="24">
        <f t="shared" si="46"/>
        <v>522.15776143883829</v>
      </c>
      <c r="AI61" s="24">
        <f t="shared" si="47"/>
        <v>880879.0768211321</v>
      </c>
      <c r="AJ61" s="24">
        <f t="shared" si="68"/>
        <v>424585.04166856082</v>
      </c>
      <c r="AK61" s="24">
        <f t="shared" si="48"/>
        <v>456294.03515257128</v>
      </c>
      <c r="AL61" s="24">
        <f>AJ61*(_xlfn.XLOOKUP(Q_end,cpi!A:A,cpi!B:B)/BH61)</f>
        <v>528721.64827401668</v>
      </c>
      <c r="AM61" s="24" cm="1">
        <f t="array" ref="AM61">SUMPRODUCT($AA$3:AA61,_xlfn.SORTBY($BH$3:BH61,_xlfn.SEQUENCE(ROWS($BH$3:BH61)),-1)/$BH$3)</f>
        <v>548949.80507624324</v>
      </c>
      <c r="AN61" s="24">
        <f t="shared" si="30"/>
        <v>331929.27174488886</v>
      </c>
      <c r="AO61" s="24">
        <f t="shared" si="49"/>
        <v>0</v>
      </c>
      <c r="AP61" s="24">
        <f t="shared" si="31"/>
        <v>880879.0768211321</v>
      </c>
      <c r="AQ61" s="24"/>
      <c r="AR61" s="12">
        <f>IF($B$10="3BR_H",
INDEX('ns-combined'!$C:$BH,MATCH($L61,'ns-combined'!$B:$B,0),MATCH(Council_Area,'ns-combined'!$C$1:$BH$1,0))*1000,
INDEX('s-combined'!$C:$BH,MATCH($L61,'s-combined'!$B:$B,0),MATCH(Council_Area,'s-combined'!$C$1:$BH$1,0))*1000)</f>
        <v>1000000</v>
      </c>
      <c r="AS61" s="24">
        <f t="shared" si="36"/>
        <v>67850</v>
      </c>
      <c r="AT61" s="12">
        <v>0</v>
      </c>
      <c r="AU61" s="24">
        <f t="shared" si="50"/>
        <v>20000</v>
      </c>
      <c r="AV61" s="24">
        <f t="shared" si="51"/>
        <v>2875</v>
      </c>
      <c r="AW61" s="24">
        <f>SUM($AV$3:AV61)</f>
        <v>119904.75</v>
      </c>
      <c r="AX61" s="24">
        <f t="shared" si="52"/>
        <v>792245.25</v>
      </c>
      <c r="AY61" s="24">
        <f t="shared" si="53"/>
        <v>2254</v>
      </c>
      <c r="AZ61" s="26">
        <f t="shared" si="54"/>
        <v>9.0159999999999997E-3</v>
      </c>
      <c r="BA61" s="26">
        <f t="shared" si="55"/>
        <v>0.35</v>
      </c>
      <c r="BB61" s="27">
        <f>IF(MortgageRate="Discounted",_xlfn.XLOOKUP(L61,'mortgage-rates'!$A:$A,'mortgage-rates'!$E:$E)/100,_xlfn.XLOOKUP(L61,'mortgage-rates'!$A:$A,'mortgage-rates'!$D:$D)/100)</f>
        <v>3.6499999999999998E-2</v>
      </c>
      <c r="BC61" s="12">
        <f t="shared" si="69"/>
        <v>216113.45597225276</v>
      </c>
      <c r="BD61" s="12">
        <f t="shared" si="56"/>
        <v>6217.5618782572747</v>
      </c>
      <c r="BE61" s="12">
        <f t="shared" si="57"/>
        <v>1972.0352857468063</v>
      </c>
      <c r="BF61" s="12">
        <f t="shared" si="37"/>
        <v>4245.5265925104686</v>
      </c>
      <c r="BG61" s="14">
        <f t="shared" si="58"/>
        <v>8471.5618782572747</v>
      </c>
      <c r="BH61" s="24">
        <f>INDEX(cpi!B:B,MATCH($L61,cpi!A:A))</f>
        <v>116.2</v>
      </c>
      <c r="BI61" s="24">
        <f t="shared" si="59"/>
        <v>137.35224586288416</v>
      </c>
      <c r="BJ61" s="24">
        <f t="shared" si="60"/>
        <v>236.96380335804304</v>
      </c>
      <c r="BK61" s="24">
        <f t="shared" si="61"/>
        <v>227.4505971191806</v>
      </c>
      <c r="BL61" s="24">
        <f t="shared" si="62"/>
        <v>234.10984148638431</v>
      </c>
      <c r="BM61" s="24">
        <f t="shared" si="63"/>
        <v>526.00387071996852</v>
      </c>
      <c r="BN61" s="24">
        <f t="shared" si="64"/>
        <v>217.39130434782609</v>
      </c>
      <c r="BO61">
        <f t="shared" si="65"/>
        <v>176.71127691252488</v>
      </c>
    </row>
    <row r="62" spans="1:67" x14ac:dyDescent="0.25">
      <c r="L62" s="1">
        <f t="shared" si="34"/>
        <v>44166</v>
      </c>
      <c r="M62" s="12">
        <f t="shared" si="39"/>
        <v>1013506.1250657984</v>
      </c>
      <c r="N62" s="12">
        <f t="shared" si="40"/>
        <v>644751.07062025764</v>
      </c>
      <c r="O62" s="9">
        <f t="shared" si="24"/>
        <v>1.5719339932088741</v>
      </c>
      <c r="P62" s="9">
        <f t="shared" si="41"/>
        <v>0.77931205835305528</v>
      </c>
      <c r="Q62">
        <v>60</v>
      </c>
      <c r="R62">
        <f t="shared" si="42"/>
        <v>92</v>
      </c>
      <c r="S62" s="24"/>
      <c r="T62" s="24">
        <f>IF($B$10="3BR_H",
INDEX('3BR_H-combined'!$C:$BH,MATCH($L62,'3BR_H-combined'!$B:$B,0),MATCH(Council_Area,'3BR_H-combined'!$C$1:$BH$1,0)),
INDEX('2BR_F-combined'!$C:$BH,MATCH($L62,'2BR_F-combined'!$B:$B,0),MATCH(Council_Area,'2BR_F-combined'!$C$1:$BH$1,0)))</f>
        <v>510</v>
      </c>
      <c r="U62" s="24">
        <f t="shared" si="25"/>
        <v>490</v>
      </c>
      <c r="V62" s="24">
        <f t="shared" si="35"/>
        <v>6440</v>
      </c>
      <c r="W62" s="24">
        <f>$B$53/4*BH62/_xlfn.XLOOKUP(Q_end,cpi!A:A,cpi!B:B)</f>
        <v>161.99032480995163</v>
      </c>
      <c r="X62" s="24">
        <f t="shared" si="43"/>
        <v>6601.9903248099517</v>
      </c>
      <c r="Y62" s="24">
        <f t="shared" si="44"/>
        <v>1869.5715534473229</v>
      </c>
      <c r="Z62" s="24">
        <f t="shared" si="66"/>
        <v>598.26289710314325</v>
      </c>
      <c r="AA62" s="24">
        <f t="shared" si="45"/>
        <v>2467.834450550466</v>
      </c>
      <c r="AB62" s="24">
        <f>AA62*(_xlfn.XLOOKUP(Q_end,cpi!A:A,cpi!B:B)/BH62)</f>
        <v>3046.8911688963517</v>
      </c>
      <c r="AC62" s="24" cm="1">
        <f t="array" ref="AC62">INDEX('msci-indices'!C:C,MATCH($L62,'msci-indices'!$B:$B)-2)</f>
        <v>1929.6383699999999</v>
      </c>
      <c r="AD62" s="24" cm="1">
        <f t="array" ref="AD62">INDEX('msci-indices'!D:D,MATCH($L62,'msci-indices'!$B:$B)-2)</f>
        <v>1620.9837990000001</v>
      </c>
      <c r="AE62" s="24">
        <f t="shared" si="67"/>
        <v>883346.91127168259</v>
      </c>
      <c r="AF62" s="24" cm="1">
        <f t="array" ref="AF62">INDEX('msci-indices'!C:C,MATCH($L62,'msci-indices'!$B:$B)+1)</f>
        <v>2220.940302</v>
      </c>
      <c r="AG62" s="24" cm="1">
        <f t="array" ref="AG62">INDEX('msci-indices'!D:D,MATCH($L62,'msci-indices'!$B:$B)+1)</f>
        <v>1849.5394759999999</v>
      </c>
      <c r="AH62" s="24">
        <f t="shared" si="46"/>
        <v>552.09181954480164</v>
      </c>
      <c r="AI62" s="24">
        <f t="shared" si="47"/>
        <v>1013506.1250657984</v>
      </c>
      <c r="AJ62" s="24">
        <f t="shared" si="68"/>
        <v>427052.87611911132</v>
      </c>
      <c r="AK62" s="24">
        <f t="shared" si="48"/>
        <v>586453.24894668709</v>
      </c>
      <c r="AL62" s="24">
        <f>AJ62*(_xlfn.XLOOKUP(Q_end,cpi!A:A,cpi!B:B)/BH62)</f>
        <v>527257.26258050685</v>
      </c>
      <c r="AM62" s="24" cm="1">
        <f t="array" ref="AM62">SUMPRODUCT($AA$3:AA62,_xlfn.SORTBY($BH$3:BH62,_xlfn.SEQUENCE(ROWS($BH$3:BH62)),-1)/$BH$3)</f>
        <v>554864.25253115676</v>
      </c>
      <c r="AN62" s="24">
        <f t="shared" si="30"/>
        <v>458641.87253464165</v>
      </c>
      <c r="AO62" s="24">
        <f t="shared" si="49"/>
        <v>0</v>
      </c>
      <c r="AP62" s="24">
        <f t="shared" si="31"/>
        <v>1013506.1250657984</v>
      </c>
      <c r="AQ62" s="24"/>
      <c r="AR62" s="12">
        <f>IF($B$10="3BR_H",
INDEX('ns-combined'!$C:$BH,MATCH($L62,'ns-combined'!$B:$B,0),MATCH(Council_Area,'ns-combined'!$C$1:$BH$1,0))*1000,
INDEX('s-combined'!$C:$BH,MATCH($L62,'s-combined'!$B:$B,0),MATCH(Council_Area,'s-combined'!$C$1:$BH$1,0))*1000)</f>
        <v>1070000</v>
      </c>
      <c r="AS62" s="24">
        <f t="shared" si="36"/>
        <v>69000</v>
      </c>
      <c r="AT62" s="12">
        <v>0</v>
      </c>
      <c r="AU62" s="24">
        <f t="shared" si="50"/>
        <v>21400</v>
      </c>
      <c r="AV62" s="24">
        <f t="shared" si="51"/>
        <v>3076.25</v>
      </c>
      <c r="AW62" s="24">
        <f>SUM($AV$3:AV62)</f>
        <v>122981</v>
      </c>
      <c r="AX62" s="24">
        <f t="shared" si="52"/>
        <v>856619</v>
      </c>
      <c r="AY62" s="24">
        <f t="shared" si="53"/>
        <v>2254</v>
      </c>
      <c r="AZ62" s="26">
        <f t="shared" si="54"/>
        <v>8.4261682242990649E-3</v>
      </c>
      <c r="BA62" s="26">
        <f t="shared" si="55"/>
        <v>0.35</v>
      </c>
      <c r="BB62" s="27">
        <f>IF(MortgageRate="Discounted",_xlfn.XLOOKUP(L62,'mortgage-rates'!$A:$A,'mortgage-rates'!$E:$E)/100,_xlfn.XLOOKUP(L62,'mortgage-rates'!$A:$A,'mortgage-rates'!$D:$D)/100)</f>
        <v>3.6499999999999998E-2</v>
      </c>
      <c r="BC62" s="12">
        <f t="shared" si="69"/>
        <v>211867.9293797423</v>
      </c>
      <c r="BD62" s="12">
        <f t="shared" si="56"/>
        <v>6217.5618782572747</v>
      </c>
      <c r="BE62" s="12">
        <f t="shared" si="57"/>
        <v>1933.2948555901485</v>
      </c>
      <c r="BF62" s="12">
        <f t="shared" si="37"/>
        <v>4284.2670226671262</v>
      </c>
      <c r="BG62" s="14">
        <f t="shared" si="58"/>
        <v>8471.5618782572747</v>
      </c>
      <c r="BH62" s="24">
        <f>INDEX(cpi!B:B,MATCH($L62,cpi!A:A))</f>
        <v>117.2</v>
      </c>
      <c r="BI62" s="24">
        <f t="shared" si="59"/>
        <v>138.53427895981088</v>
      </c>
      <c r="BJ62" s="24">
        <f t="shared" si="60"/>
        <v>255.62200142666194</v>
      </c>
      <c r="BK62" s="24">
        <f t="shared" si="61"/>
        <v>227.36090830549944</v>
      </c>
      <c r="BL62" s="24">
        <f t="shared" si="62"/>
        <v>247.14367349031318</v>
      </c>
      <c r="BM62" s="24">
        <f t="shared" si="63"/>
        <v>556.15841709060101</v>
      </c>
      <c r="BN62" s="24">
        <f t="shared" si="64"/>
        <v>232.60869565217391</v>
      </c>
      <c r="BO62">
        <f t="shared" si="65"/>
        <v>191.06992098410203</v>
      </c>
    </row>
    <row r="63" spans="1:67" x14ac:dyDescent="0.25">
      <c r="L63" s="1">
        <f t="shared" si="34"/>
        <v>44256</v>
      </c>
      <c r="M63" s="12">
        <f t="shared" si="39"/>
        <v>1067413.1666789614</v>
      </c>
      <c r="N63" s="12">
        <f t="shared" si="40"/>
        <v>683894.08764292486</v>
      </c>
      <c r="O63" s="9">
        <f t="shared" si="24"/>
        <v>1.5607872417172872</v>
      </c>
      <c r="P63" s="9">
        <f t="shared" si="41"/>
        <v>0.80568412266721157</v>
      </c>
      <c r="Q63">
        <v>61</v>
      </c>
      <c r="R63">
        <f t="shared" si="42"/>
        <v>90</v>
      </c>
      <c r="S63" s="24"/>
      <c r="T63" s="24">
        <f>IF($B$10="3BR_H",
INDEX('3BR_H-combined'!$C:$BH,MATCH($L63,'3BR_H-combined'!$B:$B,0),MATCH(Council_Area,'3BR_H-combined'!$C$1:$BH$1,0)),
INDEX('2BR_F-combined'!$C:$BH,MATCH($L63,'2BR_F-combined'!$B:$B,0),MATCH(Council_Area,'2BR_F-combined'!$C$1:$BH$1,0)))</f>
        <v>525</v>
      </c>
      <c r="U63" s="24">
        <f t="shared" si="25"/>
        <v>525</v>
      </c>
      <c r="V63" s="24">
        <f t="shared" si="35"/>
        <v>6750</v>
      </c>
      <c r="W63" s="24">
        <f>$B$53/4*BH63/_xlfn.XLOOKUP(Q_end,cpi!A:A,cpi!B:B)</f>
        <v>162.81962681409814</v>
      </c>
      <c r="X63" s="24">
        <f t="shared" si="43"/>
        <v>6912.8196268140982</v>
      </c>
      <c r="Y63" s="24">
        <f t="shared" si="44"/>
        <v>1667.2422514431746</v>
      </c>
      <c r="Z63" s="24">
        <f t="shared" si="66"/>
        <v>533.51752046181582</v>
      </c>
      <c r="AA63" s="24">
        <f t="shared" si="45"/>
        <v>2200.7597719049904</v>
      </c>
      <c r="AB63" s="24">
        <f>AA63*(_xlfn.XLOOKUP(Q_end,cpi!A:A,cpi!B:B)/BH63)</f>
        <v>2703.3101782228532</v>
      </c>
      <c r="AC63" s="24" cm="1">
        <f t="array" ref="AC63">INDEX('msci-indices'!C:C,MATCH($L63,'msci-indices'!$B:$B)-2)</f>
        <v>2220.940302</v>
      </c>
      <c r="AD63" s="24" cm="1">
        <f t="array" ref="AD63">INDEX('msci-indices'!D:D,MATCH($L63,'msci-indices'!$B:$B)-2)</f>
        <v>1849.5394759999999</v>
      </c>
      <c r="AE63" s="24">
        <f t="shared" si="67"/>
        <v>1015706.8848377034</v>
      </c>
      <c r="AF63" s="24" cm="1">
        <f t="array" ref="AF63">INDEX('msci-indices'!C:C,MATCH($L63,'msci-indices'!$B:$B)+1)</f>
        <v>2342.5854599999998</v>
      </c>
      <c r="AG63" s="24" cm="1">
        <f t="array" ref="AG63">INDEX('msci-indices'!D:D,MATCH($L63,'msci-indices'!$B:$B)+1)</f>
        <v>1930.8659110000001</v>
      </c>
      <c r="AH63" s="24">
        <f t="shared" si="46"/>
        <v>634.8168030235646</v>
      </c>
      <c r="AI63" s="24">
        <f t="shared" si="47"/>
        <v>1067413.1666789614</v>
      </c>
      <c r="AJ63" s="24">
        <f t="shared" si="68"/>
        <v>429253.63589101628</v>
      </c>
      <c r="AK63" s="24">
        <f t="shared" si="48"/>
        <v>638159.53078794503</v>
      </c>
      <c r="AL63" s="24">
        <f>AJ63*(_xlfn.XLOOKUP(Q_end,cpi!A:A,cpi!B:B)/BH63)</f>
        <v>527275.05189668969</v>
      </c>
      <c r="AM63" s="24" cm="1">
        <f t="array" ref="AM63">SUMPRODUCT($AA$3:AA63,_xlfn.SORTBY($BH$3:BH63,_xlfn.SEQUENCE(ROWS($BH$3:BH63)),-1)/$BH$3)</f>
        <v>559807.60564771283</v>
      </c>
      <c r="AN63" s="24">
        <f t="shared" si="30"/>
        <v>507605.56103124854</v>
      </c>
      <c r="AO63" s="24">
        <f t="shared" si="49"/>
        <v>0</v>
      </c>
      <c r="AP63" s="24">
        <f t="shared" si="31"/>
        <v>1067413.1666789614</v>
      </c>
      <c r="AQ63" s="24"/>
      <c r="AR63" s="12">
        <f>IF($B$10="3BR_H",
INDEX('ns-combined'!$C:$BH,MATCH($L63,'ns-combined'!$B:$B,0),MATCH(Council_Area,'ns-combined'!$C$1:$BH$1,0))*1000,
INDEX('s-combined'!$C:$BH,MATCH($L63,'s-combined'!$B:$B,0),MATCH(Council_Area,'s-combined'!$C$1:$BH$1,0))*1000)</f>
        <v>1110000</v>
      </c>
      <c r="AS63" s="24">
        <f t="shared" si="36"/>
        <v>70150</v>
      </c>
      <c r="AT63" s="12">
        <v>0</v>
      </c>
      <c r="AU63" s="24">
        <f t="shared" si="50"/>
        <v>22200</v>
      </c>
      <c r="AV63" s="24">
        <f t="shared" si="51"/>
        <v>3191.25</v>
      </c>
      <c r="AW63" s="24">
        <f>SUM($AV$3:AV63)</f>
        <v>126172.25</v>
      </c>
      <c r="AX63" s="24">
        <f t="shared" si="52"/>
        <v>891477.75</v>
      </c>
      <c r="AY63" s="24">
        <f t="shared" si="53"/>
        <v>2362.5</v>
      </c>
      <c r="AZ63" s="26">
        <f t="shared" si="54"/>
        <v>8.5135135135135133E-3</v>
      </c>
      <c r="BA63" s="26">
        <f t="shared" si="55"/>
        <v>0.35</v>
      </c>
      <c r="BB63" s="27">
        <f>IF(MortgageRate="Discounted",_xlfn.XLOOKUP(L63,'mortgage-rates'!$A:$A,'mortgage-rates'!$E:$E)/100,_xlfn.XLOOKUP(L63,'mortgage-rates'!$A:$A,'mortgage-rates'!$D:$D)/100)</f>
        <v>3.6499999999999998E-2</v>
      </c>
      <c r="BC63" s="12">
        <f t="shared" si="69"/>
        <v>207583.66235707517</v>
      </c>
      <c r="BD63" s="12">
        <f t="shared" si="56"/>
        <v>6217.5618782572728</v>
      </c>
      <c r="BE63" s="12">
        <f t="shared" si="57"/>
        <v>1894.2009190083108</v>
      </c>
      <c r="BF63" s="12">
        <f t="shared" si="37"/>
        <v>4323.360959248962</v>
      </c>
      <c r="BG63" s="14">
        <f t="shared" si="58"/>
        <v>8580.0618782572728</v>
      </c>
      <c r="BH63" s="24">
        <f>INDEX(cpi!B:B,MATCH($L63,cpi!A:A))</f>
        <v>117.8</v>
      </c>
      <c r="BI63" s="24">
        <f t="shared" si="59"/>
        <v>139.24349881796692</v>
      </c>
      <c r="BJ63" s="24">
        <f t="shared" si="60"/>
        <v>294.21119204132276</v>
      </c>
      <c r="BK63" s="24">
        <f t="shared" si="61"/>
        <v>259.41837017103796</v>
      </c>
      <c r="BL63" s="24">
        <f t="shared" si="62"/>
        <v>283.77334548023731</v>
      </c>
      <c r="BM63" s="24">
        <f t="shared" si="63"/>
        <v>639.49273619594226</v>
      </c>
      <c r="BN63" s="24">
        <f t="shared" si="64"/>
        <v>241.30434782608697</v>
      </c>
      <c r="BO63">
        <f t="shared" si="65"/>
        <v>198.84520802315271</v>
      </c>
    </row>
    <row r="64" spans="1:67" x14ac:dyDescent="0.25">
      <c r="L64" s="1">
        <f t="shared" si="34"/>
        <v>44348</v>
      </c>
      <c r="M64" s="12">
        <f t="shared" si="39"/>
        <v>1151441.5401896203</v>
      </c>
      <c r="N64" s="12">
        <f t="shared" si="40"/>
        <v>830444.94860217383</v>
      </c>
      <c r="O64" s="9">
        <f t="shared" si="24"/>
        <v>1.3865356663650688</v>
      </c>
      <c r="P64" s="9">
        <f t="shared" si="41"/>
        <v>0.81374785545976258</v>
      </c>
      <c r="Q64">
        <v>62</v>
      </c>
      <c r="R64">
        <f t="shared" si="42"/>
        <v>91</v>
      </c>
      <c r="S64" s="24"/>
      <c r="T64" s="24">
        <f>IF($B$10="3BR_H",
INDEX('3BR_H-combined'!$C:$BH,MATCH($L64,'3BR_H-combined'!$B:$B,0),MATCH(Council_Area,'3BR_H-combined'!$C$1:$BH$1,0)),
INDEX('2BR_F-combined'!$C:$BH,MATCH($L64,'2BR_F-combined'!$B:$B,0),MATCH(Council_Area,'2BR_F-combined'!$C$1:$BH$1,0)))</f>
        <v>520</v>
      </c>
      <c r="U64" s="24">
        <f t="shared" si="25"/>
        <v>525</v>
      </c>
      <c r="V64" s="24">
        <f t="shared" si="35"/>
        <v>6825</v>
      </c>
      <c r="W64" s="24">
        <f>$B$53/4*BH64/_xlfn.XLOOKUP(Q_end,cpi!A:A,cpi!B:B)</f>
        <v>164.201796821009</v>
      </c>
      <c r="X64" s="24">
        <f t="shared" si="43"/>
        <v>6989.2017968210093</v>
      </c>
      <c r="Y64" s="24">
        <f t="shared" si="44"/>
        <v>1599.7016945094256</v>
      </c>
      <c r="Z64" s="24">
        <f t="shared" si="66"/>
        <v>511.90454224301612</v>
      </c>
      <c r="AA64" s="24">
        <f t="shared" si="45"/>
        <v>2111.6062367524419</v>
      </c>
      <c r="AB64" s="24">
        <f>AA64*(_xlfn.XLOOKUP(Q_end,cpi!A:A,cpi!B:B)/BH64)</f>
        <v>2571.9648355057097</v>
      </c>
      <c r="AC64" s="24" cm="1">
        <f t="array" ref="AC64">INDEX('msci-indices'!C:C,MATCH($L64,'msci-indices'!$B:$B)-2)</f>
        <v>2342.5854599999998</v>
      </c>
      <c r="AD64" s="24" cm="1">
        <f t="array" ref="AD64">INDEX('msci-indices'!D:D,MATCH($L64,'msci-indices'!$B:$B)-2)</f>
        <v>1930.8659110000001</v>
      </c>
      <c r="AE64" s="24">
        <f t="shared" si="67"/>
        <v>1069524.7729157137</v>
      </c>
      <c r="AF64" s="24" cm="1">
        <f t="array" ref="AF64">INDEX('msci-indices'!C:C,MATCH($L64,'msci-indices'!$B:$B)+1)</f>
        <v>2515.6062010000001</v>
      </c>
      <c r="AG64" s="24" cm="1">
        <f t="array" ref="AG64">INDEX('msci-indices'!D:D,MATCH($L64,'msci-indices'!$B:$B)+1)</f>
        <v>2095.0894480000002</v>
      </c>
      <c r="AH64" s="24">
        <f t="shared" si="46"/>
        <v>668.4529830723211</v>
      </c>
      <c r="AI64" s="24">
        <f t="shared" si="47"/>
        <v>1151441.5401896203</v>
      </c>
      <c r="AJ64" s="24">
        <f t="shared" si="68"/>
        <v>431365.2421277687</v>
      </c>
      <c r="AK64" s="24">
        <f t="shared" si="48"/>
        <v>720076.29806185164</v>
      </c>
      <c r="AL64" s="24">
        <f>AJ64*(_xlfn.XLOOKUP(Q_end,cpi!A:A,cpi!B:B)/BH64)</f>
        <v>525408.67454451288</v>
      </c>
      <c r="AM64" s="24" cm="1">
        <f t="array" ref="AM64">SUMPRODUCT($AA$3:AA64,_xlfn.SORTBY($BH$3:BH64,_xlfn.SEQUENCE(ROWS($BH$3:BH64)),-1)/$BH$3)</f>
        <v>565447.12387745467</v>
      </c>
      <c r="AN64" s="24">
        <f t="shared" si="30"/>
        <v>585994.41631216567</v>
      </c>
      <c r="AO64" s="24">
        <f t="shared" si="49"/>
        <v>0</v>
      </c>
      <c r="AP64" s="24">
        <f t="shared" si="31"/>
        <v>1151441.5401896203</v>
      </c>
      <c r="AQ64" s="24"/>
      <c r="AR64" s="12">
        <f>IF($B$10="3BR_H",
INDEX('ns-combined'!$C:$BH,MATCH($L64,'ns-combined'!$B:$B,0),MATCH(Council_Area,'ns-combined'!$C$1:$BH$1,0))*1000,
INDEX('s-combined'!$C:$BH,MATCH($L64,'s-combined'!$B:$B,0),MATCH(Council_Area,'s-combined'!$C$1:$BH$1,0))*1000)</f>
        <v>1260000</v>
      </c>
      <c r="AS64" s="24">
        <f t="shared" si="36"/>
        <v>71300</v>
      </c>
      <c r="AT64" s="12">
        <v>0</v>
      </c>
      <c r="AU64" s="24">
        <f t="shared" si="50"/>
        <v>25200</v>
      </c>
      <c r="AV64" s="24">
        <f t="shared" si="51"/>
        <v>3622.5</v>
      </c>
      <c r="AW64" s="24">
        <f>SUM($AV$3:AV64)</f>
        <v>129794.75</v>
      </c>
      <c r="AX64" s="24">
        <f t="shared" si="52"/>
        <v>1033705.25</v>
      </c>
      <c r="AY64" s="24">
        <f t="shared" si="53"/>
        <v>2388.75</v>
      </c>
      <c r="AZ64" s="26">
        <f t="shared" si="54"/>
        <v>7.5833333333333334E-3</v>
      </c>
      <c r="BA64" s="26">
        <f t="shared" si="55"/>
        <v>0.35</v>
      </c>
      <c r="BB64" s="27">
        <f>IF(MortgageRate="Discounted",_xlfn.XLOOKUP(L64,'mortgage-rates'!$A:$A,'mortgage-rates'!$E:$E)/100,_xlfn.XLOOKUP(L64,'mortgage-rates'!$A:$A,'mortgage-rates'!$D:$D)/100)</f>
        <v>3.5900000000000001E-2</v>
      </c>
      <c r="BC64" s="12">
        <f t="shared" si="69"/>
        <v>203260.3013978262</v>
      </c>
      <c r="BD64" s="12">
        <f t="shared" si="56"/>
        <v>6200.1534913304349</v>
      </c>
      <c r="BE64" s="12">
        <f t="shared" si="57"/>
        <v>1824.2612050454902</v>
      </c>
      <c r="BF64" s="12">
        <f t="shared" si="37"/>
        <v>4375.8922862849449</v>
      </c>
      <c r="BG64" s="14">
        <f t="shared" si="58"/>
        <v>8588.9034913304349</v>
      </c>
      <c r="BH64" s="24">
        <f>INDEX(cpi!B:B,MATCH($L64,cpi!A:A))</f>
        <v>118.8</v>
      </c>
      <c r="BI64" s="24">
        <f t="shared" si="59"/>
        <v>140.42553191489364</v>
      </c>
      <c r="BJ64" s="24">
        <f t="shared" si="60"/>
        <v>310.32570304776715</v>
      </c>
      <c r="BK64" s="24">
        <f t="shared" si="61"/>
        <v>270.82530227131878</v>
      </c>
      <c r="BL64" s="24">
        <f t="shared" si="62"/>
        <v>298.47558281483265</v>
      </c>
      <c r="BM64" s="24">
        <f t="shared" si="63"/>
        <v>673.37667359663556</v>
      </c>
      <c r="BN64" s="24">
        <f t="shared" si="64"/>
        <v>273.91304347826087</v>
      </c>
      <c r="BO64">
        <f t="shared" si="65"/>
        <v>230.56922673715084</v>
      </c>
    </row>
    <row r="65" spans="2:67" x14ac:dyDescent="0.25">
      <c r="L65" s="1">
        <f t="shared" si="34"/>
        <v>44440</v>
      </c>
      <c r="M65" s="12">
        <f t="shared" si="39"/>
        <v>1156135.760060074</v>
      </c>
      <c r="N65" s="12">
        <f t="shared" si="40"/>
        <v>888675.84088845877</v>
      </c>
      <c r="O65" s="9">
        <f t="shared" si="24"/>
        <v>1.300964543949142</v>
      </c>
      <c r="P65" s="9">
        <f t="shared" si="41"/>
        <v>0.82391759011061239</v>
      </c>
      <c r="Q65">
        <v>63</v>
      </c>
      <c r="R65">
        <f t="shared" si="42"/>
        <v>92</v>
      </c>
      <c r="S65" s="24"/>
      <c r="T65" s="24">
        <f>IF($B$10="3BR_H",
INDEX('3BR_H-combined'!$C:$BH,MATCH($L65,'3BR_H-combined'!$B:$B,0),MATCH(Council_Area,'3BR_H-combined'!$C$1:$BH$1,0)),
INDEX('2BR_F-combined'!$C:$BH,MATCH($L65,'2BR_F-combined'!$B:$B,0),MATCH(Council_Area,'2BR_F-combined'!$C$1:$BH$1,0)))</f>
        <v>535</v>
      </c>
      <c r="U65" s="24">
        <f t="shared" si="25"/>
        <v>525</v>
      </c>
      <c r="V65" s="24">
        <f t="shared" si="35"/>
        <v>6900</v>
      </c>
      <c r="W65" s="24">
        <f>$B$53/4*BH65/_xlfn.XLOOKUP(Q_end,cpi!A:A,cpi!B:B)</f>
        <v>165.58396682791985</v>
      </c>
      <c r="X65" s="24">
        <f t="shared" si="43"/>
        <v>7065.5839668279195</v>
      </c>
      <c r="Y65" s="24">
        <f t="shared" si="44"/>
        <v>1510.0115194625878</v>
      </c>
      <c r="Z65" s="24">
        <f t="shared" si="66"/>
        <v>483.203686228028</v>
      </c>
      <c r="AA65" s="24">
        <f t="shared" si="45"/>
        <v>1993.2152056906157</v>
      </c>
      <c r="AB65" s="24">
        <f>AA65*(_xlfn.XLOOKUP(Q_end,cpi!A:A,cpi!B:B)/BH65)</f>
        <v>2407.4978319151255</v>
      </c>
      <c r="AC65" s="24" cm="1">
        <f t="array" ref="AC65">INDEX('msci-indices'!C:C,MATCH($L65,'msci-indices'!$B:$B)-2)</f>
        <v>2515.6062010000001</v>
      </c>
      <c r="AD65" s="24" cm="1">
        <f t="array" ref="AD65">INDEX('msci-indices'!D:D,MATCH($L65,'msci-indices'!$B:$B)-2)</f>
        <v>2095.0894480000002</v>
      </c>
      <c r="AE65" s="24">
        <f t="shared" si="67"/>
        <v>1153434.7553953109</v>
      </c>
      <c r="AF65" s="24" cm="1">
        <f t="array" ref="AF65">INDEX('msci-indices'!C:C,MATCH($L65,'msci-indices'!$B:$B)+1)</f>
        <v>2510.8156309999999</v>
      </c>
      <c r="AG65" s="24" cm="1">
        <f t="array" ref="AG65">INDEX('msci-indices'!D:D,MATCH($L65,'msci-indices'!$B:$B)+1)</f>
        <v>2125.1172740000002</v>
      </c>
      <c r="AH65" s="24">
        <f t="shared" si="46"/>
        <v>720.89672212206938</v>
      </c>
      <c r="AI65" s="24">
        <f t="shared" si="47"/>
        <v>1156135.760060074</v>
      </c>
      <c r="AJ65" s="24">
        <f t="shared" si="68"/>
        <v>433358.45733345929</v>
      </c>
      <c r="AK65" s="24">
        <f t="shared" si="48"/>
        <v>722777.30272661475</v>
      </c>
      <c r="AL65" s="24">
        <f>AJ65*(_xlfn.XLOOKUP(Q_end,cpi!A:A,cpi!B:B)/BH65)</f>
        <v>523430.45722997957</v>
      </c>
      <c r="AM65" s="24" cm="1">
        <f t="array" ref="AM65">SUMPRODUCT($AA$3:AA65,_xlfn.SORTBY($BH$3:BH65,_xlfn.SEQUENCE(ROWS($BH$3:BH65)),-1)/$BH$3)</f>
        <v>571023.05334633857</v>
      </c>
      <c r="AN65" s="24">
        <f t="shared" si="30"/>
        <v>585112.70671373548</v>
      </c>
      <c r="AO65" s="24">
        <f t="shared" si="49"/>
        <v>0</v>
      </c>
      <c r="AP65" s="24">
        <f t="shared" si="31"/>
        <v>1156135.760060074</v>
      </c>
      <c r="AQ65" s="24"/>
      <c r="AR65" s="12">
        <f>IF($B$10="3BR_H",
INDEX('ns-combined'!$C:$BH,MATCH($L65,'ns-combined'!$B:$B,0),MATCH(Council_Area,'ns-combined'!$C$1:$BH$1,0))*1000,
INDEX('s-combined'!$C:$BH,MATCH($L65,'s-combined'!$B:$B,0),MATCH(Council_Area,'s-combined'!$C$1:$BH$1,0))*1000)</f>
        <v>1320000</v>
      </c>
      <c r="AS65" s="24">
        <f t="shared" si="36"/>
        <v>72450</v>
      </c>
      <c r="AT65" s="12">
        <v>0</v>
      </c>
      <c r="AU65" s="24">
        <f t="shared" si="50"/>
        <v>26400</v>
      </c>
      <c r="AV65" s="24">
        <f t="shared" si="51"/>
        <v>3795</v>
      </c>
      <c r="AW65" s="24">
        <f>SUM($AV$3:AV65)</f>
        <v>133589.75</v>
      </c>
      <c r="AX65" s="24">
        <f t="shared" si="52"/>
        <v>1087560.25</v>
      </c>
      <c r="AY65" s="24">
        <f t="shared" si="53"/>
        <v>2415.0000000000005</v>
      </c>
      <c r="AZ65" s="26">
        <f t="shared" si="54"/>
        <v>7.3181818181818192E-3</v>
      </c>
      <c r="BA65" s="26">
        <f t="shared" si="55"/>
        <v>0.35000000000000009</v>
      </c>
      <c r="BB65" s="27">
        <f>IF(MortgageRate="Discounted",_xlfn.XLOOKUP(L65,'mortgage-rates'!$A:$A,'mortgage-rates'!$E:$E)/100,_xlfn.XLOOKUP(L65,'mortgage-rates'!$A:$A,'mortgage-rates'!$D:$D)/100)</f>
        <v>3.4500000000000003E-2</v>
      </c>
      <c r="BC65" s="12">
        <f t="shared" si="69"/>
        <v>198884.40911154126</v>
      </c>
      <c r="BD65" s="12">
        <f t="shared" si="56"/>
        <v>6160.5954862905064</v>
      </c>
      <c r="BE65" s="12">
        <f t="shared" si="57"/>
        <v>1715.3780285870434</v>
      </c>
      <c r="BF65" s="12">
        <f t="shared" si="37"/>
        <v>4445.217457703463</v>
      </c>
      <c r="BG65" s="14">
        <f t="shared" si="58"/>
        <v>8575.5954862905073</v>
      </c>
      <c r="BH65" s="24">
        <f>INDEX(cpi!B:B,MATCH($L65,cpi!A:A))</f>
        <v>119.8</v>
      </c>
      <c r="BI65" s="24">
        <f t="shared" si="59"/>
        <v>141.60756501182033</v>
      </c>
      <c r="BJ65" s="24">
        <f t="shared" si="60"/>
        <v>333.24601225717834</v>
      </c>
      <c r="BK65" s="24">
        <f t="shared" si="61"/>
        <v>293.85946989254734</v>
      </c>
      <c r="BL65" s="24">
        <f t="shared" si="62"/>
        <v>321.43004954778905</v>
      </c>
      <c r="BM65" s="24">
        <f t="shared" si="63"/>
        <v>726.20670270351241</v>
      </c>
      <c r="BN65" s="24">
        <f t="shared" si="64"/>
        <v>286.95652173913044</v>
      </c>
      <c r="BO65">
        <f t="shared" si="65"/>
        <v>242.58165069062238</v>
      </c>
    </row>
    <row r="66" spans="2:67" x14ac:dyDescent="0.25">
      <c r="L66" s="1">
        <f t="shared" si="34"/>
        <v>44531</v>
      </c>
      <c r="M66" s="12">
        <f t="shared" si="39"/>
        <v>1222507.060713551</v>
      </c>
      <c r="N66" s="12">
        <f t="shared" si="40"/>
        <v>966346.0583461622</v>
      </c>
      <c r="O66" s="9">
        <f t="shared" si="24"/>
        <v>1.2650820584975444</v>
      </c>
      <c r="P66" s="9">
        <f t="shared" si="41"/>
        <v>0.82417546981291323</v>
      </c>
      <c r="Q66">
        <v>64</v>
      </c>
      <c r="R66">
        <f t="shared" si="42"/>
        <v>92</v>
      </c>
      <c r="S66" s="24"/>
      <c r="T66" s="24">
        <f>IF($B$10="3BR_H",
INDEX('3BR_H-combined'!$C:$BH,MATCH($L66,'3BR_H-combined'!$B:$B,0),MATCH(Council_Area,'3BR_H-combined'!$C$1:$BH$1,0)),
INDEX('2BR_F-combined'!$C:$BH,MATCH($L66,'2BR_F-combined'!$B:$B,0),MATCH(Council_Area,'2BR_F-combined'!$C$1:$BH$1,0)))</f>
        <v>550</v>
      </c>
      <c r="U66" s="24">
        <f t="shared" si="25"/>
        <v>525</v>
      </c>
      <c r="V66" s="24">
        <f t="shared" si="35"/>
        <v>6900</v>
      </c>
      <c r="W66" s="24">
        <f>$B$53/4*BH66/_xlfn.XLOOKUP(Q_end,cpi!A:A,cpi!B:B)</f>
        <v>167.79543883897722</v>
      </c>
      <c r="X66" s="24">
        <f t="shared" si="43"/>
        <v>7067.7954388389771</v>
      </c>
      <c r="Y66" s="24">
        <f t="shared" si="44"/>
        <v>1507.8000474515302</v>
      </c>
      <c r="Z66" s="24">
        <f t="shared" si="66"/>
        <v>482.49601518448958</v>
      </c>
      <c r="AA66" s="24">
        <f t="shared" si="45"/>
        <v>1990.2960626360198</v>
      </c>
      <c r="AB66" s="24">
        <f>AA66*(_xlfn.XLOOKUP(Q_end,cpi!A:A,cpi!B:B)/BH66)</f>
        <v>2372.2886347893909</v>
      </c>
      <c r="AC66" s="24" cm="1">
        <f t="array" ref="AC66">INDEX('msci-indices'!C:C,MATCH($L66,'msci-indices'!$B:$B)-2)</f>
        <v>2510.8156309999999</v>
      </c>
      <c r="AD66" s="24" cm="1">
        <f t="array" ref="AD66">INDEX('msci-indices'!D:D,MATCH($L66,'msci-indices'!$B:$B)-2)</f>
        <v>2125.1172740000002</v>
      </c>
      <c r="AE66" s="24">
        <f t="shared" si="67"/>
        <v>1158126.05612271</v>
      </c>
      <c r="AF66" s="24" cm="1">
        <f t="array" ref="AF66">INDEX('msci-indices'!C:C,MATCH($L66,'msci-indices'!$B:$B)+1)</f>
        <v>2688.1915319999998</v>
      </c>
      <c r="AG66" s="24" cm="1">
        <f t="array" ref="AG66">INDEX('msci-indices'!D:D,MATCH($L66,'msci-indices'!$B:$B)+1)</f>
        <v>2173.034118</v>
      </c>
      <c r="AH66" s="24">
        <f t="shared" si="46"/>
        <v>723.82878507669375</v>
      </c>
      <c r="AI66" s="24">
        <f t="shared" si="47"/>
        <v>1222507.060713551</v>
      </c>
      <c r="AJ66" s="24">
        <f t="shared" si="68"/>
        <v>435348.7533960953</v>
      </c>
      <c r="AK66" s="24">
        <f t="shared" si="48"/>
        <v>787158.30731745576</v>
      </c>
      <c r="AL66" s="24">
        <f>AJ66*(_xlfn.XLOOKUP(Q_end,cpi!A:A,cpi!B:B)/BH66)</f>
        <v>518904.15664262755</v>
      </c>
      <c r="AM66" s="24" cm="1">
        <f t="array" ref="AM66">SUMPRODUCT($AA$3:AA66,_xlfn.SORTBY($BH$3:BH66,_xlfn.SEQUENCE(ROWS($BH$3:BH66)),-1)/$BH$3)</f>
        <v>577782.40501711529</v>
      </c>
      <c r="AN66" s="24">
        <f t="shared" si="30"/>
        <v>644724.65569643572</v>
      </c>
      <c r="AO66" s="24">
        <f t="shared" si="49"/>
        <v>0</v>
      </c>
      <c r="AP66" s="24">
        <f t="shared" si="31"/>
        <v>1222507.060713551</v>
      </c>
      <c r="AQ66" s="24"/>
      <c r="AR66" s="12">
        <f>IF($B$10="3BR_H",
INDEX('ns-combined'!$C:$BH,MATCH($L66,'ns-combined'!$B:$B,0),MATCH(Council_Area,'ns-combined'!$C$1:$BH$1,0))*1000,
INDEX('s-combined'!$C:$BH,MATCH($L66,'s-combined'!$B:$B,0),MATCH(Council_Area,'s-combined'!$C$1:$BH$1,0))*1000)</f>
        <v>1400000</v>
      </c>
      <c r="AS66" s="24">
        <f t="shared" si="36"/>
        <v>73600</v>
      </c>
      <c r="AT66" s="12">
        <v>0</v>
      </c>
      <c r="AU66" s="24">
        <f t="shared" si="50"/>
        <v>28000</v>
      </c>
      <c r="AV66" s="24">
        <f t="shared" si="51"/>
        <v>4025</v>
      </c>
      <c r="AW66" s="24">
        <f>SUM($AV$3:AV66)</f>
        <v>137614.75</v>
      </c>
      <c r="AX66" s="24">
        <f t="shared" si="52"/>
        <v>1160785.25</v>
      </c>
      <c r="AY66" s="24">
        <f t="shared" si="53"/>
        <v>2415.0000000000005</v>
      </c>
      <c r="AZ66" s="26">
        <f t="shared" si="54"/>
        <v>6.9000000000000016E-3</v>
      </c>
      <c r="BA66" s="26">
        <f t="shared" si="55"/>
        <v>0.35000000000000009</v>
      </c>
      <c r="BB66" s="27">
        <f>IF(MortgageRate="Discounted",_xlfn.XLOOKUP(L66,'mortgage-rates'!$A:$A,'mortgage-rates'!$E:$E)/100,_xlfn.XLOOKUP(L66,'mortgage-rates'!$A:$A,'mortgage-rates'!$D:$D)/100)</f>
        <v>3.4500000000000003E-2</v>
      </c>
      <c r="BC66" s="12">
        <f t="shared" si="69"/>
        <v>194439.1916538378</v>
      </c>
      <c r="BD66" s="12">
        <f t="shared" si="56"/>
        <v>6160.5954862905073</v>
      </c>
      <c r="BE66" s="12">
        <f t="shared" si="57"/>
        <v>1677.0380280143511</v>
      </c>
      <c r="BF66" s="12">
        <f t="shared" si="37"/>
        <v>4483.5574582761565</v>
      </c>
      <c r="BG66" s="14">
        <f t="shared" si="58"/>
        <v>8575.5954862905073</v>
      </c>
      <c r="BH66" s="24">
        <f>INDEX(cpi!B:B,MATCH($L66,cpi!A:A))</f>
        <v>121.4</v>
      </c>
      <c r="BI66" s="24">
        <f t="shared" si="59"/>
        <v>143.49881796690309</v>
      </c>
      <c r="BJ66" s="24">
        <f t="shared" si="60"/>
        <v>332.61139848165806</v>
      </c>
      <c r="BK66" s="24">
        <f t="shared" si="61"/>
        <v>298.0712046415382</v>
      </c>
      <c r="BL66" s="24">
        <f t="shared" si="62"/>
        <v>322.2493403296221</v>
      </c>
      <c r="BM66" s="24">
        <f t="shared" si="63"/>
        <v>729.16036264543732</v>
      </c>
      <c r="BN66" s="24">
        <f t="shared" si="64"/>
        <v>304.3478260869565</v>
      </c>
      <c r="BO66">
        <f t="shared" si="65"/>
        <v>258.91457695546222</v>
      </c>
    </row>
    <row r="67" spans="2:67" x14ac:dyDescent="0.25">
      <c r="L67" s="1">
        <f t="shared" si="34"/>
        <v>44621</v>
      </c>
      <c r="M67" s="12">
        <f t="shared" ref="M67:M82" si="70">AP67</f>
        <v>1187414.5415935586</v>
      </c>
      <c r="N67" s="12">
        <f t="shared" ref="N67:N82" si="71">AX67-BC67</f>
        <v>907027.11580443836</v>
      </c>
      <c r="O67" s="9">
        <f t="shared" si="24"/>
        <v>1.3091279421568847</v>
      </c>
      <c r="P67" s="9">
        <f t="shared" ref="P67:P82" si="72">X67/BG67</f>
        <v>0.83870063700679187</v>
      </c>
      <c r="Q67">
        <v>65</v>
      </c>
      <c r="R67">
        <f t="shared" ref="R67:R82" si="73">EOMONTH(L67,0)-EOMONTH(L67,-3)</f>
        <v>90</v>
      </c>
      <c r="S67" s="24"/>
      <c r="T67" s="24">
        <f>IF($B$10="3BR_H",
INDEX('3BR_H-combined'!$C:$BH,MATCH($L67,'3BR_H-combined'!$B:$B,0),MATCH(Council_Area,'3BR_H-combined'!$C$1:$BH$1,0)),
INDEX('2BR_F-combined'!$C:$BH,MATCH($L67,'2BR_F-combined'!$B:$B,0),MATCH(Council_Area,'2BR_F-combined'!$C$1:$BH$1,0)))</f>
        <v>550</v>
      </c>
      <c r="U67" s="24">
        <f t="shared" si="25"/>
        <v>550</v>
      </c>
      <c r="V67" s="24">
        <f t="shared" si="35"/>
        <v>7071.4285714285716</v>
      </c>
      <c r="W67" s="24">
        <f>$B$53/4*BH67/_xlfn.XLOOKUP(Q_end,cpi!A:A,cpi!B:B)</f>
        <v>171.25086385625434</v>
      </c>
      <c r="X67" s="24">
        <f t="shared" ref="X67:X81" si="74">V67+W67</f>
        <v>7242.6794352848256</v>
      </c>
      <c r="Y67" s="24">
        <f t="shared" ref="Y67:Y81" si="75">BG67-X67</f>
        <v>1392.9160510056818</v>
      </c>
      <c r="Z67" s="24">
        <f t="shared" si="66"/>
        <v>445.73313632181811</v>
      </c>
      <c r="AA67" s="24">
        <f t="shared" ref="AA67:AA82" si="76">(Y67+Z67)*eff_invest</f>
        <v>1838.6491873274999</v>
      </c>
      <c r="AB67" s="24">
        <f>AA67*(_xlfn.XLOOKUP(Q_end,cpi!A:A,cpi!B:B)/BH67)</f>
        <v>2147.3166860878869</v>
      </c>
      <c r="AC67" s="24" cm="1">
        <f t="array" ref="AC67">INDEX('msci-indices'!C:C,MATCH($L67,'msci-indices'!$B:$B)-2)</f>
        <v>2688.1915319999998</v>
      </c>
      <c r="AD67" s="24" cm="1">
        <f t="array" ref="AD67">INDEX('msci-indices'!D:D,MATCH($L67,'msci-indices'!$B:$B)-2)</f>
        <v>2173.034118</v>
      </c>
      <c r="AE67" s="24">
        <f t="shared" si="67"/>
        <v>1224345.7099008786</v>
      </c>
      <c r="AF67" s="24" cm="1">
        <f t="array" ref="AF67">INDEX('msci-indices'!C:C,MATCH($L67,'msci-indices'!$B:$B)+1)</f>
        <v>2545.291346</v>
      </c>
      <c r="AG67" s="24" cm="1">
        <f t="array" ref="AG67">INDEX('msci-indices'!D:D,MATCH($L67,'msci-indices'!$B:$B)+1)</f>
        <v>2228.6053740000002</v>
      </c>
      <c r="AH67" s="24">
        <f t="shared" ref="AH67:AH82" si="77">(InvestFees/4)*AE67</f>
        <v>765.21606868804918</v>
      </c>
      <c r="AI67" s="24">
        <f t="shared" ref="AI67:AI82" si="78">((AF67/AC67)*GlobalPortfolio+(AG67/AD67)*AusPortfolio)*AE67-AH67</f>
        <v>1187414.5415935586</v>
      </c>
      <c r="AJ67" s="24">
        <f t="shared" si="68"/>
        <v>437187.40258342278</v>
      </c>
      <c r="AK67" s="24">
        <f t="shared" ref="AK67:AK82" si="79">AI67-AJ67</f>
        <v>750227.13901013578</v>
      </c>
      <c r="AL67" s="24">
        <f>AJ67*(_xlfn.XLOOKUP(Q_end,cpi!A:A,cpi!B:B)/BH67)</f>
        <v>510581.25225037336</v>
      </c>
      <c r="AM67" s="24" cm="1">
        <f t="array" ref="AM67">SUMPRODUCT($AA$3:AA67,_xlfn.SORTBY($BH$3:BH67,_xlfn.SEQUENCE(ROWS($BH$3:BH67)),-1)/$BH$3)</f>
        <v>586181.90787542285</v>
      </c>
      <c r="AN67" s="24">
        <f t="shared" si="30"/>
        <v>601232.63371813577</v>
      </c>
      <c r="AO67" s="24">
        <f t="shared" ref="AO67:AO82" si="80">IF($B$49="Real gains",MAX($B$50*AN67,0),IF($B$49="Discounted nominal gains",MAX($B$50*AK67/2,0),0))</f>
        <v>0</v>
      </c>
      <c r="AP67" s="24">
        <f t="shared" si="31"/>
        <v>1187414.5415935586</v>
      </c>
      <c r="AQ67" s="24"/>
      <c r="AR67" s="12">
        <f>IF($B$10="3BR_H",
INDEX('ns-combined'!$C:$BH,MATCH($L67,'ns-combined'!$B:$B,0),MATCH(Council_Area,'ns-combined'!$C$1:$BH$1,0))*1000,
INDEX('s-combined'!$C:$BH,MATCH($L67,'s-combined'!$B:$B,0),MATCH(Council_Area,'s-combined'!$C$1:$BH$1,0))*1000)</f>
        <v>1340000</v>
      </c>
      <c r="AS67" s="24">
        <f t="shared" si="36"/>
        <v>74750</v>
      </c>
      <c r="AT67" s="12">
        <v>0</v>
      </c>
      <c r="AU67" s="24">
        <f t="shared" ref="AU67:AU82" si="81">SUM($B$28:$B$29)*AR67</f>
        <v>26800</v>
      </c>
      <c r="AV67" s="24">
        <f t="shared" ref="AV67:AV82" si="82">AR67*$B$15/4</f>
        <v>3852.5</v>
      </c>
      <c r="AW67" s="24">
        <f>SUM($AV$3:AV67)</f>
        <v>141467.25</v>
      </c>
      <c r="AX67" s="24">
        <f t="shared" ref="AX67:AX82" si="83">AR67-AS67-AU67-AW67</f>
        <v>1096982.75</v>
      </c>
      <c r="AY67" s="24">
        <f t="shared" ref="AY67:AY82" si="84">$B$36*V67</f>
        <v>2475.0000000000005</v>
      </c>
      <c r="AZ67" s="26">
        <f t="shared" ref="AZ67:AZ82" si="85">SUM(AY67:AY67)*4/AR67</f>
        <v>7.3880597014925383E-3</v>
      </c>
      <c r="BA67" s="26">
        <f t="shared" ref="BA67:BA82" si="86">SUM(AY67:AY67)/V67</f>
        <v>0.35000000000000003</v>
      </c>
      <c r="BB67" s="27">
        <f>IF(MortgageRate="Discounted",_xlfn.XLOOKUP(L67,'mortgage-rates'!$A:$A,'mortgage-rates'!$E:$E)/100,_xlfn.XLOOKUP(L67,'mortgage-rates'!$A:$A,'mortgage-rates'!$D:$D)/100)</f>
        <v>3.4500000000000003E-2</v>
      </c>
      <c r="BC67" s="12">
        <f t="shared" si="69"/>
        <v>189955.63419556164</v>
      </c>
      <c r="BD67" s="12">
        <f t="shared" ref="BD67:BD82" si="87">IF($B$16*12/3-Q67+1&gt;0,-PMT($BB67/4,$B$16*12/3-Q67+1,BC67),0)</f>
        <v>6160.5954862905073</v>
      </c>
      <c r="BE67" s="12">
        <f t="shared" si="57"/>
        <v>1638.3673449367193</v>
      </c>
      <c r="BF67" s="12">
        <f t="shared" si="37"/>
        <v>4522.2281413537876</v>
      </c>
      <c r="BG67" s="14">
        <f t="shared" ref="BG67:BG82" si="88">AT67+AY67+BD67</f>
        <v>8635.5954862905073</v>
      </c>
      <c r="BH67" s="24">
        <f>INDEX(cpi!B:B,MATCH($L67,cpi!A:A))</f>
        <v>123.9</v>
      </c>
      <c r="BI67" s="24">
        <f t="shared" ref="BI67:BI82" si="89">100*BH67/BH$3</f>
        <v>146.45390070921988</v>
      </c>
      <c r="BJ67" s="24">
        <f t="shared" ref="BJ67:BJ82" si="90">100*AC67/AC$3</f>
        <v>356.10864207060962</v>
      </c>
      <c r="BK67" s="24">
        <f t="shared" ref="BK67:BK82" si="91">100*AD67/AD$3</f>
        <v>304.79207204421903</v>
      </c>
      <c r="BL67" s="24">
        <f t="shared" ref="BL67:BL82" si="92">BJ67*GlobalPortfolio+BK67*AusPortfolio</f>
        <v>340.71367106269247</v>
      </c>
      <c r="BM67" s="24">
        <f t="shared" ref="BM67:BM82" si="93">100*AE67/$AE$3</f>
        <v>770.85249668203539</v>
      </c>
      <c r="BN67" s="24">
        <f t="shared" ref="BN67:BN82" si="94">100*AR67/AR$3</f>
        <v>291.30434782608694</v>
      </c>
      <c r="BO67">
        <f t="shared" ref="BO67:BO82" si="95">100*AX67/AX$3</f>
        <v>244.68335089861765</v>
      </c>
    </row>
    <row r="68" spans="2:67" x14ac:dyDescent="0.25">
      <c r="L68" s="1">
        <f t="shared" si="34"/>
        <v>44713</v>
      </c>
      <c r="M68" s="12">
        <f t="shared" si="70"/>
        <v>1009822.6603558728</v>
      </c>
      <c r="N68" s="12">
        <f t="shared" si="71"/>
        <v>955403.09394579218</v>
      </c>
      <c r="O68" s="9">
        <f t="shared" ref="O68:O82" si="96">M68/N68</f>
        <v>1.0569597971316265</v>
      </c>
      <c r="P68" s="9">
        <f t="shared" si="72"/>
        <v>0.82656918396862311</v>
      </c>
      <c r="Q68">
        <v>66</v>
      </c>
      <c r="R68">
        <f t="shared" si="73"/>
        <v>91</v>
      </c>
      <c r="S68" s="24"/>
      <c r="T68" s="24">
        <f>IF($B$10="3BR_H",
INDEX('3BR_H-combined'!$C:$BH,MATCH($L68,'3BR_H-combined'!$B:$B,0),MATCH(Council_Area,'3BR_H-combined'!$C$1:$BH$1,0)),
INDEX('2BR_F-combined'!$C:$BH,MATCH($L68,'2BR_F-combined'!$B:$B,0),MATCH(Council_Area,'2BR_F-combined'!$C$1:$BH$1,0)))</f>
        <v>570</v>
      </c>
      <c r="U68" s="24">
        <f t="shared" ref="U68:U82" si="97">IF(MOD(Q68,4)=1,T68,U67)</f>
        <v>550</v>
      </c>
      <c r="V68" s="24">
        <f t="shared" ref="V68:V82" si="98">U68*(R68)/7</f>
        <v>7150</v>
      </c>
      <c r="W68" s="24">
        <f>$B$53/4*BH68/_xlfn.XLOOKUP(Q_end,cpi!A:A,cpi!B:B)</f>
        <v>174.29163787145819</v>
      </c>
      <c r="X68" s="24">
        <f t="shared" si="74"/>
        <v>7324.2916378714581</v>
      </c>
      <c r="Y68" s="24">
        <f t="shared" si="75"/>
        <v>1536.7834904138599</v>
      </c>
      <c r="Z68" s="24">
        <f t="shared" ref="Z68:Z82" si="99">Y68*$B$47</f>
        <v>491.77071693243511</v>
      </c>
      <c r="AA68" s="24">
        <f t="shared" si="76"/>
        <v>2028.554207346295</v>
      </c>
      <c r="AB68" s="24">
        <f>AA68*(_xlfn.XLOOKUP(Q_end,cpi!A:A,cpi!B:B)/BH68)</f>
        <v>2327.7699746471758</v>
      </c>
      <c r="AC68" s="24" cm="1">
        <f t="array" ref="AC68">INDEX('msci-indices'!C:C,MATCH($L68,'msci-indices'!$B:$B)-2)</f>
        <v>2545.291346</v>
      </c>
      <c r="AD68" s="24" cm="1">
        <f t="array" ref="AD68">INDEX('msci-indices'!D:D,MATCH($L68,'msci-indices'!$B:$B)-2)</f>
        <v>2228.6053740000002</v>
      </c>
      <c r="AE68" s="24">
        <f t="shared" ref="AE68:AE82" si="100">AI67+AA68</f>
        <v>1189443.095800905</v>
      </c>
      <c r="AF68" s="24" cm="1">
        <f t="array" ref="AF68">INDEX('msci-indices'!C:C,MATCH($L68,'msci-indices'!$B:$B)+1)</f>
        <v>2130.2472859999998</v>
      </c>
      <c r="AG68" s="24" cm="1">
        <f t="array" ref="AG68">INDEX('msci-indices'!D:D,MATCH($L68,'msci-indices'!$B:$B)+1)</f>
        <v>1959.3691980000001</v>
      </c>
      <c r="AH68" s="24">
        <f t="shared" si="77"/>
        <v>743.40193487556564</v>
      </c>
      <c r="AI68" s="24">
        <f t="shared" si="78"/>
        <v>1009822.6603558728</v>
      </c>
      <c r="AJ68" s="24">
        <f t="shared" ref="AJ68:AJ82" si="101">AJ67+AA68</f>
        <v>439215.95679076907</v>
      </c>
      <c r="AK68" s="24">
        <f t="shared" si="79"/>
        <v>570606.7035651037</v>
      </c>
      <c r="AL68" s="24">
        <f>AJ68*(_xlfn.XLOOKUP(Q_end,cpi!A:A,cpi!B:B)/BH68)</f>
        <v>504001.18118655257</v>
      </c>
      <c r="AM68" s="24" cm="1">
        <f t="array" ref="AM68">SUMPRODUCT($AA$3:AA68,_xlfn.SORTBY($BH$3:BH68,_xlfn.SEQUENCE(ROWS($BH$3:BH68)),-1)/$BH$3)</f>
        <v>594386.61531758483</v>
      </c>
      <c r="AN68" s="24">
        <f t="shared" ref="AN68:AN81" si="102">AI68-AM68</f>
        <v>415436.04503828799</v>
      </c>
      <c r="AO68" s="24">
        <f t="shared" si="80"/>
        <v>0</v>
      </c>
      <c r="AP68" s="24">
        <f t="shared" ref="AP68:AP81" si="103">AI68-AO68</f>
        <v>1009822.6603558728</v>
      </c>
      <c r="AQ68" s="24"/>
      <c r="AR68" s="12">
        <f>IF($B$10="3BR_H",
INDEX('ns-combined'!$C:$BH,MATCH($L68,'ns-combined'!$B:$B,0),MATCH(Council_Area,'ns-combined'!$C$1:$BH$1,0))*1000,
INDEX('s-combined'!$C:$BH,MATCH($L68,'s-combined'!$B:$B,0),MATCH(Council_Area,'s-combined'!$C$1:$BH$1,0))*1000)</f>
        <v>1390000</v>
      </c>
      <c r="AS68" s="24">
        <f t="shared" si="36"/>
        <v>75900</v>
      </c>
      <c r="AT68" s="12">
        <v>0</v>
      </c>
      <c r="AU68" s="24">
        <f t="shared" si="81"/>
        <v>27800</v>
      </c>
      <c r="AV68" s="24">
        <f t="shared" si="82"/>
        <v>3996.25</v>
      </c>
      <c r="AW68" s="24">
        <f>SUM($AV$3:AV68)</f>
        <v>145463.5</v>
      </c>
      <c r="AX68" s="24">
        <f t="shared" si="83"/>
        <v>1140836.5</v>
      </c>
      <c r="AY68" s="24">
        <f t="shared" si="84"/>
        <v>2502.5000000000005</v>
      </c>
      <c r="AZ68" s="26">
        <f t="shared" si="85"/>
        <v>7.2014388489208643E-3</v>
      </c>
      <c r="BA68" s="26">
        <f t="shared" si="86"/>
        <v>0.35000000000000009</v>
      </c>
      <c r="BB68" s="27">
        <f>IF(MortgageRate="Discounted",_xlfn.XLOOKUP(L68,'mortgage-rates'!$A:$A,'mortgage-rates'!$E:$E)/100,_xlfn.XLOOKUP(L68,'mortgage-rates'!$A:$A,'mortgage-rates'!$D:$D)/100)</f>
        <v>4.2000000000000003E-2</v>
      </c>
      <c r="BC68" s="12">
        <f t="shared" ref="BC68:BC82" si="104">BC67-BF67</f>
        <v>185433.40605420785</v>
      </c>
      <c r="BD68" s="12">
        <f t="shared" si="87"/>
        <v>6358.575128285318</v>
      </c>
      <c r="BE68" s="12">
        <f t="shared" ref="BE68:BE82" si="105">BC68*($BB68/4)</f>
        <v>1947.0507635691827</v>
      </c>
      <c r="BF68" s="12">
        <f t="shared" si="37"/>
        <v>4411.5243647161351</v>
      </c>
      <c r="BG68" s="14">
        <f t="shared" si="88"/>
        <v>8861.075128285318</v>
      </c>
      <c r="BH68" s="24">
        <f>INDEX(cpi!B:B,MATCH($L68,cpi!A:A))</f>
        <v>126.1</v>
      </c>
      <c r="BI68" s="24">
        <f t="shared" si="89"/>
        <v>149.05437352245863</v>
      </c>
      <c r="BJ68" s="24">
        <f t="shared" si="90"/>
        <v>337.17844659073722</v>
      </c>
      <c r="BK68" s="24">
        <f t="shared" si="91"/>
        <v>312.58655539910018</v>
      </c>
      <c r="BL68" s="24">
        <f t="shared" si="92"/>
        <v>329.80087923324612</v>
      </c>
      <c r="BM68" s="24">
        <f t="shared" si="93"/>
        <v>748.8776843376753</v>
      </c>
      <c r="BN68" s="24">
        <f t="shared" si="94"/>
        <v>302.17391304347825</v>
      </c>
      <c r="BO68">
        <f t="shared" si="95"/>
        <v>254.46498374514167</v>
      </c>
    </row>
    <row r="69" spans="2:67" x14ac:dyDescent="0.25">
      <c r="L69" s="1">
        <f t="shared" ref="L69:L81" si="106">DATE(YEAR(L68),MONTH(L68)+3,1)</f>
        <v>44805</v>
      </c>
      <c r="M69" s="12">
        <f t="shared" si="70"/>
        <v>969955.99714821251</v>
      </c>
      <c r="N69" s="12">
        <f t="shared" si="71"/>
        <v>866727.11831050832</v>
      </c>
      <c r="O69" s="9">
        <f t="shared" si="96"/>
        <v>1.1191019372267086</v>
      </c>
      <c r="P69" s="9">
        <f t="shared" si="72"/>
        <v>0.7976508229586674</v>
      </c>
      <c r="Q69">
        <v>67</v>
      </c>
      <c r="R69">
        <f t="shared" si="73"/>
        <v>92</v>
      </c>
      <c r="S69" s="24"/>
      <c r="T69" s="24">
        <f>IF($B$10="3BR_H",
INDEX('3BR_H-combined'!$C:$BH,MATCH($L69,'3BR_H-combined'!$B:$B,0),MATCH(Council_Area,'3BR_H-combined'!$C$1:$BH$1,0)),
INDEX('2BR_F-combined'!$C:$BH,MATCH($L69,'2BR_F-combined'!$B:$B,0),MATCH(Council_Area,'2BR_F-combined'!$C$1:$BH$1,0)))</f>
        <v>600</v>
      </c>
      <c r="U69" s="24">
        <f t="shared" si="97"/>
        <v>550</v>
      </c>
      <c r="V69" s="24">
        <f t="shared" si="98"/>
        <v>7228.5714285714284</v>
      </c>
      <c r="W69" s="24">
        <f>$B$53/4*BH69/_xlfn.XLOOKUP(Q_end,cpi!A:A,cpi!B:B)</f>
        <v>177.47062888735317</v>
      </c>
      <c r="X69" s="24">
        <f t="shared" si="74"/>
        <v>7406.0420574587815</v>
      </c>
      <c r="Y69" s="24">
        <f t="shared" si="75"/>
        <v>1878.7751135285134</v>
      </c>
      <c r="Z69" s="24">
        <f t="shared" si="99"/>
        <v>601.20803632912418</v>
      </c>
      <c r="AA69" s="24">
        <f t="shared" si="76"/>
        <v>2479.9831498576377</v>
      </c>
      <c r="AB69" s="24">
        <f>AA69*(_xlfn.XLOOKUP(Q_end,cpi!A:A,cpi!B:B)/BH69)</f>
        <v>2794.80967121807</v>
      </c>
      <c r="AC69" s="24" cm="1">
        <f t="array" ref="AC69">INDEX('msci-indices'!C:C,MATCH($L69,'msci-indices'!$B:$B)-2)</f>
        <v>2130.2472859999998</v>
      </c>
      <c r="AD69" s="24" cm="1">
        <f t="array" ref="AD69">INDEX('msci-indices'!D:D,MATCH($L69,'msci-indices'!$B:$B)-2)</f>
        <v>1959.3691980000001</v>
      </c>
      <c r="AE69" s="24">
        <f t="shared" si="100"/>
        <v>1012302.6435057304</v>
      </c>
      <c r="AF69" s="24" cm="1">
        <f t="array" ref="AF69">INDEX('msci-indices'!C:C,MATCH($L69,'msci-indices'!$B:$B)+1)</f>
        <v>2000.7468469999999</v>
      </c>
      <c r="AG69" s="24" cm="1">
        <f t="array" ref="AG69">INDEX('msci-indices'!D:D,MATCH($L69,'msci-indices'!$B:$B)+1)</f>
        <v>1968.166029</v>
      </c>
      <c r="AH69" s="24">
        <f t="shared" si="77"/>
        <v>632.68915219108158</v>
      </c>
      <c r="AI69" s="24">
        <f t="shared" si="78"/>
        <v>969955.99714821251</v>
      </c>
      <c r="AJ69" s="24">
        <f t="shared" si="101"/>
        <v>441695.93994062667</v>
      </c>
      <c r="AK69" s="24">
        <f t="shared" si="79"/>
        <v>528260.05720758578</v>
      </c>
      <c r="AL69" s="24">
        <f>AJ69*(_xlfn.XLOOKUP(Q_end,cpi!A:A,cpi!B:B)/BH69)</f>
        <v>497767.93231626693</v>
      </c>
      <c r="AM69" s="24" cm="1">
        <f t="array" ref="AM69">SUMPRODUCT($AA$3:AA69,_xlfn.SORTBY($BH$3:BH69,_xlfn.SEQUENCE(ROWS($BH$3:BH69)),-1)/$BH$3)</f>
        <v>603389.93139936612</v>
      </c>
      <c r="AN69" s="24">
        <f t="shared" si="102"/>
        <v>366566.06574884639</v>
      </c>
      <c r="AO69" s="24">
        <f t="shared" si="80"/>
        <v>0</v>
      </c>
      <c r="AP69" s="24">
        <f t="shared" si="103"/>
        <v>969955.99714821251</v>
      </c>
      <c r="AQ69" s="24"/>
      <c r="AR69" s="12">
        <f>IF($B$10="3BR_H",
INDEX('ns-combined'!$C:$BH,MATCH($L69,'ns-combined'!$B:$B,0),MATCH(Council_Area,'ns-combined'!$C$1:$BH$1,0))*1000,
INDEX('s-combined'!$C:$BH,MATCH($L69,'s-combined'!$B:$B,0),MATCH(Council_Area,'s-combined'!$C$1:$BH$1,0))*1000)</f>
        <v>1300000</v>
      </c>
      <c r="AS69" s="24">
        <f t="shared" ref="AS69:AS81" si="107">AS68+$AS$3</f>
        <v>77050</v>
      </c>
      <c r="AT69" s="12">
        <v>0</v>
      </c>
      <c r="AU69" s="24">
        <f t="shared" si="81"/>
        <v>26000</v>
      </c>
      <c r="AV69" s="24">
        <f t="shared" si="82"/>
        <v>3737.5</v>
      </c>
      <c r="AW69" s="24">
        <f>SUM($AV$3:AV69)</f>
        <v>149201</v>
      </c>
      <c r="AX69" s="24">
        <f t="shared" si="83"/>
        <v>1047749</v>
      </c>
      <c r="AY69" s="24">
        <f t="shared" si="84"/>
        <v>2530</v>
      </c>
      <c r="AZ69" s="26">
        <f t="shared" si="85"/>
        <v>7.7846153846153846E-3</v>
      </c>
      <c r="BA69" s="26">
        <f t="shared" si="86"/>
        <v>0.35000000000000003</v>
      </c>
      <c r="BB69" s="27">
        <f>IF(MortgageRate="Discounted",_xlfn.XLOOKUP(L69,'mortgage-rates'!$A:$A,'mortgage-rates'!$E:$E)/100,_xlfn.XLOOKUP(L69,'mortgage-rates'!$A:$A,'mortgage-rates'!$D:$D)/100)</f>
        <v>5.7000000000000002E-2</v>
      </c>
      <c r="BC69" s="12">
        <f t="shared" si="104"/>
        <v>181021.88168949171</v>
      </c>
      <c r="BD69" s="12">
        <f t="shared" si="87"/>
        <v>6754.817170987295</v>
      </c>
      <c r="BE69" s="12">
        <f t="shared" si="105"/>
        <v>2579.5618140752572</v>
      </c>
      <c r="BF69" s="12">
        <f t="shared" ref="BF69:BF82" si="108">BD69-BE69</f>
        <v>4175.2553569120373</v>
      </c>
      <c r="BG69" s="14">
        <f t="shared" si="88"/>
        <v>9284.817170987295</v>
      </c>
      <c r="BH69" s="24">
        <f>INDEX(cpi!B:B,MATCH($L69,cpi!A:A))</f>
        <v>128.4</v>
      </c>
      <c r="BI69" s="24">
        <f t="shared" si="89"/>
        <v>151.77304964539007</v>
      </c>
      <c r="BJ69" s="24">
        <f t="shared" si="90"/>
        <v>282.19695630380454</v>
      </c>
      <c r="BK69" s="24">
        <f t="shared" si="91"/>
        <v>274.82320356188706</v>
      </c>
      <c r="BL69" s="24">
        <f t="shared" si="92"/>
        <v>279.98483048122927</v>
      </c>
      <c r="BM69" s="24">
        <f t="shared" si="93"/>
        <v>637.34941351441637</v>
      </c>
      <c r="BN69" s="24">
        <f t="shared" si="94"/>
        <v>282.60869565217394</v>
      </c>
      <c r="BO69">
        <f t="shared" si="95"/>
        <v>233.70170243850757</v>
      </c>
    </row>
    <row r="70" spans="2:67" x14ac:dyDescent="0.25">
      <c r="L70" s="1">
        <f t="shared" si="106"/>
        <v>44896</v>
      </c>
      <c r="M70" s="12">
        <f t="shared" si="70"/>
        <v>1066130.959528811</v>
      </c>
      <c r="N70" s="12">
        <f t="shared" si="71"/>
        <v>866014.87366742035</v>
      </c>
      <c r="O70" s="9">
        <f t="shared" si="96"/>
        <v>1.2310769617777282</v>
      </c>
      <c r="P70" s="9">
        <f t="shared" si="72"/>
        <v>0.79199114110504298</v>
      </c>
      <c r="Q70">
        <v>68</v>
      </c>
      <c r="R70">
        <f t="shared" si="73"/>
        <v>92</v>
      </c>
      <c r="S70" s="24"/>
      <c r="T70" s="24">
        <f>IF($B$10="3BR_H",
INDEX('3BR_H-combined'!$C:$BH,MATCH($L70,'3BR_H-combined'!$B:$B,0),MATCH(Council_Area,'3BR_H-combined'!$C$1:$BH$1,0)),
INDEX('2BR_F-combined'!$C:$BH,MATCH($L70,'2BR_F-combined'!$B:$B,0),MATCH(Council_Area,'2BR_F-combined'!$C$1:$BH$1,0)))</f>
        <v>600</v>
      </c>
      <c r="U70" s="24">
        <f t="shared" si="97"/>
        <v>550</v>
      </c>
      <c r="V70" s="24">
        <f t="shared" si="98"/>
        <v>7228.5714285714284</v>
      </c>
      <c r="W70" s="24">
        <f>$B$53/4*BH70/_xlfn.XLOOKUP(Q_end,cpi!A:A,cpi!B:B)</f>
        <v>181.06427090532137</v>
      </c>
      <c r="X70" s="24">
        <f t="shared" si="74"/>
        <v>7409.6356994767502</v>
      </c>
      <c r="Y70" s="24">
        <f t="shared" si="75"/>
        <v>1946.0695791685303</v>
      </c>
      <c r="Z70" s="24">
        <f t="shared" si="99"/>
        <v>622.74226533392959</v>
      </c>
      <c r="AA70" s="24">
        <f t="shared" si="76"/>
        <v>2568.8118445024597</v>
      </c>
      <c r="AB70" s="24">
        <f>AA70*(_xlfn.XLOOKUP(Q_end,cpi!A:A,cpi!B:B)/BH70)</f>
        <v>2837.4585793855408</v>
      </c>
      <c r="AC70" s="24" cm="1">
        <f t="array" ref="AC70">INDEX('msci-indices'!C:C,MATCH($L70,'msci-indices'!$B:$B)-2)</f>
        <v>2000.7468469999999</v>
      </c>
      <c r="AD70" s="24" cm="1">
        <f t="array" ref="AD70">INDEX('msci-indices'!D:D,MATCH($L70,'msci-indices'!$B:$B)-2)</f>
        <v>1968.166029</v>
      </c>
      <c r="AE70" s="24">
        <f t="shared" si="100"/>
        <v>972524.80899271497</v>
      </c>
      <c r="AF70" s="24" cm="1">
        <f t="array" ref="AF70">INDEX('msci-indices'!C:C,MATCH($L70,'msci-indices'!$B:$B)+1)</f>
        <v>2198.4432400000001</v>
      </c>
      <c r="AG70" s="24" cm="1">
        <f t="array" ref="AG70">INDEX('msci-indices'!D:D,MATCH($L70,'msci-indices'!$B:$B)+1)</f>
        <v>2149.944184</v>
      </c>
      <c r="AH70" s="24">
        <f t="shared" si="77"/>
        <v>607.8280056204469</v>
      </c>
      <c r="AI70" s="24">
        <f t="shared" si="78"/>
        <v>1066130.959528811</v>
      </c>
      <c r="AJ70" s="24">
        <f t="shared" si="101"/>
        <v>444264.75178512913</v>
      </c>
      <c r="AK70" s="24">
        <f t="shared" si="79"/>
        <v>621866.20774368197</v>
      </c>
      <c r="AL70" s="24">
        <f>AJ70*(_xlfn.XLOOKUP(Q_end,cpi!A:A,cpi!B:B)/BH70)</f>
        <v>490726.02735349751</v>
      </c>
      <c r="AM70" s="24" cm="1">
        <f t="array" ref="AM70">SUMPRODUCT($AA$3:AA70,_xlfn.SORTBY($BH$3:BH70,_xlfn.SEQUENCE(ROWS($BH$3:BH70)),-1)/$BH$3)</f>
        <v>613221.29603312805</v>
      </c>
      <c r="AN70" s="24">
        <f t="shared" si="102"/>
        <v>452909.66349568299</v>
      </c>
      <c r="AO70" s="24">
        <f t="shared" si="80"/>
        <v>0</v>
      </c>
      <c r="AP70" s="24">
        <f t="shared" si="103"/>
        <v>1066130.959528811</v>
      </c>
      <c r="AQ70" s="24"/>
      <c r="AR70" s="12">
        <f>IF($B$10="3BR_H",
INDEX('ns-combined'!$C:$BH,MATCH($L70,'ns-combined'!$B:$B,0),MATCH(Council_Area,'ns-combined'!$C$1:$BH$1,0))*1000,
INDEX('s-combined'!$C:$BH,MATCH($L70,'s-combined'!$B:$B,0),MATCH(Council_Area,'s-combined'!$C$1:$BH$1,0))*1000)</f>
        <v>1300000</v>
      </c>
      <c r="AS70" s="24">
        <f t="shared" si="107"/>
        <v>78200</v>
      </c>
      <c r="AT70" s="12">
        <v>0</v>
      </c>
      <c r="AU70" s="24">
        <f t="shared" si="81"/>
        <v>26000</v>
      </c>
      <c r="AV70" s="24">
        <f t="shared" si="82"/>
        <v>3737.5</v>
      </c>
      <c r="AW70" s="24">
        <f>SUM($AV$3:AV70)</f>
        <v>152938.5</v>
      </c>
      <c r="AX70" s="24">
        <f t="shared" si="83"/>
        <v>1042861.5</v>
      </c>
      <c r="AY70" s="24">
        <f t="shared" si="84"/>
        <v>2530</v>
      </c>
      <c r="AZ70" s="26">
        <f t="shared" si="85"/>
        <v>7.7846153846153846E-3</v>
      </c>
      <c r="BA70" s="26">
        <f t="shared" si="86"/>
        <v>0.35000000000000003</v>
      </c>
      <c r="BB70" s="27">
        <f>IF(MortgageRate="Discounted",_xlfn.XLOOKUP(L70,'mortgage-rates'!$A:$A,'mortgage-rates'!$E:$E)/100,_xlfn.XLOOKUP(L70,'mortgage-rates'!$A:$A,'mortgage-rates'!$D:$D)/100)</f>
        <v>5.9699999999999996E-2</v>
      </c>
      <c r="BC70" s="12">
        <f t="shared" si="104"/>
        <v>176846.62633257968</v>
      </c>
      <c r="BD70" s="12">
        <f t="shared" si="87"/>
        <v>6825.7052786452805</v>
      </c>
      <c r="BE70" s="12">
        <f t="shared" si="105"/>
        <v>2639.4358980137513</v>
      </c>
      <c r="BF70" s="12">
        <f t="shared" si="108"/>
        <v>4186.2693806315292</v>
      </c>
      <c r="BG70" s="14">
        <f t="shared" si="88"/>
        <v>9355.7052786452805</v>
      </c>
      <c r="BH70" s="24">
        <f>INDEX(cpi!B:B,MATCH($L70,cpi!A:A))</f>
        <v>131</v>
      </c>
      <c r="BI70" s="24">
        <f t="shared" si="89"/>
        <v>154.84633569739952</v>
      </c>
      <c r="BJ70" s="24">
        <f t="shared" si="90"/>
        <v>265.04184479821646</v>
      </c>
      <c r="BK70" s="24">
        <f t="shared" si="91"/>
        <v>276.05705641569335</v>
      </c>
      <c r="BL70" s="24">
        <f t="shared" si="92"/>
        <v>268.34640828345954</v>
      </c>
      <c r="BM70" s="24">
        <f t="shared" si="93"/>
        <v>612.30514472742061</v>
      </c>
      <c r="BN70" s="24">
        <f t="shared" si="94"/>
        <v>282.60869565217394</v>
      </c>
      <c r="BO70">
        <f t="shared" si="95"/>
        <v>232.61153955534738</v>
      </c>
    </row>
    <row r="71" spans="2:67" x14ac:dyDescent="0.25">
      <c r="L71" s="1">
        <f t="shared" si="106"/>
        <v>44986</v>
      </c>
      <c r="M71" s="12">
        <f t="shared" si="70"/>
        <v>1133232.2960984849</v>
      </c>
      <c r="N71" s="12">
        <f t="shared" si="71"/>
        <v>816457.39304805186</v>
      </c>
      <c r="O71" s="9">
        <f t="shared" si="96"/>
        <v>1.3879870593955042</v>
      </c>
      <c r="P71" s="9">
        <f t="shared" si="72"/>
        <v>0.82837569931018828</v>
      </c>
      <c r="Q71">
        <v>69</v>
      </c>
      <c r="R71">
        <f t="shared" si="73"/>
        <v>90</v>
      </c>
      <c r="S71" s="24"/>
      <c r="T71" s="24">
        <f>IF($B$10="3BR_H",
INDEX('3BR_H-combined'!$C:$BH,MATCH($L71,'3BR_H-combined'!$B:$B,0),MATCH(Council_Area,'3BR_H-combined'!$C$1:$BH$1,0)),
INDEX('2BR_F-combined'!$C:$BH,MATCH($L71,'2BR_F-combined'!$B:$B,0),MATCH(Council_Area,'2BR_F-combined'!$C$1:$BH$1,0)))</f>
        <v>610</v>
      </c>
      <c r="U71" s="24">
        <f t="shared" si="97"/>
        <v>610</v>
      </c>
      <c r="V71" s="24">
        <f t="shared" si="98"/>
        <v>7842.8571428571431</v>
      </c>
      <c r="W71" s="24">
        <f>$B$53/4*BH71/_xlfn.XLOOKUP(Q_end,cpi!A:A,cpi!B:B)</f>
        <v>183.41395991706977</v>
      </c>
      <c r="X71" s="24">
        <f t="shared" si="74"/>
        <v>8026.2711027742125</v>
      </c>
      <c r="Y71" s="24">
        <f t="shared" si="75"/>
        <v>1662.896637730385</v>
      </c>
      <c r="Z71" s="24">
        <f t="shared" si="99"/>
        <v>532.1269240737231</v>
      </c>
      <c r="AA71" s="24">
        <f t="shared" si="76"/>
        <v>2195.0235618041079</v>
      </c>
      <c r="AB71" s="24">
        <f>AA71*(_xlfn.XLOOKUP(Q_end,cpi!A:A,cpi!B:B)/BH71)</f>
        <v>2393.5185334819475</v>
      </c>
      <c r="AC71" s="24" cm="1">
        <f t="array" ref="AC71">INDEX('msci-indices'!C:C,MATCH($L71,'msci-indices'!$B:$B)-2)</f>
        <v>2198.4432400000001</v>
      </c>
      <c r="AD71" s="24" cm="1">
        <f t="array" ref="AD71">INDEX('msci-indices'!D:D,MATCH($L71,'msci-indices'!$B:$B)-2)</f>
        <v>2149.944184</v>
      </c>
      <c r="AE71" s="24">
        <f t="shared" si="100"/>
        <v>1068325.9830906151</v>
      </c>
      <c r="AF71" s="24" cm="1">
        <f t="array" ref="AF71">INDEX('msci-indices'!C:C,MATCH($L71,'msci-indices'!$B:$B)+1)</f>
        <v>2359.7519419999999</v>
      </c>
      <c r="AG71" s="24" cm="1">
        <f t="array" ref="AG71">INDEX('msci-indices'!D:D,MATCH($L71,'msci-indices'!$B:$B)+1)</f>
        <v>2221.7402550000002</v>
      </c>
      <c r="AH71" s="24">
        <f t="shared" si="77"/>
        <v>667.70373943163452</v>
      </c>
      <c r="AI71" s="24">
        <f t="shared" si="78"/>
        <v>1133232.2960984849</v>
      </c>
      <c r="AJ71" s="24">
        <f t="shared" si="101"/>
        <v>446459.77534693322</v>
      </c>
      <c r="AK71" s="24">
        <f t="shared" si="79"/>
        <v>686772.52075155172</v>
      </c>
      <c r="AL71" s="24">
        <f>AJ71*(_xlfn.XLOOKUP(Q_end,cpi!A:A,cpi!B:B)/BH71)</f>
        <v>486832.92760136578</v>
      </c>
      <c r="AM71" s="24" cm="1">
        <f t="array" ref="AM71">SUMPRODUCT($AA$3:AA71,_xlfn.SORTBY($BH$3:BH71,_xlfn.SEQUENCE(ROWS($BH$3:BH71)),-1)/$BH$3)</f>
        <v>621263.52841571183</v>
      </c>
      <c r="AN71" s="24">
        <f t="shared" si="102"/>
        <v>511968.76768277306</v>
      </c>
      <c r="AO71" s="24">
        <f t="shared" si="80"/>
        <v>0</v>
      </c>
      <c r="AP71" s="24">
        <f t="shared" si="103"/>
        <v>1133232.2960984849</v>
      </c>
      <c r="AQ71" s="24"/>
      <c r="AR71" s="12">
        <f>IF($B$10="3BR_H",
INDEX('ns-combined'!$C:$BH,MATCH($L71,'ns-combined'!$B:$B,0),MATCH(Council_Area,'ns-combined'!$C$1:$BH$1,0))*1000,
INDEX('s-combined'!$C:$BH,MATCH($L71,'s-combined'!$B:$B,0),MATCH(Council_Area,'s-combined'!$C$1:$BH$1,0))*1000)</f>
        <v>1250000</v>
      </c>
      <c r="AS71" s="24">
        <f t="shared" si="107"/>
        <v>79350</v>
      </c>
      <c r="AT71" s="12">
        <v>0</v>
      </c>
      <c r="AU71" s="24">
        <f t="shared" si="81"/>
        <v>25000</v>
      </c>
      <c r="AV71" s="24">
        <f t="shared" si="82"/>
        <v>3593.75</v>
      </c>
      <c r="AW71" s="24">
        <f>SUM($AV$3:AV71)</f>
        <v>156532.25</v>
      </c>
      <c r="AX71" s="24">
        <f t="shared" si="83"/>
        <v>989117.75</v>
      </c>
      <c r="AY71" s="24">
        <f t="shared" si="84"/>
        <v>2745.0000000000005</v>
      </c>
      <c r="AZ71" s="26">
        <f t="shared" si="85"/>
        <v>8.7840000000000019E-3</v>
      </c>
      <c r="BA71" s="26">
        <f t="shared" si="86"/>
        <v>0.35000000000000003</v>
      </c>
      <c r="BB71" s="27">
        <f>IF(MortgageRate="Discounted",_xlfn.XLOOKUP(L71,'mortgage-rates'!$A:$A,'mortgage-rates'!$E:$E)/100,_xlfn.XLOOKUP(L71,'mortgage-rates'!$A:$A,'mortgage-rates'!$D:$D)/100)</f>
        <v>6.4299999999999996E-2</v>
      </c>
      <c r="BC71" s="12">
        <f t="shared" si="104"/>
        <v>172660.35695194814</v>
      </c>
      <c r="BD71" s="12">
        <f t="shared" si="87"/>
        <v>6944.1677405045966</v>
      </c>
      <c r="BE71" s="12">
        <f t="shared" si="105"/>
        <v>2775.5152380025661</v>
      </c>
      <c r="BF71" s="12">
        <f t="shared" si="108"/>
        <v>4168.652502502031</v>
      </c>
      <c r="BG71" s="14">
        <f t="shared" si="88"/>
        <v>9689.1677405045975</v>
      </c>
      <c r="BH71" s="24">
        <f>INDEX(cpi!B:B,MATCH($L71,cpi!A:A))</f>
        <v>132.69999999999999</v>
      </c>
      <c r="BI71" s="24">
        <f t="shared" si="89"/>
        <v>156.85579196217492</v>
      </c>
      <c r="BJ71" s="24">
        <f t="shared" si="90"/>
        <v>291.23097351744474</v>
      </c>
      <c r="BK71" s="24">
        <f t="shared" si="91"/>
        <v>301.55345339164973</v>
      </c>
      <c r="BL71" s="24">
        <f t="shared" si="92"/>
        <v>294.32771747970622</v>
      </c>
      <c r="BM71" s="24">
        <f t="shared" si="93"/>
        <v>672.62191117765406</v>
      </c>
      <c r="BN71" s="24">
        <f t="shared" si="94"/>
        <v>271.73913043478262</v>
      </c>
      <c r="BO71">
        <f t="shared" si="95"/>
        <v>220.62393005113449</v>
      </c>
    </row>
    <row r="72" spans="2:67" x14ac:dyDescent="0.25">
      <c r="L72" s="1">
        <f t="shared" si="106"/>
        <v>45078</v>
      </c>
      <c r="M72" s="12">
        <f t="shared" si="70"/>
        <v>1189566.0382124807</v>
      </c>
      <c r="N72" s="12">
        <f t="shared" si="71"/>
        <v>923366.04555055383</v>
      </c>
      <c r="O72" s="9">
        <f t="shared" si="96"/>
        <v>1.2882930273911102</v>
      </c>
      <c r="P72" s="9">
        <f t="shared" si="72"/>
        <v>0.82141275128261304</v>
      </c>
      <c r="Q72">
        <v>70</v>
      </c>
      <c r="R72">
        <f t="shared" si="73"/>
        <v>91</v>
      </c>
      <c r="S72" s="24"/>
      <c r="T72" s="24">
        <f>IF($B$10="3BR_H",
INDEX('3BR_H-combined'!$C:$BH,MATCH($L72,'3BR_H-combined'!$B:$B,0),MATCH(Council_Area,'3BR_H-combined'!$C$1:$BH$1,0)),
INDEX('2BR_F-combined'!$C:$BH,MATCH($L72,'2BR_F-combined'!$B:$B,0),MATCH(Council_Area,'2BR_F-combined'!$C$1:$BH$1,0)))</f>
        <v>620</v>
      </c>
      <c r="U72" s="24">
        <f t="shared" si="97"/>
        <v>610</v>
      </c>
      <c r="V72" s="24">
        <f t="shared" si="98"/>
        <v>7930</v>
      </c>
      <c r="W72" s="24">
        <f>$B$53/4*BH72/_xlfn.XLOOKUP(Q_end,cpi!A:A,cpi!B:B)</f>
        <v>184.93434692467179</v>
      </c>
      <c r="X72" s="24">
        <f t="shared" si="74"/>
        <v>8114.9343469246714</v>
      </c>
      <c r="Y72" s="24">
        <f t="shared" si="75"/>
        <v>1764.3064297170704</v>
      </c>
      <c r="Z72" s="24">
        <f t="shared" si="99"/>
        <v>564.57805750946238</v>
      </c>
      <c r="AA72" s="24">
        <f t="shared" si="76"/>
        <v>2328.8844872265327</v>
      </c>
      <c r="AB72" s="24">
        <f>AA72*(_xlfn.XLOOKUP(Q_end,cpi!A:A,cpi!B:B)/BH72)</f>
        <v>2518.6067660813096</v>
      </c>
      <c r="AC72" s="24" cm="1">
        <f t="array" ref="AC72">INDEX('msci-indices'!C:C,MATCH($L72,'msci-indices'!$B:$B)-2)</f>
        <v>2359.7519419999999</v>
      </c>
      <c r="AD72" s="24" cm="1">
        <f t="array" ref="AD72">INDEX('msci-indices'!D:D,MATCH($L72,'msci-indices'!$B:$B)-2)</f>
        <v>2221.7402550000002</v>
      </c>
      <c r="AE72" s="24">
        <f t="shared" si="100"/>
        <v>1135561.1805857115</v>
      </c>
      <c r="AF72" s="24" cm="1">
        <f t="array" ref="AF72">INDEX('msci-indices'!C:C,MATCH($L72,'msci-indices'!$B:$B)+1)</f>
        <v>2511.4075790000002</v>
      </c>
      <c r="AG72" s="24" cm="1">
        <f t="array" ref="AG72">INDEX('msci-indices'!D:D,MATCH($L72,'msci-indices'!$B:$B)+1)</f>
        <v>2245.4056799999998</v>
      </c>
      <c r="AH72" s="24">
        <f t="shared" si="77"/>
        <v>709.72573786606972</v>
      </c>
      <c r="AI72" s="24">
        <f t="shared" si="78"/>
        <v>1189566.0382124807</v>
      </c>
      <c r="AJ72" s="24">
        <f t="shared" si="101"/>
        <v>448788.65983415977</v>
      </c>
      <c r="AK72" s="24">
        <f t="shared" si="79"/>
        <v>740777.37837832095</v>
      </c>
      <c r="AL72" s="24">
        <f>AJ72*(_xlfn.XLOOKUP(Q_end,cpi!A:A,cpi!B:B)/BH72)</f>
        <v>485349.17098656885</v>
      </c>
      <c r="AM72" s="24" cm="1">
        <f t="array" ref="AM72">SUMPRODUCT($AA$3:AA72,_xlfn.SORTBY($BH$3:BH72,_xlfn.SEQUENCE(ROWS($BH$3:BH72)),-1)/$BH$3)</f>
        <v>628429.76375973201</v>
      </c>
      <c r="AN72" s="24">
        <f t="shared" si="102"/>
        <v>561136.27445274871</v>
      </c>
      <c r="AO72" s="24">
        <f t="shared" si="80"/>
        <v>0</v>
      </c>
      <c r="AP72" s="24">
        <f t="shared" si="103"/>
        <v>1189566.0382124807</v>
      </c>
      <c r="AQ72" s="24"/>
      <c r="AR72" s="12">
        <f>IF($B$10="3BR_H",
INDEX('ns-combined'!$C:$BH,MATCH($L72,'ns-combined'!$B:$B,0),MATCH(Council_Area,'ns-combined'!$C$1:$BH$1,0))*1000,
INDEX('s-combined'!$C:$BH,MATCH($L72,'s-combined'!$B:$B,0),MATCH(Council_Area,'s-combined'!$C$1:$BH$1,0))*1000)</f>
        <v>1360000</v>
      </c>
      <c r="AS72" s="24">
        <f t="shared" si="107"/>
        <v>80500</v>
      </c>
      <c r="AT72" s="12">
        <v>0</v>
      </c>
      <c r="AU72" s="24">
        <f t="shared" si="81"/>
        <v>27200</v>
      </c>
      <c r="AV72" s="24">
        <f t="shared" si="82"/>
        <v>3910</v>
      </c>
      <c r="AW72" s="24">
        <f>SUM($AV$3:AV72)</f>
        <v>160442.25</v>
      </c>
      <c r="AX72" s="24">
        <f t="shared" si="83"/>
        <v>1091857.75</v>
      </c>
      <c r="AY72" s="24">
        <f t="shared" si="84"/>
        <v>2775.5000000000005</v>
      </c>
      <c r="AZ72" s="26">
        <f t="shared" si="85"/>
        <v>8.1632352941176482E-3</v>
      </c>
      <c r="BA72" s="26">
        <f t="shared" si="86"/>
        <v>0.35000000000000003</v>
      </c>
      <c r="BB72" s="27">
        <f>IF(MortgageRate="Discounted",_xlfn.XLOOKUP(L72,'mortgage-rates'!$A:$A,'mortgage-rates'!$E:$E)/100,_xlfn.XLOOKUP(L72,'mortgage-rates'!$A:$A,'mortgage-rates'!$D:$D)/100)</f>
        <v>7.0599999999999996E-2</v>
      </c>
      <c r="BC72" s="12">
        <f t="shared" si="104"/>
        <v>168491.70444944612</v>
      </c>
      <c r="BD72" s="12">
        <f t="shared" si="87"/>
        <v>7103.7407766417409</v>
      </c>
      <c r="BE72" s="12">
        <f t="shared" si="105"/>
        <v>2973.878583532724</v>
      </c>
      <c r="BF72" s="12">
        <f t="shared" si="108"/>
        <v>4129.8621931090165</v>
      </c>
      <c r="BG72" s="14">
        <f t="shared" si="88"/>
        <v>9879.2407766417418</v>
      </c>
      <c r="BH72" s="24">
        <f>INDEX(cpi!B:B,MATCH($L72,cpi!A:A))</f>
        <v>133.80000000000001</v>
      </c>
      <c r="BI72" s="24">
        <f t="shared" si="89"/>
        <v>158.15602836879435</v>
      </c>
      <c r="BJ72" s="24">
        <f t="shared" si="90"/>
        <v>312.59977188601005</v>
      </c>
      <c r="BK72" s="24">
        <f t="shared" si="91"/>
        <v>311.62364652090639</v>
      </c>
      <c r="BL72" s="24">
        <f t="shared" si="92"/>
        <v>312.30693427647896</v>
      </c>
      <c r="BM72" s="24">
        <f t="shared" si="93"/>
        <v>714.95343521934058</v>
      </c>
      <c r="BN72" s="24">
        <f t="shared" si="94"/>
        <v>295.6521739130435</v>
      </c>
      <c r="BO72">
        <f t="shared" si="95"/>
        <v>243.54021334850083</v>
      </c>
    </row>
    <row r="73" spans="2:67" x14ac:dyDescent="0.25">
      <c r="L73" s="1">
        <f t="shared" si="106"/>
        <v>45170</v>
      </c>
      <c r="M73" s="12">
        <f t="shared" si="70"/>
        <v>1159760.1837772478</v>
      </c>
      <c r="N73" s="12">
        <f t="shared" si="71"/>
        <v>941978.40774366283</v>
      </c>
      <c r="O73" s="9">
        <f t="shared" si="96"/>
        <v>1.231196144458599</v>
      </c>
      <c r="P73" s="9">
        <f t="shared" si="72"/>
        <v>0.82787354654269951</v>
      </c>
      <c r="Q73">
        <v>71</v>
      </c>
      <c r="R73">
        <f t="shared" si="73"/>
        <v>92</v>
      </c>
      <c r="S73" s="24"/>
      <c r="T73" s="24">
        <f>IF($B$10="3BR_H",
INDEX('3BR_H-combined'!$C:$BH,MATCH($L73,'3BR_H-combined'!$B:$B,0),MATCH(Council_Area,'3BR_H-combined'!$C$1:$BH$1,0)),
INDEX('2BR_F-combined'!$C:$BH,MATCH($L73,'2BR_F-combined'!$B:$B,0),MATCH(Council_Area,'2BR_F-combined'!$C$1:$BH$1,0)))</f>
        <v>650</v>
      </c>
      <c r="U73" s="24">
        <f t="shared" si="97"/>
        <v>610</v>
      </c>
      <c r="V73" s="24">
        <f t="shared" si="98"/>
        <v>8017.1428571428569</v>
      </c>
      <c r="W73" s="24">
        <f>$B$53/4*BH73/_xlfn.XLOOKUP(Q_end,cpi!A:A,cpi!B:B)</f>
        <v>186.86938493434693</v>
      </c>
      <c r="X73" s="24">
        <f t="shared" si="74"/>
        <v>8204.0122420772041</v>
      </c>
      <c r="Y73" s="24">
        <f t="shared" si="75"/>
        <v>1705.7285345645378</v>
      </c>
      <c r="Z73" s="24">
        <f t="shared" si="99"/>
        <v>545.83313106065202</v>
      </c>
      <c r="AA73" s="24">
        <f t="shared" si="76"/>
        <v>2251.5616656251896</v>
      </c>
      <c r="AB73" s="24">
        <f>AA73*(_xlfn.XLOOKUP(Q_end,cpi!A:A,cpi!B:B)/BH73)</f>
        <v>2409.7705104731135</v>
      </c>
      <c r="AC73" s="24" cm="1">
        <f t="array" ref="AC73">INDEX('msci-indices'!C:C,MATCH($L73,'msci-indices'!$B:$B)-2)</f>
        <v>2511.4075790000002</v>
      </c>
      <c r="AD73" s="24" cm="1">
        <f t="array" ref="AD73">INDEX('msci-indices'!D:D,MATCH($L73,'msci-indices'!$B:$B)-2)</f>
        <v>2245.4056799999998</v>
      </c>
      <c r="AE73" s="24">
        <f t="shared" si="100"/>
        <v>1191817.5998781058</v>
      </c>
      <c r="AF73" s="24" cm="1">
        <f t="array" ref="AF73">INDEX('msci-indices'!C:C,MATCH($L73,'msci-indices'!$B:$B)+1)</f>
        <v>2421.9848459999998</v>
      </c>
      <c r="AG73" s="24" cm="1">
        <f t="array" ref="AG73">INDEX('msci-indices'!D:D,MATCH($L73,'msci-indices'!$B:$B)+1)</f>
        <v>2235.3141679999999</v>
      </c>
      <c r="AH73" s="24">
        <f t="shared" si="77"/>
        <v>744.88599992381614</v>
      </c>
      <c r="AI73" s="24">
        <f t="shared" si="78"/>
        <v>1159760.1837772478</v>
      </c>
      <c r="AJ73" s="24">
        <f t="shared" si="101"/>
        <v>451040.22149978497</v>
      </c>
      <c r="AK73" s="24">
        <f t="shared" si="79"/>
        <v>708719.96227746282</v>
      </c>
      <c r="AL73" s="24">
        <f>AJ73*(_xlfn.XLOOKUP(Q_end,cpi!A:A,cpi!B:B)/BH73)</f>
        <v>482733.13647203322</v>
      </c>
      <c r="AM73" s="24" cm="1">
        <f t="array" ref="AM73">SUMPRODUCT($AA$3:AA73,_xlfn.SORTBY($BH$3:BH73,_xlfn.SEQUENCE(ROWS($BH$3:BH73)),-1)/$BH$3)</f>
        <v>636133.92620495288</v>
      </c>
      <c r="AN73" s="24">
        <f t="shared" si="102"/>
        <v>523626.25757229491</v>
      </c>
      <c r="AO73" s="24">
        <f t="shared" si="80"/>
        <v>0</v>
      </c>
      <c r="AP73" s="24">
        <f t="shared" si="103"/>
        <v>1159760.1837772478</v>
      </c>
      <c r="AQ73" s="24"/>
      <c r="AR73" s="12">
        <f>IF($B$10="3BR_H",
INDEX('ns-combined'!$C:$BH,MATCH($L73,'ns-combined'!$B:$B,0),MATCH(Council_Area,'ns-combined'!$C$1:$BH$1,0))*1000,
INDEX('s-combined'!$C:$BH,MATCH($L73,'s-combined'!$B:$B,0),MATCH(Council_Area,'s-combined'!$C$1:$BH$1,0))*1000)</f>
        <v>1380000</v>
      </c>
      <c r="AS73" s="24">
        <f t="shared" si="107"/>
        <v>81650</v>
      </c>
      <c r="AT73" s="12">
        <v>0</v>
      </c>
      <c r="AU73" s="24">
        <f t="shared" si="81"/>
        <v>27600</v>
      </c>
      <c r="AV73" s="24">
        <f t="shared" si="82"/>
        <v>3967.5</v>
      </c>
      <c r="AW73" s="24">
        <f>SUM($AV$3:AV73)</f>
        <v>164409.75</v>
      </c>
      <c r="AX73" s="24">
        <f t="shared" si="83"/>
        <v>1106340.25</v>
      </c>
      <c r="AY73" s="24">
        <f t="shared" si="84"/>
        <v>2806</v>
      </c>
      <c r="AZ73" s="26">
        <f t="shared" si="85"/>
        <v>8.1333333333333327E-3</v>
      </c>
      <c r="BA73" s="26">
        <f t="shared" si="86"/>
        <v>0.35000000000000003</v>
      </c>
      <c r="BB73" s="27">
        <f>IF(MortgageRate="Discounted",_xlfn.XLOOKUP(L73,'mortgage-rates'!$A:$A,'mortgage-rates'!$E:$E)/100,_xlfn.XLOOKUP(L73,'mortgage-rates'!$A:$A,'mortgage-rates'!$D:$D)/100)</f>
        <v>7.0599999999999996E-2</v>
      </c>
      <c r="BC73" s="12">
        <f t="shared" si="104"/>
        <v>164361.84225633711</v>
      </c>
      <c r="BD73" s="12">
        <f t="shared" si="87"/>
        <v>7103.7407766417418</v>
      </c>
      <c r="BE73" s="12">
        <f t="shared" si="105"/>
        <v>2900.9865158243497</v>
      </c>
      <c r="BF73" s="12">
        <f t="shared" si="108"/>
        <v>4202.7542608173917</v>
      </c>
      <c r="BG73" s="14">
        <f t="shared" si="88"/>
        <v>9909.7407766417418</v>
      </c>
      <c r="BH73" s="24">
        <f>INDEX(cpi!B:B,MATCH($L73,cpi!A:A))</f>
        <v>135.19999999999999</v>
      </c>
      <c r="BI73" s="24">
        <f t="shared" si="89"/>
        <v>159.81087470449171</v>
      </c>
      <c r="BJ73" s="24">
        <f t="shared" si="90"/>
        <v>332.68981469417383</v>
      </c>
      <c r="BK73" s="24">
        <f t="shared" si="91"/>
        <v>314.94298415201342</v>
      </c>
      <c r="BL73" s="24">
        <f t="shared" si="92"/>
        <v>327.36576553152571</v>
      </c>
      <c r="BM73" s="24">
        <f t="shared" si="93"/>
        <v>750.37268071124038</v>
      </c>
      <c r="BN73" s="24">
        <f t="shared" si="94"/>
        <v>300</v>
      </c>
      <c r="BO73">
        <f t="shared" si="95"/>
        <v>246.770552776709</v>
      </c>
    </row>
    <row r="74" spans="2:67" x14ac:dyDescent="0.25">
      <c r="L74" s="1">
        <f t="shared" si="106"/>
        <v>45261</v>
      </c>
      <c r="M74" s="12">
        <f t="shared" si="70"/>
        <v>1285042.3058038729</v>
      </c>
      <c r="N74" s="12">
        <f t="shared" si="71"/>
        <v>980148.66200448025</v>
      </c>
      <c r="O74" s="9">
        <f t="shared" si="96"/>
        <v>1.3110687751956538</v>
      </c>
      <c r="P74" s="9">
        <f t="shared" si="72"/>
        <v>0.82302182828026882</v>
      </c>
      <c r="Q74">
        <v>72</v>
      </c>
      <c r="R74">
        <f t="shared" si="73"/>
        <v>92</v>
      </c>
      <c r="S74" s="24"/>
      <c r="T74" s="24">
        <f>IF($B$10="3BR_H",
INDEX('3BR_H-combined'!$C:$BH,MATCH($L74,'3BR_H-combined'!$B:$B,0),MATCH(Council_Area,'3BR_H-combined'!$C$1:$BH$1,0)),
INDEX('2BR_F-combined'!$C:$BH,MATCH($L74,'2BR_F-combined'!$B:$B,0),MATCH(Council_Area,'2BR_F-combined'!$C$1:$BH$1,0)))</f>
        <v>650</v>
      </c>
      <c r="U74" s="24">
        <f t="shared" si="97"/>
        <v>610</v>
      </c>
      <c r="V74" s="24">
        <f t="shared" si="98"/>
        <v>8017.1428571428569</v>
      </c>
      <c r="W74" s="24">
        <f>$B$53/4*BH74/_xlfn.XLOOKUP(Q_end,cpi!A:A,cpi!B:B)</f>
        <v>188.38977194194891</v>
      </c>
      <c r="X74" s="24">
        <f t="shared" si="74"/>
        <v>8205.5326290848061</v>
      </c>
      <c r="Y74" s="24">
        <f t="shared" si="75"/>
        <v>1764.4734474618344</v>
      </c>
      <c r="Z74" s="24">
        <f t="shared" si="99"/>
        <v>564.63150318778696</v>
      </c>
      <c r="AA74" s="24">
        <f t="shared" si="76"/>
        <v>2329.1049506496215</v>
      </c>
      <c r="AB74" s="24">
        <f>AA74*(_xlfn.XLOOKUP(Q_end,cpi!A:A,cpi!B:B)/BH74)</f>
        <v>2472.6448008730754</v>
      </c>
      <c r="AC74" s="24" cm="1">
        <f t="array" ref="AC74">INDEX('msci-indices'!C:C,MATCH($L74,'msci-indices'!$B:$B)-2)</f>
        <v>2421.9848459999998</v>
      </c>
      <c r="AD74" s="24" cm="1">
        <f t="array" ref="AD74">INDEX('msci-indices'!D:D,MATCH($L74,'msci-indices'!$B:$B)-2)</f>
        <v>2235.3141679999999</v>
      </c>
      <c r="AE74" s="24">
        <f t="shared" si="100"/>
        <v>1162089.2887278975</v>
      </c>
      <c r="AF74" s="24" cm="1">
        <f t="array" ref="AF74">INDEX('msci-indices'!C:C,MATCH($L74,'msci-indices'!$B:$B)+1)</f>
        <v>2701.360248</v>
      </c>
      <c r="AG74" s="24" cm="1">
        <f t="array" ref="AG74">INDEX('msci-indices'!D:D,MATCH($L74,'msci-indices'!$B:$B)+1)</f>
        <v>2426.6837019999998</v>
      </c>
      <c r="AH74" s="24">
        <f t="shared" si="77"/>
        <v>726.30580545493592</v>
      </c>
      <c r="AI74" s="24">
        <f t="shared" si="78"/>
        <v>1285042.3058038729</v>
      </c>
      <c r="AJ74" s="24">
        <f t="shared" si="101"/>
        <v>453369.32645043457</v>
      </c>
      <c r="AK74" s="24">
        <f t="shared" si="79"/>
        <v>831672.97935343836</v>
      </c>
      <c r="AL74" s="24">
        <f>AJ74*(_xlfn.XLOOKUP(Q_end,cpi!A:A,cpi!B:B)/BH74)</f>
        <v>481309.91590152512</v>
      </c>
      <c r="AM74" s="24" cm="1">
        <f t="array" ref="AM74">SUMPRODUCT($AA$3:AA74,_xlfn.SORTBY($BH$3:BH74,_xlfn.SEQUENCE(ROWS($BH$3:BH74)),-1)/$BH$3)</f>
        <v>643445.94152470166</v>
      </c>
      <c r="AN74" s="24">
        <f t="shared" si="102"/>
        <v>641596.36427917122</v>
      </c>
      <c r="AO74" s="24">
        <f t="shared" si="80"/>
        <v>0</v>
      </c>
      <c r="AP74" s="24">
        <f t="shared" si="103"/>
        <v>1285042.3058038729</v>
      </c>
      <c r="AQ74" s="24"/>
      <c r="AR74" s="12">
        <f>IF($B$10="3BR_H",
INDEX('ns-combined'!$C:$BH,MATCH($L74,'ns-combined'!$B:$B,0),MATCH(Council_Area,'ns-combined'!$C$1:$BH$1,0))*1000,
INDEX('s-combined'!$C:$BH,MATCH($L74,'s-combined'!$B:$B,0),MATCH(Council_Area,'s-combined'!$C$1:$BH$1,0))*1000)</f>
        <v>1420000</v>
      </c>
      <c r="AS74" s="24">
        <f t="shared" si="107"/>
        <v>82800</v>
      </c>
      <c r="AT74" s="12">
        <v>0</v>
      </c>
      <c r="AU74" s="24">
        <f t="shared" si="81"/>
        <v>28400</v>
      </c>
      <c r="AV74" s="24">
        <f t="shared" si="82"/>
        <v>4082.5</v>
      </c>
      <c r="AW74" s="24">
        <f>SUM($AV$3:AV74)</f>
        <v>168492.25</v>
      </c>
      <c r="AX74" s="24">
        <f t="shared" si="83"/>
        <v>1140307.75</v>
      </c>
      <c r="AY74" s="24">
        <f t="shared" si="84"/>
        <v>2806</v>
      </c>
      <c r="AZ74" s="26">
        <f t="shared" si="85"/>
        <v>7.9042253521126767E-3</v>
      </c>
      <c r="BA74" s="26">
        <f t="shared" si="86"/>
        <v>0.35000000000000003</v>
      </c>
      <c r="BB74" s="27">
        <f>IF(MortgageRate="Discounted",_xlfn.XLOOKUP(L74,'mortgage-rates'!$A:$A,'mortgage-rates'!$E:$E)/100,_xlfn.XLOOKUP(L74,'mortgage-rates'!$A:$A,'mortgage-rates'!$D:$D)/100)</f>
        <v>7.3099999999999998E-2</v>
      </c>
      <c r="BC74" s="12">
        <f t="shared" si="104"/>
        <v>160159.08799551972</v>
      </c>
      <c r="BD74" s="12">
        <f t="shared" si="87"/>
        <v>7164.0060765466396</v>
      </c>
      <c r="BE74" s="12">
        <f t="shared" si="105"/>
        <v>2926.9073331181226</v>
      </c>
      <c r="BF74" s="12">
        <f t="shared" si="108"/>
        <v>4237.0987434285171</v>
      </c>
      <c r="BG74" s="14">
        <f t="shared" si="88"/>
        <v>9970.0060765466405</v>
      </c>
      <c r="BH74" s="24">
        <f>INDEX(cpi!B:B,MATCH($L74,cpi!A:A))</f>
        <v>136.30000000000001</v>
      </c>
      <c r="BI74" s="24">
        <f t="shared" si="89"/>
        <v>161.11111111111114</v>
      </c>
      <c r="BJ74" s="24">
        <f t="shared" si="90"/>
        <v>320.84385519322234</v>
      </c>
      <c r="BK74" s="24">
        <f t="shared" si="91"/>
        <v>313.52753796685647</v>
      </c>
      <c r="BL74" s="24">
        <f t="shared" si="92"/>
        <v>318.64896002531259</v>
      </c>
      <c r="BM74" s="24">
        <f t="shared" si="93"/>
        <v>731.6556282586829</v>
      </c>
      <c r="BN74" s="24">
        <f t="shared" si="94"/>
        <v>308.69565217391306</v>
      </c>
      <c r="BO74">
        <f t="shared" si="95"/>
        <v>254.34704540765401</v>
      </c>
    </row>
    <row r="75" spans="2:67" x14ac:dyDescent="0.25">
      <c r="L75" s="1">
        <f t="shared" si="106"/>
        <v>45352</v>
      </c>
      <c r="M75" s="12">
        <f t="shared" si="70"/>
        <v>1383203.4299793227</v>
      </c>
      <c r="N75" s="12">
        <f t="shared" si="71"/>
        <v>959610.76074790885</v>
      </c>
      <c r="O75" s="9">
        <f t="shared" si="96"/>
        <v>1.4414213414002057</v>
      </c>
      <c r="P75" s="9">
        <f t="shared" si="72"/>
        <v>0.88029274973779381</v>
      </c>
      <c r="Q75">
        <v>73</v>
      </c>
      <c r="R75">
        <f t="shared" si="73"/>
        <v>91</v>
      </c>
      <c r="S75" s="24"/>
      <c r="T75" s="24">
        <f>IF($B$10="3BR_H",
INDEX('3BR_H-combined'!$C:$BH,MATCH($L75,'3BR_H-combined'!$B:$B,0),MATCH(Council_Area,'3BR_H-combined'!$C$1:$BH$1,0)),
INDEX('2BR_F-combined'!$C:$BH,MATCH($L75,'2BR_F-combined'!$B:$B,0),MATCH(Council_Area,'2BR_F-combined'!$C$1:$BH$1,0)))</f>
        <v>680</v>
      </c>
      <c r="U75" s="24">
        <f t="shared" si="97"/>
        <v>680</v>
      </c>
      <c r="V75" s="24">
        <f t="shared" si="98"/>
        <v>8840</v>
      </c>
      <c r="W75" s="24">
        <f>$B$53/4*BH75/_xlfn.XLOOKUP(Q_end,cpi!A:A,cpi!B:B)</f>
        <v>190.0483759502419</v>
      </c>
      <c r="X75" s="24">
        <f t="shared" si="74"/>
        <v>9030.0483759502422</v>
      </c>
      <c r="Y75" s="24">
        <f t="shared" si="75"/>
        <v>1227.9577005964002</v>
      </c>
      <c r="Z75" s="24">
        <f t="shared" si="99"/>
        <v>392.94646419084802</v>
      </c>
      <c r="AA75" s="24">
        <f t="shared" si="76"/>
        <v>1620.9041647872482</v>
      </c>
      <c r="AB75" s="24">
        <f>AA75*(_xlfn.XLOOKUP(Q_end,cpi!A:A,cpi!B:B)/BH75)</f>
        <v>1705.7806010524714</v>
      </c>
      <c r="AC75" s="24" cm="1">
        <f t="array" ref="AC75">INDEX('msci-indices'!C:C,MATCH($L75,'msci-indices'!$B:$B)-2)</f>
        <v>2701.360248</v>
      </c>
      <c r="AD75" s="24" cm="1">
        <f t="array" ref="AD75">INDEX('msci-indices'!D:D,MATCH($L75,'msci-indices'!$B:$B)-2)</f>
        <v>2426.6837019999998</v>
      </c>
      <c r="AE75" s="24">
        <f t="shared" si="100"/>
        <v>1286663.20996866</v>
      </c>
      <c r="AF75" s="24" cm="1">
        <f t="array" ref="AF75">INDEX('msci-indices'!C:C,MATCH($L75,'msci-indices'!$B:$B)+1)</f>
        <v>2928.0916900000002</v>
      </c>
      <c r="AG75" s="24" cm="1">
        <f t="array" ref="AG75">INDEX('msci-indices'!D:D,MATCH($L75,'msci-indices'!$B:$B)+1)</f>
        <v>2563.417899</v>
      </c>
      <c r="AH75" s="24">
        <f t="shared" si="77"/>
        <v>804.16450623041248</v>
      </c>
      <c r="AI75" s="24">
        <f t="shared" si="78"/>
        <v>1383203.4299793227</v>
      </c>
      <c r="AJ75" s="24">
        <f t="shared" si="101"/>
        <v>454990.23061522184</v>
      </c>
      <c r="AK75" s="24">
        <f t="shared" si="79"/>
        <v>928213.19936410082</v>
      </c>
      <c r="AL75" s="24">
        <f>AJ75*(_xlfn.XLOOKUP(Q_end,cpi!A:A,cpi!B:B)/BH75)</f>
        <v>478815.17360016436</v>
      </c>
      <c r="AM75" s="24" cm="1">
        <f t="array" ref="AM75">SUMPRODUCT($AA$3:AA75,_xlfn.SORTBY($BH$3:BH75,_xlfn.SEQUENCE(ROWS($BH$3:BH75)),-1)/$BH$3)</f>
        <v>650290.03968194628</v>
      </c>
      <c r="AN75" s="24">
        <f t="shared" si="102"/>
        <v>732913.39029737643</v>
      </c>
      <c r="AO75" s="24">
        <f t="shared" si="80"/>
        <v>0</v>
      </c>
      <c r="AP75" s="24">
        <f t="shared" si="103"/>
        <v>1383203.4299793227</v>
      </c>
      <c r="AQ75" s="24"/>
      <c r="AR75" s="12">
        <f>IF($B$10="3BR_H",
INDEX('ns-combined'!$C:$BH,MATCH($L75,'ns-combined'!$B:$B,0),MATCH(Council_Area,'ns-combined'!$C$1:$BH$1,0))*1000,
INDEX('s-combined'!$C:$BH,MATCH($L75,'s-combined'!$B:$B,0),MATCH(Council_Area,'s-combined'!$C$1:$BH$1,0))*1000)</f>
        <v>1400000</v>
      </c>
      <c r="AS75" s="24">
        <f t="shared" si="107"/>
        <v>83950</v>
      </c>
      <c r="AT75" s="12">
        <v>0</v>
      </c>
      <c r="AU75" s="24">
        <f t="shared" si="81"/>
        <v>28000</v>
      </c>
      <c r="AV75" s="24">
        <f t="shared" si="82"/>
        <v>4025</v>
      </c>
      <c r="AW75" s="24">
        <f>SUM($AV$3:AV75)</f>
        <v>172517.25</v>
      </c>
      <c r="AX75" s="24">
        <f t="shared" si="83"/>
        <v>1115532.75</v>
      </c>
      <c r="AY75" s="24">
        <f t="shared" si="84"/>
        <v>3094.0000000000005</v>
      </c>
      <c r="AZ75" s="26">
        <f t="shared" si="85"/>
        <v>8.8400000000000006E-3</v>
      </c>
      <c r="BA75" s="26">
        <f t="shared" si="86"/>
        <v>0.35000000000000003</v>
      </c>
      <c r="BB75" s="27">
        <f>IF(MortgageRate="Discounted",_xlfn.XLOOKUP(L75,'mortgage-rates'!$A:$A,'mortgage-rates'!$E:$E)/100,_xlfn.XLOOKUP(L75,'mortgage-rates'!$A:$A,'mortgage-rates'!$D:$D)/100)</f>
        <v>7.3099999999999998E-2</v>
      </c>
      <c r="BC75" s="12">
        <f t="shared" si="104"/>
        <v>155921.98925209121</v>
      </c>
      <c r="BD75" s="12">
        <f t="shared" si="87"/>
        <v>7164.0060765466415</v>
      </c>
      <c r="BE75" s="12">
        <f t="shared" si="105"/>
        <v>2849.4743535819666</v>
      </c>
      <c r="BF75" s="12">
        <f t="shared" si="108"/>
        <v>4314.5317229646753</v>
      </c>
      <c r="BG75" s="14">
        <f t="shared" si="88"/>
        <v>10258.006076546642</v>
      </c>
      <c r="BH75" s="24">
        <f>INDEX(cpi!B:B,MATCH($L75,cpi!A:A))</f>
        <v>137.5</v>
      </c>
      <c r="BI75" s="24">
        <f t="shared" si="89"/>
        <v>162.52955082742318</v>
      </c>
      <c r="BJ75" s="24">
        <f t="shared" si="90"/>
        <v>357.853121032302</v>
      </c>
      <c r="BK75" s="24">
        <f t="shared" si="91"/>
        <v>340.36923194250375</v>
      </c>
      <c r="BL75" s="24">
        <f t="shared" si="92"/>
        <v>352.60795430536251</v>
      </c>
      <c r="BM75" s="24">
        <f t="shared" si="93"/>
        <v>810.08782059893895</v>
      </c>
      <c r="BN75" s="24">
        <f t="shared" si="94"/>
        <v>304.3478260869565</v>
      </c>
      <c r="BO75">
        <f t="shared" si="95"/>
        <v>248.82095120196732</v>
      </c>
    </row>
    <row r="76" spans="2:67" x14ac:dyDescent="0.25">
      <c r="B76" s="9"/>
      <c r="L76" s="1">
        <f t="shared" si="106"/>
        <v>45444</v>
      </c>
      <c r="M76" s="12">
        <f t="shared" si="70"/>
        <v>1399155.6108212229</v>
      </c>
      <c r="N76" s="12">
        <f t="shared" si="71"/>
        <v>1017377.7924708734</v>
      </c>
      <c r="O76" s="9">
        <f t="shared" si="96"/>
        <v>1.3752566855456296</v>
      </c>
      <c r="P76" s="9">
        <f t="shared" si="72"/>
        <v>0.88419257398319551</v>
      </c>
      <c r="Q76">
        <v>74</v>
      </c>
      <c r="R76">
        <f t="shared" si="73"/>
        <v>91</v>
      </c>
      <c r="S76" s="24"/>
      <c r="T76" s="24">
        <f>IF($B$10="3BR_H",
INDEX('3BR_H-combined'!$C:$BH,MATCH($L76,'3BR_H-combined'!$B:$B,0),MATCH(Council_Area,'3BR_H-combined'!$C$1:$BH$1,0)),
INDEX('2BR_F-combined'!$C:$BH,MATCH($L76,'2BR_F-combined'!$B:$B,0),MATCH(Council_Area,'2BR_F-combined'!$C$1:$BH$1,0)))</f>
        <v>680</v>
      </c>
      <c r="U76" s="24">
        <f t="shared" si="97"/>
        <v>680</v>
      </c>
      <c r="V76" s="24">
        <f t="shared" si="98"/>
        <v>8840</v>
      </c>
      <c r="W76" s="24">
        <f>$B$53/4*BH76/_xlfn.XLOOKUP(Q_end,cpi!A:A,cpi!B:B)</f>
        <v>191.98341395991707</v>
      </c>
      <c r="X76" s="24">
        <f t="shared" si="74"/>
        <v>9031.983413959917</v>
      </c>
      <c r="Y76" s="24">
        <f t="shared" si="75"/>
        <v>1182.9671293043994</v>
      </c>
      <c r="Z76" s="24">
        <f t="shared" si="99"/>
        <v>378.54948137740774</v>
      </c>
      <c r="AA76" s="24">
        <f t="shared" si="76"/>
        <v>1561.5166106818072</v>
      </c>
      <c r="AB76" s="24">
        <f>AA76*(_xlfn.XLOOKUP(Q_end,cpi!A:A,cpi!B:B)/BH76)</f>
        <v>1626.7203280464901</v>
      </c>
      <c r="AC76" s="24" cm="1">
        <f t="array" ref="AC76">INDEX('msci-indices'!C:C,MATCH($L76,'msci-indices'!$B:$B)-2)</f>
        <v>2928.0916900000002</v>
      </c>
      <c r="AD76" s="24" cm="1">
        <f t="array" ref="AD76">INDEX('msci-indices'!D:D,MATCH($L76,'msci-indices'!$B:$B)-2)</f>
        <v>2563.417899</v>
      </c>
      <c r="AE76" s="24">
        <f t="shared" si="100"/>
        <v>1384764.9465900045</v>
      </c>
      <c r="AF76" s="24" cm="1">
        <f t="array" ref="AF76">INDEX('msci-indices'!C:C,MATCH($L76,'msci-indices'!$B:$B)+1)</f>
        <v>2988.3970690000001</v>
      </c>
      <c r="AG76" s="24" cm="1">
        <f t="array" ref="AG76">INDEX('msci-indices'!D:D,MATCH($L76,'msci-indices'!$B:$B)+1)</f>
        <v>2534.3685369999998</v>
      </c>
      <c r="AH76" s="24">
        <f t="shared" si="77"/>
        <v>865.47809161875284</v>
      </c>
      <c r="AI76" s="24">
        <f t="shared" si="78"/>
        <v>1399155.6108212229</v>
      </c>
      <c r="AJ76" s="24">
        <f t="shared" si="101"/>
        <v>456551.74722590367</v>
      </c>
      <c r="AK76" s="24">
        <f t="shared" si="79"/>
        <v>942603.86359531921</v>
      </c>
      <c r="AL76" s="24">
        <f>AJ76*(_xlfn.XLOOKUP(Q_end,cpi!A:A,cpi!B:B)/BH76)</f>
        <v>475615.82306399033</v>
      </c>
      <c r="AM76" s="24" cm="1">
        <f t="array" ref="AM76">SUMPRODUCT($AA$3:AA76,_xlfn.SORTBY($BH$3:BH76,_xlfn.SEQUENCE(ROWS($BH$3:BH76)),-1)/$BH$3)</f>
        <v>657522.87169877614</v>
      </c>
      <c r="AN76" s="24">
        <f t="shared" si="102"/>
        <v>741632.73912244674</v>
      </c>
      <c r="AO76" s="24">
        <f t="shared" si="80"/>
        <v>0</v>
      </c>
      <c r="AP76" s="24">
        <f t="shared" si="103"/>
        <v>1399155.6108212229</v>
      </c>
      <c r="AQ76" s="24"/>
      <c r="AR76" s="12">
        <f>IF($B$10="3BR_H",
INDEX('ns-combined'!$C:$BH,MATCH($L76,'ns-combined'!$B:$B,0),MATCH(Council_Area,'ns-combined'!$C$1:$BH$1,0))*1000,
INDEX('s-combined'!$C:$BH,MATCH($L76,'s-combined'!$B:$B,0),MATCH(Council_Area,'s-combined'!$C$1:$BH$1,0))*1000)</f>
        <v>1460000</v>
      </c>
      <c r="AS76" s="24">
        <f t="shared" si="107"/>
        <v>85100</v>
      </c>
      <c r="AT76" s="12">
        <v>0</v>
      </c>
      <c r="AU76" s="24">
        <f t="shared" si="81"/>
        <v>29200</v>
      </c>
      <c r="AV76" s="24">
        <f t="shared" si="82"/>
        <v>4197.5</v>
      </c>
      <c r="AW76" s="24">
        <f>SUM($AV$3:AV76)</f>
        <v>176714.75</v>
      </c>
      <c r="AX76" s="24">
        <f t="shared" si="83"/>
        <v>1168985.25</v>
      </c>
      <c r="AY76" s="24">
        <f t="shared" si="84"/>
        <v>3094.0000000000005</v>
      </c>
      <c r="AZ76" s="26">
        <f t="shared" si="85"/>
        <v>8.4767123287671237E-3</v>
      </c>
      <c r="BA76" s="26">
        <f t="shared" si="86"/>
        <v>0.35000000000000003</v>
      </c>
      <c r="BB76" s="27">
        <f>IF(MortgageRate="Discounted",_xlfn.XLOOKUP(L76,'mortgage-rates'!$A:$A,'mortgage-rates'!$E:$E)/100,_xlfn.XLOOKUP(L76,'mortgage-rates'!$A:$A,'mortgage-rates'!$D:$D)/100)</f>
        <v>7.1199999999999999E-2</v>
      </c>
      <c r="BC76" s="12">
        <f t="shared" si="104"/>
        <v>151607.45752912655</v>
      </c>
      <c r="BD76" s="12">
        <f t="shared" si="87"/>
        <v>7120.9505432643155</v>
      </c>
      <c r="BE76" s="12">
        <f t="shared" si="105"/>
        <v>2698.6127440184528</v>
      </c>
      <c r="BF76" s="12">
        <f t="shared" si="108"/>
        <v>4422.3377992458627</v>
      </c>
      <c r="BG76" s="14">
        <f t="shared" si="88"/>
        <v>10214.950543264316</v>
      </c>
      <c r="BH76" s="24">
        <f>INDEX(cpi!B:B,MATCH($L76,cpi!A:A))</f>
        <v>138.9</v>
      </c>
      <c r="BI76" s="24">
        <f t="shared" si="89"/>
        <v>164.18439716312056</v>
      </c>
      <c r="BJ76" s="24">
        <f t="shared" si="90"/>
        <v>387.88856492244037</v>
      </c>
      <c r="BK76" s="24">
        <f t="shared" si="91"/>
        <v>359.54771555567845</v>
      </c>
      <c r="BL76" s="24">
        <f t="shared" si="92"/>
        <v>379.38631011241176</v>
      </c>
      <c r="BM76" s="24">
        <f t="shared" si="93"/>
        <v>871.85302955248619</v>
      </c>
      <c r="BN76" s="24">
        <f t="shared" si="94"/>
        <v>317.39130434782606</v>
      </c>
      <c r="BO76">
        <f t="shared" si="95"/>
        <v>260.74359703564915</v>
      </c>
    </row>
    <row r="77" spans="2:67" x14ac:dyDescent="0.25">
      <c r="B77" s="9"/>
      <c r="L77" s="1">
        <f t="shared" si="106"/>
        <v>45536</v>
      </c>
      <c r="M77" s="12">
        <f t="shared" si="70"/>
        <v>1497220.7790488729</v>
      </c>
      <c r="N77" s="12">
        <f t="shared" si="71"/>
        <v>971504.88027011929</v>
      </c>
      <c r="O77" s="9">
        <f t="shared" si="96"/>
        <v>1.5411356231505315</v>
      </c>
      <c r="P77" s="9">
        <f t="shared" si="72"/>
        <v>0.89171619893223264</v>
      </c>
      <c r="Q77">
        <v>75</v>
      </c>
      <c r="R77">
        <f t="shared" si="73"/>
        <v>92</v>
      </c>
      <c r="S77" s="24"/>
      <c r="T77" s="24">
        <f>IF($B$10="3BR_H",
INDEX('3BR_H-combined'!$C:$BH,MATCH($L77,'3BR_H-combined'!$B:$B,0),MATCH(Council_Area,'3BR_H-combined'!$C$1:$BH$1,0)),
INDEX('2BR_F-combined'!$C:$BH,MATCH($L77,'2BR_F-combined'!$B:$B,0),MATCH(Council_Area,'2BR_F-combined'!$C$1:$BH$1,0)))</f>
        <v>700</v>
      </c>
      <c r="U77" s="24">
        <f t="shared" si="97"/>
        <v>680</v>
      </c>
      <c r="V77" s="24">
        <f t="shared" si="98"/>
        <v>8937.1428571428569</v>
      </c>
      <c r="W77" s="24">
        <f>$B$53/4*BH77/_xlfn.XLOOKUP(Q_end,cpi!A:A,cpi!B:B)</f>
        <v>192.25984796129924</v>
      </c>
      <c r="X77" s="24">
        <f t="shared" si="74"/>
        <v>9129.4027051041558</v>
      </c>
      <c r="Y77" s="24">
        <f t="shared" si="75"/>
        <v>1108.6110441537057</v>
      </c>
      <c r="Z77" s="24">
        <f t="shared" si="99"/>
        <v>354.75553412918578</v>
      </c>
      <c r="AA77" s="24">
        <f t="shared" si="76"/>
        <v>1463.3665782828916</v>
      </c>
      <c r="AB77" s="24">
        <f>AA77*(_xlfn.XLOOKUP(Q_end,cpi!A:A,cpi!B:B)/BH77)</f>
        <v>1522.2799703632954</v>
      </c>
      <c r="AC77" s="24" cm="1">
        <f t="array" ref="AC77">INDEX('msci-indices'!C:C,MATCH($L77,'msci-indices'!$B:$B)-2)</f>
        <v>2988.3970690000001</v>
      </c>
      <c r="AD77" s="24" cm="1">
        <f t="array" ref="AD77">INDEX('msci-indices'!D:D,MATCH($L77,'msci-indices'!$B:$B)-2)</f>
        <v>2534.3685369999998</v>
      </c>
      <c r="AE77" s="24">
        <f t="shared" si="100"/>
        <v>1400618.9773995057</v>
      </c>
      <c r="AF77" s="24" cm="1">
        <f t="array" ref="AF77">INDEX('msci-indices'!C:C,MATCH($L77,'msci-indices'!$B:$B)+1)</f>
        <v>3187.708345</v>
      </c>
      <c r="AG77" s="24" cm="1">
        <f t="array" ref="AG77">INDEX('msci-indices'!D:D,MATCH($L77,'msci-indices'!$B:$B)+1)</f>
        <v>2727.9035779999999</v>
      </c>
      <c r="AH77" s="24">
        <f t="shared" si="77"/>
        <v>875.38686087469102</v>
      </c>
      <c r="AI77" s="24">
        <f t="shared" si="78"/>
        <v>1497220.7790488729</v>
      </c>
      <c r="AJ77" s="24">
        <f t="shared" si="101"/>
        <v>458015.11380418658</v>
      </c>
      <c r="AK77" s="24">
        <f t="shared" si="79"/>
        <v>1039205.6652446863</v>
      </c>
      <c r="AL77" s="24">
        <f>AJ77*(_xlfn.XLOOKUP(Q_end,cpi!A:A,cpi!B:B)/BH77)</f>
        <v>476454.25569709408</v>
      </c>
      <c r="AM77" s="24" cm="1">
        <f t="array" ref="AM77">SUMPRODUCT($AA$3:AA77,_xlfn.SORTBY($BH$3:BH77,_xlfn.SEQUENCE(ROWS($BH$3:BH77)),-1)/$BH$3)</f>
        <v>662461.66797134257</v>
      </c>
      <c r="AN77" s="24">
        <f t="shared" si="102"/>
        <v>834759.11107753031</v>
      </c>
      <c r="AO77" s="24">
        <f t="shared" si="80"/>
        <v>0</v>
      </c>
      <c r="AP77" s="24">
        <f t="shared" si="103"/>
        <v>1497220.7790488729</v>
      </c>
      <c r="AQ77" s="24"/>
      <c r="AR77" s="12">
        <f>IF($B$10="3BR_H",
INDEX('ns-combined'!$C:$BH,MATCH($L77,'ns-combined'!$B:$B,0),MATCH(Council_Area,'ns-combined'!$C$1:$BH$1,0))*1000,
INDEX('s-combined'!$C:$BH,MATCH($L77,'s-combined'!$B:$B,0),MATCH(Council_Area,'s-combined'!$C$1:$BH$1,0))*1000)</f>
        <v>1414000</v>
      </c>
      <c r="AS77" s="24">
        <f t="shared" si="107"/>
        <v>86250</v>
      </c>
      <c r="AT77" s="12">
        <v>0</v>
      </c>
      <c r="AU77" s="24">
        <f t="shared" si="81"/>
        <v>28280</v>
      </c>
      <c r="AV77" s="24">
        <f t="shared" si="82"/>
        <v>4065.25</v>
      </c>
      <c r="AW77" s="24">
        <f>SUM($AV$3:AV77)</f>
        <v>180780</v>
      </c>
      <c r="AX77" s="24">
        <f t="shared" si="83"/>
        <v>1118690</v>
      </c>
      <c r="AY77" s="24">
        <f t="shared" si="84"/>
        <v>3128</v>
      </c>
      <c r="AZ77" s="26">
        <f t="shared" si="85"/>
        <v>8.8486562942008493E-3</v>
      </c>
      <c r="BA77" s="26">
        <f t="shared" si="86"/>
        <v>0.35000000000000003</v>
      </c>
      <c r="BB77" s="27">
        <f>IF(MortgageRate="Discounted",_xlfn.XLOOKUP(L77,'mortgage-rates'!$A:$A,'mortgage-rates'!$E:$E)/100,_xlfn.XLOOKUP(L77,'mortgage-rates'!$A:$A,'mortgage-rates'!$D:$D)/100)</f>
        <v>7.0699999999999999E-2</v>
      </c>
      <c r="BC77" s="12">
        <f t="shared" si="104"/>
        <v>147185.11972988068</v>
      </c>
      <c r="BD77" s="12">
        <f t="shared" si="87"/>
        <v>7110.0137492578624</v>
      </c>
      <c r="BE77" s="12">
        <f t="shared" si="105"/>
        <v>2601.4969912256411</v>
      </c>
      <c r="BF77" s="12">
        <f t="shared" si="108"/>
        <v>4508.5167580322213</v>
      </c>
      <c r="BG77" s="14">
        <f t="shared" si="88"/>
        <v>10238.013749257861</v>
      </c>
      <c r="BH77" s="24">
        <f>INDEX(cpi!B:B,MATCH($L77,cpi!A:A))</f>
        <v>139.1</v>
      </c>
      <c r="BI77" s="24">
        <f t="shared" si="89"/>
        <v>164.42080378250591</v>
      </c>
      <c r="BJ77" s="24">
        <f t="shared" si="90"/>
        <v>395.87730618942362</v>
      </c>
      <c r="BK77" s="24">
        <f t="shared" si="91"/>
        <v>355.47322120595709</v>
      </c>
      <c r="BL77" s="24">
        <f t="shared" si="92"/>
        <v>383.75608069438363</v>
      </c>
      <c r="BM77" s="24">
        <f t="shared" si="93"/>
        <v>881.83478481421469</v>
      </c>
      <c r="BN77" s="24">
        <f t="shared" si="94"/>
        <v>307.39130434782606</v>
      </c>
      <c r="BO77">
        <f t="shared" si="95"/>
        <v>249.52517969564659</v>
      </c>
    </row>
    <row r="78" spans="2:67" x14ac:dyDescent="0.25">
      <c r="B78" s="9"/>
      <c r="L78" s="1">
        <f t="shared" si="106"/>
        <v>45627</v>
      </c>
      <c r="M78" s="12">
        <f t="shared" si="70"/>
        <v>1488453.0659462882</v>
      </c>
      <c r="N78" s="12">
        <f t="shared" si="71"/>
        <v>1007928.8970281516</v>
      </c>
      <c r="O78" s="9">
        <f t="shared" si="96"/>
        <v>1.4767441139300082</v>
      </c>
      <c r="P78" s="9">
        <f t="shared" si="72"/>
        <v>0.89177020042278576</v>
      </c>
      <c r="Q78">
        <v>76</v>
      </c>
      <c r="R78">
        <f t="shared" si="73"/>
        <v>92</v>
      </c>
      <c r="S78" s="24"/>
      <c r="T78" s="24">
        <f>IF($B$10="3BR_H",
INDEX('3BR_H-combined'!$C:$BH,MATCH($L78,'3BR_H-combined'!$B:$B,0),MATCH(Council_Area,'3BR_H-combined'!$C$1:$BH$1,0)),
INDEX('2BR_F-combined'!$C:$BH,MATCH($L78,'2BR_F-combined'!$B:$B,0),MATCH(Council_Area,'2BR_F-combined'!$C$1:$BH$1,0)))</f>
        <v>700</v>
      </c>
      <c r="U78" s="24">
        <f t="shared" si="97"/>
        <v>680</v>
      </c>
      <c r="V78" s="24">
        <f t="shared" si="98"/>
        <v>8937.1428571428569</v>
      </c>
      <c r="W78" s="24">
        <f>$B$53/4*BH78/_xlfn.XLOOKUP(Q_end,cpi!A:A,cpi!B:B)</f>
        <v>192.81271596406359</v>
      </c>
      <c r="X78" s="24">
        <f t="shared" si="74"/>
        <v>9129.9555731069213</v>
      </c>
      <c r="Y78" s="24">
        <f t="shared" si="75"/>
        <v>1108.058176150942</v>
      </c>
      <c r="Z78" s="24">
        <f t="shared" si="99"/>
        <v>354.57861636830137</v>
      </c>
      <c r="AA78" s="24">
        <f t="shared" si="76"/>
        <v>1462.6367925192435</v>
      </c>
      <c r="AB78" s="24">
        <f>AA78*(_xlfn.XLOOKUP(Q_end,cpi!A:A,cpi!B:B)/BH78)</f>
        <v>1517.1580206274878</v>
      </c>
      <c r="AC78" s="24" cm="1">
        <f t="array" ref="AC78">INDEX('msci-indices'!C:C,MATCH($L78,'msci-indices'!$B:$B)-2)</f>
        <v>3187.708345</v>
      </c>
      <c r="AD78" s="24" cm="1">
        <f t="array" ref="AD78">INDEX('msci-indices'!D:D,MATCH($L78,'msci-indices'!$B:$B)-2)</f>
        <v>2727.9035779999999</v>
      </c>
      <c r="AE78" s="24">
        <f t="shared" si="100"/>
        <v>1498683.415841392</v>
      </c>
      <c r="AF78" s="24" cm="1">
        <f t="array" ref="AF78">INDEX('msci-indices'!C:C,MATCH($L78,'msci-indices'!$B:$B)+1)</f>
        <v>3174.5512990000002</v>
      </c>
      <c r="AG78" s="24" cm="1">
        <f t="array" ref="AG78">INDEX('msci-indices'!D:D,MATCH($L78,'msci-indices'!$B:$B)+1)</f>
        <v>2697.7873119999999</v>
      </c>
      <c r="AH78" s="24">
        <f t="shared" si="77"/>
        <v>936.67713490086999</v>
      </c>
      <c r="AI78" s="24">
        <f t="shared" si="78"/>
        <v>1488453.0659462882</v>
      </c>
      <c r="AJ78" s="24">
        <f t="shared" si="101"/>
        <v>459477.75059670582</v>
      </c>
      <c r="AK78" s="24">
        <f t="shared" si="79"/>
        <v>1028975.3153495823</v>
      </c>
      <c r="AL78" s="24">
        <f>AJ78*(_xlfn.XLOOKUP(Q_end,cpi!A:A,cpi!B:B)/BH78)</f>
        <v>476605.23664045398</v>
      </c>
      <c r="AM78" s="24" cm="1">
        <f t="array" ref="AM78">SUMPRODUCT($AA$3:AA78,_xlfn.SORTBY($BH$3:BH78,_xlfn.SEQUENCE(ROWS($BH$3:BH78)),-1)/$BH$3)</f>
        <v>667717.40211506188</v>
      </c>
      <c r="AN78" s="24">
        <f t="shared" si="102"/>
        <v>820735.66383122629</v>
      </c>
      <c r="AO78" s="24">
        <f t="shared" si="80"/>
        <v>0</v>
      </c>
      <c r="AP78" s="24">
        <f t="shared" si="103"/>
        <v>1488453.0659462882</v>
      </c>
      <c r="AQ78" s="24"/>
      <c r="AR78" s="12">
        <f>IF($B$10="3BR_H",
INDEX('ns-combined'!$C:$BH,MATCH($L78,'ns-combined'!$B:$B,0),MATCH(Council_Area,'ns-combined'!$C$1:$BH$1,0))*1000,
INDEX('s-combined'!$C:$BH,MATCH($L78,'s-combined'!$B:$B,0),MATCH(Council_Area,'s-combined'!$C$1:$BH$1,0))*1000)</f>
        <v>1452000</v>
      </c>
      <c r="AS78" s="24">
        <f t="shared" si="107"/>
        <v>87400</v>
      </c>
      <c r="AT78" s="12">
        <v>0</v>
      </c>
      <c r="AU78" s="24">
        <f t="shared" si="81"/>
        <v>29040</v>
      </c>
      <c r="AV78" s="24">
        <f t="shared" si="82"/>
        <v>4174.5</v>
      </c>
      <c r="AW78" s="24">
        <f>SUM($AV$3:AV78)</f>
        <v>184954.5</v>
      </c>
      <c r="AX78" s="24">
        <f t="shared" si="83"/>
        <v>1150605.5</v>
      </c>
      <c r="AY78" s="24">
        <f t="shared" si="84"/>
        <v>3128</v>
      </c>
      <c r="AZ78" s="26">
        <f t="shared" si="85"/>
        <v>8.6170798898071617E-3</v>
      </c>
      <c r="BA78" s="26">
        <f t="shared" si="86"/>
        <v>0.35000000000000003</v>
      </c>
      <c r="BB78" s="27">
        <f>IF(MortgageRate="Discounted",_xlfn.XLOOKUP(L78,'mortgage-rates'!$A:$A,'mortgage-rates'!$E:$E)/100,_xlfn.XLOOKUP(L78,'mortgage-rates'!$A:$A,'mortgage-rates'!$D:$D)/100)</f>
        <v>7.0699999999999999E-2</v>
      </c>
      <c r="BC78" s="12">
        <f t="shared" si="104"/>
        <v>142676.60297184845</v>
      </c>
      <c r="BD78" s="12">
        <f t="shared" si="87"/>
        <v>7110.0137492578633</v>
      </c>
      <c r="BE78" s="12">
        <f t="shared" si="105"/>
        <v>2521.8089575274212</v>
      </c>
      <c r="BF78" s="12">
        <f t="shared" si="108"/>
        <v>4588.2047917304426</v>
      </c>
      <c r="BG78" s="14">
        <f t="shared" si="88"/>
        <v>10238.013749257863</v>
      </c>
      <c r="BH78" s="24">
        <f>INDEX(cpi!B:B,MATCH($L78,cpi!A:A))</f>
        <v>139.5</v>
      </c>
      <c r="BI78" s="24">
        <f t="shared" si="89"/>
        <v>164.89361702127661</v>
      </c>
      <c r="BJ78" s="24">
        <f t="shared" si="90"/>
        <v>422.28036080842037</v>
      </c>
      <c r="BK78" s="24">
        <f t="shared" si="91"/>
        <v>382.61865149208802</v>
      </c>
      <c r="BL78" s="24">
        <f t="shared" si="92"/>
        <v>410.38184801352065</v>
      </c>
      <c r="BM78" s="24">
        <f t="shared" si="93"/>
        <v>943.57651069878511</v>
      </c>
      <c r="BN78" s="24">
        <f t="shared" si="94"/>
        <v>315.6521739130435</v>
      </c>
      <c r="BO78">
        <f t="shared" si="95"/>
        <v>256.64397120408631</v>
      </c>
    </row>
    <row r="79" spans="2:67" x14ac:dyDescent="0.25">
      <c r="L79" s="1">
        <f t="shared" si="106"/>
        <v>45717</v>
      </c>
      <c r="M79" s="12">
        <f t="shared" si="70"/>
        <v>1455184.1601015865</v>
      </c>
      <c r="N79" s="12">
        <f t="shared" si="71"/>
        <v>985695.85181988194</v>
      </c>
      <c r="O79" s="9">
        <f t="shared" si="96"/>
        <v>1.4763013939998755</v>
      </c>
      <c r="P79" s="9">
        <f t="shared" si="72"/>
        <v>0.90062088846378507</v>
      </c>
      <c r="Q79">
        <v>77</v>
      </c>
      <c r="R79">
        <f t="shared" si="73"/>
        <v>90</v>
      </c>
      <c r="S79" s="24"/>
      <c r="T79" s="24">
        <f>IF($B$10="3BR_H",
INDEX('3BR_H-combined'!$C:$BH,MATCH($L79,'3BR_H-combined'!$B:$B,0),MATCH(Council_Area,'3BR_H-combined'!$C$1:$BH$1,0)),
INDEX('2BR_F-combined'!$C:$BH,MATCH($L79,'2BR_F-combined'!$B:$B,0),MATCH(Council_Area,'2BR_F-combined'!$C$1:$BH$1,0)))</f>
        <v>700</v>
      </c>
      <c r="U79" s="24">
        <f t="shared" si="97"/>
        <v>700</v>
      </c>
      <c r="V79" s="24">
        <f t="shared" si="98"/>
        <v>9000</v>
      </c>
      <c r="W79" s="24">
        <f>$B$53/4*BH79/_xlfn.XLOOKUP(Q_end,cpi!A:A,cpi!B:B)</f>
        <v>194.60953697304774</v>
      </c>
      <c r="X79" s="24">
        <f t="shared" si="74"/>
        <v>9194.6095369730483</v>
      </c>
      <c r="Y79" s="24">
        <f t="shared" si="75"/>
        <v>1014.5802061790982</v>
      </c>
      <c r="Z79" s="24">
        <f t="shared" si="99"/>
        <v>324.66566597731139</v>
      </c>
      <c r="AA79" s="24">
        <f t="shared" si="76"/>
        <v>1339.2458721564096</v>
      </c>
      <c r="AB79" s="24">
        <f>AA79*(_xlfn.XLOOKUP(Q_end,cpi!A:A,cpi!B:B)/BH79)</f>
        <v>1376.3414609448328</v>
      </c>
      <c r="AC79" s="24" cm="1">
        <f t="array" ref="AC79">INDEX('msci-indices'!C:C,MATCH($L79,'msci-indices'!$B:$B)-2)</f>
        <v>3174.5512990000002</v>
      </c>
      <c r="AD79" s="24" cm="1">
        <f t="array" ref="AD79">INDEX('msci-indices'!D:D,MATCH($L79,'msci-indices'!$B:$B)-2)</f>
        <v>2697.7873119999999</v>
      </c>
      <c r="AE79" s="24">
        <f t="shared" si="100"/>
        <v>1489792.3118184446</v>
      </c>
      <c r="AF79" s="24" cm="1">
        <f t="array" ref="AF79">INDEX('msci-indices'!C:C,MATCH($L79,'msci-indices'!$B:$B)+1)</f>
        <v>3111.4241780000002</v>
      </c>
      <c r="AG79" s="24" cm="1">
        <f t="array" ref="AG79">INDEX('msci-indices'!D:D,MATCH($L79,'msci-indices'!$B:$B)+1)</f>
        <v>2619.6825220000001</v>
      </c>
      <c r="AH79" s="24">
        <f t="shared" si="77"/>
        <v>931.12019488652788</v>
      </c>
      <c r="AI79" s="24">
        <f t="shared" si="78"/>
        <v>1455184.1601015865</v>
      </c>
      <c r="AJ79" s="24">
        <f t="shared" si="101"/>
        <v>460816.99646886223</v>
      </c>
      <c r="AK79" s="24">
        <f t="shared" si="79"/>
        <v>994367.1636327242</v>
      </c>
      <c r="AL79" s="24">
        <f>AJ79*(_xlfn.XLOOKUP(Q_end,cpi!A:A,cpi!B:B)/BH79)</f>
        <v>473581.10361537186</v>
      </c>
      <c r="AM79" s="24" cm="1">
        <f t="array" ref="AM79">SUMPRODUCT($AA$3:AA79,_xlfn.SORTBY($BH$3:BH79,_xlfn.SEQUENCE(ROWS($BH$3:BH79)),-1)/$BH$3)</f>
        <v>674475.46977704566</v>
      </c>
      <c r="AN79" s="24">
        <f t="shared" si="102"/>
        <v>780708.69032454083</v>
      </c>
      <c r="AO79" s="24">
        <f t="shared" si="80"/>
        <v>0</v>
      </c>
      <c r="AP79" s="24">
        <f t="shared" si="103"/>
        <v>1455184.1601015865</v>
      </c>
      <c r="AQ79" s="24"/>
      <c r="AR79" s="12">
        <f>IF($B$10="3BR_H",
INDEX('ns-combined'!$C:$BH,MATCH($L79,'ns-combined'!$B:$B,0),MATCH(Council_Area,'ns-combined'!$C$1:$BH$1,0))*1000,
INDEX('s-combined'!$C:$BH,MATCH($L79,'s-combined'!$B:$B,0),MATCH(Council_Area,'s-combined'!$C$1:$BH$1,0))*1000)</f>
        <v>1430000</v>
      </c>
      <c r="AS79" s="24">
        <f t="shared" si="107"/>
        <v>88550</v>
      </c>
      <c r="AT79" s="12">
        <v>0</v>
      </c>
      <c r="AU79" s="24">
        <f t="shared" si="81"/>
        <v>28600</v>
      </c>
      <c r="AV79" s="24">
        <f t="shared" si="82"/>
        <v>4111.25</v>
      </c>
      <c r="AW79" s="24">
        <f>SUM($AV$3:AV79)</f>
        <v>189065.75</v>
      </c>
      <c r="AX79" s="24">
        <f t="shared" si="83"/>
        <v>1123784.25</v>
      </c>
      <c r="AY79" s="24">
        <f t="shared" si="84"/>
        <v>3150.0000000000005</v>
      </c>
      <c r="AZ79" s="26">
        <f t="shared" si="85"/>
        <v>8.8111888111888116E-3</v>
      </c>
      <c r="BA79" s="26">
        <f t="shared" si="86"/>
        <v>0.35000000000000003</v>
      </c>
      <c r="BB79" s="27">
        <f>IF(MortgageRate="Discounted",_xlfn.XLOOKUP(L79,'mortgage-rates'!$A:$A,'mortgage-rates'!$E:$E)/100,_xlfn.XLOOKUP(L79,'mortgage-rates'!$A:$A,'mortgage-rates'!$D:$D)/100)</f>
        <v>6.8199999999999997E-2</v>
      </c>
      <c r="BC79" s="12">
        <f t="shared" si="104"/>
        <v>138088.39818011801</v>
      </c>
      <c r="BD79" s="12">
        <f t="shared" si="87"/>
        <v>7059.1897431521456</v>
      </c>
      <c r="BE79" s="12">
        <f t="shared" si="105"/>
        <v>2354.4071889710117</v>
      </c>
      <c r="BF79" s="12">
        <f t="shared" si="108"/>
        <v>4704.7825541811344</v>
      </c>
      <c r="BG79" s="14">
        <f t="shared" si="88"/>
        <v>10209.189743152147</v>
      </c>
      <c r="BH79" s="24">
        <f>INDEX(cpi!B:B,MATCH($L79,cpi!A:A))</f>
        <v>140.80000000000001</v>
      </c>
      <c r="BI79" s="24">
        <f t="shared" si="89"/>
        <v>166.43026004728137</v>
      </c>
      <c r="BJ79" s="24">
        <f t="shared" si="90"/>
        <v>420.53742778860141</v>
      </c>
      <c r="BK79" s="24">
        <f t="shared" si="91"/>
        <v>378.39451205481896</v>
      </c>
      <c r="BL79" s="24">
        <f t="shared" si="92"/>
        <v>407.89455306846668</v>
      </c>
      <c r="BM79" s="24">
        <f t="shared" si="93"/>
        <v>937.97863937949626</v>
      </c>
      <c r="BN79" s="24">
        <f t="shared" si="94"/>
        <v>310.86956521739131</v>
      </c>
      <c r="BO79">
        <f t="shared" si="95"/>
        <v>250.66145842046271</v>
      </c>
    </row>
    <row r="80" spans="2:67" x14ac:dyDescent="0.25">
      <c r="B80" s="9"/>
      <c r="L80" s="1">
        <f t="shared" si="106"/>
        <v>45809</v>
      </c>
      <c r="M80" s="12">
        <f t="shared" si="70"/>
        <v>1613422.8467978674</v>
      </c>
      <c r="N80" s="12">
        <f t="shared" si="71"/>
        <v>1077966.2593740632</v>
      </c>
      <c r="O80" s="9">
        <f t="shared" si="96"/>
        <v>1.496728522592836</v>
      </c>
      <c r="P80" s="9">
        <f t="shared" si="72"/>
        <v>0.91649129133824636</v>
      </c>
      <c r="Q80">
        <v>78</v>
      </c>
      <c r="R80">
        <f t="shared" si="73"/>
        <v>91</v>
      </c>
      <c r="S80" s="24"/>
      <c r="T80" s="24">
        <f>IF($B$10="3BR_H",
INDEX('3BR_H-combined'!$C:$BH,MATCH($L80,'3BR_H-combined'!$B:$B,0),MATCH(Council_Area,'3BR_H-combined'!$C$1:$BH$1,0)),
INDEX('2BR_F-combined'!$C:$BH,MATCH($L80,'2BR_F-combined'!$B:$B,0),MATCH(Council_Area,'2BR_F-combined'!$C$1:$BH$1,0)))</f>
        <v>700</v>
      </c>
      <c r="U80" s="24">
        <f t="shared" si="97"/>
        <v>700</v>
      </c>
      <c r="V80" s="24">
        <f t="shared" si="98"/>
        <v>9100</v>
      </c>
      <c r="W80" s="24">
        <f>$B$53/4*BH80/_xlfn.XLOOKUP(Q_end,cpi!A:A,cpi!B:B)</f>
        <v>195.99170697995856</v>
      </c>
      <c r="X80" s="24">
        <f t="shared" si="74"/>
        <v>9295.9917069799594</v>
      </c>
      <c r="Y80" s="24">
        <f t="shared" si="75"/>
        <v>847.03070341970306</v>
      </c>
      <c r="Z80" s="24">
        <f t="shared" si="99"/>
        <v>271.04982509430494</v>
      </c>
      <c r="AA80" s="24">
        <f t="shared" si="76"/>
        <v>1118.0805285140079</v>
      </c>
      <c r="AB80" s="24">
        <f>AA80*(_xlfn.XLOOKUP(Q_end,cpi!A:A,cpi!B:B)/BH80)</f>
        <v>1140.9467734554084</v>
      </c>
      <c r="AC80" s="24" cm="1">
        <f t="array" ref="AC80">INDEX('msci-indices'!C:C,MATCH($L80,'msci-indices'!$B:$B)-2)</f>
        <v>3111.4241780000002</v>
      </c>
      <c r="AD80" s="24" cm="1">
        <f t="array" ref="AD80">INDEX('msci-indices'!D:D,MATCH($L80,'msci-indices'!$B:$B)-2)</f>
        <v>2619.6825220000001</v>
      </c>
      <c r="AE80" s="24">
        <f t="shared" si="100"/>
        <v>1456302.2406301005</v>
      </c>
      <c r="AF80" s="24" cm="1">
        <f t="array" ref="AF80">INDEX('msci-indices'!C:C,MATCH($L80,'msci-indices'!$B:$B)+1)</f>
        <v>3468.7668789999998</v>
      </c>
      <c r="AG80" s="24" cm="1">
        <f t="array" ref="AG80">INDEX('msci-indices'!D:D,MATCH($L80,'msci-indices'!$B:$B)+1)</f>
        <v>2865.243618</v>
      </c>
      <c r="AH80" s="24">
        <f t="shared" si="77"/>
        <v>910.18890039381279</v>
      </c>
      <c r="AI80" s="24">
        <f t="shared" si="78"/>
        <v>1613422.8467978674</v>
      </c>
      <c r="AJ80" s="24">
        <f t="shared" si="101"/>
        <v>461935.07699737622</v>
      </c>
      <c r="AK80" s="24">
        <f t="shared" si="79"/>
        <v>1151487.7698004912</v>
      </c>
      <c r="AL80" s="24">
        <f>AJ80*(_xlfn.XLOOKUP(Q_end,cpi!A:A,cpi!B:B)/BH80)</f>
        <v>471382.26827588386</v>
      </c>
      <c r="AM80" s="24" cm="1">
        <f t="array" ref="AM80">SUMPRODUCT($AA$3:AA80,_xlfn.SORTBY($BH$3:BH80,_xlfn.SEQUENCE(ROWS($BH$3:BH80)),-1)/$BH$3)</f>
        <v>680458.20062584465</v>
      </c>
      <c r="AN80" s="24">
        <f t="shared" si="102"/>
        <v>932964.6461720228</v>
      </c>
      <c r="AO80" s="24">
        <f t="shared" si="80"/>
        <v>0</v>
      </c>
      <c r="AP80" s="24">
        <f t="shared" si="103"/>
        <v>1613422.8467978674</v>
      </c>
      <c r="AQ80" s="24"/>
      <c r="AR80" s="12">
        <f>IF($B$10="3BR_H",
INDEX('ns-combined'!$C:$BH,MATCH($L80,'ns-combined'!$B:$B,0),MATCH(Council_Area,'ns-combined'!$C$1:$BH$1,0))*1000,
INDEX('s-combined'!$C:$BH,MATCH($L80,'s-combined'!$B:$B,0),MATCH(Council_Area,'s-combined'!$C$1:$BH$1,0))*1000)</f>
        <v>1525000</v>
      </c>
      <c r="AS80" s="24">
        <f t="shared" si="107"/>
        <v>89700</v>
      </c>
      <c r="AT80" s="12">
        <v>0</v>
      </c>
      <c r="AU80" s="24">
        <f t="shared" si="81"/>
        <v>30500</v>
      </c>
      <c r="AV80" s="24">
        <f t="shared" si="82"/>
        <v>4384.375</v>
      </c>
      <c r="AW80" s="24">
        <f>SUM($AV$3:AV80)</f>
        <v>193450.125</v>
      </c>
      <c r="AX80" s="24">
        <f t="shared" si="83"/>
        <v>1211349.875</v>
      </c>
      <c r="AY80" s="24">
        <f t="shared" si="84"/>
        <v>3185.0000000000005</v>
      </c>
      <c r="AZ80" s="26">
        <f t="shared" si="85"/>
        <v>8.3540983606557387E-3</v>
      </c>
      <c r="BA80" s="26">
        <f t="shared" si="86"/>
        <v>0.35000000000000003</v>
      </c>
      <c r="BB80" s="27">
        <f>IF(MortgageRate="Discounted",_xlfn.XLOOKUP(L80,'mortgage-rates'!$A:$A,'mortgage-rates'!$E:$E)/100,_xlfn.XLOOKUP(L80,'mortgage-rates'!$A:$A,'mortgage-rates'!$D:$D)/100)</f>
        <v>6.3E-2</v>
      </c>
      <c r="BC80" s="12">
        <f t="shared" si="104"/>
        <v>133383.61562593686</v>
      </c>
      <c r="BD80" s="12">
        <f t="shared" si="87"/>
        <v>6958.0224103996616</v>
      </c>
      <c r="BE80" s="12">
        <f t="shared" si="105"/>
        <v>2100.7919461085057</v>
      </c>
      <c r="BF80" s="12">
        <f t="shared" si="108"/>
        <v>4857.2304642911558</v>
      </c>
      <c r="BG80" s="14">
        <f t="shared" si="88"/>
        <v>10143.022410399662</v>
      </c>
      <c r="BH80" s="24">
        <f>INDEX(cpi!B:B,MATCH($L80,cpi!A:A))</f>
        <v>141.80000000000001</v>
      </c>
      <c r="BI80" s="24">
        <f t="shared" si="89"/>
        <v>167.61229314420808</v>
      </c>
      <c r="BJ80" s="24">
        <f t="shared" si="90"/>
        <v>412.17488625480973</v>
      </c>
      <c r="BK80" s="24">
        <f t="shared" si="91"/>
        <v>367.43945130198153</v>
      </c>
      <c r="BL80" s="24">
        <f t="shared" si="92"/>
        <v>398.75425576896129</v>
      </c>
      <c r="BM80" s="24">
        <f t="shared" si="93"/>
        <v>916.89316917216047</v>
      </c>
      <c r="BN80" s="24">
        <f t="shared" si="94"/>
        <v>331.52173913043481</v>
      </c>
      <c r="BO80">
        <f t="shared" si="95"/>
        <v>270.19307872035512</v>
      </c>
    </row>
    <row r="81" spans="2:67" x14ac:dyDescent="0.25">
      <c r="B81" s="9"/>
      <c r="L81" s="1">
        <f t="shared" si="106"/>
        <v>45901</v>
      </c>
      <c r="M81" s="12">
        <f>AP81</f>
        <v>1719298.0089303951</v>
      </c>
      <c r="N81" s="12">
        <f t="shared" si="71"/>
        <v>1085106.1148383543</v>
      </c>
      <c r="O81" s="9">
        <f t="shared" si="96"/>
        <v>1.5844514978026043</v>
      </c>
      <c r="P81" s="9">
        <f t="shared" si="72"/>
        <v>0.92764356229566514</v>
      </c>
      <c r="Q81">
        <v>79</v>
      </c>
      <c r="R81">
        <f t="shared" si="73"/>
        <v>92</v>
      </c>
      <c r="S81" s="24"/>
      <c r="T81" s="24">
        <f>IF($B$10="3BR_H",
INDEX('3BR_H-combined'!$C:$BH,MATCH($L81,'3BR_H-combined'!$B:$B,0),MATCH(Council_Area,'3BR_H-combined'!$C$1:$BH$1,0)),
INDEX('2BR_F-combined'!$C:$BH,MATCH($L81,'2BR_F-combined'!$B:$B,0),MATCH(Council_Area,'2BR_F-combined'!$C$1:$BH$1,0)))</f>
        <v>700</v>
      </c>
      <c r="U81" s="24">
        <f t="shared" si="97"/>
        <v>700</v>
      </c>
      <c r="V81" s="24">
        <f t="shared" si="98"/>
        <v>9200</v>
      </c>
      <c r="W81" s="24">
        <f>$B$53/4*BH81/_xlfn.XLOOKUP(Q_end,cpi!A:A,cpi!B:B)</f>
        <v>198.47961299239807</v>
      </c>
      <c r="X81" s="24">
        <f t="shared" si="74"/>
        <v>9398.479612992398</v>
      </c>
      <c r="Y81" s="24">
        <f t="shared" si="75"/>
        <v>733.08383982100895</v>
      </c>
      <c r="Z81" s="24">
        <f t="shared" si="99"/>
        <v>234.58682874272282</v>
      </c>
      <c r="AA81" s="24">
        <f t="shared" si="76"/>
        <v>967.67066856373174</v>
      </c>
      <c r="AB81" s="24">
        <f>AA81*(_xlfn.XLOOKUP(Q_end,cpi!A:A,cpi!B:B)/BH81)</f>
        <v>975.08318761261819</v>
      </c>
      <c r="AC81" s="24" cm="1">
        <f t="array" ref="AC81">INDEX('msci-indices'!C:C,MATCH($L81,'msci-indices'!$B:$B)-2)</f>
        <v>3468.7668789999998</v>
      </c>
      <c r="AD81" s="24" cm="1">
        <f t="array" ref="AD81">INDEX('msci-indices'!D:D,MATCH($L81,'msci-indices'!$B:$B)-2)</f>
        <v>2865.243618</v>
      </c>
      <c r="AE81" s="24">
        <f t="shared" si="100"/>
        <v>1614390.5174664313</v>
      </c>
      <c r="AF81" s="24" cm="1">
        <f t="array" ref="AF81">INDEX('msci-indices'!C:C,MATCH($L81,'msci-indices'!$B:$B)+1)</f>
        <v>3725.5302940000001</v>
      </c>
      <c r="AG81" s="24" cm="1">
        <f t="array" ref="AG81">INDEX('msci-indices'!D:D,MATCH($L81,'msci-indices'!$B:$B)+1)</f>
        <v>2996.9746749999999</v>
      </c>
      <c r="AH81" s="24">
        <f t="shared" si="77"/>
        <v>1008.9940734165195</v>
      </c>
      <c r="AI81" s="24">
        <f t="shared" si="78"/>
        <v>1719298.0089303951</v>
      </c>
      <c r="AJ81" s="24">
        <f t="shared" si="101"/>
        <v>462902.74766593997</v>
      </c>
      <c r="AK81" s="24">
        <f t="shared" si="79"/>
        <v>1256395.261264455</v>
      </c>
      <c r="AL81" s="24">
        <f>AJ81*(_xlfn.XLOOKUP(Q_end,cpi!A:A,cpi!B:B)/BH81)</f>
        <v>466448.66007842275</v>
      </c>
      <c r="AM81" s="24" cm="1">
        <f t="array" ref="AM81">SUMPRODUCT($AA$3:AA81,_xlfn.SORTBY($BH$3:BH81,_xlfn.SEQUENCE(ROWS($BH$3:BH81)),-1)/$BH$3)</f>
        <v>687772.21818945976</v>
      </c>
      <c r="AN81" s="24">
        <f t="shared" si="102"/>
        <v>1031525.7907409354</v>
      </c>
      <c r="AO81" s="24">
        <f t="shared" si="80"/>
        <v>0</v>
      </c>
      <c r="AP81" s="24">
        <f t="shared" si="103"/>
        <v>1719298.0089303951</v>
      </c>
      <c r="AQ81" s="24"/>
      <c r="AR81" s="12">
        <f>IF($B$10="3BR_H",
INDEX('ns-combined'!$C:$BH,MATCH($L81,'ns-combined'!$B:$B,0),MATCH(Council_Area,'ns-combined'!$C$1:$BH$1,0))*1000,
INDEX('s-combined'!$C:$BH,MATCH($L81,'s-combined'!$B:$B,0),MATCH(Council_Area,'s-combined'!$C$1:$BH$1,0))*1000)</f>
        <v>1533000</v>
      </c>
      <c r="AS81" s="24">
        <f t="shared" si="107"/>
        <v>90850</v>
      </c>
      <c r="AT81" s="12">
        <v>0</v>
      </c>
      <c r="AU81" s="24">
        <f t="shared" si="81"/>
        <v>30660</v>
      </c>
      <c r="AV81" s="24">
        <f t="shared" si="82"/>
        <v>4407.375</v>
      </c>
      <c r="AW81" s="24">
        <f>SUM($AV$3:AV81)</f>
        <v>197857.5</v>
      </c>
      <c r="AX81" s="24">
        <f t="shared" si="83"/>
        <v>1213632.5</v>
      </c>
      <c r="AY81" s="24">
        <f t="shared" si="84"/>
        <v>3220.0000000000005</v>
      </c>
      <c r="AZ81" s="26">
        <f t="shared" si="85"/>
        <v>8.4018264840182658E-3</v>
      </c>
      <c r="BA81" s="26">
        <f t="shared" si="86"/>
        <v>0.35000000000000003</v>
      </c>
      <c r="BB81" s="27">
        <f>IF(MortgageRate="Discounted",_xlfn.XLOOKUP(L81,'mortgage-rates'!$A:$A,'mortgage-rates'!$E:$E)/100,_xlfn.XLOOKUP(L81,'mortgage-rates'!$A:$A,'mortgage-rates'!$D:$D)/100)</f>
        <v>6.0499999999999998E-2</v>
      </c>
      <c r="BC81" s="12">
        <f t="shared" si="104"/>
        <v>128526.3851616457</v>
      </c>
      <c r="BD81" s="12">
        <f t="shared" si="87"/>
        <v>6911.5634528134069</v>
      </c>
      <c r="BE81" s="12">
        <f t="shared" si="105"/>
        <v>1943.961575569891</v>
      </c>
      <c r="BF81" s="12">
        <f t="shared" si="108"/>
        <v>4967.6018772435164</v>
      </c>
      <c r="BG81" s="14">
        <f t="shared" si="88"/>
        <v>10131.563452813407</v>
      </c>
      <c r="BH81" s="24">
        <f>INDEX(cpi!B:B,MATCH($L81,cpi!A:A))</f>
        <v>143.6</v>
      </c>
      <c r="BI81" s="24">
        <f t="shared" si="89"/>
        <v>169.73995271867614</v>
      </c>
      <c r="BJ81" s="24">
        <f t="shared" si="90"/>
        <v>459.51259359156273</v>
      </c>
      <c r="BK81" s="24">
        <f t="shared" si="91"/>
        <v>401.88211128753886</v>
      </c>
      <c r="BL81" s="24">
        <f t="shared" si="92"/>
        <v>442.22344890035555</v>
      </c>
      <c r="BM81" s="24">
        <f t="shared" si="93"/>
        <v>1016.426121270561</v>
      </c>
      <c r="BN81" s="24">
        <f t="shared" si="94"/>
        <v>333.26086956521738</v>
      </c>
      <c r="BO81">
        <f t="shared" si="95"/>
        <v>270.70222103261568</v>
      </c>
    </row>
    <row r="82" spans="2:67" x14ac:dyDescent="0.25">
      <c r="B82" s="9"/>
      <c r="L82" s="1">
        <f>DATE(YEAR(L81),MONTH(L81)+3,1)</f>
        <v>45992</v>
      </c>
      <c r="M82" s="12">
        <f t="shared" si="70"/>
        <v>1750761.2221696714</v>
      </c>
      <c r="N82" s="12">
        <f t="shared" si="71"/>
        <v>1113585.8104655978</v>
      </c>
      <c r="O82" s="9">
        <f t="shared" si="96"/>
        <v>1.5721834866391358</v>
      </c>
      <c r="P82" s="9">
        <f t="shared" si="72"/>
        <v>0.92779362669734233</v>
      </c>
      <c r="Q82">
        <v>80</v>
      </c>
      <c r="R82">
        <f t="shared" si="73"/>
        <v>92</v>
      </c>
      <c r="S82" s="24"/>
      <c r="T82" s="24">
        <f>IF($B$10="3BR_H",
INDEX('3BR_H-combined'!$C:$BH,MATCH($L82,'3BR_H-combined'!$B:$B,0),MATCH(Council_Area,'3BR_H-combined'!$C$1:$BH$1,0)),
INDEX('2BR_F-combined'!$C:$BH,MATCH($L82,'2BR_F-combined'!$B:$B,0),MATCH(Council_Area,'2BR_F-combined'!$C$1:$BH$1,0)))</f>
        <v>720</v>
      </c>
      <c r="U82" s="24">
        <f t="shared" si="97"/>
        <v>700</v>
      </c>
      <c r="V82" s="24">
        <f t="shared" si="98"/>
        <v>9200</v>
      </c>
      <c r="W82" s="24">
        <f>$B$53/4*BH82/_xlfn.XLOOKUP(Q_end,cpi!A:A,cpi!B:B)</f>
        <v>200</v>
      </c>
      <c r="X82" s="24">
        <f>V82+W82</f>
        <v>9400</v>
      </c>
      <c r="Y82" s="24">
        <f>BG82-X82</f>
        <v>731.56345281340873</v>
      </c>
      <c r="Z82" s="24">
        <f t="shared" si="99"/>
        <v>234.10030490029075</v>
      </c>
      <c r="AA82" s="24">
        <f t="shared" si="76"/>
        <v>965.66375771369951</v>
      </c>
      <c r="AB82" s="24">
        <f>AA82*(_xlfn.XLOOKUP(Q_end,cpi!A:A,cpi!B:B)/BH82)</f>
        <v>965.66375771369951</v>
      </c>
      <c r="AC82" s="24" cm="1">
        <f t="array" ref="AC82">INDEX('msci-indices'!C:C,MATCH($L82,'msci-indices'!$B:$B)-2)</f>
        <v>3725.5302940000001</v>
      </c>
      <c r="AD82" s="24" cm="1">
        <f t="array" ref="AD82">INDEX('msci-indices'!D:D,MATCH($L82,'msci-indices'!$B:$B)-2)</f>
        <v>2996.9746749999999</v>
      </c>
      <c r="AE82" s="24">
        <f t="shared" si="100"/>
        <v>1720263.6726881089</v>
      </c>
      <c r="AF82" s="24" cm="1">
        <f t="array" ref="AF82">INDEX('msci-indices'!C:C,MATCH($L82,'msci-indices'!$B:$B)+1)</f>
        <v>3840.531755</v>
      </c>
      <c r="AG82" s="24" cm="1">
        <f t="array" ref="AG82">INDEX('msci-indices'!D:D,MATCH($L82,'msci-indices'!$B:$B)+1)</f>
        <v>2964.4622850000001</v>
      </c>
      <c r="AH82" s="24">
        <f t="shared" si="77"/>
        <v>1075.1647954300681</v>
      </c>
      <c r="AI82" s="24">
        <f t="shared" si="78"/>
        <v>1750761.2221696714</v>
      </c>
      <c r="AJ82" s="24">
        <f t="shared" si="101"/>
        <v>463868.41142365366</v>
      </c>
      <c r="AK82" s="24">
        <f t="shared" si="79"/>
        <v>1286892.8107460178</v>
      </c>
      <c r="AL82" s="24">
        <f>AJ82*(_xlfn.XLOOKUP(Q_end,cpi!A:A,cpi!B:B)/BH82)</f>
        <v>463868.41142365366</v>
      </c>
      <c r="AM82" s="24" cm="1">
        <f t="array" ref="AM82">SUMPRODUCT($AA$3:AA82,_xlfn.SORTBY($BH$3:BH82,_xlfn.SEQUENCE(ROWS($BH$3:BH82)),-1)/$BH$3)</f>
        <v>693844.27091486519</v>
      </c>
      <c r="AN82" s="24">
        <f>AI82-AM82</f>
        <v>1056916.9512548062</v>
      </c>
      <c r="AO82" s="24">
        <f t="shared" si="80"/>
        <v>0</v>
      </c>
      <c r="AP82" s="24">
        <f>AI82-AO82</f>
        <v>1750761.2221696714</v>
      </c>
      <c r="AQ82" s="24"/>
      <c r="AR82" s="12">
        <f>IF($B$10="3BR_H",
INDEX('ns-combined'!$C:$BH,MATCH($L82,'ns-combined'!$B:$B,0),MATCH(Council_Area,'ns-combined'!$C$1:$BH$1,0))*1000,
INDEX('s-combined'!$C:$BH,MATCH($L82,'s-combined'!$B:$B,0),MATCH(Council_Area,'s-combined'!$C$1:$BH$1,0))*1000)</f>
        <v>1562750</v>
      </c>
      <c r="AS82" s="24">
        <f>AS81+$AS$3</f>
        <v>92000</v>
      </c>
      <c r="AT82" s="12">
        <v>0</v>
      </c>
      <c r="AU82" s="24">
        <f t="shared" si="81"/>
        <v>31255</v>
      </c>
      <c r="AV82" s="24">
        <f t="shared" si="82"/>
        <v>4492.90625</v>
      </c>
      <c r="AW82" s="24">
        <f>SUM($AV$3:AV82)</f>
        <v>202350.40625</v>
      </c>
      <c r="AX82" s="24">
        <f t="shared" si="83"/>
        <v>1237144.59375</v>
      </c>
      <c r="AY82" s="24">
        <f t="shared" si="84"/>
        <v>3220.0000000000005</v>
      </c>
      <c r="AZ82" s="26">
        <f t="shared" si="85"/>
        <v>8.2418812989921621E-3</v>
      </c>
      <c r="BA82" s="26">
        <f t="shared" si="86"/>
        <v>0.35000000000000003</v>
      </c>
      <c r="BB82" s="27">
        <f>IF(MortgageRate="Discounted",_xlfn.XLOOKUP(L82,'mortgage-rates'!$A:$A,'mortgage-rates'!$E:$E)/100,_xlfn.XLOOKUP(L82,'mortgage-rates'!$A:$A,'mortgage-rates'!$D:$D)/100)</f>
        <v>6.0499999999999998E-2</v>
      </c>
      <c r="BC82" s="12">
        <f t="shared" si="104"/>
        <v>123558.78328440218</v>
      </c>
      <c r="BD82" s="12">
        <f t="shared" si="87"/>
        <v>6911.5634528134078</v>
      </c>
      <c r="BE82" s="12">
        <f t="shared" si="105"/>
        <v>1868.8265971765829</v>
      </c>
      <c r="BF82" s="12">
        <f t="shared" si="108"/>
        <v>5042.7368556368247</v>
      </c>
      <c r="BG82" s="14">
        <f t="shared" si="88"/>
        <v>10131.563452813409</v>
      </c>
      <c r="BH82" s="24">
        <f>INDEX(cpi!B:B,MATCH($L82,cpi!A:A))</f>
        <v>144.69999999999999</v>
      </c>
      <c r="BI82" s="24">
        <f t="shared" si="89"/>
        <v>171.04018912529551</v>
      </c>
      <c r="BJ82" s="24">
        <f t="shared" si="90"/>
        <v>493.52641662486235</v>
      </c>
      <c r="BK82" s="24">
        <f t="shared" si="91"/>
        <v>420.35884917353138</v>
      </c>
      <c r="BL82" s="24">
        <f t="shared" si="92"/>
        <v>471.57614638946308</v>
      </c>
      <c r="BM82" s="24">
        <f t="shared" si="93"/>
        <v>1083.0842435429397</v>
      </c>
      <c r="BN82" s="24">
        <f t="shared" si="94"/>
        <v>339.72826086956519</v>
      </c>
      <c r="BO82">
        <f t="shared" si="95"/>
        <v>275.94662244676044</v>
      </c>
    </row>
    <row r="83" spans="2:67" x14ac:dyDescent="0.25">
      <c r="L83" s="1"/>
      <c r="M83" s="1"/>
      <c r="N83" s="1"/>
      <c r="O83" s="1"/>
      <c r="P83" s="1"/>
      <c r="R83" s="1"/>
      <c r="S83" s="9"/>
      <c r="AD83" s="33"/>
      <c r="AE83" s="33"/>
      <c r="AG83" s="33"/>
      <c r="AH83" s="33"/>
      <c r="AI83" s="33"/>
      <c r="AK83" s="33"/>
      <c r="AL83" s="33"/>
      <c r="AM83" s="33"/>
      <c r="AN83" s="33"/>
      <c r="AO83" s="33"/>
      <c r="AP83" s="9"/>
      <c r="AQ83" s="9"/>
      <c r="AR83" s="33"/>
      <c r="AS83" s="24"/>
      <c r="AT83" s="1"/>
      <c r="AU83" s="1"/>
      <c r="AV83" s="1"/>
      <c r="AW83" s="24"/>
      <c r="AX83" s="24"/>
      <c r="AY83" s="1"/>
      <c r="AZ83" s="24"/>
      <c r="BA83" s="24"/>
      <c r="BB83" s="27"/>
      <c r="BC83" s="24"/>
      <c r="BD83" s="28"/>
      <c r="BE83" s="28"/>
      <c r="BF83" s="28"/>
      <c r="BG83" s="29"/>
      <c r="BH83" s="33"/>
      <c r="BI83" s="33"/>
      <c r="BJ83" s="33"/>
      <c r="BK83" s="33"/>
      <c r="BL83" s="33"/>
      <c r="BM83" s="33"/>
      <c r="BN83" s="33"/>
    </row>
    <row r="84" spans="2:67" x14ac:dyDescent="0.25">
      <c r="L84" s="1"/>
      <c r="M84" s="1"/>
      <c r="N84" s="1"/>
      <c r="O84" s="1"/>
      <c r="P84" s="1"/>
      <c r="R84" s="1"/>
      <c r="AI84" s="13"/>
      <c r="AL84" s="13"/>
      <c r="AM84" s="24"/>
      <c r="AN84" s="24"/>
      <c r="AR84" s="1"/>
      <c r="AS84" s="1"/>
      <c r="AT84" s="1"/>
      <c r="AU84" s="1"/>
      <c r="AV84" s="1"/>
      <c r="AW84" s="1"/>
      <c r="AY84" s="1"/>
      <c r="AZ84" s="1"/>
      <c r="BA84" s="1"/>
      <c r="BB84" s="27"/>
      <c r="BC84" s="24"/>
      <c r="BD84" s="28"/>
      <c r="BE84" s="28"/>
      <c r="BF84" s="28"/>
      <c r="BG84" s="29"/>
    </row>
    <row r="85" spans="2:67" x14ac:dyDescent="0.25">
      <c r="L85" s="1"/>
      <c r="M85" s="1"/>
      <c r="N85" s="1"/>
      <c r="O85" s="1"/>
      <c r="P85" s="1"/>
      <c r="R85" s="1"/>
      <c r="AN85" s="24"/>
      <c r="AR85" s="1"/>
      <c r="AS85" s="1"/>
      <c r="AT85" s="1"/>
      <c r="AU85" s="1"/>
      <c r="AV85" s="1"/>
      <c r="AW85" s="1"/>
      <c r="AY85" s="1"/>
      <c r="AZ85" s="1"/>
      <c r="BA85" s="1"/>
      <c r="BB85" s="27"/>
      <c r="BC85" s="24"/>
      <c r="BD85" s="28"/>
      <c r="BE85" s="28"/>
      <c r="BF85" s="28"/>
      <c r="BG85" s="29"/>
    </row>
    <row r="86" spans="2:67" x14ac:dyDescent="0.25">
      <c r="AN86" s="24"/>
      <c r="BB86" s="27"/>
      <c r="BC86" s="24"/>
      <c r="BD86" s="28"/>
      <c r="BE86" s="28"/>
      <c r="BF86" s="28"/>
      <c r="BG86" s="29"/>
    </row>
    <row r="87" spans="2:67" x14ac:dyDescent="0.25">
      <c r="AN87" s="24"/>
      <c r="BB87" s="27"/>
      <c r="BC87" s="24"/>
      <c r="BD87" s="28"/>
      <c r="BE87" s="28"/>
      <c r="BF87" s="28"/>
      <c r="BG87" s="29"/>
    </row>
    <row r="88" spans="2:67" x14ac:dyDescent="0.25">
      <c r="AN88" s="24"/>
      <c r="BB88" s="27"/>
      <c r="BC88" s="24"/>
      <c r="BD88" s="28"/>
      <c r="BE88" s="28"/>
      <c r="BF88" s="28"/>
      <c r="BG88" s="29"/>
    </row>
    <row r="89" spans="2:67" x14ac:dyDescent="0.25">
      <c r="AN89" s="24"/>
      <c r="BB89" s="27"/>
      <c r="BC89" s="24"/>
      <c r="BD89" s="28"/>
      <c r="BE89" s="28"/>
      <c r="BF89" s="28"/>
      <c r="BG89" s="29"/>
    </row>
    <row r="90" spans="2:67" x14ac:dyDescent="0.25">
      <c r="AN90" s="24"/>
      <c r="BB90" s="27"/>
      <c r="BC90" s="24"/>
      <c r="BD90" s="28"/>
      <c r="BE90" s="28"/>
      <c r="BF90" s="28"/>
      <c r="BG90" s="29"/>
    </row>
    <row r="91" spans="2:67" x14ac:dyDescent="0.25">
      <c r="AN91" s="24"/>
      <c r="BB91" s="27"/>
      <c r="BC91" s="24"/>
      <c r="BD91" s="28"/>
      <c r="BE91" s="28"/>
      <c r="BF91" s="28"/>
      <c r="BG91" s="29"/>
    </row>
    <row r="92" spans="2:67" x14ac:dyDescent="0.25">
      <c r="AN92" s="24"/>
      <c r="BB92" s="27"/>
      <c r="BC92" s="24"/>
      <c r="BD92" s="28"/>
      <c r="BE92" s="28"/>
      <c r="BF92" s="28"/>
      <c r="BG92" s="29"/>
    </row>
    <row r="93" spans="2:67" x14ac:dyDescent="0.25">
      <c r="AN93" s="24"/>
      <c r="BB93" s="27"/>
      <c r="BC93" s="24"/>
      <c r="BD93" s="28"/>
      <c r="BE93" s="28"/>
      <c r="BF93" s="28"/>
      <c r="BG93" s="29"/>
    </row>
    <row r="94" spans="2:67" x14ac:dyDescent="0.25">
      <c r="AN94" s="24"/>
      <c r="BB94" s="27"/>
      <c r="BC94" s="24"/>
      <c r="BD94" s="28"/>
      <c r="BE94" s="28"/>
      <c r="BF94" s="28"/>
      <c r="BG94" s="29"/>
    </row>
    <row r="95" spans="2:67" x14ac:dyDescent="0.25">
      <c r="AN95" s="24"/>
      <c r="BB95" s="27"/>
      <c r="BC95" s="24"/>
      <c r="BD95" s="28"/>
      <c r="BE95" s="28"/>
      <c r="BF95" s="28"/>
      <c r="BG95" s="29"/>
    </row>
    <row r="96" spans="2:67" x14ac:dyDescent="0.25">
      <c r="AN96" s="24"/>
      <c r="BB96" s="27"/>
      <c r="BC96" s="24"/>
      <c r="BD96" s="28"/>
      <c r="BE96" s="28"/>
      <c r="BF96" s="28"/>
      <c r="BG96" s="29"/>
    </row>
    <row r="97" spans="40:59" x14ac:dyDescent="0.25">
      <c r="AN97" s="24"/>
      <c r="BB97" s="27"/>
      <c r="BC97" s="24"/>
      <c r="BD97" s="28"/>
      <c r="BE97" s="28"/>
      <c r="BF97" s="28"/>
      <c r="BG97" s="29"/>
    </row>
    <row r="98" spans="40:59" x14ac:dyDescent="0.25">
      <c r="AN98" s="24"/>
      <c r="BB98" s="27"/>
      <c r="BC98" s="24"/>
      <c r="BD98" s="28"/>
      <c r="BE98" s="28"/>
      <c r="BF98" s="28"/>
      <c r="BG98" s="29"/>
    </row>
    <row r="99" spans="40:59" x14ac:dyDescent="0.25">
      <c r="AN99" s="24"/>
      <c r="BB99" s="27"/>
      <c r="BC99" s="24"/>
      <c r="BD99" s="28"/>
      <c r="BE99" s="28"/>
      <c r="BF99" s="28"/>
      <c r="BG99" s="29"/>
    </row>
    <row r="100" spans="40:59" x14ac:dyDescent="0.25">
      <c r="AN100" s="24"/>
      <c r="BB100" s="27"/>
      <c r="BC100" s="24"/>
      <c r="BD100" s="28"/>
      <c r="BE100" s="28"/>
      <c r="BF100" s="28"/>
      <c r="BG100" s="29"/>
    </row>
    <row r="101" spans="40:59" x14ac:dyDescent="0.25">
      <c r="AN101" s="24"/>
      <c r="BB101" s="27"/>
      <c r="BC101" s="24"/>
      <c r="BD101" s="28"/>
      <c r="BE101" s="28"/>
      <c r="BF101" s="28"/>
      <c r="BG101" s="29"/>
    </row>
    <row r="102" spans="40:59" x14ac:dyDescent="0.25">
      <c r="AN102" s="24"/>
      <c r="BB102" s="27"/>
      <c r="BC102" s="24"/>
      <c r="BD102" s="28"/>
      <c r="BE102" s="28"/>
      <c r="BF102" s="28"/>
      <c r="BG102" s="29"/>
    </row>
    <row r="103" spans="40:59" x14ac:dyDescent="0.25">
      <c r="AN103" s="24"/>
      <c r="BB103" s="27"/>
      <c r="BC103" s="24"/>
      <c r="BD103" s="28"/>
      <c r="BE103" s="28"/>
      <c r="BF103" s="28"/>
      <c r="BG103" s="29"/>
    </row>
    <row r="104" spans="40:59" x14ac:dyDescent="0.25">
      <c r="AN104" s="24"/>
      <c r="BB104" s="27"/>
    </row>
    <row r="105" spans="40:59" x14ac:dyDescent="0.25">
      <c r="AN105" s="24"/>
      <c r="BB105" s="27"/>
    </row>
    <row r="106" spans="40:59" x14ac:dyDescent="0.25">
      <c r="AN106" s="24"/>
      <c r="BB106" s="27"/>
    </row>
    <row r="107" spans="40:59" x14ac:dyDescent="0.25">
      <c r="AN107" s="24"/>
      <c r="BB107" s="27"/>
    </row>
    <row r="108" spans="40:59" x14ac:dyDescent="0.25">
      <c r="AN108" s="24"/>
      <c r="BB108" s="27"/>
    </row>
    <row r="109" spans="40:59" x14ac:dyDescent="0.25">
      <c r="AN109" s="24"/>
      <c r="BB109" s="27"/>
    </row>
    <row r="110" spans="40:59" x14ac:dyDescent="0.25">
      <c r="AN110" s="24"/>
    </row>
    <row r="111" spans="40:59" x14ac:dyDescent="0.25">
      <c r="AN111" s="24"/>
    </row>
    <row r="112" spans="40:59" x14ac:dyDescent="0.25">
      <c r="AN112" s="24"/>
    </row>
    <row r="113" spans="40:40" x14ac:dyDescent="0.25">
      <c r="AN113" s="24"/>
    </row>
    <row r="114" spans="40:40" x14ac:dyDescent="0.25">
      <c r="AN114" s="24"/>
    </row>
    <row r="115" spans="40:40" x14ac:dyDescent="0.25">
      <c r="AN115" s="24"/>
    </row>
    <row r="116" spans="40:40" x14ac:dyDescent="0.25">
      <c r="AN116" s="24"/>
    </row>
    <row r="117" spans="40:40" x14ac:dyDescent="0.25">
      <c r="AN117" s="24"/>
    </row>
    <row r="118" spans="40:40" x14ac:dyDescent="0.25">
      <c r="AN118" s="24"/>
    </row>
    <row r="119" spans="40:40" x14ac:dyDescent="0.25">
      <c r="AN119" s="24"/>
    </row>
    <row r="120" spans="40:40" x14ac:dyDescent="0.25">
      <c r="AN120" s="24"/>
    </row>
    <row r="121" spans="40:40" x14ac:dyDescent="0.25">
      <c r="AN121" s="24"/>
    </row>
    <row r="122" spans="40:40" x14ac:dyDescent="0.25">
      <c r="AN122" s="24"/>
    </row>
    <row r="123" spans="40:40" x14ac:dyDescent="0.25">
      <c r="AN123" s="24"/>
    </row>
    <row r="124" spans="40:40" x14ac:dyDescent="0.25">
      <c r="AN124" s="24"/>
    </row>
    <row r="125" spans="40:40" x14ac:dyDescent="0.25">
      <c r="AN125" s="24"/>
    </row>
    <row r="126" spans="40:40" x14ac:dyDescent="0.25">
      <c r="AN126" s="24"/>
    </row>
    <row r="127" spans="40:40" x14ac:dyDescent="0.25">
      <c r="AN127" s="24"/>
    </row>
    <row r="128" spans="40:40" x14ac:dyDescent="0.25">
      <c r="AN128" s="24"/>
    </row>
    <row r="129" spans="40:40" x14ac:dyDescent="0.25">
      <c r="AN129" s="24"/>
    </row>
    <row r="130" spans="40:40" x14ac:dyDescent="0.25">
      <c r="AN130" s="24"/>
    </row>
    <row r="131" spans="40:40" x14ac:dyDescent="0.25">
      <c r="AN131" s="24"/>
    </row>
    <row r="132" spans="40:40" x14ac:dyDescent="0.25">
      <c r="AN132" s="24"/>
    </row>
    <row r="133" spans="40:40" x14ac:dyDescent="0.25">
      <c r="AN133" s="24"/>
    </row>
    <row r="134" spans="40:40" x14ac:dyDescent="0.25">
      <c r="AN134" s="24"/>
    </row>
    <row r="135" spans="40:40" x14ac:dyDescent="0.25">
      <c r="AN135" s="24"/>
    </row>
    <row r="136" spans="40:40" x14ac:dyDescent="0.25">
      <c r="AN136" s="24"/>
    </row>
    <row r="137" spans="40:40" x14ac:dyDescent="0.25">
      <c r="AN137" s="24"/>
    </row>
    <row r="138" spans="40:40" x14ac:dyDescent="0.25">
      <c r="AN138" s="24"/>
    </row>
    <row r="139" spans="40:40" x14ac:dyDescent="0.25">
      <c r="AN139" s="24"/>
    </row>
    <row r="140" spans="40:40" x14ac:dyDescent="0.25">
      <c r="AN140" s="24"/>
    </row>
    <row r="141" spans="40:40" x14ac:dyDescent="0.25">
      <c r="AN141" s="24"/>
    </row>
    <row r="142" spans="40:40" x14ac:dyDescent="0.25">
      <c r="AN142" s="24"/>
    </row>
    <row r="143" spans="40:40" x14ac:dyDescent="0.25">
      <c r="AN143" s="24"/>
    </row>
    <row r="144" spans="40:40" x14ac:dyDescent="0.25">
      <c r="AN144" s="24"/>
    </row>
    <row r="145" spans="40:40" x14ac:dyDescent="0.25">
      <c r="AN145" s="24"/>
    </row>
    <row r="146" spans="40:40" x14ac:dyDescent="0.25">
      <c r="AN146" s="24"/>
    </row>
    <row r="147" spans="40:40" x14ac:dyDescent="0.25">
      <c r="AN147" s="24"/>
    </row>
    <row r="148" spans="40:40" x14ac:dyDescent="0.25">
      <c r="AN148" s="24"/>
    </row>
    <row r="149" spans="40:40" x14ac:dyDescent="0.25">
      <c r="AN149" s="24"/>
    </row>
    <row r="150" spans="40:40" x14ac:dyDescent="0.25">
      <c r="AN150" s="24"/>
    </row>
    <row r="151" spans="40:40" x14ac:dyDescent="0.25">
      <c r="AN151" s="24"/>
    </row>
    <row r="152" spans="40:40" x14ac:dyDescent="0.25">
      <c r="AN152" s="24"/>
    </row>
    <row r="153" spans="40:40" x14ac:dyDescent="0.25">
      <c r="AN153" s="24"/>
    </row>
    <row r="154" spans="40:40" x14ac:dyDescent="0.25">
      <c r="AN154" s="24"/>
    </row>
    <row r="155" spans="40:40" x14ac:dyDescent="0.25">
      <c r="AN155" s="24"/>
    </row>
    <row r="156" spans="40:40" x14ac:dyDescent="0.25">
      <c r="AN156" s="24"/>
    </row>
    <row r="157" spans="40:40" x14ac:dyDescent="0.25">
      <c r="AN157" s="24"/>
    </row>
    <row r="158" spans="40:40" x14ac:dyDescent="0.25">
      <c r="AN158" s="24"/>
    </row>
    <row r="159" spans="40:40" x14ac:dyDescent="0.25">
      <c r="AN159" s="24"/>
    </row>
    <row r="160" spans="40:40" x14ac:dyDescent="0.25">
      <c r="AN160" s="24"/>
    </row>
    <row r="161" spans="40:40" x14ac:dyDescent="0.25">
      <c r="AN161" s="24"/>
    </row>
    <row r="162" spans="40:40" x14ac:dyDescent="0.25">
      <c r="AN162" s="24"/>
    </row>
    <row r="163" spans="40:40" x14ac:dyDescent="0.25">
      <c r="AN163" s="24"/>
    </row>
  </sheetData>
  <dataValidations count="4">
    <dataValidation type="list" allowBlank="1" showInputMessage="1" showErrorMessage="1" sqref="B19" xr:uid="{4A8AE90F-EFD6-478B-AAE3-AB31839A644B}">
      <formula1>"Standard,Discounted"</formula1>
    </dataValidation>
    <dataValidation type="list" allowBlank="1" showInputMessage="1" showErrorMessage="1" sqref="B44" xr:uid="{20E607E8-5E58-43AD-85F6-01E2C73EFDDA}">
      <formula1>"Yes,No"</formula1>
    </dataValidation>
    <dataValidation type="list" allowBlank="1" showInputMessage="1" showErrorMessage="1" sqref="B49" xr:uid="{1C4C727B-8910-43C7-967A-B20B4FFEE570}">
      <formula1>"Discounted nominal gains,Real gains,No"</formula1>
    </dataValidation>
    <dataValidation type="list" allowBlank="1" showInputMessage="1" showErrorMessage="1" sqref="B10" xr:uid="{DF059ABB-9DDD-48C3-B2A7-D5847DE21EEC}">
      <formula1>"2BR_F, 3BR_H"</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4215-66E7-44EB-BB5D-03FE2969BA57}">
  <dimension ref="A1:B158"/>
  <sheetViews>
    <sheetView topLeftCell="A145" workbookViewId="0">
      <selection activeCell="F24" sqref="F24"/>
    </sheetView>
  </sheetViews>
  <sheetFormatPr defaultRowHeight="15" x14ac:dyDescent="0.25"/>
  <cols>
    <col min="1" max="1" width="12.5703125" customWidth="1"/>
    <col min="2" max="2" width="59.5703125" bestFit="1" customWidth="1"/>
  </cols>
  <sheetData>
    <row r="1" spans="1:2" x14ac:dyDescent="0.25">
      <c r="B1" t="s">
        <v>529</v>
      </c>
    </row>
    <row r="2" spans="1:2" x14ac:dyDescent="0.25">
      <c r="A2" s="1">
        <v>31747</v>
      </c>
      <c r="B2">
        <v>44.4</v>
      </c>
    </row>
    <row r="3" spans="1:2" x14ac:dyDescent="0.25">
      <c r="A3" s="1">
        <v>31837</v>
      </c>
      <c r="B3">
        <v>45.3</v>
      </c>
    </row>
    <row r="4" spans="1:2" x14ac:dyDescent="0.25">
      <c r="A4" s="1">
        <v>31929</v>
      </c>
      <c r="B4">
        <v>46.1</v>
      </c>
    </row>
    <row r="5" spans="1:2" x14ac:dyDescent="0.25">
      <c r="A5" s="1">
        <v>32021</v>
      </c>
      <c r="B5">
        <v>46.8</v>
      </c>
    </row>
    <row r="6" spans="1:2" x14ac:dyDescent="0.25">
      <c r="A6" s="1">
        <v>32112</v>
      </c>
      <c r="B6">
        <v>47.6</v>
      </c>
    </row>
    <row r="7" spans="1:2" x14ac:dyDescent="0.25">
      <c r="A7" s="1">
        <v>32203</v>
      </c>
      <c r="B7">
        <v>48.4</v>
      </c>
    </row>
    <row r="8" spans="1:2" x14ac:dyDescent="0.25">
      <c r="A8" s="1">
        <v>32295</v>
      </c>
      <c r="B8">
        <v>49.3</v>
      </c>
    </row>
    <row r="9" spans="1:2" x14ac:dyDescent="0.25">
      <c r="A9" s="1">
        <v>32387</v>
      </c>
      <c r="B9">
        <v>50.3</v>
      </c>
    </row>
    <row r="10" spans="1:2" x14ac:dyDescent="0.25">
      <c r="A10" s="1">
        <v>32478</v>
      </c>
      <c r="B10">
        <v>51.2</v>
      </c>
    </row>
    <row r="11" spans="1:2" x14ac:dyDescent="0.25">
      <c r="A11" s="1">
        <v>32568</v>
      </c>
      <c r="B11">
        <v>51.7</v>
      </c>
    </row>
    <row r="12" spans="1:2" x14ac:dyDescent="0.25">
      <c r="A12" s="1">
        <v>32660</v>
      </c>
      <c r="B12">
        <v>53.1</v>
      </c>
    </row>
    <row r="13" spans="1:2" x14ac:dyDescent="0.25">
      <c r="A13" s="1">
        <v>32752</v>
      </c>
      <c r="B13">
        <v>54.3</v>
      </c>
    </row>
    <row r="14" spans="1:2" x14ac:dyDescent="0.25">
      <c r="A14" s="1">
        <v>32843</v>
      </c>
      <c r="B14">
        <v>55.2</v>
      </c>
    </row>
    <row r="15" spans="1:2" x14ac:dyDescent="0.25">
      <c r="A15" s="1">
        <v>32933</v>
      </c>
      <c r="B15">
        <v>56.1</v>
      </c>
    </row>
    <row r="16" spans="1:2" x14ac:dyDescent="0.25">
      <c r="A16" s="1">
        <v>33025</v>
      </c>
      <c r="B16">
        <v>57.1</v>
      </c>
    </row>
    <row r="17" spans="1:2" x14ac:dyDescent="0.25">
      <c r="A17" s="1">
        <v>33117</v>
      </c>
      <c r="B17">
        <v>57.6</v>
      </c>
    </row>
    <row r="18" spans="1:2" x14ac:dyDescent="0.25">
      <c r="A18" s="1">
        <v>33208</v>
      </c>
      <c r="B18">
        <v>59</v>
      </c>
    </row>
    <row r="19" spans="1:2" x14ac:dyDescent="0.25">
      <c r="A19" s="1">
        <v>33298</v>
      </c>
      <c r="B19">
        <v>58.9</v>
      </c>
    </row>
    <row r="20" spans="1:2" x14ac:dyDescent="0.25">
      <c r="A20" s="1">
        <v>33390</v>
      </c>
      <c r="B20">
        <v>59.1</v>
      </c>
    </row>
    <row r="21" spans="1:2" x14ac:dyDescent="0.25">
      <c r="A21" s="1">
        <v>33482</v>
      </c>
      <c r="B21">
        <v>59.5</v>
      </c>
    </row>
    <row r="22" spans="1:2" x14ac:dyDescent="0.25">
      <c r="A22" s="1">
        <v>33573</v>
      </c>
      <c r="B22">
        <v>59.9</v>
      </c>
    </row>
    <row r="23" spans="1:2" x14ac:dyDescent="0.25">
      <c r="A23" s="1">
        <v>33664</v>
      </c>
      <c r="B23">
        <v>59.9</v>
      </c>
    </row>
    <row r="24" spans="1:2" x14ac:dyDescent="0.25">
      <c r="A24" s="1">
        <v>33756</v>
      </c>
      <c r="B24">
        <v>59.8</v>
      </c>
    </row>
    <row r="25" spans="1:2" x14ac:dyDescent="0.25">
      <c r="A25" s="1">
        <v>33848</v>
      </c>
      <c r="B25">
        <v>59.9</v>
      </c>
    </row>
    <row r="26" spans="1:2" x14ac:dyDescent="0.25">
      <c r="A26" s="1">
        <v>33939</v>
      </c>
      <c r="B26">
        <v>60.1</v>
      </c>
    </row>
    <row r="27" spans="1:2" x14ac:dyDescent="0.25">
      <c r="A27" s="1">
        <v>34029</v>
      </c>
      <c r="B27">
        <v>60.6</v>
      </c>
    </row>
    <row r="28" spans="1:2" x14ac:dyDescent="0.25">
      <c r="A28" s="1">
        <v>34121</v>
      </c>
      <c r="B28">
        <v>60.9</v>
      </c>
    </row>
    <row r="29" spans="1:2" x14ac:dyDescent="0.25">
      <c r="A29" s="1">
        <v>34213</v>
      </c>
      <c r="B29">
        <v>61.2</v>
      </c>
    </row>
    <row r="30" spans="1:2" x14ac:dyDescent="0.25">
      <c r="A30" s="1">
        <v>34304</v>
      </c>
      <c r="B30">
        <v>61.2</v>
      </c>
    </row>
    <row r="31" spans="1:2" x14ac:dyDescent="0.25">
      <c r="A31" s="1">
        <v>34394</v>
      </c>
      <c r="B31">
        <v>61.5</v>
      </c>
    </row>
    <row r="32" spans="1:2" x14ac:dyDescent="0.25">
      <c r="A32" s="1">
        <v>34486</v>
      </c>
      <c r="B32">
        <v>61.9</v>
      </c>
    </row>
    <row r="33" spans="1:2" x14ac:dyDescent="0.25">
      <c r="A33" s="1">
        <v>34578</v>
      </c>
      <c r="B33">
        <v>62.3</v>
      </c>
    </row>
    <row r="34" spans="1:2" x14ac:dyDescent="0.25">
      <c r="A34" s="1">
        <v>34669</v>
      </c>
      <c r="B34">
        <v>62.9</v>
      </c>
    </row>
    <row r="35" spans="1:2" x14ac:dyDescent="0.25">
      <c r="A35" s="1">
        <v>34759</v>
      </c>
      <c r="B35">
        <v>63.9</v>
      </c>
    </row>
    <row r="36" spans="1:2" x14ac:dyDescent="0.25">
      <c r="A36" s="1">
        <v>34851</v>
      </c>
      <c r="B36">
        <v>64.7</v>
      </c>
    </row>
    <row r="37" spans="1:2" x14ac:dyDescent="0.25">
      <c r="A37" s="1">
        <v>34943</v>
      </c>
      <c r="B37">
        <v>65.5</v>
      </c>
    </row>
    <row r="38" spans="1:2" x14ac:dyDescent="0.25">
      <c r="A38" s="1">
        <v>35034</v>
      </c>
      <c r="B38">
        <v>66</v>
      </c>
    </row>
    <row r="39" spans="1:2" x14ac:dyDescent="0.25">
      <c r="A39" s="1">
        <v>35125</v>
      </c>
      <c r="B39">
        <v>66.3</v>
      </c>
    </row>
    <row r="40" spans="1:2" x14ac:dyDescent="0.25">
      <c r="A40" s="1">
        <v>35217</v>
      </c>
      <c r="B40">
        <v>66.7</v>
      </c>
    </row>
    <row r="41" spans="1:2" x14ac:dyDescent="0.25">
      <c r="A41" s="1">
        <v>35309</v>
      </c>
      <c r="B41">
        <v>66.900000000000006</v>
      </c>
    </row>
    <row r="42" spans="1:2" x14ac:dyDescent="0.25">
      <c r="A42" s="1">
        <v>35400</v>
      </c>
      <c r="B42">
        <v>67.099999999999994</v>
      </c>
    </row>
    <row r="43" spans="1:2" x14ac:dyDescent="0.25">
      <c r="A43" s="1">
        <v>35490</v>
      </c>
      <c r="B43">
        <v>67.099999999999994</v>
      </c>
    </row>
    <row r="44" spans="1:2" x14ac:dyDescent="0.25">
      <c r="A44" s="1">
        <v>35582</v>
      </c>
      <c r="B44">
        <v>66.900000000000006</v>
      </c>
    </row>
    <row r="45" spans="1:2" x14ac:dyDescent="0.25">
      <c r="A45" s="1">
        <v>35674</v>
      </c>
      <c r="B45">
        <v>66.7</v>
      </c>
    </row>
    <row r="46" spans="1:2" x14ac:dyDescent="0.25">
      <c r="A46" s="1">
        <v>35765</v>
      </c>
      <c r="B46">
        <v>66.900000000000006</v>
      </c>
    </row>
    <row r="47" spans="1:2" x14ac:dyDescent="0.25">
      <c r="A47" s="1">
        <v>35855</v>
      </c>
      <c r="B47">
        <v>67</v>
      </c>
    </row>
    <row r="48" spans="1:2" x14ac:dyDescent="0.25">
      <c r="A48" s="1">
        <v>35947</v>
      </c>
      <c r="B48">
        <v>67.400000000000006</v>
      </c>
    </row>
    <row r="49" spans="1:2" x14ac:dyDescent="0.25">
      <c r="A49" s="1">
        <v>36039</v>
      </c>
      <c r="B49">
        <v>67.599999999999994</v>
      </c>
    </row>
    <row r="50" spans="1:2" x14ac:dyDescent="0.25">
      <c r="A50" s="1">
        <v>36130</v>
      </c>
      <c r="B50">
        <v>67.900000000000006</v>
      </c>
    </row>
    <row r="51" spans="1:2" x14ac:dyDescent="0.25">
      <c r="A51" s="1">
        <v>36220</v>
      </c>
      <c r="B51">
        <v>67.8</v>
      </c>
    </row>
    <row r="52" spans="1:2" x14ac:dyDescent="0.25">
      <c r="A52" s="1">
        <v>36312</v>
      </c>
      <c r="B52">
        <v>68.099999999999994</v>
      </c>
    </row>
    <row r="53" spans="1:2" x14ac:dyDescent="0.25">
      <c r="A53" s="1">
        <v>36404</v>
      </c>
      <c r="B53">
        <v>68.7</v>
      </c>
    </row>
    <row r="54" spans="1:2" x14ac:dyDescent="0.25">
      <c r="A54" s="1">
        <v>36495</v>
      </c>
      <c r="B54">
        <v>69.099999999999994</v>
      </c>
    </row>
    <row r="55" spans="1:2" x14ac:dyDescent="0.25">
      <c r="A55" s="1">
        <v>36586</v>
      </c>
      <c r="B55">
        <v>69.7</v>
      </c>
    </row>
    <row r="56" spans="1:2" x14ac:dyDescent="0.25">
      <c r="A56" s="1">
        <v>36678</v>
      </c>
      <c r="B56">
        <v>70.2</v>
      </c>
    </row>
    <row r="57" spans="1:2" x14ac:dyDescent="0.25">
      <c r="A57" s="1">
        <v>36770</v>
      </c>
      <c r="B57">
        <v>72.900000000000006</v>
      </c>
    </row>
    <row r="58" spans="1:2" x14ac:dyDescent="0.25">
      <c r="A58" s="1">
        <v>36861</v>
      </c>
      <c r="B58">
        <v>73.099999999999994</v>
      </c>
    </row>
    <row r="59" spans="1:2" x14ac:dyDescent="0.25">
      <c r="A59" s="1">
        <v>36951</v>
      </c>
      <c r="B59">
        <v>73.900000000000006</v>
      </c>
    </row>
    <row r="60" spans="1:2" x14ac:dyDescent="0.25">
      <c r="A60" s="1">
        <v>37043</v>
      </c>
      <c r="B60">
        <v>74.5</v>
      </c>
    </row>
    <row r="61" spans="1:2" x14ac:dyDescent="0.25">
      <c r="A61" s="1">
        <v>37135</v>
      </c>
      <c r="B61">
        <v>74.7</v>
      </c>
    </row>
    <row r="62" spans="1:2" x14ac:dyDescent="0.25">
      <c r="A62" s="1">
        <v>37226</v>
      </c>
      <c r="B62">
        <v>75.400000000000006</v>
      </c>
    </row>
    <row r="63" spans="1:2" x14ac:dyDescent="0.25">
      <c r="A63" s="1">
        <v>37316</v>
      </c>
      <c r="B63">
        <v>76.099999999999994</v>
      </c>
    </row>
    <row r="64" spans="1:2" x14ac:dyDescent="0.25">
      <c r="A64" s="1">
        <v>37408</v>
      </c>
      <c r="B64">
        <v>76.599999999999994</v>
      </c>
    </row>
    <row r="65" spans="1:2" x14ac:dyDescent="0.25">
      <c r="A65" s="1">
        <v>37500</v>
      </c>
      <c r="B65">
        <v>77.2</v>
      </c>
    </row>
    <row r="66" spans="1:2" x14ac:dyDescent="0.25">
      <c r="A66" s="1">
        <v>37591</v>
      </c>
      <c r="B66">
        <v>77.7</v>
      </c>
    </row>
    <row r="67" spans="1:2" x14ac:dyDescent="0.25">
      <c r="A67" s="1">
        <v>37681</v>
      </c>
      <c r="B67">
        <v>78.7</v>
      </c>
    </row>
    <row r="68" spans="1:2" x14ac:dyDescent="0.25">
      <c r="A68" s="1">
        <v>37773</v>
      </c>
      <c r="B68">
        <v>78.599999999999994</v>
      </c>
    </row>
    <row r="69" spans="1:2" x14ac:dyDescent="0.25">
      <c r="A69" s="1">
        <v>37865</v>
      </c>
      <c r="B69">
        <v>79.099999999999994</v>
      </c>
    </row>
    <row r="70" spans="1:2" x14ac:dyDescent="0.25">
      <c r="A70" s="1">
        <v>37956</v>
      </c>
      <c r="B70">
        <v>79.599999999999994</v>
      </c>
    </row>
    <row r="71" spans="1:2" x14ac:dyDescent="0.25">
      <c r="A71" s="1">
        <v>38047</v>
      </c>
      <c r="B71">
        <v>80.2</v>
      </c>
    </row>
    <row r="72" spans="1:2" x14ac:dyDescent="0.25">
      <c r="A72" s="1">
        <v>38139</v>
      </c>
      <c r="B72">
        <v>80.599999999999994</v>
      </c>
    </row>
    <row r="73" spans="1:2" x14ac:dyDescent="0.25">
      <c r="A73" s="1">
        <v>38231</v>
      </c>
      <c r="B73">
        <v>80.900000000000006</v>
      </c>
    </row>
    <row r="74" spans="1:2" x14ac:dyDescent="0.25">
      <c r="A74" s="1">
        <v>38322</v>
      </c>
      <c r="B74">
        <v>81.7</v>
      </c>
    </row>
    <row r="75" spans="1:2" x14ac:dyDescent="0.25">
      <c r="A75" s="1">
        <v>38412</v>
      </c>
      <c r="B75">
        <v>82.1</v>
      </c>
    </row>
    <row r="76" spans="1:2" x14ac:dyDescent="0.25">
      <c r="A76" s="1">
        <v>38504</v>
      </c>
      <c r="B76">
        <v>82.6</v>
      </c>
    </row>
    <row r="77" spans="1:2" x14ac:dyDescent="0.25">
      <c r="A77" s="1">
        <v>38596</v>
      </c>
      <c r="B77">
        <v>83.4</v>
      </c>
    </row>
    <row r="78" spans="1:2" x14ac:dyDescent="0.25">
      <c r="A78" s="1">
        <v>38687</v>
      </c>
      <c r="B78">
        <v>83.9</v>
      </c>
    </row>
    <row r="79" spans="1:2" x14ac:dyDescent="0.25">
      <c r="A79" s="1">
        <v>38777</v>
      </c>
      <c r="B79">
        <v>84.6</v>
      </c>
    </row>
    <row r="80" spans="1:2" x14ac:dyDescent="0.25">
      <c r="A80" s="1">
        <v>38869</v>
      </c>
      <c r="B80">
        <v>85.9</v>
      </c>
    </row>
    <row r="81" spans="1:2" x14ac:dyDescent="0.25">
      <c r="A81" s="1">
        <v>38961</v>
      </c>
      <c r="B81">
        <v>86.6</v>
      </c>
    </row>
    <row r="82" spans="1:2" x14ac:dyDescent="0.25">
      <c r="A82" s="1">
        <v>39052</v>
      </c>
      <c r="B82">
        <v>86.7</v>
      </c>
    </row>
    <row r="83" spans="1:2" x14ac:dyDescent="0.25">
      <c r="A83" s="1">
        <v>39142</v>
      </c>
      <c r="B83">
        <v>86.7</v>
      </c>
    </row>
    <row r="84" spans="1:2" x14ac:dyDescent="0.25">
      <c r="A84" s="1">
        <v>39234</v>
      </c>
      <c r="B84">
        <v>87.7</v>
      </c>
    </row>
    <row r="85" spans="1:2" x14ac:dyDescent="0.25">
      <c r="A85" s="1">
        <v>39326</v>
      </c>
      <c r="B85">
        <v>88.2</v>
      </c>
    </row>
    <row r="86" spans="1:2" x14ac:dyDescent="0.25">
      <c r="A86" s="1">
        <v>39417</v>
      </c>
      <c r="B86">
        <v>89.3</v>
      </c>
    </row>
    <row r="87" spans="1:2" x14ac:dyDescent="0.25">
      <c r="A87" s="1">
        <v>39508</v>
      </c>
      <c r="B87">
        <v>90.4</v>
      </c>
    </row>
    <row r="88" spans="1:2" x14ac:dyDescent="0.25">
      <c r="A88" s="1">
        <v>39600</v>
      </c>
      <c r="B88">
        <v>91.6</v>
      </c>
    </row>
    <row r="89" spans="1:2" x14ac:dyDescent="0.25">
      <c r="A89" s="1">
        <v>39692</v>
      </c>
      <c r="B89">
        <v>92.6</v>
      </c>
    </row>
    <row r="90" spans="1:2" x14ac:dyDescent="0.25">
      <c r="A90" s="1">
        <v>39783</v>
      </c>
      <c r="B90">
        <v>92.6</v>
      </c>
    </row>
    <row r="91" spans="1:2" x14ac:dyDescent="0.25">
      <c r="A91" s="1">
        <v>39873</v>
      </c>
      <c r="B91">
        <v>92.5</v>
      </c>
    </row>
    <row r="92" spans="1:2" x14ac:dyDescent="0.25">
      <c r="A92" s="1">
        <v>39965</v>
      </c>
      <c r="B92">
        <v>93</v>
      </c>
    </row>
    <row r="93" spans="1:2" x14ac:dyDescent="0.25">
      <c r="A93" s="1">
        <v>40057</v>
      </c>
      <c r="B93">
        <v>93.7</v>
      </c>
    </row>
    <row r="94" spans="1:2" x14ac:dyDescent="0.25">
      <c r="A94" s="1">
        <v>40148</v>
      </c>
      <c r="B94">
        <v>94.5</v>
      </c>
    </row>
    <row r="95" spans="1:2" x14ac:dyDescent="0.25">
      <c r="A95" s="1">
        <v>40238</v>
      </c>
      <c r="B95">
        <v>95.2</v>
      </c>
    </row>
    <row r="96" spans="1:2" x14ac:dyDescent="0.25">
      <c r="A96" s="1">
        <v>40330</v>
      </c>
      <c r="B96">
        <v>95.8</v>
      </c>
    </row>
    <row r="97" spans="1:2" x14ac:dyDescent="0.25">
      <c r="A97" s="1">
        <v>40422</v>
      </c>
      <c r="B97">
        <v>96.4</v>
      </c>
    </row>
    <row r="98" spans="1:2" x14ac:dyDescent="0.25">
      <c r="A98" s="1">
        <v>40513</v>
      </c>
      <c r="B98">
        <v>97</v>
      </c>
    </row>
    <row r="99" spans="1:2" x14ac:dyDescent="0.25">
      <c r="A99" s="1">
        <v>40603</v>
      </c>
      <c r="B99">
        <v>98.4</v>
      </c>
    </row>
    <row r="100" spans="1:2" x14ac:dyDescent="0.25">
      <c r="A100" s="1">
        <v>40695</v>
      </c>
      <c r="B100">
        <v>99.3</v>
      </c>
    </row>
    <row r="101" spans="1:2" x14ac:dyDescent="0.25">
      <c r="A101" s="1">
        <v>40787</v>
      </c>
      <c r="B101">
        <v>99.7</v>
      </c>
    </row>
    <row r="102" spans="1:2" x14ac:dyDescent="0.25">
      <c r="A102" s="1">
        <v>40878</v>
      </c>
      <c r="B102">
        <v>99.9</v>
      </c>
    </row>
    <row r="103" spans="1:2" x14ac:dyDescent="0.25">
      <c r="A103" s="1">
        <v>40969</v>
      </c>
      <c r="B103">
        <v>99.9</v>
      </c>
    </row>
    <row r="104" spans="1:2" x14ac:dyDescent="0.25">
      <c r="A104" s="1">
        <v>41061</v>
      </c>
      <c r="B104">
        <v>100.5</v>
      </c>
    </row>
    <row r="105" spans="1:2" x14ac:dyDescent="0.25">
      <c r="A105" s="1">
        <v>41153</v>
      </c>
      <c r="B105">
        <v>101.6</v>
      </c>
    </row>
    <row r="106" spans="1:2" x14ac:dyDescent="0.25">
      <c r="A106" s="1">
        <v>41244</v>
      </c>
      <c r="B106">
        <v>102</v>
      </c>
    </row>
    <row r="107" spans="1:2" x14ac:dyDescent="0.25">
      <c r="A107" s="1">
        <v>41334</v>
      </c>
      <c r="B107">
        <v>102.4</v>
      </c>
    </row>
    <row r="108" spans="1:2" x14ac:dyDescent="0.25">
      <c r="A108" s="1">
        <v>41426</v>
      </c>
      <c r="B108">
        <v>102.9</v>
      </c>
    </row>
    <row r="109" spans="1:2" x14ac:dyDescent="0.25">
      <c r="A109" s="1">
        <v>41518</v>
      </c>
      <c r="B109">
        <v>103.9</v>
      </c>
    </row>
    <row r="110" spans="1:2" x14ac:dyDescent="0.25">
      <c r="A110" s="1">
        <v>41609</v>
      </c>
      <c r="B110">
        <v>104.7</v>
      </c>
    </row>
    <row r="111" spans="1:2" x14ac:dyDescent="0.25">
      <c r="A111" s="1">
        <v>41699</v>
      </c>
      <c r="B111">
        <v>105.4</v>
      </c>
    </row>
    <row r="112" spans="1:2" x14ac:dyDescent="0.25">
      <c r="A112" s="1">
        <v>41791</v>
      </c>
      <c r="B112">
        <v>106.1</v>
      </c>
    </row>
    <row r="113" spans="1:2" x14ac:dyDescent="0.25">
      <c r="A113" s="1">
        <v>41883</v>
      </c>
      <c r="B113">
        <v>106.3</v>
      </c>
    </row>
    <row r="114" spans="1:2" x14ac:dyDescent="0.25">
      <c r="A114" s="1">
        <v>41974</v>
      </c>
      <c r="B114">
        <v>106.5</v>
      </c>
    </row>
    <row r="115" spans="1:2" x14ac:dyDescent="0.25">
      <c r="A115" s="1">
        <v>42064</v>
      </c>
      <c r="B115">
        <v>106.8</v>
      </c>
    </row>
    <row r="116" spans="1:2" x14ac:dyDescent="0.25">
      <c r="A116" s="1">
        <v>42156</v>
      </c>
      <c r="B116">
        <v>107.7</v>
      </c>
    </row>
    <row r="117" spans="1:2" x14ac:dyDescent="0.25">
      <c r="A117" s="1">
        <v>42248</v>
      </c>
      <c r="B117">
        <v>107.8</v>
      </c>
    </row>
    <row r="118" spans="1:2" x14ac:dyDescent="0.25">
      <c r="A118" s="1">
        <v>42339</v>
      </c>
      <c r="B118">
        <v>108.3</v>
      </c>
    </row>
    <row r="119" spans="1:2" x14ac:dyDescent="0.25">
      <c r="A119" s="1">
        <v>42430</v>
      </c>
      <c r="B119">
        <v>108.2</v>
      </c>
    </row>
    <row r="120" spans="1:2" x14ac:dyDescent="0.25">
      <c r="A120" s="1">
        <v>42522</v>
      </c>
      <c r="B120">
        <v>108.8</v>
      </c>
    </row>
    <row r="121" spans="1:2" x14ac:dyDescent="0.25">
      <c r="A121" s="1">
        <v>42614</v>
      </c>
      <c r="B121">
        <v>109.3</v>
      </c>
    </row>
    <row r="122" spans="1:2" x14ac:dyDescent="0.25">
      <c r="A122" s="1">
        <v>42705</v>
      </c>
      <c r="B122">
        <v>109.8</v>
      </c>
    </row>
    <row r="123" spans="1:2" x14ac:dyDescent="0.25">
      <c r="A123" s="1">
        <v>42795</v>
      </c>
      <c r="B123">
        <v>110.5</v>
      </c>
    </row>
    <row r="124" spans="1:2" x14ac:dyDescent="0.25">
      <c r="A124" s="1">
        <v>42887</v>
      </c>
      <c r="B124">
        <v>110.9</v>
      </c>
    </row>
    <row r="125" spans="1:2" x14ac:dyDescent="0.25">
      <c r="A125" s="1">
        <v>42979</v>
      </c>
      <c r="B125">
        <v>111.3</v>
      </c>
    </row>
    <row r="126" spans="1:2" x14ac:dyDescent="0.25">
      <c r="A126" s="1">
        <v>43070</v>
      </c>
      <c r="B126">
        <v>112.1</v>
      </c>
    </row>
    <row r="127" spans="1:2" x14ac:dyDescent="0.25">
      <c r="A127" s="1">
        <v>43160</v>
      </c>
      <c r="B127">
        <v>112.7</v>
      </c>
    </row>
    <row r="128" spans="1:2" x14ac:dyDescent="0.25">
      <c r="A128" s="1">
        <v>43252</v>
      </c>
      <c r="B128">
        <v>113.2</v>
      </c>
    </row>
    <row r="129" spans="1:2" x14ac:dyDescent="0.25">
      <c r="A129" s="1">
        <v>43344</v>
      </c>
      <c r="B129">
        <v>113.5</v>
      </c>
    </row>
    <row r="130" spans="1:2" x14ac:dyDescent="0.25">
      <c r="A130" s="1">
        <v>43435</v>
      </c>
      <c r="B130">
        <v>114</v>
      </c>
    </row>
    <row r="131" spans="1:2" x14ac:dyDescent="0.25">
      <c r="A131" s="1">
        <v>43525</v>
      </c>
      <c r="B131">
        <v>114.1</v>
      </c>
    </row>
    <row r="132" spans="1:2" x14ac:dyDescent="0.25">
      <c r="A132" s="1">
        <v>43617</v>
      </c>
      <c r="B132">
        <v>114.9</v>
      </c>
    </row>
    <row r="133" spans="1:2" x14ac:dyDescent="0.25">
      <c r="A133" s="1">
        <v>43709</v>
      </c>
      <c r="B133">
        <v>115.4</v>
      </c>
    </row>
    <row r="134" spans="1:2" x14ac:dyDescent="0.25">
      <c r="A134" s="1">
        <v>43800</v>
      </c>
      <c r="B134">
        <v>116.1</v>
      </c>
    </row>
    <row r="135" spans="1:2" x14ac:dyDescent="0.25">
      <c r="A135" s="1">
        <v>43891</v>
      </c>
      <c r="B135">
        <v>116.7</v>
      </c>
    </row>
    <row r="136" spans="1:2" x14ac:dyDescent="0.25">
      <c r="A136" s="1">
        <v>43983</v>
      </c>
      <c r="B136">
        <v>114.5</v>
      </c>
    </row>
    <row r="137" spans="1:2" x14ac:dyDescent="0.25">
      <c r="A137" s="1">
        <v>44075</v>
      </c>
      <c r="B137">
        <v>116.2</v>
      </c>
    </row>
    <row r="138" spans="1:2" x14ac:dyDescent="0.25">
      <c r="A138" s="1">
        <v>44166</v>
      </c>
      <c r="B138">
        <v>117.2</v>
      </c>
    </row>
    <row r="139" spans="1:2" x14ac:dyDescent="0.25">
      <c r="A139" s="1">
        <v>44256</v>
      </c>
      <c r="B139">
        <v>117.8</v>
      </c>
    </row>
    <row r="140" spans="1:2" x14ac:dyDescent="0.25">
      <c r="A140" s="1">
        <v>44348</v>
      </c>
      <c r="B140">
        <v>118.8</v>
      </c>
    </row>
    <row r="141" spans="1:2" x14ac:dyDescent="0.25">
      <c r="A141" s="1">
        <v>44440</v>
      </c>
      <c r="B141">
        <v>119.8</v>
      </c>
    </row>
    <row r="142" spans="1:2" x14ac:dyDescent="0.25">
      <c r="A142" s="1">
        <v>44531</v>
      </c>
      <c r="B142">
        <v>121.4</v>
      </c>
    </row>
    <row r="143" spans="1:2" x14ac:dyDescent="0.25">
      <c r="A143" s="1">
        <v>44621</v>
      </c>
      <c r="B143">
        <v>123.9</v>
      </c>
    </row>
    <row r="144" spans="1:2" x14ac:dyDescent="0.25">
      <c r="A144" s="1">
        <v>44713</v>
      </c>
      <c r="B144">
        <v>126.1</v>
      </c>
    </row>
    <row r="145" spans="1:2" x14ac:dyDescent="0.25">
      <c r="A145" s="1">
        <v>44805</v>
      </c>
      <c r="B145">
        <v>128.4</v>
      </c>
    </row>
    <row r="146" spans="1:2" x14ac:dyDescent="0.25">
      <c r="A146" s="1">
        <v>44896</v>
      </c>
      <c r="B146">
        <v>131</v>
      </c>
    </row>
    <row r="147" spans="1:2" x14ac:dyDescent="0.25">
      <c r="A147" s="1">
        <v>44986</v>
      </c>
      <c r="B147">
        <v>132.69999999999999</v>
      </c>
    </row>
    <row r="148" spans="1:2" x14ac:dyDescent="0.25">
      <c r="A148" s="1">
        <v>45078</v>
      </c>
      <c r="B148">
        <v>133.80000000000001</v>
      </c>
    </row>
    <row r="149" spans="1:2" x14ac:dyDescent="0.25">
      <c r="A149" s="1">
        <v>45170</v>
      </c>
      <c r="B149">
        <v>135.19999999999999</v>
      </c>
    </row>
    <row r="150" spans="1:2" x14ac:dyDescent="0.25">
      <c r="A150" s="1">
        <v>45261</v>
      </c>
      <c r="B150">
        <v>136.30000000000001</v>
      </c>
    </row>
    <row r="151" spans="1:2" x14ac:dyDescent="0.25">
      <c r="A151" s="1">
        <v>45352</v>
      </c>
      <c r="B151">
        <v>137.5</v>
      </c>
    </row>
    <row r="152" spans="1:2" x14ac:dyDescent="0.25">
      <c r="A152" s="1">
        <v>45444</v>
      </c>
      <c r="B152">
        <v>138.9</v>
      </c>
    </row>
    <row r="153" spans="1:2" x14ac:dyDescent="0.25">
      <c r="A153" s="1">
        <v>45536</v>
      </c>
      <c r="B153">
        <v>139.1</v>
      </c>
    </row>
    <row r="154" spans="1:2" x14ac:dyDescent="0.25">
      <c r="A154" s="1">
        <v>45627</v>
      </c>
      <c r="B154">
        <v>139.5</v>
      </c>
    </row>
    <row r="155" spans="1:2" x14ac:dyDescent="0.25">
      <c r="A155" s="1">
        <v>45717</v>
      </c>
      <c r="B155">
        <v>140.80000000000001</v>
      </c>
    </row>
    <row r="156" spans="1:2" x14ac:dyDescent="0.25">
      <c r="A156" s="1">
        <v>45809</v>
      </c>
      <c r="B156">
        <v>141.80000000000001</v>
      </c>
    </row>
    <row r="157" spans="1:2" x14ac:dyDescent="0.25">
      <c r="A157" s="1">
        <v>45901</v>
      </c>
      <c r="B157">
        <v>143.6</v>
      </c>
    </row>
    <row r="158" spans="1:2" x14ac:dyDescent="0.25">
      <c r="A158" s="1">
        <v>45992</v>
      </c>
      <c r="B158">
        <v>144.69999999999999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801B7-8FB8-446E-8A20-12BF0092375E}">
  <dimension ref="A1:F352"/>
  <sheetViews>
    <sheetView workbookViewId="0">
      <selection activeCell="C1" sqref="C1"/>
    </sheetView>
  </sheetViews>
  <sheetFormatPr defaultRowHeight="15" x14ac:dyDescent="0.25"/>
  <cols>
    <col min="1" max="1" width="10.42578125" bestFit="1" customWidth="1"/>
    <col min="2" max="2" width="10.42578125" customWidth="1"/>
    <col min="3" max="3" width="48.7109375" bestFit="1" customWidth="1"/>
    <col min="4" max="4" width="53" bestFit="1" customWidth="1"/>
    <col min="6" max="6" width="10.42578125" bestFit="1" customWidth="1"/>
  </cols>
  <sheetData>
    <row r="1" spans="1:4" x14ac:dyDescent="0.25">
      <c r="A1" s="30" t="s">
        <v>125</v>
      </c>
      <c r="B1" s="30" t="s">
        <v>366</v>
      </c>
      <c r="C1" s="30" t="s">
        <v>523</v>
      </c>
      <c r="D1" s="30" t="s">
        <v>524</v>
      </c>
    </row>
    <row r="2" spans="1:4" x14ac:dyDescent="0.25">
      <c r="A2" t="s">
        <v>412</v>
      </c>
      <c r="B2" s="3">
        <f>DATE(YEAR(A2),MONTH(A2)+1,1)</f>
        <v>35462</v>
      </c>
      <c r="C2">
        <v>419.26599499999998</v>
      </c>
      <c r="D2">
        <v>245.207708</v>
      </c>
    </row>
    <row r="3" spans="1:4" x14ac:dyDescent="0.25">
      <c r="A3" t="s">
        <v>413</v>
      </c>
      <c r="B3" s="3">
        <f t="shared" ref="B3:B66" si="0">DATE(YEAR(A3),MONTH(A3)+1,1)</f>
        <v>35490</v>
      </c>
      <c r="C3">
        <v>421.97543999999999</v>
      </c>
      <c r="D3">
        <v>249.744114</v>
      </c>
    </row>
    <row r="4" spans="1:4" x14ac:dyDescent="0.25">
      <c r="A4" t="s">
        <v>414</v>
      </c>
      <c r="B4" s="3">
        <f t="shared" si="0"/>
        <v>35521</v>
      </c>
      <c r="C4">
        <v>412.53766899999999</v>
      </c>
      <c r="D4">
        <v>247.58019400000001</v>
      </c>
    </row>
    <row r="5" spans="1:4" x14ac:dyDescent="0.25">
      <c r="A5" t="s">
        <v>415</v>
      </c>
      <c r="B5" s="3">
        <f t="shared" si="0"/>
        <v>35551</v>
      </c>
      <c r="C5">
        <v>421.84386999999998</v>
      </c>
      <c r="D5">
        <v>254.80865900000001</v>
      </c>
    </row>
    <row r="6" spans="1:4" x14ac:dyDescent="0.25">
      <c r="A6" t="s">
        <v>416</v>
      </c>
      <c r="B6" s="3">
        <f t="shared" si="0"/>
        <v>35582</v>
      </c>
      <c r="C6">
        <v>453.076662</v>
      </c>
      <c r="D6">
        <v>267.63286599999998</v>
      </c>
    </row>
    <row r="7" spans="1:4" x14ac:dyDescent="0.25">
      <c r="A7" t="s">
        <v>417</v>
      </c>
      <c r="B7" s="3">
        <f t="shared" si="0"/>
        <v>35612</v>
      </c>
      <c r="C7">
        <v>473.95344</v>
      </c>
      <c r="D7">
        <v>281.16866099999999</v>
      </c>
    </row>
    <row r="8" spans="1:4" x14ac:dyDescent="0.25">
      <c r="A8" t="s">
        <v>418</v>
      </c>
      <c r="B8" s="3">
        <f t="shared" si="0"/>
        <v>35643</v>
      </c>
      <c r="C8">
        <v>493.872681</v>
      </c>
      <c r="D8">
        <v>282.567724</v>
      </c>
    </row>
    <row r="9" spans="1:4" x14ac:dyDescent="0.25">
      <c r="A9" t="s">
        <v>419</v>
      </c>
      <c r="B9" s="3">
        <f t="shared" si="0"/>
        <v>35674</v>
      </c>
      <c r="C9">
        <v>468.06400400000001</v>
      </c>
      <c r="D9">
        <v>268.42931800000002</v>
      </c>
    </row>
    <row r="10" spans="1:4" x14ac:dyDescent="0.25">
      <c r="A10" t="s">
        <v>420</v>
      </c>
      <c r="B10" s="3">
        <f t="shared" si="0"/>
        <v>35704</v>
      </c>
      <c r="C10">
        <v>491.88310899999999</v>
      </c>
      <c r="D10">
        <v>287.58004599999998</v>
      </c>
    </row>
    <row r="11" spans="1:4" x14ac:dyDescent="0.25">
      <c r="A11" t="s">
        <v>421</v>
      </c>
      <c r="B11" s="3">
        <f t="shared" si="0"/>
        <v>35735</v>
      </c>
      <c r="C11">
        <v>467.52385700000002</v>
      </c>
      <c r="D11">
        <v>257.39946700000002</v>
      </c>
    </row>
    <row r="12" spans="1:4" x14ac:dyDescent="0.25">
      <c r="A12" t="s">
        <v>422</v>
      </c>
      <c r="B12" s="3">
        <f t="shared" si="0"/>
        <v>35765</v>
      </c>
      <c r="C12">
        <v>470.88535200000001</v>
      </c>
      <c r="D12">
        <v>258.770014</v>
      </c>
    </row>
    <row r="13" spans="1:4" x14ac:dyDescent="0.25">
      <c r="A13" t="s">
        <v>423</v>
      </c>
      <c r="B13" s="3">
        <f t="shared" si="0"/>
        <v>35796</v>
      </c>
      <c r="C13">
        <v>475.56997200000001</v>
      </c>
      <c r="D13">
        <v>278.75803500000001</v>
      </c>
    </row>
    <row r="14" spans="1:4" x14ac:dyDescent="0.25">
      <c r="A14" t="s">
        <v>424</v>
      </c>
      <c r="B14" s="3">
        <f t="shared" si="0"/>
        <v>35827</v>
      </c>
      <c r="C14">
        <v>487.18107199999997</v>
      </c>
      <c r="D14">
        <v>282.68164000000002</v>
      </c>
    </row>
    <row r="15" spans="1:4" x14ac:dyDescent="0.25">
      <c r="A15" t="s">
        <v>425</v>
      </c>
      <c r="B15" s="3">
        <f t="shared" si="0"/>
        <v>35855</v>
      </c>
      <c r="C15">
        <v>520.56558500000006</v>
      </c>
      <c r="D15">
        <v>292.18862899999999</v>
      </c>
    </row>
    <row r="16" spans="1:4" x14ac:dyDescent="0.25">
      <c r="A16" t="s">
        <v>426</v>
      </c>
      <c r="B16" s="3">
        <f t="shared" si="0"/>
        <v>35886</v>
      </c>
      <c r="C16">
        <v>542.45833400000004</v>
      </c>
      <c r="D16">
        <v>297.69347099999999</v>
      </c>
    </row>
    <row r="17" spans="1:4" x14ac:dyDescent="0.25">
      <c r="A17" t="s">
        <v>427</v>
      </c>
      <c r="B17" s="3">
        <f t="shared" si="0"/>
        <v>35916</v>
      </c>
      <c r="C17">
        <v>547.82319199999995</v>
      </c>
      <c r="D17">
        <v>297.31546800000001</v>
      </c>
    </row>
    <row r="18" spans="1:4" x14ac:dyDescent="0.25">
      <c r="A18" t="s">
        <v>428</v>
      </c>
      <c r="B18" s="3">
        <f t="shared" si="0"/>
        <v>35947</v>
      </c>
      <c r="C18">
        <v>540.83214299999997</v>
      </c>
      <c r="D18">
        <v>294.667507</v>
      </c>
    </row>
    <row r="19" spans="1:4" x14ac:dyDescent="0.25">
      <c r="A19" t="s">
        <v>429</v>
      </c>
      <c r="B19" s="3">
        <f t="shared" si="0"/>
        <v>35977</v>
      </c>
      <c r="C19">
        <v>550.43480499999998</v>
      </c>
      <c r="D19">
        <v>293.24988500000001</v>
      </c>
    </row>
    <row r="20" spans="1:4" x14ac:dyDescent="0.25">
      <c r="A20" t="s">
        <v>430</v>
      </c>
      <c r="B20" s="3">
        <f t="shared" si="0"/>
        <v>36008</v>
      </c>
      <c r="C20">
        <v>545.83012699999995</v>
      </c>
      <c r="D20">
        <v>301.50394299999999</v>
      </c>
    </row>
    <row r="21" spans="1:4" x14ac:dyDescent="0.25">
      <c r="A21" t="s">
        <v>431</v>
      </c>
      <c r="B21" s="3">
        <f t="shared" si="0"/>
        <v>36039</v>
      </c>
      <c r="C21">
        <v>469.555497</v>
      </c>
      <c r="D21">
        <v>279.68454500000001</v>
      </c>
    </row>
    <row r="22" spans="1:4" x14ac:dyDescent="0.25">
      <c r="A22" t="s">
        <v>432</v>
      </c>
      <c r="B22" s="3">
        <f t="shared" si="0"/>
        <v>36069</v>
      </c>
      <c r="C22">
        <v>479.354175</v>
      </c>
      <c r="D22">
        <v>292.49027799999999</v>
      </c>
    </row>
    <row r="23" spans="1:4" x14ac:dyDescent="0.25">
      <c r="A23" t="s">
        <v>433</v>
      </c>
      <c r="B23" s="3">
        <f t="shared" si="0"/>
        <v>36100</v>
      </c>
      <c r="C23">
        <v>520.18450900000005</v>
      </c>
      <c r="D23">
        <v>299.94997000000001</v>
      </c>
    </row>
    <row r="24" spans="1:4" x14ac:dyDescent="0.25">
      <c r="A24" t="s">
        <v>434</v>
      </c>
      <c r="B24" s="3">
        <f t="shared" si="0"/>
        <v>36130</v>
      </c>
      <c r="C24">
        <v>548.94135900000003</v>
      </c>
      <c r="D24">
        <v>317.80167599999999</v>
      </c>
    </row>
    <row r="25" spans="1:4" x14ac:dyDescent="0.25">
      <c r="A25" t="s">
        <v>435</v>
      </c>
      <c r="B25" s="3">
        <f t="shared" si="0"/>
        <v>36161</v>
      </c>
      <c r="C25">
        <v>576.87406099999998</v>
      </c>
      <c r="D25">
        <v>326.69956000000002</v>
      </c>
    </row>
    <row r="26" spans="1:4" x14ac:dyDescent="0.25">
      <c r="A26" t="s">
        <v>436</v>
      </c>
      <c r="B26" s="3">
        <f t="shared" si="0"/>
        <v>36192</v>
      </c>
      <c r="C26">
        <v>589.02460499999995</v>
      </c>
      <c r="D26">
        <v>341.27213999999998</v>
      </c>
    </row>
    <row r="27" spans="1:4" x14ac:dyDescent="0.25">
      <c r="A27" t="s">
        <v>437</v>
      </c>
      <c r="B27" s="3">
        <f t="shared" si="0"/>
        <v>36220</v>
      </c>
      <c r="C27">
        <v>571.30165199999999</v>
      </c>
      <c r="D27">
        <v>338.67590200000001</v>
      </c>
    </row>
    <row r="28" spans="1:4" x14ac:dyDescent="0.25">
      <c r="A28" t="s">
        <v>438</v>
      </c>
      <c r="B28" s="3">
        <f t="shared" si="0"/>
        <v>36251</v>
      </c>
      <c r="C28">
        <v>595.12350400000003</v>
      </c>
      <c r="D28">
        <v>349.72103800000002</v>
      </c>
    </row>
    <row r="29" spans="1:4" x14ac:dyDescent="0.25">
      <c r="A29" t="s">
        <v>439</v>
      </c>
      <c r="B29" s="3">
        <f t="shared" si="0"/>
        <v>36281</v>
      </c>
      <c r="C29">
        <v>623.09263199999998</v>
      </c>
      <c r="D29">
        <v>362.67756600000001</v>
      </c>
    </row>
    <row r="30" spans="1:4" x14ac:dyDescent="0.25">
      <c r="A30" t="s">
        <v>440</v>
      </c>
      <c r="B30" s="3">
        <f t="shared" si="0"/>
        <v>36312</v>
      </c>
      <c r="C30">
        <v>603.66703900000005</v>
      </c>
      <c r="D30">
        <v>341.25879600000002</v>
      </c>
    </row>
    <row r="31" spans="1:4" x14ac:dyDescent="0.25">
      <c r="A31" t="s">
        <v>441</v>
      </c>
      <c r="B31" s="3">
        <f t="shared" si="0"/>
        <v>36342</v>
      </c>
      <c r="C31">
        <v>632.94609400000002</v>
      </c>
      <c r="D31">
        <v>353.43616200000002</v>
      </c>
    </row>
    <row r="32" spans="1:4" x14ac:dyDescent="0.25">
      <c r="A32" t="s">
        <v>442</v>
      </c>
      <c r="B32" s="3">
        <f t="shared" si="0"/>
        <v>36373</v>
      </c>
      <c r="C32">
        <v>632.94434100000001</v>
      </c>
      <c r="D32">
        <v>357.66240900000003</v>
      </c>
    </row>
    <row r="33" spans="1:4" x14ac:dyDescent="0.25">
      <c r="A33" t="s">
        <v>443</v>
      </c>
      <c r="B33" s="3">
        <f t="shared" si="0"/>
        <v>36404</v>
      </c>
      <c r="C33">
        <v>634.60723099999996</v>
      </c>
      <c r="D33">
        <v>349.73998799999998</v>
      </c>
    </row>
    <row r="34" spans="1:4" x14ac:dyDescent="0.25">
      <c r="A34" t="s">
        <v>444</v>
      </c>
      <c r="B34" s="3">
        <f t="shared" si="0"/>
        <v>36434</v>
      </c>
      <c r="C34">
        <v>632.02789399999995</v>
      </c>
      <c r="D34">
        <v>345.53602100000001</v>
      </c>
    </row>
    <row r="35" spans="1:4" x14ac:dyDescent="0.25">
      <c r="A35" t="s">
        <v>445</v>
      </c>
      <c r="B35" s="3">
        <f t="shared" si="0"/>
        <v>36465</v>
      </c>
      <c r="C35">
        <v>663.264994</v>
      </c>
      <c r="D35">
        <v>346.95410600000002</v>
      </c>
    </row>
    <row r="36" spans="1:4" x14ac:dyDescent="0.25">
      <c r="A36" t="s">
        <v>446</v>
      </c>
      <c r="B36" s="3">
        <f t="shared" si="0"/>
        <v>36495</v>
      </c>
      <c r="C36">
        <v>690.32487800000001</v>
      </c>
      <c r="D36">
        <v>370.51854700000001</v>
      </c>
    </row>
    <row r="37" spans="1:4" x14ac:dyDescent="0.25">
      <c r="A37" t="s">
        <v>447</v>
      </c>
      <c r="B37" s="3">
        <f t="shared" si="0"/>
        <v>36526</v>
      </c>
      <c r="C37">
        <v>745.81840699999998</v>
      </c>
      <c r="D37">
        <v>379.19121799999999</v>
      </c>
    </row>
    <row r="38" spans="1:4" x14ac:dyDescent="0.25">
      <c r="A38" t="s">
        <v>448</v>
      </c>
      <c r="B38" s="3">
        <f t="shared" si="0"/>
        <v>36557</v>
      </c>
      <c r="C38">
        <v>709.30854399999998</v>
      </c>
      <c r="D38">
        <v>373.13591100000002</v>
      </c>
    </row>
    <row r="39" spans="1:4" x14ac:dyDescent="0.25">
      <c r="A39" t="s">
        <v>449</v>
      </c>
      <c r="B39" s="3">
        <f t="shared" si="0"/>
        <v>36586</v>
      </c>
      <c r="C39">
        <v>730.75816599999996</v>
      </c>
      <c r="D39">
        <v>378.41239000000002</v>
      </c>
    </row>
    <row r="40" spans="1:4" x14ac:dyDescent="0.25">
      <c r="A40" t="s">
        <v>450</v>
      </c>
      <c r="B40" s="3">
        <f t="shared" si="0"/>
        <v>36617</v>
      </c>
      <c r="C40">
        <v>761.42918399999996</v>
      </c>
      <c r="D40">
        <v>382.68910399999999</v>
      </c>
    </row>
    <row r="41" spans="1:4" x14ac:dyDescent="0.25">
      <c r="A41" t="s">
        <v>451</v>
      </c>
      <c r="B41" s="3">
        <f t="shared" si="0"/>
        <v>36647</v>
      </c>
      <c r="C41">
        <v>716.50829499999998</v>
      </c>
      <c r="D41">
        <v>377.67006900000001</v>
      </c>
    </row>
    <row r="42" spans="1:4" x14ac:dyDescent="0.25">
      <c r="A42" t="s">
        <v>452</v>
      </c>
      <c r="B42" s="3">
        <f t="shared" si="0"/>
        <v>36678</v>
      </c>
      <c r="C42">
        <v>691.711366</v>
      </c>
      <c r="D42">
        <v>371.946934</v>
      </c>
    </row>
    <row r="43" spans="1:4" x14ac:dyDescent="0.25">
      <c r="A43" t="s">
        <v>453</v>
      </c>
      <c r="B43" s="3">
        <f t="shared" si="0"/>
        <v>36708</v>
      </c>
      <c r="C43">
        <v>723.48165300000005</v>
      </c>
      <c r="D43">
        <v>398.62485600000002</v>
      </c>
    </row>
    <row r="44" spans="1:4" x14ac:dyDescent="0.25">
      <c r="A44" t="s">
        <v>454</v>
      </c>
      <c r="B44" s="3">
        <f t="shared" si="0"/>
        <v>36739</v>
      </c>
      <c r="C44">
        <v>700.33131600000002</v>
      </c>
      <c r="D44">
        <v>394.40840900000001</v>
      </c>
    </row>
    <row r="45" spans="1:4" x14ac:dyDescent="0.25">
      <c r="A45" t="s">
        <v>455</v>
      </c>
      <c r="B45" s="3">
        <f t="shared" si="0"/>
        <v>36770</v>
      </c>
      <c r="C45">
        <v>734.25646800000004</v>
      </c>
      <c r="D45">
        <v>397.64990899999998</v>
      </c>
    </row>
    <row r="46" spans="1:4" x14ac:dyDescent="0.25">
      <c r="A46" t="s">
        <v>456</v>
      </c>
      <c r="B46" s="3">
        <f t="shared" si="0"/>
        <v>36800</v>
      </c>
      <c r="C46">
        <v>697.733655</v>
      </c>
      <c r="D46">
        <v>398.73303399999998</v>
      </c>
    </row>
    <row r="47" spans="1:4" x14ac:dyDescent="0.25">
      <c r="A47" t="s">
        <v>457</v>
      </c>
      <c r="B47" s="3">
        <f t="shared" si="0"/>
        <v>36831</v>
      </c>
      <c r="C47">
        <v>676.89342699999997</v>
      </c>
      <c r="D47">
        <v>395.55164400000001</v>
      </c>
    </row>
    <row r="48" spans="1:4" x14ac:dyDescent="0.25">
      <c r="A48" t="s">
        <v>458</v>
      </c>
      <c r="B48" s="3">
        <f t="shared" si="0"/>
        <v>36861</v>
      </c>
      <c r="C48">
        <v>627.38469599999996</v>
      </c>
      <c r="D48">
        <v>399.26271500000001</v>
      </c>
    </row>
    <row r="49" spans="1:4" x14ac:dyDescent="0.25">
      <c r="A49" t="s">
        <v>459</v>
      </c>
      <c r="B49" s="3">
        <f t="shared" si="0"/>
        <v>36892</v>
      </c>
      <c r="C49">
        <v>641.01747399999999</v>
      </c>
      <c r="D49">
        <v>392.21904599999999</v>
      </c>
    </row>
    <row r="50" spans="1:4" x14ac:dyDescent="0.25">
      <c r="A50" t="s">
        <v>460</v>
      </c>
      <c r="B50" s="3">
        <f t="shared" si="0"/>
        <v>36923</v>
      </c>
      <c r="C50">
        <v>655.66203299999995</v>
      </c>
      <c r="D50">
        <v>411.012811</v>
      </c>
    </row>
    <row r="51" spans="1:4" x14ac:dyDescent="0.25">
      <c r="A51" t="s">
        <v>461</v>
      </c>
      <c r="B51" s="3">
        <f t="shared" si="0"/>
        <v>36951</v>
      </c>
      <c r="C51">
        <v>598.73344299999997</v>
      </c>
      <c r="D51">
        <v>407.13708600000001</v>
      </c>
    </row>
    <row r="52" spans="1:4" x14ac:dyDescent="0.25">
      <c r="A52" t="s">
        <v>462</v>
      </c>
      <c r="B52" s="3">
        <f t="shared" si="0"/>
        <v>36982</v>
      </c>
      <c r="C52">
        <v>556.67208900000003</v>
      </c>
      <c r="D52">
        <v>390.11319400000002</v>
      </c>
    </row>
    <row r="53" spans="1:4" x14ac:dyDescent="0.25">
      <c r="A53" t="s">
        <v>463</v>
      </c>
      <c r="B53" s="3">
        <f t="shared" si="0"/>
        <v>37012</v>
      </c>
      <c r="C53">
        <v>599.73245699999995</v>
      </c>
      <c r="D53">
        <v>411.44194099999999</v>
      </c>
    </row>
    <row r="54" spans="1:4" x14ac:dyDescent="0.25">
      <c r="A54" t="s">
        <v>464</v>
      </c>
      <c r="B54" s="3">
        <f t="shared" si="0"/>
        <v>37043</v>
      </c>
      <c r="C54">
        <v>594.57954099999995</v>
      </c>
      <c r="D54">
        <v>416.925454</v>
      </c>
    </row>
    <row r="55" spans="1:4" x14ac:dyDescent="0.25">
      <c r="A55" t="s">
        <v>465</v>
      </c>
      <c r="B55" s="3">
        <f t="shared" si="0"/>
        <v>37073</v>
      </c>
      <c r="C55">
        <v>577.97751400000004</v>
      </c>
      <c r="D55">
        <v>428.45855299999999</v>
      </c>
    </row>
    <row r="56" spans="1:4" x14ac:dyDescent="0.25">
      <c r="A56" t="s">
        <v>466</v>
      </c>
      <c r="B56" s="3">
        <f t="shared" si="0"/>
        <v>37104</v>
      </c>
      <c r="C56">
        <v>565.59589800000003</v>
      </c>
      <c r="D56">
        <v>408.67690199999998</v>
      </c>
    </row>
    <row r="57" spans="1:4" x14ac:dyDescent="0.25">
      <c r="A57" t="s">
        <v>467</v>
      </c>
      <c r="B57" s="3">
        <f t="shared" si="0"/>
        <v>37135</v>
      </c>
      <c r="C57">
        <v>540.64853900000003</v>
      </c>
      <c r="D57">
        <v>402.90077000000002</v>
      </c>
    </row>
    <row r="58" spans="1:4" x14ac:dyDescent="0.25">
      <c r="A58" t="s">
        <v>468</v>
      </c>
      <c r="B58" s="3">
        <f t="shared" si="0"/>
        <v>37165</v>
      </c>
      <c r="C58">
        <v>489.05500599999999</v>
      </c>
      <c r="D58">
        <v>379.40931899999998</v>
      </c>
    </row>
    <row r="59" spans="1:4" x14ac:dyDescent="0.25">
      <c r="A59" t="s">
        <v>469</v>
      </c>
      <c r="B59" s="3">
        <f t="shared" si="0"/>
        <v>37196</v>
      </c>
      <c r="C59">
        <v>502.47792900000002</v>
      </c>
      <c r="D59">
        <v>403.27659899999998</v>
      </c>
    </row>
    <row r="60" spans="1:4" x14ac:dyDescent="0.25">
      <c r="A60" t="s">
        <v>470</v>
      </c>
      <c r="B60" s="3">
        <f t="shared" si="0"/>
        <v>37226</v>
      </c>
      <c r="C60">
        <v>531.14396699999998</v>
      </c>
      <c r="D60">
        <v>418.04074100000003</v>
      </c>
    </row>
    <row r="61" spans="1:4" x14ac:dyDescent="0.25">
      <c r="A61" t="s">
        <v>471</v>
      </c>
      <c r="B61" s="3">
        <f t="shared" si="0"/>
        <v>37257</v>
      </c>
      <c r="C61">
        <v>535.84732699999995</v>
      </c>
      <c r="D61">
        <v>428.29222499999997</v>
      </c>
    </row>
    <row r="62" spans="1:4" x14ac:dyDescent="0.25">
      <c r="A62" t="s">
        <v>472</v>
      </c>
      <c r="B62" s="3">
        <f t="shared" si="0"/>
        <v>37288</v>
      </c>
      <c r="C62">
        <v>519.53382099999999</v>
      </c>
      <c r="D62">
        <v>433.33055400000001</v>
      </c>
    </row>
    <row r="63" spans="1:4" x14ac:dyDescent="0.25">
      <c r="A63" t="s">
        <v>473</v>
      </c>
      <c r="B63" s="3">
        <f t="shared" si="0"/>
        <v>37316</v>
      </c>
      <c r="C63">
        <v>514.53895</v>
      </c>
      <c r="D63">
        <v>427.75501300000002</v>
      </c>
    </row>
    <row r="64" spans="1:4" x14ac:dyDescent="0.25">
      <c r="A64" t="s">
        <v>474</v>
      </c>
      <c r="B64" s="3">
        <f t="shared" si="0"/>
        <v>37347</v>
      </c>
      <c r="C64">
        <v>539.98240899999996</v>
      </c>
      <c r="D64">
        <v>432.43544200000002</v>
      </c>
    </row>
    <row r="65" spans="1:4" x14ac:dyDescent="0.25">
      <c r="A65" t="s">
        <v>475</v>
      </c>
      <c r="B65" s="3">
        <f t="shared" si="0"/>
        <v>37377</v>
      </c>
      <c r="C65">
        <v>527.11614399999996</v>
      </c>
      <c r="D65">
        <v>423.91694799999999</v>
      </c>
    </row>
    <row r="66" spans="1:4" x14ac:dyDescent="0.25">
      <c r="A66" t="s">
        <v>476</v>
      </c>
      <c r="B66" s="3">
        <f t="shared" si="0"/>
        <v>37408</v>
      </c>
      <c r="C66">
        <v>529.05337899999995</v>
      </c>
      <c r="D66">
        <v>426.374011</v>
      </c>
    </row>
    <row r="67" spans="1:4" x14ac:dyDescent="0.25">
      <c r="A67" t="s">
        <v>477</v>
      </c>
      <c r="B67" s="3">
        <f t="shared" ref="B67:B130" si="1">DATE(YEAR(A67),MONTH(A67)+1,1)</f>
        <v>37438</v>
      </c>
      <c r="C67">
        <v>497.15596299999999</v>
      </c>
      <c r="D67">
        <v>409.86811299999999</v>
      </c>
    </row>
    <row r="68" spans="1:4" x14ac:dyDescent="0.25">
      <c r="A68" t="s">
        <v>478</v>
      </c>
      <c r="B68" s="3">
        <f t="shared" si="1"/>
        <v>37469</v>
      </c>
      <c r="C68">
        <v>454.70469500000002</v>
      </c>
      <c r="D68">
        <v>391.43480699999998</v>
      </c>
    </row>
    <row r="69" spans="1:4" x14ac:dyDescent="0.25">
      <c r="A69" t="s">
        <v>479</v>
      </c>
      <c r="B69" s="3">
        <f t="shared" si="1"/>
        <v>37500</v>
      </c>
      <c r="C69">
        <v>455.95183400000002</v>
      </c>
      <c r="D69">
        <v>397.88295799999997</v>
      </c>
    </row>
    <row r="70" spans="1:4" x14ac:dyDescent="0.25">
      <c r="A70" t="s">
        <v>480</v>
      </c>
      <c r="B70" s="3">
        <f t="shared" si="1"/>
        <v>37530</v>
      </c>
      <c r="C70">
        <v>408.70013899999998</v>
      </c>
      <c r="D70">
        <v>381.60909900000001</v>
      </c>
    </row>
    <row r="71" spans="1:4" x14ac:dyDescent="0.25">
      <c r="A71" t="s">
        <v>481</v>
      </c>
      <c r="B71" s="3">
        <f t="shared" si="1"/>
        <v>37561</v>
      </c>
      <c r="C71">
        <v>435.50903099999999</v>
      </c>
      <c r="D71">
        <v>392.030418</v>
      </c>
    </row>
    <row r="72" spans="1:4" x14ac:dyDescent="0.25">
      <c r="A72" t="s">
        <v>482</v>
      </c>
      <c r="B72" s="3">
        <f t="shared" si="1"/>
        <v>37591</v>
      </c>
      <c r="C72">
        <v>458.79289399999999</v>
      </c>
      <c r="D72">
        <v>397.08247299999999</v>
      </c>
    </row>
    <row r="73" spans="1:4" x14ac:dyDescent="0.25">
      <c r="A73" t="s">
        <v>483</v>
      </c>
      <c r="B73" s="3">
        <f t="shared" si="1"/>
        <v>37622</v>
      </c>
      <c r="C73">
        <v>438.05187100000001</v>
      </c>
      <c r="D73">
        <v>389.53384599999998</v>
      </c>
    </row>
    <row r="74" spans="1:4" x14ac:dyDescent="0.25">
      <c r="A74" t="s">
        <v>484</v>
      </c>
      <c r="B74" s="3">
        <f t="shared" si="1"/>
        <v>37653</v>
      </c>
      <c r="C74">
        <v>424.98913299999998</v>
      </c>
      <c r="D74">
        <v>382.469696</v>
      </c>
    </row>
    <row r="75" spans="1:4" x14ac:dyDescent="0.25">
      <c r="A75" t="s">
        <v>485</v>
      </c>
      <c r="B75" s="3">
        <f t="shared" si="1"/>
        <v>37681</v>
      </c>
      <c r="C75">
        <v>417.71146599999997</v>
      </c>
      <c r="D75">
        <v>365.23843799999997</v>
      </c>
    </row>
    <row r="76" spans="1:4" x14ac:dyDescent="0.25">
      <c r="A76" t="s">
        <v>486</v>
      </c>
      <c r="B76" s="3">
        <f t="shared" si="1"/>
        <v>37712</v>
      </c>
      <c r="C76">
        <v>417.12785600000001</v>
      </c>
      <c r="D76">
        <v>379.85224199999999</v>
      </c>
    </row>
    <row r="77" spans="1:4" x14ac:dyDescent="0.25">
      <c r="A77" t="s">
        <v>487</v>
      </c>
      <c r="B77" s="3">
        <f t="shared" si="1"/>
        <v>37742</v>
      </c>
      <c r="C77">
        <v>453.42995200000001</v>
      </c>
      <c r="D77">
        <v>396.40645699999999</v>
      </c>
    </row>
    <row r="78" spans="1:4" x14ac:dyDescent="0.25">
      <c r="A78" t="s">
        <v>488</v>
      </c>
      <c r="B78" s="3">
        <f t="shared" si="1"/>
        <v>37773</v>
      </c>
      <c r="C78">
        <v>481.76416999999998</v>
      </c>
      <c r="D78">
        <v>395.906949</v>
      </c>
    </row>
    <row r="79" spans="1:4" x14ac:dyDescent="0.25">
      <c r="A79" t="s">
        <v>489</v>
      </c>
      <c r="B79" s="3">
        <f t="shared" si="1"/>
        <v>37803</v>
      </c>
      <c r="C79">
        <v>490.56626399999999</v>
      </c>
      <c r="D79">
        <v>401.72944899999999</v>
      </c>
    </row>
    <row r="80" spans="1:4" x14ac:dyDescent="0.25">
      <c r="A80" t="s">
        <v>490</v>
      </c>
      <c r="B80" s="3">
        <f t="shared" si="1"/>
        <v>37834</v>
      </c>
      <c r="C80">
        <v>501.40116999999998</v>
      </c>
      <c r="D80">
        <v>414.16278199999999</v>
      </c>
    </row>
    <row r="81" spans="1:4" x14ac:dyDescent="0.25">
      <c r="A81" t="s">
        <v>491</v>
      </c>
      <c r="B81" s="3">
        <f t="shared" si="1"/>
        <v>37865</v>
      </c>
      <c r="C81">
        <v>513.93189900000004</v>
      </c>
      <c r="D81">
        <v>424.92341699999997</v>
      </c>
    </row>
    <row r="82" spans="1:4" x14ac:dyDescent="0.25">
      <c r="A82" t="s">
        <v>492</v>
      </c>
      <c r="B82" s="3">
        <f t="shared" si="1"/>
        <v>37895</v>
      </c>
      <c r="C82">
        <v>517.59826499999997</v>
      </c>
      <c r="D82">
        <v>423.67713300000003</v>
      </c>
    </row>
    <row r="83" spans="1:4" x14ac:dyDescent="0.25">
      <c r="A83" t="s">
        <v>493</v>
      </c>
      <c r="B83" s="3">
        <f t="shared" si="1"/>
        <v>37926</v>
      </c>
      <c r="C83">
        <v>549.31843200000003</v>
      </c>
      <c r="D83">
        <v>437.952045</v>
      </c>
    </row>
    <row r="84" spans="1:4" x14ac:dyDescent="0.25">
      <c r="A84" t="s">
        <v>494</v>
      </c>
      <c r="B84" s="3">
        <f t="shared" si="1"/>
        <v>37956</v>
      </c>
      <c r="C84">
        <v>558.16411200000005</v>
      </c>
      <c r="D84">
        <v>428.613112</v>
      </c>
    </row>
    <row r="85" spans="1:4" x14ac:dyDescent="0.25">
      <c r="A85" t="s">
        <v>495</v>
      </c>
      <c r="B85" s="3">
        <f t="shared" si="1"/>
        <v>37987</v>
      </c>
      <c r="C85">
        <v>590.551287</v>
      </c>
      <c r="D85">
        <v>445.54745200000002</v>
      </c>
    </row>
    <row r="86" spans="1:4" x14ac:dyDescent="0.25">
      <c r="A86" t="s">
        <v>496</v>
      </c>
      <c r="B86" s="3">
        <f t="shared" si="1"/>
        <v>38018</v>
      </c>
      <c r="C86">
        <v>602.12515800000006</v>
      </c>
      <c r="D86">
        <v>441.16674499999999</v>
      </c>
    </row>
    <row r="87" spans="1:4" x14ac:dyDescent="0.25">
      <c r="A87" t="s">
        <v>497</v>
      </c>
      <c r="B87" s="3">
        <f t="shared" si="1"/>
        <v>38047</v>
      </c>
      <c r="C87">
        <v>613.194253</v>
      </c>
      <c r="D87">
        <v>455.74374999999998</v>
      </c>
    </row>
    <row r="88" spans="1:4" x14ac:dyDescent="0.25">
      <c r="A88" t="s">
        <v>498</v>
      </c>
      <c r="B88" s="3">
        <f t="shared" si="1"/>
        <v>38078</v>
      </c>
      <c r="C88">
        <v>611.92215799999997</v>
      </c>
      <c r="D88">
        <v>467.21541999999999</v>
      </c>
    </row>
    <row r="89" spans="1:4" x14ac:dyDescent="0.25">
      <c r="A89" t="s">
        <v>499</v>
      </c>
      <c r="B89" s="3">
        <f t="shared" si="1"/>
        <v>38108</v>
      </c>
      <c r="C89">
        <v>597.30290600000001</v>
      </c>
      <c r="D89">
        <v>464.64449200000001</v>
      </c>
    </row>
    <row r="90" spans="1:4" x14ac:dyDescent="0.25">
      <c r="A90" t="s">
        <v>500</v>
      </c>
      <c r="B90" s="3">
        <f t="shared" si="1"/>
        <v>38139</v>
      </c>
      <c r="C90">
        <v>602.76812500000005</v>
      </c>
      <c r="D90">
        <v>474.19775099999998</v>
      </c>
    </row>
    <row r="91" spans="1:4" x14ac:dyDescent="0.25">
      <c r="A91" t="s">
        <v>501</v>
      </c>
      <c r="B91" s="3">
        <f t="shared" si="1"/>
        <v>38169</v>
      </c>
      <c r="C91">
        <v>616.60845900000004</v>
      </c>
      <c r="D91">
        <v>485.52058799999998</v>
      </c>
    </row>
    <row r="92" spans="1:4" x14ac:dyDescent="0.25">
      <c r="A92" t="s">
        <v>502</v>
      </c>
      <c r="B92" s="3">
        <f t="shared" si="1"/>
        <v>38200</v>
      </c>
      <c r="C92">
        <v>595.14427599999999</v>
      </c>
      <c r="D92">
        <v>487.06471499999998</v>
      </c>
    </row>
    <row r="93" spans="1:4" x14ac:dyDescent="0.25">
      <c r="A93" t="s">
        <v>503</v>
      </c>
      <c r="B93" s="3">
        <f t="shared" si="1"/>
        <v>38231</v>
      </c>
      <c r="C93">
        <v>597.33135200000004</v>
      </c>
      <c r="D93">
        <v>493.48162400000001</v>
      </c>
    </row>
    <row r="94" spans="1:4" x14ac:dyDescent="0.25">
      <c r="A94" t="s">
        <v>504</v>
      </c>
      <c r="B94" s="3">
        <f t="shared" si="1"/>
        <v>38261</v>
      </c>
      <c r="C94">
        <v>609.98534900000004</v>
      </c>
      <c r="D94">
        <v>512.36401000000001</v>
      </c>
    </row>
    <row r="95" spans="1:4" x14ac:dyDescent="0.25">
      <c r="A95" t="s">
        <v>505</v>
      </c>
      <c r="B95" s="3">
        <f t="shared" si="1"/>
        <v>38292</v>
      </c>
      <c r="C95">
        <v>624.76145299999996</v>
      </c>
      <c r="D95">
        <v>528.98198500000001</v>
      </c>
    </row>
    <row r="96" spans="1:4" x14ac:dyDescent="0.25">
      <c r="A96" t="s">
        <v>506</v>
      </c>
      <c r="B96" s="3">
        <f t="shared" si="1"/>
        <v>38322</v>
      </c>
      <c r="C96">
        <v>658.97651699999994</v>
      </c>
      <c r="D96">
        <v>552.68751299999997</v>
      </c>
    </row>
    <row r="97" spans="1:6" x14ac:dyDescent="0.25">
      <c r="A97" t="s">
        <v>507</v>
      </c>
      <c r="B97" s="3">
        <f t="shared" si="1"/>
        <v>38353</v>
      </c>
      <c r="C97">
        <v>684.59750399999996</v>
      </c>
      <c r="D97">
        <v>569.48878100000002</v>
      </c>
    </row>
    <row r="98" spans="1:6" x14ac:dyDescent="0.25">
      <c r="A98" t="s">
        <v>508</v>
      </c>
      <c r="B98" s="3">
        <f t="shared" si="1"/>
        <v>38384</v>
      </c>
      <c r="C98">
        <v>670.03907500000003</v>
      </c>
      <c r="D98">
        <v>580.95268799999997</v>
      </c>
    </row>
    <row r="99" spans="1:6" x14ac:dyDescent="0.25">
      <c r="A99" t="s">
        <v>509</v>
      </c>
      <c r="B99" s="3">
        <f t="shared" si="1"/>
        <v>38412</v>
      </c>
      <c r="C99">
        <v>691.13903000000005</v>
      </c>
      <c r="D99">
        <v>595.55734399999994</v>
      </c>
    </row>
    <row r="100" spans="1:6" x14ac:dyDescent="0.25">
      <c r="A100" t="s">
        <v>510</v>
      </c>
      <c r="B100" s="3">
        <f t="shared" si="1"/>
        <v>38443</v>
      </c>
      <c r="C100">
        <v>677.689123</v>
      </c>
      <c r="D100">
        <v>588.82971399999997</v>
      </c>
    </row>
    <row r="101" spans="1:6" x14ac:dyDescent="0.25">
      <c r="A101" t="s">
        <v>511</v>
      </c>
      <c r="B101" s="3">
        <f t="shared" si="1"/>
        <v>38473</v>
      </c>
      <c r="C101">
        <v>661.56467899999996</v>
      </c>
      <c r="D101">
        <v>572.65475100000003</v>
      </c>
    </row>
    <row r="102" spans="1:6" x14ac:dyDescent="0.25">
      <c r="A102" t="s">
        <v>512</v>
      </c>
      <c r="B102" s="3">
        <f t="shared" si="1"/>
        <v>38504</v>
      </c>
      <c r="C102">
        <v>675.335868</v>
      </c>
      <c r="D102">
        <v>588.799443</v>
      </c>
    </row>
    <row r="103" spans="1:6" x14ac:dyDescent="0.25">
      <c r="A103" t="s">
        <v>513</v>
      </c>
      <c r="B103" s="3">
        <f t="shared" si="1"/>
        <v>38534</v>
      </c>
      <c r="C103">
        <v>683.308854</v>
      </c>
      <c r="D103">
        <v>619.34059000000002</v>
      </c>
    </row>
    <row r="104" spans="1:6" x14ac:dyDescent="0.25">
      <c r="A104" t="s">
        <v>514</v>
      </c>
      <c r="B104" s="3">
        <f t="shared" si="1"/>
        <v>38565</v>
      </c>
      <c r="C104">
        <v>708.72342200000003</v>
      </c>
      <c r="D104">
        <v>636.22614499999997</v>
      </c>
    </row>
    <row r="105" spans="1:6" x14ac:dyDescent="0.25">
      <c r="A105" t="s">
        <v>515</v>
      </c>
      <c r="B105" s="3">
        <f t="shared" si="1"/>
        <v>38596</v>
      </c>
      <c r="C105">
        <v>713.86385600000006</v>
      </c>
      <c r="D105">
        <v>651.01550699999996</v>
      </c>
    </row>
    <row r="106" spans="1:6" x14ac:dyDescent="0.25">
      <c r="A106" t="s">
        <v>516</v>
      </c>
      <c r="B106" s="3">
        <f t="shared" si="1"/>
        <v>38626</v>
      </c>
      <c r="C106">
        <v>731.66832699999998</v>
      </c>
      <c r="D106">
        <v>686.90116399999999</v>
      </c>
    </row>
    <row r="107" spans="1:6" x14ac:dyDescent="0.25">
      <c r="A107" t="s">
        <v>517</v>
      </c>
      <c r="B107" s="3">
        <f t="shared" si="1"/>
        <v>38657</v>
      </c>
      <c r="C107">
        <v>713.93244600000003</v>
      </c>
      <c r="D107">
        <v>659.29257500000006</v>
      </c>
    </row>
    <row r="108" spans="1:6" x14ac:dyDescent="0.25">
      <c r="A108" t="s">
        <v>518</v>
      </c>
      <c r="B108" s="3">
        <f t="shared" si="1"/>
        <v>38687</v>
      </c>
      <c r="C108">
        <v>737.88902800000005</v>
      </c>
      <c r="D108">
        <v>690.71817999999996</v>
      </c>
    </row>
    <row r="109" spans="1:6" x14ac:dyDescent="0.25">
      <c r="A109" t="s">
        <v>519</v>
      </c>
      <c r="B109" s="3">
        <f t="shared" si="1"/>
        <v>38718</v>
      </c>
      <c r="C109">
        <v>754.87961099999995</v>
      </c>
      <c r="D109">
        <v>712.95624699999996</v>
      </c>
      <c r="F109" s="3"/>
    </row>
    <row r="110" spans="1:6" x14ac:dyDescent="0.25">
      <c r="A110" t="s">
        <v>126</v>
      </c>
      <c r="B110" s="3">
        <f t="shared" si="1"/>
        <v>38749</v>
      </c>
      <c r="C110">
        <v>791.29907400000002</v>
      </c>
      <c r="D110">
        <v>739.35562500000003</v>
      </c>
    </row>
    <row r="111" spans="1:6" x14ac:dyDescent="0.25">
      <c r="A111" t="s">
        <v>127</v>
      </c>
      <c r="B111" s="3">
        <f t="shared" si="1"/>
        <v>38777</v>
      </c>
      <c r="C111">
        <v>789.79312600000003</v>
      </c>
      <c r="D111">
        <v>743.83735200000001</v>
      </c>
    </row>
    <row r="112" spans="1:6" x14ac:dyDescent="0.25">
      <c r="A112" t="s">
        <v>128</v>
      </c>
      <c r="B112" s="3">
        <f t="shared" si="1"/>
        <v>38808</v>
      </c>
      <c r="C112">
        <v>809.32011899999998</v>
      </c>
      <c r="D112">
        <v>780.24346800000001</v>
      </c>
      <c r="F112" s="3"/>
    </row>
    <row r="113" spans="1:6" x14ac:dyDescent="0.25">
      <c r="A113" t="s">
        <v>129</v>
      </c>
      <c r="B113" s="3">
        <f t="shared" si="1"/>
        <v>38838</v>
      </c>
      <c r="C113">
        <v>832.75785599999995</v>
      </c>
      <c r="D113">
        <v>800.31266500000004</v>
      </c>
    </row>
    <row r="114" spans="1:6" x14ac:dyDescent="0.25">
      <c r="A114" t="s">
        <v>130</v>
      </c>
      <c r="B114" s="3">
        <f t="shared" si="1"/>
        <v>38869</v>
      </c>
      <c r="C114">
        <v>803.43851500000005</v>
      </c>
      <c r="D114">
        <v>763.36238100000003</v>
      </c>
    </row>
    <row r="115" spans="1:6" x14ac:dyDescent="0.25">
      <c r="A115" t="s">
        <v>131</v>
      </c>
      <c r="B115" s="3">
        <f t="shared" si="1"/>
        <v>38899</v>
      </c>
      <c r="C115">
        <v>802.64573099999996</v>
      </c>
      <c r="D115">
        <v>780.02674300000001</v>
      </c>
      <c r="F115" s="3"/>
    </row>
    <row r="116" spans="1:6" x14ac:dyDescent="0.25">
      <c r="A116" t="s">
        <v>132</v>
      </c>
      <c r="B116" s="3">
        <f t="shared" si="1"/>
        <v>38930</v>
      </c>
      <c r="C116">
        <v>805.27560300000005</v>
      </c>
      <c r="D116">
        <v>766.24458300000003</v>
      </c>
    </row>
    <row r="117" spans="1:6" x14ac:dyDescent="0.25">
      <c r="A117" t="s">
        <v>133</v>
      </c>
      <c r="B117" s="3">
        <f t="shared" si="1"/>
        <v>38961</v>
      </c>
      <c r="C117">
        <v>826.06136200000003</v>
      </c>
      <c r="D117">
        <v>792.22571000000005</v>
      </c>
    </row>
    <row r="118" spans="1:6" x14ac:dyDescent="0.25">
      <c r="A118" t="s">
        <v>134</v>
      </c>
      <c r="B118" s="3">
        <f t="shared" si="1"/>
        <v>38991</v>
      </c>
      <c r="C118">
        <v>835.13401499999998</v>
      </c>
      <c r="D118">
        <v>801.24066600000003</v>
      </c>
      <c r="F118" s="3"/>
    </row>
    <row r="119" spans="1:6" x14ac:dyDescent="0.25">
      <c r="A119" t="s">
        <v>135</v>
      </c>
      <c r="B119" s="3">
        <f t="shared" si="1"/>
        <v>39022</v>
      </c>
      <c r="C119">
        <v>866.42879000000005</v>
      </c>
      <c r="D119">
        <v>837.47286199999996</v>
      </c>
    </row>
    <row r="120" spans="1:6" x14ac:dyDescent="0.25">
      <c r="A120" t="s">
        <v>136</v>
      </c>
      <c r="B120" s="3">
        <f t="shared" si="1"/>
        <v>39052</v>
      </c>
      <c r="C120">
        <v>889.05699800000002</v>
      </c>
      <c r="D120">
        <v>856.06237399999998</v>
      </c>
    </row>
    <row r="121" spans="1:6" x14ac:dyDescent="0.25">
      <c r="A121" t="s">
        <v>137</v>
      </c>
      <c r="B121" s="3">
        <f t="shared" si="1"/>
        <v>39083</v>
      </c>
      <c r="C121">
        <v>906.58022200000005</v>
      </c>
      <c r="D121">
        <v>885.32149100000004</v>
      </c>
    </row>
    <row r="122" spans="1:6" x14ac:dyDescent="0.25">
      <c r="A122" t="s">
        <v>138</v>
      </c>
      <c r="B122" s="3">
        <f t="shared" si="1"/>
        <v>39114</v>
      </c>
      <c r="C122">
        <v>918.27120000000002</v>
      </c>
      <c r="D122">
        <v>902.41136300000005</v>
      </c>
    </row>
    <row r="123" spans="1:6" x14ac:dyDescent="0.25">
      <c r="A123" t="s">
        <v>139</v>
      </c>
      <c r="B123" s="3">
        <f t="shared" si="1"/>
        <v>39142</v>
      </c>
      <c r="C123">
        <v>914.90818100000001</v>
      </c>
      <c r="D123">
        <v>916.61606400000005</v>
      </c>
    </row>
    <row r="124" spans="1:6" x14ac:dyDescent="0.25">
      <c r="A124" t="s">
        <v>140</v>
      </c>
      <c r="B124" s="3">
        <f t="shared" si="1"/>
        <v>39173</v>
      </c>
      <c r="C124">
        <v>932.09759399999996</v>
      </c>
      <c r="D124">
        <v>946.08734200000004</v>
      </c>
    </row>
    <row r="125" spans="1:6" x14ac:dyDescent="0.25">
      <c r="A125" t="s">
        <v>141</v>
      </c>
      <c r="B125" s="3">
        <f t="shared" si="1"/>
        <v>39203</v>
      </c>
      <c r="C125">
        <v>971.96099900000002</v>
      </c>
      <c r="D125">
        <v>975.14952900000003</v>
      </c>
    </row>
    <row r="126" spans="1:6" x14ac:dyDescent="0.25">
      <c r="A126" t="s">
        <v>142</v>
      </c>
      <c r="B126" s="3">
        <f t="shared" si="1"/>
        <v>39234</v>
      </c>
      <c r="C126">
        <v>1000</v>
      </c>
      <c r="D126">
        <v>1000</v>
      </c>
    </row>
    <row r="127" spans="1:6" x14ac:dyDescent="0.25">
      <c r="A127" t="s">
        <v>143</v>
      </c>
      <c r="B127" s="3">
        <f t="shared" si="1"/>
        <v>39264</v>
      </c>
      <c r="C127">
        <v>991.70582300000001</v>
      </c>
      <c r="D127">
        <v>1000.983113</v>
      </c>
    </row>
    <row r="128" spans="1:6" x14ac:dyDescent="0.25">
      <c r="A128" t="s">
        <v>144</v>
      </c>
      <c r="B128" s="3">
        <f t="shared" si="1"/>
        <v>39295</v>
      </c>
      <c r="C128">
        <v>968.58951500000001</v>
      </c>
      <c r="D128">
        <v>978.68189099999995</v>
      </c>
    </row>
    <row r="129" spans="1:4" x14ac:dyDescent="0.25">
      <c r="A129" t="s">
        <v>145</v>
      </c>
      <c r="B129" s="3">
        <f t="shared" si="1"/>
        <v>39326</v>
      </c>
      <c r="C129">
        <v>966.14903300000003</v>
      </c>
      <c r="D129">
        <v>1004.835473</v>
      </c>
    </row>
    <row r="130" spans="1:4" x14ac:dyDescent="0.25">
      <c r="A130" t="s">
        <v>146</v>
      </c>
      <c r="B130" s="3">
        <f t="shared" si="1"/>
        <v>39356</v>
      </c>
      <c r="C130">
        <v>1009.870131</v>
      </c>
      <c r="D130">
        <v>1061.067018</v>
      </c>
    </row>
    <row r="131" spans="1:4" x14ac:dyDescent="0.25">
      <c r="A131" t="s">
        <v>147</v>
      </c>
      <c r="B131" s="3">
        <f t="shared" ref="B131:B194" si="2">DATE(YEAR(A131),MONTH(A131)+1,1)</f>
        <v>39387</v>
      </c>
      <c r="C131">
        <v>1042.1508899999999</v>
      </c>
      <c r="D131">
        <v>1091.8532560000001</v>
      </c>
    </row>
    <row r="132" spans="1:4" x14ac:dyDescent="0.25">
      <c r="A132" t="s">
        <v>148</v>
      </c>
      <c r="B132" s="3">
        <f t="shared" si="2"/>
        <v>39417</v>
      </c>
      <c r="C132">
        <v>997.11917800000003</v>
      </c>
      <c r="D132">
        <v>1059.551391</v>
      </c>
    </row>
    <row r="133" spans="1:4" x14ac:dyDescent="0.25">
      <c r="A133" t="s">
        <v>149</v>
      </c>
      <c r="B133" s="3">
        <f t="shared" si="2"/>
        <v>39448</v>
      </c>
      <c r="C133">
        <v>983.50383399999998</v>
      </c>
      <c r="D133">
        <v>1030.119647</v>
      </c>
    </row>
    <row r="134" spans="1:4" x14ac:dyDescent="0.25">
      <c r="A134" t="s">
        <v>150</v>
      </c>
      <c r="B134" s="3">
        <f t="shared" si="2"/>
        <v>39479</v>
      </c>
      <c r="C134">
        <v>908.21018000000004</v>
      </c>
      <c r="D134">
        <v>917.29253800000004</v>
      </c>
    </row>
    <row r="135" spans="1:4" x14ac:dyDescent="0.25">
      <c r="A135" t="s">
        <v>151</v>
      </c>
      <c r="B135" s="3">
        <f t="shared" si="2"/>
        <v>39508</v>
      </c>
      <c r="C135">
        <v>904.24873600000001</v>
      </c>
      <c r="D135">
        <v>909.515897</v>
      </c>
    </row>
    <row r="136" spans="1:4" x14ac:dyDescent="0.25">
      <c r="A136" t="s">
        <v>152</v>
      </c>
      <c r="B136" s="3">
        <f t="shared" si="2"/>
        <v>39539</v>
      </c>
      <c r="C136">
        <v>894.99836200000004</v>
      </c>
      <c r="D136">
        <v>881.21372699999995</v>
      </c>
    </row>
    <row r="137" spans="1:4" x14ac:dyDescent="0.25">
      <c r="A137" t="s">
        <v>153</v>
      </c>
      <c r="B137" s="3">
        <f t="shared" si="2"/>
        <v>39569</v>
      </c>
      <c r="C137">
        <v>941.002206</v>
      </c>
      <c r="D137">
        <v>925.23994400000004</v>
      </c>
    </row>
    <row r="138" spans="1:4" x14ac:dyDescent="0.25">
      <c r="A138" t="s">
        <v>154</v>
      </c>
      <c r="B138" s="3">
        <f t="shared" si="2"/>
        <v>39600</v>
      </c>
      <c r="C138">
        <v>958.34058800000003</v>
      </c>
      <c r="D138">
        <v>937.70794799999999</v>
      </c>
    </row>
    <row r="139" spans="1:4" x14ac:dyDescent="0.25">
      <c r="A139" t="s">
        <v>155</v>
      </c>
      <c r="B139" s="3">
        <f t="shared" si="2"/>
        <v>39630</v>
      </c>
      <c r="C139">
        <v>881.79173700000001</v>
      </c>
      <c r="D139">
        <v>867.41146500000002</v>
      </c>
    </row>
    <row r="140" spans="1:4" x14ac:dyDescent="0.25">
      <c r="A140" t="s">
        <v>156</v>
      </c>
      <c r="B140" s="3">
        <f t="shared" si="2"/>
        <v>39661</v>
      </c>
      <c r="C140">
        <v>860.930924</v>
      </c>
      <c r="D140">
        <v>826.17445299999997</v>
      </c>
    </row>
    <row r="141" spans="1:4" x14ac:dyDescent="0.25">
      <c r="A141" t="s">
        <v>157</v>
      </c>
      <c r="B141" s="3">
        <f t="shared" si="2"/>
        <v>39692</v>
      </c>
      <c r="C141">
        <v>850.22364800000003</v>
      </c>
      <c r="D141">
        <v>862.53920200000005</v>
      </c>
    </row>
    <row r="142" spans="1:4" x14ac:dyDescent="0.25">
      <c r="A142" t="s">
        <v>158</v>
      </c>
      <c r="B142" s="3">
        <f t="shared" si="2"/>
        <v>39722</v>
      </c>
      <c r="C142">
        <v>747.65997700000003</v>
      </c>
      <c r="D142">
        <v>775.74397499999998</v>
      </c>
    </row>
    <row r="143" spans="1:4" x14ac:dyDescent="0.25">
      <c r="A143" t="s">
        <v>159</v>
      </c>
      <c r="B143" s="3">
        <f t="shared" si="2"/>
        <v>39753</v>
      </c>
      <c r="C143">
        <v>602.63365599999997</v>
      </c>
      <c r="D143">
        <v>678.90937199999996</v>
      </c>
    </row>
    <row r="144" spans="1:4" x14ac:dyDescent="0.25">
      <c r="A144" t="s">
        <v>160</v>
      </c>
      <c r="B144" s="3">
        <f t="shared" si="2"/>
        <v>39783</v>
      </c>
      <c r="C144">
        <v>562.23226099999999</v>
      </c>
      <c r="D144">
        <v>633.23523599999999</v>
      </c>
    </row>
    <row r="145" spans="1:4" x14ac:dyDescent="0.25">
      <c r="A145" t="s">
        <v>161</v>
      </c>
      <c r="B145" s="3">
        <f t="shared" si="2"/>
        <v>39814</v>
      </c>
      <c r="C145">
        <v>582.01081599999998</v>
      </c>
      <c r="D145">
        <v>630.66129899999999</v>
      </c>
    </row>
    <row r="146" spans="1:4" x14ac:dyDescent="0.25">
      <c r="A146" t="s">
        <v>162</v>
      </c>
      <c r="B146" s="3">
        <f t="shared" si="2"/>
        <v>39845</v>
      </c>
      <c r="C146">
        <v>531.75176799999997</v>
      </c>
      <c r="D146">
        <v>598.43572400000005</v>
      </c>
    </row>
    <row r="147" spans="1:4" x14ac:dyDescent="0.25">
      <c r="A147" t="s">
        <v>163</v>
      </c>
      <c r="B147" s="3">
        <f t="shared" si="2"/>
        <v>39873</v>
      </c>
      <c r="C147">
        <v>477.20596</v>
      </c>
      <c r="D147">
        <v>571.91131800000005</v>
      </c>
    </row>
    <row r="148" spans="1:4" x14ac:dyDescent="0.25">
      <c r="A148" t="s">
        <v>164</v>
      </c>
      <c r="B148" s="3">
        <f t="shared" si="2"/>
        <v>39904</v>
      </c>
      <c r="C148">
        <v>513.55423199999996</v>
      </c>
      <c r="D148">
        <v>621.64895000000001</v>
      </c>
    </row>
    <row r="149" spans="1:4" x14ac:dyDescent="0.25">
      <c r="A149" t="s">
        <v>165</v>
      </c>
      <c r="B149" s="3">
        <f t="shared" si="2"/>
        <v>39934</v>
      </c>
      <c r="C149">
        <v>574.22196699999995</v>
      </c>
      <c r="D149">
        <v>657.99675400000001</v>
      </c>
    </row>
    <row r="150" spans="1:4" x14ac:dyDescent="0.25">
      <c r="A150" t="s">
        <v>166</v>
      </c>
      <c r="B150" s="3">
        <f t="shared" si="2"/>
        <v>39965</v>
      </c>
      <c r="C150">
        <v>626.00798199999997</v>
      </c>
      <c r="D150">
        <v>667.46358999999995</v>
      </c>
    </row>
    <row r="151" spans="1:4" x14ac:dyDescent="0.25">
      <c r="A151" t="s">
        <v>167</v>
      </c>
      <c r="B151" s="3">
        <f t="shared" si="2"/>
        <v>39995</v>
      </c>
      <c r="C151">
        <v>624.35597900000005</v>
      </c>
      <c r="D151">
        <v>694.44244900000001</v>
      </c>
    </row>
    <row r="152" spans="1:4" x14ac:dyDescent="0.25">
      <c r="A152" t="s">
        <v>168</v>
      </c>
      <c r="B152" s="3">
        <f t="shared" si="2"/>
        <v>40026</v>
      </c>
      <c r="C152">
        <v>677.47592099999997</v>
      </c>
      <c r="D152">
        <v>746.74750600000004</v>
      </c>
    </row>
    <row r="153" spans="1:4" x14ac:dyDescent="0.25">
      <c r="A153" t="s">
        <v>169</v>
      </c>
      <c r="B153" s="3">
        <f t="shared" si="2"/>
        <v>40057</v>
      </c>
      <c r="C153">
        <v>707.04081299999996</v>
      </c>
      <c r="D153">
        <v>797.87444200000004</v>
      </c>
    </row>
    <row r="154" spans="1:4" x14ac:dyDescent="0.25">
      <c r="A154" t="s">
        <v>170</v>
      </c>
      <c r="B154" s="3">
        <f t="shared" si="2"/>
        <v>40087</v>
      </c>
      <c r="C154">
        <v>736.86332800000002</v>
      </c>
      <c r="D154">
        <v>849.38296100000002</v>
      </c>
    </row>
    <row r="155" spans="1:4" x14ac:dyDescent="0.25">
      <c r="A155" t="s">
        <v>171</v>
      </c>
      <c r="B155" s="3">
        <f t="shared" si="2"/>
        <v>40118</v>
      </c>
      <c r="C155">
        <v>721.77847399999996</v>
      </c>
      <c r="D155">
        <v>831.73330299999998</v>
      </c>
    </row>
    <row r="156" spans="1:4" x14ac:dyDescent="0.25">
      <c r="A156" t="s">
        <v>172</v>
      </c>
      <c r="B156" s="3">
        <f t="shared" si="2"/>
        <v>40148</v>
      </c>
      <c r="C156">
        <v>749.75539100000003</v>
      </c>
      <c r="D156">
        <v>846.90827100000001</v>
      </c>
    </row>
    <row r="157" spans="1:4" x14ac:dyDescent="0.25">
      <c r="A157" t="s">
        <v>173</v>
      </c>
      <c r="B157" s="3">
        <f t="shared" si="2"/>
        <v>40179</v>
      </c>
      <c r="C157">
        <v>765.74116200000003</v>
      </c>
      <c r="D157">
        <v>878.343298</v>
      </c>
    </row>
    <row r="158" spans="1:4" x14ac:dyDescent="0.25">
      <c r="A158" t="s">
        <v>174</v>
      </c>
      <c r="B158" s="3">
        <f t="shared" si="2"/>
        <v>40210</v>
      </c>
      <c r="C158">
        <v>735.72610499999996</v>
      </c>
      <c r="D158">
        <v>825.12266299999999</v>
      </c>
    </row>
    <row r="159" spans="1:4" x14ac:dyDescent="0.25">
      <c r="A159" t="s">
        <v>175</v>
      </c>
      <c r="B159" s="3">
        <f t="shared" si="2"/>
        <v>40238</v>
      </c>
      <c r="C159">
        <v>746.93843700000002</v>
      </c>
      <c r="D159">
        <v>844.79941899999994</v>
      </c>
    </row>
    <row r="160" spans="1:4" x14ac:dyDescent="0.25">
      <c r="A160" t="s">
        <v>176</v>
      </c>
      <c r="B160" s="3">
        <f t="shared" si="2"/>
        <v>40269</v>
      </c>
      <c r="C160">
        <v>794.63717599999995</v>
      </c>
      <c r="D160">
        <v>893.60148100000004</v>
      </c>
    </row>
    <row r="161" spans="1:4" x14ac:dyDescent="0.25">
      <c r="A161" t="s">
        <v>177</v>
      </c>
      <c r="B161" s="3">
        <f t="shared" si="2"/>
        <v>40299</v>
      </c>
      <c r="C161">
        <v>798.66063399999996</v>
      </c>
      <c r="D161">
        <v>878.31767300000001</v>
      </c>
    </row>
    <row r="162" spans="1:4" x14ac:dyDescent="0.25">
      <c r="A162" t="s">
        <v>178</v>
      </c>
      <c r="B162" s="3">
        <f t="shared" si="2"/>
        <v>40330</v>
      </c>
      <c r="C162">
        <v>722.13463200000001</v>
      </c>
      <c r="D162">
        <v>810.3655</v>
      </c>
    </row>
    <row r="163" spans="1:4" x14ac:dyDescent="0.25">
      <c r="A163" t="s">
        <v>179</v>
      </c>
      <c r="B163" s="3">
        <f t="shared" si="2"/>
        <v>40360</v>
      </c>
      <c r="C163">
        <v>696.18017999999995</v>
      </c>
      <c r="D163">
        <v>786.77036999999996</v>
      </c>
    </row>
    <row r="164" spans="1:4" x14ac:dyDescent="0.25">
      <c r="A164" t="s">
        <v>180</v>
      </c>
      <c r="B164" s="3">
        <f t="shared" si="2"/>
        <v>40391</v>
      </c>
      <c r="C164">
        <v>752.30474800000002</v>
      </c>
      <c r="D164">
        <v>823.47481000000005</v>
      </c>
    </row>
    <row r="165" spans="1:4" x14ac:dyDescent="0.25">
      <c r="A165" t="s">
        <v>181</v>
      </c>
      <c r="B165" s="3">
        <f t="shared" si="2"/>
        <v>40422</v>
      </c>
      <c r="C165">
        <v>723.35562900000002</v>
      </c>
      <c r="D165">
        <v>815.33957699999996</v>
      </c>
    </row>
    <row r="166" spans="1:4" x14ac:dyDescent="0.25">
      <c r="A166" t="s">
        <v>182</v>
      </c>
      <c r="B166" s="3">
        <f t="shared" si="2"/>
        <v>40452</v>
      </c>
      <c r="C166">
        <v>792.86985700000002</v>
      </c>
      <c r="D166">
        <v>855.92990299999997</v>
      </c>
    </row>
    <row r="167" spans="1:4" x14ac:dyDescent="0.25">
      <c r="A167" t="s">
        <v>183</v>
      </c>
      <c r="B167" s="3">
        <f t="shared" si="2"/>
        <v>40483</v>
      </c>
      <c r="C167">
        <v>822.66059399999995</v>
      </c>
      <c r="D167">
        <v>871.68818999999996</v>
      </c>
    </row>
    <row r="168" spans="1:4" x14ac:dyDescent="0.25">
      <c r="A168" t="s">
        <v>184</v>
      </c>
      <c r="B168" s="3">
        <f t="shared" si="2"/>
        <v>40513</v>
      </c>
      <c r="C168">
        <v>807.79310999999996</v>
      </c>
      <c r="D168">
        <v>861.36674900000003</v>
      </c>
    </row>
    <row r="169" spans="1:4" x14ac:dyDescent="0.25">
      <c r="A169" t="s">
        <v>185</v>
      </c>
      <c r="B169" s="3">
        <f t="shared" si="2"/>
        <v>40544</v>
      </c>
      <c r="C169">
        <v>869.423677</v>
      </c>
      <c r="D169">
        <v>894.74693600000001</v>
      </c>
    </row>
    <row r="170" spans="1:4" x14ac:dyDescent="0.25">
      <c r="A170" t="s">
        <v>186</v>
      </c>
      <c r="B170" s="3">
        <f t="shared" si="2"/>
        <v>40575</v>
      </c>
      <c r="C170">
        <v>887.43276300000002</v>
      </c>
      <c r="D170">
        <v>896.15149699999995</v>
      </c>
    </row>
    <row r="171" spans="1:4" x14ac:dyDescent="0.25">
      <c r="A171" t="s">
        <v>187</v>
      </c>
      <c r="B171" s="3">
        <f t="shared" si="2"/>
        <v>40603</v>
      </c>
      <c r="C171">
        <v>919.16656599999999</v>
      </c>
      <c r="D171">
        <v>917.41523800000004</v>
      </c>
    </row>
    <row r="172" spans="1:4" x14ac:dyDescent="0.25">
      <c r="A172" t="s">
        <v>188</v>
      </c>
      <c r="B172" s="3">
        <f t="shared" si="2"/>
        <v>40634</v>
      </c>
      <c r="C172">
        <v>912.83803799999998</v>
      </c>
      <c r="D172">
        <v>924.58628799999997</v>
      </c>
    </row>
    <row r="173" spans="1:4" x14ac:dyDescent="0.25">
      <c r="A173" t="s">
        <v>189</v>
      </c>
      <c r="B173" s="3">
        <f t="shared" si="2"/>
        <v>40664</v>
      </c>
      <c r="C173">
        <v>951.03076599999997</v>
      </c>
      <c r="D173">
        <v>921.430026</v>
      </c>
    </row>
    <row r="174" spans="1:4" x14ac:dyDescent="0.25">
      <c r="A174" t="s">
        <v>190</v>
      </c>
      <c r="B174" s="3">
        <f t="shared" si="2"/>
        <v>40695</v>
      </c>
      <c r="C174">
        <v>931.32413899999995</v>
      </c>
      <c r="D174">
        <v>901.03274399999998</v>
      </c>
    </row>
    <row r="175" spans="1:4" x14ac:dyDescent="0.25">
      <c r="A175" t="s">
        <v>191</v>
      </c>
      <c r="B175" s="3">
        <f t="shared" si="2"/>
        <v>40725</v>
      </c>
      <c r="C175">
        <v>915.80493999999999</v>
      </c>
      <c r="D175">
        <v>884.12823400000002</v>
      </c>
    </row>
    <row r="176" spans="1:4" x14ac:dyDescent="0.25">
      <c r="A176" t="s">
        <v>192</v>
      </c>
      <c r="B176" s="3">
        <f t="shared" si="2"/>
        <v>40756</v>
      </c>
      <c r="C176">
        <v>898.54166099999998</v>
      </c>
      <c r="D176">
        <v>847.32953399999997</v>
      </c>
    </row>
    <row r="177" spans="1:4" x14ac:dyDescent="0.25">
      <c r="A177" t="s">
        <v>193</v>
      </c>
      <c r="B177" s="3">
        <f t="shared" si="2"/>
        <v>40787</v>
      </c>
      <c r="C177">
        <v>833.72213099999999</v>
      </c>
      <c r="D177">
        <v>829.35161300000004</v>
      </c>
    </row>
    <row r="178" spans="1:4" x14ac:dyDescent="0.25">
      <c r="A178" t="s">
        <v>194</v>
      </c>
      <c r="B178" s="3">
        <f t="shared" si="2"/>
        <v>40817</v>
      </c>
      <c r="C178">
        <v>758.748516</v>
      </c>
      <c r="D178">
        <v>776.26675599999999</v>
      </c>
    </row>
    <row r="179" spans="1:4" x14ac:dyDescent="0.25">
      <c r="A179" t="s">
        <v>195</v>
      </c>
      <c r="B179" s="3">
        <f t="shared" si="2"/>
        <v>40848</v>
      </c>
      <c r="C179">
        <v>838.72975299999996</v>
      </c>
      <c r="D179">
        <v>834.08701799999994</v>
      </c>
    </row>
    <row r="180" spans="1:4" x14ac:dyDescent="0.25">
      <c r="A180" t="s">
        <v>196</v>
      </c>
      <c r="B180" s="3">
        <f t="shared" si="2"/>
        <v>40878</v>
      </c>
      <c r="C180">
        <v>818.29438200000004</v>
      </c>
      <c r="D180">
        <v>803.72623199999998</v>
      </c>
    </row>
    <row r="181" spans="1:4" x14ac:dyDescent="0.25">
      <c r="A181" t="s">
        <v>197</v>
      </c>
      <c r="B181" s="3">
        <f t="shared" si="2"/>
        <v>40909</v>
      </c>
      <c r="C181">
        <v>816.97540400000003</v>
      </c>
      <c r="D181">
        <v>790.49635000000001</v>
      </c>
    </row>
    <row r="182" spans="1:4" x14ac:dyDescent="0.25">
      <c r="A182" t="s">
        <v>198</v>
      </c>
      <c r="B182" s="3">
        <f t="shared" si="2"/>
        <v>40940</v>
      </c>
      <c r="C182">
        <v>860.75132900000006</v>
      </c>
      <c r="D182">
        <v>832.33436900000004</v>
      </c>
    </row>
    <row r="183" spans="1:4" x14ac:dyDescent="0.25">
      <c r="A183" t="s">
        <v>199</v>
      </c>
      <c r="B183" s="3">
        <f t="shared" si="2"/>
        <v>40969</v>
      </c>
      <c r="C183">
        <v>902.40033100000005</v>
      </c>
      <c r="D183">
        <v>848.33347300000003</v>
      </c>
    </row>
    <row r="184" spans="1:4" x14ac:dyDescent="0.25">
      <c r="A184" t="s">
        <v>200</v>
      </c>
      <c r="B184" s="3">
        <f t="shared" si="2"/>
        <v>41000</v>
      </c>
      <c r="C184">
        <v>913.58723299999997</v>
      </c>
      <c r="D184">
        <v>858.531702</v>
      </c>
    </row>
    <row r="185" spans="1:4" x14ac:dyDescent="0.25">
      <c r="A185" t="s">
        <v>201</v>
      </c>
      <c r="B185" s="3">
        <f t="shared" si="2"/>
        <v>41030</v>
      </c>
      <c r="C185">
        <v>903.73513700000001</v>
      </c>
      <c r="D185">
        <v>869.04784099999995</v>
      </c>
    </row>
    <row r="186" spans="1:4" x14ac:dyDescent="0.25">
      <c r="A186" t="s">
        <v>202</v>
      </c>
      <c r="B186" s="3">
        <f t="shared" si="2"/>
        <v>41061</v>
      </c>
      <c r="C186">
        <v>825.36333999999999</v>
      </c>
      <c r="D186">
        <v>808.81192899999996</v>
      </c>
    </row>
    <row r="187" spans="1:4" x14ac:dyDescent="0.25">
      <c r="A187" t="s">
        <v>203</v>
      </c>
      <c r="B187" s="3">
        <f t="shared" si="2"/>
        <v>41091</v>
      </c>
      <c r="C187">
        <v>865.80589099999997</v>
      </c>
      <c r="D187">
        <v>813.09506399999998</v>
      </c>
    </row>
    <row r="188" spans="1:4" x14ac:dyDescent="0.25">
      <c r="A188" t="s">
        <v>204</v>
      </c>
      <c r="B188" s="3">
        <f t="shared" si="2"/>
        <v>41122</v>
      </c>
      <c r="C188">
        <v>875.33399299999996</v>
      </c>
      <c r="D188">
        <v>846.55208700000003</v>
      </c>
    </row>
    <row r="189" spans="1:4" x14ac:dyDescent="0.25">
      <c r="A189" t="s">
        <v>205</v>
      </c>
      <c r="B189" s="3">
        <f t="shared" si="2"/>
        <v>41153</v>
      </c>
      <c r="C189">
        <v>898.356583</v>
      </c>
      <c r="D189">
        <v>864.26377200000002</v>
      </c>
    </row>
    <row r="190" spans="1:4" x14ac:dyDescent="0.25">
      <c r="A190" t="s">
        <v>206</v>
      </c>
      <c r="B190" s="3">
        <f t="shared" si="2"/>
        <v>41183</v>
      </c>
      <c r="C190">
        <v>923.89950299999998</v>
      </c>
      <c r="D190">
        <v>883.33647499999995</v>
      </c>
    </row>
    <row r="191" spans="1:4" x14ac:dyDescent="0.25">
      <c r="A191" t="s">
        <v>207</v>
      </c>
      <c r="B191" s="3">
        <f t="shared" si="2"/>
        <v>41214</v>
      </c>
      <c r="C191">
        <v>917.76942299999996</v>
      </c>
      <c r="D191">
        <v>909.15834099999995</v>
      </c>
    </row>
    <row r="192" spans="1:4" x14ac:dyDescent="0.25">
      <c r="A192" t="s">
        <v>208</v>
      </c>
      <c r="B192" s="3">
        <f t="shared" si="2"/>
        <v>41244</v>
      </c>
      <c r="C192">
        <v>929.165569</v>
      </c>
      <c r="D192">
        <v>912.10675700000002</v>
      </c>
    </row>
    <row r="193" spans="1:4" x14ac:dyDescent="0.25">
      <c r="A193" t="s">
        <v>209</v>
      </c>
      <c r="B193" s="3">
        <f t="shared" si="2"/>
        <v>41275</v>
      </c>
      <c r="C193">
        <v>948.15110700000002</v>
      </c>
      <c r="D193">
        <v>943.69728799999996</v>
      </c>
    </row>
    <row r="194" spans="1:4" x14ac:dyDescent="0.25">
      <c r="A194" t="s">
        <v>210</v>
      </c>
      <c r="B194" s="3">
        <f t="shared" si="2"/>
        <v>41306</v>
      </c>
      <c r="C194">
        <v>997.35141499999997</v>
      </c>
      <c r="D194">
        <v>990.70101599999998</v>
      </c>
    </row>
    <row r="195" spans="1:4" x14ac:dyDescent="0.25">
      <c r="A195" t="s">
        <v>211</v>
      </c>
      <c r="B195" s="3">
        <f t="shared" ref="B195:B258" si="3">DATE(YEAR(A195),MONTH(A195)+1,1)</f>
        <v>41334</v>
      </c>
      <c r="C195">
        <v>999.84499500000004</v>
      </c>
      <c r="D195">
        <v>1045.6892989999999</v>
      </c>
    </row>
    <row r="196" spans="1:4" x14ac:dyDescent="0.25">
      <c r="A196" t="s">
        <v>212</v>
      </c>
      <c r="B196" s="3">
        <f t="shared" si="3"/>
        <v>41365</v>
      </c>
      <c r="C196">
        <v>1024.705295</v>
      </c>
      <c r="D196">
        <v>1021.5672520000001</v>
      </c>
    </row>
    <row r="197" spans="1:4" x14ac:dyDescent="0.25">
      <c r="A197" t="s">
        <v>213</v>
      </c>
      <c r="B197" s="3">
        <f t="shared" si="3"/>
        <v>41395</v>
      </c>
      <c r="C197">
        <v>1054.361656</v>
      </c>
      <c r="D197">
        <v>1064.8594909999999</v>
      </c>
    </row>
    <row r="198" spans="1:4" x14ac:dyDescent="0.25">
      <c r="A198" t="s">
        <v>214</v>
      </c>
      <c r="B198" s="3">
        <f t="shared" si="3"/>
        <v>41426</v>
      </c>
      <c r="C198">
        <v>1056.115992</v>
      </c>
      <c r="D198">
        <v>1013.127438</v>
      </c>
    </row>
    <row r="199" spans="1:4" x14ac:dyDescent="0.25">
      <c r="A199" t="s">
        <v>215</v>
      </c>
      <c r="B199" s="3">
        <f t="shared" si="3"/>
        <v>41456</v>
      </c>
      <c r="C199">
        <v>1030.5183939999999</v>
      </c>
      <c r="D199">
        <v>988.35138400000005</v>
      </c>
    </row>
    <row r="200" spans="1:4" x14ac:dyDescent="0.25">
      <c r="A200" t="s">
        <v>216</v>
      </c>
      <c r="B200" s="3">
        <f t="shared" si="3"/>
        <v>41487</v>
      </c>
      <c r="C200">
        <v>1086.3616199999999</v>
      </c>
      <c r="D200">
        <v>1040.0141149999999</v>
      </c>
    </row>
    <row r="201" spans="1:4" x14ac:dyDescent="0.25">
      <c r="A201" t="s">
        <v>217</v>
      </c>
      <c r="B201" s="3">
        <f t="shared" si="3"/>
        <v>41518</v>
      </c>
      <c r="C201">
        <v>1063.5324410000001</v>
      </c>
      <c r="D201">
        <v>1065.3797830000001</v>
      </c>
    </row>
    <row r="202" spans="1:4" x14ac:dyDescent="0.25">
      <c r="A202" t="s">
        <v>218</v>
      </c>
      <c r="B202" s="3">
        <f t="shared" si="3"/>
        <v>41548</v>
      </c>
      <c r="C202">
        <v>1119.437079</v>
      </c>
      <c r="D202">
        <v>1088.458187</v>
      </c>
    </row>
    <row r="203" spans="1:4" x14ac:dyDescent="0.25">
      <c r="A203" t="s">
        <v>219</v>
      </c>
      <c r="B203" s="3">
        <f t="shared" si="3"/>
        <v>41579</v>
      </c>
      <c r="C203">
        <v>1161.9863210000001</v>
      </c>
      <c r="D203">
        <v>1132.4048290000001</v>
      </c>
    </row>
    <row r="204" spans="1:4" x14ac:dyDescent="0.25">
      <c r="A204" t="s">
        <v>220</v>
      </c>
      <c r="B204" s="3">
        <f t="shared" si="3"/>
        <v>41609</v>
      </c>
      <c r="C204">
        <v>1182.692513</v>
      </c>
      <c r="D204">
        <v>1117.8321410000001</v>
      </c>
    </row>
    <row r="205" spans="1:4" x14ac:dyDescent="0.25">
      <c r="A205" t="s">
        <v>221</v>
      </c>
      <c r="B205" s="3">
        <f t="shared" si="3"/>
        <v>41640</v>
      </c>
      <c r="C205">
        <v>1208.107446</v>
      </c>
      <c r="D205">
        <v>1124.7671330000001</v>
      </c>
    </row>
    <row r="206" spans="1:4" x14ac:dyDescent="0.25">
      <c r="A206" t="s">
        <v>222</v>
      </c>
      <c r="B206" s="3">
        <f t="shared" si="3"/>
        <v>41671</v>
      </c>
      <c r="C206">
        <v>1166.364677</v>
      </c>
      <c r="D206">
        <v>1090.6775709999999</v>
      </c>
    </row>
    <row r="207" spans="1:4" x14ac:dyDescent="0.25">
      <c r="A207" t="s">
        <v>223</v>
      </c>
      <c r="B207" s="3">
        <f t="shared" si="3"/>
        <v>41699</v>
      </c>
      <c r="C207">
        <v>1225.1595030000001</v>
      </c>
      <c r="D207">
        <v>1146.1314159999999</v>
      </c>
    </row>
    <row r="208" spans="1:4" x14ac:dyDescent="0.25">
      <c r="A208" t="s">
        <v>224</v>
      </c>
      <c r="B208" s="3">
        <f t="shared" si="3"/>
        <v>41730</v>
      </c>
      <c r="C208">
        <v>1225.920044</v>
      </c>
      <c r="D208">
        <v>1149.5383919999999</v>
      </c>
    </row>
    <row r="209" spans="1:4" x14ac:dyDescent="0.25">
      <c r="A209" t="s">
        <v>225</v>
      </c>
      <c r="B209" s="3">
        <f t="shared" si="3"/>
        <v>41760</v>
      </c>
      <c r="C209">
        <v>1233.94615</v>
      </c>
      <c r="D209">
        <v>1169.1929600000001</v>
      </c>
    </row>
    <row r="210" spans="1:4" x14ac:dyDescent="0.25">
      <c r="A210" t="s">
        <v>226</v>
      </c>
      <c r="B210" s="3">
        <f t="shared" si="3"/>
        <v>41791</v>
      </c>
      <c r="C210">
        <v>1256.811226</v>
      </c>
      <c r="D210">
        <v>1175.800176</v>
      </c>
    </row>
    <row r="211" spans="1:4" x14ac:dyDescent="0.25">
      <c r="A211" t="s">
        <v>227</v>
      </c>
      <c r="B211" s="3">
        <f t="shared" si="3"/>
        <v>41821</v>
      </c>
      <c r="C211">
        <v>1282.9430809999999</v>
      </c>
      <c r="D211">
        <v>1158.3053090000001</v>
      </c>
    </row>
    <row r="212" spans="1:4" x14ac:dyDescent="0.25">
      <c r="A212" t="s">
        <v>228</v>
      </c>
      <c r="B212" s="3">
        <f t="shared" si="3"/>
        <v>41852</v>
      </c>
      <c r="C212">
        <v>1258.1219189999999</v>
      </c>
      <c r="D212">
        <v>1210.442202</v>
      </c>
    </row>
    <row r="213" spans="1:4" x14ac:dyDescent="0.25">
      <c r="A213" t="s">
        <v>229</v>
      </c>
      <c r="B213" s="3">
        <f t="shared" si="3"/>
        <v>41883</v>
      </c>
      <c r="C213">
        <v>1287.3417750000001</v>
      </c>
      <c r="D213">
        <v>1216.533979</v>
      </c>
    </row>
    <row r="214" spans="1:4" x14ac:dyDescent="0.25">
      <c r="A214" t="s">
        <v>230</v>
      </c>
      <c r="B214" s="3">
        <f t="shared" si="3"/>
        <v>41913</v>
      </c>
      <c r="C214">
        <v>1247.292238</v>
      </c>
      <c r="D214">
        <v>1150.6246120000001</v>
      </c>
    </row>
    <row r="215" spans="1:4" x14ac:dyDescent="0.25">
      <c r="A215" t="s">
        <v>231</v>
      </c>
      <c r="B215" s="3">
        <f t="shared" si="3"/>
        <v>41944</v>
      </c>
      <c r="C215">
        <v>1257.1149820000001</v>
      </c>
      <c r="D215">
        <v>1200.80934</v>
      </c>
    </row>
    <row r="216" spans="1:4" x14ac:dyDescent="0.25">
      <c r="A216" t="s">
        <v>232</v>
      </c>
      <c r="B216" s="3">
        <f t="shared" si="3"/>
        <v>41974</v>
      </c>
      <c r="C216">
        <v>1279.6631170000001</v>
      </c>
      <c r="D216">
        <v>1158.7389129999999</v>
      </c>
    </row>
    <row r="217" spans="1:4" x14ac:dyDescent="0.25">
      <c r="A217" t="s">
        <v>233</v>
      </c>
      <c r="B217" s="3">
        <f t="shared" si="3"/>
        <v>42005</v>
      </c>
      <c r="C217">
        <v>1262.6926370000001</v>
      </c>
      <c r="D217">
        <v>1181.3296580000001</v>
      </c>
    </row>
    <row r="218" spans="1:4" x14ac:dyDescent="0.25">
      <c r="A218" t="s">
        <v>234</v>
      </c>
      <c r="B218" s="3">
        <f t="shared" si="3"/>
        <v>42036</v>
      </c>
      <c r="C218">
        <v>1239.8204470000001</v>
      </c>
      <c r="D218">
        <v>1216.3028099999999</v>
      </c>
    </row>
    <row r="219" spans="1:4" x14ac:dyDescent="0.25">
      <c r="A219" t="s">
        <v>235</v>
      </c>
      <c r="B219" s="3">
        <f t="shared" si="3"/>
        <v>42064</v>
      </c>
      <c r="C219">
        <v>1312.9645479999999</v>
      </c>
      <c r="D219">
        <v>1303.8206479999999</v>
      </c>
    </row>
    <row r="220" spans="1:4" x14ac:dyDescent="0.25">
      <c r="A220" t="s">
        <v>236</v>
      </c>
      <c r="B220" s="3">
        <f t="shared" si="3"/>
        <v>42095</v>
      </c>
      <c r="C220">
        <v>1295.5072580000001</v>
      </c>
      <c r="D220">
        <v>1301.9298140000001</v>
      </c>
    </row>
    <row r="221" spans="1:4" x14ac:dyDescent="0.25">
      <c r="A221" t="s">
        <v>237</v>
      </c>
      <c r="B221" s="3">
        <f t="shared" si="3"/>
        <v>42125</v>
      </c>
      <c r="C221">
        <v>1323.3910330000001</v>
      </c>
      <c r="D221">
        <v>1278.5228079999999</v>
      </c>
    </row>
    <row r="222" spans="1:4" x14ac:dyDescent="0.25">
      <c r="A222" t="s">
        <v>238</v>
      </c>
      <c r="B222" s="3">
        <f t="shared" si="3"/>
        <v>42156</v>
      </c>
      <c r="C222">
        <v>1329.9075350000001</v>
      </c>
      <c r="D222">
        <v>1284.440351</v>
      </c>
    </row>
    <row r="223" spans="1:4" x14ac:dyDescent="0.25">
      <c r="A223" t="s">
        <v>239</v>
      </c>
      <c r="B223" s="3">
        <f t="shared" si="3"/>
        <v>42186</v>
      </c>
      <c r="C223">
        <v>1301.506973</v>
      </c>
      <c r="D223">
        <v>1215.1659059999999</v>
      </c>
    </row>
    <row r="224" spans="1:4" x14ac:dyDescent="0.25">
      <c r="A224" t="s">
        <v>240</v>
      </c>
      <c r="B224" s="3">
        <f t="shared" si="3"/>
        <v>42217</v>
      </c>
      <c r="C224">
        <v>1320.921155</v>
      </c>
      <c r="D224">
        <v>1266.3947559999999</v>
      </c>
    </row>
    <row r="225" spans="1:4" x14ac:dyDescent="0.25">
      <c r="A225" t="s">
        <v>241</v>
      </c>
      <c r="B225" s="3">
        <f t="shared" si="3"/>
        <v>42248</v>
      </c>
      <c r="C225">
        <v>1235.829283</v>
      </c>
      <c r="D225">
        <v>1168.419913</v>
      </c>
    </row>
    <row r="226" spans="1:4" x14ac:dyDescent="0.25">
      <c r="A226" t="s">
        <v>242</v>
      </c>
      <c r="B226" s="3">
        <f t="shared" si="3"/>
        <v>42278</v>
      </c>
      <c r="C226">
        <v>1189.2854910000001</v>
      </c>
      <c r="D226">
        <v>1131.230902</v>
      </c>
    </row>
    <row r="227" spans="1:4" x14ac:dyDescent="0.25">
      <c r="A227" t="s">
        <v>243</v>
      </c>
      <c r="B227" s="3">
        <f t="shared" si="3"/>
        <v>42309</v>
      </c>
      <c r="C227">
        <v>1280.0525500000001</v>
      </c>
      <c r="D227">
        <v>1182.3183509999999</v>
      </c>
    </row>
    <row r="228" spans="1:4" x14ac:dyDescent="0.25">
      <c r="A228" t="s">
        <v>244</v>
      </c>
      <c r="B228" s="3">
        <f t="shared" si="3"/>
        <v>42339</v>
      </c>
      <c r="C228">
        <v>1276.396923</v>
      </c>
      <c r="D228">
        <v>1173.1806200000001</v>
      </c>
    </row>
    <row r="229" spans="1:4" x14ac:dyDescent="0.25">
      <c r="A229" t="s">
        <v>245</v>
      </c>
      <c r="B229" s="3">
        <f t="shared" si="3"/>
        <v>42370</v>
      </c>
      <c r="C229">
        <v>1252.64913</v>
      </c>
      <c r="D229">
        <v>1204.1584660000001</v>
      </c>
    </row>
    <row r="230" spans="1:4" x14ac:dyDescent="0.25">
      <c r="A230" t="s">
        <v>246</v>
      </c>
      <c r="B230" s="3">
        <f t="shared" si="3"/>
        <v>42401</v>
      </c>
      <c r="C230">
        <v>1174.7232409999999</v>
      </c>
      <c r="D230">
        <v>1135.118189</v>
      </c>
    </row>
    <row r="231" spans="1:4" x14ac:dyDescent="0.25">
      <c r="A231" t="s">
        <v>247</v>
      </c>
      <c r="B231" s="3">
        <f t="shared" si="3"/>
        <v>42430</v>
      </c>
      <c r="C231">
        <v>1168.1742529999999</v>
      </c>
      <c r="D231">
        <v>1117.995437</v>
      </c>
    </row>
    <row r="232" spans="1:4" x14ac:dyDescent="0.25">
      <c r="A232" t="s">
        <v>248</v>
      </c>
      <c r="B232" s="3">
        <f t="shared" si="3"/>
        <v>42461</v>
      </c>
      <c r="C232">
        <v>1249.9268750000001</v>
      </c>
      <c r="D232">
        <v>1171.1690430000001</v>
      </c>
    </row>
    <row r="233" spans="1:4" x14ac:dyDescent="0.25">
      <c r="A233" t="s">
        <v>249</v>
      </c>
      <c r="B233" s="3">
        <f t="shared" si="3"/>
        <v>42491</v>
      </c>
      <c r="C233">
        <v>1270.9766320000001</v>
      </c>
      <c r="D233">
        <v>1213.2496169999999</v>
      </c>
    </row>
    <row r="234" spans="1:4" x14ac:dyDescent="0.25">
      <c r="A234" t="s">
        <v>250</v>
      </c>
      <c r="B234" s="3">
        <f t="shared" si="3"/>
        <v>42522</v>
      </c>
      <c r="C234">
        <v>1279.197525</v>
      </c>
      <c r="D234">
        <v>1248.5950009999999</v>
      </c>
    </row>
    <row r="235" spans="1:4" x14ac:dyDescent="0.25">
      <c r="A235" t="s">
        <v>251</v>
      </c>
      <c r="B235" s="3">
        <f t="shared" si="3"/>
        <v>42552</v>
      </c>
      <c r="C235">
        <v>1263.5195100000001</v>
      </c>
      <c r="D235">
        <v>1218.479752</v>
      </c>
    </row>
    <row r="236" spans="1:4" x14ac:dyDescent="0.25">
      <c r="A236" t="s">
        <v>252</v>
      </c>
      <c r="B236" s="3">
        <f t="shared" si="3"/>
        <v>42583</v>
      </c>
      <c r="C236">
        <v>1319.082611</v>
      </c>
      <c r="D236">
        <v>1295.1543349999999</v>
      </c>
    </row>
    <row r="237" spans="1:4" x14ac:dyDescent="0.25">
      <c r="A237" t="s">
        <v>253</v>
      </c>
      <c r="B237" s="3">
        <f t="shared" si="3"/>
        <v>42614</v>
      </c>
      <c r="C237">
        <v>1320.2884340000001</v>
      </c>
      <c r="D237">
        <v>1276.4174029999999</v>
      </c>
    </row>
    <row r="238" spans="1:4" x14ac:dyDescent="0.25">
      <c r="A238" t="s">
        <v>254</v>
      </c>
      <c r="B238" s="3">
        <f t="shared" si="3"/>
        <v>42644</v>
      </c>
      <c r="C238">
        <v>1329.025858</v>
      </c>
      <c r="D238">
        <v>1284.47801</v>
      </c>
    </row>
    <row r="239" spans="1:4" x14ac:dyDescent="0.25">
      <c r="A239" t="s">
        <v>255</v>
      </c>
      <c r="B239" s="3">
        <f t="shared" si="3"/>
        <v>42675</v>
      </c>
      <c r="C239">
        <v>1300.128228</v>
      </c>
      <c r="D239">
        <v>1259.1495629999999</v>
      </c>
    </row>
    <row r="240" spans="1:4" x14ac:dyDescent="0.25">
      <c r="A240" t="s">
        <v>256</v>
      </c>
      <c r="B240" s="3">
        <f t="shared" si="3"/>
        <v>42705</v>
      </c>
      <c r="C240">
        <v>1323.644141</v>
      </c>
      <c r="D240">
        <v>1297.1031390000001</v>
      </c>
    </row>
    <row r="241" spans="1:4" x14ac:dyDescent="0.25">
      <c r="A241" t="s">
        <v>257</v>
      </c>
      <c r="B241" s="3">
        <f t="shared" si="3"/>
        <v>42736</v>
      </c>
      <c r="C241">
        <v>1355.3009059999999</v>
      </c>
      <c r="D241">
        <v>1356.3584840000001</v>
      </c>
    </row>
    <row r="242" spans="1:4" x14ac:dyDescent="0.25">
      <c r="A242" t="s">
        <v>258</v>
      </c>
      <c r="B242" s="3">
        <f t="shared" si="3"/>
        <v>42767</v>
      </c>
      <c r="C242">
        <v>1387.801056</v>
      </c>
      <c r="D242">
        <v>1345.6171670000001</v>
      </c>
    </row>
    <row r="243" spans="1:4" x14ac:dyDescent="0.25">
      <c r="A243" t="s">
        <v>259</v>
      </c>
      <c r="B243" s="3">
        <f t="shared" si="3"/>
        <v>42795</v>
      </c>
      <c r="C243">
        <v>1425.076812</v>
      </c>
      <c r="D243">
        <v>1377.4070879999999</v>
      </c>
    </row>
    <row r="244" spans="1:4" x14ac:dyDescent="0.25">
      <c r="A244" t="s">
        <v>260</v>
      </c>
      <c r="B244" s="3">
        <f t="shared" si="3"/>
        <v>42826</v>
      </c>
      <c r="C244">
        <v>1439.6180119999999</v>
      </c>
      <c r="D244">
        <v>1424.068485</v>
      </c>
    </row>
    <row r="245" spans="1:4" x14ac:dyDescent="0.25">
      <c r="A245" t="s">
        <v>261</v>
      </c>
      <c r="B245" s="3">
        <f t="shared" si="3"/>
        <v>42856</v>
      </c>
      <c r="C245">
        <v>1461.967727</v>
      </c>
      <c r="D245">
        <v>1440.8862509999999</v>
      </c>
    </row>
    <row r="246" spans="1:4" x14ac:dyDescent="0.25">
      <c r="A246" t="s">
        <v>262</v>
      </c>
      <c r="B246" s="3">
        <f t="shared" si="3"/>
        <v>42887</v>
      </c>
      <c r="C246">
        <v>1489.951247</v>
      </c>
      <c r="D246">
        <v>1395.588694</v>
      </c>
    </row>
    <row r="247" spans="1:4" x14ac:dyDescent="0.25">
      <c r="A247" t="s">
        <v>263</v>
      </c>
      <c r="B247" s="3">
        <f t="shared" si="3"/>
        <v>42917</v>
      </c>
      <c r="C247">
        <v>1498.0163219999999</v>
      </c>
      <c r="D247">
        <v>1396.8056610000001</v>
      </c>
    </row>
    <row r="248" spans="1:4" x14ac:dyDescent="0.25">
      <c r="A248" t="s">
        <v>264</v>
      </c>
      <c r="B248" s="3">
        <f t="shared" si="3"/>
        <v>42948</v>
      </c>
      <c r="C248">
        <v>1533.6114279999999</v>
      </c>
      <c r="D248">
        <v>1399.659396</v>
      </c>
    </row>
    <row r="249" spans="1:4" x14ac:dyDescent="0.25">
      <c r="A249" t="s">
        <v>265</v>
      </c>
      <c r="B249" s="3">
        <f t="shared" si="3"/>
        <v>42979</v>
      </c>
      <c r="C249">
        <v>1535.357344</v>
      </c>
      <c r="D249">
        <v>1410.4325510000001</v>
      </c>
    </row>
    <row r="250" spans="1:4" x14ac:dyDescent="0.25">
      <c r="A250" t="s">
        <v>266</v>
      </c>
      <c r="B250" s="3">
        <f t="shared" si="3"/>
        <v>43009</v>
      </c>
      <c r="C250">
        <v>1573.3488809999999</v>
      </c>
      <c r="D250">
        <v>1410.9739790000001</v>
      </c>
    </row>
    <row r="251" spans="1:4" x14ac:dyDescent="0.25">
      <c r="A251" t="s">
        <v>267</v>
      </c>
      <c r="B251" s="3">
        <f t="shared" si="3"/>
        <v>43040</v>
      </c>
      <c r="C251">
        <v>1602.1399630000001</v>
      </c>
      <c r="D251">
        <v>1467.7666369999999</v>
      </c>
    </row>
    <row r="252" spans="1:4" x14ac:dyDescent="0.25">
      <c r="A252" t="s">
        <v>268</v>
      </c>
      <c r="B252" s="3">
        <f t="shared" si="3"/>
        <v>43070</v>
      </c>
      <c r="C252">
        <v>1636.8935879999999</v>
      </c>
      <c r="D252">
        <v>1493.748163</v>
      </c>
    </row>
    <row r="253" spans="1:4" x14ac:dyDescent="0.25">
      <c r="A253" t="s">
        <v>269</v>
      </c>
      <c r="B253" s="3">
        <f t="shared" si="3"/>
        <v>43101</v>
      </c>
      <c r="C253">
        <v>1659.3666479999999</v>
      </c>
      <c r="D253">
        <v>1521.502109</v>
      </c>
    </row>
    <row r="254" spans="1:4" x14ac:dyDescent="0.25">
      <c r="A254" t="s">
        <v>270</v>
      </c>
      <c r="B254" s="3">
        <f t="shared" si="3"/>
        <v>43132</v>
      </c>
      <c r="C254">
        <v>1743.0612860000001</v>
      </c>
      <c r="D254">
        <v>1513.237273</v>
      </c>
    </row>
    <row r="255" spans="1:4" x14ac:dyDescent="0.25">
      <c r="A255" t="s">
        <v>271</v>
      </c>
      <c r="B255" s="3">
        <f t="shared" si="3"/>
        <v>43160</v>
      </c>
      <c r="C255">
        <v>1671.1820620000001</v>
      </c>
      <c r="D255">
        <v>1517.925035</v>
      </c>
    </row>
    <row r="256" spans="1:4" x14ac:dyDescent="0.25">
      <c r="A256" t="s">
        <v>272</v>
      </c>
      <c r="B256" s="3">
        <f t="shared" si="3"/>
        <v>43191</v>
      </c>
      <c r="C256">
        <v>1639.7568659999999</v>
      </c>
      <c r="D256">
        <v>1460.9362550000001</v>
      </c>
    </row>
    <row r="257" spans="1:4" x14ac:dyDescent="0.25">
      <c r="A257" t="s">
        <v>273</v>
      </c>
      <c r="B257" s="3">
        <f t="shared" si="3"/>
        <v>43221</v>
      </c>
      <c r="C257">
        <v>1658.085163</v>
      </c>
      <c r="D257">
        <v>1519.358479</v>
      </c>
    </row>
    <row r="258" spans="1:4" x14ac:dyDescent="0.25">
      <c r="A258" t="s">
        <v>274</v>
      </c>
      <c r="B258" s="3">
        <f t="shared" si="3"/>
        <v>43252</v>
      </c>
      <c r="C258">
        <v>1673.063488</v>
      </c>
      <c r="D258">
        <v>1538.849494</v>
      </c>
    </row>
    <row r="259" spans="1:4" x14ac:dyDescent="0.25">
      <c r="A259" t="s">
        <v>275</v>
      </c>
      <c r="B259" s="3">
        <f t="shared" ref="B259:B322" si="4">DATE(YEAR(A259),MONTH(A259)+1,1)</f>
        <v>43282</v>
      </c>
      <c r="C259">
        <v>1671.6050210000001</v>
      </c>
      <c r="D259">
        <v>1590.772543</v>
      </c>
    </row>
    <row r="260" spans="1:4" x14ac:dyDescent="0.25">
      <c r="A260" t="s">
        <v>276</v>
      </c>
      <c r="B260" s="3">
        <f t="shared" si="4"/>
        <v>43313</v>
      </c>
      <c r="C260">
        <v>1719.3895379999999</v>
      </c>
      <c r="D260">
        <v>1610.731295</v>
      </c>
    </row>
    <row r="261" spans="1:4" x14ac:dyDescent="0.25">
      <c r="A261" t="s">
        <v>277</v>
      </c>
      <c r="B261" s="3">
        <f t="shared" si="4"/>
        <v>43344</v>
      </c>
      <c r="C261">
        <v>1742.9115409999999</v>
      </c>
      <c r="D261">
        <v>1629.8424399999999</v>
      </c>
    </row>
    <row r="262" spans="1:4" x14ac:dyDescent="0.25">
      <c r="A262" t="s">
        <v>278</v>
      </c>
      <c r="B262" s="3">
        <f t="shared" si="4"/>
        <v>43374</v>
      </c>
      <c r="C262">
        <v>1747.837315</v>
      </c>
      <c r="D262">
        <v>1610.255349</v>
      </c>
    </row>
    <row r="263" spans="1:4" x14ac:dyDescent="0.25">
      <c r="A263" t="s">
        <v>279</v>
      </c>
      <c r="B263" s="3">
        <f t="shared" si="4"/>
        <v>43405</v>
      </c>
      <c r="C263">
        <v>1613.4191129999999</v>
      </c>
      <c r="D263">
        <v>1513.3143110000001</v>
      </c>
    </row>
    <row r="264" spans="1:4" x14ac:dyDescent="0.25">
      <c r="A264" t="s">
        <v>280</v>
      </c>
      <c r="B264" s="3">
        <f t="shared" si="4"/>
        <v>43435</v>
      </c>
      <c r="C264">
        <v>1630.6994769999999</v>
      </c>
      <c r="D264">
        <v>1480.066239</v>
      </c>
    </row>
    <row r="265" spans="1:4" x14ac:dyDescent="0.25">
      <c r="A265" t="s">
        <v>281</v>
      </c>
      <c r="B265" s="3">
        <f t="shared" si="4"/>
        <v>43466</v>
      </c>
      <c r="C265">
        <v>1503.1567950000001</v>
      </c>
      <c r="D265">
        <v>1478.088164</v>
      </c>
    </row>
    <row r="266" spans="1:4" x14ac:dyDescent="0.25">
      <c r="A266" t="s">
        <v>282</v>
      </c>
      <c r="B266" s="3">
        <f t="shared" si="4"/>
        <v>43497</v>
      </c>
      <c r="C266">
        <v>1625.0044849999999</v>
      </c>
      <c r="D266">
        <v>1535.4617659999999</v>
      </c>
    </row>
    <row r="267" spans="1:4" x14ac:dyDescent="0.25">
      <c r="A267" t="s">
        <v>283</v>
      </c>
      <c r="B267" s="3">
        <f t="shared" si="4"/>
        <v>43525</v>
      </c>
      <c r="C267">
        <v>1675.460779</v>
      </c>
      <c r="D267">
        <v>1627.519552</v>
      </c>
    </row>
    <row r="268" spans="1:4" x14ac:dyDescent="0.25">
      <c r="A268" t="s">
        <v>284</v>
      </c>
      <c r="B268" s="3">
        <f t="shared" si="4"/>
        <v>43556</v>
      </c>
      <c r="C268">
        <v>1693.1497079999999</v>
      </c>
      <c r="D268">
        <v>1637.459214</v>
      </c>
    </row>
    <row r="269" spans="1:4" x14ac:dyDescent="0.25">
      <c r="A269" t="s">
        <v>285</v>
      </c>
      <c r="B269" s="3">
        <f t="shared" si="4"/>
        <v>43586</v>
      </c>
      <c r="C269">
        <v>1752.2525250000001</v>
      </c>
      <c r="D269">
        <v>1675.4307980000001</v>
      </c>
    </row>
    <row r="270" spans="1:4" x14ac:dyDescent="0.25">
      <c r="A270" t="s">
        <v>286</v>
      </c>
      <c r="B270" s="3">
        <f t="shared" si="4"/>
        <v>43617</v>
      </c>
      <c r="C270">
        <v>1649.392507</v>
      </c>
      <c r="D270">
        <v>1705.0608460000001</v>
      </c>
    </row>
    <row r="271" spans="1:4" x14ac:dyDescent="0.25">
      <c r="A271" t="s">
        <v>287</v>
      </c>
      <c r="B271" s="3">
        <f t="shared" si="4"/>
        <v>43647</v>
      </c>
      <c r="C271">
        <v>1756.4484090000001</v>
      </c>
      <c r="D271">
        <v>1769.0189379999999</v>
      </c>
    </row>
    <row r="272" spans="1:4" x14ac:dyDescent="0.25">
      <c r="A272" t="s">
        <v>288</v>
      </c>
      <c r="B272" s="3">
        <f t="shared" si="4"/>
        <v>43678</v>
      </c>
      <c r="C272">
        <v>1765.326112</v>
      </c>
      <c r="D272">
        <v>1819.4707109999999</v>
      </c>
    </row>
    <row r="273" spans="1:4" x14ac:dyDescent="0.25">
      <c r="A273" t="s">
        <v>289</v>
      </c>
      <c r="B273" s="3">
        <f t="shared" si="4"/>
        <v>43709</v>
      </c>
      <c r="C273">
        <v>1726.168711</v>
      </c>
      <c r="D273">
        <v>1779.170615</v>
      </c>
    </row>
    <row r="274" spans="1:4" x14ac:dyDescent="0.25">
      <c r="A274" t="s">
        <v>290</v>
      </c>
      <c r="B274" s="3">
        <f t="shared" si="4"/>
        <v>43739</v>
      </c>
      <c r="C274">
        <v>1762.7547079999999</v>
      </c>
      <c r="D274">
        <v>1817.7602159999999</v>
      </c>
    </row>
    <row r="275" spans="1:4" x14ac:dyDescent="0.25">
      <c r="A275" t="s">
        <v>291</v>
      </c>
      <c r="B275" s="3">
        <f t="shared" si="4"/>
        <v>43770</v>
      </c>
      <c r="C275">
        <v>1808.0896869999999</v>
      </c>
      <c r="D275">
        <v>1808.0477020000001</v>
      </c>
    </row>
    <row r="276" spans="1:4" x14ac:dyDescent="0.25">
      <c r="A276" t="s">
        <v>292</v>
      </c>
      <c r="B276" s="3">
        <f t="shared" si="4"/>
        <v>43800</v>
      </c>
      <c r="C276">
        <v>1859.4654129999999</v>
      </c>
      <c r="D276">
        <v>1857.2461430000001</v>
      </c>
    </row>
    <row r="277" spans="1:4" x14ac:dyDescent="0.25">
      <c r="A277" t="s">
        <v>293</v>
      </c>
      <c r="B277" s="3">
        <f t="shared" si="4"/>
        <v>43831</v>
      </c>
      <c r="C277">
        <v>1916.2448380000001</v>
      </c>
      <c r="D277">
        <v>1819.5211509999999</v>
      </c>
    </row>
    <row r="278" spans="1:4" x14ac:dyDescent="0.25">
      <c r="A278" t="s">
        <v>294</v>
      </c>
      <c r="B278" s="3">
        <f t="shared" si="4"/>
        <v>43862</v>
      </c>
      <c r="C278">
        <v>1899.4351830000001</v>
      </c>
      <c r="D278">
        <v>1910.221679</v>
      </c>
    </row>
    <row r="279" spans="1:4" x14ac:dyDescent="0.25">
      <c r="A279" t="s">
        <v>295</v>
      </c>
      <c r="B279" s="3">
        <f t="shared" si="4"/>
        <v>43891</v>
      </c>
      <c r="C279">
        <v>1737.1784970000001</v>
      </c>
      <c r="D279">
        <v>1760.936571</v>
      </c>
    </row>
    <row r="280" spans="1:4" x14ac:dyDescent="0.25">
      <c r="A280" t="s">
        <v>296</v>
      </c>
      <c r="B280" s="3">
        <f t="shared" si="4"/>
        <v>43922</v>
      </c>
      <c r="C280">
        <v>1491.44822</v>
      </c>
      <c r="D280">
        <v>1384.5123450000001</v>
      </c>
    </row>
    <row r="281" spans="1:4" x14ac:dyDescent="0.25">
      <c r="A281" t="s">
        <v>297</v>
      </c>
      <c r="B281" s="3">
        <f t="shared" si="4"/>
        <v>43952</v>
      </c>
      <c r="C281">
        <v>1658.5180359999999</v>
      </c>
      <c r="D281">
        <v>1510.871146</v>
      </c>
    </row>
    <row r="282" spans="1:4" x14ac:dyDescent="0.25">
      <c r="A282" t="s">
        <v>298</v>
      </c>
      <c r="B282" s="3">
        <f t="shared" si="4"/>
        <v>43983</v>
      </c>
      <c r="C282">
        <v>1742.8376470000001</v>
      </c>
      <c r="D282">
        <v>1579.0282729999999</v>
      </c>
    </row>
    <row r="283" spans="1:4" x14ac:dyDescent="0.25">
      <c r="A283" t="s">
        <v>299</v>
      </c>
      <c r="B283" s="3">
        <f t="shared" si="4"/>
        <v>44013</v>
      </c>
      <c r="C283">
        <v>1788.7914370000001</v>
      </c>
      <c r="D283">
        <v>1621.623241</v>
      </c>
    </row>
    <row r="284" spans="1:4" x14ac:dyDescent="0.25">
      <c r="A284" t="s">
        <v>300</v>
      </c>
      <c r="B284" s="3">
        <f t="shared" si="4"/>
        <v>44044</v>
      </c>
      <c r="C284">
        <v>1872.563124</v>
      </c>
      <c r="D284">
        <v>1629.994559</v>
      </c>
    </row>
    <row r="285" spans="1:4" x14ac:dyDescent="0.25">
      <c r="A285" t="s">
        <v>301</v>
      </c>
      <c r="B285" s="3">
        <f t="shared" si="4"/>
        <v>44075</v>
      </c>
      <c r="C285">
        <v>1995.569788</v>
      </c>
      <c r="D285">
        <v>1682.5170149999999</v>
      </c>
    </row>
    <row r="286" spans="1:4" x14ac:dyDescent="0.25">
      <c r="A286" t="s">
        <v>302</v>
      </c>
      <c r="B286" s="3">
        <f t="shared" si="4"/>
        <v>44105</v>
      </c>
      <c r="C286">
        <v>1929.6383699999999</v>
      </c>
      <c r="D286">
        <v>1620.9837990000001</v>
      </c>
    </row>
    <row r="287" spans="1:4" x14ac:dyDescent="0.25">
      <c r="A287" t="s">
        <v>303</v>
      </c>
      <c r="B287" s="3">
        <f t="shared" si="4"/>
        <v>44136</v>
      </c>
      <c r="C287">
        <v>1877.204829</v>
      </c>
      <c r="D287">
        <v>1652.819984</v>
      </c>
    </row>
    <row r="288" spans="1:4" x14ac:dyDescent="0.25">
      <c r="A288" t="s">
        <v>304</v>
      </c>
      <c r="B288" s="3">
        <f t="shared" si="4"/>
        <v>44166</v>
      </c>
      <c r="C288">
        <v>2122.9344940000001</v>
      </c>
      <c r="D288">
        <v>1820.9634980000001</v>
      </c>
    </row>
    <row r="289" spans="1:4" x14ac:dyDescent="0.25">
      <c r="A289" t="s">
        <v>305</v>
      </c>
      <c r="B289" s="3">
        <f t="shared" si="4"/>
        <v>44197</v>
      </c>
      <c r="C289">
        <v>2220.940302</v>
      </c>
      <c r="D289">
        <v>1849.5394759999999</v>
      </c>
    </row>
    <row r="290" spans="1:4" x14ac:dyDescent="0.25">
      <c r="A290" t="s">
        <v>306</v>
      </c>
      <c r="B290" s="3">
        <f t="shared" si="4"/>
        <v>44228</v>
      </c>
      <c r="C290">
        <v>2207.259403</v>
      </c>
      <c r="D290">
        <v>1856.5680110000001</v>
      </c>
    </row>
    <row r="291" spans="1:4" x14ac:dyDescent="0.25">
      <c r="A291" t="s">
        <v>307</v>
      </c>
      <c r="B291" s="3">
        <f t="shared" si="4"/>
        <v>44256</v>
      </c>
      <c r="C291">
        <v>2270.5984779999999</v>
      </c>
      <c r="D291">
        <v>1887.0733270000001</v>
      </c>
    </row>
    <row r="292" spans="1:4" x14ac:dyDescent="0.25">
      <c r="A292" t="s">
        <v>308</v>
      </c>
      <c r="B292" s="3">
        <f t="shared" si="4"/>
        <v>44287</v>
      </c>
      <c r="C292">
        <v>2342.5854599999998</v>
      </c>
      <c r="D292">
        <v>1930.8659110000001</v>
      </c>
    </row>
    <row r="293" spans="1:4" x14ac:dyDescent="0.25">
      <c r="A293" t="s">
        <v>309</v>
      </c>
      <c r="B293" s="3">
        <f t="shared" si="4"/>
        <v>44317</v>
      </c>
      <c r="C293">
        <v>2449.2988399999999</v>
      </c>
      <c r="D293">
        <v>2002.1391080000001</v>
      </c>
    </row>
    <row r="294" spans="1:4" x14ac:dyDescent="0.25">
      <c r="A294" t="s">
        <v>310</v>
      </c>
      <c r="B294" s="3">
        <f t="shared" si="4"/>
        <v>44348</v>
      </c>
      <c r="C294">
        <v>2482.7468880000001</v>
      </c>
      <c r="D294">
        <v>2052.2309369999998</v>
      </c>
    </row>
    <row r="295" spans="1:4" x14ac:dyDescent="0.25">
      <c r="A295" t="s">
        <v>311</v>
      </c>
      <c r="B295" s="3">
        <f t="shared" si="4"/>
        <v>44378</v>
      </c>
      <c r="C295">
        <v>2515.6062010000001</v>
      </c>
      <c r="D295">
        <v>2095.0894480000002</v>
      </c>
    </row>
    <row r="296" spans="1:4" x14ac:dyDescent="0.25">
      <c r="A296" t="s">
        <v>312</v>
      </c>
      <c r="B296" s="3">
        <f t="shared" si="4"/>
        <v>44409</v>
      </c>
      <c r="C296">
        <v>2552.663677</v>
      </c>
      <c r="D296">
        <v>2115.2801509999999</v>
      </c>
    </row>
    <row r="297" spans="1:4" x14ac:dyDescent="0.25">
      <c r="A297" t="s">
        <v>313</v>
      </c>
      <c r="B297" s="3">
        <f t="shared" si="4"/>
        <v>44440</v>
      </c>
      <c r="C297">
        <v>2616.002708</v>
      </c>
      <c r="D297">
        <v>2165.7231299999999</v>
      </c>
    </row>
    <row r="298" spans="1:4" x14ac:dyDescent="0.25">
      <c r="A298" t="s">
        <v>314</v>
      </c>
      <c r="B298" s="3">
        <f t="shared" si="4"/>
        <v>44470</v>
      </c>
      <c r="C298">
        <v>2510.8156309999999</v>
      </c>
      <c r="D298">
        <v>2125.1172740000002</v>
      </c>
    </row>
    <row r="299" spans="1:4" x14ac:dyDescent="0.25">
      <c r="A299" t="s">
        <v>315</v>
      </c>
      <c r="B299" s="3">
        <f t="shared" si="4"/>
        <v>44501</v>
      </c>
      <c r="C299">
        <v>2646.5039860000002</v>
      </c>
      <c r="D299">
        <v>2128.4635130000001</v>
      </c>
    </row>
    <row r="300" spans="1:4" x14ac:dyDescent="0.25">
      <c r="A300" t="s">
        <v>316</v>
      </c>
      <c r="B300" s="3">
        <f t="shared" si="4"/>
        <v>44531</v>
      </c>
      <c r="C300">
        <v>2579.7578039999999</v>
      </c>
      <c r="D300">
        <v>2112.9145619999999</v>
      </c>
    </row>
    <row r="301" spans="1:4" x14ac:dyDescent="0.25">
      <c r="A301" t="s">
        <v>317</v>
      </c>
      <c r="B301" s="3">
        <f t="shared" si="4"/>
        <v>44562</v>
      </c>
      <c r="C301">
        <v>2688.1915319999998</v>
      </c>
      <c r="D301">
        <v>2173.034118</v>
      </c>
    </row>
    <row r="302" spans="1:4" x14ac:dyDescent="0.25">
      <c r="A302" t="s">
        <v>318</v>
      </c>
      <c r="B302" s="3">
        <f t="shared" si="4"/>
        <v>44593</v>
      </c>
      <c r="C302">
        <v>2538.577534</v>
      </c>
      <c r="D302">
        <v>2033.6410619999999</v>
      </c>
    </row>
    <row r="303" spans="1:4" x14ac:dyDescent="0.25">
      <c r="A303" t="s">
        <v>319</v>
      </c>
      <c r="B303" s="3">
        <f t="shared" si="4"/>
        <v>44621</v>
      </c>
      <c r="C303">
        <v>2482.6334449999999</v>
      </c>
      <c r="D303">
        <v>2081.5239350000002</v>
      </c>
    </row>
    <row r="304" spans="1:4" x14ac:dyDescent="0.25">
      <c r="A304" t="s">
        <v>320</v>
      </c>
      <c r="B304" s="3">
        <f t="shared" si="4"/>
        <v>44652</v>
      </c>
      <c r="C304">
        <v>2545.291346</v>
      </c>
      <c r="D304">
        <v>2228.6053740000002</v>
      </c>
    </row>
    <row r="305" spans="1:4" x14ac:dyDescent="0.25">
      <c r="A305" t="s">
        <v>321</v>
      </c>
      <c r="B305" s="3">
        <f t="shared" si="4"/>
        <v>44682</v>
      </c>
      <c r="C305">
        <v>2335.3613070000001</v>
      </c>
      <c r="D305">
        <v>2213.8342870000001</v>
      </c>
    </row>
    <row r="306" spans="1:4" x14ac:dyDescent="0.25">
      <c r="A306" t="s">
        <v>322</v>
      </c>
      <c r="B306" s="3">
        <f t="shared" si="4"/>
        <v>44713</v>
      </c>
      <c r="C306">
        <v>2336.3385370000001</v>
      </c>
      <c r="D306">
        <v>2155.5054009999999</v>
      </c>
    </row>
    <row r="307" spans="1:4" x14ac:dyDescent="0.25">
      <c r="A307" t="s">
        <v>323</v>
      </c>
      <c r="B307" s="3">
        <f t="shared" si="4"/>
        <v>44743</v>
      </c>
      <c r="C307">
        <v>2130.2472859999998</v>
      </c>
      <c r="D307">
        <v>1959.3691980000001</v>
      </c>
    </row>
    <row r="308" spans="1:4" x14ac:dyDescent="0.25">
      <c r="A308" t="s">
        <v>324</v>
      </c>
      <c r="B308" s="3">
        <f t="shared" si="4"/>
        <v>44774</v>
      </c>
      <c r="C308">
        <v>2302.3344550000002</v>
      </c>
      <c r="D308">
        <v>2073.8365450000001</v>
      </c>
    </row>
    <row r="309" spans="1:4" x14ac:dyDescent="0.25">
      <c r="A309" t="s">
        <v>325</v>
      </c>
      <c r="B309" s="3">
        <f t="shared" si="4"/>
        <v>44805</v>
      </c>
      <c r="C309">
        <v>2208.6026940000002</v>
      </c>
      <c r="D309">
        <v>2098.9149299999999</v>
      </c>
    </row>
    <row r="310" spans="1:4" x14ac:dyDescent="0.25">
      <c r="A310" t="s">
        <v>326</v>
      </c>
      <c r="B310" s="3">
        <f t="shared" si="4"/>
        <v>44835</v>
      </c>
      <c r="C310">
        <v>2000.7468469999999</v>
      </c>
      <c r="D310">
        <v>1968.166029</v>
      </c>
    </row>
    <row r="311" spans="1:4" x14ac:dyDescent="0.25">
      <c r="A311" t="s">
        <v>327</v>
      </c>
      <c r="B311" s="3">
        <f t="shared" si="4"/>
        <v>44866</v>
      </c>
      <c r="C311">
        <v>2146.4540019999999</v>
      </c>
      <c r="D311">
        <v>2085.9372159999998</v>
      </c>
    </row>
    <row r="312" spans="1:4" x14ac:dyDescent="0.25">
      <c r="A312" t="s">
        <v>328</v>
      </c>
      <c r="B312" s="3">
        <f t="shared" si="4"/>
        <v>44896</v>
      </c>
      <c r="C312">
        <v>2293.6830869999999</v>
      </c>
      <c r="D312">
        <v>2225.2999570000002</v>
      </c>
    </row>
    <row r="313" spans="1:4" x14ac:dyDescent="0.25">
      <c r="A313" t="s">
        <v>329</v>
      </c>
      <c r="B313" s="3">
        <f t="shared" si="4"/>
        <v>44927</v>
      </c>
      <c r="C313">
        <v>2198.4432400000001</v>
      </c>
      <c r="D313">
        <v>2149.944184</v>
      </c>
    </row>
    <row r="314" spans="1:4" x14ac:dyDescent="0.25">
      <c r="A314" t="s">
        <v>330</v>
      </c>
      <c r="B314" s="3">
        <f t="shared" si="4"/>
        <v>44958</v>
      </c>
      <c r="C314">
        <v>2359.6117850000001</v>
      </c>
      <c r="D314">
        <v>2288.160558</v>
      </c>
    </row>
    <row r="315" spans="1:4" x14ac:dyDescent="0.25">
      <c r="A315" t="s">
        <v>331</v>
      </c>
      <c r="B315" s="3">
        <f t="shared" si="4"/>
        <v>44986</v>
      </c>
      <c r="C315">
        <v>2303.9123079999999</v>
      </c>
      <c r="D315">
        <v>2228.1537530000001</v>
      </c>
    </row>
    <row r="316" spans="1:4" x14ac:dyDescent="0.25">
      <c r="A316" t="s">
        <v>332</v>
      </c>
      <c r="B316" s="3">
        <f t="shared" si="4"/>
        <v>45017</v>
      </c>
      <c r="C316">
        <v>2359.7519419999999</v>
      </c>
      <c r="D316">
        <v>2221.7402550000002</v>
      </c>
    </row>
    <row r="317" spans="1:4" x14ac:dyDescent="0.25">
      <c r="A317" t="s">
        <v>333</v>
      </c>
      <c r="B317" s="3">
        <f t="shared" si="4"/>
        <v>45047</v>
      </c>
      <c r="C317">
        <v>2396.2274729999999</v>
      </c>
      <c r="D317">
        <v>2262.3389670000001</v>
      </c>
    </row>
    <row r="318" spans="1:4" x14ac:dyDescent="0.25">
      <c r="A318" t="s">
        <v>334</v>
      </c>
      <c r="B318" s="3">
        <f t="shared" si="4"/>
        <v>45078</v>
      </c>
      <c r="C318">
        <v>2367.6177969999999</v>
      </c>
      <c r="D318">
        <v>2204.4066990000001</v>
      </c>
    </row>
    <row r="319" spans="1:4" x14ac:dyDescent="0.25">
      <c r="A319" t="s">
        <v>335</v>
      </c>
      <c r="B319" s="3">
        <f t="shared" si="4"/>
        <v>45108</v>
      </c>
      <c r="C319">
        <v>2511.4075790000002</v>
      </c>
      <c r="D319">
        <v>2245.4056799999998</v>
      </c>
    </row>
    <row r="320" spans="1:4" x14ac:dyDescent="0.25">
      <c r="A320" t="s">
        <v>336</v>
      </c>
      <c r="B320" s="3">
        <f t="shared" si="4"/>
        <v>45139</v>
      </c>
      <c r="C320">
        <v>2599.9754029999999</v>
      </c>
      <c r="D320">
        <v>2310.6147580000002</v>
      </c>
    </row>
    <row r="321" spans="1:4" x14ac:dyDescent="0.25">
      <c r="A321" t="s">
        <v>337</v>
      </c>
      <c r="B321" s="3">
        <f t="shared" si="4"/>
        <v>45170</v>
      </c>
      <c r="C321">
        <v>2533.8352030000001</v>
      </c>
      <c r="D321">
        <v>2299.4458420000001</v>
      </c>
    </row>
    <row r="322" spans="1:4" x14ac:dyDescent="0.25">
      <c r="A322" t="s">
        <v>338</v>
      </c>
      <c r="B322" s="3">
        <f t="shared" si="4"/>
        <v>45200</v>
      </c>
      <c r="C322">
        <v>2421.9848459999998</v>
      </c>
      <c r="D322">
        <v>2235.3141679999999</v>
      </c>
    </row>
    <row r="323" spans="1:4" x14ac:dyDescent="0.25">
      <c r="A323" t="s">
        <v>339</v>
      </c>
      <c r="B323" s="3">
        <f t="shared" ref="B323:B352" si="5">DATE(YEAR(A323),MONTH(A323)+1,1)</f>
        <v>45231</v>
      </c>
      <c r="C323">
        <v>2343.3858879999998</v>
      </c>
      <c r="D323">
        <v>2150.5167080000001</v>
      </c>
    </row>
    <row r="324" spans="1:4" x14ac:dyDescent="0.25">
      <c r="A324" t="s">
        <v>340</v>
      </c>
      <c r="B324" s="3">
        <f t="shared" si="5"/>
        <v>45261</v>
      </c>
      <c r="C324">
        <v>2562.9281489999998</v>
      </c>
      <c r="D324">
        <v>2259.1025599999998</v>
      </c>
    </row>
    <row r="325" spans="1:4" x14ac:dyDescent="0.25">
      <c r="A325" t="s">
        <v>341</v>
      </c>
      <c r="B325" s="3">
        <f t="shared" si="5"/>
        <v>45292</v>
      </c>
      <c r="C325">
        <v>2701.360248</v>
      </c>
      <c r="D325">
        <v>2426.6837019999998</v>
      </c>
    </row>
    <row r="326" spans="1:4" x14ac:dyDescent="0.25">
      <c r="A326" t="s">
        <v>342</v>
      </c>
      <c r="B326" s="3">
        <f t="shared" si="5"/>
        <v>45323</v>
      </c>
      <c r="C326">
        <v>2722.1422080000002</v>
      </c>
      <c r="D326">
        <v>2458.8264300000001</v>
      </c>
    </row>
    <row r="327" spans="1:4" x14ac:dyDescent="0.25">
      <c r="A327" t="s">
        <v>343</v>
      </c>
      <c r="B327" s="3">
        <f t="shared" si="5"/>
        <v>45352</v>
      </c>
      <c r="C327">
        <v>2834.978188</v>
      </c>
      <c r="D327">
        <v>2486.9474879999998</v>
      </c>
    </row>
    <row r="328" spans="1:4" x14ac:dyDescent="0.25">
      <c r="A328" t="s">
        <v>344</v>
      </c>
      <c r="B328" s="3">
        <f t="shared" si="5"/>
        <v>45383</v>
      </c>
      <c r="C328">
        <v>2928.0916900000002</v>
      </c>
      <c r="D328">
        <v>2563.417899</v>
      </c>
    </row>
    <row r="329" spans="1:4" x14ac:dyDescent="0.25">
      <c r="A329" t="s">
        <v>345</v>
      </c>
      <c r="B329" s="3">
        <f t="shared" si="5"/>
        <v>45413</v>
      </c>
      <c r="C329">
        <v>2814.8743220000001</v>
      </c>
      <c r="D329">
        <v>2483.241704</v>
      </c>
    </row>
    <row r="330" spans="1:4" x14ac:dyDescent="0.25">
      <c r="A330" t="s">
        <v>346</v>
      </c>
      <c r="B330" s="3">
        <f t="shared" si="5"/>
        <v>45444</v>
      </c>
      <c r="C330">
        <v>2940.8158749999998</v>
      </c>
      <c r="D330">
        <v>2507.5076979999999</v>
      </c>
    </row>
    <row r="331" spans="1:4" x14ac:dyDescent="0.25">
      <c r="A331" t="s">
        <v>347</v>
      </c>
      <c r="B331" s="3">
        <f t="shared" si="5"/>
        <v>45474</v>
      </c>
      <c r="C331">
        <v>2988.3970690000001</v>
      </c>
      <c r="D331">
        <v>2534.3685369999998</v>
      </c>
    </row>
    <row r="332" spans="1:4" x14ac:dyDescent="0.25">
      <c r="A332" t="s">
        <v>348</v>
      </c>
      <c r="B332" s="3">
        <f t="shared" si="5"/>
        <v>45505</v>
      </c>
      <c r="C332">
        <v>3056.3818259999998</v>
      </c>
      <c r="D332">
        <v>2636.4598879999999</v>
      </c>
    </row>
    <row r="333" spans="1:4" x14ac:dyDescent="0.25">
      <c r="A333" t="s">
        <v>349</v>
      </c>
      <c r="B333" s="3">
        <f t="shared" si="5"/>
        <v>45536</v>
      </c>
      <c r="C333">
        <v>3130.2493469999999</v>
      </c>
      <c r="D333">
        <v>2644.2470440000002</v>
      </c>
    </row>
    <row r="334" spans="1:4" x14ac:dyDescent="0.25">
      <c r="A334" t="s">
        <v>350</v>
      </c>
      <c r="B334" s="3">
        <f t="shared" si="5"/>
        <v>45566</v>
      </c>
      <c r="C334">
        <v>3187.708345</v>
      </c>
      <c r="D334">
        <v>2727.9035779999999</v>
      </c>
    </row>
    <row r="335" spans="1:4" x14ac:dyDescent="0.25">
      <c r="A335" t="s">
        <v>351</v>
      </c>
      <c r="B335" s="3">
        <f t="shared" si="5"/>
        <v>45597</v>
      </c>
      <c r="C335">
        <v>3122.1135049999998</v>
      </c>
      <c r="D335">
        <v>2686.809878</v>
      </c>
    </row>
    <row r="336" spans="1:4" x14ac:dyDescent="0.25">
      <c r="A336" t="s">
        <v>352</v>
      </c>
      <c r="B336" s="3">
        <f t="shared" si="5"/>
        <v>45627</v>
      </c>
      <c r="C336">
        <v>3271.4424450000001</v>
      </c>
      <c r="D336">
        <v>2785.710024</v>
      </c>
    </row>
    <row r="337" spans="1:4" x14ac:dyDescent="0.25">
      <c r="A337" t="s">
        <v>353</v>
      </c>
      <c r="B337" s="3">
        <f t="shared" si="5"/>
        <v>45658</v>
      </c>
      <c r="C337">
        <v>3174.5512990000002</v>
      </c>
      <c r="D337">
        <v>2697.7873119999999</v>
      </c>
    </row>
    <row r="338" spans="1:4" x14ac:dyDescent="0.25">
      <c r="A338" t="s">
        <v>354</v>
      </c>
      <c r="B338" s="3">
        <f t="shared" si="5"/>
        <v>45689</v>
      </c>
      <c r="C338">
        <v>3286.370723</v>
      </c>
      <c r="D338">
        <v>2820.6901130000001</v>
      </c>
    </row>
    <row r="339" spans="1:4" x14ac:dyDescent="0.25">
      <c r="A339" t="s">
        <v>355</v>
      </c>
      <c r="B339" s="3">
        <f t="shared" si="5"/>
        <v>45717</v>
      </c>
      <c r="C339">
        <v>3254.016721</v>
      </c>
      <c r="D339">
        <v>2711.6092140000001</v>
      </c>
    </row>
    <row r="340" spans="1:4" x14ac:dyDescent="0.25">
      <c r="A340" t="s">
        <v>356</v>
      </c>
      <c r="B340" s="3">
        <f t="shared" si="5"/>
        <v>45748</v>
      </c>
      <c r="C340">
        <v>3111.4241780000002</v>
      </c>
      <c r="D340">
        <v>2619.6825220000001</v>
      </c>
    </row>
    <row r="341" spans="1:4" x14ac:dyDescent="0.25">
      <c r="A341" t="s">
        <v>357</v>
      </c>
      <c r="B341" s="3">
        <f t="shared" si="5"/>
        <v>45778</v>
      </c>
      <c r="C341">
        <v>3138.4724179999998</v>
      </c>
      <c r="D341">
        <v>2715.6442059999999</v>
      </c>
    </row>
    <row r="342" spans="1:4" x14ac:dyDescent="0.25">
      <c r="A342" t="s">
        <v>358</v>
      </c>
      <c r="B342" s="3">
        <f t="shared" si="5"/>
        <v>45809</v>
      </c>
      <c r="C342">
        <v>3323.8839370000001</v>
      </c>
      <c r="D342">
        <v>2826.7418990000001</v>
      </c>
    </row>
    <row r="343" spans="1:4" x14ac:dyDescent="0.25">
      <c r="A343" t="s">
        <v>359</v>
      </c>
      <c r="B343" s="3">
        <f t="shared" si="5"/>
        <v>45839</v>
      </c>
      <c r="C343">
        <v>3468.7668789999998</v>
      </c>
      <c r="D343">
        <v>2865.243618</v>
      </c>
    </row>
    <row r="344" spans="1:4" x14ac:dyDescent="0.25">
      <c r="A344" t="s">
        <v>360</v>
      </c>
      <c r="B344" s="3">
        <f t="shared" si="5"/>
        <v>45870</v>
      </c>
      <c r="C344">
        <v>3513.1155220000001</v>
      </c>
      <c r="D344">
        <v>2927.5109849999999</v>
      </c>
    </row>
    <row r="345" spans="1:4" x14ac:dyDescent="0.25">
      <c r="A345" t="s">
        <v>361</v>
      </c>
      <c r="B345" s="3">
        <f t="shared" si="5"/>
        <v>45901</v>
      </c>
      <c r="C345">
        <v>3614.0871950000001</v>
      </c>
      <c r="D345">
        <v>3020.351803</v>
      </c>
    </row>
    <row r="346" spans="1:4" x14ac:dyDescent="0.25">
      <c r="A346" t="s">
        <v>362</v>
      </c>
      <c r="B346" s="3">
        <f t="shared" si="5"/>
        <v>45931</v>
      </c>
      <c r="C346">
        <v>3725.5302940000001</v>
      </c>
      <c r="D346">
        <v>2996.9746749999999</v>
      </c>
    </row>
    <row r="347" spans="1:4" x14ac:dyDescent="0.25">
      <c r="A347" t="s">
        <v>363</v>
      </c>
      <c r="B347" s="3">
        <f t="shared" si="5"/>
        <v>45962</v>
      </c>
      <c r="C347">
        <v>3793.0013990000002</v>
      </c>
      <c r="D347">
        <v>3012.4159549999999</v>
      </c>
    </row>
    <row r="348" spans="1:4" x14ac:dyDescent="0.25">
      <c r="A348" t="s">
        <v>364</v>
      </c>
      <c r="B348" s="3">
        <f t="shared" si="5"/>
        <v>45992</v>
      </c>
      <c r="C348">
        <v>3809.2578579999999</v>
      </c>
      <c r="D348">
        <v>2920.2984430000001</v>
      </c>
    </row>
    <row r="349" spans="1:4" x14ac:dyDescent="0.25">
      <c r="A349" t="s">
        <v>365</v>
      </c>
      <c r="B349" s="3">
        <f t="shared" si="5"/>
        <v>46023</v>
      </c>
      <c r="C349">
        <v>3840.531755</v>
      </c>
      <c r="D349">
        <v>2964.4622850000001</v>
      </c>
    </row>
    <row r="350" spans="1:4" x14ac:dyDescent="0.25">
      <c r="A350" t="s">
        <v>520</v>
      </c>
      <c r="B350" s="3">
        <f t="shared" si="5"/>
        <v>46054</v>
      </c>
      <c r="C350">
        <v>3940.1240859999998</v>
      </c>
      <c r="D350">
        <v>3014.8543559999998</v>
      </c>
    </row>
    <row r="351" spans="1:4" x14ac:dyDescent="0.25">
      <c r="A351" t="s">
        <v>521</v>
      </c>
      <c r="B351" s="3">
        <f t="shared" si="5"/>
        <v>46082</v>
      </c>
      <c r="C351">
        <v>3982.2917170000001</v>
      </c>
      <c r="D351">
        <v>3143.7570700000001</v>
      </c>
    </row>
    <row r="352" spans="1:4" x14ac:dyDescent="0.25">
      <c r="A352" t="s">
        <v>522</v>
      </c>
      <c r="B352" s="3">
        <f t="shared" si="5"/>
        <v>46113</v>
      </c>
      <c r="C352">
        <v>3722.882944</v>
      </c>
      <c r="D352">
        <v>2920.838041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ADDE3-0864-4B49-983D-31BEBC6D5E6C}">
  <dimension ref="A1:H816"/>
  <sheetViews>
    <sheetView topLeftCell="A147" workbookViewId="0">
      <selection activeCell="K170" sqref="K170"/>
    </sheetView>
  </sheetViews>
  <sheetFormatPr defaultRowHeight="15" x14ac:dyDescent="0.25"/>
  <cols>
    <col min="2" max="7" width="12.5703125" customWidth="1"/>
    <col min="8" max="8" width="10.42578125" bestFit="1" customWidth="1"/>
  </cols>
  <sheetData>
    <row r="1" spans="1:8" ht="96" x14ac:dyDescent="0.25">
      <c r="A1" s="16" t="s">
        <v>89</v>
      </c>
      <c r="B1" s="16" t="s">
        <v>90</v>
      </c>
      <c r="C1" s="16" t="s">
        <v>91</v>
      </c>
      <c r="D1" s="16" t="s">
        <v>92</v>
      </c>
      <c r="E1" s="16" t="s">
        <v>93</v>
      </c>
      <c r="F1" s="16" t="s">
        <v>94</v>
      </c>
      <c r="G1" s="16" t="s">
        <v>95</v>
      </c>
    </row>
    <row r="2" spans="1:8" x14ac:dyDescent="0.25">
      <c r="A2" s="17" t="s">
        <v>96</v>
      </c>
      <c r="B2" s="17" t="s">
        <v>90</v>
      </c>
      <c r="C2" s="17" t="s">
        <v>91</v>
      </c>
      <c r="D2" s="17" t="s">
        <v>92</v>
      </c>
      <c r="E2" s="17" t="s">
        <v>93</v>
      </c>
      <c r="F2" s="18" t="s">
        <v>94</v>
      </c>
      <c r="G2" s="18" t="s">
        <v>95</v>
      </c>
    </row>
    <row r="3" spans="1:8" x14ac:dyDescent="0.25">
      <c r="A3" s="17" t="s">
        <v>97</v>
      </c>
      <c r="B3" s="19" t="s">
        <v>98</v>
      </c>
      <c r="C3" s="19" t="s">
        <v>98</v>
      </c>
      <c r="D3" s="19" t="s">
        <v>98</v>
      </c>
      <c r="E3" s="19" t="s">
        <v>98</v>
      </c>
      <c r="F3" s="19" t="s">
        <v>98</v>
      </c>
      <c r="G3" s="19" t="s">
        <v>98</v>
      </c>
    </row>
    <row r="4" spans="1:8" x14ac:dyDescent="0.25">
      <c r="A4" s="17" t="s">
        <v>99</v>
      </c>
      <c r="B4" s="19" t="s">
        <v>100</v>
      </c>
      <c r="C4" s="19" t="s">
        <v>100</v>
      </c>
      <c r="D4" s="19" t="s">
        <v>100</v>
      </c>
      <c r="E4" s="19" t="s">
        <v>100</v>
      </c>
      <c r="F4" s="19" t="s">
        <v>100</v>
      </c>
      <c r="G4" s="19" t="s">
        <v>100</v>
      </c>
    </row>
    <row r="5" spans="1:8" ht="24.75" x14ac:dyDescent="0.25">
      <c r="A5" s="17" t="s">
        <v>101</v>
      </c>
      <c r="B5" s="19" t="s">
        <v>102</v>
      </c>
      <c r="C5" s="19" t="s">
        <v>102</v>
      </c>
      <c r="D5" s="19" t="s">
        <v>102</v>
      </c>
      <c r="E5" s="19" t="s">
        <v>102</v>
      </c>
      <c r="F5" s="19" t="s">
        <v>102</v>
      </c>
      <c r="G5" s="19" t="s">
        <v>102</v>
      </c>
    </row>
    <row r="6" spans="1:8" x14ac:dyDescent="0.25">
      <c r="A6" s="17"/>
      <c r="B6" s="17"/>
      <c r="C6" s="17"/>
      <c r="D6" s="17"/>
      <c r="E6" s="17"/>
      <c r="F6" s="17"/>
      <c r="G6" s="17"/>
    </row>
    <row r="7" spans="1:8" x14ac:dyDescent="0.25">
      <c r="A7" s="17"/>
      <c r="B7" s="20"/>
      <c r="C7" s="20"/>
      <c r="D7" s="20"/>
      <c r="E7" s="20"/>
      <c r="F7" s="20"/>
      <c r="G7" s="20"/>
    </row>
    <row r="8" spans="1:8" x14ac:dyDescent="0.25">
      <c r="A8" s="19" t="s">
        <v>103</v>
      </c>
      <c r="B8" s="17" t="s">
        <v>104</v>
      </c>
      <c r="C8" s="17" t="s">
        <v>104</v>
      </c>
      <c r="D8" s="17" t="s">
        <v>104</v>
      </c>
      <c r="E8" s="17" t="s">
        <v>104</v>
      </c>
      <c r="F8" s="17" t="s">
        <v>104</v>
      </c>
      <c r="G8" s="17" t="s">
        <v>104</v>
      </c>
    </row>
    <row r="9" spans="1:8" x14ac:dyDescent="0.25">
      <c r="A9" s="17" t="s">
        <v>105</v>
      </c>
      <c r="B9" s="21">
        <v>46087</v>
      </c>
      <c r="C9" s="21">
        <v>46087</v>
      </c>
      <c r="D9" s="21">
        <v>46087</v>
      </c>
      <c r="E9" s="21">
        <v>46087</v>
      </c>
      <c r="F9" s="21">
        <v>46087</v>
      </c>
      <c r="G9" s="21">
        <v>46087</v>
      </c>
    </row>
    <row r="10" spans="1:8" x14ac:dyDescent="0.25">
      <c r="A10" s="17" t="s">
        <v>106</v>
      </c>
      <c r="B10" s="17" t="s">
        <v>107</v>
      </c>
      <c r="C10" s="17" t="s">
        <v>108</v>
      </c>
      <c r="D10" s="17" t="s">
        <v>109</v>
      </c>
      <c r="E10" s="17" t="s">
        <v>110</v>
      </c>
      <c r="F10" s="17" t="s">
        <v>111</v>
      </c>
      <c r="G10" s="17" t="s">
        <v>112</v>
      </c>
    </row>
    <row r="11" spans="1:8" x14ac:dyDescent="0.25">
      <c r="A11" s="22">
        <v>21551</v>
      </c>
      <c r="B11" s="23"/>
      <c r="C11" s="23"/>
      <c r="D11" s="23">
        <v>5</v>
      </c>
      <c r="E11" s="23"/>
      <c r="F11" s="23"/>
      <c r="G11" s="23"/>
      <c r="H11" s="3"/>
    </row>
    <row r="12" spans="1:8" x14ac:dyDescent="0.25">
      <c r="A12" s="22">
        <v>21582</v>
      </c>
      <c r="B12" s="23"/>
      <c r="C12" s="23"/>
      <c r="D12" s="23">
        <v>5</v>
      </c>
      <c r="E12" s="23"/>
      <c r="F12" s="23"/>
      <c r="G12" s="23"/>
      <c r="H12" s="3"/>
    </row>
    <row r="13" spans="1:8" x14ac:dyDescent="0.25">
      <c r="A13" s="22">
        <v>21610</v>
      </c>
      <c r="B13" s="23"/>
      <c r="C13" s="23"/>
      <c r="D13" s="23">
        <v>5</v>
      </c>
      <c r="E13" s="23"/>
      <c r="F13" s="23"/>
      <c r="G13" s="23"/>
      <c r="H13" s="3"/>
    </row>
    <row r="14" spans="1:8" x14ac:dyDescent="0.25">
      <c r="A14" s="22">
        <v>21641</v>
      </c>
      <c r="B14" s="23"/>
      <c r="C14" s="23"/>
      <c r="D14" s="23">
        <v>5</v>
      </c>
      <c r="E14" s="23"/>
      <c r="F14" s="23"/>
      <c r="G14" s="23"/>
      <c r="H14" s="3"/>
    </row>
    <row r="15" spans="1:8" x14ac:dyDescent="0.25">
      <c r="A15" s="22">
        <v>21671</v>
      </c>
      <c r="B15" s="23"/>
      <c r="C15" s="23"/>
      <c r="D15" s="23">
        <v>5</v>
      </c>
      <c r="E15" s="23"/>
      <c r="F15" s="23"/>
      <c r="G15" s="23"/>
      <c r="H15" s="3"/>
    </row>
    <row r="16" spans="1:8" x14ac:dyDescent="0.25">
      <c r="A16" s="22">
        <v>21702</v>
      </c>
      <c r="B16" s="23"/>
      <c r="C16" s="23"/>
      <c r="D16" s="23">
        <v>5</v>
      </c>
      <c r="E16" s="23"/>
      <c r="F16" s="23"/>
      <c r="G16" s="23"/>
      <c r="H16" s="3"/>
    </row>
    <row r="17" spans="1:8" x14ac:dyDescent="0.25">
      <c r="A17" s="22">
        <v>21732</v>
      </c>
      <c r="B17" s="23"/>
      <c r="C17" s="23"/>
      <c r="D17" s="23">
        <v>5</v>
      </c>
      <c r="E17" s="23"/>
      <c r="F17" s="23"/>
      <c r="G17" s="23"/>
      <c r="H17" s="3"/>
    </row>
    <row r="18" spans="1:8" x14ac:dyDescent="0.25">
      <c r="A18" s="22">
        <v>21763</v>
      </c>
      <c r="B18" s="23"/>
      <c r="C18" s="23"/>
      <c r="D18" s="23">
        <v>5</v>
      </c>
      <c r="E18" s="23"/>
      <c r="F18" s="23"/>
      <c r="G18" s="23"/>
      <c r="H18" s="3"/>
    </row>
    <row r="19" spans="1:8" x14ac:dyDescent="0.25">
      <c r="A19" s="22">
        <v>21794</v>
      </c>
      <c r="B19" s="23"/>
      <c r="C19" s="23"/>
      <c r="D19" s="23">
        <v>5</v>
      </c>
      <c r="E19" s="23"/>
      <c r="F19" s="23"/>
      <c r="G19" s="23"/>
      <c r="H19" s="3"/>
    </row>
    <row r="20" spans="1:8" x14ac:dyDescent="0.25">
      <c r="A20" s="22">
        <v>21824</v>
      </c>
      <c r="B20" s="23"/>
      <c r="C20" s="23"/>
      <c r="D20" s="23">
        <v>5</v>
      </c>
      <c r="E20" s="23"/>
      <c r="F20" s="23"/>
      <c r="G20" s="23"/>
      <c r="H20" s="3"/>
    </row>
    <row r="21" spans="1:8" x14ac:dyDescent="0.25">
      <c r="A21" s="22">
        <v>21855</v>
      </c>
      <c r="B21" s="23"/>
      <c r="C21" s="23"/>
      <c r="D21" s="23">
        <v>5</v>
      </c>
      <c r="E21" s="23"/>
      <c r="F21" s="23"/>
      <c r="G21" s="23"/>
      <c r="H21" s="3"/>
    </row>
    <row r="22" spans="1:8" x14ac:dyDescent="0.25">
      <c r="A22" s="22">
        <v>21885</v>
      </c>
      <c r="B22" s="23"/>
      <c r="C22" s="23"/>
      <c r="D22" s="23">
        <v>5</v>
      </c>
      <c r="E22" s="23"/>
      <c r="F22" s="23"/>
      <c r="G22" s="23"/>
      <c r="H22" s="3"/>
    </row>
    <row r="23" spans="1:8" x14ac:dyDescent="0.25">
      <c r="A23" s="22">
        <v>21916</v>
      </c>
      <c r="B23" s="23"/>
      <c r="C23" s="23"/>
      <c r="D23" s="23">
        <v>5</v>
      </c>
      <c r="E23" s="23"/>
      <c r="F23" s="23"/>
      <c r="G23" s="23"/>
      <c r="H23" s="3"/>
    </row>
    <row r="24" spans="1:8" x14ac:dyDescent="0.25">
      <c r="A24" s="22">
        <v>21947</v>
      </c>
      <c r="B24" s="23"/>
      <c r="C24" s="23"/>
      <c r="D24" s="23">
        <v>5</v>
      </c>
      <c r="E24" s="23"/>
      <c r="F24" s="23"/>
      <c r="G24" s="23"/>
      <c r="H24" s="3"/>
    </row>
    <row r="25" spans="1:8" x14ac:dyDescent="0.25">
      <c r="A25" s="22">
        <v>21976</v>
      </c>
      <c r="B25" s="23"/>
      <c r="C25" s="23"/>
      <c r="D25" s="23">
        <v>5</v>
      </c>
      <c r="E25" s="23"/>
      <c r="F25" s="23"/>
      <c r="G25" s="23"/>
      <c r="H25" s="3"/>
    </row>
    <row r="26" spans="1:8" x14ac:dyDescent="0.25">
      <c r="A26" s="22">
        <v>22007</v>
      </c>
      <c r="B26" s="23"/>
      <c r="C26" s="23"/>
      <c r="D26" s="23">
        <v>5</v>
      </c>
      <c r="E26" s="23"/>
      <c r="F26" s="23"/>
      <c r="G26" s="23"/>
      <c r="H26" s="3"/>
    </row>
    <row r="27" spans="1:8" x14ac:dyDescent="0.25">
      <c r="A27" s="22">
        <v>22037</v>
      </c>
      <c r="B27" s="23"/>
      <c r="C27" s="23"/>
      <c r="D27" s="23">
        <v>5</v>
      </c>
      <c r="E27" s="23"/>
      <c r="F27" s="23"/>
      <c r="G27" s="23"/>
      <c r="H27" s="3"/>
    </row>
    <row r="28" spans="1:8" x14ac:dyDescent="0.25">
      <c r="A28" s="22">
        <v>22068</v>
      </c>
      <c r="B28" s="23"/>
      <c r="C28" s="23"/>
      <c r="D28" s="23">
        <v>5</v>
      </c>
      <c r="E28" s="23"/>
      <c r="F28" s="23"/>
      <c r="G28" s="23"/>
      <c r="H28" s="3"/>
    </row>
    <row r="29" spans="1:8" x14ac:dyDescent="0.25">
      <c r="A29" s="22">
        <v>22098</v>
      </c>
      <c r="B29" s="23"/>
      <c r="C29" s="23"/>
      <c r="D29" s="23">
        <v>5</v>
      </c>
      <c r="E29" s="23"/>
      <c r="F29" s="23"/>
      <c r="G29" s="23"/>
      <c r="H29" s="3"/>
    </row>
    <row r="30" spans="1:8" x14ac:dyDescent="0.25">
      <c r="A30" s="22">
        <v>22129</v>
      </c>
      <c r="B30" s="23"/>
      <c r="C30" s="23"/>
      <c r="D30" s="23">
        <v>5</v>
      </c>
      <c r="E30" s="23"/>
      <c r="F30" s="23"/>
      <c r="G30" s="23"/>
      <c r="H30" s="3"/>
    </row>
    <row r="31" spans="1:8" x14ac:dyDescent="0.25">
      <c r="A31" s="22">
        <v>22160</v>
      </c>
      <c r="B31" s="23"/>
      <c r="C31" s="23"/>
      <c r="D31" s="23">
        <v>5</v>
      </c>
      <c r="E31" s="23"/>
      <c r="F31" s="23"/>
      <c r="G31" s="23"/>
      <c r="H31" s="3"/>
    </row>
    <row r="32" spans="1:8" x14ac:dyDescent="0.25">
      <c r="A32" s="22">
        <v>22190</v>
      </c>
      <c r="B32" s="23"/>
      <c r="C32" s="23"/>
      <c r="D32" s="23">
        <v>5</v>
      </c>
      <c r="E32" s="23"/>
      <c r="F32" s="23"/>
      <c r="G32" s="23"/>
      <c r="H32" s="3"/>
    </row>
    <row r="33" spans="1:8" x14ac:dyDescent="0.25">
      <c r="A33" s="22">
        <v>22221</v>
      </c>
      <c r="B33" s="23"/>
      <c r="C33" s="23"/>
      <c r="D33" s="23">
        <v>5</v>
      </c>
      <c r="E33" s="23"/>
      <c r="F33" s="23"/>
      <c r="G33" s="23"/>
      <c r="H33" s="3"/>
    </row>
    <row r="34" spans="1:8" x14ac:dyDescent="0.25">
      <c r="A34" s="22">
        <v>22251</v>
      </c>
      <c r="B34" s="23"/>
      <c r="C34" s="23"/>
      <c r="D34" s="23">
        <v>5</v>
      </c>
      <c r="E34" s="23"/>
      <c r="F34" s="23"/>
      <c r="G34" s="23"/>
      <c r="H34" s="3"/>
    </row>
    <row r="35" spans="1:8" x14ac:dyDescent="0.25">
      <c r="A35" s="22">
        <v>22282</v>
      </c>
      <c r="B35" s="23"/>
      <c r="C35" s="23"/>
      <c r="D35" s="23">
        <v>5.5</v>
      </c>
      <c r="E35" s="23"/>
      <c r="F35" s="23"/>
      <c r="G35" s="23"/>
      <c r="H35" s="3"/>
    </row>
    <row r="36" spans="1:8" x14ac:dyDescent="0.25">
      <c r="A36" s="22">
        <v>22313</v>
      </c>
      <c r="B36" s="23"/>
      <c r="C36" s="23"/>
      <c r="D36" s="23">
        <v>5.5</v>
      </c>
      <c r="E36" s="23"/>
      <c r="F36" s="23"/>
      <c r="G36" s="23"/>
      <c r="H36" s="3"/>
    </row>
    <row r="37" spans="1:8" x14ac:dyDescent="0.25">
      <c r="A37" s="22">
        <v>22341</v>
      </c>
      <c r="B37" s="23"/>
      <c r="C37" s="23"/>
      <c r="D37" s="23">
        <v>5.5</v>
      </c>
      <c r="E37" s="23"/>
      <c r="F37" s="23"/>
      <c r="G37" s="23"/>
      <c r="H37" s="3"/>
    </row>
    <row r="38" spans="1:8" x14ac:dyDescent="0.25">
      <c r="A38" s="22">
        <v>22372</v>
      </c>
      <c r="B38" s="23"/>
      <c r="C38" s="23"/>
      <c r="D38" s="23">
        <v>5.5</v>
      </c>
      <c r="E38" s="23"/>
      <c r="F38" s="23"/>
      <c r="G38" s="23"/>
      <c r="H38" s="3"/>
    </row>
    <row r="39" spans="1:8" x14ac:dyDescent="0.25">
      <c r="A39" s="22">
        <v>22402</v>
      </c>
      <c r="B39" s="23"/>
      <c r="C39" s="23"/>
      <c r="D39" s="23">
        <v>5.5</v>
      </c>
      <c r="E39" s="23"/>
      <c r="F39" s="23"/>
      <c r="G39" s="23"/>
      <c r="H39" s="3"/>
    </row>
    <row r="40" spans="1:8" x14ac:dyDescent="0.25">
      <c r="A40" s="22">
        <v>22433</v>
      </c>
      <c r="B40" s="23"/>
      <c r="C40" s="23"/>
      <c r="D40" s="23">
        <v>5.5</v>
      </c>
      <c r="E40" s="23"/>
      <c r="F40" s="23"/>
      <c r="G40" s="23"/>
      <c r="H40" s="3"/>
    </row>
    <row r="41" spans="1:8" x14ac:dyDescent="0.25">
      <c r="A41" s="22">
        <v>22463</v>
      </c>
      <c r="B41" s="23"/>
      <c r="C41" s="23"/>
      <c r="D41" s="23">
        <v>5.5</v>
      </c>
      <c r="E41" s="23"/>
      <c r="F41" s="23"/>
      <c r="G41" s="23"/>
      <c r="H41" s="3"/>
    </row>
    <row r="42" spans="1:8" x14ac:dyDescent="0.25">
      <c r="A42" s="22">
        <v>22494</v>
      </c>
      <c r="B42" s="23"/>
      <c r="C42" s="23"/>
      <c r="D42" s="23">
        <v>5.5</v>
      </c>
      <c r="E42" s="23"/>
      <c r="F42" s="23"/>
      <c r="G42" s="23"/>
      <c r="H42" s="3"/>
    </row>
    <row r="43" spans="1:8" x14ac:dyDescent="0.25">
      <c r="A43" s="22">
        <v>22525</v>
      </c>
      <c r="B43" s="23"/>
      <c r="C43" s="23"/>
      <c r="D43" s="23">
        <v>5.5</v>
      </c>
      <c r="E43" s="23"/>
      <c r="F43" s="23"/>
      <c r="G43" s="23"/>
      <c r="H43" s="3"/>
    </row>
    <row r="44" spans="1:8" x14ac:dyDescent="0.25">
      <c r="A44" s="22">
        <v>22555</v>
      </c>
      <c r="B44" s="23"/>
      <c r="C44" s="23"/>
      <c r="D44" s="23">
        <v>5.5</v>
      </c>
      <c r="E44" s="23"/>
      <c r="F44" s="23"/>
      <c r="G44" s="23"/>
      <c r="H44" s="3"/>
    </row>
    <row r="45" spans="1:8" x14ac:dyDescent="0.25">
      <c r="A45" s="22">
        <v>22586</v>
      </c>
      <c r="B45" s="23"/>
      <c r="C45" s="23"/>
      <c r="D45" s="23">
        <v>5.5</v>
      </c>
      <c r="E45" s="23"/>
      <c r="F45" s="23"/>
      <c r="G45" s="23"/>
      <c r="H45" s="3"/>
    </row>
    <row r="46" spans="1:8" x14ac:dyDescent="0.25">
      <c r="A46" s="22">
        <v>22616</v>
      </c>
      <c r="B46" s="23"/>
      <c r="C46" s="23"/>
      <c r="D46" s="23">
        <v>5.5</v>
      </c>
      <c r="E46" s="23"/>
      <c r="F46" s="23"/>
      <c r="G46" s="23"/>
      <c r="H46" s="3"/>
    </row>
    <row r="47" spans="1:8" x14ac:dyDescent="0.25">
      <c r="A47" s="22">
        <v>22647</v>
      </c>
      <c r="B47" s="23"/>
      <c r="C47" s="23"/>
      <c r="D47" s="23">
        <v>5.5</v>
      </c>
      <c r="E47" s="23"/>
      <c r="F47" s="23"/>
      <c r="G47" s="23"/>
      <c r="H47" s="3"/>
    </row>
    <row r="48" spans="1:8" x14ac:dyDescent="0.25">
      <c r="A48" s="22">
        <v>22678</v>
      </c>
      <c r="B48" s="23"/>
      <c r="C48" s="23"/>
      <c r="D48" s="23">
        <v>5.5</v>
      </c>
      <c r="E48" s="23"/>
      <c r="F48" s="23"/>
      <c r="G48" s="23"/>
      <c r="H48" s="3"/>
    </row>
    <row r="49" spans="1:8" x14ac:dyDescent="0.25">
      <c r="A49" s="22">
        <v>22706</v>
      </c>
      <c r="B49" s="23"/>
      <c r="C49" s="23"/>
      <c r="D49" s="23">
        <v>5.5</v>
      </c>
      <c r="E49" s="23"/>
      <c r="F49" s="23"/>
      <c r="G49" s="23"/>
      <c r="H49" s="3"/>
    </row>
    <row r="50" spans="1:8" x14ac:dyDescent="0.25">
      <c r="A50" s="22">
        <v>22737</v>
      </c>
      <c r="B50" s="23"/>
      <c r="C50" s="23"/>
      <c r="D50" s="23">
        <v>5.5</v>
      </c>
      <c r="E50" s="23"/>
      <c r="F50" s="23"/>
      <c r="G50" s="23"/>
      <c r="H50" s="3"/>
    </row>
    <row r="51" spans="1:8" x14ac:dyDescent="0.25">
      <c r="A51" s="22">
        <v>22767</v>
      </c>
      <c r="B51" s="23"/>
      <c r="C51" s="23"/>
      <c r="D51" s="23">
        <v>5.5</v>
      </c>
      <c r="E51" s="23"/>
      <c r="F51" s="23"/>
      <c r="G51" s="23"/>
      <c r="H51" s="3"/>
    </row>
    <row r="52" spans="1:8" x14ac:dyDescent="0.25">
      <c r="A52" s="22">
        <v>22798</v>
      </c>
      <c r="B52" s="23"/>
      <c r="C52" s="23"/>
      <c r="D52" s="23">
        <v>5.5</v>
      </c>
      <c r="E52" s="23"/>
      <c r="F52" s="23"/>
      <c r="G52" s="23"/>
      <c r="H52" s="3"/>
    </row>
    <row r="53" spans="1:8" x14ac:dyDescent="0.25">
      <c r="A53" s="22">
        <v>22828</v>
      </c>
      <c r="B53" s="23"/>
      <c r="C53" s="23"/>
      <c r="D53" s="23">
        <v>5.5</v>
      </c>
      <c r="E53" s="23"/>
      <c r="F53" s="23"/>
      <c r="G53" s="23"/>
      <c r="H53" s="3"/>
    </row>
    <row r="54" spans="1:8" x14ac:dyDescent="0.25">
      <c r="A54" s="22">
        <v>22859</v>
      </c>
      <c r="B54" s="23"/>
      <c r="C54" s="23"/>
      <c r="D54" s="23">
        <v>5.5</v>
      </c>
      <c r="E54" s="23"/>
      <c r="F54" s="23"/>
      <c r="G54" s="23"/>
      <c r="H54" s="3"/>
    </row>
    <row r="55" spans="1:8" x14ac:dyDescent="0.25">
      <c r="A55" s="22">
        <v>22890</v>
      </c>
      <c r="B55" s="23"/>
      <c r="C55" s="23"/>
      <c r="D55" s="23">
        <v>5.5</v>
      </c>
      <c r="E55" s="23"/>
      <c r="F55" s="23"/>
      <c r="G55" s="23"/>
      <c r="H55" s="3"/>
    </row>
    <row r="56" spans="1:8" x14ac:dyDescent="0.25">
      <c r="A56" s="22">
        <v>22920</v>
      </c>
      <c r="B56" s="23"/>
      <c r="C56" s="23"/>
      <c r="D56" s="23">
        <v>5.5</v>
      </c>
      <c r="E56" s="23"/>
      <c r="F56" s="23"/>
      <c r="G56" s="23"/>
      <c r="H56" s="3"/>
    </row>
    <row r="57" spans="1:8" x14ac:dyDescent="0.25">
      <c r="A57" s="22">
        <v>22951</v>
      </c>
      <c r="B57" s="23"/>
      <c r="C57" s="23"/>
      <c r="D57" s="23">
        <v>5.5</v>
      </c>
      <c r="E57" s="23"/>
      <c r="F57" s="23"/>
      <c r="G57" s="23"/>
      <c r="H57" s="3"/>
    </row>
    <row r="58" spans="1:8" x14ac:dyDescent="0.25">
      <c r="A58" s="22">
        <v>22981</v>
      </c>
      <c r="B58" s="23"/>
      <c r="C58" s="23"/>
      <c r="D58" s="23">
        <v>5.5</v>
      </c>
      <c r="E58" s="23"/>
      <c r="F58" s="23"/>
      <c r="G58" s="23"/>
      <c r="H58" s="3"/>
    </row>
    <row r="59" spans="1:8" x14ac:dyDescent="0.25">
      <c r="A59" s="22">
        <v>23012</v>
      </c>
      <c r="B59" s="23"/>
      <c r="C59" s="23"/>
      <c r="D59" s="23">
        <v>5.5</v>
      </c>
      <c r="E59" s="23"/>
      <c r="F59" s="23"/>
      <c r="G59" s="23"/>
      <c r="H59" s="3"/>
    </row>
    <row r="60" spans="1:8" x14ac:dyDescent="0.25">
      <c r="A60" s="22">
        <v>23043</v>
      </c>
      <c r="B60" s="23"/>
      <c r="C60" s="23"/>
      <c r="D60" s="23">
        <v>5.5</v>
      </c>
      <c r="E60" s="23"/>
      <c r="F60" s="23"/>
      <c r="G60" s="23"/>
      <c r="H60" s="3"/>
    </row>
    <row r="61" spans="1:8" x14ac:dyDescent="0.25">
      <c r="A61" s="22">
        <v>23071</v>
      </c>
      <c r="B61" s="23"/>
      <c r="C61" s="23"/>
      <c r="D61" s="23">
        <v>5.5</v>
      </c>
      <c r="E61" s="23"/>
      <c r="F61" s="23"/>
      <c r="G61" s="23"/>
      <c r="H61" s="3"/>
    </row>
    <row r="62" spans="1:8" x14ac:dyDescent="0.25">
      <c r="A62" s="22">
        <v>23102</v>
      </c>
      <c r="B62" s="23"/>
      <c r="C62" s="23"/>
      <c r="D62" s="23">
        <v>5</v>
      </c>
      <c r="E62" s="23"/>
      <c r="F62" s="23"/>
      <c r="G62" s="23"/>
      <c r="H62" s="3"/>
    </row>
    <row r="63" spans="1:8" x14ac:dyDescent="0.25">
      <c r="A63" s="22">
        <v>23132</v>
      </c>
      <c r="B63" s="23"/>
      <c r="C63" s="23"/>
      <c r="D63" s="23">
        <v>5</v>
      </c>
      <c r="E63" s="23"/>
      <c r="F63" s="23"/>
      <c r="G63" s="23"/>
      <c r="H63" s="3"/>
    </row>
    <row r="64" spans="1:8" x14ac:dyDescent="0.25">
      <c r="A64" s="22">
        <v>23163</v>
      </c>
      <c r="B64" s="23"/>
      <c r="C64" s="23"/>
      <c r="D64" s="23">
        <v>5</v>
      </c>
      <c r="E64" s="23"/>
      <c r="F64" s="23"/>
      <c r="G64" s="23"/>
      <c r="H64" s="3"/>
    </row>
    <row r="65" spans="1:8" x14ac:dyDescent="0.25">
      <c r="A65" s="22">
        <v>23193</v>
      </c>
      <c r="B65" s="23"/>
      <c r="C65" s="23"/>
      <c r="D65" s="23">
        <v>5</v>
      </c>
      <c r="E65" s="23"/>
      <c r="F65" s="23"/>
      <c r="G65" s="23"/>
      <c r="H65" s="3"/>
    </row>
    <row r="66" spans="1:8" x14ac:dyDescent="0.25">
      <c r="A66" s="22">
        <v>23224</v>
      </c>
      <c r="B66" s="23"/>
      <c r="C66" s="23"/>
      <c r="D66" s="23">
        <v>5</v>
      </c>
      <c r="E66" s="23"/>
      <c r="F66" s="23"/>
      <c r="G66" s="23"/>
      <c r="H66" s="3"/>
    </row>
    <row r="67" spans="1:8" x14ac:dyDescent="0.25">
      <c r="A67" s="22">
        <v>23255</v>
      </c>
      <c r="B67" s="23"/>
      <c r="C67" s="23"/>
      <c r="D67" s="23">
        <v>5</v>
      </c>
      <c r="E67" s="23"/>
      <c r="F67" s="23"/>
      <c r="G67" s="23"/>
      <c r="H67" s="3"/>
    </row>
    <row r="68" spans="1:8" x14ac:dyDescent="0.25">
      <c r="A68" s="22">
        <v>23285</v>
      </c>
      <c r="B68" s="23"/>
      <c r="C68" s="23"/>
      <c r="D68" s="23">
        <v>5</v>
      </c>
      <c r="E68" s="23"/>
      <c r="F68" s="23"/>
      <c r="G68" s="23"/>
      <c r="H68" s="3"/>
    </row>
    <row r="69" spans="1:8" x14ac:dyDescent="0.25">
      <c r="A69" s="22">
        <v>23316</v>
      </c>
      <c r="B69" s="23"/>
      <c r="C69" s="23"/>
      <c r="D69" s="23">
        <v>5</v>
      </c>
      <c r="E69" s="23"/>
      <c r="F69" s="23"/>
      <c r="G69" s="23"/>
      <c r="H69" s="3"/>
    </row>
    <row r="70" spans="1:8" x14ac:dyDescent="0.25">
      <c r="A70" s="22">
        <v>23346</v>
      </c>
      <c r="B70" s="23"/>
      <c r="C70" s="23"/>
      <c r="D70" s="23">
        <v>5</v>
      </c>
      <c r="E70" s="23"/>
      <c r="F70" s="23"/>
      <c r="G70" s="23"/>
      <c r="H70" s="3"/>
    </row>
    <row r="71" spans="1:8" x14ac:dyDescent="0.25">
      <c r="A71" s="22">
        <v>23377</v>
      </c>
      <c r="B71" s="23"/>
      <c r="C71" s="23"/>
      <c r="D71" s="23">
        <v>5</v>
      </c>
      <c r="E71" s="23"/>
      <c r="F71" s="23"/>
      <c r="G71" s="23"/>
      <c r="H71" s="3"/>
    </row>
    <row r="72" spans="1:8" x14ac:dyDescent="0.25">
      <c r="A72" s="22">
        <v>23408</v>
      </c>
      <c r="B72" s="23"/>
      <c r="C72" s="23"/>
      <c r="D72" s="23">
        <v>5</v>
      </c>
      <c r="E72" s="23"/>
      <c r="F72" s="23"/>
      <c r="G72" s="23"/>
      <c r="H72" s="3"/>
    </row>
    <row r="73" spans="1:8" x14ac:dyDescent="0.25">
      <c r="A73" s="22">
        <v>23437</v>
      </c>
      <c r="B73" s="23"/>
      <c r="C73" s="23"/>
      <c r="D73" s="23">
        <v>5</v>
      </c>
      <c r="E73" s="23"/>
      <c r="F73" s="23"/>
      <c r="G73" s="23"/>
      <c r="H73" s="3"/>
    </row>
    <row r="74" spans="1:8" x14ac:dyDescent="0.25">
      <c r="A74" s="22">
        <v>23468</v>
      </c>
      <c r="B74" s="23"/>
      <c r="C74" s="23"/>
      <c r="D74" s="23">
        <v>5</v>
      </c>
      <c r="E74" s="23"/>
      <c r="F74" s="23"/>
      <c r="G74" s="23"/>
      <c r="H74" s="3"/>
    </row>
    <row r="75" spans="1:8" x14ac:dyDescent="0.25">
      <c r="A75" s="22">
        <v>23498</v>
      </c>
      <c r="B75" s="23"/>
      <c r="C75" s="23"/>
      <c r="D75" s="23">
        <v>5</v>
      </c>
      <c r="E75" s="23"/>
      <c r="F75" s="23"/>
      <c r="G75" s="23"/>
      <c r="H75" s="3"/>
    </row>
    <row r="76" spans="1:8" x14ac:dyDescent="0.25">
      <c r="A76" s="22">
        <v>23529</v>
      </c>
      <c r="B76" s="23"/>
      <c r="C76" s="23"/>
      <c r="D76" s="23">
        <v>5.13</v>
      </c>
      <c r="E76" s="23"/>
      <c r="F76" s="23"/>
      <c r="G76" s="23"/>
      <c r="H76" s="3"/>
    </row>
    <row r="77" spans="1:8" x14ac:dyDescent="0.25">
      <c r="A77" s="22">
        <v>23559</v>
      </c>
      <c r="B77" s="23"/>
      <c r="C77" s="23"/>
      <c r="D77" s="23">
        <v>5.13</v>
      </c>
      <c r="E77" s="23"/>
      <c r="F77" s="23"/>
      <c r="G77" s="23"/>
      <c r="H77" s="3"/>
    </row>
    <row r="78" spans="1:8" x14ac:dyDescent="0.25">
      <c r="A78" s="22">
        <v>23590</v>
      </c>
      <c r="B78" s="23"/>
      <c r="C78" s="23"/>
      <c r="D78" s="23">
        <v>5.13</v>
      </c>
      <c r="E78" s="23"/>
      <c r="F78" s="23"/>
      <c r="G78" s="23"/>
      <c r="H78" s="3"/>
    </row>
    <row r="79" spans="1:8" x14ac:dyDescent="0.25">
      <c r="A79" s="22">
        <v>23621</v>
      </c>
      <c r="B79" s="23"/>
      <c r="C79" s="23"/>
      <c r="D79" s="23">
        <v>5.13</v>
      </c>
      <c r="E79" s="23"/>
      <c r="F79" s="23"/>
      <c r="G79" s="23"/>
      <c r="H79" s="3"/>
    </row>
    <row r="80" spans="1:8" x14ac:dyDescent="0.25">
      <c r="A80" s="22">
        <v>23651</v>
      </c>
      <c r="B80" s="23"/>
      <c r="C80" s="23"/>
      <c r="D80" s="23">
        <v>5.13</v>
      </c>
      <c r="E80" s="23"/>
      <c r="F80" s="23"/>
      <c r="G80" s="23"/>
      <c r="H80" s="3"/>
    </row>
    <row r="81" spans="1:8" x14ac:dyDescent="0.25">
      <c r="A81" s="22">
        <v>23682</v>
      </c>
      <c r="B81" s="23"/>
      <c r="C81" s="23"/>
      <c r="D81" s="23">
        <v>5.13</v>
      </c>
      <c r="E81" s="23"/>
      <c r="F81" s="23"/>
      <c r="G81" s="23"/>
      <c r="H81" s="3"/>
    </row>
    <row r="82" spans="1:8" x14ac:dyDescent="0.25">
      <c r="A82" s="22">
        <v>23712</v>
      </c>
      <c r="B82" s="23"/>
      <c r="C82" s="23"/>
      <c r="D82" s="23">
        <v>5.13</v>
      </c>
      <c r="E82" s="23"/>
      <c r="F82" s="23"/>
      <c r="G82" s="23"/>
      <c r="H82" s="3"/>
    </row>
    <row r="83" spans="1:8" x14ac:dyDescent="0.25">
      <c r="A83" s="22">
        <v>23743</v>
      </c>
      <c r="B83" s="23"/>
      <c r="C83" s="23"/>
      <c r="D83" s="23">
        <v>5.13</v>
      </c>
      <c r="E83" s="23"/>
      <c r="F83" s="23"/>
      <c r="G83" s="23"/>
      <c r="H83" s="3"/>
    </row>
    <row r="84" spans="1:8" x14ac:dyDescent="0.25">
      <c r="A84" s="22">
        <v>23774</v>
      </c>
      <c r="B84" s="23"/>
      <c r="C84" s="23"/>
      <c r="D84" s="23">
        <v>5.13</v>
      </c>
      <c r="E84" s="23"/>
      <c r="F84" s="23"/>
      <c r="G84" s="23"/>
      <c r="H84" s="3"/>
    </row>
    <row r="85" spans="1:8" x14ac:dyDescent="0.25">
      <c r="A85" s="22">
        <v>23802</v>
      </c>
      <c r="B85" s="23"/>
      <c r="C85" s="23"/>
      <c r="D85" s="23">
        <v>5.13</v>
      </c>
      <c r="E85" s="23"/>
      <c r="F85" s="23"/>
      <c r="G85" s="23"/>
      <c r="H85" s="3"/>
    </row>
    <row r="86" spans="1:8" x14ac:dyDescent="0.25">
      <c r="A86" s="22">
        <v>23833</v>
      </c>
      <c r="B86" s="23"/>
      <c r="C86" s="23"/>
      <c r="D86" s="23">
        <v>5.38</v>
      </c>
      <c r="E86" s="23"/>
      <c r="F86" s="23"/>
      <c r="G86" s="23"/>
      <c r="H86" s="3"/>
    </row>
    <row r="87" spans="1:8" x14ac:dyDescent="0.25">
      <c r="A87" s="22">
        <v>23863</v>
      </c>
      <c r="B87" s="23"/>
      <c r="C87" s="23"/>
      <c r="D87" s="23">
        <v>5.38</v>
      </c>
      <c r="E87" s="23"/>
      <c r="F87" s="23"/>
      <c r="G87" s="23"/>
      <c r="H87" s="3"/>
    </row>
    <row r="88" spans="1:8" x14ac:dyDescent="0.25">
      <c r="A88" s="22">
        <v>23894</v>
      </c>
      <c r="B88" s="23"/>
      <c r="C88" s="23"/>
      <c r="D88" s="23">
        <v>5.38</v>
      </c>
      <c r="E88" s="23"/>
      <c r="F88" s="23"/>
      <c r="G88" s="23"/>
      <c r="H88" s="3"/>
    </row>
    <row r="89" spans="1:8" x14ac:dyDescent="0.25">
      <c r="A89" s="22">
        <v>23924</v>
      </c>
      <c r="B89" s="23"/>
      <c r="C89" s="23"/>
      <c r="D89" s="23">
        <v>5.38</v>
      </c>
      <c r="E89" s="23"/>
      <c r="F89" s="23"/>
      <c r="G89" s="23"/>
      <c r="H89" s="3"/>
    </row>
    <row r="90" spans="1:8" x14ac:dyDescent="0.25">
      <c r="A90" s="22">
        <v>23955</v>
      </c>
      <c r="B90" s="23"/>
      <c r="C90" s="23"/>
      <c r="D90" s="23">
        <v>5.38</v>
      </c>
      <c r="E90" s="23"/>
      <c r="F90" s="23"/>
      <c r="G90" s="23"/>
      <c r="H90" s="3"/>
    </row>
    <row r="91" spans="1:8" x14ac:dyDescent="0.25">
      <c r="A91" s="22">
        <v>23986</v>
      </c>
      <c r="B91" s="23"/>
      <c r="C91" s="23"/>
      <c r="D91" s="23">
        <v>5.38</v>
      </c>
      <c r="E91" s="23"/>
      <c r="F91" s="23"/>
      <c r="G91" s="23"/>
      <c r="H91" s="3"/>
    </row>
    <row r="92" spans="1:8" x14ac:dyDescent="0.25">
      <c r="A92" s="22">
        <v>24016</v>
      </c>
      <c r="B92" s="23"/>
      <c r="C92" s="23"/>
      <c r="D92" s="23">
        <v>5.38</v>
      </c>
      <c r="E92" s="23"/>
      <c r="F92" s="23"/>
      <c r="G92" s="23"/>
      <c r="H92" s="3"/>
    </row>
    <row r="93" spans="1:8" x14ac:dyDescent="0.25">
      <c r="A93" s="22">
        <v>24047</v>
      </c>
      <c r="B93" s="23"/>
      <c r="C93" s="23"/>
      <c r="D93" s="23">
        <v>5.38</v>
      </c>
      <c r="E93" s="23"/>
      <c r="F93" s="23"/>
      <c r="G93" s="23"/>
      <c r="H93" s="3"/>
    </row>
    <row r="94" spans="1:8" x14ac:dyDescent="0.25">
      <c r="A94" s="22">
        <v>24077</v>
      </c>
      <c r="B94" s="23"/>
      <c r="C94" s="23"/>
      <c r="D94" s="23">
        <v>5.38</v>
      </c>
      <c r="E94" s="23"/>
      <c r="F94" s="23"/>
      <c r="G94" s="23"/>
      <c r="H94" s="3"/>
    </row>
    <row r="95" spans="1:8" x14ac:dyDescent="0.25">
      <c r="A95" s="22">
        <v>24108</v>
      </c>
      <c r="B95" s="23"/>
      <c r="C95" s="23"/>
      <c r="D95" s="23">
        <v>5.38</v>
      </c>
      <c r="E95" s="23"/>
      <c r="F95" s="23"/>
      <c r="G95" s="23"/>
      <c r="H95" s="3"/>
    </row>
    <row r="96" spans="1:8" x14ac:dyDescent="0.25">
      <c r="A96" s="22">
        <v>24139</v>
      </c>
      <c r="B96" s="23"/>
      <c r="C96" s="23"/>
      <c r="D96" s="23">
        <v>5.38</v>
      </c>
      <c r="E96" s="23"/>
      <c r="F96" s="23"/>
      <c r="G96" s="23"/>
      <c r="H96" s="3"/>
    </row>
    <row r="97" spans="1:8" x14ac:dyDescent="0.25">
      <c r="A97" s="22">
        <v>24167</v>
      </c>
      <c r="B97" s="23"/>
      <c r="C97" s="23"/>
      <c r="D97" s="23">
        <v>5.38</v>
      </c>
      <c r="E97" s="23"/>
      <c r="F97" s="23"/>
      <c r="G97" s="23"/>
      <c r="H97" s="3"/>
    </row>
    <row r="98" spans="1:8" x14ac:dyDescent="0.25">
      <c r="A98" s="22">
        <v>24198</v>
      </c>
      <c r="B98" s="23"/>
      <c r="C98" s="23"/>
      <c r="D98" s="23">
        <v>5.38</v>
      </c>
      <c r="E98" s="23"/>
      <c r="F98" s="23"/>
      <c r="G98" s="23"/>
      <c r="H98" s="3"/>
    </row>
    <row r="99" spans="1:8" x14ac:dyDescent="0.25">
      <c r="A99" s="22">
        <v>24228</v>
      </c>
      <c r="B99" s="23"/>
      <c r="C99" s="23"/>
      <c r="D99" s="23">
        <v>5.38</v>
      </c>
      <c r="E99" s="23"/>
      <c r="F99" s="23"/>
      <c r="G99" s="23"/>
      <c r="H99" s="3"/>
    </row>
    <row r="100" spans="1:8" x14ac:dyDescent="0.25">
      <c r="A100" s="22">
        <v>24259</v>
      </c>
      <c r="B100" s="23"/>
      <c r="C100" s="23"/>
      <c r="D100" s="23">
        <v>5.38</v>
      </c>
      <c r="E100" s="23"/>
      <c r="F100" s="23"/>
      <c r="G100" s="23"/>
      <c r="H100" s="3"/>
    </row>
    <row r="101" spans="1:8" x14ac:dyDescent="0.25">
      <c r="A101" s="22">
        <v>24289</v>
      </c>
      <c r="B101" s="23"/>
      <c r="C101" s="23"/>
      <c r="D101" s="23">
        <v>5.38</v>
      </c>
      <c r="E101" s="23"/>
      <c r="F101" s="23"/>
      <c r="G101" s="23"/>
      <c r="H101" s="3"/>
    </row>
    <row r="102" spans="1:8" x14ac:dyDescent="0.25">
      <c r="A102" s="22">
        <v>24320</v>
      </c>
      <c r="B102" s="23"/>
      <c r="C102" s="23"/>
      <c r="D102" s="23">
        <v>5.38</v>
      </c>
      <c r="E102" s="23"/>
      <c r="F102" s="23"/>
      <c r="G102" s="23"/>
      <c r="H102" s="3"/>
    </row>
    <row r="103" spans="1:8" x14ac:dyDescent="0.25">
      <c r="A103" s="22">
        <v>24351</v>
      </c>
      <c r="B103" s="23"/>
      <c r="C103" s="23"/>
      <c r="D103" s="23">
        <v>5.38</v>
      </c>
      <c r="E103" s="23"/>
      <c r="F103" s="23"/>
      <c r="G103" s="23"/>
      <c r="H103" s="3"/>
    </row>
    <row r="104" spans="1:8" x14ac:dyDescent="0.25">
      <c r="A104" s="22">
        <v>24381</v>
      </c>
      <c r="B104" s="23"/>
      <c r="C104" s="23"/>
      <c r="D104" s="23">
        <v>5.38</v>
      </c>
      <c r="E104" s="23"/>
      <c r="F104" s="23"/>
      <c r="G104" s="23"/>
      <c r="H104" s="3"/>
    </row>
    <row r="105" spans="1:8" x14ac:dyDescent="0.25">
      <c r="A105" s="22">
        <v>24412</v>
      </c>
      <c r="B105" s="23"/>
      <c r="C105" s="23"/>
      <c r="D105" s="23">
        <v>5.38</v>
      </c>
      <c r="E105" s="23"/>
      <c r="F105" s="23"/>
      <c r="G105" s="23"/>
      <c r="H105" s="3"/>
    </row>
    <row r="106" spans="1:8" x14ac:dyDescent="0.25">
      <c r="A106" s="22">
        <v>24442</v>
      </c>
      <c r="B106" s="23"/>
      <c r="C106" s="23"/>
      <c r="D106" s="23">
        <v>5.38</v>
      </c>
      <c r="E106" s="23"/>
      <c r="F106" s="23"/>
      <c r="G106" s="23"/>
      <c r="H106" s="3"/>
    </row>
    <row r="107" spans="1:8" x14ac:dyDescent="0.25">
      <c r="A107" s="22">
        <v>24473</v>
      </c>
      <c r="B107" s="23"/>
      <c r="C107" s="23"/>
      <c r="D107" s="23">
        <v>5.38</v>
      </c>
      <c r="E107" s="23"/>
      <c r="F107" s="23"/>
      <c r="G107" s="23"/>
      <c r="H107" s="3"/>
    </row>
    <row r="108" spans="1:8" x14ac:dyDescent="0.25">
      <c r="A108" s="22">
        <v>24504</v>
      </c>
      <c r="B108" s="23"/>
      <c r="C108" s="23"/>
      <c r="D108" s="23">
        <v>5.38</v>
      </c>
      <c r="E108" s="23"/>
      <c r="F108" s="23"/>
      <c r="G108" s="23"/>
      <c r="H108" s="3"/>
    </row>
    <row r="109" spans="1:8" x14ac:dyDescent="0.25">
      <c r="A109" s="22">
        <v>24532</v>
      </c>
      <c r="B109" s="23"/>
      <c r="C109" s="23"/>
      <c r="D109" s="23">
        <v>5.38</v>
      </c>
      <c r="E109" s="23"/>
      <c r="F109" s="23"/>
      <c r="G109" s="23"/>
      <c r="H109" s="3"/>
    </row>
    <row r="110" spans="1:8" x14ac:dyDescent="0.25">
      <c r="A110" s="22">
        <v>24563</v>
      </c>
      <c r="B110" s="23"/>
      <c r="C110" s="23"/>
      <c r="D110" s="23">
        <v>5.38</v>
      </c>
      <c r="E110" s="23"/>
      <c r="F110" s="23"/>
      <c r="G110" s="23"/>
      <c r="H110" s="3"/>
    </row>
    <row r="111" spans="1:8" x14ac:dyDescent="0.25">
      <c r="A111" s="22">
        <v>24593</v>
      </c>
      <c r="B111" s="23"/>
      <c r="C111" s="23"/>
      <c r="D111" s="23">
        <v>5.38</v>
      </c>
      <c r="E111" s="23"/>
      <c r="F111" s="23"/>
      <c r="G111" s="23"/>
      <c r="H111" s="3"/>
    </row>
    <row r="112" spans="1:8" x14ac:dyDescent="0.25">
      <c r="A112" s="22">
        <v>24624</v>
      </c>
      <c r="B112" s="23"/>
      <c r="C112" s="23"/>
      <c r="D112" s="23">
        <v>5.38</v>
      </c>
      <c r="E112" s="23"/>
      <c r="F112" s="23"/>
      <c r="G112" s="23"/>
      <c r="H112" s="3"/>
    </row>
    <row r="113" spans="1:8" x14ac:dyDescent="0.25">
      <c r="A113" s="22">
        <v>24654</v>
      </c>
      <c r="B113" s="23"/>
      <c r="C113" s="23"/>
      <c r="D113" s="23">
        <v>5.38</v>
      </c>
      <c r="E113" s="23"/>
      <c r="F113" s="23"/>
      <c r="G113" s="23"/>
      <c r="H113" s="3"/>
    </row>
    <row r="114" spans="1:8" x14ac:dyDescent="0.25">
      <c r="A114" s="22">
        <v>24685</v>
      </c>
      <c r="B114" s="23"/>
      <c r="C114" s="23"/>
      <c r="D114" s="23">
        <v>5.38</v>
      </c>
      <c r="E114" s="23"/>
      <c r="F114" s="23"/>
      <c r="G114" s="23"/>
      <c r="H114" s="3"/>
    </row>
    <row r="115" spans="1:8" x14ac:dyDescent="0.25">
      <c r="A115" s="22">
        <v>24716</v>
      </c>
      <c r="B115" s="23"/>
      <c r="C115" s="23"/>
      <c r="D115" s="23">
        <v>5.38</v>
      </c>
      <c r="E115" s="23"/>
      <c r="F115" s="23"/>
      <c r="G115" s="23"/>
      <c r="H115" s="3"/>
    </row>
    <row r="116" spans="1:8" x14ac:dyDescent="0.25">
      <c r="A116" s="22">
        <v>24746</v>
      </c>
      <c r="B116" s="23"/>
      <c r="C116" s="23"/>
      <c r="D116" s="23">
        <v>5.38</v>
      </c>
      <c r="E116" s="23"/>
      <c r="F116" s="23"/>
      <c r="G116" s="23"/>
      <c r="H116" s="3"/>
    </row>
    <row r="117" spans="1:8" x14ac:dyDescent="0.25">
      <c r="A117" s="22">
        <v>24777</v>
      </c>
      <c r="B117" s="23"/>
      <c r="C117" s="23"/>
      <c r="D117" s="23">
        <v>5.38</v>
      </c>
      <c r="E117" s="23"/>
      <c r="F117" s="23"/>
      <c r="G117" s="23"/>
      <c r="H117" s="3"/>
    </row>
    <row r="118" spans="1:8" x14ac:dyDescent="0.25">
      <c r="A118" s="22">
        <v>24807</v>
      </c>
      <c r="B118" s="23"/>
      <c r="C118" s="23"/>
      <c r="D118" s="23">
        <v>5.38</v>
      </c>
      <c r="E118" s="23"/>
      <c r="F118" s="23"/>
      <c r="G118" s="23"/>
      <c r="H118" s="3"/>
    </row>
    <row r="119" spans="1:8" x14ac:dyDescent="0.25">
      <c r="A119" s="22">
        <v>24838</v>
      </c>
      <c r="B119" s="23"/>
      <c r="C119" s="23"/>
      <c r="D119" s="23">
        <v>5.38</v>
      </c>
      <c r="E119" s="23"/>
      <c r="F119" s="23"/>
      <c r="G119" s="23"/>
      <c r="H119" s="3"/>
    </row>
    <row r="120" spans="1:8" x14ac:dyDescent="0.25">
      <c r="A120" s="22">
        <v>24869</v>
      </c>
      <c r="B120" s="23"/>
      <c r="C120" s="23"/>
      <c r="D120" s="23">
        <v>5.38</v>
      </c>
      <c r="E120" s="23"/>
      <c r="F120" s="23"/>
      <c r="G120" s="23"/>
      <c r="H120" s="3"/>
    </row>
    <row r="121" spans="1:8" x14ac:dyDescent="0.25">
      <c r="A121" s="22">
        <v>24898</v>
      </c>
      <c r="B121" s="23"/>
      <c r="C121" s="23"/>
      <c r="D121" s="23">
        <v>5.38</v>
      </c>
      <c r="E121" s="23"/>
      <c r="F121" s="23"/>
      <c r="G121" s="23"/>
      <c r="H121" s="3"/>
    </row>
    <row r="122" spans="1:8" x14ac:dyDescent="0.25">
      <c r="A122" s="22">
        <v>24929</v>
      </c>
      <c r="B122" s="23"/>
      <c r="C122" s="23"/>
      <c r="D122" s="23">
        <v>5.38</v>
      </c>
      <c r="E122" s="23"/>
      <c r="F122" s="23"/>
      <c r="G122" s="23"/>
      <c r="H122" s="3"/>
    </row>
    <row r="123" spans="1:8" x14ac:dyDescent="0.25">
      <c r="A123" s="22">
        <v>24959</v>
      </c>
      <c r="B123" s="23"/>
      <c r="C123" s="23"/>
      <c r="D123" s="23">
        <v>5.38</v>
      </c>
      <c r="E123" s="23"/>
      <c r="F123" s="23"/>
      <c r="G123" s="23"/>
      <c r="H123" s="3"/>
    </row>
    <row r="124" spans="1:8" x14ac:dyDescent="0.25">
      <c r="A124" s="22">
        <v>24990</v>
      </c>
      <c r="B124" s="23"/>
      <c r="C124" s="23"/>
      <c r="D124" s="23">
        <v>5.38</v>
      </c>
      <c r="E124" s="23"/>
      <c r="F124" s="23"/>
      <c r="G124" s="23"/>
      <c r="H124" s="3"/>
    </row>
    <row r="125" spans="1:8" x14ac:dyDescent="0.25">
      <c r="A125" s="22">
        <v>25020</v>
      </c>
      <c r="B125" s="23"/>
      <c r="C125" s="23"/>
      <c r="D125" s="23">
        <v>5.38</v>
      </c>
      <c r="E125" s="23"/>
      <c r="F125" s="23"/>
      <c r="G125" s="23"/>
      <c r="H125" s="3"/>
    </row>
    <row r="126" spans="1:8" x14ac:dyDescent="0.25">
      <c r="A126" s="22">
        <v>25051</v>
      </c>
      <c r="B126" s="23"/>
      <c r="C126" s="23"/>
      <c r="D126" s="23">
        <v>5.88</v>
      </c>
      <c r="E126" s="23"/>
      <c r="F126" s="23"/>
      <c r="G126" s="23"/>
      <c r="H126" s="3"/>
    </row>
    <row r="127" spans="1:8" x14ac:dyDescent="0.25">
      <c r="A127" s="22">
        <v>25082</v>
      </c>
      <c r="B127" s="23"/>
      <c r="C127" s="23"/>
      <c r="D127" s="23">
        <v>5.88</v>
      </c>
      <c r="E127" s="23"/>
      <c r="F127" s="23"/>
      <c r="G127" s="23"/>
      <c r="H127" s="3"/>
    </row>
    <row r="128" spans="1:8" x14ac:dyDescent="0.25">
      <c r="A128" s="22">
        <v>25112</v>
      </c>
      <c r="B128" s="23"/>
      <c r="C128" s="23"/>
      <c r="D128" s="23">
        <v>5.88</v>
      </c>
      <c r="E128" s="23"/>
      <c r="F128" s="23"/>
      <c r="G128" s="23"/>
      <c r="H128" s="3"/>
    </row>
    <row r="129" spans="1:8" x14ac:dyDescent="0.25">
      <c r="A129" s="22">
        <v>25143</v>
      </c>
      <c r="B129" s="23"/>
      <c r="C129" s="23"/>
      <c r="D129" s="23">
        <v>5.88</v>
      </c>
      <c r="E129" s="23"/>
      <c r="F129" s="23"/>
      <c r="G129" s="23"/>
      <c r="H129" s="3"/>
    </row>
    <row r="130" spans="1:8" x14ac:dyDescent="0.25">
      <c r="A130" s="22">
        <v>25173</v>
      </c>
      <c r="B130" s="23"/>
      <c r="C130" s="23"/>
      <c r="D130" s="23">
        <v>5.88</v>
      </c>
      <c r="E130" s="23"/>
      <c r="F130" s="23"/>
      <c r="G130" s="23"/>
      <c r="H130" s="3"/>
    </row>
    <row r="131" spans="1:8" x14ac:dyDescent="0.25">
      <c r="A131" s="22">
        <v>25204</v>
      </c>
      <c r="B131" s="23"/>
      <c r="C131" s="23"/>
      <c r="D131" s="23">
        <v>5.88</v>
      </c>
      <c r="E131" s="23"/>
      <c r="F131" s="23"/>
      <c r="G131" s="23"/>
      <c r="H131" s="3"/>
    </row>
    <row r="132" spans="1:8" x14ac:dyDescent="0.25">
      <c r="A132" s="22">
        <v>25235</v>
      </c>
      <c r="B132" s="23"/>
      <c r="C132" s="23"/>
      <c r="D132" s="23">
        <v>5.88</v>
      </c>
      <c r="E132" s="23"/>
      <c r="F132" s="23"/>
      <c r="G132" s="23"/>
      <c r="H132" s="3"/>
    </row>
    <row r="133" spans="1:8" x14ac:dyDescent="0.25">
      <c r="A133" s="22">
        <v>25263</v>
      </c>
      <c r="B133" s="23"/>
      <c r="C133" s="23"/>
      <c r="D133" s="23">
        <v>5.88</v>
      </c>
      <c r="E133" s="23"/>
      <c r="F133" s="23"/>
      <c r="G133" s="23"/>
      <c r="H133" s="3"/>
    </row>
    <row r="134" spans="1:8" x14ac:dyDescent="0.25">
      <c r="A134" s="22">
        <v>25294</v>
      </c>
      <c r="B134" s="23"/>
      <c r="C134" s="23"/>
      <c r="D134" s="23">
        <v>5.88</v>
      </c>
      <c r="E134" s="23"/>
      <c r="F134" s="23"/>
      <c r="G134" s="23"/>
      <c r="H134" s="3"/>
    </row>
    <row r="135" spans="1:8" x14ac:dyDescent="0.25">
      <c r="A135" s="22">
        <v>25324</v>
      </c>
      <c r="B135" s="23"/>
      <c r="C135" s="23"/>
      <c r="D135" s="23">
        <v>5.88</v>
      </c>
      <c r="E135" s="23"/>
      <c r="F135" s="23"/>
      <c r="G135" s="23"/>
      <c r="H135" s="3"/>
    </row>
    <row r="136" spans="1:8" x14ac:dyDescent="0.25">
      <c r="A136" s="22">
        <v>25355</v>
      </c>
      <c r="B136" s="23"/>
      <c r="C136" s="23"/>
      <c r="D136" s="23">
        <v>5.88</v>
      </c>
      <c r="E136" s="23"/>
      <c r="F136" s="23"/>
      <c r="G136" s="23"/>
      <c r="H136" s="3"/>
    </row>
    <row r="137" spans="1:8" x14ac:dyDescent="0.25">
      <c r="A137" s="22">
        <v>25385</v>
      </c>
      <c r="B137" s="23"/>
      <c r="C137" s="23"/>
      <c r="D137" s="23">
        <v>5.88</v>
      </c>
      <c r="E137" s="23"/>
      <c r="F137" s="23"/>
      <c r="G137" s="23"/>
      <c r="H137" s="3"/>
    </row>
    <row r="138" spans="1:8" x14ac:dyDescent="0.25">
      <c r="A138" s="22">
        <v>25416</v>
      </c>
      <c r="B138" s="23"/>
      <c r="C138" s="23"/>
      <c r="D138" s="23">
        <v>5.88</v>
      </c>
      <c r="E138" s="23"/>
      <c r="F138" s="23"/>
      <c r="G138" s="23"/>
      <c r="H138" s="3"/>
    </row>
    <row r="139" spans="1:8" x14ac:dyDescent="0.25">
      <c r="A139" s="22">
        <v>25447</v>
      </c>
      <c r="B139" s="23"/>
      <c r="C139" s="23"/>
      <c r="D139" s="23">
        <v>5.88</v>
      </c>
      <c r="E139" s="23"/>
      <c r="F139" s="23"/>
      <c r="G139" s="23"/>
      <c r="H139" s="3"/>
    </row>
    <row r="140" spans="1:8" x14ac:dyDescent="0.25">
      <c r="A140" s="22">
        <v>25477</v>
      </c>
      <c r="B140" s="23"/>
      <c r="C140" s="23"/>
      <c r="D140" s="23">
        <v>5.88</v>
      </c>
      <c r="E140" s="23"/>
      <c r="F140" s="23"/>
      <c r="G140" s="23"/>
      <c r="H140" s="3"/>
    </row>
    <row r="141" spans="1:8" x14ac:dyDescent="0.25">
      <c r="A141" s="22">
        <v>25508</v>
      </c>
      <c r="B141" s="23"/>
      <c r="C141" s="23"/>
      <c r="D141" s="23">
        <v>5.88</v>
      </c>
      <c r="E141" s="23"/>
      <c r="F141" s="23"/>
      <c r="G141" s="23"/>
      <c r="H141" s="3"/>
    </row>
    <row r="142" spans="1:8" x14ac:dyDescent="0.25">
      <c r="A142" s="22">
        <v>25538</v>
      </c>
      <c r="B142" s="23"/>
      <c r="C142" s="23"/>
      <c r="D142" s="23">
        <v>5.88</v>
      </c>
      <c r="E142" s="23"/>
      <c r="F142" s="23"/>
      <c r="G142" s="23"/>
      <c r="H142" s="3"/>
    </row>
    <row r="143" spans="1:8" x14ac:dyDescent="0.25">
      <c r="A143" s="22">
        <v>25569</v>
      </c>
      <c r="B143" s="23"/>
      <c r="C143" s="23"/>
      <c r="D143" s="23">
        <v>5.88</v>
      </c>
      <c r="E143" s="23"/>
      <c r="F143" s="23"/>
      <c r="G143" s="23"/>
      <c r="H143" s="3"/>
    </row>
    <row r="144" spans="1:8" x14ac:dyDescent="0.25">
      <c r="A144" s="22">
        <v>25600</v>
      </c>
      <c r="B144" s="23"/>
      <c r="C144" s="23"/>
      <c r="D144" s="23">
        <v>5.88</v>
      </c>
      <c r="E144" s="23"/>
      <c r="F144" s="23"/>
      <c r="G144" s="23"/>
      <c r="H144" s="3"/>
    </row>
    <row r="145" spans="1:8" x14ac:dyDescent="0.25">
      <c r="A145" s="22">
        <v>25628</v>
      </c>
      <c r="B145" s="23"/>
      <c r="C145" s="23"/>
      <c r="D145" s="23">
        <v>5.88</v>
      </c>
      <c r="E145" s="23"/>
      <c r="F145" s="23"/>
      <c r="G145" s="23"/>
      <c r="H145" s="3"/>
    </row>
    <row r="146" spans="1:8" x14ac:dyDescent="0.25">
      <c r="A146" s="22">
        <v>25659</v>
      </c>
      <c r="B146" s="23"/>
      <c r="C146" s="23"/>
      <c r="D146" s="23">
        <v>7.25</v>
      </c>
      <c r="E146" s="23"/>
      <c r="F146" s="23"/>
      <c r="G146" s="23"/>
      <c r="H146" s="3"/>
    </row>
    <row r="147" spans="1:8" x14ac:dyDescent="0.25">
      <c r="A147" s="22">
        <v>25689</v>
      </c>
      <c r="B147" s="23"/>
      <c r="C147" s="23"/>
      <c r="D147" s="23">
        <v>7.25</v>
      </c>
      <c r="E147" s="23"/>
      <c r="F147" s="23"/>
      <c r="G147" s="23"/>
      <c r="H147" s="3"/>
    </row>
    <row r="148" spans="1:8" x14ac:dyDescent="0.25">
      <c r="A148" s="22">
        <v>25720</v>
      </c>
      <c r="B148" s="23"/>
      <c r="C148" s="23"/>
      <c r="D148" s="23">
        <v>7.25</v>
      </c>
      <c r="E148" s="23"/>
      <c r="F148" s="23"/>
      <c r="G148" s="23"/>
      <c r="H148" s="3"/>
    </row>
    <row r="149" spans="1:8" x14ac:dyDescent="0.25">
      <c r="A149" s="22">
        <v>25750</v>
      </c>
      <c r="B149" s="23"/>
      <c r="C149" s="23"/>
      <c r="D149" s="23">
        <v>7.25</v>
      </c>
      <c r="E149" s="23"/>
      <c r="F149" s="23"/>
      <c r="G149" s="23"/>
      <c r="H149" s="3"/>
    </row>
    <row r="150" spans="1:8" x14ac:dyDescent="0.25">
      <c r="A150" s="22">
        <v>25781</v>
      </c>
      <c r="B150" s="23"/>
      <c r="C150" s="23"/>
      <c r="D150" s="23">
        <v>7.25</v>
      </c>
      <c r="E150" s="23"/>
      <c r="F150" s="23"/>
      <c r="G150" s="23"/>
      <c r="H150" s="3"/>
    </row>
    <row r="151" spans="1:8" x14ac:dyDescent="0.25">
      <c r="A151" s="22">
        <v>25812</v>
      </c>
      <c r="B151" s="23"/>
      <c r="C151" s="23"/>
      <c r="D151" s="23">
        <v>7.25</v>
      </c>
      <c r="E151" s="23"/>
      <c r="F151" s="23"/>
      <c r="G151" s="23"/>
      <c r="H151" s="3"/>
    </row>
    <row r="152" spans="1:8" x14ac:dyDescent="0.25">
      <c r="A152" s="22">
        <v>25842</v>
      </c>
      <c r="B152" s="23"/>
      <c r="C152" s="23"/>
      <c r="D152" s="23">
        <v>7.25</v>
      </c>
      <c r="E152" s="23"/>
      <c r="F152" s="23"/>
      <c r="G152" s="23"/>
      <c r="H152" s="3"/>
    </row>
    <row r="153" spans="1:8" x14ac:dyDescent="0.25">
      <c r="A153" s="22">
        <v>25873</v>
      </c>
      <c r="B153" s="23"/>
      <c r="C153" s="23"/>
      <c r="D153" s="23">
        <v>7.25</v>
      </c>
      <c r="E153" s="23"/>
      <c r="F153" s="23"/>
      <c r="G153" s="23"/>
      <c r="H153" s="3"/>
    </row>
    <row r="154" spans="1:8" x14ac:dyDescent="0.25">
      <c r="A154" s="22">
        <v>25903</v>
      </c>
      <c r="B154" s="23"/>
      <c r="C154" s="23"/>
      <c r="D154" s="23">
        <v>7.25</v>
      </c>
      <c r="E154" s="23"/>
      <c r="F154" s="23"/>
      <c r="G154" s="23"/>
      <c r="H154" s="3"/>
    </row>
    <row r="155" spans="1:8" x14ac:dyDescent="0.25">
      <c r="A155" s="22">
        <v>25934</v>
      </c>
      <c r="B155" s="23"/>
      <c r="C155" s="23"/>
      <c r="D155" s="23">
        <v>7.25</v>
      </c>
      <c r="E155" s="23"/>
      <c r="F155" s="23"/>
      <c r="G155" s="23"/>
      <c r="H155" s="3"/>
    </row>
    <row r="156" spans="1:8" x14ac:dyDescent="0.25">
      <c r="A156" s="22">
        <v>25965</v>
      </c>
      <c r="B156" s="23"/>
      <c r="C156" s="23"/>
      <c r="D156" s="23">
        <v>7.25</v>
      </c>
      <c r="E156" s="23"/>
      <c r="F156" s="23"/>
      <c r="G156" s="23"/>
      <c r="H156" s="3"/>
    </row>
    <row r="157" spans="1:8" x14ac:dyDescent="0.25">
      <c r="A157" s="22">
        <v>25993</v>
      </c>
      <c r="B157" s="23"/>
      <c r="C157" s="23"/>
      <c r="D157" s="23">
        <v>7.25</v>
      </c>
      <c r="E157" s="23"/>
      <c r="F157" s="23"/>
      <c r="G157" s="23"/>
      <c r="H157" s="3"/>
    </row>
    <row r="158" spans="1:8" x14ac:dyDescent="0.25">
      <c r="A158" s="22">
        <v>26024</v>
      </c>
      <c r="B158" s="23"/>
      <c r="C158" s="23"/>
      <c r="D158" s="23">
        <v>7.25</v>
      </c>
      <c r="E158" s="23"/>
      <c r="F158" s="23"/>
      <c r="G158" s="23"/>
      <c r="H158" s="3"/>
    </row>
    <row r="159" spans="1:8" x14ac:dyDescent="0.25">
      <c r="A159" s="22">
        <v>26054</v>
      </c>
      <c r="B159" s="23"/>
      <c r="C159" s="23"/>
      <c r="D159" s="23">
        <v>7.25</v>
      </c>
      <c r="E159" s="23"/>
      <c r="F159" s="23"/>
      <c r="G159" s="23"/>
      <c r="H159" s="3"/>
    </row>
    <row r="160" spans="1:8" x14ac:dyDescent="0.25">
      <c r="A160" s="22">
        <v>26085</v>
      </c>
      <c r="B160" s="23"/>
      <c r="C160" s="23"/>
      <c r="D160" s="23">
        <v>7.25</v>
      </c>
      <c r="E160" s="23"/>
      <c r="F160" s="23"/>
      <c r="G160" s="23"/>
      <c r="H160" s="3"/>
    </row>
    <row r="161" spans="1:8" x14ac:dyDescent="0.25">
      <c r="A161" s="22">
        <v>26115</v>
      </c>
      <c r="B161" s="23"/>
      <c r="C161" s="23"/>
      <c r="D161" s="23">
        <v>7.25</v>
      </c>
      <c r="E161" s="23"/>
      <c r="F161" s="23"/>
      <c r="G161" s="23"/>
      <c r="H161" s="3"/>
    </row>
    <row r="162" spans="1:8" x14ac:dyDescent="0.25">
      <c r="A162" s="22">
        <v>26146</v>
      </c>
      <c r="B162" s="23"/>
      <c r="C162" s="23"/>
      <c r="D162" s="23">
        <v>7.25</v>
      </c>
      <c r="E162" s="23"/>
      <c r="F162" s="23"/>
      <c r="G162" s="23"/>
      <c r="H162" s="3"/>
    </row>
    <row r="163" spans="1:8" x14ac:dyDescent="0.25">
      <c r="A163" s="22">
        <v>26177</v>
      </c>
      <c r="B163" s="23"/>
      <c r="C163" s="23"/>
      <c r="D163" s="23">
        <v>7.25</v>
      </c>
      <c r="E163" s="23"/>
      <c r="F163" s="23"/>
      <c r="G163" s="23"/>
      <c r="H163" s="3"/>
    </row>
    <row r="164" spans="1:8" x14ac:dyDescent="0.25">
      <c r="A164" s="22">
        <v>26207</v>
      </c>
      <c r="B164" s="23"/>
      <c r="C164" s="23"/>
      <c r="D164" s="23">
        <v>7.25</v>
      </c>
      <c r="E164" s="23"/>
      <c r="F164" s="23"/>
      <c r="G164" s="23"/>
      <c r="H164" s="3"/>
    </row>
    <row r="165" spans="1:8" x14ac:dyDescent="0.25">
      <c r="A165" s="22">
        <v>26238</v>
      </c>
      <c r="B165" s="23"/>
      <c r="C165" s="23"/>
      <c r="D165" s="23">
        <v>7.25</v>
      </c>
      <c r="E165" s="23"/>
      <c r="F165" s="23"/>
      <c r="G165" s="23"/>
      <c r="H165" s="3"/>
    </row>
    <row r="166" spans="1:8" x14ac:dyDescent="0.25">
      <c r="A166" s="22">
        <v>26268</v>
      </c>
      <c r="B166" s="23"/>
      <c r="C166" s="23"/>
      <c r="D166" s="23">
        <v>7.25</v>
      </c>
      <c r="E166" s="23"/>
      <c r="F166" s="23"/>
      <c r="G166" s="23"/>
      <c r="H166" s="3"/>
    </row>
    <row r="167" spans="1:8" x14ac:dyDescent="0.25">
      <c r="A167" s="22">
        <v>26299</v>
      </c>
      <c r="B167" s="23"/>
      <c r="C167" s="23"/>
      <c r="D167" s="23">
        <v>7.25</v>
      </c>
      <c r="E167" s="23"/>
      <c r="F167" s="23"/>
      <c r="G167" s="23"/>
      <c r="H167" s="3"/>
    </row>
    <row r="168" spans="1:8" x14ac:dyDescent="0.25">
      <c r="A168" s="22">
        <v>26330</v>
      </c>
      <c r="B168" s="23"/>
      <c r="C168" s="23"/>
      <c r="D168" s="23">
        <v>7</v>
      </c>
      <c r="E168" s="23"/>
      <c r="F168" s="23"/>
      <c r="G168" s="23"/>
      <c r="H168" s="3"/>
    </row>
    <row r="169" spans="1:8" x14ac:dyDescent="0.25">
      <c r="A169" s="22">
        <v>26359</v>
      </c>
      <c r="B169" s="23"/>
      <c r="C169" s="23"/>
      <c r="D169" s="23">
        <v>7</v>
      </c>
      <c r="E169" s="23"/>
      <c r="F169" s="23"/>
      <c r="G169" s="23"/>
      <c r="H169" s="3"/>
    </row>
    <row r="170" spans="1:8" x14ac:dyDescent="0.25">
      <c r="A170" s="22">
        <v>26390</v>
      </c>
      <c r="B170" s="23"/>
      <c r="C170" s="23"/>
      <c r="D170" s="23">
        <v>7</v>
      </c>
      <c r="E170" s="23"/>
      <c r="F170" s="23"/>
      <c r="G170" s="23"/>
      <c r="H170" s="3"/>
    </row>
    <row r="171" spans="1:8" x14ac:dyDescent="0.25">
      <c r="A171" s="22">
        <v>26420</v>
      </c>
      <c r="B171" s="23"/>
      <c r="C171" s="23"/>
      <c r="D171" s="23">
        <v>7</v>
      </c>
      <c r="E171" s="23"/>
      <c r="F171" s="23"/>
      <c r="G171" s="23"/>
      <c r="H171" s="3"/>
    </row>
    <row r="172" spans="1:8" x14ac:dyDescent="0.25">
      <c r="A172" s="22">
        <v>26451</v>
      </c>
      <c r="B172" s="23"/>
      <c r="C172" s="23"/>
      <c r="D172" s="23">
        <v>7</v>
      </c>
      <c r="E172" s="23"/>
      <c r="F172" s="23"/>
      <c r="G172" s="23"/>
      <c r="H172" s="3"/>
    </row>
    <row r="173" spans="1:8" x14ac:dyDescent="0.25">
      <c r="A173" s="22">
        <v>26481</v>
      </c>
      <c r="B173" s="23"/>
      <c r="C173" s="23"/>
      <c r="D173" s="23">
        <v>7</v>
      </c>
      <c r="E173" s="23"/>
      <c r="F173" s="23"/>
      <c r="G173" s="23"/>
      <c r="H173" s="3"/>
    </row>
    <row r="174" spans="1:8" x14ac:dyDescent="0.25">
      <c r="A174" s="22">
        <v>26512</v>
      </c>
      <c r="B174" s="23"/>
      <c r="C174" s="23"/>
      <c r="D174" s="23">
        <v>7</v>
      </c>
      <c r="E174" s="23"/>
      <c r="F174" s="23"/>
      <c r="G174" s="23"/>
      <c r="H174" s="3"/>
    </row>
    <row r="175" spans="1:8" x14ac:dyDescent="0.25">
      <c r="A175" s="22">
        <v>26543</v>
      </c>
      <c r="B175" s="23"/>
      <c r="C175" s="23"/>
      <c r="D175" s="23">
        <v>7</v>
      </c>
      <c r="E175" s="23"/>
      <c r="F175" s="23"/>
      <c r="G175" s="23"/>
      <c r="H175" s="3"/>
    </row>
    <row r="176" spans="1:8" x14ac:dyDescent="0.25">
      <c r="A176" s="22">
        <v>26573</v>
      </c>
      <c r="B176" s="23"/>
      <c r="C176" s="23"/>
      <c r="D176" s="23">
        <v>7</v>
      </c>
      <c r="E176" s="23"/>
      <c r="F176" s="23"/>
      <c r="G176" s="23"/>
      <c r="H176" s="3"/>
    </row>
    <row r="177" spans="1:8" x14ac:dyDescent="0.25">
      <c r="A177" s="22">
        <v>26604</v>
      </c>
      <c r="B177" s="23"/>
      <c r="C177" s="23"/>
      <c r="D177" s="23">
        <v>7</v>
      </c>
      <c r="E177" s="23"/>
      <c r="F177" s="23"/>
      <c r="G177" s="23"/>
      <c r="H177" s="3"/>
    </row>
    <row r="178" spans="1:8" x14ac:dyDescent="0.25">
      <c r="A178" s="22">
        <v>26634</v>
      </c>
      <c r="B178" s="23"/>
      <c r="C178" s="23"/>
      <c r="D178" s="23">
        <v>7</v>
      </c>
      <c r="E178" s="23"/>
      <c r="F178" s="23"/>
      <c r="G178" s="23"/>
      <c r="H178" s="3"/>
    </row>
    <row r="179" spans="1:8" x14ac:dyDescent="0.25">
      <c r="A179" s="22">
        <v>26665</v>
      </c>
      <c r="B179" s="23"/>
      <c r="C179" s="23"/>
      <c r="D179" s="23">
        <v>7</v>
      </c>
      <c r="E179" s="23"/>
      <c r="F179" s="23"/>
      <c r="G179" s="23"/>
      <c r="H179" s="3"/>
    </row>
    <row r="180" spans="1:8" x14ac:dyDescent="0.25">
      <c r="A180" s="22">
        <v>26696</v>
      </c>
      <c r="B180" s="23"/>
      <c r="C180" s="23"/>
      <c r="D180" s="23">
        <v>7</v>
      </c>
      <c r="E180" s="23"/>
      <c r="F180" s="23"/>
      <c r="G180" s="23"/>
      <c r="H180" s="3"/>
    </row>
    <row r="181" spans="1:8" x14ac:dyDescent="0.25">
      <c r="A181" s="22">
        <v>26724</v>
      </c>
      <c r="B181" s="23"/>
      <c r="C181" s="23"/>
      <c r="D181" s="23">
        <v>7</v>
      </c>
      <c r="E181" s="23"/>
      <c r="F181" s="23"/>
      <c r="G181" s="23"/>
      <c r="H181" s="3"/>
    </row>
    <row r="182" spans="1:8" x14ac:dyDescent="0.25">
      <c r="A182" s="22">
        <v>26755</v>
      </c>
      <c r="B182" s="23"/>
      <c r="C182" s="23"/>
      <c r="D182" s="23">
        <v>7</v>
      </c>
      <c r="E182" s="23"/>
      <c r="F182" s="23"/>
      <c r="G182" s="23"/>
      <c r="H182" s="3"/>
    </row>
    <row r="183" spans="1:8" x14ac:dyDescent="0.25">
      <c r="A183" s="22">
        <v>26785</v>
      </c>
      <c r="B183" s="23"/>
      <c r="C183" s="23"/>
      <c r="D183" s="23">
        <v>7</v>
      </c>
      <c r="E183" s="23"/>
      <c r="F183" s="23"/>
      <c r="G183" s="23"/>
      <c r="H183" s="3"/>
    </row>
    <row r="184" spans="1:8" x14ac:dyDescent="0.25">
      <c r="A184" s="22">
        <v>26816</v>
      </c>
      <c r="B184" s="23"/>
      <c r="C184" s="23"/>
      <c r="D184" s="23">
        <v>7</v>
      </c>
      <c r="E184" s="23"/>
      <c r="F184" s="23"/>
      <c r="G184" s="23"/>
      <c r="H184" s="3"/>
    </row>
    <row r="185" spans="1:8" x14ac:dyDescent="0.25">
      <c r="A185" s="22">
        <v>26846</v>
      </c>
      <c r="B185" s="23"/>
      <c r="C185" s="23"/>
      <c r="D185" s="23">
        <v>7</v>
      </c>
      <c r="E185" s="23"/>
      <c r="F185" s="23"/>
      <c r="G185" s="23"/>
      <c r="H185" s="3"/>
    </row>
    <row r="186" spans="1:8" x14ac:dyDescent="0.25">
      <c r="A186" s="22">
        <v>26877</v>
      </c>
      <c r="B186" s="23"/>
      <c r="C186" s="23"/>
      <c r="D186" s="23">
        <v>7</v>
      </c>
      <c r="E186" s="23"/>
      <c r="F186" s="23"/>
      <c r="G186" s="23"/>
      <c r="H186" s="3"/>
    </row>
    <row r="187" spans="1:8" x14ac:dyDescent="0.25">
      <c r="A187" s="22">
        <v>26908</v>
      </c>
      <c r="B187" s="23"/>
      <c r="C187" s="23"/>
      <c r="D187" s="23">
        <v>7</v>
      </c>
      <c r="E187" s="23"/>
      <c r="F187" s="23"/>
      <c r="G187" s="23"/>
      <c r="H187" s="3"/>
    </row>
    <row r="188" spans="1:8" x14ac:dyDescent="0.25">
      <c r="A188" s="22">
        <v>26938</v>
      </c>
      <c r="B188" s="23"/>
      <c r="C188" s="23"/>
      <c r="D188" s="23">
        <v>8.3800000000000008</v>
      </c>
      <c r="E188" s="23"/>
      <c r="F188" s="23"/>
      <c r="G188" s="23"/>
      <c r="H188" s="3"/>
    </row>
    <row r="189" spans="1:8" x14ac:dyDescent="0.25">
      <c r="A189" s="22">
        <v>26969</v>
      </c>
      <c r="B189" s="23"/>
      <c r="C189" s="23"/>
      <c r="D189" s="23">
        <v>8.3800000000000008</v>
      </c>
      <c r="E189" s="23"/>
      <c r="F189" s="23"/>
      <c r="G189" s="23"/>
      <c r="H189" s="3"/>
    </row>
    <row r="190" spans="1:8" x14ac:dyDescent="0.25">
      <c r="A190" s="22">
        <v>26999</v>
      </c>
      <c r="B190" s="23"/>
      <c r="C190" s="23"/>
      <c r="D190" s="23">
        <v>8.3800000000000008</v>
      </c>
      <c r="E190" s="23"/>
      <c r="F190" s="23"/>
      <c r="G190" s="23"/>
      <c r="H190" s="3"/>
    </row>
    <row r="191" spans="1:8" x14ac:dyDescent="0.25">
      <c r="A191" s="22">
        <v>27030</v>
      </c>
      <c r="B191" s="23"/>
      <c r="C191" s="23"/>
      <c r="D191" s="23">
        <v>8.3800000000000008</v>
      </c>
      <c r="E191" s="23"/>
      <c r="F191" s="23"/>
      <c r="G191" s="23"/>
      <c r="H191" s="3"/>
    </row>
    <row r="192" spans="1:8" x14ac:dyDescent="0.25">
      <c r="A192" s="22">
        <v>27061</v>
      </c>
      <c r="B192" s="23"/>
      <c r="C192" s="23"/>
      <c r="D192" s="23">
        <v>8.3800000000000008</v>
      </c>
      <c r="E192" s="23"/>
      <c r="F192" s="23"/>
      <c r="G192" s="23"/>
      <c r="H192" s="3"/>
    </row>
    <row r="193" spans="1:8" x14ac:dyDescent="0.25">
      <c r="A193" s="22">
        <v>27089</v>
      </c>
      <c r="B193" s="23"/>
      <c r="C193" s="23"/>
      <c r="D193" s="23">
        <v>8.3800000000000008</v>
      </c>
      <c r="E193" s="23"/>
      <c r="F193" s="23"/>
      <c r="G193" s="23"/>
      <c r="H193" s="3"/>
    </row>
    <row r="194" spans="1:8" x14ac:dyDescent="0.25">
      <c r="A194" s="22">
        <v>27120</v>
      </c>
      <c r="B194" s="23"/>
      <c r="C194" s="23"/>
      <c r="D194" s="23">
        <v>8.3800000000000008</v>
      </c>
      <c r="E194" s="23"/>
      <c r="F194" s="23"/>
      <c r="G194" s="23"/>
      <c r="H194" s="3"/>
    </row>
    <row r="195" spans="1:8" x14ac:dyDescent="0.25">
      <c r="A195" s="22">
        <v>27150</v>
      </c>
      <c r="B195" s="23"/>
      <c r="C195" s="23"/>
      <c r="D195" s="23">
        <v>8.3800000000000008</v>
      </c>
      <c r="E195" s="23"/>
      <c r="F195" s="23"/>
      <c r="G195" s="23"/>
      <c r="H195" s="3"/>
    </row>
    <row r="196" spans="1:8" x14ac:dyDescent="0.25">
      <c r="A196" s="22">
        <v>27181</v>
      </c>
      <c r="B196" s="23"/>
      <c r="C196" s="23"/>
      <c r="D196" s="23">
        <v>8.3800000000000008</v>
      </c>
      <c r="E196" s="23"/>
      <c r="F196" s="23"/>
      <c r="G196" s="23"/>
      <c r="H196" s="3"/>
    </row>
    <row r="197" spans="1:8" x14ac:dyDescent="0.25">
      <c r="A197" s="22">
        <v>27211</v>
      </c>
      <c r="B197" s="23"/>
      <c r="C197" s="23"/>
      <c r="D197" s="23">
        <v>10.38</v>
      </c>
      <c r="E197" s="23"/>
      <c r="F197" s="23"/>
      <c r="G197" s="23"/>
      <c r="H197" s="3"/>
    </row>
    <row r="198" spans="1:8" x14ac:dyDescent="0.25">
      <c r="A198" s="22">
        <v>27242</v>
      </c>
      <c r="B198" s="23"/>
      <c r="C198" s="23"/>
      <c r="D198" s="23">
        <v>10.38</v>
      </c>
      <c r="E198" s="23"/>
      <c r="F198" s="23"/>
      <c r="G198" s="23"/>
      <c r="H198" s="3"/>
    </row>
    <row r="199" spans="1:8" x14ac:dyDescent="0.25">
      <c r="A199" s="22">
        <v>27273</v>
      </c>
      <c r="B199" s="23"/>
      <c r="C199" s="23"/>
      <c r="D199" s="23">
        <v>10.38</v>
      </c>
      <c r="E199" s="23"/>
      <c r="F199" s="23"/>
      <c r="G199" s="23"/>
      <c r="H199" s="3"/>
    </row>
    <row r="200" spans="1:8" x14ac:dyDescent="0.25">
      <c r="A200" s="22">
        <v>27303</v>
      </c>
      <c r="B200" s="23"/>
      <c r="C200" s="23"/>
      <c r="D200" s="23">
        <v>10.38</v>
      </c>
      <c r="E200" s="23"/>
      <c r="F200" s="23"/>
      <c r="G200" s="23"/>
      <c r="H200" s="3"/>
    </row>
    <row r="201" spans="1:8" x14ac:dyDescent="0.25">
      <c r="A201" s="22">
        <v>27334</v>
      </c>
      <c r="B201" s="23"/>
      <c r="C201" s="23"/>
      <c r="D201" s="23">
        <v>10.38</v>
      </c>
      <c r="E201" s="23"/>
      <c r="F201" s="23"/>
      <c r="G201" s="23"/>
      <c r="H201" s="3"/>
    </row>
    <row r="202" spans="1:8" x14ac:dyDescent="0.25">
      <c r="A202" s="22">
        <v>27364</v>
      </c>
      <c r="B202" s="23"/>
      <c r="C202" s="23"/>
      <c r="D202" s="23">
        <v>10.38</v>
      </c>
      <c r="E202" s="23"/>
      <c r="F202" s="23"/>
      <c r="G202" s="23"/>
      <c r="H202" s="3"/>
    </row>
    <row r="203" spans="1:8" x14ac:dyDescent="0.25">
      <c r="A203" s="22">
        <v>27395</v>
      </c>
      <c r="B203" s="23"/>
      <c r="C203" s="23"/>
      <c r="D203" s="23">
        <v>10.38</v>
      </c>
      <c r="E203" s="23"/>
      <c r="F203" s="23"/>
      <c r="G203" s="23"/>
      <c r="H203" s="3"/>
    </row>
    <row r="204" spans="1:8" x14ac:dyDescent="0.25">
      <c r="A204" s="22">
        <v>27426</v>
      </c>
      <c r="B204" s="23"/>
      <c r="C204" s="23"/>
      <c r="D204" s="23">
        <v>10.38</v>
      </c>
      <c r="E204" s="23"/>
      <c r="F204" s="23"/>
      <c r="G204" s="23"/>
      <c r="H204" s="3"/>
    </row>
    <row r="205" spans="1:8" x14ac:dyDescent="0.25">
      <c r="A205" s="22">
        <v>27454</v>
      </c>
      <c r="B205" s="23"/>
      <c r="C205" s="23"/>
      <c r="D205" s="23">
        <v>10.38</v>
      </c>
      <c r="E205" s="23"/>
      <c r="F205" s="23"/>
      <c r="G205" s="23"/>
      <c r="H205" s="3"/>
    </row>
    <row r="206" spans="1:8" x14ac:dyDescent="0.25">
      <c r="A206" s="22">
        <v>27485</v>
      </c>
      <c r="B206" s="23"/>
      <c r="C206" s="23"/>
      <c r="D206" s="23">
        <v>10.130000000000001</v>
      </c>
      <c r="E206" s="23"/>
      <c r="F206" s="23"/>
      <c r="G206" s="23"/>
      <c r="H206" s="3"/>
    </row>
    <row r="207" spans="1:8" x14ac:dyDescent="0.25">
      <c r="A207" s="22">
        <v>27515</v>
      </c>
      <c r="B207" s="23"/>
      <c r="C207" s="23"/>
      <c r="D207" s="23">
        <v>10.130000000000001</v>
      </c>
      <c r="E207" s="23"/>
      <c r="F207" s="23"/>
      <c r="G207" s="23"/>
      <c r="H207" s="3"/>
    </row>
    <row r="208" spans="1:8" x14ac:dyDescent="0.25">
      <c r="A208" s="22">
        <v>27546</v>
      </c>
      <c r="B208" s="23"/>
      <c r="C208" s="23"/>
      <c r="D208" s="23">
        <v>10.130000000000001</v>
      </c>
      <c r="E208" s="23"/>
      <c r="F208" s="23"/>
      <c r="G208" s="23"/>
      <c r="H208" s="3"/>
    </row>
    <row r="209" spans="1:8" x14ac:dyDescent="0.25">
      <c r="A209" s="22">
        <v>27576</v>
      </c>
      <c r="B209" s="23"/>
      <c r="C209" s="23"/>
      <c r="D209" s="23">
        <v>10.130000000000001</v>
      </c>
      <c r="E209" s="23"/>
      <c r="F209" s="23"/>
      <c r="G209" s="23"/>
      <c r="H209" s="3"/>
    </row>
    <row r="210" spans="1:8" x14ac:dyDescent="0.25">
      <c r="A210" s="22">
        <v>27607</v>
      </c>
      <c r="B210" s="23"/>
      <c r="C210" s="23"/>
      <c r="D210" s="23">
        <v>10.130000000000001</v>
      </c>
      <c r="E210" s="23"/>
      <c r="F210" s="23"/>
      <c r="G210" s="23"/>
      <c r="H210" s="3"/>
    </row>
    <row r="211" spans="1:8" x14ac:dyDescent="0.25">
      <c r="A211" s="22">
        <v>27638</v>
      </c>
      <c r="B211" s="23"/>
      <c r="C211" s="23"/>
      <c r="D211" s="23">
        <v>10.38</v>
      </c>
      <c r="E211" s="23"/>
      <c r="F211" s="23"/>
      <c r="G211" s="23"/>
      <c r="H211" s="3"/>
    </row>
    <row r="212" spans="1:8" x14ac:dyDescent="0.25">
      <c r="A212" s="22">
        <v>27668</v>
      </c>
      <c r="B212" s="23"/>
      <c r="C212" s="23"/>
      <c r="D212" s="23">
        <v>10.38</v>
      </c>
      <c r="E212" s="23"/>
      <c r="F212" s="23"/>
      <c r="G212" s="23"/>
      <c r="H212" s="3"/>
    </row>
    <row r="213" spans="1:8" x14ac:dyDescent="0.25">
      <c r="A213" s="22">
        <v>27699</v>
      </c>
      <c r="B213" s="23"/>
      <c r="C213" s="23"/>
      <c r="D213" s="23">
        <v>10.38</v>
      </c>
      <c r="E213" s="23"/>
      <c r="F213" s="23"/>
      <c r="G213" s="23"/>
      <c r="H213" s="3"/>
    </row>
    <row r="214" spans="1:8" x14ac:dyDescent="0.25">
      <c r="A214" s="22">
        <v>27729</v>
      </c>
      <c r="B214" s="23"/>
      <c r="C214" s="23"/>
      <c r="D214" s="23">
        <v>10.38</v>
      </c>
      <c r="E214" s="23"/>
      <c r="F214" s="23"/>
      <c r="G214" s="23"/>
      <c r="H214" s="3"/>
    </row>
    <row r="215" spans="1:8" x14ac:dyDescent="0.25">
      <c r="A215" s="22">
        <v>27760</v>
      </c>
      <c r="B215" s="23"/>
      <c r="C215" s="23"/>
      <c r="D215" s="23">
        <v>10.38</v>
      </c>
      <c r="E215" s="23"/>
      <c r="F215" s="23"/>
      <c r="G215" s="23"/>
      <c r="H215" s="3"/>
    </row>
    <row r="216" spans="1:8" x14ac:dyDescent="0.25">
      <c r="A216" s="22">
        <v>27791</v>
      </c>
      <c r="B216" s="23"/>
      <c r="C216" s="23">
        <v>10.46</v>
      </c>
      <c r="D216" s="23">
        <v>9.8800000000000008</v>
      </c>
      <c r="E216" s="23"/>
      <c r="F216" s="23"/>
      <c r="G216" s="23"/>
      <c r="H216" s="3"/>
    </row>
    <row r="217" spans="1:8" x14ac:dyDescent="0.25">
      <c r="A217" s="22">
        <v>27820</v>
      </c>
      <c r="B217" s="23"/>
      <c r="C217" s="23">
        <v>10.46</v>
      </c>
      <c r="D217" s="23">
        <v>9.8800000000000008</v>
      </c>
      <c r="E217" s="23"/>
      <c r="F217" s="23"/>
      <c r="G217" s="23"/>
      <c r="H217" s="3"/>
    </row>
    <row r="218" spans="1:8" x14ac:dyDescent="0.25">
      <c r="A218" s="22">
        <v>27851</v>
      </c>
      <c r="B218" s="23"/>
      <c r="C218" s="23">
        <v>10.46</v>
      </c>
      <c r="D218" s="23">
        <v>9.8800000000000008</v>
      </c>
      <c r="E218" s="23"/>
      <c r="F218" s="23"/>
      <c r="G218" s="23"/>
      <c r="H218" s="3"/>
    </row>
    <row r="219" spans="1:8" x14ac:dyDescent="0.25">
      <c r="A219" s="22">
        <v>27881</v>
      </c>
      <c r="B219" s="23"/>
      <c r="C219" s="23">
        <v>10.46</v>
      </c>
      <c r="D219" s="23">
        <v>9.8800000000000008</v>
      </c>
      <c r="E219" s="23"/>
      <c r="F219" s="23"/>
      <c r="G219" s="23"/>
      <c r="H219" s="3"/>
    </row>
    <row r="220" spans="1:8" x14ac:dyDescent="0.25">
      <c r="A220" s="22">
        <v>27912</v>
      </c>
      <c r="B220" s="23"/>
      <c r="C220" s="23">
        <v>10.46</v>
      </c>
      <c r="D220" s="23">
        <v>9.8800000000000008</v>
      </c>
      <c r="E220" s="23"/>
      <c r="F220" s="23"/>
      <c r="G220" s="23"/>
      <c r="H220" s="3"/>
    </row>
    <row r="221" spans="1:8" x14ac:dyDescent="0.25">
      <c r="A221" s="22">
        <v>27942</v>
      </c>
      <c r="B221" s="23"/>
      <c r="C221" s="23">
        <v>10.46</v>
      </c>
      <c r="D221" s="23">
        <v>9.8800000000000008</v>
      </c>
      <c r="E221" s="23"/>
      <c r="F221" s="23"/>
      <c r="G221" s="23"/>
      <c r="H221" s="3"/>
    </row>
    <row r="222" spans="1:8" x14ac:dyDescent="0.25">
      <c r="A222" s="22">
        <v>27973</v>
      </c>
      <c r="B222" s="23"/>
      <c r="C222" s="23">
        <v>10.46</v>
      </c>
      <c r="D222" s="23">
        <v>9.8800000000000008</v>
      </c>
      <c r="E222" s="23"/>
      <c r="F222" s="23"/>
      <c r="G222" s="23"/>
      <c r="H222" s="3"/>
    </row>
    <row r="223" spans="1:8" x14ac:dyDescent="0.25">
      <c r="A223" s="22">
        <v>28004</v>
      </c>
      <c r="B223" s="23"/>
      <c r="C223" s="23">
        <v>10.46</v>
      </c>
      <c r="D223" s="23">
        <v>9.8800000000000008</v>
      </c>
      <c r="E223" s="23"/>
      <c r="F223" s="23"/>
      <c r="G223" s="23"/>
      <c r="H223" s="3"/>
    </row>
    <row r="224" spans="1:8" x14ac:dyDescent="0.25">
      <c r="A224" s="22">
        <v>28034</v>
      </c>
      <c r="B224" s="23"/>
      <c r="C224" s="23">
        <v>10.46</v>
      </c>
      <c r="D224" s="23">
        <v>9.8800000000000008</v>
      </c>
      <c r="E224" s="23"/>
      <c r="F224" s="23"/>
      <c r="G224" s="23"/>
      <c r="H224" s="3"/>
    </row>
    <row r="225" spans="1:8" x14ac:dyDescent="0.25">
      <c r="A225" s="22">
        <v>28065</v>
      </c>
      <c r="B225" s="23"/>
      <c r="C225" s="23">
        <v>10.46</v>
      </c>
      <c r="D225" s="23">
        <v>9.8800000000000008</v>
      </c>
      <c r="E225" s="23"/>
      <c r="F225" s="23"/>
      <c r="G225" s="23"/>
      <c r="H225" s="3"/>
    </row>
    <row r="226" spans="1:8" x14ac:dyDescent="0.25">
      <c r="A226" s="22">
        <v>28095</v>
      </c>
      <c r="B226" s="23"/>
      <c r="C226" s="23">
        <v>10.46</v>
      </c>
      <c r="D226" s="23">
        <v>9.8800000000000008</v>
      </c>
      <c r="E226" s="23"/>
      <c r="F226" s="23"/>
      <c r="G226" s="23"/>
      <c r="H226" s="3"/>
    </row>
    <row r="227" spans="1:8" x14ac:dyDescent="0.25">
      <c r="A227" s="22">
        <v>28126</v>
      </c>
      <c r="B227" s="23"/>
      <c r="C227" s="23">
        <v>10.46</v>
      </c>
      <c r="D227" s="23">
        <v>9.8800000000000008</v>
      </c>
      <c r="E227" s="23"/>
      <c r="F227" s="23"/>
      <c r="G227" s="23"/>
      <c r="H227" s="3"/>
    </row>
    <row r="228" spans="1:8" x14ac:dyDescent="0.25">
      <c r="A228" s="22">
        <v>28157</v>
      </c>
      <c r="B228" s="23"/>
      <c r="C228" s="23">
        <v>10.46</v>
      </c>
      <c r="D228" s="23">
        <v>9.8800000000000008</v>
      </c>
      <c r="E228" s="23"/>
      <c r="F228" s="23"/>
      <c r="G228" s="23"/>
      <c r="H228" s="3"/>
    </row>
    <row r="229" spans="1:8" x14ac:dyDescent="0.25">
      <c r="A229" s="22">
        <v>28185</v>
      </c>
      <c r="B229" s="23"/>
      <c r="C229" s="23">
        <v>10.46</v>
      </c>
      <c r="D229" s="23">
        <v>9.8800000000000008</v>
      </c>
      <c r="E229" s="23"/>
      <c r="F229" s="23"/>
      <c r="G229" s="23"/>
      <c r="H229" s="3"/>
    </row>
    <row r="230" spans="1:8" x14ac:dyDescent="0.25">
      <c r="A230" s="22">
        <v>28216</v>
      </c>
      <c r="B230" s="23"/>
      <c r="C230" s="23">
        <v>10.46</v>
      </c>
      <c r="D230" s="23">
        <v>9.8800000000000008</v>
      </c>
      <c r="E230" s="23"/>
      <c r="F230" s="23"/>
      <c r="G230" s="23"/>
      <c r="H230" s="3"/>
    </row>
    <row r="231" spans="1:8" x14ac:dyDescent="0.25">
      <c r="A231" s="22">
        <v>28246</v>
      </c>
      <c r="B231" s="23"/>
      <c r="C231" s="23">
        <v>10.46</v>
      </c>
      <c r="D231" s="23">
        <v>9.8800000000000008</v>
      </c>
      <c r="E231" s="23"/>
      <c r="F231" s="23"/>
      <c r="G231" s="23"/>
      <c r="H231" s="3"/>
    </row>
    <row r="232" spans="1:8" x14ac:dyDescent="0.25">
      <c r="A232" s="22">
        <v>28277</v>
      </c>
      <c r="B232" s="23"/>
      <c r="C232" s="23">
        <v>10.46</v>
      </c>
      <c r="D232" s="23">
        <v>9.8800000000000008</v>
      </c>
      <c r="E232" s="23"/>
      <c r="F232" s="23"/>
      <c r="G232" s="23"/>
      <c r="H232" s="3"/>
    </row>
    <row r="233" spans="1:8" x14ac:dyDescent="0.25">
      <c r="A233" s="22">
        <v>28307</v>
      </c>
      <c r="B233" s="23"/>
      <c r="C233" s="23">
        <v>10.46</v>
      </c>
      <c r="D233" s="23">
        <v>9.8800000000000008</v>
      </c>
      <c r="E233" s="23"/>
      <c r="F233" s="23"/>
      <c r="G233" s="23"/>
      <c r="H233" s="3"/>
    </row>
    <row r="234" spans="1:8" x14ac:dyDescent="0.25">
      <c r="A234" s="22">
        <v>28338</v>
      </c>
      <c r="B234" s="23"/>
      <c r="C234" s="23">
        <v>10.46</v>
      </c>
      <c r="D234" s="23">
        <v>9.8800000000000008</v>
      </c>
      <c r="E234" s="23"/>
      <c r="F234" s="23"/>
      <c r="G234" s="23"/>
      <c r="H234" s="3"/>
    </row>
    <row r="235" spans="1:8" x14ac:dyDescent="0.25">
      <c r="A235" s="22">
        <v>28369</v>
      </c>
      <c r="B235" s="23"/>
      <c r="C235" s="23">
        <v>10.46</v>
      </c>
      <c r="D235" s="23">
        <v>9.8800000000000008</v>
      </c>
      <c r="E235" s="23"/>
      <c r="F235" s="23"/>
      <c r="G235" s="23"/>
      <c r="H235" s="3"/>
    </row>
    <row r="236" spans="1:8" x14ac:dyDescent="0.25">
      <c r="A236" s="22">
        <v>28399</v>
      </c>
      <c r="B236" s="23"/>
      <c r="C236" s="23">
        <v>10.46</v>
      </c>
      <c r="D236" s="23">
        <v>9.8800000000000008</v>
      </c>
      <c r="E236" s="23"/>
      <c r="F236" s="23"/>
      <c r="G236" s="23"/>
      <c r="H236" s="3"/>
    </row>
    <row r="237" spans="1:8" x14ac:dyDescent="0.25">
      <c r="A237" s="22">
        <v>28430</v>
      </c>
      <c r="B237" s="23"/>
      <c r="C237" s="23">
        <v>10.46</v>
      </c>
      <c r="D237" s="23">
        <v>9.8800000000000008</v>
      </c>
      <c r="E237" s="23"/>
      <c r="F237" s="23"/>
      <c r="G237" s="23"/>
      <c r="H237" s="3"/>
    </row>
    <row r="238" spans="1:8" x14ac:dyDescent="0.25">
      <c r="A238" s="22">
        <v>28460</v>
      </c>
      <c r="B238" s="23"/>
      <c r="C238" s="23">
        <v>10.46</v>
      </c>
      <c r="D238" s="23">
        <v>9.8800000000000008</v>
      </c>
      <c r="E238" s="23"/>
      <c r="F238" s="23"/>
      <c r="G238" s="23"/>
      <c r="H238" s="3"/>
    </row>
    <row r="239" spans="1:8" x14ac:dyDescent="0.25">
      <c r="A239" s="22">
        <v>28491</v>
      </c>
      <c r="B239" s="23"/>
      <c r="C239" s="23">
        <v>10.46</v>
      </c>
      <c r="D239" s="23">
        <v>9.6300000000000008</v>
      </c>
      <c r="E239" s="23"/>
      <c r="F239" s="23"/>
      <c r="G239" s="23"/>
      <c r="H239" s="3"/>
    </row>
    <row r="240" spans="1:8" x14ac:dyDescent="0.25">
      <c r="A240" s="22">
        <v>28522</v>
      </c>
      <c r="B240" s="23"/>
      <c r="C240" s="23">
        <v>10.46</v>
      </c>
      <c r="D240" s="23">
        <v>9.3800000000000008</v>
      </c>
      <c r="E240" s="23"/>
      <c r="F240" s="23"/>
      <c r="G240" s="23"/>
      <c r="H240" s="3"/>
    </row>
    <row r="241" spans="1:8" x14ac:dyDescent="0.25">
      <c r="A241" s="22">
        <v>28550</v>
      </c>
      <c r="B241" s="23"/>
      <c r="C241" s="23">
        <v>10.46</v>
      </c>
      <c r="D241" s="23">
        <v>9.3800000000000008</v>
      </c>
      <c r="E241" s="23"/>
      <c r="F241" s="23"/>
      <c r="G241" s="23"/>
      <c r="H241" s="3"/>
    </row>
    <row r="242" spans="1:8" x14ac:dyDescent="0.25">
      <c r="A242" s="22">
        <v>28581</v>
      </c>
      <c r="B242" s="23"/>
      <c r="C242" s="23">
        <v>10.46</v>
      </c>
      <c r="D242" s="23">
        <v>9.3800000000000008</v>
      </c>
      <c r="E242" s="23"/>
      <c r="F242" s="23"/>
      <c r="G242" s="23"/>
      <c r="H242" s="3"/>
    </row>
    <row r="243" spans="1:8" x14ac:dyDescent="0.25">
      <c r="A243" s="22">
        <v>28611</v>
      </c>
      <c r="B243" s="23"/>
      <c r="C243" s="23">
        <v>10.46</v>
      </c>
      <c r="D243" s="23">
        <v>9.3800000000000008</v>
      </c>
      <c r="E243" s="23"/>
      <c r="F243" s="23"/>
      <c r="G243" s="23"/>
      <c r="H243" s="3"/>
    </row>
    <row r="244" spans="1:8" x14ac:dyDescent="0.25">
      <c r="A244" s="22">
        <v>28642</v>
      </c>
      <c r="B244" s="23"/>
      <c r="C244" s="23">
        <v>10.46</v>
      </c>
      <c r="D244" s="23">
        <v>9.3800000000000008</v>
      </c>
      <c r="E244" s="23"/>
      <c r="F244" s="23"/>
      <c r="G244" s="23"/>
      <c r="H244" s="3"/>
    </row>
    <row r="245" spans="1:8" x14ac:dyDescent="0.25">
      <c r="A245" s="22">
        <v>28672</v>
      </c>
      <c r="B245" s="23"/>
      <c r="C245" s="23">
        <v>10.46</v>
      </c>
      <c r="D245" s="23">
        <v>9.3800000000000008</v>
      </c>
      <c r="E245" s="23"/>
      <c r="F245" s="23"/>
      <c r="G245" s="23"/>
      <c r="H245" s="3"/>
    </row>
    <row r="246" spans="1:8" x14ac:dyDescent="0.25">
      <c r="A246" s="22">
        <v>28703</v>
      </c>
      <c r="B246" s="23"/>
      <c r="C246" s="23">
        <v>10.46</v>
      </c>
      <c r="D246" s="23">
        <v>9.3800000000000008</v>
      </c>
      <c r="E246" s="23"/>
      <c r="F246" s="23"/>
      <c r="G246" s="23"/>
      <c r="H246" s="3"/>
    </row>
    <row r="247" spans="1:8" x14ac:dyDescent="0.25">
      <c r="A247" s="22">
        <v>28734</v>
      </c>
      <c r="B247" s="23"/>
      <c r="C247" s="23">
        <v>10.46</v>
      </c>
      <c r="D247" s="23">
        <v>9.3800000000000008</v>
      </c>
      <c r="E247" s="23"/>
      <c r="F247" s="23"/>
      <c r="G247" s="23"/>
      <c r="H247" s="3"/>
    </row>
    <row r="248" spans="1:8" x14ac:dyDescent="0.25">
      <c r="A248" s="22">
        <v>28764</v>
      </c>
      <c r="B248" s="23"/>
      <c r="C248" s="23">
        <v>10.46</v>
      </c>
      <c r="D248" s="23">
        <v>9.3800000000000008</v>
      </c>
      <c r="E248" s="23"/>
      <c r="F248" s="23"/>
      <c r="G248" s="23"/>
      <c r="H248" s="3"/>
    </row>
    <row r="249" spans="1:8" x14ac:dyDescent="0.25">
      <c r="A249" s="22">
        <v>28795</v>
      </c>
      <c r="B249" s="23"/>
      <c r="C249" s="23">
        <v>10.34</v>
      </c>
      <c r="D249" s="23">
        <v>9.3800000000000008</v>
      </c>
      <c r="E249" s="23"/>
      <c r="F249" s="23"/>
      <c r="G249" s="23"/>
      <c r="H249" s="3"/>
    </row>
    <row r="250" spans="1:8" x14ac:dyDescent="0.25">
      <c r="A250" s="22">
        <v>28825</v>
      </c>
      <c r="B250" s="23"/>
      <c r="C250" s="23">
        <v>9.9600000000000009</v>
      </c>
      <c r="D250" s="23">
        <v>9.1300000000000008</v>
      </c>
      <c r="E250" s="23"/>
      <c r="F250" s="23"/>
      <c r="G250" s="23"/>
      <c r="H250" s="3"/>
    </row>
    <row r="251" spans="1:8" x14ac:dyDescent="0.25">
      <c r="A251" s="22">
        <v>28856</v>
      </c>
      <c r="B251" s="23"/>
      <c r="C251" s="23">
        <v>9.9600000000000009</v>
      </c>
      <c r="D251" s="23">
        <v>9.1300000000000008</v>
      </c>
      <c r="E251" s="23"/>
      <c r="F251" s="23"/>
      <c r="G251" s="23"/>
      <c r="H251" s="3"/>
    </row>
    <row r="252" spans="1:8" x14ac:dyDescent="0.25">
      <c r="A252" s="22">
        <v>28887</v>
      </c>
      <c r="B252" s="23"/>
      <c r="C252" s="23">
        <v>9.9600000000000009</v>
      </c>
      <c r="D252" s="23">
        <v>9.1300000000000008</v>
      </c>
      <c r="E252" s="23"/>
      <c r="F252" s="23"/>
      <c r="G252" s="23"/>
      <c r="H252" s="3"/>
    </row>
    <row r="253" spans="1:8" x14ac:dyDescent="0.25">
      <c r="A253" s="22">
        <v>28915</v>
      </c>
      <c r="B253" s="23"/>
      <c r="C253" s="23">
        <v>9.9600000000000009</v>
      </c>
      <c r="D253" s="23">
        <v>9.1300000000000008</v>
      </c>
      <c r="E253" s="23"/>
      <c r="F253" s="23"/>
      <c r="G253" s="23"/>
      <c r="H253" s="3"/>
    </row>
    <row r="254" spans="1:8" x14ac:dyDescent="0.25">
      <c r="A254" s="22">
        <v>28946</v>
      </c>
      <c r="B254" s="23"/>
      <c r="C254" s="23">
        <v>9.9600000000000009</v>
      </c>
      <c r="D254" s="23">
        <v>9.1300000000000008</v>
      </c>
      <c r="E254" s="23"/>
      <c r="F254" s="23"/>
      <c r="G254" s="23"/>
      <c r="H254" s="3"/>
    </row>
    <row r="255" spans="1:8" x14ac:dyDescent="0.25">
      <c r="A255" s="22">
        <v>28976</v>
      </c>
      <c r="B255" s="23"/>
      <c r="C255" s="23">
        <v>9.9600000000000009</v>
      </c>
      <c r="D255" s="23">
        <v>9.1300000000000008</v>
      </c>
      <c r="E255" s="23"/>
      <c r="F255" s="23"/>
      <c r="G255" s="23"/>
      <c r="H255" s="3"/>
    </row>
    <row r="256" spans="1:8" x14ac:dyDescent="0.25">
      <c r="A256" s="22">
        <v>29007</v>
      </c>
      <c r="B256" s="23"/>
      <c r="C256" s="23">
        <v>9.9600000000000009</v>
      </c>
      <c r="D256" s="23">
        <v>9.1300000000000008</v>
      </c>
      <c r="E256" s="23"/>
      <c r="F256" s="23"/>
      <c r="G256" s="23"/>
      <c r="H256" s="3"/>
    </row>
    <row r="257" spans="1:8" x14ac:dyDescent="0.25">
      <c r="A257" s="22">
        <v>29037</v>
      </c>
      <c r="B257" s="23"/>
      <c r="C257" s="23">
        <v>9.9600000000000009</v>
      </c>
      <c r="D257" s="23">
        <v>9.1300000000000008</v>
      </c>
      <c r="E257" s="23"/>
      <c r="F257" s="23"/>
      <c r="G257" s="23"/>
      <c r="H257" s="3"/>
    </row>
    <row r="258" spans="1:8" x14ac:dyDescent="0.25">
      <c r="A258" s="22">
        <v>29068</v>
      </c>
      <c r="B258" s="23"/>
      <c r="C258" s="23">
        <v>9.9600000000000009</v>
      </c>
      <c r="D258" s="23">
        <v>9.1300000000000008</v>
      </c>
      <c r="E258" s="23"/>
      <c r="F258" s="23"/>
      <c r="G258" s="23"/>
      <c r="H258" s="3"/>
    </row>
    <row r="259" spans="1:8" x14ac:dyDescent="0.25">
      <c r="A259" s="22">
        <v>29099</v>
      </c>
      <c r="B259" s="23"/>
      <c r="C259" s="23">
        <v>9.9600000000000009</v>
      </c>
      <c r="D259" s="23">
        <v>9.1300000000000008</v>
      </c>
      <c r="E259" s="23"/>
      <c r="F259" s="23"/>
      <c r="G259" s="23"/>
      <c r="H259" s="3"/>
    </row>
    <row r="260" spans="1:8" x14ac:dyDescent="0.25">
      <c r="A260" s="22">
        <v>29129</v>
      </c>
      <c r="B260" s="23"/>
      <c r="C260" s="23">
        <v>9.9600000000000009</v>
      </c>
      <c r="D260" s="23">
        <v>9.1300000000000008</v>
      </c>
      <c r="E260" s="23"/>
      <c r="F260" s="23"/>
      <c r="G260" s="23"/>
      <c r="H260" s="3"/>
    </row>
    <row r="261" spans="1:8" x14ac:dyDescent="0.25">
      <c r="A261" s="22">
        <v>29160</v>
      </c>
      <c r="B261" s="23"/>
      <c r="C261" s="23">
        <v>9.9600000000000009</v>
      </c>
      <c r="D261" s="23">
        <v>9.1300000000000008</v>
      </c>
      <c r="E261" s="23"/>
      <c r="F261" s="23"/>
      <c r="G261" s="23"/>
      <c r="H261" s="3"/>
    </row>
    <row r="262" spans="1:8" x14ac:dyDescent="0.25">
      <c r="A262" s="22">
        <v>29190</v>
      </c>
      <c r="B262" s="23"/>
      <c r="C262" s="23">
        <v>9.9600000000000009</v>
      </c>
      <c r="D262" s="23">
        <v>9.1300000000000008</v>
      </c>
      <c r="E262" s="23"/>
      <c r="F262" s="23"/>
      <c r="G262" s="23"/>
      <c r="H262" s="3"/>
    </row>
    <row r="263" spans="1:8" x14ac:dyDescent="0.25">
      <c r="A263" s="22">
        <v>29221</v>
      </c>
      <c r="B263" s="23"/>
      <c r="C263" s="23">
        <v>9.9600000000000009</v>
      </c>
      <c r="D263" s="23">
        <v>9.1300000000000008</v>
      </c>
      <c r="E263" s="23"/>
      <c r="F263" s="23"/>
      <c r="G263" s="23"/>
      <c r="H263" s="3"/>
    </row>
    <row r="264" spans="1:8" x14ac:dyDescent="0.25">
      <c r="A264" s="22">
        <v>29252</v>
      </c>
      <c r="B264" s="23"/>
      <c r="C264" s="23">
        <v>9.9600000000000009</v>
      </c>
      <c r="D264" s="23">
        <v>9.1300000000000008</v>
      </c>
      <c r="E264" s="23"/>
      <c r="F264" s="23"/>
      <c r="G264" s="23"/>
      <c r="H264" s="3"/>
    </row>
    <row r="265" spans="1:8" x14ac:dyDescent="0.25">
      <c r="A265" s="22">
        <v>29281</v>
      </c>
      <c r="B265" s="23"/>
      <c r="C265" s="23">
        <v>10.34</v>
      </c>
      <c r="D265" s="23">
        <v>9.6300000000000008</v>
      </c>
      <c r="E265" s="23"/>
      <c r="F265" s="23"/>
      <c r="G265" s="23"/>
      <c r="H265" s="3"/>
    </row>
    <row r="266" spans="1:8" x14ac:dyDescent="0.25">
      <c r="A266" s="22">
        <v>29312</v>
      </c>
      <c r="B266" s="23"/>
      <c r="C266" s="23">
        <v>10.46</v>
      </c>
      <c r="D266" s="23">
        <v>9.8800000000000008</v>
      </c>
      <c r="E266" s="23"/>
      <c r="F266" s="23"/>
      <c r="G266" s="23"/>
      <c r="H266" s="3"/>
    </row>
    <row r="267" spans="1:8" x14ac:dyDescent="0.25">
      <c r="A267" s="22">
        <v>29342</v>
      </c>
      <c r="B267" s="23"/>
      <c r="C267" s="23">
        <v>10.46</v>
      </c>
      <c r="D267" s="23">
        <v>9.8800000000000008</v>
      </c>
      <c r="E267" s="23"/>
      <c r="F267" s="23"/>
      <c r="G267" s="23"/>
      <c r="H267" s="3"/>
    </row>
    <row r="268" spans="1:8" x14ac:dyDescent="0.25">
      <c r="A268" s="22">
        <v>29373</v>
      </c>
      <c r="B268" s="23"/>
      <c r="C268" s="23">
        <v>10.46</v>
      </c>
      <c r="D268" s="23">
        <v>9.8800000000000008</v>
      </c>
      <c r="E268" s="23"/>
      <c r="F268" s="23"/>
      <c r="G268" s="23"/>
      <c r="H268" s="3"/>
    </row>
    <row r="269" spans="1:8" x14ac:dyDescent="0.25">
      <c r="A269" s="22">
        <v>29403</v>
      </c>
      <c r="B269" s="23"/>
      <c r="C269" s="23">
        <v>10.46</v>
      </c>
      <c r="D269" s="23">
        <v>10.25</v>
      </c>
      <c r="E269" s="23"/>
      <c r="F269" s="23"/>
      <c r="G269" s="23"/>
      <c r="H269" s="3"/>
    </row>
    <row r="270" spans="1:8" x14ac:dyDescent="0.25">
      <c r="A270" s="22">
        <v>29434</v>
      </c>
      <c r="B270" s="23"/>
      <c r="C270" s="23">
        <v>10.46</v>
      </c>
      <c r="D270" s="23">
        <v>10.25</v>
      </c>
      <c r="E270" s="23"/>
      <c r="F270" s="23"/>
      <c r="G270" s="23"/>
      <c r="H270" s="3"/>
    </row>
    <row r="271" spans="1:8" x14ac:dyDescent="0.25">
      <c r="A271" s="22">
        <v>29465</v>
      </c>
      <c r="B271" s="23"/>
      <c r="C271" s="23">
        <v>10.46</v>
      </c>
      <c r="D271" s="23">
        <v>10.25</v>
      </c>
      <c r="E271" s="23"/>
      <c r="F271" s="23"/>
      <c r="G271" s="23"/>
      <c r="H271" s="3"/>
    </row>
    <row r="272" spans="1:8" x14ac:dyDescent="0.25">
      <c r="A272" s="22">
        <v>29495</v>
      </c>
      <c r="B272" s="23"/>
      <c r="C272" s="23">
        <v>10.46</v>
      </c>
      <c r="D272" s="23">
        <v>10.25</v>
      </c>
      <c r="E272" s="23"/>
      <c r="F272" s="23"/>
      <c r="G272" s="23"/>
      <c r="H272" s="3"/>
    </row>
    <row r="273" spans="1:8" x14ac:dyDescent="0.25">
      <c r="A273" s="22">
        <v>29526</v>
      </c>
      <c r="B273" s="23"/>
      <c r="C273" s="23">
        <v>10.46</v>
      </c>
      <c r="D273" s="23">
        <v>10.25</v>
      </c>
      <c r="E273" s="23"/>
      <c r="F273" s="23"/>
      <c r="G273" s="23"/>
      <c r="H273" s="3"/>
    </row>
    <row r="274" spans="1:8" x14ac:dyDescent="0.25">
      <c r="A274" s="22">
        <v>29556</v>
      </c>
      <c r="B274" s="23"/>
      <c r="C274" s="23">
        <v>11.95</v>
      </c>
      <c r="D274" s="23">
        <v>11</v>
      </c>
      <c r="E274" s="23"/>
      <c r="F274" s="23"/>
      <c r="G274" s="23"/>
      <c r="H274" s="3"/>
    </row>
    <row r="275" spans="1:8" x14ac:dyDescent="0.25">
      <c r="A275" s="22">
        <v>29587</v>
      </c>
      <c r="B275" s="23"/>
      <c r="C275" s="23">
        <v>11.95</v>
      </c>
      <c r="D275" s="23">
        <v>11.5</v>
      </c>
      <c r="E275" s="23"/>
      <c r="F275" s="23"/>
      <c r="G275" s="23"/>
      <c r="H275" s="3"/>
    </row>
    <row r="276" spans="1:8" x14ac:dyDescent="0.25">
      <c r="A276" s="22">
        <v>29618</v>
      </c>
      <c r="B276" s="23"/>
      <c r="C276" s="23">
        <v>11.95</v>
      </c>
      <c r="D276" s="23">
        <v>11.5</v>
      </c>
      <c r="E276" s="23"/>
      <c r="F276" s="23"/>
      <c r="G276" s="23"/>
      <c r="H276" s="3"/>
    </row>
    <row r="277" spans="1:8" x14ac:dyDescent="0.25">
      <c r="A277" s="22">
        <v>29646</v>
      </c>
      <c r="B277" s="23"/>
      <c r="C277" s="23">
        <v>12.2</v>
      </c>
      <c r="D277" s="23">
        <v>11.5</v>
      </c>
      <c r="E277" s="23"/>
      <c r="F277" s="23"/>
      <c r="G277" s="23"/>
      <c r="H277" s="3"/>
    </row>
    <row r="278" spans="1:8" x14ac:dyDescent="0.25">
      <c r="A278" s="22">
        <v>29677</v>
      </c>
      <c r="B278" s="23"/>
      <c r="C278" s="23">
        <v>12.38</v>
      </c>
      <c r="D278" s="23">
        <v>11.5</v>
      </c>
      <c r="E278" s="23"/>
      <c r="F278" s="23"/>
      <c r="G278" s="23"/>
      <c r="H278" s="3"/>
    </row>
    <row r="279" spans="1:8" x14ac:dyDescent="0.25">
      <c r="A279" s="22">
        <v>29707</v>
      </c>
      <c r="B279" s="23"/>
      <c r="C279" s="23">
        <v>12.38</v>
      </c>
      <c r="D279" s="23">
        <v>11.5</v>
      </c>
      <c r="E279" s="23"/>
      <c r="F279" s="23"/>
      <c r="G279" s="23"/>
      <c r="H279" s="3"/>
    </row>
    <row r="280" spans="1:8" x14ac:dyDescent="0.25">
      <c r="A280" s="22">
        <v>29738</v>
      </c>
      <c r="B280" s="23"/>
      <c r="C280" s="23">
        <v>12.38</v>
      </c>
      <c r="D280" s="23">
        <v>11.5</v>
      </c>
      <c r="E280" s="23"/>
      <c r="F280" s="23"/>
      <c r="G280" s="23"/>
      <c r="H280" s="3"/>
    </row>
    <row r="281" spans="1:8" x14ac:dyDescent="0.25">
      <c r="A281" s="22">
        <v>29768</v>
      </c>
      <c r="B281" s="23"/>
      <c r="C281" s="23">
        <v>12.46</v>
      </c>
      <c r="D281" s="23">
        <v>11.5</v>
      </c>
      <c r="E281" s="23"/>
      <c r="F281" s="23"/>
      <c r="G281" s="23"/>
      <c r="H281" s="3"/>
    </row>
    <row r="282" spans="1:8" x14ac:dyDescent="0.25">
      <c r="A282" s="22">
        <v>29799</v>
      </c>
      <c r="B282" s="23"/>
      <c r="C282" s="23">
        <v>13.46</v>
      </c>
      <c r="D282" s="23">
        <v>12</v>
      </c>
      <c r="E282" s="23"/>
      <c r="F282" s="23"/>
      <c r="G282" s="23"/>
      <c r="H282" s="3"/>
    </row>
    <row r="283" spans="1:8" x14ac:dyDescent="0.25">
      <c r="A283" s="22">
        <v>29830</v>
      </c>
      <c r="B283" s="23"/>
      <c r="C283" s="23">
        <v>13.46</v>
      </c>
      <c r="D283" s="23">
        <v>12</v>
      </c>
      <c r="E283" s="23"/>
      <c r="F283" s="23"/>
      <c r="G283" s="23"/>
      <c r="H283" s="3"/>
    </row>
    <row r="284" spans="1:8" x14ac:dyDescent="0.25">
      <c r="A284" s="22">
        <v>29860</v>
      </c>
      <c r="B284" s="23"/>
      <c r="C284" s="23">
        <v>13.46</v>
      </c>
      <c r="D284" s="23">
        <v>12.5</v>
      </c>
      <c r="E284" s="23"/>
      <c r="F284" s="23"/>
      <c r="G284" s="23"/>
      <c r="H284" s="3"/>
    </row>
    <row r="285" spans="1:8" x14ac:dyDescent="0.25">
      <c r="A285" s="22">
        <v>29891</v>
      </c>
      <c r="B285" s="23"/>
      <c r="C285" s="23">
        <v>13.46</v>
      </c>
      <c r="D285" s="23">
        <v>12.5</v>
      </c>
      <c r="E285" s="23"/>
      <c r="F285" s="23"/>
      <c r="G285" s="23"/>
      <c r="H285" s="3"/>
    </row>
    <row r="286" spans="1:8" x14ac:dyDescent="0.25">
      <c r="A286" s="22">
        <v>29921</v>
      </c>
      <c r="B286" s="23"/>
      <c r="C286" s="23">
        <v>13.46</v>
      </c>
      <c r="D286" s="23">
        <v>12.5</v>
      </c>
      <c r="E286" s="23"/>
      <c r="F286" s="23"/>
      <c r="G286" s="23"/>
      <c r="H286" s="3"/>
    </row>
    <row r="287" spans="1:8" x14ac:dyDescent="0.25">
      <c r="A287" s="22">
        <v>29952</v>
      </c>
      <c r="B287" s="23"/>
      <c r="C287" s="23">
        <v>13.46</v>
      </c>
      <c r="D287" s="23">
        <v>12.5</v>
      </c>
      <c r="E287" s="23"/>
      <c r="F287" s="23"/>
      <c r="G287" s="23"/>
      <c r="H287" s="3"/>
    </row>
    <row r="288" spans="1:8" x14ac:dyDescent="0.25">
      <c r="A288" s="22">
        <v>29983</v>
      </c>
      <c r="B288" s="23"/>
      <c r="C288" s="23">
        <v>13.46</v>
      </c>
      <c r="D288" s="23">
        <v>12.5</v>
      </c>
      <c r="E288" s="23"/>
      <c r="F288" s="23"/>
      <c r="G288" s="23"/>
      <c r="H288" s="3"/>
    </row>
    <row r="289" spans="1:8" x14ac:dyDescent="0.25">
      <c r="A289" s="22">
        <v>30011</v>
      </c>
      <c r="B289" s="23"/>
      <c r="C289" s="23">
        <v>14.21</v>
      </c>
      <c r="D289" s="23">
        <v>13</v>
      </c>
      <c r="E289" s="23"/>
      <c r="F289" s="23"/>
      <c r="G289" s="23"/>
      <c r="H289" s="3"/>
    </row>
    <row r="290" spans="1:8" x14ac:dyDescent="0.25">
      <c r="A290" s="22">
        <v>30042</v>
      </c>
      <c r="B290" s="23"/>
      <c r="C290" s="23">
        <v>14.46</v>
      </c>
      <c r="D290" s="23">
        <v>13.5</v>
      </c>
      <c r="E290" s="23"/>
      <c r="F290" s="23"/>
      <c r="G290" s="23"/>
      <c r="H290" s="3"/>
    </row>
    <row r="291" spans="1:8" x14ac:dyDescent="0.25">
      <c r="A291" s="22">
        <v>30072</v>
      </c>
      <c r="B291" s="23"/>
      <c r="C291" s="23">
        <v>14.46</v>
      </c>
      <c r="D291" s="23">
        <v>13.5</v>
      </c>
      <c r="E291" s="23"/>
      <c r="F291" s="23"/>
      <c r="G291" s="23"/>
      <c r="H291" s="3"/>
    </row>
    <row r="292" spans="1:8" x14ac:dyDescent="0.25">
      <c r="A292" s="22">
        <v>30103</v>
      </c>
      <c r="B292" s="23"/>
      <c r="C292" s="23">
        <v>14.46</v>
      </c>
      <c r="D292" s="23">
        <v>13.5</v>
      </c>
      <c r="E292" s="23"/>
      <c r="F292" s="23"/>
      <c r="G292" s="23"/>
      <c r="H292" s="3"/>
    </row>
    <row r="293" spans="1:8" x14ac:dyDescent="0.25">
      <c r="A293" s="22">
        <v>30133</v>
      </c>
      <c r="B293" s="23"/>
      <c r="C293" s="23">
        <v>14.46</v>
      </c>
      <c r="D293" s="23">
        <v>13.5</v>
      </c>
      <c r="E293" s="23"/>
      <c r="F293" s="23"/>
      <c r="G293" s="23"/>
      <c r="H293" s="3"/>
    </row>
    <row r="294" spans="1:8" x14ac:dyDescent="0.25">
      <c r="A294" s="22">
        <v>30164</v>
      </c>
      <c r="B294" s="23"/>
      <c r="C294" s="23">
        <v>14.46</v>
      </c>
      <c r="D294" s="23">
        <v>13.5</v>
      </c>
      <c r="E294" s="23"/>
      <c r="F294" s="23"/>
      <c r="G294" s="23"/>
      <c r="H294" s="3"/>
    </row>
    <row r="295" spans="1:8" x14ac:dyDescent="0.25">
      <c r="A295" s="22">
        <v>30195</v>
      </c>
      <c r="B295" s="23"/>
      <c r="C295" s="23">
        <v>14.46</v>
      </c>
      <c r="D295" s="23">
        <v>13.5</v>
      </c>
      <c r="E295" s="23"/>
      <c r="F295" s="23"/>
      <c r="G295" s="23"/>
      <c r="H295" s="3"/>
    </row>
    <row r="296" spans="1:8" x14ac:dyDescent="0.25">
      <c r="A296" s="22">
        <v>30225</v>
      </c>
      <c r="B296" s="23"/>
      <c r="C296" s="23">
        <v>14.46</v>
      </c>
      <c r="D296" s="23">
        <v>13.5</v>
      </c>
      <c r="E296" s="23"/>
      <c r="F296" s="23"/>
      <c r="G296" s="23"/>
      <c r="H296" s="3"/>
    </row>
    <row r="297" spans="1:8" x14ac:dyDescent="0.25">
      <c r="A297" s="22">
        <v>30256</v>
      </c>
      <c r="B297" s="23"/>
      <c r="C297" s="23">
        <v>14.46</v>
      </c>
      <c r="D297" s="23">
        <v>13.5</v>
      </c>
      <c r="E297" s="23"/>
      <c r="F297" s="23"/>
      <c r="G297" s="23"/>
      <c r="H297" s="3"/>
    </row>
    <row r="298" spans="1:8" x14ac:dyDescent="0.25">
      <c r="A298" s="22">
        <v>30286</v>
      </c>
      <c r="B298" s="23"/>
      <c r="C298" s="23">
        <v>14.46</v>
      </c>
      <c r="D298" s="23">
        <v>13.5</v>
      </c>
      <c r="E298" s="23"/>
      <c r="F298" s="23"/>
      <c r="G298" s="23"/>
      <c r="H298" s="3"/>
    </row>
    <row r="299" spans="1:8" x14ac:dyDescent="0.25">
      <c r="A299" s="22">
        <v>30317</v>
      </c>
      <c r="B299" s="23"/>
      <c r="C299" s="23">
        <v>13.96</v>
      </c>
      <c r="D299" s="23">
        <v>13.5</v>
      </c>
      <c r="E299" s="23"/>
      <c r="F299" s="23"/>
      <c r="G299" s="23"/>
      <c r="H299" s="3"/>
    </row>
    <row r="300" spans="1:8" x14ac:dyDescent="0.25">
      <c r="A300" s="22">
        <v>30348</v>
      </c>
      <c r="B300" s="23"/>
      <c r="C300" s="23">
        <v>13.82</v>
      </c>
      <c r="D300" s="23">
        <v>12.5</v>
      </c>
      <c r="E300" s="23"/>
      <c r="F300" s="23"/>
      <c r="G300" s="23"/>
      <c r="H300" s="3"/>
    </row>
    <row r="301" spans="1:8" x14ac:dyDescent="0.25">
      <c r="A301" s="22">
        <v>30376</v>
      </c>
      <c r="B301" s="23"/>
      <c r="C301" s="23">
        <v>13.82</v>
      </c>
      <c r="D301" s="23">
        <v>12.5</v>
      </c>
      <c r="E301" s="23"/>
      <c r="F301" s="23"/>
      <c r="G301" s="23"/>
      <c r="H301" s="3"/>
    </row>
    <row r="302" spans="1:8" x14ac:dyDescent="0.25">
      <c r="A302" s="22">
        <v>30407</v>
      </c>
      <c r="B302" s="23"/>
      <c r="C302" s="23">
        <v>13.82</v>
      </c>
      <c r="D302" s="23">
        <v>12.5</v>
      </c>
      <c r="E302" s="23"/>
      <c r="F302" s="23"/>
      <c r="G302" s="23"/>
      <c r="H302" s="3"/>
    </row>
    <row r="303" spans="1:8" x14ac:dyDescent="0.25">
      <c r="A303" s="22">
        <v>30437</v>
      </c>
      <c r="B303" s="23"/>
      <c r="C303" s="23">
        <v>13.82</v>
      </c>
      <c r="D303" s="23">
        <v>12.5</v>
      </c>
      <c r="E303" s="23"/>
      <c r="F303" s="23"/>
      <c r="G303" s="23"/>
      <c r="H303" s="3"/>
    </row>
    <row r="304" spans="1:8" x14ac:dyDescent="0.25">
      <c r="A304" s="22">
        <v>30468</v>
      </c>
      <c r="B304" s="23"/>
      <c r="C304" s="23">
        <v>13.82</v>
      </c>
      <c r="D304" s="23">
        <v>12.5</v>
      </c>
      <c r="E304" s="23"/>
      <c r="F304" s="23"/>
      <c r="G304" s="23"/>
      <c r="H304" s="3"/>
    </row>
    <row r="305" spans="1:8" x14ac:dyDescent="0.25">
      <c r="A305" s="22">
        <v>30498</v>
      </c>
      <c r="B305" s="23"/>
      <c r="C305" s="23">
        <v>13.82</v>
      </c>
      <c r="D305" s="23">
        <v>12.5</v>
      </c>
      <c r="E305" s="23"/>
      <c r="F305" s="23"/>
      <c r="G305" s="23"/>
      <c r="H305" s="3"/>
    </row>
    <row r="306" spans="1:8" x14ac:dyDescent="0.25">
      <c r="A306" s="22">
        <v>30529</v>
      </c>
      <c r="B306" s="23"/>
      <c r="C306" s="23">
        <v>13.82</v>
      </c>
      <c r="D306" s="23">
        <v>12.5</v>
      </c>
      <c r="E306" s="23"/>
      <c r="F306" s="23"/>
      <c r="G306" s="23"/>
      <c r="H306" s="3"/>
    </row>
    <row r="307" spans="1:8" x14ac:dyDescent="0.25">
      <c r="A307" s="22">
        <v>30560</v>
      </c>
      <c r="B307" s="23"/>
      <c r="C307" s="23">
        <v>13.82</v>
      </c>
      <c r="D307" s="23">
        <v>12</v>
      </c>
      <c r="E307" s="23"/>
      <c r="F307" s="23"/>
      <c r="G307" s="23"/>
      <c r="H307" s="3"/>
    </row>
    <row r="308" spans="1:8" x14ac:dyDescent="0.25">
      <c r="A308" s="22">
        <v>30590</v>
      </c>
      <c r="B308" s="23"/>
      <c r="C308" s="23">
        <v>13.82</v>
      </c>
      <c r="D308" s="23">
        <v>12</v>
      </c>
      <c r="E308" s="23"/>
      <c r="F308" s="23"/>
      <c r="G308" s="23"/>
      <c r="H308" s="3"/>
    </row>
    <row r="309" spans="1:8" x14ac:dyDescent="0.25">
      <c r="A309" s="22">
        <v>30621</v>
      </c>
      <c r="B309" s="23"/>
      <c r="C309" s="23">
        <v>13.82</v>
      </c>
      <c r="D309" s="23">
        <v>12</v>
      </c>
      <c r="E309" s="23"/>
      <c r="F309" s="23"/>
      <c r="G309" s="23"/>
      <c r="H309" s="3"/>
    </row>
    <row r="310" spans="1:8" x14ac:dyDescent="0.25">
      <c r="A310" s="22">
        <v>30651</v>
      </c>
      <c r="B310" s="23"/>
      <c r="C310" s="23">
        <v>13.82</v>
      </c>
      <c r="D310" s="23">
        <v>12</v>
      </c>
      <c r="E310" s="23"/>
      <c r="F310" s="23"/>
      <c r="G310" s="23"/>
      <c r="H310" s="3"/>
    </row>
    <row r="311" spans="1:8" x14ac:dyDescent="0.25">
      <c r="A311" s="22">
        <v>30682</v>
      </c>
      <c r="B311" s="23"/>
      <c r="C311" s="23">
        <v>13.7</v>
      </c>
      <c r="D311" s="23">
        <v>11.5</v>
      </c>
      <c r="E311" s="23"/>
      <c r="F311" s="23"/>
      <c r="G311" s="23"/>
      <c r="H311" s="3"/>
    </row>
    <row r="312" spans="1:8" x14ac:dyDescent="0.25">
      <c r="A312" s="22">
        <v>30713</v>
      </c>
      <c r="B312" s="23"/>
      <c r="C312" s="23">
        <v>13.7</v>
      </c>
      <c r="D312" s="23">
        <v>11.5</v>
      </c>
      <c r="E312" s="23"/>
      <c r="F312" s="23"/>
      <c r="G312" s="23"/>
      <c r="H312" s="3"/>
    </row>
    <row r="313" spans="1:8" x14ac:dyDescent="0.25">
      <c r="A313" s="22">
        <v>30742</v>
      </c>
      <c r="B313" s="23"/>
      <c r="C313" s="23">
        <v>13.82</v>
      </c>
      <c r="D313" s="23">
        <v>11.5</v>
      </c>
      <c r="E313" s="23"/>
      <c r="F313" s="23"/>
      <c r="G313" s="23"/>
      <c r="H313" s="3"/>
    </row>
    <row r="314" spans="1:8" x14ac:dyDescent="0.25">
      <c r="A314" s="22">
        <v>30773</v>
      </c>
      <c r="B314" s="23"/>
      <c r="C314" s="23">
        <v>13.82</v>
      </c>
      <c r="D314" s="23">
        <v>11.5</v>
      </c>
      <c r="E314" s="23"/>
      <c r="F314" s="23"/>
      <c r="G314" s="23"/>
      <c r="H314" s="3"/>
    </row>
    <row r="315" spans="1:8" x14ac:dyDescent="0.25">
      <c r="A315" s="22">
        <v>30803</v>
      </c>
      <c r="B315" s="23"/>
      <c r="C315" s="23">
        <v>13.82</v>
      </c>
      <c r="D315" s="23">
        <v>11.5</v>
      </c>
      <c r="E315" s="23"/>
      <c r="F315" s="23"/>
      <c r="G315" s="23"/>
      <c r="H315" s="3"/>
    </row>
    <row r="316" spans="1:8" x14ac:dyDescent="0.25">
      <c r="A316" s="22">
        <v>30834</v>
      </c>
      <c r="B316" s="23"/>
      <c r="C316" s="23">
        <v>13.82</v>
      </c>
      <c r="D316" s="23">
        <v>11.5</v>
      </c>
      <c r="E316" s="23"/>
      <c r="F316" s="23"/>
      <c r="G316" s="23"/>
      <c r="H316" s="3"/>
    </row>
    <row r="317" spans="1:8" x14ac:dyDescent="0.25">
      <c r="A317" s="22">
        <v>30864</v>
      </c>
      <c r="B317" s="23"/>
      <c r="C317" s="23">
        <v>13.82</v>
      </c>
      <c r="D317" s="23">
        <v>11.5</v>
      </c>
      <c r="E317" s="23"/>
      <c r="F317" s="23"/>
      <c r="G317" s="23"/>
      <c r="H317" s="3"/>
    </row>
    <row r="318" spans="1:8" x14ac:dyDescent="0.25">
      <c r="A318" s="22">
        <v>30895</v>
      </c>
      <c r="B318" s="23"/>
      <c r="C318" s="23">
        <v>13.82</v>
      </c>
      <c r="D318" s="23">
        <v>11.5</v>
      </c>
      <c r="E318" s="23"/>
      <c r="F318" s="23"/>
      <c r="G318" s="23"/>
      <c r="H318" s="3"/>
    </row>
    <row r="319" spans="1:8" x14ac:dyDescent="0.25">
      <c r="A319" s="22">
        <v>30926</v>
      </c>
      <c r="B319" s="23"/>
      <c r="C319" s="23">
        <v>13.82</v>
      </c>
      <c r="D319" s="23">
        <v>11.5</v>
      </c>
      <c r="E319" s="23"/>
      <c r="F319" s="23"/>
      <c r="G319" s="23"/>
      <c r="H319" s="3"/>
    </row>
    <row r="320" spans="1:8" x14ac:dyDescent="0.25">
      <c r="A320" s="22">
        <v>30956</v>
      </c>
      <c r="B320" s="23"/>
      <c r="C320" s="23">
        <v>13.82</v>
      </c>
      <c r="D320" s="23">
        <v>11.5</v>
      </c>
      <c r="E320" s="23"/>
      <c r="F320" s="23"/>
      <c r="G320" s="23"/>
      <c r="H320" s="3"/>
    </row>
    <row r="321" spans="1:8" x14ac:dyDescent="0.25">
      <c r="A321" s="22">
        <v>30987</v>
      </c>
      <c r="B321" s="23"/>
      <c r="C321" s="23">
        <v>13.82</v>
      </c>
      <c r="D321" s="23">
        <v>11.5</v>
      </c>
      <c r="E321" s="23"/>
      <c r="F321" s="23"/>
      <c r="G321" s="23"/>
      <c r="H321" s="3"/>
    </row>
    <row r="322" spans="1:8" x14ac:dyDescent="0.25">
      <c r="A322" s="22">
        <v>31017</v>
      </c>
      <c r="B322" s="23"/>
      <c r="C322" s="23">
        <v>13.82</v>
      </c>
      <c r="D322" s="23">
        <v>11.5</v>
      </c>
      <c r="E322" s="23"/>
      <c r="F322" s="23"/>
      <c r="G322" s="23"/>
      <c r="H322" s="3"/>
    </row>
    <row r="323" spans="1:8" x14ac:dyDescent="0.25">
      <c r="A323" s="22">
        <v>31048</v>
      </c>
      <c r="B323" s="23"/>
      <c r="C323" s="23">
        <v>13.98</v>
      </c>
      <c r="D323" s="23">
        <v>11.5</v>
      </c>
      <c r="E323" s="23"/>
      <c r="F323" s="23"/>
      <c r="G323" s="23"/>
      <c r="H323" s="3"/>
    </row>
    <row r="324" spans="1:8" x14ac:dyDescent="0.25">
      <c r="A324" s="22">
        <v>31079</v>
      </c>
      <c r="B324" s="23"/>
      <c r="C324" s="23">
        <v>13.98</v>
      </c>
      <c r="D324" s="23">
        <v>11.5</v>
      </c>
      <c r="E324" s="23"/>
      <c r="F324" s="23"/>
      <c r="G324" s="23"/>
      <c r="H324" s="3"/>
    </row>
    <row r="325" spans="1:8" x14ac:dyDescent="0.25">
      <c r="A325" s="22">
        <v>31107</v>
      </c>
      <c r="B325" s="23"/>
      <c r="C325" s="23">
        <v>14.05</v>
      </c>
      <c r="D325" s="23">
        <v>11.5</v>
      </c>
      <c r="E325" s="23"/>
      <c r="F325" s="23"/>
      <c r="G325" s="23"/>
      <c r="H325" s="3"/>
    </row>
    <row r="326" spans="1:8" x14ac:dyDescent="0.25">
      <c r="A326" s="22">
        <v>31138</v>
      </c>
      <c r="B326" s="23"/>
      <c r="C326" s="23">
        <v>14.42</v>
      </c>
      <c r="D326" s="23">
        <v>12</v>
      </c>
      <c r="E326" s="23"/>
      <c r="F326" s="23"/>
      <c r="G326" s="23"/>
      <c r="H326" s="3"/>
    </row>
    <row r="327" spans="1:8" x14ac:dyDescent="0.25">
      <c r="A327" s="22">
        <v>31168</v>
      </c>
      <c r="B327" s="23"/>
      <c r="C327" s="23">
        <v>14.48</v>
      </c>
      <c r="D327" s="23">
        <v>12</v>
      </c>
      <c r="E327" s="23"/>
      <c r="F327" s="23"/>
      <c r="G327" s="23"/>
      <c r="H327" s="3"/>
    </row>
    <row r="328" spans="1:8" x14ac:dyDescent="0.25">
      <c r="A328" s="22">
        <v>31199</v>
      </c>
      <c r="B328" s="23"/>
      <c r="C328" s="23">
        <v>15.17</v>
      </c>
      <c r="D328" s="23">
        <v>12.13</v>
      </c>
      <c r="E328" s="23"/>
      <c r="F328" s="23"/>
      <c r="G328" s="23"/>
      <c r="H328" s="3"/>
    </row>
    <row r="329" spans="1:8" x14ac:dyDescent="0.25">
      <c r="A329" s="22">
        <v>31229</v>
      </c>
      <c r="B329" s="23"/>
      <c r="C329" s="23">
        <v>15.48</v>
      </c>
      <c r="D329" s="23">
        <v>12.5</v>
      </c>
      <c r="E329" s="23"/>
      <c r="F329" s="23"/>
      <c r="G329" s="23"/>
      <c r="H329" s="3"/>
    </row>
    <row r="330" spans="1:8" x14ac:dyDescent="0.25">
      <c r="A330" s="22">
        <v>31260</v>
      </c>
      <c r="B330" s="23"/>
      <c r="C330" s="23">
        <v>15.8</v>
      </c>
      <c r="D330" s="23">
        <v>12.5</v>
      </c>
      <c r="E330" s="23"/>
      <c r="F330" s="23"/>
      <c r="G330" s="23"/>
      <c r="H330" s="3"/>
    </row>
    <row r="331" spans="1:8" x14ac:dyDescent="0.25">
      <c r="A331" s="22">
        <v>31291</v>
      </c>
      <c r="B331" s="23"/>
      <c r="C331" s="23">
        <v>16.3</v>
      </c>
      <c r="D331" s="23">
        <v>12.88</v>
      </c>
      <c r="E331" s="23"/>
      <c r="F331" s="23"/>
      <c r="G331" s="23"/>
      <c r="H331" s="3"/>
    </row>
    <row r="332" spans="1:8" x14ac:dyDescent="0.25">
      <c r="A332" s="22">
        <v>31321</v>
      </c>
      <c r="B332" s="23"/>
      <c r="C332" s="23">
        <v>16.3</v>
      </c>
      <c r="D332" s="23">
        <v>13.5</v>
      </c>
      <c r="E332" s="23"/>
      <c r="F332" s="23"/>
      <c r="G332" s="23"/>
      <c r="H332" s="3"/>
    </row>
    <row r="333" spans="1:8" x14ac:dyDescent="0.25">
      <c r="A333" s="22">
        <v>31352</v>
      </c>
      <c r="B333" s="23"/>
      <c r="C333" s="23">
        <v>16.8</v>
      </c>
      <c r="D333" s="23">
        <v>13.5</v>
      </c>
      <c r="E333" s="23"/>
      <c r="F333" s="23"/>
      <c r="G333" s="23"/>
      <c r="H333" s="3"/>
    </row>
    <row r="334" spans="1:8" x14ac:dyDescent="0.25">
      <c r="A334" s="22">
        <v>31382</v>
      </c>
      <c r="B334" s="23"/>
      <c r="C334" s="23">
        <v>18.05</v>
      </c>
      <c r="D334" s="23">
        <v>13.5</v>
      </c>
      <c r="E334" s="23"/>
      <c r="F334" s="23"/>
      <c r="G334" s="23"/>
      <c r="H334" s="3"/>
    </row>
    <row r="335" spans="1:8" x14ac:dyDescent="0.25">
      <c r="A335" s="22">
        <v>31413</v>
      </c>
      <c r="B335" s="23"/>
      <c r="C335" s="23">
        <v>18.05</v>
      </c>
      <c r="D335" s="23">
        <v>13.5</v>
      </c>
      <c r="E335" s="23"/>
      <c r="F335" s="23"/>
      <c r="G335" s="23"/>
      <c r="H335" s="3"/>
    </row>
    <row r="336" spans="1:8" x14ac:dyDescent="0.25">
      <c r="A336" s="22">
        <v>31444</v>
      </c>
      <c r="B336" s="23"/>
      <c r="C336" s="23">
        <v>18.36</v>
      </c>
      <c r="D336" s="23">
        <v>13.5</v>
      </c>
      <c r="E336" s="23"/>
      <c r="F336" s="23"/>
      <c r="G336" s="23"/>
      <c r="H336" s="3"/>
    </row>
    <row r="337" spans="1:8" x14ac:dyDescent="0.25">
      <c r="A337" s="22">
        <v>31472</v>
      </c>
      <c r="B337" s="23"/>
      <c r="C337" s="23">
        <v>18.36</v>
      </c>
      <c r="D337" s="23">
        <v>13.5</v>
      </c>
      <c r="E337" s="23"/>
      <c r="F337" s="23"/>
      <c r="G337" s="23"/>
      <c r="H337" s="3"/>
    </row>
    <row r="338" spans="1:8" x14ac:dyDescent="0.25">
      <c r="A338" s="22">
        <v>31503</v>
      </c>
      <c r="B338" s="23"/>
      <c r="C338" s="23">
        <v>18.36</v>
      </c>
      <c r="D338" s="23">
        <v>15.5</v>
      </c>
      <c r="E338" s="23"/>
      <c r="F338" s="23"/>
      <c r="G338" s="23"/>
      <c r="H338" s="3"/>
    </row>
    <row r="339" spans="1:8" x14ac:dyDescent="0.25">
      <c r="A339" s="22">
        <v>31533</v>
      </c>
      <c r="B339" s="23"/>
      <c r="C339" s="23">
        <v>17.98</v>
      </c>
      <c r="D339" s="23">
        <v>15.5</v>
      </c>
      <c r="E339" s="23"/>
      <c r="F339" s="23"/>
      <c r="G339" s="23"/>
      <c r="H339" s="3"/>
    </row>
    <row r="340" spans="1:8" x14ac:dyDescent="0.25">
      <c r="A340" s="22">
        <v>31564</v>
      </c>
      <c r="B340" s="23"/>
      <c r="C340" s="23">
        <v>17.670000000000002</v>
      </c>
      <c r="D340" s="23">
        <v>15.5</v>
      </c>
      <c r="E340" s="23"/>
      <c r="F340" s="23"/>
      <c r="G340" s="23"/>
      <c r="H340" s="3"/>
    </row>
    <row r="341" spans="1:8" x14ac:dyDescent="0.25">
      <c r="A341" s="22">
        <v>31594</v>
      </c>
      <c r="B341" s="23"/>
      <c r="C341" s="23">
        <v>17.48</v>
      </c>
      <c r="D341" s="23">
        <v>15.5</v>
      </c>
      <c r="E341" s="23"/>
      <c r="F341" s="23"/>
      <c r="G341" s="23"/>
      <c r="H341" s="3"/>
    </row>
    <row r="342" spans="1:8" x14ac:dyDescent="0.25">
      <c r="A342" s="22">
        <v>31625</v>
      </c>
      <c r="B342" s="23"/>
      <c r="C342" s="23">
        <v>18.3</v>
      </c>
      <c r="D342" s="23">
        <v>15.5</v>
      </c>
      <c r="E342" s="23"/>
      <c r="F342" s="23"/>
      <c r="G342" s="23"/>
      <c r="H342" s="3"/>
    </row>
    <row r="343" spans="1:8" x14ac:dyDescent="0.25">
      <c r="A343" s="22">
        <v>31656</v>
      </c>
      <c r="B343" s="23"/>
      <c r="C343" s="23">
        <v>18.98</v>
      </c>
      <c r="D343" s="23">
        <v>15.5</v>
      </c>
      <c r="E343" s="23"/>
      <c r="F343" s="23"/>
      <c r="G343" s="23"/>
      <c r="H343" s="3"/>
    </row>
    <row r="344" spans="1:8" x14ac:dyDescent="0.25">
      <c r="A344" s="22">
        <v>31686</v>
      </c>
      <c r="B344" s="23"/>
      <c r="C344" s="23">
        <v>18.98</v>
      </c>
      <c r="D344" s="23">
        <v>15.5</v>
      </c>
      <c r="E344" s="23"/>
      <c r="F344" s="23"/>
      <c r="G344" s="23"/>
      <c r="H344" s="3"/>
    </row>
    <row r="345" spans="1:8" x14ac:dyDescent="0.25">
      <c r="A345" s="22">
        <v>31717</v>
      </c>
      <c r="B345" s="23"/>
      <c r="C345" s="23">
        <v>18.86</v>
      </c>
      <c r="D345" s="23">
        <v>15.5</v>
      </c>
      <c r="E345" s="23"/>
      <c r="F345" s="23"/>
      <c r="G345" s="23"/>
      <c r="H345" s="3"/>
    </row>
    <row r="346" spans="1:8" x14ac:dyDescent="0.25">
      <c r="A346" s="22">
        <v>31747</v>
      </c>
      <c r="B346" s="23"/>
      <c r="C346" s="23">
        <v>18.55</v>
      </c>
      <c r="D346" s="23">
        <v>15.5</v>
      </c>
      <c r="E346" s="23"/>
      <c r="F346" s="23"/>
      <c r="G346" s="23"/>
      <c r="H346" s="3"/>
    </row>
    <row r="347" spans="1:8" x14ac:dyDescent="0.25">
      <c r="A347" s="22">
        <v>31778</v>
      </c>
      <c r="B347" s="23"/>
      <c r="C347" s="23">
        <v>18.23</v>
      </c>
      <c r="D347" s="23">
        <v>15.5</v>
      </c>
      <c r="E347" s="23"/>
      <c r="F347" s="23"/>
      <c r="G347" s="23"/>
      <c r="H347" s="3"/>
    </row>
    <row r="348" spans="1:8" x14ac:dyDescent="0.25">
      <c r="A348" s="22">
        <v>31809</v>
      </c>
      <c r="B348" s="23"/>
      <c r="C348" s="23">
        <v>18.670000000000002</v>
      </c>
      <c r="D348" s="23">
        <v>15.5</v>
      </c>
      <c r="E348" s="23"/>
      <c r="F348" s="23"/>
      <c r="G348" s="23"/>
      <c r="H348" s="3"/>
    </row>
    <row r="349" spans="1:8" x14ac:dyDescent="0.25">
      <c r="A349" s="22">
        <v>31837</v>
      </c>
      <c r="B349" s="23"/>
      <c r="C349" s="23">
        <v>18.8</v>
      </c>
      <c r="D349" s="23">
        <v>15.5</v>
      </c>
      <c r="E349" s="23"/>
      <c r="F349" s="23"/>
      <c r="G349" s="23"/>
      <c r="H349" s="3"/>
    </row>
    <row r="350" spans="1:8" x14ac:dyDescent="0.25">
      <c r="A350" s="22">
        <v>31868</v>
      </c>
      <c r="B350" s="23"/>
      <c r="C350" s="23">
        <v>18.3</v>
      </c>
      <c r="D350" s="23">
        <v>15.5</v>
      </c>
      <c r="E350" s="23"/>
      <c r="F350" s="23"/>
      <c r="G350" s="23"/>
      <c r="H350" s="3"/>
    </row>
    <row r="351" spans="1:8" x14ac:dyDescent="0.25">
      <c r="A351" s="22">
        <v>31898</v>
      </c>
      <c r="B351" s="23"/>
      <c r="C351" s="23">
        <v>17.55</v>
      </c>
      <c r="D351" s="23">
        <v>15.5</v>
      </c>
      <c r="E351" s="23"/>
      <c r="F351" s="23"/>
      <c r="G351" s="23"/>
      <c r="H351" s="3"/>
    </row>
    <row r="352" spans="1:8" x14ac:dyDescent="0.25">
      <c r="A352" s="22">
        <v>31929</v>
      </c>
      <c r="B352" s="23"/>
      <c r="C352" s="23">
        <v>17.11</v>
      </c>
      <c r="D352" s="23">
        <v>15.5</v>
      </c>
      <c r="E352" s="23"/>
      <c r="F352" s="23"/>
      <c r="G352" s="23"/>
      <c r="H352" s="3"/>
    </row>
    <row r="353" spans="1:8" x14ac:dyDescent="0.25">
      <c r="A353" s="22">
        <v>31959</v>
      </c>
      <c r="B353" s="23"/>
      <c r="C353" s="23">
        <v>16.73</v>
      </c>
      <c r="D353" s="23">
        <v>15.5</v>
      </c>
      <c r="E353" s="23"/>
      <c r="F353" s="23"/>
      <c r="G353" s="23"/>
      <c r="H353" s="3"/>
    </row>
    <row r="354" spans="1:8" x14ac:dyDescent="0.25">
      <c r="A354" s="22">
        <v>31990</v>
      </c>
      <c r="B354" s="23"/>
      <c r="C354" s="23">
        <v>16.05</v>
      </c>
      <c r="D354" s="23">
        <v>15.06</v>
      </c>
      <c r="E354" s="23"/>
      <c r="F354" s="23"/>
      <c r="G354" s="23"/>
      <c r="H354" s="3"/>
    </row>
    <row r="355" spans="1:8" x14ac:dyDescent="0.25">
      <c r="A355" s="22">
        <v>32021</v>
      </c>
      <c r="B355" s="23"/>
      <c r="C355" s="23">
        <v>15.55</v>
      </c>
      <c r="D355" s="23">
        <v>14.75</v>
      </c>
      <c r="E355" s="23"/>
      <c r="F355" s="23"/>
      <c r="G355" s="23"/>
      <c r="H355" s="3"/>
    </row>
    <row r="356" spans="1:8" x14ac:dyDescent="0.25">
      <c r="A356" s="22">
        <v>32051</v>
      </c>
      <c r="B356" s="23"/>
      <c r="C356" s="23">
        <v>14.92</v>
      </c>
      <c r="D356" s="23">
        <v>14.5</v>
      </c>
      <c r="E356" s="23"/>
      <c r="F356" s="23"/>
      <c r="G356" s="23"/>
      <c r="H356" s="3"/>
    </row>
    <row r="357" spans="1:8" x14ac:dyDescent="0.25">
      <c r="A357" s="22">
        <v>32082</v>
      </c>
      <c r="B357" s="23"/>
      <c r="C357" s="23">
        <v>14.92</v>
      </c>
      <c r="D357" s="23">
        <v>14.13</v>
      </c>
      <c r="E357" s="23"/>
      <c r="F357" s="23"/>
      <c r="G357" s="23"/>
      <c r="H357" s="3"/>
    </row>
    <row r="358" spans="1:8" x14ac:dyDescent="0.25">
      <c r="A358" s="22">
        <v>32112</v>
      </c>
      <c r="B358" s="23"/>
      <c r="C358" s="23">
        <v>14.92</v>
      </c>
      <c r="D358" s="23">
        <v>14</v>
      </c>
      <c r="E358" s="23"/>
      <c r="F358" s="23"/>
      <c r="G358" s="23"/>
      <c r="H358" s="3"/>
    </row>
    <row r="359" spans="1:8" x14ac:dyDescent="0.25">
      <c r="A359" s="22">
        <v>32143</v>
      </c>
      <c r="B359" s="23"/>
      <c r="C359" s="23">
        <v>14.55</v>
      </c>
      <c r="D359" s="23">
        <v>14</v>
      </c>
      <c r="E359" s="23"/>
      <c r="F359" s="23"/>
      <c r="G359" s="23"/>
      <c r="H359" s="3"/>
    </row>
    <row r="360" spans="1:8" x14ac:dyDescent="0.25">
      <c r="A360" s="22">
        <v>32174</v>
      </c>
      <c r="B360" s="23"/>
      <c r="C360" s="23">
        <v>14.55</v>
      </c>
      <c r="D360" s="23">
        <v>13.5</v>
      </c>
      <c r="E360" s="23"/>
      <c r="F360" s="23"/>
      <c r="G360" s="23"/>
      <c r="H360" s="3"/>
    </row>
    <row r="361" spans="1:8" x14ac:dyDescent="0.25">
      <c r="A361" s="22">
        <v>32203</v>
      </c>
      <c r="B361" s="23"/>
      <c r="C361" s="23">
        <v>14.42</v>
      </c>
      <c r="D361" s="23">
        <v>13.5</v>
      </c>
      <c r="E361" s="23"/>
      <c r="F361" s="23"/>
      <c r="G361" s="23"/>
      <c r="H361" s="3"/>
    </row>
    <row r="362" spans="1:8" x14ac:dyDescent="0.25">
      <c r="A362" s="22">
        <v>32234</v>
      </c>
      <c r="B362" s="23"/>
      <c r="C362" s="23">
        <v>14.48</v>
      </c>
      <c r="D362" s="23">
        <v>13.5</v>
      </c>
      <c r="E362" s="23"/>
      <c r="F362" s="23"/>
      <c r="G362" s="23"/>
      <c r="H362" s="3"/>
    </row>
    <row r="363" spans="1:8" x14ac:dyDescent="0.25">
      <c r="A363" s="22">
        <v>32264</v>
      </c>
      <c r="B363" s="23"/>
      <c r="C363" s="23">
        <v>14.73</v>
      </c>
      <c r="D363" s="23">
        <v>13.5</v>
      </c>
      <c r="E363" s="23"/>
      <c r="F363" s="23"/>
      <c r="G363" s="23"/>
      <c r="H363" s="3"/>
    </row>
    <row r="364" spans="1:8" x14ac:dyDescent="0.25">
      <c r="A364" s="22">
        <v>32295</v>
      </c>
      <c r="B364" s="23"/>
      <c r="C364" s="23">
        <v>15.48</v>
      </c>
      <c r="D364" s="23">
        <v>13.75</v>
      </c>
      <c r="E364" s="23"/>
      <c r="F364" s="23"/>
      <c r="G364" s="23"/>
      <c r="H364" s="3"/>
    </row>
    <row r="365" spans="1:8" x14ac:dyDescent="0.25">
      <c r="A365" s="22">
        <v>32325</v>
      </c>
      <c r="B365" s="23"/>
      <c r="C365" s="23">
        <v>15.67</v>
      </c>
      <c r="D365" s="23">
        <v>14.5</v>
      </c>
      <c r="E365" s="23"/>
      <c r="F365" s="23"/>
      <c r="G365" s="23"/>
      <c r="H365" s="3"/>
    </row>
    <row r="366" spans="1:8" x14ac:dyDescent="0.25">
      <c r="A366" s="22">
        <v>32356</v>
      </c>
      <c r="B366" s="23"/>
      <c r="C366" s="23">
        <v>15.67</v>
      </c>
      <c r="D366" s="23">
        <v>14.5</v>
      </c>
      <c r="E366" s="23"/>
      <c r="F366" s="23"/>
      <c r="G366" s="23"/>
      <c r="H366" s="3"/>
    </row>
    <row r="367" spans="1:8" x14ac:dyDescent="0.25">
      <c r="A367" s="22">
        <v>32387</v>
      </c>
      <c r="B367" s="23"/>
      <c r="C367" s="23">
        <v>16.23</v>
      </c>
      <c r="D367" s="23">
        <v>14.5</v>
      </c>
      <c r="E367" s="23"/>
      <c r="F367" s="23"/>
      <c r="G367" s="23"/>
      <c r="H367" s="3"/>
    </row>
    <row r="368" spans="1:8" x14ac:dyDescent="0.25">
      <c r="A368" s="22">
        <v>32417</v>
      </c>
      <c r="B368" s="23"/>
      <c r="C368" s="23">
        <v>16.420000000000002</v>
      </c>
      <c r="D368" s="23">
        <v>14.5</v>
      </c>
      <c r="E368" s="23"/>
      <c r="F368" s="23"/>
      <c r="G368" s="23"/>
      <c r="H368" s="3"/>
    </row>
    <row r="369" spans="1:8" x14ac:dyDescent="0.25">
      <c r="A369" s="22">
        <v>32448</v>
      </c>
      <c r="B369" s="23"/>
      <c r="C369" s="23">
        <v>16.8</v>
      </c>
      <c r="D369" s="23">
        <v>14.75</v>
      </c>
      <c r="E369" s="23"/>
      <c r="F369" s="23"/>
      <c r="G369" s="23"/>
      <c r="H369" s="3"/>
    </row>
    <row r="370" spans="1:8" x14ac:dyDescent="0.25">
      <c r="A370" s="22">
        <v>32478</v>
      </c>
      <c r="B370" s="23"/>
      <c r="C370" s="23">
        <v>16.920000000000002</v>
      </c>
      <c r="D370" s="23">
        <v>14.98</v>
      </c>
      <c r="E370" s="23"/>
      <c r="F370" s="23"/>
      <c r="G370" s="23"/>
      <c r="H370" s="3"/>
    </row>
    <row r="371" spans="1:8" x14ac:dyDescent="0.25">
      <c r="A371" s="22">
        <v>32509</v>
      </c>
      <c r="B371" s="23"/>
      <c r="C371" s="23">
        <v>17.420000000000002</v>
      </c>
      <c r="D371" s="23">
        <v>14.98</v>
      </c>
      <c r="E371" s="23"/>
      <c r="F371" s="23"/>
      <c r="G371" s="23"/>
      <c r="H371" s="3"/>
    </row>
    <row r="372" spans="1:8" x14ac:dyDescent="0.25">
      <c r="A372" s="22">
        <v>32540</v>
      </c>
      <c r="B372" s="23"/>
      <c r="C372" s="23">
        <v>18.55</v>
      </c>
      <c r="D372" s="23">
        <v>15.5</v>
      </c>
      <c r="E372" s="23"/>
      <c r="F372" s="23"/>
      <c r="G372" s="23"/>
      <c r="H372" s="3"/>
    </row>
    <row r="373" spans="1:8" x14ac:dyDescent="0.25">
      <c r="A373" s="22">
        <v>32568</v>
      </c>
      <c r="B373" s="23"/>
      <c r="C373" s="23">
        <v>19.11</v>
      </c>
      <c r="D373" s="23">
        <v>16</v>
      </c>
      <c r="E373" s="23"/>
      <c r="F373" s="23"/>
      <c r="G373" s="23"/>
      <c r="H373" s="3"/>
    </row>
    <row r="374" spans="1:8" x14ac:dyDescent="0.25">
      <c r="A374" s="22">
        <v>32599</v>
      </c>
      <c r="B374" s="23"/>
      <c r="C374" s="23">
        <v>19.3</v>
      </c>
      <c r="D374" s="23">
        <v>16</v>
      </c>
      <c r="E374" s="23"/>
      <c r="F374" s="23"/>
      <c r="G374" s="23"/>
      <c r="H374" s="3"/>
    </row>
    <row r="375" spans="1:8" x14ac:dyDescent="0.25">
      <c r="A375" s="22">
        <v>32629</v>
      </c>
      <c r="B375" s="23"/>
      <c r="C375" s="23">
        <v>19.920000000000002</v>
      </c>
      <c r="D375" s="23">
        <v>16</v>
      </c>
      <c r="E375" s="23"/>
      <c r="F375" s="23"/>
      <c r="G375" s="23"/>
      <c r="H375" s="3"/>
    </row>
    <row r="376" spans="1:8" x14ac:dyDescent="0.25">
      <c r="A376" s="22">
        <v>32660</v>
      </c>
      <c r="B376" s="23"/>
      <c r="C376" s="23">
        <v>20.3</v>
      </c>
      <c r="D376" s="23">
        <v>17</v>
      </c>
      <c r="E376" s="23"/>
      <c r="F376" s="23"/>
      <c r="G376" s="23"/>
      <c r="H376" s="3"/>
    </row>
    <row r="377" spans="1:8" x14ac:dyDescent="0.25">
      <c r="A377" s="22">
        <v>32690</v>
      </c>
      <c r="B377" s="23"/>
      <c r="C377" s="23">
        <v>20.67</v>
      </c>
      <c r="D377" s="23">
        <v>17</v>
      </c>
      <c r="E377" s="23"/>
      <c r="F377" s="23"/>
      <c r="G377" s="23"/>
      <c r="H377" s="3"/>
    </row>
    <row r="378" spans="1:8" x14ac:dyDescent="0.25">
      <c r="A378" s="22">
        <v>32721</v>
      </c>
      <c r="B378" s="23"/>
      <c r="C378" s="23">
        <v>20.67</v>
      </c>
      <c r="D378" s="23">
        <v>17</v>
      </c>
      <c r="E378" s="23"/>
      <c r="F378" s="23"/>
      <c r="G378" s="23"/>
      <c r="H378" s="3"/>
    </row>
    <row r="379" spans="1:8" x14ac:dyDescent="0.25">
      <c r="A379" s="22">
        <v>32752</v>
      </c>
      <c r="B379" s="23"/>
      <c r="C379" s="23">
        <v>20.98</v>
      </c>
      <c r="D379" s="23">
        <v>17</v>
      </c>
      <c r="E379" s="23"/>
      <c r="F379" s="23"/>
      <c r="G379" s="23"/>
      <c r="H379" s="3"/>
    </row>
    <row r="380" spans="1:8" x14ac:dyDescent="0.25">
      <c r="A380" s="22">
        <v>32782</v>
      </c>
      <c r="B380" s="23"/>
      <c r="C380" s="23">
        <v>21.05</v>
      </c>
      <c r="D380" s="23">
        <v>17</v>
      </c>
      <c r="E380" s="23"/>
      <c r="F380" s="23"/>
      <c r="G380" s="23"/>
      <c r="H380" s="3"/>
    </row>
    <row r="381" spans="1:8" x14ac:dyDescent="0.25">
      <c r="A381" s="22">
        <v>32813</v>
      </c>
      <c r="B381" s="23"/>
      <c r="C381" s="23">
        <v>21.05</v>
      </c>
      <c r="D381" s="23">
        <v>17</v>
      </c>
      <c r="E381" s="23"/>
      <c r="F381" s="23"/>
      <c r="G381" s="23"/>
      <c r="H381" s="3"/>
    </row>
    <row r="382" spans="1:8" x14ac:dyDescent="0.25">
      <c r="A382" s="22">
        <v>32843</v>
      </c>
      <c r="B382" s="23"/>
      <c r="C382" s="23">
        <v>21.05</v>
      </c>
      <c r="D382" s="23">
        <v>17</v>
      </c>
      <c r="E382" s="23"/>
      <c r="F382" s="23"/>
      <c r="G382" s="23"/>
      <c r="H382" s="3"/>
    </row>
    <row r="383" spans="1:8" x14ac:dyDescent="0.25">
      <c r="A383" s="22">
        <v>32874</v>
      </c>
      <c r="B383" s="23"/>
      <c r="C383" s="23">
        <v>20.92</v>
      </c>
      <c r="D383" s="23">
        <v>17</v>
      </c>
      <c r="E383" s="23"/>
      <c r="F383" s="23"/>
      <c r="G383" s="23"/>
      <c r="H383" s="3"/>
    </row>
    <row r="384" spans="1:8" x14ac:dyDescent="0.25">
      <c r="A384" s="22">
        <v>32905</v>
      </c>
      <c r="B384" s="23"/>
      <c r="C384" s="23">
        <v>20.36</v>
      </c>
      <c r="D384" s="23">
        <v>17</v>
      </c>
      <c r="E384" s="23"/>
      <c r="F384" s="23"/>
      <c r="G384" s="23"/>
      <c r="H384" s="3"/>
    </row>
    <row r="385" spans="1:8" x14ac:dyDescent="0.25">
      <c r="A385" s="22">
        <v>32933</v>
      </c>
      <c r="B385" s="23"/>
      <c r="C385" s="23">
        <v>20.3</v>
      </c>
      <c r="D385" s="23">
        <v>17</v>
      </c>
      <c r="E385" s="23"/>
      <c r="F385" s="23"/>
      <c r="G385" s="23"/>
      <c r="H385" s="3"/>
    </row>
    <row r="386" spans="1:8" x14ac:dyDescent="0.25">
      <c r="A386" s="22">
        <v>32964</v>
      </c>
      <c r="B386" s="23"/>
      <c r="C386" s="23">
        <v>19.3</v>
      </c>
      <c r="D386" s="23">
        <v>16.690000000000001</v>
      </c>
      <c r="E386" s="23"/>
      <c r="F386" s="23"/>
      <c r="G386" s="23"/>
      <c r="H386" s="3"/>
    </row>
    <row r="387" spans="1:8" x14ac:dyDescent="0.25">
      <c r="A387" s="22">
        <v>32994</v>
      </c>
      <c r="B387" s="23"/>
      <c r="C387" s="23">
        <v>18.920000000000002</v>
      </c>
      <c r="D387" s="23">
        <v>16.440000000000001</v>
      </c>
      <c r="E387" s="23"/>
      <c r="F387" s="23"/>
      <c r="G387" s="23"/>
      <c r="H387" s="3"/>
    </row>
    <row r="388" spans="1:8" x14ac:dyDescent="0.25">
      <c r="A388" s="22">
        <v>33025</v>
      </c>
      <c r="B388" s="23"/>
      <c r="C388" s="23">
        <v>18.920000000000002</v>
      </c>
      <c r="D388" s="23">
        <v>16.440000000000001</v>
      </c>
      <c r="E388" s="23"/>
      <c r="F388" s="23"/>
      <c r="G388" s="23"/>
      <c r="H388" s="3"/>
    </row>
    <row r="389" spans="1:8" x14ac:dyDescent="0.25">
      <c r="A389" s="22">
        <v>33055</v>
      </c>
      <c r="B389" s="23"/>
      <c r="C389" s="23">
        <v>18.670000000000002</v>
      </c>
      <c r="D389" s="23">
        <v>16.440000000000001</v>
      </c>
      <c r="E389" s="23"/>
      <c r="F389" s="23"/>
      <c r="G389" s="23"/>
      <c r="H389" s="3"/>
    </row>
    <row r="390" spans="1:8" x14ac:dyDescent="0.25">
      <c r="A390" s="22">
        <v>33086</v>
      </c>
      <c r="B390" s="23"/>
      <c r="C390" s="23">
        <v>17.86</v>
      </c>
      <c r="D390" s="23">
        <v>16.38</v>
      </c>
      <c r="E390" s="23"/>
      <c r="F390" s="23"/>
      <c r="G390" s="23"/>
      <c r="H390" s="3"/>
    </row>
    <row r="391" spans="1:8" x14ac:dyDescent="0.25">
      <c r="A391" s="22">
        <v>33117</v>
      </c>
      <c r="B391" s="23"/>
      <c r="C391" s="23">
        <v>17.23</v>
      </c>
      <c r="D391" s="23">
        <v>16.190000000000001</v>
      </c>
      <c r="E391" s="23"/>
      <c r="F391" s="23"/>
      <c r="G391" s="23">
        <v>15.5</v>
      </c>
      <c r="H391" s="3"/>
    </row>
    <row r="392" spans="1:8" x14ac:dyDescent="0.25">
      <c r="A392" s="22">
        <v>33147</v>
      </c>
      <c r="B392" s="23"/>
      <c r="C392" s="23">
        <v>16.36</v>
      </c>
      <c r="D392" s="23">
        <v>16</v>
      </c>
      <c r="E392" s="23"/>
      <c r="F392" s="23"/>
      <c r="G392" s="23">
        <v>15.13</v>
      </c>
      <c r="H392" s="3"/>
    </row>
    <row r="393" spans="1:8" x14ac:dyDescent="0.25">
      <c r="A393" s="22">
        <v>33178</v>
      </c>
      <c r="B393" s="23"/>
      <c r="C393" s="23">
        <v>16.11</v>
      </c>
      <c r="D393" s="23">
        <v>15.5</v>
      </c>
      <c r="E393" s="23"/>
      <c r="F393" s="23"/>
      <c r="G393" s="23">
        <v>14.58</v>
      </c>
      <c r="H393" s="3"/>
    </row>
    <row r="394" spans="1:8" x14ac:dyDescent="0.25">
      <c r="A394" s="22">
        <v>33208</v>
      </c>
      <c r="B394" s="23"/>
      <c r="C394" s="23">
        <v>16.11</v>
      </c>
      <c r="D394" s="23">
        <v>15.13</v>
      </c>
      <c r="E394" s="23"/>
      <c r="F394" s="23"/>
      <c r="G394" s="23">
        <v>14.52</v>
      </c>
      <c r="H394" s="3"/>
    </row>
    <row r="395" spans="1:8" x14ac:dyDescent="0.25">
      <c r="A395" s="22">
        <v>33239</v>
      </c>
      <c r="B395" s="23"/>
      <c r="C395" s="23">
        <v>15.8</v>
      </c>
      <c r="D395" s="23">
        <v>14.5</v>
      </c>
      <c r="E395" s="23"/>
      <c r="F395" s="23"/>
      <c r="G395" s="23">
        <v>14.25</v>
      </c>
      <c r="H395" s="3"/>
    </row>
    <row r="396" spans="1:8" x14ac:dyDescent="0.25">
      <c r="A396" s="22">
        <v>33270</v>
      </c>
      <c r="B396" s="23"/>
      <c r="C396" s="23">
        <v>15.61</v>
      </c>
      <c r="D396" s="23">
        <v>14.5</v>
      </c>
      <c r="E396" s="23"/>
      <c r="F396" s="23"/>
      <c r="G396" s="23">
        <v>14.33</v>
      </c>
      <c r="H396" s="3"/>
    </row>
    <row r="397" spans="1:8" x14ac:dyDescent="0.25">
      <c r="A397" s="22">
        <v>33298</v>
      </c>
      <c r="B397" s="23"/>
      <c r="C397" s="23">
        <v>15.61</v>
      </c>
      <c r="D397" s="23">
        <v>14.5</v>
      </c>
      <c r="E397" s="23"/>
      <c r="F397" s="23"/>
      <c r="G397" s="23">
        <v>14.33</v>
      </c>
      <c r="H397" s="3"/>
    </row>
    <row r="398" spans="1:8" x14ac:dyDescent="0.25">
      <c r="A398" s="22">
        <v>33329</v>
      </c>
      <c r="B398" s="23"/>
      <c r="C398" s="23">
        <v>15.3</v>
      </c>
      <c r="D398" s="23">
        <v>14.38</v>
      </c>
      <c r="E398" s="23"/>
      <c r="F398" s="23"/>
      <c r="G398" s="23">
        <v>14.17</v>
      </c>
      <c r="H398" s="3"/>
    </row>
    <row r="399" spans="1:8" x14ac:dyDescent="0.25">
      <c r="A399" s="22">
        <v>33359</v>
      </c>
      <c r="B399" s="23"/>
      <c r="C399" s="23">
        <v>14.86</v>
      </c>
      <c r="D399" s="23">
        <v>13.88</v>
      </c>
      <c r="E399" s="23"/>
      <c r="F399" s="23"/>
      <c r="G399" s="23">
        <v>14.08</v>
      </c>
      <c r="H399" s="3"/>
    </row>
    <row r="400" spans="1:8" x14ac:dyDescent="0.25">
      <c r="A400" s="22">
        <v>33390</v>
      </c>
      <c r="B400" s="23"/>
      <c r="C400" s="23">
        <v>14.61</v>
      </c>
      <c r="D400" s="23">
        <v>13.19</v>
      </c>
      <c r="E400" s="23"/>
      <c r="F400" s="23"/>
      <c r="G400" s="23">
        <v>13.67</v>
      </c>
      <c r="H400" s="3"/>
    </row>
    <row r="401" spans="1:8" x14ac:dyDescent="0.25">
      <c r="A401" s="22">
        <v>33420</v>
      </c>
      <c r="B401" s="23"/>
      <c r="C401" s="23">
        <v>14.61</v>
      </c>
      <c r="D401" s="23">
        <v>13</v>
      </c>
      <c r="E401" s="23"/>
      <c r="F401" s="23"/>
      <c r="G401" s="23">
        <v>13.5</v>
      </c>
      <c r="H401" s="3"/>
    </row>
    <row r="402" spans="1:8" x14ac:dyDescent="0.25">
      <c r="A402" s="22">
        <v>33451</v>
      </c>
      <c r="B402" s="23"/>
      <c r="C402" s="23">
        <v>14.61</v>
      </c>
      <c r="D402" s="23">
        <v>13</v>
      </c>
      <c r="E402" s="23"/>
      <c r="F402" s="23"/>
      <c r="G402" s="23">
        <v>13.5</v>
      </c>
      <c r="H402" s="3"/>
    </row>
    <row r="403" spans="1:8" x14ac:dyDescent="0.25">
      <c r="A403" s="22">
        <v>33482</v>
      </c>
      <c r="B403" s="23"/>
      <c r="C403" s="23">
        <v>13.67</v>
      </c>
      <c r="D403" s="23">
        <v>13</v>
      </c>
      <c r="E403" s="23"/>
      <c r="F403" s="23"/>
      <c r="G403" s="23">
        <v>13.5</v>
      </c>
      <c r="H403" s="3"/>
    </row>
    <row r="404" spans="1:8" x14ac:dyDescent="0.25">
      <c r="A404" s="22">
        <v>33512</v>
      </c>
      <c r="B404" s="23"/>
      <c r="C404" s="23">
        <v>13.67</v>
      </c>
      <c r="D404" s="23">
        <v>12.5</v>
      </c>
      <c r="E404" s="23"/>
      <c r="F404" s="23"/>
      <c r="G404" s="23">
        <v>13.08</v>
      </c>
      <c r="H404" s="3"/>
    </row>
    <row r="405" spans="1:8" x14ac:dyDescent="0.25">
      <c r="A405" s="22">
        <v>33543</v>
      </c>
      <c r="B405" s="23"/>
      <c r="C405" s="23">
        <v>12.92</v>
      </c>
      <c r="D405" s="23">
        <v>12.5</v>
      </c>
      <c r="E405" s="23"/>
      <c r="F405" s="23"/>
      <c r="G405" s="23">
        <v>13.08</v>
      </c>
      <c r="H405" s="3"/>
    </row>
    <row r="406" spans="1:8" x14ac:dyDescent="0.25">
      <c r="A406" s="22">
        <v>33573</v>
      </c>
      <c r="B406" s="23"/>
      <c r="C406" s="23">
        <v>12.8</v>
      </c>
      <c r="D406" s="23">
        <v>12</v>
      </c>
      <c r="E406" s="23"/>
      <c r="F406" s="23"/>
      <c r="G406" s="23">
        <v>12.75</v>
      </c>
      <c r="H406" s="3"/>
    </row>
    <row r="407" spans="1:8" x14ac:dyDescent="0.25">
      <c r="A407" s="22">
        <v>33604</v>
      </c>
      <c r="B407" s="23"/>
      <c r="C407" s="23">
        <v>12.42</v>
      </c>
      <c r="D407" s="23">
        <v>11.75</v>
      </c>
      <c r="E407" s="23"/>
      <c r="F407" s="23"/>
      <c r="G407" s="23">
        <v>12.33</v>
      </c>
      <c r="H407" s="3"/>
    </row>
    <row r="408" spans="1:8" x14ac:dyDescent="0.25">
      <c r="A408" s="22">
        <v>33635</v>
      </c>
      <c r="B408" s="23"/>
      <c r="C408" s="23">
        <v>11.98</v>
      </c>
      <c r="D408" s="23">
        <v>11</v>
      </c>
      <c r="E408" s="23"/>
      <c r="F408" s="23"/>
      <c r="G408" s="23">
        <v>12.33</v>
      </c>
      <c r="H408" s="3"/>
    </row>
    <row r="409" spans="1:8" x14ac:dyDescent="0.25">
      <c r="A409" s="22">
        <v>33664</v>
      </c>
      <c r="B409" s="23"/>
      <c r="C409" s="23">
        <v>12.17</v>
      </c>
      <c r="D409" s="23">
        <v>11</v>
      </c>
      <c r="E409" s="23"/>
      <c r="F409" s="23"/>
      <c r="G409" s="23">
        <v>12.17</v>
      </c>
      <c r="H409" s="3"/>
    </row>
    <row r="410" spans="1:8" x14ac:dyDescent="0.25">
      <c r="A410" s="22">
        <v>33695</v>
      </c>
      <c r="B410" s="23"/>
      <c r="C410" s="23">
        <v>12.17</v>
      </c>
      <c r="D410" s="23">
        <v>11</v>
      </c>
      <c r="E410" s="23"/>
      <c r="F410" s="23"/>
      <c r="G410" s="23">
        <v>12.17</v>
      </c>
      <c r="H410" s="3"/>
    </row>
    <row r="411" spans="1:8" x14ac:dyDescent="0.25">
      <c r="A411" s="22">
        <v>33725</v>
      </c>
      <c r="B411" s="23"/>
      <c r="C411" s="23">
        <v>11.86</v>
      </c>
      <c r="D411" s="23">
        <v>11</v>
      </c>
      <c r="E411" s="23"/>
      <c r="F411" s="23"/>
      <c r="G411" s="23">
        <v>11.58</v>
      </c>
      <c r="H411" s="3"/>
    </row>
    <row r="412" spans="1:8" x14ac:dyDescent="0.25">
      <c r="A412" s="22">
        <v>33756</v>
      </c>
      <c r="B412" s="23"/>
      <c r="C412" s="23">
        <v>11.17</v>
      </c>
      <c r="D412" s="23">
        <v>10.38</v>
      </c>
      <c r="E412" s="23"/>
      <c r="F412" s="23"/>
      <c r="G412" s="23">
        <v>11.58</v>
      </c>
      <c r="H412" s="3"/>
    </row>
    <row r="413" spans="1:8" x14ac:dyDescent="0.25">
      <c r="A413" s="22">
        <v>33786</v>
      </c>
      <c r="B413" s="23"/>
      <c r="C413" s="23">
        <v>11.17</v>
      </c>
      <c r="D413" s="23">
        <v>10.3</v>
      </c>
      <c r="E413" s="23"/>
      <c r="F413" s="23"/>
      <c r="G413" s="23">
        <v>10.45</v>
      </c>
      <c r="H413" s="3"/>
    </row>
    <row r="414" spans="1:8" x14ac:dyDescent="0.25">
      <c r="A414" s="22">
        <v>33817</v>
      </c>
      <c r="B414" s="23"/>
      <c r="C414" s="23">
        <v>10.48</v>
      </c>
      <c r="D414" s="23">
        <v>9.98</v>
      </c>
      <c r="E414" s="23"/>
      <c r="F414" s="23"/>
      <c r="G414" s="23">
        <v>10.38</v>
      </c>
      <c r="H414" s="3"/>
    </row>
    <row r="415" spans="1:8" x14ac:dyDescent="0.25">
      <c r="A415" s="22">
        <v>33848</v>
      </c>
      <c r="B415" s="23"/>
      <c r="C415" s="23">
        <v>10.53</v>
      </c>
      <c r="D415" s="23">
        <v>9.92</v>
      </c>
      <c r="E415" s="23"/>
      <c r="F415" s="23"/>
      <c r="G415" s="23">
        <v>10.5</v>
      </c>
      <c r="H415" s="3"/>
    </row>
    <row r="416" spans="1:8" x14ac:dyDescent="0.25">
      <c r="A416" s="22">
        <v>33878</v>
      </c>
      <c r="B416" s="23"/>
      <c r="C416" s="23">
        <v>10.53</v>
      </c>
      <c r="D416" s="23">
        <v>9.92</v>
      </c>
      <c r="E416" s="23"/>
      <c r="F416" s="23"/>
      <c r="G416" s="23">
        <v>10.5</v>
      </c>
      <c r="H416" s="3"/>
    </row>
    <row r="417" spans="1:8" x14ac:dyDescent="0.25">
      <c r="A417" s="22">
        <v>33909</v>
      </c>
      <c r="B417" s="23"/>
      <c r="C417" s="23">
        <v>10.53</v>
      </c>
      <c r="D417" s="23">
        <v>9.92</v>
      </c>
      <c r="E417" s="23"/>
      <c r="F417" s="23"/>
      <c r="G417" s="23">
        <v>10.5</v>
      </c>
      <c r="H417" s="3"/>
    </row>
    <row r="418" spans="1:8" x14ac:dyDescent="0.25">
      <c r="A418" s="22">
        <v>33939</v>
      </c>
      <c r="B418" s="23"/>
      <c r="C418" s="23">
        <v>10.53</v>
      </c>
      <c r="D418" s="23">
        <v>9.92</v>
      </c>
      <c r="E418" s="23"/>
      <c r="F418" s="23"/>
      <c r="G418" s="23">
        <v>10.5</v>
      </c>
      <c r="H418" s="3"/>
    </row>
    <row r="419" spans="1:8" x14ac:dyDescent="0.25">
      <c r="A419" s="22">
        <v>33970</v>
      </c>
      <c r="B419" s="23"/>
      <c r="C419" s="23">
        <v>10.53</v>
      </c>
      <c r="D419" s="23">
        <v>9.92</v>
      </c>
      <c r="E419" s="23"/>
      <c r="F419" s="23"/>
      <c r="G419" s="23">
        <v>10.5</v>
      </c>
      <c r="H419" s="3"/>
    </row>
    <row r="420" spans="1:8" x14ac:dyDescent="0.25">
      <c r="A420" s="22">
        <v>34001</v>
      </c>
      <c r="B420" s="23"/>
      <c r="C420" s="23">
        <v>10.53</v>
      </c>
      <c r="D420" s="23">
        <v>9.92</v>
      </c>
      <c r="E420" s="23"/>
      <c r="F420" s="23"/>
      <c r="G420" s="23">
        <v>10.49</v>
      </c>
      <c r="H420" s="3"/>
    </row>
    <row r="421" spans="1:8" x14ac:dyDescent="0.25">
      <c r="A421" s="22">
        <v>34029</v>
      </c>
      <c r="B421" s="23"/>
      <c r="C421" s="23">
        <v>10.53</v>
      </c>
      <c r="D421" s="23">
        <v>9.92</v>
      </c>
      <c r="E421" s="23"/>
      <c r="F421" s="23"/>
      <c r="G421" s="23">
        <v>10.53</v>
      </c>
      <c r="H421" s="3"/>
    </row>
    <row r="422" spans="1:8" x14ac:dyDescent="0.25">
      <c r="A422" s="22">
        <v>34060</v>
      </c>
      <c r="B422" s="23"/>
      <c r="C422" s="23">
        <v>10.16</v>
      </c>
      <c r="D422" s="23">
        <v>9.7200000000000006</v>
      </c>
      <c r="E422" s="23"/>
      <c r="F422" s="23"/>
      <c r="G422" s="23">
        <v>10.220000000000001</v>
      </c>
      <c r="H422" s="3"/>
    </row>
    <row r="423" spans="1:8" x14ac:dyDescent="0.25">
      <c r="A423" s="22">
        <v>34090</v>
      </c>
      <c r="B423" s="23"/>
      <c r="C423" s="23">
        <v>10.029999999999999</v>
      </c>
      <c r="D423" s="23">
        <v>9.5</v>
      </c>
      <c r="E423" s="23"/>
      <c r="F423" s="23"/>
      <c r="G423" s="23">
        <v>9.84</v>
      </c>
      <c r="H423" s="3"/>
    </row>
    <row r="424" spans="1:8" x14ac:dyDescent="0.25">
      <c r="A424" s="22">
        <v>34121</v>
      </c>
      <c r="B424" s="23"/>
      <c r="C424" s="23">
        <v>10.01</v>
      </c>
      <c r="D424" s="23">
        <v>9.5</v>
      </c>
      <c r="E424" s="23"/>
      <c r="F424" s="23"/>
      <c r="G424" s="23">
        <v>9.7100000000000009</v>
      </c>
      <c r="H424" s="3"/>
    </row>
    <row r="425" spans="1:8" x14ac:dyDescent="0.25">
      <c r="A425" s="22">
        <v>34151</v>
      </c>
      <c r="B425" s="23"/>
      <c r="C425" s="23">
        <v>10.01</v>
      </c>
      <c r="D425" s="23">
        <v>9.5</v>
      </c>
      <c r="E425" s="23"/>
      <c r="F425" s="23"/>
      <c r="G425" s="23">
        <v>9.51</v>
      </c>
      <c r="H425" s="3"/>
    </row>
    <row r="426" spans="1:8" x14ac:dyDescent="0.25">
      <c r="A426" s="22">
        <v>34182</v>
      </c>
      <c r="B426" s="23"/>
      <c r="C426" s="23">
        <v>9.5299999999999994</v>
      </c>
      <c r="D426" s="23">
        <v>9.5</v>
      </c>
      <c r="E426" s="23"/>
      <c r="F426" s="23"/>
      <c r="G426" s="23">
        <v>9.1</v>
      </c>
      <c r="H426" s="3"/>
    </row>
    <row r="427" spans="1:8" x14ac:dyDescent="0.25">
      <c r="A427" s="22">
        <v>34213</v>
      </c>
      <c r="B427" s="23"/>
      <c r="C427" s="23">
        <v>9.5299999999999994</v>
      </c>
      <c r="D427" s="23">
        <v>8.9</v>
      </c>
      <c r="E427" s="23"/>
      <c r="F427" s="23"/>
      <c r="G427" s="23">
        <v>8.94</v>
      </c>
      <c r="H427" s="3"/>
    </row>
    <row r="428" spans="1:8" x14ac:dyDescent="0.25">
      <c r="A428" s="22">
        <v>34243</v>
      </c>
      <c r="B428" s="23"/>
      <c r="C428" s="23">
        <v>9.5299999999999994</v>
      </c>
      <c r="D428" s="23">
        <v>8.75</v>
      </c>
      <c r="E428" s="23"/>
      <c r="F428" s="23"/>
      <c r="G428" s="23">
        <v>8.92</v>
      </c>
      <c r="H428" s="3"/>
    </row>
    <row r="429" spans="1:8" x14ac:dyDescent="0.25">
      <c r="A429" s="22">
        <v>34274</v>
      </c>
      <c r="B429" s="23"/>
      <c r="C429" s="23">
        <v>9.5299999999999994</v>
      </c>
      <c r="D429" s="23">
        <v>8.75</v>
      </c>
      <c r="E429" s="23"/>
      <c r="F429" s="23"/>
      <c r="G429" s="23">
        <v>8.91</v>
      </c>
      <c r="H429" s="3"/>
    </row>
    <row r="430" spans="1:8" x14ac:dyDescent="0.25">
      <c r="A430" s="22">
        <v>34304</v>
      </c>
      <c r="B430" s="23"/>
      <c r="C430" s="23">
        <v>9.5299999999999994</v>
      </c>
      <c r="D430" s="23">
        <v>8.75</v>
      </c>
      <c r="E430" s="23"/>
      <c r="F430" s="23"/>
      <c r="G430" s="23">
        <v>8.9</v>
      </c>
      <c r="H430" s="3"/>
    </row>
    <row r="431" spans="1:8" x14ac:dyDescent="0.25">
      <c r="A431" s="22">
        <v>34335</v>
      </c>
      <c r="B431" s="23"/>
      <c r="C431" s="23">
        <v>9.5299999999999994</v>
      </c>
      <c r="D431" s="23">
        <v>8.75</v>
      </c>
      <c r="E431" s="23"/>
      <c r="F431" s="23"/>
      <c r="G431" s="23">
        <v>8.82</v>
      </c>
      <c r="H431" s="3"/>
    </row>
    <row r="432" spans="1:8" x14ac:dyDescent="0.25">
      <c r="A432" s="22">
        <v>34366</v>
      </c>
      <c r="B432" s="23"/>
      <c r="C432" s="23">
        <v>9.5299999999999994</v>
      </c>
      <c r="D432" s="23">
        <v>8.75</v>
      </c>
      <c r="E432" s="23"/>
      <c r="F432" s="23"/>
      <c r="G432" s="23">
        <v>8.75</v>
      </c>
      <c r="H432" s="3"/>
    </row>
    <row r="433" spans="1:8" x14ac:dyDescent="0.25">
      <c r="A433" s="22">
        <v>34394</v>
      </c>
      <c r="B433" s="23"/>
      <c r="C433" s="23">
        <v>9.5299999999999994</v>
      </c>
      <c r="D433" s="23">
        <v>8.75</v>
      </c>
      <c r="E433" s="23"/>
      <c r="F433" s="23"/>
      <c r="G433" s="23">
        <v>8.74</v>
      </c>
      <c r="H433" s="3"/>
    </row>
    <row r="434" spans="1:8" x14ac:dyDescent="0.25">
      <c r="A434" s="22">
        <v>34425</v>
      </c>
      <c r="B434" s="23"/>
      <c r="C434" s="23">
        <v>9.5299999999999994</v>
      </c>
      <c r="D434" s="23">
        <v>8.75</v>
      </c>
      <c r="E434" s="23"/>
      <c r="F434" s="23"/>
      <c r="G434" s="23">
        <v>9.1300000000000008</v>
      </c>
      <c r="H434" s="3"/>
    </row>
    <row r="435" spans="1:8" x14ac:dyDescent="0.25">
      <c r="A435" s="22">
        <v>34455</v>
      </c>
      <c r="B435" s="23"/>
      <c r="C435" s="23">
        <v>9.5299999999999994</v>
      </c>
      <c r="D435" s="23">
        <v>8.75</v>
      </c>
      <c r="E435" s="23"/>
      <c r="F435" s="23"/>
      <c r="G435" s="23">
        <v>9.26</v>
      </c>
      <c r="H435" s="3"/>
    </row>
    <row r="436" spans="1:8" x14ac:dyDescent="0.25">
      <c r="A436" s="22">
        <v>34486</v>
      </c>
      <c r="B436" s="23"/>
      <c r="C436" s="23">
        <v>9.5299999999999994</v>
      </c>
      <c r="D436" s="23">
        <v>8.75</v>
      </c>
      <c r="E436" s="23"/>
      <c r="F436" s="23"/>
      <c r="G436" s="23">
        <v>9.52</v>
      </c>
      <c r="H436" s="3"/>
    </row>
    <row r="437" spans="1:8" x14ac:dyDescent="0.25">
      <c r="A437" s="22">
        <v>34516</v>
      </c>
      <c r="B437" s="23"/>
      <c r="C437" s="23">
        <v>9.5299999999999994</v>
      </c>
      <c r="D437" s="23">
        <v>8.75</v>
      </c>
      <c r="E437" s="23"/>
      <c r="F437" s="23"/>
      <c r="G437" s="23">
        <v>10.17</v>
      </c>
      <c r="H437" s="3"/>
    </row>
    <row r="438" spans="1:8" x14ac:dyDescent="0.25">
      <c r="A438" s="22">
        <v>34547</v>
      </c>
      <c r="B438" s="23"/>
      <c r="C438" s="23">
        <v>9.5299999999999994</v>
      </c>
      <c r="D438" s="23">
        <v>8.75</v>
      </c>
      <c r="E438" s="23"/>
      <c r="F438" s="23"/>
      <c r="G438" s="23">
        <v>10.24</v>
      </c>
      <c r="H438" s="3"/>
    </row>
    <row r="439" spans="1:8" x14ac:dyDescent="0.25">
      <c r="A439" s="22">
        <v>34578</v>
      </c>
      <c r="B439" s="23"/>
      <c r="C439" s="23">
        <v>9.85</v>
      </c>
      <c r="D439" s="23">
        <v>9.0500000000000007</v>
      </c>
      <c r="E439" s="23"/>
      <c r="F439" s="23"/>
      <c r="G439" s="23">
        <v>10.46</v>
      </c>
      <c r="H439" s="3"/>
    </row>
    <row r="440" spans="1:8" x14ac:dyDescent="0.25">
      <c r="A440" s="22">
        <v>34608</v>
      </c>
      <c r="B440" s="23"/>
      <c r="C440" s="23">
        <v>10.02</v>
      </c>
      <c r="D440" s="23">
        <v>9.36</v>
      </c>
      <c r="E440" s="23"/>
      <c r="F440" s="23"/>
      <c r="G440" s="23">
        <v>10.53</v>
      </c>
      <c r="H440" s="3"/>
    </row>
    <row r="441" spans="1:8" x14ac:dyDescent="0.25">
      <c r="A441" s="22">
        <v>34639</v>
      </c>
      <c r="B441" s="23"/>
      <c r="C441" s="23">
        <v>10.41</v>
      </c>
      <c r="D441" s="23">
        <v>9.57</v>
      </c>
      <c r="E441" s="23"/>
      <c r="F441" s="23"/>
      <c r="G441" s="23">
        <v>10.71</v>
      </c>
      <c r="H441" s="3"/>
    </row>
    <row r="442" spans="1:8" x14ac:dyDescent="0.25">
      <c r="A442" s="22">
        <v>34669</v>
      </c>
      <c r="B442" s="23"/>
      <c r="C442" s="23">
        <v>10.91</v>
      </c>
      <c r="D442" s="23">
        <v>9.9700000000000006</v>
      </c>
      <c r="E442" s="23"/>
      <c r="F442" s="23"/>
      <c r="G442" s="23">
        <v>11.47</v>
      </c>
      <c r="H442" s="3"/>
    </row>
    <row r="443" spans="1:8" x14ac:dyDescent="0.25">
      <c r="A443" s="22">
        <v>34700</v>
      </c>
      <c r="B443" s="23"/>
      <c r="C443" s="23">
        <v>11.4</v>
      </c>
      <c r="D443" s="23">
        <v>10.56</v>
      </c>
      <c r="E443" s="23"/>
      <c r="F443" s="23"/>
      <c r="G443" s="23">
        <v>11.69</v>
      </c>
      <c r="H443" s="3"/>
    </row>
    <row r="444" spans="1:8" x14ac:dyDescent="0.25">
      <c r="A444" s="22">
        <v>34731</v>
      </c>
      <c r="B444" s="23"/>
      <c r="C444" s="23">
        <v>11.4</v>
      </c>
      <c r="D444" s="23">
        <v>10.56</v>
      </c>
      <c r="E444" s="23"/>
      <c r="F444" s="23"/>
      <c r="G444" s="23">
        <v>11.54</v>
      </c>
      <c r="H444" s="3"/>
    </row>
    <row r="445" spans="1:8" x14ac:dyDescent="0.25">
      <c r="A445" s="22">
        <v>34759</v>
      </c>
      <c r="B445" s="23"/>
      <c r="C445" s="23">
        <v>11.33</v>
      </c>
      <c r="D445" s="23">
        <v>10.56</v>
      </c>
      <c r="E445" s="23"/>
      <c r="F445" s="23"/>
      <c r="G445" s="23">
        <v>11.31</v>
      </c>
      <c r="H445" s="3"/>
    </row>
    <row r="446" spans="1:8" x14ac:dyDescent="0.25">
      <c r="A446" s="22">
        <v>34790</v>
      </c>
      <c r="B446" s="23"/>
      <c r="C446" s="23">
        <v>11.33</v>
      </c>
      <c r="D446" s="23">
        <v>10.56</v>
      </c>
      <c r="E446" s="23"/>
      <c r="F446" s="23"/>
      <c r="G446" s="23">
        <v>11</v>
      </c>
      <c r="H446" s="3"/>
    </row>
    <row r="447" spans="1:8" x14ac:dyDescent="0.25">
      <c r="A447" s="22">
        <v>34820</v>
      </c>
      <c r="B447" s="23"/>
      <c r="C447" s="23">
        <v>11.33</v>
      </c>
      <c r="D447" s="23">
        <v>10.56</v>
      </c>
      <c r="E447" s="23"/>
      <c r="F447" s="23"/>
      <c r="G447" s="23">
        <v>10.23</v>
      </c>
      <c r="H447" s="3"/>
    </row>
    <row r="448" spans="1:8" x14ac:dyDescent="0.25">
      <c r="A448" s="22">
        <v>34851</v>
      </c>
      <c r="B448" s="23"/>
      <c r="C448" s="23">
        <v>11.33</v>
      </c>
      <c r="D448" s="23">
        <v>10.49</v>
      </c>
      <c r="E448" s="23"/>
      <c r="F448" s="23"/>
      <c r="G448" s="23">
        <v>9.74</v>
      </c>
      <c r="H448" s="3"/>
    </row>
    <row r="449" spans="1:8" x14ac:dyDescent="0.25">
      <c r="A449" s="22">
        <v>34881</v>
      </c>
      <c r="B449" s="23"/>
      <c r="C449" s="23">
        <v>11.33</v>
      </c>
      <c r="D449" s="23">
        <v>10.49</v>
      </c>
      <c r="E449" s="23"/>
      <c r="F449" s="23"/>
      <c r="G449" s="23">
        <v>9.7899999999999991</v>
      </c>
      <c r="H449" s="3"/>
    </row>
    <row r="450" spans="1:8" x14ac:dyDescent="0.25">
      <c r="A450" s="22">
        <v>34912</v>
      </c>
      <c r="B450" s="23"/>
      <c r="C450" s="23">
        <v>11.33</v>
      </c>
      <c r="D450" s="23">
        <v>10.49</v>
      </c>
      <c r="E450" s="23"/>
      <c r="F450" s="23"/>
      <c r="G450" s="23">
        <v>9.82</v>
      </c>
      <c r="H450" s="3"/>
    </row>
    <row r="451" spans="1:8" x14ac:dyDescent="0.25">
      <c r="A451" s="22">
        <v>34943</v>
      </c>
      <c r="B451" s="23"/>
      <c r="C451" s="23">
        <v>11.33</v>
      </c>
      <c r="D451" s="23">
        <v>10.49</v>
      </c>
      <c r="E451" s="23"/>
      <c r="F451" s="23"/>
      <c r="G451" s="23">
        <v>9.56</v>
      </c>
      <c r="H451" s="3"/>
    </row>
    <row r="452" spans="1:8" x14ac:dyDescent="0.25">
      <c r="A452" s="22">
        <v>34973</v>
      </c>
      <c r="B452" s="23"/>
      <c r="C452" s="23">
        <v>11.33</v>
      </c>
      <c r="D452" s="23">
        <v>10.49</v>
      </c>
      <c r="E452" s="23"/>
      <c r="F452" s="23"/>
      <c r="G452" s="23">
        <v>9.43</v>
      </c>
      <c r="H452" s="3"/>
    </row>
    <row r="453" spans="1:8" x14ac:dyDescent="0.25">
      <c r="A453" s="22">
        <v>35004</v>
      </c>
      <c r="B453" s="23"/>
      <c r="C453" s="23">
        <v>11.33</v>
      </c>
      <c r="D453" s="23">
        <v>10.48</v>
      </c>
      <c r="E453" s="23"/>
      <c r="F453" s="23"/>
      <c r="G453" s="23">
        <v>9.56</v>
      </c>
      <c r="H453" s="3"/>
    </row>
    <row r="454" spans="1:8" x14ac:dyDescent="0.25">
      <c r="A454" s="22">
        <v>35034</v>
      </c>
      <c r="B454" s="23"/>
      <c r="C454" s="23">
        <v>11.4</v>
      </c>
      <c r="D454" s="23">
        <v>10.48</v>
      </c>
      <c r="E454" s="23"/>
      <c r="F454" s="23"/>
      <c r="G454" s="23">
        <v>9.5</v>
      </c>
      <c r="H454" s="3"/>
    </row>
    <row r="455" spans="1:8" x14ac:dyDescent="0.25">
      <c r="A455" s="22">
        <v>35065</v>
      </c>
      <c r="B455" s="23"/>
      <c r="C455" s="23">
        <v>11.43</v>
      </c>
      <c r="D455" s="23">
        <v>10.48</v>
      </c>
      <c r="E455" s="23"/>
      <c r="F455" s="23"/>
      <c r="G455" s="23">
        <v>9.5</v>
      </c>
      <c r="H455" s="3"/>
    </row>
    <row r="456" spans="1:8" x14ac:dyDescent="0.25">
      <c r="A456" s="22">
        <v>35096</v>
      </c>
      <c r="B456" s="23"/>
      <c r="C456" s="23">
        <v>11.48</v>
      </c>
      <c r="D456" s="23">
        <v>10.48</v>
      </c>
      <c r="E456" s="23"/>
      <c r="F456" s="23"/>
      <c r="G456" s="23">
        <v>9.3800000000000008</v>
      </c>
      <c r="H456" s="3"/>
    </row>
    <row r="457" spans="1:8" x14ac:dyDescent="0.25">
      <c r="A457" s="22">
        <v>35125</v>
      </c>
      <c r="B457" s="23"/>
      <c r="C457" s="23">
        <v>11.48</v>
      </c>
      <c r="D457" s="23">
        <v>10.48</v>
      </c>
      <c r="E457" s="23"/>
      <c r="F457" s="23"/>
      <c r="G457" s="23">
        <v>9.39</v>
      </c>
      <c r="H457" s="3"/>
    </row>
    <row r="458" spans="1:8" x14ac:dyDescent="0.25">
      <c r="A458" s="22">
        <v>35156</v>
      </c>
      <c r="B458" s="23">
        <v>10.5</v>
      </c>
      <c r="C458" s="23">
        <v>11.48</v>
      </c>
      <c r="D458" s="23">
        <v>10.48</v>
      </c>
      <c r="E458" s="23"/>
      <c r="F458" s="23"/>
      <c r="G458" s="23">
        <v>9.57</v>
      </c>
      <c r="H458" s="3"/>
    </row>
    <row r="459" spans="1:8" x14ac:dyDescent="0.25">
      <c r="A459" s="22">
        <v>35186</v>
      </c>
      <c r="B459" s="23">
        <v>10.5</v>
      </c>
      <c r="C459" s="23">
        <v>11.48</v>
      </c>
      <c r="D459" s="23">
        <v>10.48</v>
      </c>
      <c r="E459" s="23"/>
      <c r="F459" s="23"/>
      <c r="G459" s="23">
        <v>9.56</v>
      </c>
      <c r="H459" s="3"/>
    </row>
    <row r="460" spans="1:8" x14ac:dyDescent="0.25">
      <c r="A460" s="22">
        <v>35217</v>
      </c>
      <c r="B460" s="23">
        <v>10.5</v>
      </c>
      <c r="C460" s="23">
        <v>11.48</v>
      </c>
      <c r="D460" s="23">
        <v>9.91</v>
      </c>
      <c r="E460" s="23"/>
      <c r="F460" s="23"/>
      <c r="G460" s="23">
        <v>9.59</v>
      </c>
      <c r="H460" s="3"/>
    </row>
    <row r="461" spans="1:8" x14ac:dyDescent="0.25">
      <c r="A461" s="22">
        <v>35247</v>
      </c>
      <c r="B461" s="23">
        <v>10.5</v>
      </c>
      <c r="C461" s="23">
        <v>11.48</v>
      </c>
      <c r="D461" s="23">
        <v>9.91</v>
      </c>
      <c r="E461" s="23"/>
      <c r="F461" s="23"/>
      <c r="G461" s="23">
        <v>9.59</v>
      </c>
      <c r="H461" s="3"/>
    </row>
    <row r="462" spans="1:8" x14ac:dyDescent="0.25">
      <c r="A462" s="22">
        <v>35278</v>
      </c>
      <c r="B462" s="23">
        <v>9.4</v>
      </c>
      <c r="C462" s="23">
        <v>11.11</v>
      </c>
      <c r="D462" s="23">
        <v>9.61</v>
      </c>
      <c r="E462" s="23"/>
      <c r="F462" s="23"/>
      <c r="G462" s="23">
        <v>9.11</v>
      </c>
      <c r="H462" s="3"/>
    </row>
    <row r="463" spans="1:8" x14ac:dyDescent="0.25">
      <c r="A463" s="22">
        <v>35309</v>
      </c>
      <c r="B463" s="23">
        <v>9.4</v>
      </c>
      <c r="C463" s="23">
        <v>10.98</v>
      </c>
      <c r="D463" s="23">
        <v>9.2899999999999991</v>
      </c>
      <c r="E463" s="23"/>
      <c r="F463" s="23"/>
      <c r="G463" s="23">
        <v>8.76</v>
      </c>
      <c r="H463" s="3"/>
    </row>
    <row r="464" spans="1:8" x14ac:dyDescent="0.25">
      <c r="A464" s="22">
        <v>35339</v>
      </c>
      <c r="B464" s="23">
        <v>9.4</v>
      </c>
      <c r="C464" s="23">
        <v>10.98</v>
      </c>
      <c r="D464" s="23">
        <v>9.2899999999999991</v>
      </c>
      <c r="E464" s="23"/>
      <c r="F464" s="23"/>
      <c r="G464" s="23">
        <v>8.6199999999999992</v>
      </c>
      <c r="H464" s="3"/>
    </row>
    <row r="465" spans="1:8" x14ac:dyDescent="0.25">
      <c r="A465" s="22">
        <v>35370</v>
      </c>
      <c r="B465" s="23">
        <v>9.4</v>
      </c>
      <c r="C465" s="23">
        <v>10.98</v>
      </c>
      <c r="D465" s="23">
        <v>8.8800000000000008</v>
      </c>
      <c r="E465" s="23"/>
      <c r="F465" s="23"/>
      <c r="G465" s="23">
        <v>8.4700000000000006</v>
      </c>
      <c r="H465" s="3"/>
    </row>
    <row r="466" spans="1:8" x14ac:dyDescent="0.25">
      <c r="A466" s="22">
        <v>35400</v>
      </c>
      <c r="B466" s="23">
        <v>8.9499999999999993</v>
      </c>
      <c r="C466" s="23">
        <v>10.48</v>
      </c>
      <c r="D466" s="23">
        <v>8.48</v>
      </c>
      <c r="E466" s="23"/>
      <c r="F466" s="23"/>
      <c r="G466" s="23">
        <v>8.4</v>
      </c>
      <c r="H466" s="3"/>
    </row>
    <row r="467" spans="1:8" x14ac:dyDescent="0.25">
      <c r="A467" s="22">
        <v>35431</v>
      </c>
      <c r="B467" s="23">
        <v>8.4499999999999993</v>
      </c>
      <c r="C467" s="23">
        <v>9.98</v>
      </c>
      <c r="D467" s="23">
        <v>8.25</v>
      </c>
      <c r="E467" s="23"/>
      <c r="F467" s="23"/>
      <c r="G467" s="23">
        <v>8.24</v>
      </c>
      <c r="H467" s="3"/>
    </row>
    <row r="468" spans="1:8" x14ac:dyDescent="0.25">
      <c r="A468" s="22">
        <v>35462</v>
      </c>
      <c r="B468" s="23">
        <v>7.95</v>
      </c>
      <c r="C468" s="23">
        <v>9.5</v>
      </c>
      <c r="D468" s="23">
        <v>7.55</v>
      </c>
      <c r="E468" s="23"/>
      <c r="F468" s="23"/>
      <c r="G468" s="23">
        <v>8.14</v>
      </c>
      <c r="H468" s="3"/>
    </row>
    <row r="469" spans="1:8" x14ac:dyDescent="0.25">
      <c r="A469" s="22">
        <v>35490</v>
      </c>
      <c r="B469" s="23">
        <v>7.9</v>
      </c>
      <c r="C469" s="23">
        <v>9.5</v>
      </c>
      <c r="D469" s="23">
        <v>7.55</v>
      </c>
      <c r="E469" s="23"/>
      <c r="F469" s="23"/>
      <c r="G469" s="23">
        <v>8.2100000000000009</v>
      </c>
      <c r="H469" s="3"/>
    </row>
    <row r="470" spans="1:8" x14ac:dyDescent="0.25">
      <c r="A470" s="22">
        <v>35521</v>
      </c>
      <c r="B470" s="23">
        <v>7.8</v>
      </c>
      <c r="C470" s="23">
        <v>9.5</v>
      </c>
      <c r="D470" s="23">
        <v>7.55</v>
      </c>
      <c r="E470" s="23"/>
      <c r="F470" s="23"/>
      <c r="G470" s="23">
        <v>8.2899999999999991</v>
      </c>
      <c r="H470" s="3"/>
    </row>
    <row r="471" spans="1:8" x14ac:dyDescent="0.25">
      <c r="A471" s="22">
        <v>35551</v>
      </c>
      <c r="B471" s="23">
        <v>7.55</v>
      </c>
      <c r="C471" s="23">
        <v>9.36</v>
      </c>
      <c r="D471" s="23">
        <v>7.13</v>
      </c>
      <c r="E471" s="23"/>
      <c r="F471" s="23"/>
      <c r="G471" s="23">
        <v>8.31</v>
      </c>
      <c r="H471" s="3"/>
    </row>
    <row r="472" spans="1:8" x14ac:dyDescent="0.25">
      <c r="A472" s="22">
        <v>35582</v>
      </c>
      <c r="B472" s="23">
        <v>7.5</v>
      </c>
      <c r="C472" s="23">
        <v>9.23</v>
      </c>
      <c r="D472" s="23">
        <v>7.13</v>
      </c>
      <c r="E472" s="23"/>
      <c r="F472" s="23"/>
      <c r="G472" s="23">
        <v>7.68</v>
      </c>
      <c r="H472" s="3"/>
    </row>
    <row r="473" spans="1:8" x14ac:dyDescent="0.25">
      <c r="A473" s="22">
        <v>35612</v>
      </c>
      <c r="B473" s="23">
        <v>7.4</v>
      </c>
      <c r="C473" s="23">
        <v>9.0299999999999994</v>
      </c>
      <c r="D473" s="23">
        <v>7.05</v>
      </c>
      <c r="E473" s="23"/>
      <c r="F473" s="23"/>
      <c r="G473" s="23">
        <v>7.31</v>
      </c>
      <c r="H473" s="3"/>
    </row>
    <row r="474" spans="1:8" x14ac:dyDescent="0.25">
      <c r="A474" s="22">
        <v>35643</v>
      </c>
      <c r="B474" s="23">
        <v>7.3</v>
      </c>
      <c r="C474" s="23">
        <v>8.91</v>
      </c>
      <c r="D474" s="23">
        <v>6.74</v>
      </c>
      <c r="E474" s="23"/>
      <c r="F474" s="23"/>
      <c r="G474" s="23">
        <v>7.22</v>
      </c>
      <c r="H474" s="3"/>
    </row>
    <row r="475" spans="1:8" x14ac:dyDescent="0.25">
      <c r="A475" s="22">
        <v>35674</v>
      </c>
      <c r="B475" s="23">
        <v>7</v>
      </c>
      <c r="C475" s="23">
        <v>8.58</v>
      </c>
      <c r="D475" s="23">
        <v>6.74</v>
      </c>
      <c r="E475" s="23"/>
      <c r="F475" s="23"/>
      <c r="G475" s="23">
        <v>7.07</v>
      </c>
      <c r="H475" s="3"/>
    </row>
    <row r="476" spans="1:8" x14ac:dyDescent="0.25">
      <c r="A476" s="22">
        <v>35704</v>
      </c>
      <c r="B476" s="23">
        <v>7</v>
      </c>
      <c r="C476" s="23">
        <v>8.58</v>
      </c>
      <c r="D476" s="23">
        <v>6.74</v>
      </c>
      <c r="E476" s="23"/>
      <c r="F476" s="23"/>
      <c r="G476" s="23">
        <v>6.98</v>
      </c>
      <c r="H476" s="3"/>
    </row>
    <row r="477" spans="1:8" x14ac:dyDescent="0.25">
      <c r="A477" s="22">
        <v>35735</v>
      </c>
      <c r="B477" s="23">
        <v>7</v>
      </c>
      <c r="C477" s="23">
        <v>8.58</v>
      </c>
      <c r="D477" s="23">
        <v>6.74</v>
      </c>
      <c r="E477" s="23"/>
      <c r="F477" s="23"/>
      <c r="G477" s="23">
        <v>6.98</v>
      </c>
      <c r="H477" s="3"/>
    </row>
    <row r="478" spans="1:8" x14ac:dyDescent="0.25">
      <c r="A478" s="22">
        <v>35765</v>
      </c>
      <c r="B478" s="23">
        <v>7</v>
      </c>
      <c r="C478" s="23">
        <v>8.58</v>
      </c>
      <c r="D478" s="23">
        <v>6.74</v>
      </c>
      <c r="E478" s="23"/>
      <c r="F478" s="23"/>
      <c r="G478" s="23">
        <v>6.98</v>
      </c>
      <c r="H478" s="3"/>
    </row>
    <row r="479" spans="1:8" x14ac:dyDescent="0.25">
      <c r="A479" s="22">
        <v>35796</v>
      </c>
      <c r="B479" s="23">
        <v>7</v>
      </c>
      <c r="C479" s="23">
        <v>8.58</v>
      </c>
      <c r="D479" s="23">
        <v>6.74</v>
      </c>
      <c r="E479" s="23"/>
      <c r="F479" s="23"/>
      <c r="G479" s="23">
        <v>6.66</v>
      </c>
      <c r="H479" s="3"/>
    </row>
    <row r="480" spans="1:8" x14ac:dyDescent="0.25">
      <c r="A480" s="22">
        <v>35827</v>
      </c>
      <c r="B480" s="23">
        <v>7</v>
      </c>
      <c r="C480" s="23">
        <v>8.58</v>
      </c>
      <c r="D480" s="23">
        <v>6.74</v>
      </c>
      <c r="E480" s="23"/>
      <c r="F480" s="23"/>
      <c r="G480" s="23">
        <v>6.78</v>
      </c>
      <c r="H480" s="3"/>
    </row>
    <row r="481" spans="1:8" x14ac:dyDescent="0.25">
      <c r="A481" s="22">
        <v>35855</v>
      </c>
      <c r="B481" s="23">
        <v>7</v>
      </c>
      <c r="C481" s="23">
        <v>8.1999999999999993</v>
      </c>
      <c r="D481" s="23">
        <v>6.74</v>
      </c>
      <c r="E481" s="23"/>
      <c r="F481" s="23"/>
      <c r="G481" s="23">
        <v>6.81</v>
      </c>
      <c r="H481" s="3"/>
    </row>
    <row r="482" spans="1:8" x14ac:dyDescent="0.25">
      <c r="A482" s="22">
        <v>35886</v>
      </c>
      <c r="B482" s="23">
        <v>7</v>
      </c>
      <c r="C482" s="23">
        <v>7.95</v>
      </c>
      <c r="D482" s="23">
        <v>6.74</v>
      </c>
      <c r="E482" s="23"/>
      <c r="F482" s="23"/>
      <c r="G482" s="23">
        <v>6.77</v>
      </c>
      <c r="H482" s="3"/>
    </row>
    <row r="483" spans="1:8" x14ac:dyDescent="0.25">
      <c r="A483" s="22">
        <v>35916</v>
      </c>
      <c r="B483" s="23">
        <v>6.89</v>
      </c>
      <c r="C483" s="23">
        <v>7.95</v>
      </c>
      <c r="D483" s="23">
        <v>6.74</v>
      </c>
      <c r="E483" s="23"/>
      <c r="F483" s="23"/>
      <c r="G483" s="23">
        <v>6.73</v>
      </c>
      <c r="H483" s="3"/>
    </row>
    <row r="484" spans="1:8" x14ac:dyDescent="0.25">
      <c r="A484" s="22">
        <v>35947</v>
      </c>
      <c r="B484" s="23">
        <v>6.89</v>
      </c>
      <c r="C484" s="23">
        <v>7.95</v>
      </c>
      <c r="D484" s="23">
        <v>6.74</v>
      </c>
      <c r="E484" s="23"/>
      <c r="F484" s="23"/>
      <c r="G484" s="23">
        <v>6.85</v>
      </c>
      <c r="H484" s="3"/>
    </row>
    <row r="485" spans="1:8" x14ac:dyDescent="0.25">
      <c r="A485" s="22">
        <v>35977</v>
      </c>
      <c r="B485" s="23">
        <v>6.89</v>
      </c>
      <c r="C485" s="23">
        <v>7.95</v>
      </c>
      <c r="D485" s="23">
        <v>6.74</v>
      </c>
      <c r="E485" s="23"/>
      <c r="F485" s="23"/>
      <c r="G485" s="23">
        <v>6.85</v>
      </c>
      <c r="H485" s="3"/>
    </row>
    <row r="486" spans="1:8" x14ac:dyDescent="0.25">
      <c r="A486" s="22">
        <v>36008</v>
      </c>
      <c r="B486" s="23">
        <v>6.89</v>
      </c>
      <c r="C486" s="23">
        <v>7.95</v>
      </c>
      <c r="D486" s="23">
        <v>6.74</v>
      </c>
      <c r="E486" s="23"/>
      <c r="F486" s="23"/>
      <c r="G486" s="23">
        <v>6.83</v>
      </c>
      <c r="H486" s="3"/>
    </row>
    <row r="487" spans="1:8" x14ac:dyDescent="0.25">
      <c r="A487" s="22">
        <v>36039</v>
      </c>
      <c r="B487" s="23">
        <v>6.89</v>
      </c>
      <c r="C487" s="23">
        <v>7.95</v>
      </c>
      <c r="D487" s="23">
        <v>6.74</v>
      </c>
      <c r="E487" s="23"/>
      <c r="F487" s="23"/>
      <c r="G487" s="23">
        <v>6.64</v>
      </c>
      <c r="H487" s="3"/>
    </row>
    <row r="488" spans="1:8" x14ac:dyDescent="0.25">
      <c r="A488" s="22">
        <v>36069</v>
      </c>
      <c r="B488" s="23">
        <v>6.89</v>
      </c>
      <c r="C488" s="23">
        <v>7.95</v>
      </c>
      <c r="D488" s="23">
        <v>6.74</v>
      </c>
      <c r="E488" s="23"/>
      <c r="F488" s="23"/>
      <c r="G488" s="23">
        <v>6.48</v>
      </c>
      <c r="H488" s="3"/>
    </row>
    <row r="489" spans="1:8" x14ac:dyDescent="0.25">
      <c r="A489" s="22">
        <v>36100</v>
      </c>
      <c r="B489" s="23">
        <v>6.89</v>
      </c>
      <c r="C489" s="23">
        <v>7.95</v>
      </c>
      <c r="D489" s="23">
        <v>6.74</v>
      </c>
      <c r="E489" s="23"/>
      <c r="F489" s="23"/>
      <c r="G489" s="23">
        <v>6.48</v>
      </c>
      <c r="H489" s="3"/>
    </row>
    <row r="490" spans="1:8" x14ac:dyDescent="0.25">
      <c r="A490" s="22">
        <v>36130</v>
      </c>
      <c r="B490" s="23">
        <v>6.71</v>
      </c>
      <c r="C490" s="23">
        <v>7.77</v>
      </c>
      <c r="D490" s="23">
        <v>6.52</v>
      </c>
      <c r="E490" s="23"/>
      <c r="F490" s="23"/>
      <c r="G490" s="23">
        <v>6.44</v>
      </c>
      <c r="H490" s="3"/>
    </row>
    <row r="491" spans="1:8" x14ac:dyDescent="0.25">
      <c r="A491" s="22">
        <v>36161</v>
      </c>
      <c r="B491" s="23">
        <v>6.63</v>
      </c>
      <c r="C491" s="23">
        <v>7.77</v>
      </c>
      <c r="D491" s="23">
        <v>6.52</v>
      </c>
      <c r="E491" s="23"/>
      <c r="F491" s="23"/>
      <c r="G491" s="23">
        <v>6.44</v>
      </c>
      <c r="H491" s="3"/>
    </row>
    <row r="492" spans="1:8" x14ac:dyDescent="0.25">
      <c r="A492" s="22">
        <v>36192</v>
      </c>
      <c r="B492" s="23">
        <v>6.63</v>
      </c>
      <c r="C492" s="23">
        <v>7.77</v>
      </c>
      <c r="D492" s="23">
        <v>6.52</v>
      </c>
      <c r="E492" s="23"/>
      <c r="F492" s="23"/>
      <c r="G492" s="23">
        <v>6.4</v>
      </c>
      <c r="H492" s="3"/>
    </row>
    <row r="493" spans="1:8" x14ac:dyDescent="0.25">
      <c r="A493" s="22">
        <v>36220</v>
      </c>
      <c r="B493" s="23">
        <v>6.63</v>
      </c>
      <c r="C493" s="23">
        <v>7.77</v>
      </c>
      <c r="D493" s="23">
        <v>6.52</v>
      </c>
      <c r="E493" s="23"/>
      <c r="F493" s="23"/>
      <c r="G493" s="23">
        <v>6.63</v>
      </c>
      <c r="H493" s="3"/>
    </row>
    <row r="494" spans="1:8" x14ac:dyDescent="0.25">
      <c r="A494" s="22">
        <v>36251</v>
      </c>
      <c r="B494" s="23">
        <v>6.63</v>
      </c>
      <c r="C494" s="23">
        <v>7.7</v>
      </c>
      <c r="D494" s="23">
        <v>6.52</v>
      </c>
      <c r="E494" s="23"/>
      <c r="F494" s="23"/>
      <c r="G494" s="23">
        <v>6.64</v>
      </c>
      <c r="H494" s="3"/>
    </row>
    <row r="495" spans="1:8" x14ac:dyDescent="0.25">
      <c r="A495" s="22">
        <v>36281</v>
      </c>
      <c r="B495" s="23">
        <v>6.63</v>
      </c>
      <c r="C495" s="23">
        <v>7.7</v>
      </c>
      <c r="D495" s="23">
        <v>6.52</v>
      </c>
      <c r="E495" s="23"/>
      <c r="F495" s="23"/>
      <c r="G495" s="23">
        <v>6.76</v>
      </c>
      <c r="H495" s="3"/>
    </row>
    <row r="496" spans="1:8" x14ac:dyDescent="0.25">
      <c r="A496" s="22">
        <v>36312</v>
      </c>
      <c r="B496" s="23">
        <v>6.63</v>
      </c>
      <c r="C496" s="23">
        <v>7.7</v>
      </c>
      <c r="D496" s="23">
        <v>6.52</v>
      </c>
      <c r="E496" s="23"/>
      <c r="F496" s="23"/>
      <c r="G496" s="23">
        <v>6.98</v>
      </c>
      <c r="H496" s="3"/>
    </row>
    <row r="497" spans="1:8" x14ac:dyDescent="0.25">
      <c r="A497" s="22">
        <v>36342</v>
      </c>
      <c r="B497" s="23">
        <v>6.63</v>
      </c>
      <c r="C497" s="23">
        <v>7.7</v>
      </c>
      <c r="D497" s="23">
        <v>6.55</v>
      </c>
      <c r="E497" s="23"/>
      <c r="F497" s="23"/>
      <c r="G497" s="23">
        <v>6.94</v>
      </c>
      <c r="H497" s="3"/>
    </row>
    <row r="498" spans="1:8" x14ac:dyDescent="0.25">
      <c r="A498" s="22">
        <v>36373</v>
      </c>
      <c r="B498" s="23">
        <v>6.63</v>
      </c>
      <c r="C498" s="23">
        <v>7.7</v>
      </c>
      <c r="D498" s="23">
        <v>6.55</v>
      </c>
      <c r="E498" s="23"/>
      <c r="F498" s="23"/>
      <c r="G498" s="23">
        <v>7.15</v>
      </c>
      <c r="H498" s="3"/>
    </row>
    <row r="499" spans="1:8" x14ac:dyDescent="0.25">
      <c r="A499" s="22">
        <v>36404</v>
      </c>
      <c r="B499" s="23">
        <v>6.63</v>
      </c>
      <c r="C499" s="23">
        <v>7.7</v>
      </c>
      <c r="D499" s="23">
        <v>6.55</v>
      </c>
      <c r="E499" s="23"/>
      <c r="F499" s="23"/>
      <c r="G499" s="23">
        <v>7.3</v>
      </c>
      <c r="H499" s="3"/>
    </row>
    <row r="500" spans="1:8" x14ac:dyDescent="0.25">
      <c r="A500" s="22">
        <v>36434</v>
      </c>
      <c r="B500" s="23">
        <v>6.63</v>
      </c>
      <c r="C500" s="23">
        <v>7.7</v>
      </c>
      <c r="D500" s="23">
        <v>6.55</v>
      </c>
      <c r="E500" s="23"/>
      <c r="F500" s="23"/>
      <c r="G500" s="23">
        <v>7.5</v>
      </c>
      <c r="H500" s="3"/>
    </row>
    <row r="501" spans="1:8" x14ac:dyDescent="0.25">
      <c r="A501" s="22">
        <v>36465</v>
      </c>
      <c r="B501" s="23">
        <v>6.81</v>
      </c>
      <c r="C501" s="23">
        <v>7.89</v>
      </c>
      <c r="D501" s="23">
        <v>6.75</v>
      </c>
      <c r="E501" s="23"/>
      <c r="F501" s="23"/>
      <c r="G501" s="23">
        <v>7.53</v>
      </c>
      <c r="H501" s="3"/>
    </row>
    <row r="502" spans="1:8" x14ac:dyDescent="0.25">
      <c r="A502" s="22">
        <v>36495</v>
      </c>
      <c r="B502" s="23">
        <v>6.87</v>
      </c>
      <c r="C502" s="23">
        <v>7.95</v>
      </c>
      <c r="D502" s="23">
        <v>6.8</v>
      </c>
      <c r="E502" s="23"/>
      <c r="F502" s="23"/>
      <c r="G502" s="23">
        <v>7.44</v>
      </c>
      <c r="H502" s="3"/>
    </row>
    <row r="503" spans="1:8" x14ac:dyDescent="0.25">
      <c r="A503" s="22">
        <v>36526</v>
      </c>
      <c r="B503" s="23">
        <v>6.87</v>
      </c>
      <c r="C503" s="23">
        <v>8.01</v>
      </c>
      <c r="D503" s="23">
        <v>6.8</v>
      </c>
      <c r="E503" s="23"/>
      <c r="F503" s="23"/>
      <c r="G503" s="23">
        <v>7.72</v>
      </c>
      <c r="H503" s="3"/>
    </row>
    <row r="504" spans="1:8" x14ac:dyDescent="0.25">
      <c r="A504" s="22">
        <v>36557</v>
      </c>
      <c r="B504" s="23">
        <v>7.38</v>
      </c>
      <c r="C504" s="23">
        <v>8.51</v>
      </c>
      <c r="D504" s="23">
        <v>7.3</v>
      </c>
      <c r="E504" s="23"/>
      <c r="F504" s="23"/>
      <c r="G504" s="23">
        <v>7.96</v>
      </c>
      <c r="H504" s="3"/>
    </row>
    <row r="505" spans="1:8" x14ac:dyDescent="0.25">
      <c r="A505" s="22">
        <v>36586</v>
      </c>
      <c r="B505" s="23">
        <v>7.4</v>
      </c>
      <c r="C505" s="23">
        <v>8.5299999999999994</v>
      </c>
      <c r="D505" s="23">
        <v>7.3</v>
      </c>
      <c r="E505" s="23"/>
      <c r="F505" s="23"/>
      <c r="G505" s="23">
        <v>7.88</v>
      </c>
      <c r="H505" s="3"/>
    </row>
    <row r="506" spans="1:8" x14ac:dyDescent="0.25">
      <c r="A506" s="22">
        <v>36617</v>
      </c>
      <c r="B506" s="23">
        <v>7.65</v>
      </c>
      <c r="C506" s="23">
        <v>8.7799999999999994</v>
      </c>
      <c r="D506" s="23">
        <v>7.55</v>
      </c>
      <c r="E506" s="23"/>
      <c r="F506" s="23"/>
      <c r="G506" s="23">
        <v>7.86</v>
      </c>
      <c r="H506" s="3"/>
    </row>
    <row r="507" spans="1:8" x14ac:dyDescent="0.25">
      <c r="A507" s="22">
        <v>36647</v>
      </c>
      <c r="B507" s="23">
        <v>7.9</v>
      </c>
      <c r="C507" s="23">
        <v>9.09</v>
      </c>
      <c r="D507" s="23">
        <v>7.8</v>
      </c>
      <c r="E507" s="23"/>
      <c r="F507" s="23"/>
      <c r="G507" s="23">
        <v>7.9</v>
      </c>
      <c r="H507" s="3"/>
    </row>
    <row r="508" spans="1:8" x14ac:dyDescent="0.25">
      <c r="A508" s="22">
        <v>36678</v>
      </c>
      <c r="B508" s="23">
        <v>7.9</v>
      </c>
      <c r="C508" s="23">
        <v>9.09</v>
      </c>
      <c r="D508" s="23">
        <v>7.8</v>
      </c>
      <c r="E508" s="23"/>
      <c r="F508" s="23"/>
      <c r="G508" s="23">
        <v>7.75</v>
      </c>
      <c r="H508" s="3"/>
    </row>
    <row r="509" spans="1:8" x14ac:dyDescent="0.25">
      <c r="A509" s="22">
        <v>36708</v>
      </c>
      <c r="B509" s="23">
        <v>7.93</v>
      </c>
      <c r="C509" s="23">
        <v>9.14</v>
      </c>
      <c r="D509" s="23">
        <v>7.81</v>
      </c>
      <c r="E509" s="23"/>
      <c r="F509" s="23"/>
      <c r="G509" s="23">
        <v>7.62</v>
      </c>
      <c r="H509" s="3"/>
    </row>
    <row r="510" spans="1:8" x14ac:dyDescent="0.25">
      <c r="A510" s="22">
        <v>36739</v>
      </c>
      <c r="B510" s="23">
        <v>8.1999999999999993</v>
      </c>
      <c r="C510" s="23">
        <v>9.41</v>
      </c>
      <c r="D510" s="23">
        <v>8.07</v>
      </c>
      <c r="E510" s="23"/>
      <c r="F510" s="23"/>
      <c r="G510" s="23">
        <v>7.71</v>
      </c>
      <c r="H510" s="3"/>
    </row>
    <row r="511" spans="1:8" x14ac:dyDescent="0.25">
      <c r="A511" s="22">
        <v>36770</v>
      </c>
      <c r="B511" s="23">
        <v>8.1999999999999993</v>
      </c>
      <c r="C511" s="23">
        <v>9.43</v>
      </c>
      <c r="D511" s="23">
        <v>8.07</v>
      </c>
      <c r="E511" s="23"/>
      <c r="F511" s="23"/>
      <c r="G511" s="23">
        <v>7.72</v>
      </c>
      <c r="H511" s="3"/>
    </row>
    <row r="512" spans="1:8" x14ac:dyDescent="0.25">
      <c r="A512" s="22">
        <v>36800</v>
      </c>
      <c r="B512" s="23">
        <v>8.1999999999999993</v>
      </c>
      <c r="C512" s="23">
        <v>9.43</v>
      </c>
      <c r="D512" s="23">
        <v>8.07</v>
      </c>
      <c r="E512" s="23"/>
      <c r="F512" s="23"/>
      <c r="G512" s="23">
        <v>7.7</v>
      </c>
      <c r="H512" s="3"/>
    </row>
    <row r="513" spans="1:8" x14ac:dyDescent="0.25">
      <c r="A513" s="22">
        <v>36831</v>
      </c>
      <c r="B513" s="23">
        <v>8.1999999999999993</v>
      </c>
      <c r="C513" s="23">
        <v>9.43</v>
      </c>
      <c r="D513" s="23">
        <v>8.07</v>
      </c>
      <c r="E513" s="23"/>
      <c r="F513" s="23"/>
      <c r="G513" s="23">
        <v>7.65</v>
      </c>
      <c r="H513" s="3"/>
    </row>
    <row r="514" spans="1:8" x14ac:dyDescent="0.25">
      <c r="A514" s="22">
        <v>36861</v>
      </c>
      <c r="B514" s="23">
        <v>8.1999999999999993</v>
      </c>
      <c r="C514" s="23">
        <v>9.43</v>
      </c>
      <c r="D514" s="23">
        <v>8.07</v>
      </c>
      <c r="E514" s="23"/>
      <c r="F514" s="23"/>
      <c r="G514" s="23">
        <v>7.25</v>
      </c>
      <c r="H514" s="3"/>
    </row>
    <row r="515" spans="1:8" x14ac:dyDescent="0.25">
      <c r="A515" s="22">
        <v>36892</v>
      </c>
      <c r="B515" s="23">
        <v>8.1999999999999993</v>
      </c>
      <c r="C515" s="23">
        <v>9.43</v>
      </c>
      <c r="D515" s="23">
        <v>8.07</v>
      </c>
      <c r="E515" s="23"/>
      <c r="F515" s="23"/>
      <c r="G515" s="23">
        <v>6.93</v>
      </c>
      <c r="H515" s="3"/>
    </row>
    <row r="516" spans="1:8" x14ac:dyDescent="0.25">
      <c r="A516" s="22">
        <v>36923</v>
      </c>
      <c r="B516" s="23">
        <v>7.85</v>
      </c>
      <c r="C516" s="23">
        <v>9.18</v>
      </c>
      <c r="D516" s="23">
        <v>7.57</v>
      </c>
      <c r="E516" s="23"/>
      <c r="F516" s="23"/>
      <c r="G516" s="23">
        <v>6.7</v>
      </c>
      <c r="H516" s="3"/>
    </row>
    <row r="517" spans="1:8" x14ac:dyDescent="0.25">
      <c r="A517" s="22">
        <v>36951</v>
      </c>
      <c r="B517" s="23">
        <v>7.51</v>
      </c>
      <c r="C517" s="23">
        <v>8.7200000000000006</v>
      </c>
      <c r="D517" s="23">
        <v>7.32</v>
      </c>
      <c r="E517" s="23"/>
      <c r="F517" s="23"/>
      <c r="G517" s="23">
        <v>6.39</v>
      </c>
      <c r="H517" s="3"/>
    </row>
    <row r="518" spans="1:8" x14ac:dyDescent="0.25">
      <c r="A518" s="22">
        <v>36982</v>
      </c>
      <c r="B518" s="23">
        <v>7.14</v>
      </c>
      <c r="C518" s="23">
        <v>8.4700000000000006</v>
      </c>
      <c r="D518" s="23">
        <v>6.82</v>
      </c>
      <c r="E518" s="23"/>
      <c r="F518" s="23"/>
      <c r="G518" s="23">
        <v>6.37</v>
      </c>
      <c r="H518" s="3"/>
    </row>
    <row r="519" spans="1:8" x14ac:dyDescent="0.25">
      <c r="A519" s="22">
        <v>37012</v>
      </c>
      <c r="B519" s="23">
        <v>7.01</v>
      </c>
      <c r="C519" s="23">
        <v>8.2200000000000006</v>
      </c>
      <c r="D519" s="23">
        <v>6.82</v>
      </c>
      <c r="E519" s="23"/>
      <c r="F519" s="23"/>
      <c r="G519" s="23">
        <v>6.49</v>
      </c>
      <c r="H519" s="3"/>
    </row>
    <row r="520" spans="1:8" x14ac:dyDescent="0.25">
      <c r="A520" s="22">
        <v>37043</v>
      </c>
      <c r="B520" s="23">
        <v>7.01</v>
      </c>
      <c r="C520" s="23">
        <v>8.2200000000000006</v>
      </c>
      <c r="D520" s="23">
        <v>6.82</v>
      </c>
      <c r="E520" s="23"/>
      <c r="F520" s="23"/>
      <c r="G520" s="23">
        <v>6.57</v>
      </c>
      <c r="H520" s="3"/>
    </row>
    <row r="521" spans="1:8" x14ac:dyDescent="0.25">
      <c r="A521" s="22">
        <v>37073</v>
      </c>
      <c r="B521" s="23">
        <v>7.01</v>
      </c>
      <c r="C521" s="23">
        <v>8.2200000000000006</v>
      </c>
      <c r="D521" s="23">
        <v>6.82</v>
      </c>
      <c r="E521" s="23"/>
      <c r="F521" s="23"/>
      <c r="G521" s="23">
        <v>6.8</v>
      </c>
      <c r="H521" s="3"/>
    </row>
    <row r="522" spans="1:8" x14ac:dyDescent="0.25">
      <c r="A522" s="22">
        <v>37104</v>
      </c>
      <c r="B522" s="23">
        <v>7.01</v>
      </c>
      <c r="C522" s="23">
        <v>8.2200000000000006</v>
      </c>
      <c r="D522" s="23">
        <v>6.82</v>
      </c>
      <c r="E522" s="23"/>
      <c r="F522" s="23"/>
      <c r="G522" s="23">
        <v>6.78</v>
      </c>
      <c r="H522" s="3"/>
    </row>
    <row r="523" spans="1:8" x14ac:dyDescent="0.25">
      <c r="A523" s="22">
        <v>37135</v>
      </c>
      <c r="B523" s="23">
        <v>6.72</v>
      </c>
      <c r="C523" s="23">
        <v>8.0299999999999994</v>
      </c>
      <c r="D523" s="23">
        <v>6.57</v>
      </c>
      <c r="E523" s="23"/>
      <c r="F523" s="23"/>
      <c r="G523" s="23">
        <v>6.65</v>
      </c>
      <c r="H523" s="3"/>
    </row>
    <row r="524" spans="1:8" x14ac:dyDescent="0.25">
      <c r="A524" s="22">
        <v>37165</v>
      </c>
      <c r="B524" s="23">
        <v>6.47</v>
      </c>
      <c r="C524" s="23">
        <v>7.91</v>
      </c>
      <c r="D524" s="23">
        <v>6.32</v>
      </c>
      <c r="E524" s="23"/>
      <c r="F524" s="23"/>
      <c r="G524" s="23">
        <v>6.31</v>
      </c>
      <c r="H524" s="3"/>
    </row>
    <row r="525" spans="1:8" x14ac:dyDescent="0.25">
      <c r="A525" s="22">
        <v>37196</v>
      </c>
      <c r="B525" s="23">
        <v>6.47</v>
      </c>
      <c r="C525" s="23">
        <v>7.84</v>
      </c>
      <c r="D525" s="23">
        <v>6.32</v>
      </c>
      <c r="E525" s="23"/>
      <c r="F525" s="23"/>
      <c r="G525" s="23">
        <v>5.94</v>
      </c>
      <c r="H525" s="3"/>
    </row>
    <row r="526" spans="1:8" x14ac:dyDescent="0.25">
      <c r="A526" s="22">
        <v>37226</v>
      </c>
      <c r="B526" s="23">
        <v>6.29</v>
      </c>
      <c r="C526" s="23">
        <v>7.78</v>
      </c>
      <c r="D526" s="23">
        <v>6.07</v>
      </c>
      <c r="E526" s="23"/>
      <c r="F526" s="23"/>
      <c r="G526" s="23">
        <v>5.98</v>
      </c>
      <c r="H526" s="3"/>
    </row>
    <row r="527" spans="1:8" x14ac:dyDescent="0.25">
      <c r="A527" s="22">
        <v>37257</v>
      </c>
      <c r="B527" s="23">
        <v>6.29</v>
      </c>
      <c r="C527" s="23">
        <v>7.72</v>
      </c>
      <c r="D527" s="23">
        <v>6.07</v>
      </c>
      <c r="E527" s="23"/>
      <c r="F527" s="23"/>
      <c r="G527" s="23">
        <v>6.31</v>
      </c>
      <c r="H527" s="3"/>
    </row>
    <row r="528" spans="1:8" x14ac:dyDescent="0.25">
      <c r="A528" s="22">
        <v>37288</v>
      </c>
      <c r="B528" s="23">
        <v>6.24</v>
      </c>
      <c r="C528" s="23">
        <v>7.72</v>
      </c>
      <c r="D528" s="23">
        <v>6.07</v>
      </c>
      <c r="E528" s="23"/>
      <c r="F528" s="23"/>
      <c r="G528" s="23">
        <v>6.38</v>
      </c>
      <c r="H528" s="3"/>
    </row>
    <row r="529" spans="1:8" x14ac:dyDescent="0.25">
      <c r="A529" s="22">
        <v>37316</v>
      </c>
      <c r="B529" s="23">
        <v>6.24</v>
      </c>
      <c r="C529" s="23">
        <v>7.72</v>
      </c>
      <c r="D529" s="23">
        <v>6.07</v>
      </c>
      <c r="E529" s="23"/>
      <c r="F529" s="23"/>
      <c r="G529" s="23">
        <v>6.62</v>
      </c>
      <c r="H529" s="3"/>
    </row>
    <row r="530" spans="1:8" x14ac:dyDescent="0.25">
      <c r="A530" s="22">
        <v>37347</v>
      </c>
      <c r="B530" s="23">
        <v>6.24</v>
      </c>
      <c r="C530" s="23">
        <v>7.72</v>
      </c>
      <c r="D530" s="23">
        <v>6.07</v>
      </c>
      <c r="E530" s="23"/>
      <c r="F530" s="23"/>
      <c r="G530" s="23">
        <v>6.85</v>
      </c>
      <c r="H530" s="3"/>
    </row>
    <row r="531" spans="1:8" x14ac:dyDescent="0.25">
      <c r="A531" s="22">
        <v>37377</v>
      </c>
      <c r="B531" s="23">
        <v>6.49</v>
      </c>
      <c r="C531" s="23">
        <v>7.97</v>
      </c>
      <c r="D531" s="23">
        <v>6.32</v>
      </c>
      <c r="E531" s="23"/>
      <c r="F531" s="23"/>
      <c r="G531" s="23">
        <v>6.79</v>
      </c>
      <c r="H531" s="3"/>
    </row>
    <row r="532" spans="1:8" x14ac:dyDescent="0.25">
      <c r="A532" s="22">
        <v>37408</v>
      </c>
      <c r="B532" s="23">
        <v>6.74</v>
      </c>
      <c r="C532" s="23">
        <v>8.2200000000000006</v>
      </c>
      <c r="D532" s="23">
        <v>6.57</v>
      </c>
      <c r="E532" s="23"/>
      <c r="F532" s="23"/>
      <c r="G532" s="23">
        <v>6.91</v>
      </c>
      <c r="H532" s="3"/>
    </row>
    <row r="533" spans="1:8" x14ac:dyDescent="0.25">
      <c r="A533" s="22">
        <v>37438</v>
      </c>
      <c r="B533" s="23">
        <v>6.74</v>
      </c>
      <c r="C533" s="23">
        <v>8.2200000000000006</v>
      </c>
      <c r="D533" s="23">
        <v>6.57</v>
      </c>
      <c r="E533" s="23"/>
      <c r="F533" s="23"/>
      <c r="G533" s="23">
        <v>6.75</v>
      </c>
      <c r="H533" s="3"/>
    </row>
    <row r="534" spans="1:8" x14ac:dyDescent="0.25">
      <c r="A534" s="22">
        <v>37469</v>
      </c>
      <c r="B534" s="23">
        <v>6.74</v>
      </c>
      <c r="C534" s="23">
        <v>8.2200000000000006</v>
      </c>
      <c r="D534" s="23">
        <v>6.57</v>
      </c>
      <c r="E534" s="23"/>
      <c r="F534" s="23"/>
      <c r="G534" s="23">
        <v>6.57</v>
      </c>
      <c r="H534" s="3"/>
    </row>
    <row r="535" spans="1:8" x14ac:dyDescent="0.25">
      <c r="A535" s="22">
        <v>37500</v>
      </c>
      <c r="B535" s="23">
        <v>6.74</v>
      </c>
      <c r="C535" s="23">
        <v>8.2200000000000006</v>
      </c>
      <c r="D535" s="23">
        <v>6.57</v>
      </c>
      <c r="E535" s="23"/>
      <c r="F535" s="23"/>
      <c r="G535" s="23">
        <v>6.41</v>
      </c>
      <c r="H535" s="3"/>
    </row>
    <row r="536" spans="1:8" x14ac:dyDescent="0.25">
      <c r="A536" s="22">
        <v>37530</v>
      </c>
      <c r="B536" s="23">
        <v>6.74</v>
      </c>
      <c r="C536" s="23">
        <v>8.2200000000000006</v>
      </c>
      <c r="D536" s="23">
        <v>6.57</v>
      </c>
      <c r="E536" s="23"/>
      <c r="F536" s="23"/>
      <c r="G536" s="23">
        <v>6.39</v>
      </c>
      <c r="H536" s="3"/>
    </row>
    <row r="537" spans="1:8" x14ac:dyDescent="0.25">
      <c r="A537" s="22">
        <v>37561</v>
      </c>
      <c r="B537" s="23">
        <v>6.74</v>
      </c>
      <c r="C537" s="23">
        <v>8.2200000000000006</v>
      </c>
      <c r="D537" s="23">
        <v>6.57</v>
      </c>
      <c r="E537" s="23"/>
      <c r="F537" s="23"/>
      <c r="G537" s="23">
        <v>6.39</v>
      </c>
      <c r="H537" s="3"/>
    </row>
    <row r="538" spans="1:8" x14ac:dyDescent="0.25">
      <c r="A538" s="22">
        <v>37591</v>
      </c>
      <c r="B538" s="23">
        <v>6.74</v>
      </c>
      <c r="C538" s="23">
        <v>8.2200000000000006</v>
      </c>
      <c r="D538" s="23">
        <v>6.57</v>
      </c>
      <c r="E538" s="23"/>
      <c r="F538" s="23"/>
      <c r="G538" s="23">
        <v>6.39</v>
      </c>
      <c r="H538" s="3"/>
    </row>
    <row r="539" spans="1:8" x14ac:dyDescent="0.25">
      <c r="A539" s="22">
        <v>37622</v>
      </c>
      <c r="B539" s="23">
        <v>6.74</v>
      </c>
      <c r="C539" s="23">
        <v>8.2200000000000006</v>
      </c>
      <c r="D539" s="23">
        <v>6.57</v>
      </c>
      <c r="E539" s="23"/>
      <c r="F539" s="23"/>
      <c r="G539" s="23">
        <v>6.37</v>
      </c>
      <c r="H539" s="3"/>
    </row>
    <row r="540" spans="1:8" x14ac:dyDescent="0.25">
      <c r="A540" s="22">
        <v>37653</v>
      </c>
      <c r="B540" s="23">
        <v>6.74</v>
      </c>
      <c r="C540" s="23">
        <v>8.2200000000000006</v>
      </c>
      <c r="D540" s="23">
        <v>6.57</v>
      </c>
      <c r="E540" s="23"/>
      <c r="F540" s="23"/>
      <c r="G540" s="23">
        <v>6.17</v>
      </c>
      <c r="H540" s="3"/>
    </row>
    <row r="541" spans="1:8" x14ac:dyDescent="0.25">
      <c r="A541" s="22">
        <v>37681</v>
      </c>
      <c r="B541" s="23">
        <v>6.74</v>
      </c>
      <c r="C541" s="23">
        <v>8.2200000000000006</v>
      </c>
      <c r="D541" s="23">
        <v>6.57</v>
      </c>
      <c r="E541" s="23"/>
      <c r="F541" s="23"/>
      <c r="G541" s="23">
        <v>6.09</v>
      </c>
      <c r="H541" s="3"/>
    </row>
    <row r="542" spans="1:8" x14ac:dyDescent="0.25">
      <c r="A542" s="22">
        <v>37712</v>
      </c>
      <c r="B542" s="23">
        <v>6.74</v>
      </c>
      <c r="C542" s="23">
        <v>8.2200000000000006</v>
      </c>
      <c r="D542" s="23">
        <v>6.57</v>
      </c>
      <c r="E542" s="23"/>
      <c r="F542" s="23"/>
      <c r="G542" s="23">
        <v>6.09</v>
      </c>
      <c r="H542" s="3"/>
    </row>
    <row r="543" spans="1:8" x14ac:dyDescent="0.25">
      <c r="A543" s="22">
        <v>37742</v>
      </c>
      <c r="B543" s="23">
        <v>6.77</v>
      </c>
      <c r="C543" s="23">
        <v>8.2200000000000006</v>
      </c>
      <c r="D543" s="23">
        <v>6.57</v>
      </c>
      <c r="E543" s="23"/>
      <c r="F543" s="23"/>
      <c r="G543" s="23">
        <v>6.09</v>
      </c>
      <c r="H543" s="3"/>
    </row>
    <row r="544" spans="1:8" x14ac:dyDescent="0.25">
      <c r="A544" s="22">
        <v>37773</v>
      </c>
      <c r="B544" s="23">
        <v>6.77</v>
      </c>
      <c r="C544" s="23">
        <v>8.2200000000000006</v>
      </c>
      <c r="D544" s="23">
        <v>6.57</v>
      </c>
      <c r="E544" s="23"/>
      <c r="F544" s="23"/>
      <c r="G544" s="23">
        <v>5.9</v>
      </c>
      <c r="H544" s="3"/>
    </row>
    <row r="545" spans="1:8" x14ac:dyDescent="0.25">
      <c r="A545" s="22">
        <v>37803</v>
      </c>
      <c r="B545" s="23">
        <v>6.77</v>
      </c>
      <c r="C545" s="23">
        <v>8.2200000000000006</v>
      </c>
      <c r="D545" s="23">
        <v>6.57</v>
      </c>
      <c r="E545" s="23"/>
      <c r="F545" s="23"/>
      <c r="G545" s="23">
        <v>5.94</v>
      </c>
      <c r="H545" s="3"/>
    </row>
    <row r="546" spans="1:8" x14ac:dyDescent="0.25">
      <c r="A546" s="22">
        <v>37834</v>
      </c>
      <c r="B546" s="23">
        <v>6.77</v>
      </c>
      <c r="C546" s="23">
        <v>8.2200000000000006</v>
      </c>
      <c r="D546" s="23">
        <v>6.57</v>
      </c>
      <c r="E546" s="23"/>
      <c r="F546" s="23"/>
      <c r="G546" s="23">
        <v>6.15</v>
      </c>
      <c r="H546" s="3"/>
    </row>
    <row r="547" spans="1:8" x14ac:dyDescent="0.25">
      <c r="A547" s="22">
        <v>37865</v>
      </c>
      <c r="B547" s="23">
        <v>6.77</v>
      </c>
      <c r="C547" s="23">
        <v>8.2200000000000006</v>
      </c>
      <c r="D547" s="23">
        <v>6.57</v>
      </c>
      <c r="E547" s="23"/>
      <c r="F547" s="23"/>
      <c r="G547" s="23">
        <v>6.39</v>
      </c>
      <c r="H547" s="3"/>
    </row>
    <row r="548" spans="1:8" x14ac:dyDescent="0.25">
      <c r="A548" s="22">
        <v>37895</v>
      </c>
      <c r="B548" s="23">
        <v>6.77</v>
      </c>
      <c r="C548" s="23">
        <v>8.2200000000000006</v>
      </c>
      <c r="D548" s="23">
        <v>6.57</v>
      </c>
      <c r="E548" s="23"/>
      <c r="F548" s="23"/>
      <c r="G548" s="23">
        <v>6.55</v>
      </c>
      <c r="H548" s="3"/>
    </row>
    <row r="549" spans="1:8" x14ac:dyDescent="0.25">
      <c r="A549" s="22">
        <v>37926</v>
      </c>
      <c r="B549" s="23">
        <v>7.02</v>
      </c>
      <c r="C549" s="23">
        <v>8.41</v>
      </c>
      <c r="D549" s="23">
        <v>6.82</v>
      </c>
      <c r="E549" s="23"/>
      <c r="F549" s="23"/>
      <c r="G549" s="23">
        <v>6.98</v>
      </c>
      <c r="H549" s="3"/>
    </row>
    <row r="550" spans="1:8" x14ac:dyDescent="0.25">
      <c r="A550" s="22">
        <v>37956</v>
      </c>
      <c r="B550" s="23">
        <v>7.27</v>
      </c>
      <c r="C550" s="23">
        <v>8.7200000000000006</v>
      </c>
      <c r="D550" s="23">
        <v>7.07</v>
      </c>
      <c r="E550" s="23"/>
      <c r="F550" s="23"/>
      <c r="G550" s="23">
        <v>7.15</v>
      </c>
      <c r="H550" s="3"/>
    </row>
    <row r="551" spans="1:8" x14ac:dyDescent="0.25">
      <c r="A551" s="22">
        <v>37987</v>
      </c>
      <c r="B551" s="23">
        <v>7.27</v>
      </c>
      <c r="C551" s="23">
        <v>8.7200000000000006</v>
      </c>
      <c r="D551" s="23">
        <v>7.07</v>
      </c>
      <c r="E551" s="23"/>
      <c r="F551" s="23"/>
      <c r="G551" s="23">
        <v>7.06</v>
      </c>
      <c r="H551" s="3"/>
    </row>
    <row r="552" spans="1:8" x14ac:dyDescent="0.25">
      <c r="A552" s="22">
        <v>38018</v>
      </c>
      <c r="B552" s="23">
        <v>7.27</v>
      </c>
      <c r="C552" s="23">
        <v>8.7200000000000006</v>
      </c>
      <c r="D552" s="23">
        <v>7.07</v>
      </c>
      <c r="E552" s="23"/>
      <c r="F552" s="23"/>
      <c r="G552" s="23">
        <v>6.98</v>
      </c>
      <c r="H552" s="3"/>
    </row>
    <row r="553" spans="1:8" x14ac:dyDescent="0.25">
      <c r="A553" s="22">
        <v>38047</v>
      </c>
      <c r="B553" s="23">
        <v>7.27</v>
      </c>
      <c r="C553" s="23">
        <v>8.7200000000000006</v>
      </c>
      <c r="D553" s="23">
        <v>7.07</v>
      </c>
      <c r="E553" s="23"/>
      <c r="F553" s="23"/>
      <c r="G553" s="23">
        <v>6.97</v>
      </c>
      <c r="H553" s="3"/>
    </row>
    <row r="554" spans="1:8" x14ac:dyDescent="0.25">
      <c r="A554" s="22">
        <v>38078</v>
      </c>
      <c r="B554" s="23">
        <v>7.27</v>
      </c>
      <c r="C554" s="23">
        <v>8.7200000000000006</v>
      </c>
      <c r="D554" s="23">
        <v>7.07</v>
      </c>
      <c r="E554" s="23"/>
      <c r="F554" s="23"/>
      <c r="G554" s="23">
        <v>6.97</v>
      </c>
      <c r="H554" s="3"/>
    </row>
    <row r="555" spans="1:8" x14ac:dyDescent="0.25">
      <c r="A555" s="22">
        <v>38108</v>
      </c>
      <c r="B555" s="23">
        <v>7.27</v>
      </c>
      <c r="C555" s="23">
        <v>8.7200000000000006</v>
      </c>
      <c r="D555" s="23">
        <v>7.07</v>
      </c>
      <c r="E555" s="23"/>
      <c r="F555" s="23"/>
      <c r="G555" s="23">
        <v>6.97</v>
      </c>
      <c r="H555" s="3"/>
    </row>
    <row r="556" spans="1:8" x14ac:dyDescent="0.25">
      <c r="A556" s="22">
        <v>38139</v>
      </c>
      <c r="B556" s="23">
        <v>7.27</v>
      </c>
      <c r="C556" s="23">
        <v>8.7200000000000006</v>
      </c>
      <c r="D556" s="23">
        <v>7.07</v>
      </c>
      <c r="E556" s="23">
        <v>6.59</v>
      </c>
      <c r="F556" s="23"/>
      <c r="G556" s="23">
        <v>6.95</v>
      </c>
      <c r="H556" s="3"/>
    </row>
    <row r="557" spans="1:8" x14ac:dyDescent="0.25">
      <c r="A557" s="22">
        <v>38169</v>
      </c>
      <c r="B557" s="23">
        <v>7.27</v>
      </c>
      <c r="C557" s="23">
        <v>8.7200000000000006</v>
      </c>
      <c r="D557" s="23">
        <v>7.07</v>
      </c>
      <c r="E557" s="23">
        <v>6.59</v>
      </c>
      <c r="F557" s="23"/>
      <c r="G557" s="23">
        <v>6.95</v>
      </c>
      <c r="H557" s="3"/>
    </row>
    <row r="558" spans="1:8" x14ac:dyDescent="0.25">
      <c r="A558" s="22">
        <v>38200</v>
      </c>
      <c r="B558" s="23">
        <v>7.27</v>
      </c>
      <c r="C558" s="23">
        <v>8.7200000000000006</v>
      </c>
      <c r="D558" s="23">
        <v>7.07</v>
      </c>
      <c r="E558" s="23">
        <v>6.59</v>
      </c>
      <c r="F558" s="23"/>
      <c r="G558" s="23">
        <v>6.95</v>
      </c>
      <c r="H558" s="3"/>
    </row>
    <row r="559" spans="1:8" x14ac:dyDescent="0.25">
      <c r="A559" s="22">
        <v>38231</v>
      </c>
      <c r="B559" s="23">
        <v>7.27</v>
      </c>
      <c r="C559" s="23">
        <v>8.7200000000000006</v>
      </c>
      <c r="D559" s="23">
        <v>7.07</v>
      </c>
      <c r="E559" s="23">
        <v>6.59</v>
      </c>
      <c r="F559" s="23"/>
      <c r="G559" s="23">
        <v>6.84</v>
      </c>
      <c r="H559" s="3"/>
    </row>
    <row r="560" spans="1:8" x14ac:dyDescent="0.25">
      <c r="A560" s="22">
        <v>38261</v>
      </c>
      <c r="B560" s="23">
        <v>7.27</v>
      </c>
      <c r="C560" s="23">
        <v>8.7200000000000006</v>
      </c>
      <c r="D560" s="23">
        <v>7.07</v>
      </c>
      <c r="E560" s="23">
        <v>6.59</v>
      </c>
      <c r="F560" s="23"/>
      <c r="G560" s="23">
        <v>6.68</v>
      </c>
      <c r="H560" s="3"/>
    </row>
    <row r="561" spans="1:8" x14ac:dyDescent="0.25">
      <c r="A561" s="22">
        <v>38292</v>
      </c>
      <c r="B561" s="23">
        <v>7.27</v>
      </c>
      <c r="C561" s="23">
        <v>8.7200000000000006</v>
      </c>
      <c r="D561" s="23">
        <v>7.07</v>
      </c>
      <c r="E561" s="23">
        <v>6.59</v>
      </c>
      <c r="F561" s="23"/>
      <c r="G561" s="23">
        <v>6.66</v>
      </c>
      <c r="H561" s="3"/>
    </row>
    <row r="562" spans="1:8" x14ac:dyDescent="0.25">
      <c r="A562" s="22">
        <v>38322</v>
      </c>
      <c r="B562" s="23">
        <v>7.27</v>
      </c>
      <c r="C562" s="23">
        <v>8.7200000000000006</v>
      </c>
      <c r="D562" s="23">
        <v>7.07</v>
      </c>
      <c r="E562" s="23">
        <v>6.59</v>
      </c>
      <c r="F562" s="23"/>
      <c r="G562" s="23">
        <v>6.6</v>
      </c>
      <c r="H562" s="3"/>
    </row>
    <row r="563" spans="1:8" x14ac:dyDescent="0.25">
      <c r="A563" s="22">
        <v>38353</v>
      </c>
      <c r="B563" s="23">
        <v>7.27</v>
      </c>
      <c r="C563" s="23">
        <v>8.7200000000000006</v>
      </c>
      <c r="D563" s="23">
        <v>7.07</v>
      </c>
      <c r="E563" s="23">
        <v>6.59</v>
      </c>
      <c r="F563" s="23"/>
      <c r="G563" s="23">
        <v>6.6</v>
      </c>
      <c r="H563" s="3"/>
    </row>
    <row r="564" spans="1:8" x14ac:dyDescent="0.25">
      <c r="A564" s="22">
        <v>38384</v>
      </c>
      <c r="B564" s="23">
        <v>7.27</v>
      </c>
      <c r="C564" s="23">
        <v>8.7200000000000006</v>
      </c>
      <c r="D564" s="23">
        <v>7.07</v>
      </c>
      <c r="E564" s="23">
        <v>6.59</v>
      </c>
      <c r="F564" s="23"/>
      <c r="G564" s="23">
        <v>6.75</v>
      </c>
      <c r="H564" s="3"/>
    </row>
    <row r="565" spans="1:8" x14ac:dyDescent="0.25">
      <c r="A565" s="22">
        <v>38412</v>
      </c>
      <c r="B565" s="23">
        <v>7.52</v>
      </c>
      <c r="C565" s="23">
        <v>8.9700000000000006</v>
      </c>
      <c r="D565" s="23">
        <v>7.32</v>
      </c>
      <c r="E565" s="23">
        <v>6.82</v>
      </c>
      <c r="F565" s="23"/>
      <c r="G565" s="23">
        <v>6.92</v>
      </c>
      <c r="H565" s="3"/>
    </row>
    <row r="566" spans="1:8" x14ac:dyDescent="0.25">
      <c r="A566" s="22">
        <v>38443</v>
      </c>
      <c r="B566" s="23">
        <v>7.52</v>
      </c>
      <c r="C566" s="23">
        <v>8.9700000000000006</v>
      </c>
      <c r="D566" s="23">
        <v>7.32</v>
      </c>
      <c r="E566" s="23">
        <v>6.82</v>
      </c>
      <c r="F566" s="23"/>
      <c r="G566" s="23">
        <v>6.92</v>
      </c>
      <c r="H566" s="3"/>
    </row>
    <row r="567" spans="1:8" x14ac:dyDescent="0.25">
      <c r="A567" s="22">
        <v>38473</v>
      </c>
      <c r="B567" s="23">
        <v>7.52</v>
      </c>
      <c r="C567" s="23">
        <v>8.9700000000000006</v>
      </c>
      <c r="D567" s="23">
        <v>7.32</v>
      </c>
      <c r="E567" s="23">
        <v>6.78</v>
      </c>
      <c r="F567" s="23"/>
      <c r="G567" s="23">
        <v>6.86</v>
      </c>
      <c r="H567" s="3"/>
    </row>
    <row r="568" spans="1:8" x14ac:dyDescent="0.25">
      <c r="A568" s="22">
        <v>38504</v>
      </c>
      <c r="B568" s="23">
        <v>7.52</v>
      </c>
      <c r="C568" s="23">
        <v>8.9700000000000006</v>
      </c>
      <c r="D568" s="23">
        <v>7.32</v>
      </c>
      <c r="E568" s="23">
        <v>6.78</v>
      </c>
      <c r="F568" s="23"/>
      <c r="G568" s="23">
        <v>6.86</v>
      </c>
      <c r="H568" s="3"/>
    </row>
    <row r="569" spans="1:8" x14ac:dyDescent="0.25">
      <c r="A569" s="22">
        <v>38534</v>
      </c>
      <c r="B569" s="23">
        <v>7.52</v>
      </c>
      <c r="C569" s="23">
        <v>8.9700000000000006</v>
      </c>
      <c r="D569" s="23">
        <v>7.32</v>
      </c>
      <c r="E569" s="23">
        <v>6.7</v>
      </c>
      <c r="F569" s="23"/>
      <c r="G569" s="23">
        <v>6.86</v>
      </c>
      <c r="H569" s="3"/>
    </row>
    <row r="570" spans="1:8" x14ac:dyDescent="0.25">
      <c r="A570" s="22">
        <v>38565</v>
      </c>
      <c r="B570" s="23">
        <v>7.52</v>
      </c>
      <c r="C570" s="23">
        <v>8.9700000000000006</v>
      </c>
      <c r="D570" s="23">
        <v>7.32</v>
      </c>
      <c r="E570" s="23">
        <v>6.7</v>
      </c>
      <c r="F570" s="23"/>
      <c r="G570" s="23">
        <v>6.86</v>
      </c>
      <c r="H570" s="3"/>
    </row>
    <row r="571" spans="1:8" x14ac:dyDescent="0.25">
      <c r="A571" s="22">
        <v>38596</v>
      </c>
      <c r="B571" s="23">
        <v>7.52</v>
      </c>
      <c r="C571" s="23">
        <v>8.9700000000000006</v>
      </c>
      <c r="D571" s="23">
        <v>7.32</v>
      </c>
      <c r="E571" s="23">
        <v>6.68</v>
      </c>
      <c r="F571" s="23"/>
      <c r="G571" s="23">
        <v>6.56</v>
      </c>
      <c r="H571" s="3"/>
    </row>
    <row r="572" spans="1:8" x14ac:dyDescent="0.25">
      <c r="A572" s="22">
        <v>38626</v>
      </c>
      <c r="B572" s="23">
        <v>7.52</v>
      </c>
      <c r="C572" s="23">
        <v>8.9700000000000006</v>
      </c>
      <c r="D572" s="23">
        <v>7.32</v>
      </c>
      <c r="E572" s="23">
        <v>6.72</v>
      </c>
      <c r="F572" s="23"/>
      <c r="G572" s="23">
        <v>6.56</v>
      </c>
      <c r="H572" s="3"/>
    </row>
    <row r="573" spans="1:8" x14ac:dyDescent="0.25">
      <c r="A573" s="22">
        <v>38657</v>
      </c>
      <c r="B573" s="23">
        <v>7.52</v>
      </c>
      <c r="C573" s="23">
        <v>8.9700000000000006</v>
      </c>
      <c r="D573" s="23">
        <v>7.32</v>
      </c>
      <c r="E573" s="23">
        <v>6.72</v>
      </c>
      <c r="F573" s="23"/>
      <c r="G573" s="23">
        <v>6.66</v>
      </c>
      <c r="H573" s="3"/>
    </row>
    <row r="574" spans="1:8" x14ac:dyDescent="0.25">
      <c r="A574" s="22">
        <v>38687</v>
      </c>
      <c r="B574" s="23">
        <v>7.52</v>
      </c>
      <c r="C574" s="23">
        <v>8.9700000000000006</v>
      </c>
      <c r="D574" s="23">
        <v>7.32</v>
      </c>
      <c r="E574" s="23">
        <v>6.72</v>
      </c>
      <c r="F574" s="23"/>
      <c r="G574" s="23">
        <v>6.72</v>
      </c>
      <c r="H574" s="3"/>
    </row>
    <row r="575" spans="1:8" x14ac:dyDescent="0.25">
      <c r="A575" s="22">
        <v>38718</v>
      </c>
      <c r="B575" s="23">
        <v>7.55</v>
      </c>
      <c r="C575" s="23">
        <v>8.9700000000000006</v>
      </c>
      <c r="D575" s="23">
        <v>7.32</v>
      </c>
      <c r="E575" s="23">
        <v>6.72</v>
      </c>
      <c r="F575" s="23"/>
      <c r="G575" s="23">
        <v>6.69</v>
      </c>
      <c r="H575" s="3"/>
    </row>
    <row r="576" spans="1:8" x14ac:dyDescent="0.25">
      <c r="A576" s="22">
        <v>38749</v>
      </c>
      <c r="B576" s="23">
        <v>7.55</v>
      </c>
      <c r="C576" s="23">
        <v>8.9700000000000006</v>
      </c>
      <c r="D576" s="23">
        <v>7.32</v>
      </c>
      <c r="E576" s="23">
        <v>6.64</v>
      </c>
      <c r="F576" s="23"/>
      <c r="G576" s="23">
        <v>6.69</v>
      </c>
      <c r="H576" s="3"/>
    </row>
    <row r="577" spans="1:8" x14ac:dyDescent="0.25">
      <c r="A577" s="22">
        <v>38777</v>
      </c>
      <c r="B577" s="23">
        <v>7.55</v>
      </c>
      <c r="C577" s="23">
        <v>8.9700000000000006</v>
      </c>
      <c r="D577" s="23">
        <v>7.32</v>
      </c>
      <c r="E577" s="23">
        <v>6.64</v>
      </c>
      <c r="F577" s="23"/>
      <c r="G577" s="23">
        <v>6.65</v>
      </c>
      <c r="H577" s="3"/>
    </row>
    <row r="578" spans="1:8" x14ac:dyDescent="0.25">
      <c r="A578" s="22">
        <v>38808</v>
      </c>
      <c r="B578" s="23">
        <v>7.55</v>
      </c>
      <c r="C578" s="23">
        <v>8.9700000000000006</v>
      </c>
      <c r="D578" s="23">
        <v>7.32</v>
      </c>
      <c r="E578" s="23">
        <v>6.68</v>
      </c>
      <c r="F578" s="23"/>
      <c r="G578" s="23">
        <v>6.83</v>
      </c>
      <c r="H578" s="3"/>
    </row>
    <row r="579" spans="1:8" x14ac:dyDescent="0.25">
      <c r="A579" s="22">
        <v>38838</v>
      </c>
      <c r="B579" s="23">
        <v>7.8</v>
      </c>
      <c r="C579" s="23">
        <v>9.2200000000000006</v>
      </c>
      <c r="D579" s="23">
        <v>7.57</v>
      </c>
      <c r="E579" s="23">
        <v>6.93</v>
      </c>
      <c r="F579" s="23"/>
      <c r="G579" s="23">
        <v>7.01</v>
      </c>
      <c r="H579" s="3"/>
    </row>
    <row r="580" spans="1:8" x14ac:dyDescent="0.25">
      <c r="A580" s="22">
        <v>38869</v>
      </c>
      <c r="B580" s="23">
        <v>7.8</v>
      </c>
      <c r="C580" s="23">
        <v>9.2200000000000006</v>
      </c>
      <c r="D580" s="23">
        <v>7.57</v>
      </c>
      <c r="E580" s="23">
        <v>6.93</v>
      </c>
      <c r="F580" s="23"/>
      <c r="G580" s="23">
        <v>7.05</v>
      </c>
      <c r="H580" s="3"/>
    </row>
    <row r="581" spans="1:8" x14ac:dyDescent="0.25">
      <c r="A581" s="22">
        <v>38899</v>
      </c>
      <c r="B581" s="23">
        <v>7.8</v>
      </c>
      <c r="C581" s="23">
        <v>9.2200000000000006</v>
      </c>
      <c r="D581" s="23">
        <v>7.57</v>
      </c>
      <c r="E581" s="23">
        <v>6.97</v>
      </c>
      <c r="F581" s="23"/>
      <c r="G581" s="23">
        <v>7.2</v>
      </c>
      <c r="H581" s="3"/>
    </row>
    <row r="582" spans="1:8" x14ac:dyDescent="0.25">
      <c r="A582" s="22">
        <v>38930</v>
      </c>
      <c r="B582" s="23">
        <v>8.0500000000000007</v>
      </c>
      <c r="C582" s="23">
        <v>9.4700000000000006</v>
      </c>
      <c r="D582" s="23">
        <v>7.82</v>
      </c>
      <c r="E582" s="23">
        <v>7.22</v>
      </c>
      <c r="F582" s="23"/>
      <c r="G582" s="23">
        <v>7.32</v>
      </c>
      <c r="H582" s="3"/>
    </row>
    <row r="583" spans="1:8" x14ac:dyDescent="0.25">
      <c r="A583" s="22">
        <v>38961</v>
      </c>
      <c r="B583" s="23">
        <v>8.0500000000000007</v>
      </c>
      <c r="C583" s="23">
        <v>9.4700000000000006</v>
      </c>
      <c r="D583" s="23">
        <v>7.82</v>
      </c>
      <c r="E583" s="23">
        <v>7.22</v>
      </c>
      <c r="F583" s="23"/>
      <c r="G583" s="23">
        <v>7.27</v>
      </c>
      <c r="H583" s="3"/>
    </row>
    <row r="584" spans="1:8" x14ac:dyDescent="0.25">
      <c r="A584" s="22">
        <v>38991</v>
      </c>
      <c r="B584" s="23">
        <v>8.0500000000000007</v>
      </c>
      <c r="C584" s="23">
        <v>9.4700000000000006</v>
      </c>
      <c r="D584" s="23">
        <v>7.82</v>
      </c>
      <c r="E584" s="23">
        <v>7.22</v>
      </c>
      <c r="F584" s="23"/>
      <c r="G584" s="23">
        <v>7.24</v>
      </c>
      <c r="H584" s="3"/>
    </row>
    <row r="585" spans="1:8" x14ac:dyDescent="0.25">
      <c r="A585" s="22">
        <v>39022</v>
      </c>
      <c r="B585" s="23">
        <v>8.3000000000000007</v>
      </c>
      <c r="C585" s="23">
        <v>9.7200000000000006</v>
      </c>
      <c r="D585" s="23">
        <v>8.07</v>
      </c>
      <c r="E585" s="23">
        <v>7.43</v>
      </c>
      <c r="F585" s="23"/>
      <c r="G585" s="23">
        <v>7.23</v>
      </c>
      <c r="H585" s="3"/>
    </row>
    <row r="586" spans="1:8" x14ac:dyDescent="0.25">
      <c r="A586" s="22">
        <v>39052</v>
      </c>
      <c r="B586" s="23">
        <v>8.3000000000000007</v>
      </c>
      <c r="C586" s="23">
        <v>9.7200000000000006</v>
      </c>
      <c r="D586" s="23">
        <v>8.07</v>
      </c>
      <c r="E586" s="23">
        <v>7.47</v>
      </c>
      <c r="F586" s="23"/>
      <c r="G586" s="23">
        <v>7.26</v>
      </c>
      <c r="H586" s="3"/>
    </row>
    <row r="587" spans="1:8" x14ac:dyDescent="0.25">
      <c r="A587" s="22">
        <v>39083</v>
      </c>
      <c r="B587" s="23">
        <v>8.3000000000000007</v>
      </c>
      <c r="C587" s="23">
        <v>9.7200000000000006</v>
      </c>
      <c r="D587" s="23">
        <v>8.07</v>
      </c>
      <c r="E587" s="23">
        <v>7.47</v>
      </c>
      <c r="F587" s="23"/>
      <c r="G587" s="23">
        <v>7.3</v>
      </c>
      <c r="H587" s="3"/>
    </row>
    <row r="588" spans="1:8" x14ac:dyDescent="0.25">
      <c r="A588" s="22">
        <v>39114</v>
      </c>
      <c r="B588" s="23">
        <v>8.3000000000000007</v>
      </c>
      <c r="C588" s="23">
        <v>9.7200000000000006</v>
      </c>
      <c r="D588" s="23">
        <v>8.07</v>
      </c>
      <c r="E588" s="23">
        <v>7.47</v>
      </c>
      <c r="F588" s="23"/>
      <c r="G588" s="23">
        <v>7.3</v>
      </c>
      <c r="H588" s="3"/>
    </row>
    <row r="589" spans="1:8" x14ac:dyDescent="0.25">
      <c r="A589" s="22">
        <v>39142</v>
      </c>
      <c r="B589" s="23">
        <v>8.3000000000000007</v>
      </c>
      <c r="C589" s="23">
        <v>9.7200000000000006</v>
      </c>
      <c r="D589" s="23">
        <v>8.07</v>
      </c>
      <c r="E589" s="23">
        <v>7.47</v>
      </c>
      <c r="F589" s="23"/>
      <c r="G589" s="23">
        <v>7.3</v>
      </c>
      <c r="H589" s="3"/>
    </row>
    <row r="590" spans="1:8" x14ac:dyDescent="0.25">
      <c r="A590" s="22">
        <v>39173</v>
      </c>
      <c r="B590" s="23">
        <v>8.3000000000000007</v>
      </c>
      <c r="C590" s="23">
        <v>9.7200000000000006</v>
      </c>
      <c r="D590" s="23">
        <v>8.07</v>
      </c>
      <c r="E590" s="23">
        <v>7.47</v>
      </c>
      <c r="F590" s="23"/>
      <c r="G590" s="23">
        <v>7.45</v>
      </c>
      <c r="H590" s="3"/>
    </row>
    <row r="591" spans="1:8" x14ac:dyDescent="0.25">
      <c r="A591" s="22">
        <v>39203</v>
      </c>
      <c r="B591" s="23">
        <v>8.3000000000000007</v>
      </c>
      <c r="C591" s="23">
        <v>9.7200000000000006</v>
      </c>
      <c r="D591" s="23">
        <v>8.07</v>
      </c>
      <c r="E591" s="23">
        <v>7.47</v>
      </c>
      <c r="F591" s="23"/>
      <c r="G591" s="23">
        <v>7.44</v>
      </c>
      <c r="H591" s="3"/>
    </row>
    <row r="592" spans="1:8" x14ac:dyDescent="0.25">
      <c r="A592" s="22">
        <v>39234</v>
      </c>
      <c r="B592" s="23">
        <v>8.3000000000000007</v>
      </c>
      <c r="C592" s="23">
        <v>9.7200000000000006</v>
      </c>
      <c r="D592" s="23">
        <v>8.07</v>
      </c>
      <c r="E592" s="23">
        <v>7.47</v>
      </c>
      <c r="F592" s="23"/>
      <c r="G592" s="23">
        <v>7.51</v>
      </c>
      <c r="H592" s="3"/>
    </row>
    <row r="593" spans="1:8" x14ac:dyDescent="0.25">
      <c r="A593" s="22">
        <v>39264</v>
      </c>
      <c r="B593" s="23">
        <v>8.3000000000000007</v>
      </c>
      <c r="C593" s="23">
        <v>9.7200000000000006</v>
      </c>
      <c r="D593" s="23">
        <v>8.07</v>
      </c>
      <c r="E593" s="23">
        <v>7.47</v>
      </c>
      <c r="F593" s="23"/>
      <c r="G593" s="23">
        <v>7.69</v>
      </c>
      <c r="H593" s="3"/>
    </row>
    <row r="594" spans="1:8" x14ac:dyDescent="0.25">
      <c r="A594" s="22">
        <v>39295</v>
      </c>
      <c r="B594" s="23">
        <v>8.5500000000000007</v>
      </c>
      <c r="C594" s="23">
        <v>9.9700000000000006</v>
      </c>
      <c r="D594" s="23">
        <v>8.32</v>
      </c>
      <c r="E594" s="23">
        <v>7.72</v>
      </c>
      <c r="F594" s="23"/>
      <c r="G594" s="23">
        <v>7.81</v>
      </c>
      <c r="H594" s="3"/>
    </row>
    <row r="595" spans="1:8" x14ac:dyDescent="0.25">
      <c r="A595" s="22">
        <v>39326</v>
      </c>
      <c r="B595" s="23">
        <v>8.5500000000000007</v>
      </c>
      <c r="C595" s="23">
        <v>9.9700000000000006</v>
      </c>
      <c r="D595" s="23">
        <v>8.32</v>
      </c>
      <c r="E595" s="23">
        <v>7.72</v>
      </c>
      <c r="F595" s="23"/>
      <c r="G595" s="23">
        <v>7.76</v>
      </c>
      <c r="H595" s="3"/>
    </row>
    <row r="596" spans="1:8" x14ac:dyDescent="0.25">
      <c r="A596" s="22">
        <v>39356</v>
      </c>
      <c r="B596" s="23">
        <v>8.57</v>
      </c>
      <c r="C596" s="23">
        <v>9.99</v>
      </c>
      <c r="D596" s="23">
        <v>8.32</v>
      </c>
      <c r="E596" s="23">
        <v>7.72</v>
      </c>
      <c r="F596" s="23"/>
      <c r="G596" s="23">
        <v>7.83</v>
      </c>
      <c r="H596" s="3"/>
    </row>
    <row r="597" spans="1:8" x14ac:dyDescent="0.25">
      <c r="A597" s="22">
        <v>39387</v>
      </c>
      <c r="B597" s="23">
        <v>8.82</v>
      </c>
      <c r="C597" s="23">
        <v>10.28</v>
      </c>
      <c r="D597" s="23">
        <v>8.57</v>
      </c>
      <c r="E597" s="23">
        <v>7.97</v>
      </c>
      <c r="F597" s="23"/>
      <c r="G597" s="23">
        <v>8.19</v>
      </c>
      <c r="H597" s="3"/>
    </row>
    <row r="598" spans="1:8" x14ac:dyDescent="0.25">
      <c r="A598" s="22">
        <v>39417</v>
      </c>
      <c r="B598" s="23">
        <v>8.9700000000000006</v>
      </c>
      <c r="C598" s="23">
        <v>10.43</v>
      </c>
      <c r="D598" s="23">
        <v>8.57</v>
      </c>
      <c r="E598" s="23">
        <v>7.97</v>
      </c>
      <c r="F598" s="23"/>
      <c r="G598" s="23">
        <v>8.35</v>
      </c>
      <c r="H598" s="3"/>
    </row>
    <row r="599" spans="1:8" x14ac:dyDescent="0.25">
      <c r="A599" s="22">
        <v>39448</v>
      </c>
      <c r="B599" s="23">
        <v>9.07</v>
      </c>
      <c r="C599" s="23">
        <v>10.53</v>
      </c>
      <c r="D599" s="23">
        <v>8.7200000000000006</v>
      </c>
      <c r="E599" s="23">
        <v>8.1</v>
      </c>
      <c r="F599" s="23"/>
      <c r="G599" s="23">
        <v>8.4700000000000006</v>
      </c>
      <c r="H599" s="3"/>
    </row>
    <row r="600" spans="1:8" x14ac:dyDescent="0.25">
      <c r="A600" s="22">
        <v>39479</v>
      </c>
      <c r="B600" s="23">
        <v>9.36</v>
      </c>
      <c r="C600" s="23">
        <v>10.85</v>
      </c>
      <c r="D600" s="23">
        <v>8.99</v>
      </c>
      <c r="E600" s="23">
        <v>8.33</v>
      </c>
      <c r="F600" s="23"/>
      <c r="G600" s="23">
        <v>8.7200000000000006</v>
      </c>
      <c r="H600" s="3"/>
    </row>
    <row r="601" spans="1:8" x14ac:dyDescent="0.25">
      <c r="A601" s="22">
        <v>39508</v>
      </c>
      <c r="B601" s="23">
        <v>9.7200000000000006</v>
      </c>
      <c r="C601" s="23">
        <v>11.21</v>
      </c>
      <c r="D601" s="23">
        <v>9.34</v>
      </c>
      <c r="E601" s="23">
        <v>8.6999999999999993</v>
      </c>
      <c r="F601" s="23"/>
      <c r="G601" s="23">
        <v>8.9499999999999993</v>
      </c>
      <c r="H601" s="3"/>
    </row>
    <row r="602" spans="1:8" x14ac:dyDescent="0.25">
      <c r="A602" s="22">
        <v>39539</v>
      </c>
      <c r="B602" s="23">
        <v>9.86</v>
      </c>
      <c r="C602" s="23">
        <v>11.35</v>
      </c>
      <c r="D602" s="23">
        <v>9.44</v>
      </c>
      <c r="E602" s="23">
        <v>8.82</v>
      </c>
      <c r="F602" s="23"/>
      <c r="G602" s="23">
        <v>8.9700000000000006</v>
      </c>
      <c r="H602" s="3"/>
    </row>
    <row r="603" spans="1:8" x14ac:dyDescent="0.25">
      <c r="A603" s="22">
        <v>39569</v>
      </c>
      <c r="B603" s="23">
        <v>9.89</v>
      </c>
      <c r="C603" s="23">
        <v>11.37</v>
      </c>
      <c r="D603" s="23">
        <v>9.4600000000000009</v>
      </c>
      <c r="E603" s="23">
        <v>8.84</v>
      </c>
      <c r="F603" s="23"/>
      <c r="G603" s="23">
        <v>8.9700000000000006</v>
      </c>
      <c r="H603" s="3"/>
    </row>
    <row r="604" spans="1:8" x14ac:dyDescent="0.25">
      <c r="A604" s="22">
        <v>39600</v>
      </c>
      <c r="B604" s="23">
        <v>9.99</v>
      </c>
      <c r="C604" s="23">
        <v>11.47</v>
      </c>
      <c r="D604" s="23">
        <v>9.4600000000000009</v>
      </c>
      <c r="E604" s="23">
        <v>8.84</v>
      </c>
      <c r="F604" s="23"/>
      <c r="G604" s="23">
        <v>9.3000000000000007</v>
      </c>
      <c r="H604" s="3"/>
    </row>
    <row r="605" spans="1:8" x14ac:dyDescent="0.25">
      <c r="A605" s="22">
        <v>39630</v>
      </c>
      <c r="B605" s="23">
        <v>10.1</v>
      </c>
      <c r="C605" s="23">
        <v>11.58</v>
      </c>
      <c r="D605" s="23">
        <v>9.6199999999999992</v>
      </c>
      <c r="E605" s="23">
        <v>8.9600000000000009</v>
      </c>
      <c r="F605" s="23"/>
      <c r="G605" s="23">
        <v>9.42</v>
      </c>
      <c r="H605" s="3"/>
    </row>
    <row r="606" spans="1:8" x14ac:dyDescent="0.25">
      <c r="A606" s="22">
        <v>39661</v>
      </c>
      <c r="B606" s="23">
        <v>10.1</v>
      </c>
      <c r="C606" s="23">
        <v>11.58</v>
      </c>
      <c r="D606" s="23">
        <v>9.6199999999999992</v>
      </c>
      <c r="E606" s="23">
        <v>8.9600000000000009</v>
      </c>
      <c r="F606" s="23"/>
      <c r="G606" s="23">
        <v>8.89</v>
      </c>
      <c r="H606" s="3"/>
    </row>
    <row r="607" spans="1:8" x14ac:dyDescent="0.25">
      <c r="A607" s="22">
        <v>39692</v>
      </c>
      <c r="B607" s="23">
        <v>9.9700000000000006</v>
      </c>
      <c r="C607" s="23">
        <v>11.46</v>
      </c>
      <c r="D607" s="23">
        <v>9.36</v>
      </c>
      <c r="E607" s="23">
        <v>8.76</v>
      </c>
      <c r="F607" s="23"/>
      <c r="G607" s="23">
        <v>8.48</v>
      </c>
      <c r="H607" s="3"/>
    </row>
    <row r="608" spans="1:8" x14ac:dyDescent="0.25">
      <c r="A608" s="22">
        <v>39722</v>
      </c>
      <c r="B608" s="23">
        <v>9.41</v>
      </c>
      <c r="C608" s="23">
        <v>10.93</v>
      </c>
      <c r="D608" s="23">
        <v>8.34</v>
      </c>
      <c r="E608" s="23">
        <v>7.7</v>
      </c>
      <c r="F608" s="23"/>
      <c r="G608" s="23">
        <v>7.29</v>
      </c>
      <c r="H608" s="3"/>
    </row>
    <row r="609" spans="1:8" x14ac:dyDescent="0.25">
      <c r="A609" s="22">
        <v>39753</v>
      </c>
      <c r="B609" s="23">
        <v>9.2100000000000009</v>
      </c>
      <c r="C609" s="23">
        <v>10.73</v>
      </c>
      <c r="D609" s="23">
        <v>7.73</v>
      </c>
      <c r="E609" s="23">
        <v>7.09</v>
      </c>
      <c r="F609" s="23"/>
      <c r="G609" s="23">
        <v>6.91</v>
      </c>
      <c r="H609" s="3"/>
    </row>
    <row r="610" spans="1:8" x14ac:dyDescent="0.25">
      <c r="A610" s="22">
        <v>39783</v>
      </c>
      <c r="B610" s="23">
        <v>8.35</v>
      </c>
      <c r="C610" s="23">
        <v>9.93</v>
      </c>
      <c r="D610" s="23">
        <v>6.84</v>
      </c>
      <c r="E610" s="23">
        <v>6.2</v>
      </c>
      <c r="F610" s="23"/>
      <c r="G610" s="23">
        <v>6.25</v>
      </c>
      <c r="H610" s="3"/>
    </row>
    <row r="611" spans="1:8" x14ac:dyDescent="0.25">
      <c r="A611" s="22">
        <v>39814</v>
      </c>
      <c r="B611" s="23">
        <v>8.2799999999999994</v>
      </c>
      <c r="C611" s="23">
        <v>9.93</v>
      </c>
      <c r="D611" s="23">
        <v>6.84</v>
      </c>
      <c r="E611" s="23">
        <v>6.2</v>
      </c>
      <c r="F611" s="23"/>
      <c r="G611" s="23">
        <v>5.83</v>
      </c>
      <c r="H611" s="3"/>
    </row>
    <row r="612" spans="1:8" x14ac:dyDescent="0.25">
      <c r="A612" s="22">
        <v>39845</v>
      </c>
      <c r="B612" s="23">
        <v>7.28</v>
      </c>
      <c r="C612" s="23">
        <v>8.93</v>
      </c>
      <c r="D612" s="23">
        <v>5.84</v>
      </c>
      <c r="E612" s="23">
        <v>5.18</v>
      </c>
      <c r="F612" s="23"/>
      <c r="G612" s="23">
        <v>5.67</v>
      </c>
      <c r="H612" s="3"/>
    </row>
    <row r="613" spans="1:8" x14ac:dyDescent="0.25">
      <c r="A613" s="22">
        <v>39873</v>
      </c>
      <c r="B613" s="23">
        <v>7.22</v>
      </c>
      <c r="C613" s="23">
        <v>8.93</v>
      </c>
      <c r="D613" s="23">
        <v>5.84</v>
      </c>
      <c r="E613" s="23">
        <v>5.18</v>
      </c>
      <c r="F613" s="23"/>
      <c r="G613" s="23">
        <v>5.59</v>
      </c>
      <c r="H613" s="3"/>
    </row>
    <row r="614" spans="1:8" x14ac:dyDescent="0.25">
      <c r="A614" s="22">
        <v>39904</v>
      </c>
      <c r="B614" s="23">
        <v>7.08</v>
      </c>
      <c r="C614" s="23">
        <v>8.81</v>
      </c>
      <c r="D614" s="23">
        <v>5.76</v>
      </c>
      <c r="E614" s="23">
        <v>5.12</v>
      </c>
      <c r="F614" s="23"/>
      <c r="G614" s="23">
        <v>5.87</v>
      </c>
      <c r="H614" s="3"/>
    </row>
    <row r="615" spans="1:8" x14ac:dyDescent="0.25">
      <c r="A615" s="22">
        <v>39934</v>
      </c>
      <c r="B615" s="23">
        <v>7.08</v>
      </c>
      <c r="C615" s="23">
        <v>8.81</v>
      </c>
      <c r="D615" s="23">
        <v>5.76</v>
      </c>
      <c r="E615" s="23">
        <v>5.12</v>
      </c>
      <c r="F615" s="23"/>
      <c r="G615" s="23">
        <v>6.06</v>
      </c>
      <c r="H615" s="3"/>
    </row>
    <row r="616" spans="1:8" x14ac:dyDescent="0.25">
      <c r="A616" s="22">
        <v>39965</v>
      </c>
      <c r="B616" s="23">
        <v>7.11</v>
      </c>
      <c r="C616" s="23">
        <v>8.81</v>
      </c>
      <c r="D616" s="23">
        <v>5.78</v>
      </c>
      <c r="E616" s="23">
        <v>5.14</v>
      </c>
      <c r="F616" s="23"/>
      <c r="G616" s="23">
        <v>6.52</v>
      </c>
      <c r="H616" s="3"/>
    </row>
    <row r="617" spans="1:8" x14ac:dyDescent="0.25">
      <c r="A617" s="22">
        <v>39995</v>
      </c>
      <c r="B617" s="23">
        <v>7.11</v>
      </c>
      <c r="C617" s="23">
        <v>8.81</v>
      </c>
      <c r="D617" s="23">
        <v>5.78</v>
      </c>
      <c r="E617" s="23">
        <v>5.14</v>
      </c>
      <c r="F617" s="23"/>
      <c r="G617" s="23">
        <v>6.52</v>
      </c>
      <c r="H617" s="3"/>
    </row>
    <row r="618" spans="1:8" x14ac:dyDescent="0.25">
      <c r="A618" s="22">
        <v>40026</v>
      </c>
      <c r="B618" s="23">
        <v>7.11</v>
      </c>
      <c r="C618" s="23">
        <v>8.81</v>
      </c>
      <c r="D618" s="23">
        <v>5.78</v>
      </c>
      <c r="E618" s="23">
        <v>5.14</v>
      </c>
      <c r="F618" s="23"/>
      <c r="G618" s="23">
        <v>7.01</v>
      </c>
      <c r="H618" s="3"/>
    </row>
    <row r="619" spans="1:8" x14ac:dyDescent="0.25">
      <c r="A619" s="22">
        <v>40057</v>
      </c>
      <c r="B619" s="23">
        <v>7.11</v>
      </c>
      <c r="C619" s="23">
        <v>8.81</v>
      </c>
      <c r="D619" s="23">
        <v>5.78</v>
      </c>
      <c r="E619" s="23">
        <v>5.14</v>
      </c>
      <c r="F619" s="23"/>
      <c r="G619" s="23">
        <v>7.14</v>
      </c>
      <c r="H619" s="3"/>
    </row>
    <row r="620" spans="1:8" x14ac:dyDescent="0.25">
      <c r="A620" s="22">
        <v>40087</v>
      </c>
      <c r="B620" s="23">
        <v>7.36</v>
      </c>
      <c r="C620" s="23">
        <v>9.06</v>
      </c>
      <c r="D620" s="23">
        <v>6.03</v>
      </c>
      <c r="E620" s="23">
        <v>5.39</v>
      </c>
      <c r="F620" s="23"/>
      <c r="G620" s="23">
        <v>7.62</v>
      </c>
      <c r="H620" s="3"/>
    </row>
    <row r="621" spans="1:8" x14ac:dyDescent="0.25">
      <c r="A621" s="22">
        <v>40118</v>
      </c>
      <c r="B621" s="23">
        <v>7.55</v>
      </c>
      <c r="C621" s="23">
        <v>9.25</v>
      </c>
      <c r="D621" s="23">
        <v>6.28</v>
      </c>
      <c r="E621" s="23">
        <v>5.64</v>
      </c>
      <c r="F621" s="23"/>
      <c r="G621" s="23">
        <v>7.62</v>
      </c>
      <c r="H621" s="3"/>
    </row>
    <row r="622" spans="1:8" x14ac:dyDescent="0.25">
      <c r="A622" s="22">
        <v>40148</v>
      </c>
      <c r="B622" s="23">
        <v>7.84</v>
      </c>
      <c r="C622" s="23">
        <v>9.56</v>
      </c>
      <c r="D622" s="23">
        <v>6.64</v>
      </c>
      <c r="E622" s="23">
        <v>6</v>
      </c>
      <c r="F622" s="23"/>
      <c r="G622" s="23">
        <v>7.62</v>
      </c>
      <c r="H622" s="3"/>
    </row>
    <row r="623" spans="1:8" x14ac:dyDescent="0.25">
      <c r="A623" s="22">
        <v>40179</v>
      </c>
      <c r="B623" s="23">
        <v>7.84</v>
      </c>
      <c r="C623" s="23">
        <v>9.56</v>
      </c>
      <c r="D623" s="23">
        <v>6.64</v>
      </c>
      <c r="E623" s="23">
        <v>6</v>
      </c>
      <c r="F623" s="23"/>
      <c r="G623" s="23">
        <v>7.7</v>
      </c>
      <c r="H623" s="3"/>
    </row>
    <row r="624" spans="1:8" x14ac:dyDescent="0.25">
      <c r="A624" s="22">
        <v>40210</v>
      </c>
      <c r="B624" s="23">
        <v>7.84</v>
      </c>
      <c r="C624" s="23">
        <v>9.56</v>
      </c>
      <c r="D624" s="23">
        <v>6.64</v>
      </c>
      <c r="E624" s="23">
        <v>6</v>
      </c>
      <c r="F624" s="23"/>
      <c r="G624" s="23">
        <v>7.7</v>
      </c>
      <c r="H624" s="3"/>
    </row>
    <row r="625" spans="1:8" x14ac:dyDescent="0.25">
      <c r="A625" s="22">
        <v>40238</v>
      </c>
      <c r="B625" s="23">
        <v>8.09</v>
      </c>
      <c r="C625" s="23">
        <v>9.81</v>
      </c>
      <c r="D625" s="23">
        <v>6.89</v>
      </c>
      <c r="E625" s="23">
        <v>6.25</v>
      </c>
      <c r="F625" s="23"/>
      <c r="G625" s="23">
        <v>7.73</v>
      </c>
      <c r="H625" s="3"/>
    </row>
    <row r="626" spans="1:8" x14ac:dyDescent="0.25">
      <c r="A626" s="22">
        <v>40269</v>
      </c>
      <c r="B626" s="23">
        <v>8.34</v>
      </c>
      <c r="C626" s="23">
        <v>10.06</v>
      </c>
      <c r="D626" s="23">
        <v>7.14</v>
      </c>
      <c r="E626" s="23">
        <v>6.5</v>
      </c>
      <c r="F626" s="23"/>
      <c r="G626" s="23">
        <v>7.78</v>
      </c>
      <c r="H626" s="3"/>
    </row>
    <row r="627" spans="1:8" x14ac:dyDescent="0.25">
      <c r="A627" s="22">
        <v>40299</v>
      </c>
      <c r="B627" s="23">
        <v>8.59</v>
      </c>
      <c r="C627" s="23">
        <v>10.31</v>
      </c>
      <c r="D627" s="23">
        <v>7.39</v>
      </c>
      <c r="E627" s="23">
        <v>6.75</v>
      </c>
      <c r="F627" s="23"/>
      <c r="G627" s="23">
        <v>7.77</v>
      </c>
      <c r="H627" s="3"/>
    </row>
    <row r="628" spans="1:8" x14ac:dyDescent="0.25">
      <c r="A628" s="22">
        <v>40330</v>
      </c>
      <c r="B628" s="23">
        <v>8.59</v>
      </c>
      <c r="C628" s="23">
        <v>10.31</v>
      </c>
      <c r="D628" s="23">
        <v>7.39</v>
      </c>
      <c r="E628" s="23">
        <v>6.75</v>
      </c>
      <c r="F628" s="23"/>
      <c r="G628" s="23">
        <v>7.54</v>
      </c>
      <c r="H628" s="3"/>
    </row>
    <row r="629" spans="1:8" x14ac:dyDescent="0.25">
      <c r="A629" s="22">
        <v>40360</v>
      </c>
      <c r="B629" s="23">
        <v>8.59</v>
      </c>
      <c r="C629" s="23">
        <v>10.31</v>
      </c>
      <c r="D629" s="23">
        <v>7.39</v>
      </c>
      <c r="E629" s="23">
        <v>6.75</v>
      </c>
      <c r="F629" s="23"/>
      <c r="G629" s="23">
        <v>7.48</v>
      </c>
      <c r="H629" s="3"/>
    </row>
    <row r="630" spans="1:8" x14ac:dyDescent="0.25">
      <c r="A630" s="22">
        <v>40391</v>
      </c>
      <c r="B630" s="23">
        <v>8.59</v>
      </c>
      <c r="C630" s="23">
        <v>10.31</v>
      </c>
      <c r="D630" s="23">
        <v>7.39</v>
      </c>
      <c r="E630" s="23">
        <v>6.75</v>
      </c>
      <c r="F630" s="23"/>
      <c r="G630" s="23">
        <v>7.14</v>
      </c>
      <c r="H630" s="3"/>
    </row>
    <row r="631" spans="1:8" x14ac:dyDescent="0.25">
      <c r="A631" s="22">
        <v>40422</v>
      </c>
      <c r="B631" s="23">
        <v>8.59</v>
      </c>
      <c r="C631" s="23">
        <v>10.31</v>
      </c>
      <c r="D631" s="23">
        <v>7.39</v>
      </c>
      <c r="E631" s="23">
        <v>6.75</v>
      </c>
      <c r="F631" s="23"/>
      <c r="G631" s="23">
        <v>7.47</v>
      </c>
      <c r="H631" s="3"/>
    </row>
    <row r="632" spans="1:8" x14ac:dyDescent="0.25">
      <c r="A632" s="22">
        <v>40452</v>
      </c>
      <c r="B632" s="23">
        <v>8.59</v>
      </c>
      <c r="C632" s="23">
        <v>10.31</v>
      </c>
      <c r="D632" s="23">
        <v>7.39</v>
      </c>
      <c r="E632" s="23">
        <v>6.75</v>
      </c>
      <c r="F632" s="23"/>
      <c r="G632" s="23">
        <v>7.44</v>
      </c>
      <c r="H632" s="3"/>
    </row>
    <row r="633" spans="1:8" x14ac:dyDescent="0.25">
      <c r="A633" s="22">
        <v>40483</v>
      </c>
      <c r="B633" s="23">
        <v>8.99</v>
      </c>
      <c r="C633" s="23">
        <v>10.67</v>
      </c>
      <c r="D633" s="23">
        <v>7.79</v>
      </c>
      <c r="E633" s="23">
        <v>7.15</v>
      </c>
      <c r="F633" s="23"/>
      <c r="G633" s="23">
        <v>7.34</v>
      </c>
      <c r="H633" s="3"/>
    </row>
    <row r="634" spans="1:8" x14ac:dyDescent="0.25">
      <c r="A634" s="22">
        <v>40513</v>
      </c>
      <c r="B634" s="23">
        <v>8.99</v>
      </c>
      <c r="C634" s="23">
        <v>10.67</v>
      </c>
      <c r="D634" s="23">
        <v>7.79</v>
      </c>
      <c r="E634" s="23">
        <v>7.15</v>
      </c>
      <c r="F634" s="23"/>
      <c r="G634" s="23">
        <v>7.34</v>
      </c>
      <c r="H634" s="3"/>
    </row>
    <row r="635" spans="1:8" x14ac:dyDescent="0.25">
      <c r="A635" s="22">
        <v>40544</v>
      </c>
      <c r="B635" s="23">
        <v>8.99</v>
      </c>
      <c r="C635" s="23">
        <v>10.67</v>
      </c>
      <c r="D635" s="23">
        <v>7.79</v>
      </c>
      <c r="E635" s="23">
        <v>7.15</v>
      </c>
      <c r="F635" s="23"/>
      <c r="G635" s="23">
        <v>7.42</v>
      </c>
      <c r="H635" s="3"/>
    </row>
    <row r="636" spans="1:8" x14ac:dyDescent="0.25">
      <c r="A636" s="22">
        <v>40575</v>
      </c>
      <c r="B636" s="23">
        <v>8.99</v>
      </c>
      <c r="C636" s="23">
        <v>10.67</v>
      </c>
      <c r="D636" s="23">
        <v>7.79</v>
      </c>
      <c r="E636" s="23">
        <v>7.11</v>
      </c>
      <c r="F636" s="23"/>
      <c r="G636" s="23">
        <v>7.52</v>
      </c>
      <c r="H636" s="3"/>
    </row>
    <row r="637" spans="1:8" x14ac:dyDescent="0.25">
      <c r="A637" s="22">
        <v>40603</v>
      </c>
      <c r="B637" s="23">
        <v>8.99</v>
      </c>
      <c r="C637" s="23">
        <v>10.67</v>
      </c>
      <c r="D637" s="23">
        <v>7.79</v>
      </c>
      <c r="E637" s="23">
        <v>7.11</v>
      </c>
      <c r="F637" s="23"/>
      <c r="G637" s="23">
        <v>7.41</v>
      </c>
      <c r="H637" s="3"/>
    </row>
    <row r="638" spans="1:8" x14ac:dyDescent="0.25">
      <c r="A638" s="22">
        <v>40634</v>
      </c>
      <c r="B638" s="23">
        <v>8.99</v>
      </c>
      <c r="C638" s="23">
        <v>10.67</v>
      </c>
      <c r="D638" s="23">
        <v>7.79</v>
      </c>
      <c r="E638" s="23">
        <v>7.09</v>
      </c>
      <c r="F638" s="23"/>
      <c r="G638" s="23">
        <v>7.41</v>
      </c>
      <c r="H638" s="3"/>
    </row>
    <row r="639" spans="1:8" x14ac:dyDescent="0.25">
      <c r="A639" s="22">
        <v>40664</v>
      </c>
      <c r="B639" s="23">
        <v>8.99</v>
      </c>
      <c r="C639" s="23">
        <v>10.67</v>
      </c>
      <c r="D639" s="23">
        <v>7.79</v>
      </c>
      <c r="E639" s="23">
        <v>7.08</v>
      </c>
      <c r="F639" s="23"/>
      <c r="G639" s="23">
        <v>7.41</v>
      </c>
      <c r="H639" s="3"/>
    </row>
    <row r="640" spans="1:8" x14ac:dyDescent="0.25">
      <c r="A640" s="22">
        <v>40695</v>
      </c>
      <c r="B640" s="23">
        <v>8.99</v>
      </c>
      <c r="C640" s="23">
        <v>10.67</v>
      </c>
      <c r="D640" s="23">
        <v>7.79</v>
      </c>
      <c r="E640" s="23">
        <v>7.04</v>
      </c>
      <c r="F640" s="23"/>
      <c r="G640" s="23">
        <v>7.37</v>
      </c>
      <c r="H640" s="3"/>
    </row>
    <row r="641" spans="1:8" x14ac:dyDescent="0.25">
      <c r="A641" s="22">
        <v>40725</v>
      </c>
      <c r="B641" s="23">
        <v>8.99</v>
      </c>
      <c r="C641" s="23">
        <v>10.67</v>
      </c>
      <c r="D641" s="23">
        <v>7.79</v>
      </c>
      <c r="E641" s="23">
        <v>7.04</v>
      </c>
      <c r="F641" s="23"/>
      <c r="G641" s="23">
        <v>7.12</v>
      </c>
      <c r="H641" s="3"/>
    </row>
    <row r="642" spans="1:8" x14ac:dyDescent="0.25">
      <c r="A642" s="22">
        <v>40756</v>
      </c>
      <c r="B642" s="23">
        <v>8.99</v>
      </c>
      <c r="C642" s="23">
        <v>10.67</v>
      </c>
      <c r="D642" s="23">
        <v>7.79</v>
      </c>
      <c r="E642" s="23">
        <v>7.03</v>
      </c>
      <c r="F642" s="23"/>
      <c r="G642" s="23">
        <v>6.71</v>
      </c>
      <c r="H642" s="3"/>
    </row>
    <row r="643" spans="1:8" x14ac:dyDescent="0.25">
      <c r="A643" s="22">
        <v>40787</v>
      </c>
      <c r="B643" s="23">
        <v>8.99</v>
      </c>
      <c r="C643" s="23">
        <v>10.67</v>
      </c>
      <c r="D643" s="23">
        <v>7.79</v>
      </c>
      <c r="E643" s="23">
        <v>7.03</v>
      </c>
      <c r="F643" s="23"/>
      <c r="G643" s="23">
        <v>6.61</v>
      </c>
      <c r="H643" s="3"/>
    </row>
    <row r="644" spans="1:8" x14ac:dyDescent="0.25">
      <c r="A644" s="22">
        <v>40817</v>
      </c>
      <c r="B644" s="23">
        <v>8.99</v>
      </c>
      <c r="C644" s="23">
        <v>10.67</v>
      </c>
      <c r="D644" s="23">
        <v>7.79</v>
      </c>
      <c r="E644" s="23">
        <v>7.03</v>
      </c>
      <c r="F644" s="23"/>
      <c r="G644" s="23">
        <v>6.52</v>
      </c>
      <c r="H644" s="3"/>
    </row>
    <row r="645" spans="1:8" x14ac:dyDescent="0.25">
      <c r="A645" s="22">
        <v>40848</v>
      </c>
      <c r="B645" s="23">
        <v>8.77</v>
      </c>
      <c r="C645" s="23">
        <v>10.44</v>
      </c>
      <c r="D645" s="23">
        <v>7.55</v>
      </c>
      <c r="E645" s="23">
        <v>6.79</v>
      </c>
      <c r="F645" s="23"/>
      <c r="G645" s="23">
        <v>6.39</v>
      </c>
      <c r="H645" s="3"/>
    </row>
    <row r="646" spans="1:8" x14ac:dyDescent="0.25">
      <c r="A646" s="22">
        <v>40878</v>
      </c>
      <c r="B646" s="23">
        <v>8.52</v>
      </c>
      <c r="C646" s="23">
        <v>10.26</v>
      </c>
      <c r="D646" s="23">
        <v>7.3</v>
      </c>
      <c r="E646" s="23">
        <v>6.54</v>
      </c>
      <c r="F646" s="23"/>
      <c r="G646" s="23">
        <v>6.35</v>
      </c>
      <c r="H646" s="3"/>
    </row>
    <row r="647" spans="1:8" x14ac:dyDescent="0.25">
      <c r="A647" s="22">
        <v>40909</v>
      </c>
      <c r="B647" s="23">
        <v>8.52</v>
      </c>
      <c r="C647" s="23">
        <v>10.26</v>
      </c>
      <c r="D647" s="23">
        <v>7.3</v>
      </c>
      <c r="E647" s="23">
        <v>6.59</v>
      </c>
      <c r="F647" s="23"/>
      <c r="G647" s="23">
        <v>6.35</v>
      </c>
      <c r="H647" s="3"/>
    </row>
    <row r="648" spans="1:8" x14ac:dyDescent="0.25">
      <c r="A648" s="22">
        <v>40940</v>
      </c>
      <c r="B648" s="23">
        <v>8.61</v>
      </c>
      <c r="C648" s="23">
        <v>10.34</v>
      </c>
      <c r="D648" s="23">
        <v>7.39</v>
      </c>
      <c r="E648" s="23">
        <v>6.71</v>
      </c>
      <c r="F648" s="23"/>
      <c r="G648" s="23">
        <v>6.32</v>
      </c>
      <c r="H648" s="3"/>
    </row>
    <row r="649" spans="1:8" x14ac:dyDescent="0.25">
      <c r="A649" s="22">
        <v>40969</v>
      </c>
      <c r="B649" s="23">
        <v>8.61</v>
      </c>
      <c r="C649" s="23">
        <v>10.34</v>
      </c>
      <c r="D649" s="23">
        <v>7.39</v>
      </c>
      <c r="E649" s="23">
        <v>6.71</v>
      </c>
      <c r="F649" s="23"/>
      <c r="G649" s="23">
        <v>6.47</v>
      </c>
      <c r="H649" s="3"/>
    </row>
    <row r="650" spans="1:8" x14ac:dyDescent="0.25">
      <c r="A650" s="22">
        <v>41000</v>
      </c>
      <c r="B650" s="23">
        <v>8.6199999999999992</v>
      </c>
      <c r="C650" s="23">
        <v>10.36</v>
      </c>
      <c r="D650" s="23">
        <v>7.4</v>
      </c>
      <c r="E650" s="23">
        <v>6.72</v>
      </c>
      <c r="F650" s="23"/>
      <c r="G650" s="23">
        <v>6.41</v>
      </c>
      <c r="H650" s="3"/>
    </row>
    <row r="651" spans="1:8" x14ac:dyDescent="0.25">
      <c r="A651" s="22">
        <v>41030</v>
      </c>
      <c r="B651" s="23">
        <v>8.2200000000000006</v>
      </c>
      <c r="C651" s="23">
        <v>9.99</v>
      </c>
      <c r="D651" s="23">
        <v>7.04</v>
      </c>
      <c r="E651" s="23">
        <v>6.36</v>
      </c>
      <c r="F651" s="23"/>
      <c r="G651" s="23">
        <v>6.14</v>
      </c>
      <c r="H651" s="3"/>
    </row>
    <row r="652" spans="1:8" x14ac:dyDescent="0.25">
      <c r="A652" s="22">
        <v>41061</v>
      </c>
      <c r="B652" s="23">
        <v>7.99</v>
      </c>
      <c r="C652" s="23">
        <v>9.77</v>
      </c>
      <c r="D652" s="23">
        <v>6.83</v>
      </c>
      <c r="E652" s="23">
        <v>6.13</v>
      </c>
      <c r="F652" s="23"/>
      <c r="G652" s="23">
        <v>6.08</v>
      </c>
      <c r="H652" s="3"/>
    </row>
    <row r="653" spans="1:8" x14ac:dyDescent="0.25">
      <c r="A653" s="22">
        <v>41091</v>
      </c>
      <c r="B653" s="23">
        <v>7.99</v>
      </c>
      <c r="C653" s="23">
        <v>9.77</v>
      </c>
      <c r="D653" s="23">
        <v>6.83</v>
      </c>
      <c r="E653" s="23">
        <v>6.13</v>
      </c>
      <c r="F653" s="23"/>
      <c r="G653" s="23">
        <v>5.9</v>
      </c>
      <c r="H653" s="3"/>
    </row>
    <row r="654" spans="1:8" x14ac:dyDescent="0.25">
      <c r="A654" s="22">
        <v>41122</v>
      </c>
      <c r="B654" s="23">
        <v>7.99</v>
      </c>
      <c r="C654" s="23">
        <v>9.77</v>
      </c>
      <c r="D654" s="23">
        <v>6.83</v>
      </c>
      <c r="E654" s="23">
        <v>6.1</v>
      </c>
      <c r="F654" s="23"/>
      <c r="G654" s="23">
        <v>5.88</v>
      </c>
      <c r="H654" s="3"/>
    </row>
    <row r="655" spans="1:8" x14ac:dyDescent="0.25">
      <c r="A655" s="22">
        <v>41153</v>
      </c>
      <c r="B655" s="23">
        <v>7.99</v>
      </c>
      <c r="C655" s="23">
        <v>9.77</v>
      </c>
      <c r="D655" s="23">
        <v>6.83</v>
      </c>
      <c r="E655" s="23">
        <v>6.08</v>
      </c>
      <c r="F655" s="23"/>
      <c r="G655" s="23">
        <v>5.71</v>
      </c>
      <c r="H655" s="3"/>
    </row>
    <row r="656" spans="1:8" x14ac:dyDescent="0.25">
      <c r="A656" s="22">
        <v>41183</v>
      </c>
      <c r="B656" s="23">
        <v>7.8</v>
      </c>
      <c r="C656" s="23">
        <v>9.6199999999999992</v>
      </c>
      <c r="D656" s="23">
        <v>6.64</v>
      </c>
      <c r="E656" s="23">
        <v>5.89</v>
      </c>
      <c r="F656" s="23"/>
      <c r="G656" s="23">
        <v>5.54</v>
      </c>
      <c r="H656" s="3"/>
    </row>
    <row r="657" spans="1:8" x14ac:dyDescent="0.25">
      <c r="A657" s="22">
        <v>41214</v>
      </c>
      <c r="B657" s="23">
        <v>7.8</v>
      </c>
      <c r="C657" s="23">
        <v>9.6199999999999992</v>
      </c>
      <c r="D657" s="23">
        <v>6.64</v>
      </c>
      <c r="E657" s="23">
        <v>5.84</v>
      </c>
      <c r="F657" s="23"/>
      <c r="G657" s="23">
        <v>5.54</v>
      </c>
      <c r="H657" s="3"/>
    </row>
    <row r="658" spans="1:8" x14ac:dyDescent="0.25">
      <c r="A658" s="22">
        <v>41244</v>
      </c>
      <c r="B658" s="23">
        <v>7.6</v>
      </c>
      <c r="C658" s="23">
        <v>9.44</v>
      </c>
      <c r="D658" s="23">
        <v>6.44</v>
      </c>
      <c r="E658" s="23">
        <v>5.68</v>
      </c>
      <c r="F658" s="23"/>
      <c r="G658" s="23">
        <v>5.54</v>
      </c>
      <c r="H658" s="3"/>
    </row>
    <row r="659" spans="1:8" x14ac:dyDescent="0.25">
      <c r="A659" s="22">
        <v>41275</v>
      </c>
      <c r="B659" s="23">
        <v>7.6</v>
      </c>
      <c r="C659" s="23">
        <v>9.44</v>
      </c>
      <c r="D659" s="23">
        <v>6.44</v>
      </c>
      <c r="E659" s="23">
        <v>5.68</v>
      </c>
      <c r="F659" s="23"/>
      <c r="G659" s="23">
        <v>5.52</v>
      </c>
      <c r="H659" s="3"/>
    </row>
    <row r="660" spans="1:8" x14ac:dyDescent="0.25">
      <c r="A660" s="22">
        <v>41306</v>
      </c>
      <c r="B660" s="23">
        <v>7.6</v>
      </c>
      <c r="C660" s="23">
        <v>9.44</v>
      </c>
      <c r="D660" s="23">
        <v>6.44</v>
      </c>
      <c r="E660" s="23">
        <v>5.66</v>
      </c>
      <c r="F660" s="23"/>
      <c r="G660" s="23">
        <v>5.44</v>
      </c>
      <c r="H660" s="3"/>
    </row>
    <row r="661" spans="1:8" x14ac:dyDescent="0.25">
      <c r="A661" s="22">
        <v>41334</v>
      </c>
      <c r="B661" s="23">
        <v>7.6</v>
      </c>
      <c r="C661" s="23">
        <v>9.44</v>
      </c>
      <c r="D661" s="23">
        <v>6.44</v>
      </c>
      <c r="E661" s="23">
        <v>5.62</v>
      </c>
      <c r="F661" s="23"/>
      <c r="G661" s="23">
        <v>5.44</v>
      </c>
      <c r="H661" s="3"/>
    </row>
    <row r="662" spans="1:8" x14ac:dyDescent="0.25">
      <c r="A662" s="22">
        <v>41365</v>
      </c>
      <c r="B662" s="23">
        <v>7.6</v>
      </c>
      <c r="C662" s="23">
        <v>9.44</v>
      </c>
      <c r="D662" s="23">
        <v>6.44</v>
      </c>
      <c r="E662" s="23">
        <v>5.62</v>
      </c>
      <c r="F662" s="23"/>
      <c r="G662" s="23">
        <v>5.44</v>
      </c>
      <c r="H662" s="3"/>
    </row>
    <row r="663" spans="1:8" x14ac:dyDescent="0.25">
      <c r="A663" s="22">
        <v>41395</v>
      </c>
      <c r="B663" s="23">
        <v>7.35</v>
      </c>
      <c r="C663" s="23">
        <v>9.1999999999999993</v>
      </c>
      <c r="D663" s="23">
        <v>6.18</v>
      </c>
      <c r="E663" s="23">
        <v>5.36</v>
      </c>
      <c r="F663" s="23"/>
      <c r="G663" s="23">
        <v>5.27</v>
      </c>
      <c r="H663" s="3"/>
    </row>
    <row r="664" spans="1:8" x14ac:dyDescent="0.25">
      <c r="A664" s="22">
        <v>41426</v>
      </c>
      <c r="B664" s="23">
        <v>7.35</v>
      </c>
      <c r="C664" s="23">
        <v>9.1999999999999993</v>
      </c>
      <c r="D664" s="23">
        <v>6.18</v>
      </c>
      <c r="E664" s="23">
        <v>5.36</v>
      </c>
      <c r="F664" s="23"/>
      <c r="G664" s="23">
        <v>5.13</v>
      </c>
      <c r="H664" s="3"/>
    </row>
    <row r="665" spans="1:8" x14ac:dyDescent="0.25">
      <c r="A665" s="22">
        <v>41456</v>
      </c>
      <c r="B665" s="23">
        <v>7.35</v>
      </c>
      <c r="C665" s="23">
        <v>9.1999999999999993</v>
      </c>
      <c r="D665" s="23">
        <v>6.18</v>
      </c>
      <c r="E665" s="23">
        <v>5.35</v>
      </c>
      <c r="F665" s="23"/>
      <c r="G665" s="23">
        <v>5.17</v>
      </c>
      <c r="H665" s="3"/>
    </row>
    <row r="666" spans="1:8" x14ac:dyDescent="0.25">
      <c r="A666" s="22">
        <v>41487</v>
      </c>
      <c r="B666" s="23">
        <v>7.1</v>
      </c>
      <c r="C666" s="23">
        <v>8.9499999999999993</v>
      </c>
      <c r="D666" s="23">
        <v>5.93</v>
      </c>
      <c r="E666" s="23">
        <v>5.0999999999999996</v>
      </c>
      <c r="F666" s="23"/>
      <c r="G666" s="23">
        <v>5.1100000000000003</v>
      </c>
      <c r="H666" s="3"/>
    </row>
    <row r="667" spans="1:8" x14ac:dyDescent="0.25">
      <c r="A667" s="22">
        <v>41518</v>
      </c>
      <c r="B667" s="23">
        <v>7.1</v>
      </c>
      <c r="C667" s="23">
        <v>8.9499999999999993</v>
      </c>
      <c r="D667" s="23">
        <v>5.93</v>
      </c>
      <c r="E667" s="23">
        <v>5.08</v>
      </c>
      <c r="F667" s="23"/>
      <c r="G667" s="23">
        <v>5.12</v>
      </c>
      <c r="H667" s="3"/>
    </row>
    <row r="668" spans="1:8" x14ac:dyDescent="0.25">
      <c r="A668" s="22">
        <v>41548</v>
      </c>
      <c r="B668" s="23">
        <v>7.1</v>
      </c>
      <c r="C668" s="23">
        <v>8.9499999999999993</v>
      </c>
      <c r="D668" s="23">
        <v>5.93</v>
      </c>
      <c r="E668" s="23">
        <v>5.08</v>
      </c>
      <c r="F668" s="23"/>
      <c r="G668" s="23">
        <v>5.24</v>
      </c>
      <c r="H668" s="3"/>
    </row>
    <row r="669" spans="1:8" x14ac:dyDescent="0.25">
      <c r="A669" s="22">
        <v>41579</v>
      </c>
      <c r="B669" s="23">
        <v>7.1</v>
      </c>
      <c r="C669" s="23">
        <v>8.9499999999999993</v>
      </c>
      <c r="D669" s="23">
        <v>5.93</v>
      </c>
      <c r="E669" s="23">
        <v>5.08</v>
      </c>
      <c r="F669" s="23"/>
      <c r="G669" s="23">
        <v>5.28</v>
      </c>
      <c r="H669" s="3"/>
    </row>
    <row r="670" spans="1:8" x14ac:dyDescent="0.25">
      <c r="A670" s="22">
        <v>41609</v>
      </c>
      <c r="B670" s="23">
        <v>7.1</v>
      </c>
      <c r="C670" s="23">
        <v>8.9499999999999993</v>
      </c>
      <c r="D670" s="23">
        <v>5.93</v>
      </c>
      <c r="E670" s="23">
        <v>5.0999999999999996</v>
      </c>
      <c r="F670" s="23"/>
      <c r="G670" s="23">
        <v>5.28</v>
      </c>
      <c r="H670" s="3"/>
    </row>
    <row r="671" spans="1:8" x14ac:dyDescent="0.25">
      <c r="A671" s="22">
        <v>41640</v>
      </c>
      <c r="B671" s="23">
        <v>7.1</v>
      </c>
      <c r="C671" s="23">
        <v>8.9499999999999993</v>
      </c>
      <c r="D671" s="23">
        <v>5.93</v>
      </c>
      <c r="E671" s="23">
        <v>5.08</v>
      </c>
      <c r="F671" s="23"/>
      <c r="G671" s="23">
        <v>5.29</v>
      </c>
      <c r="H671" s="3"/>
    </row>
    <row r="672" spans="1:8" x14ac:dyDescent="0.25">
      <c r="A672" s="22">
        <v>41671</v>
      </c>
      <c r="B672" s="23">
        <v>7.1</v>
      </c>
      <c r="C672" s="23">
        <v>8.9499999999999993</v>
      </c>
      <c r="D672" s="23">
        <v>5.93</v>
      </c>
      <c r="E672" s="23">
        <v>5.08</v>
      </c>
      <c r="F672" s="23"/>
      <c r="G672" s="23">
        <v>5.26</v>
      </c>
      <c r="H672" s="3"/>
    </row>
    <row r="673" spans="1:8" x14ac:dyDescent="0.25">
      <c r="A673" s="22">
        <v>41699</v>
      </c>
      <c r="B673" s="23">
        <v>7.1</v>
      </c>
      <c r="C673" s="23">
        <v>8.9499999999999993</v>
      </c>
      <c r="D673" s="23">
        <v>5.93</v>
      </c>
      <c r="E673" s="23">
        <v>5.08</v>
      </c>
      <c r="F673" s="23"/>
      <c r="G673" s="23">
        <v>5.2</v>
      </c>
      <c r="H673" s="3"/>
    </row>
    <row r="674" spans="1:8" x14ac:dyDescent="0.25">
      <c r="A674" s="22">
        <v>41730</v>
      </c>
      <c r="B674" s="23">
        <v>7.1</v>
      </c>
      <c r="C674" s="23">
        <v>8.9499999999999993</v>
      </c>
      <c r="D674" s="23">
        <v>5.93</v>
      </c>
      <c r="E674" s="23">
        <v>5.08</v>
      </c>
      <c r="F674" s="23"/>
      <c r="G674" s="23">
        <v>5.2</v>
      </c>
      <c r="H674" s="3"/>
    </row>
    <row r="675" spans="1:8" x14ac:dyDescent="0.25">
      <c r="A675" s="22">
        <v>41760</v>
      </c>
      <c r="B675" s="23">
        <v>7.1</v>
      </c>
      <c r="C675" s="23">
        <v>8.9499999999999993</v>
      </c>
      <c r="D675" s="23">
        <v>5.93</v>
      </c>
      <c r="E675" s="23">
        <v>5.08</v>
      </c>
      <c r="F675" s="23"/>
      <c r="G675" s="23">
        <v>5.2</v>
      </c>
      <c r="H675" s="3"/>
    </row>
    <row r="676" spans="1:8" x14ac:dyDescent="0.25">
      <c r="A676" s="22">
        <v>41791</v>
      </c>
      <c r="B676" s="23">
        <v>7.1</v>
      </c>
      <c r="C676" s="23">
        <v>8.9499999999999993</v>
      </c>
      <c r="D676" s="23">
        <v>5.93</v>
      </c>
      <c r="E676" s="23">
        <v>5.08</v>
      </c>
      <c r="F676" s="23"/>
      <c r="G676" s="23">
        <v>5.2</v>
      </c>
      <c r="H676" s="3"/>
    </row>
    <row r="677" spans="1:8" x14ac:dyDescent="0.25">
      <c r="A677" s="22">
        <v>41821</v>
      </c>
      <c r="B677" s="23">
        <v>7.1</v>
      </c>
      <c r="C677" s="23">
        <v>8.9499999999999993</v>
      </c>
      <c r="D677" s="23">
        <v>5.93</v>
      </c>
      <c r="E677" s="23">
        <v>5.08</v>
      </c>
      <c r="F677" s="23"/>
      <c r="G677" s="23">
        <v>5.12</v>
      </c>
      <c r="H677" s="3"/>
    </row>
    <row r="678" spans="1:8" x14ac:dyDescent="0.25">
      <c r="A678" s="22">
        <v>41852</v>
      </c>
      <c r="B678" s="23">
        <v>7.1</v>
      </c>
      <c r="C678" s="23">
        <v>8.9499999999999993</v>
      </c>
      <c r="D678" s="23">
        <v>5.93</v>
      </c>
      <c r="E678" s="23">
        <v>5.08</v>
      </c>
      <c r="F678" s="23"/>
      <c r="G678" s="23">
        <v>5.08</v>
      </c>
      <c r="H678" s="3"/>
    </row>
    <row r="679" spans="1:8" x14ac:dyDescent="0.25">
      <c r="A679" s="22">
        <v>41883</v>
      </c>
      <c r="B679" s="23">
        <v>7.1</v>
      </c>
      <c r="C679" s="23">
        <v>8.9499999999999993</v>
      </c>
      <c r="D679" s="23">
        <v>5.93</v>
      </c>
      <c r="E679" s="23">
        <v>5.08</v>
      </c>
      <c r="F679" s="23"/>
      <c r="G679" s="23">
        <v>5.08</v>
      </c>
      <c r="H679" s="3"/>
    </row>
    <row r="680" spans="1:8" x14ac:dyDescent="0.25">
      <c r="A680" s="22">
        <v>41913</v>
      </c>
      <c r="B680" s="23">
        <v>7.1</v>
      </c>
      <c r="C680" s="23">
        <v>8.9499999999999993</v>
      </c>
      <c r="D680" s="23">
        <v>5.93</v>
      </c>
      <c r="E680" s="23">
        <v>5.08</v>
      </c>
      <c r="F680" s="23"/>
      <c r="G680" s="23">
        <v>5.08</v>
      </c>
      <c r="H680" s="3"/>
    </row>
    <row r="681" spans="1:8" x14ac:dyDescent="0.25">
      <c r="A681" s="22">
        <v>41944</v>
      </c>
      <c r="B681" s="23">
        <v>7.1</v>
      </c>
      <c r="C681" s="23">
        <v>8.9499999999999993</v>
      </c>
      <c r="D681" s="23">
        <v>5.93</v>
      </c>
      <c r="E681" s="23">
        <v>5.08</v>
      </c>
      <c r="F681" s="23"/>
      <c r="G681" s="23">
        <v>5.08</v>
      </c>
      <c r="H681" s="3"/>
    </row>
    <row r="682" spans="1:8" x14ac:dyDescent="0.25">
      <c r="A682" s="22">
        <v>41974</v>
      </c>
      <c r="B682" s="23">
        <v>7.1</v>
      </c>
      <c r="C682" s="23">
        <v>8.9499999999999993</v>
      </c>
      <c r="D682" s="23">
        <v>5.93</v>
      </c>
      <c r="E682" s="23">
        <v>5.08</v>
      </c>
      <c r="F682" s="23"/>
      <c r="G682" s="23">
        <v>5.08</v>
      </c>
      <c r="H682" s="3"/>
    </row>
    <row r="683" spans="1:8" x14ac:dyDescent="0.25">
      <c r="A683" s="22">
        <v>42005</v>
      </c>
      <c r="B683" s="23">
        <v>7.1</v>
      </c>
      <c r="C683" s="23">
        <v>8.9499999999999993</v>
      </c>
      <c r="D683" s="23">
        <v>5.93</v>
      </c>
      <c r="E683" s="23">
        <v>5.08</v>
      </c>
      <c r="F683" s="23"/>
      <c r="G683" s="23">
        <v>5.08</v>
      </c>
      <c r="H683" s="3"/>
    </row>
    <row r="684" spans="1:8" x14ac:dyDescent="0.25">
      <c r="A684" s="22">
        <v>42036</v>
      </c>
      <c r="B684" s="23">
        <v>6.85</v>
      </c>
      <c r="C684" s="23">
        <v>8.76</v>
      </c>
      <c r="D684" s="23">
        <v>5.67</v>
      </c>
      <c r="E684" s="23">
        <v>4.82</v>
      </c>
      <c r="F684" s="23"/>
      <c r="G684" s="23">
        <v>4.8</v>
      </c>
      <c r="H684" s="3"/>
    </row>
    <row r="685" spans="1:8" x14ac:dyDescent="0.25">
      <c r="A685" s="22">
        <v>42064</v>
      </c>
      <c r="B685" s="23">
        <v>6.85</v>
      </c>
      <c r="C685" s="23">
        <v>8.6999999999999993</v>
      </c>
      <c r="D685" s="23">
        <v>5.67</v>
      </c>
      <c r="E685" s="23">
        <v>4.82</v>
      </c>
      <c r="F685" s="23"/>
      <c r="G685" s="23">
        <v>4.8</v>
      </c>
      <c r="H685" s="3"/>
    </row>
    <row r="686" spans="1:8" x14ac:dyDescent="0.25">
      <c r="A686" s="22">
        <v>42095</v>
      </c>
      <c r="B686" s="23">
        <v>6.85</v>
      </c>
      <c r="C686" s="23">
        <v>8.6999999999999993</v>
      </c>
      <c r="D686" s="23">
        <v>5.67</v>
      </c>
      <c r="E686" s="23">
        <v>4.82</v>
      </c>
      <c r="F686" s="23"/>
      <c r="G686" s="23">
        <v>4.8</v>
      </c>
      <c r="H686" s="3"/>
    </row>
    <row r="687" spans="1:8" x14ac:dyDescent="0.25">
      <c r="A687" s="22">
        <v>42125</v>
      </c>
      <c r="B687" s="23">
        <v>6.6</v>
      </c>
      <c r="C687" s="23">
        <v>8.4499999999999993</v>
      </c>
      <c r="D687" s="23">
        <v>5.46</v>
      </c>
      <c r="E687" s="23">
        <v>4.6100000000000003</v>
      </c>
      <c r="F687" s="23"/>
      <c r="G687" s="23">
        <v>4.8</v>
      </c>
      <c r="H687" s="3"/>
    </row>
    <row r="688" spans="1:8" x14ac:dyDescent="0.25">
      <c r="A688" s="22">
        <v>42156</v>
      </c>
      <c r="B688" s="23">
        <v>6.6</v>
      </c>
      <c r="C688" s="23">
        <v>8.4499999999999993</v>
      </c>
      <c r="D688" s="23">
        <v>5.46</v>
      </c>
      <c r="E688" s="23">
        <v>4.67</v>
      </c>
      <c r="F688" s="23"/>
      <c r="G688" s="23">
        <v>4.8</v>
      </c>
      <c r="H688" s="3"/>
    </row>
    <row r="689" spans="1:8" x14ac:dyDescent="0.25">
      <c r="A689" s="22">
        <v>42186</v>
      </c>
      <c r="B689" s="23">
        <v>6.6</v>
      </c>
      <c r="C689" s="23">
        <v>8.4499999999999993</v>
      </c>
      <c r="D689" s="23">
        <v>5.45</v>
      </c>
      <c r="E689" s="23">
        <v>4.67</v>
      </c>
      <c r="F689" s="23"/>
      <c r="G689" s="23">
        <v>4.66</v>
      </c>
      <c r="H689" s="3"/>
    </row>
    <row r="690" spans="1:8" x14ac:dyDescent="0.25">
      <c r="A690" s="22">
        <v>42217</v>
      </c>
      <c r="B690" s="23">
        <v>6.6</v>
      </c>
      <c r="C690" s="23">
        <v>8.4499999999999993</v>
      </c>
      <c r="D690" s="23">
        <v>5.46</v>
      </c>
      <c r="E690" s="23">
        <v>4.66</v>
      </c>
      <c r="F690" s="23">
        <v>5.72</v>
      </c>
      <c r="G690" s="23">
        <v>4.5199999999999996</v>
      </c>
      <c r="H690" s="3"/>
    </row>
    <row r="691" spans="1:8" x14ac:dyDescent="0.25">
      <c r="A691" s="22">
        <v>42248</v>
      </c>
      <c r="B691" s="23">
        <v>6.6</v>
      </c>
      <c r="C691" s="23">
        <v>8.4499999999999993</v>
      </c>
      <c r="D691" s="23">
        <v>5.46</v>
      </c>
      <c r="E691" s="23">
        <v>4.66</v>
      </c>
      <c r="F691" s="23">
        <v>5.72</v>
      </c>
      <c r="G691" s="23">
        <v>4.5199999999999996</v>
      </c>
      <c r="H691" s="3"/>
    </row>
    <row r="692" spans="1:8" x14ac:dyDescent="0.25">
      <c r="A692" s="22">
        <v>42278</v>
      </c>
      <c r="B692" s="23">
        <v>6.6</v>
      </c>
      <c r="C692" s="23">
        <v>8.4499999999999993</v>
      </c>
      <c r="D692" s="23">
        <v>5.46</v>
      </c>
      <c r="E692" s="23">
        <v>4.66</v>
      </c>
      <c r="F692" s="23">
        <v>5.72</v>
      </c>
      <c r="G692" s="23">
        <v>4.5</v>
      </c>
      <c r="H692" s="3"/>
    </row>
    <row r="693" spans="1:8" x14ac:dyDescent="0.25">
      <c r="A693" s="22">
        <v>42309</v>
      </c>
      <c r="B693" s="23">
        <v>6.6</v>
      </c>
      <c r="C693" s="23">
        <v>8.4499999999999993</v>
      </c>
      <c r="D693" s="23">
        <v>5.63</v>
      </c>
      <c r="E693" s="23">
        <v>4.83</v>
      </c>
      <c r="F693" s="23">
        <v>5.89</v>
      </c>
      <c r="G693" s="23">
        <v>4.43</v>
      </c>
      <c r="H693" s="3"/>
    </row>
    <row r="694" spans="1:8" x14ac:dyDescent="0.25">
      <c r="A694" s="22">
        <v>42339</v>
      </c>
      <c r="B694" s="23">
        <v>6.6</v>
      </c>
      <c r="C694" s="23">
        <v>8.4499999999999993</v>
      </c>
      <c r="D694" s="23">
        <v>5.63</v>
      </c>
      <c r="E694" s="23">
        <v>4.83</v>
      </c>
      <c r="F694" s="23">
        <v>5.89</v>
      </c>
      <c r="G694" s="23">
        <v>4.43</v>
      </c>
      <c r="H694" s="3"/>
    </row>
    <row r="695" spans="1:8" x14ac:dyDescent="0.25">
      <c r="A695" s="22">
        <v>42370</v>
      </c>
      <c r="B695" s="23">
        <v>6.6</v>
      </c>
      <c r="C695" s="23">
        <v>8.4499999999999993</v>
      </c>
      <c r="D695" s="23">
        <v>5.63</v>
      </c>
      <c r="E695" s="23">
        <v>4.83</v>
      </c>
      <c r="F695" s="23">
        <v>5.89</v>
      </c>
      <c r="G695" s="23">
        <v>4.43</v>
      </c>
      <c r="H695" s="3"/>
    </row>
    <row r="696" spans="1:8" x14ac:dyDescent="0.25">
      <c r="A696" s="22">
        <v>42401</v>
      </c>
      <c r="B696" s="23">
        <v>6.7</v>
      </c>
      <c r="C696" s="23">
        <v>8.5500000000000007</v>
      </c>
      <c r="D696" s="23">
        <v>5.63</v>
      </c>
      <c r="E696" s="23">
        <v>4.83</v>
      </c>
      <c r="F696" s="23">
        <v>5.89</v>
      </c>
      <c r="G696" s="23">
        <v>4.43</v>
      </c>
      <c r="H696" s="3"/>
    </row>
    <row r="697" spans="1:8" x14ac:dyDescent="0.25">
      <c r="A697" s="22">
        <v>42430</v>
      </c>
      <c r="B697" s="23">
        <v>6.75</v>
      </c>
      <c r="C697" s="23">
        <v>8.6</v>
      </c>
      <c r="D697" s="23">
        <v>5.63</v>
      </c>
      <c r="E697" s="23">
        <v>4.83</v>
      </c>
      <c r="F697" s="23">
        <v>5.89</v>
      </c>
      <c r="G697" s="23">
        <v>4.43</v>
      </c>
      <c r="H697" s="3"/>
    </row>
    <row r="698" spans="1:8" x14ac:dyDescent="0.25">
      <c r="A698" s="22">
        <v>42461</v>
      </c>
      <c r="B698" s="23">
        <v>6.75</v>
      </c>
      <c r="C698" s="23">
        <v>8.6</v>
      </c>
      <c r="D698" s="23">
        <v>5.63</v>
      </c>
      <c r="E698" s="23">
        <v>4.83</v>
      </c>
      <c r="F698" s="23">
        <v>5.7</v>
      </c>
      <c r="G698" s="23">
        <v>4.43</v>
      </c>
      <c r="H698" s="3"/>
    </row>
    <row r="699" spans="1:8" x14ac:dyDescent="0.25">
      <c r="A699" s="22">
        <v>42491</v>
      </c>
      <c r="B699" s="23">
        <v>6.5</v>
      </c>
      <c r="C699" s="23">
        <v>8.35</v>
      </c>
      <c r="D699" s="23">
        <v>5.39</v>
      </c>
      <c r="E699" s="23">
        <v>4.59</v>
      </c>
      <c r="F699" s="23">
        <v>5.45</v>
      </c>
      <c r="G699" s="23">
        <v>4.38</v>
      </c>
      <c r="H699" s="3"/>
    </row>
    <row r="700" spans="1:8" x14ac:dyDescent="0.25">
      <c r="A700" s="22">
        <v>42522</v>
      </c>
      <c r="B700" s="23">
        <v>6.5</v>
      </c>
      <c r="C700" s="23">
        <v>8.35</v>
      </c>
      <c r="D700" s="23">
        <v>5.39</v>
      </c>
      <c r="E700" s="23">
        <v>4.59</v>
      </c>
      <c r="F700" s="23">
        <v>5.45</v>
      </c>
      <c r="G700" s="23">
        <v>4.38</v>
      </c>
      <c r="H700" s="3"/>
    </row>
    <row r="701" spans="1:8" x14ac:dyDescent="0.25">
      <c r="A701" s="22">
        <v>42552</v>
      </c>
      <c r="B701" s="23">
        <v>6.5</v>
      </c>
      <c r="C701" s="23">
        <v>8.35</v>
      </c>
      <c r="D701" s="23">
        <v>5.39</v>
      </c>
      <c r="E701" s="23">
        <v>4.59</v>
      </c>
      <c r="F701" s="23">
        <v>5.45</v>
      </c>
      <c r="G701" s="23">
        <v>4.2699999999999996</v>
      </c>
      <c r="H701" s="3"/>
    </row>
    <row r="702" spans="1:8" x14ac:dyDescent="0.25">
      <c r="A702" s="22">
        <v>42583</v>
      </c>
      <c r="B702" s="23">
        <v>6.39</v>
      </c>
      <c r="C702" s="23">
        <v>8.24</v>
      </c>
      <c r="D702" s="23">
        <v>5.26</v>
      </c>
      <c r="E702" s="23">
        <v>4.46</v>
      </c>
      <c r="F702" s="23">
        <v>5.34</v>
      </c>
      <c r="G702" s="23">
        <v>4.0999999999999996</v>
      </c>
      <c r="H702" s="3"/>
    </row>
    <row r="703" spans="1:8" x14ac:dyDescent="0.25">
      <c r="A703" s="22">
        <v>42614</v>
      </c>
      <c r="B703" s="23">
        <v>6.39</v>
      </c>
      <c r="C703" s="23">
        <v>8.24</v>
      </c>
      <c r="D703" s="23">
        <v>5.26</v>
      </c>
      <c r="E703" s="23">
        <v>4.51</v>
      </c>
      <c r="F703" s="23">
        <v>5.34</v>
      </c>
      <c r="G703" s="23">
        <v>4.0199999999999996</v>
      </c>
      <c r="H703" s="3"/>
    </row>
    <row r="704" spans="1:8" x14ac:dyDescent="0.25">
      <c r="A704" s="22">
        <v>42644</v>
      </c>
      <c r="B704" s="23">
        <v>6.39</v>
      </c>
      <c r="C704" s="23">
        <v>8.24</v>
      </c>
      <c r="D704" s="23">
        <v>5.26</v>
      </c>
      <c r="E704" s="23">
        <v>4.51</v>
      </c>
      <c r="F704" s="23">
        <v>5.34</v>
      </c>
      <c r="G704" s="23">
        <v>4.0199999999999996</v>
      </c>
      <c r="H704" s="3"/>
    </row>
    <row r="705" spans="1:8" x14ac:dyDescent="0.25">
      <c r="A705" s="22">
        <v>42675</v>
      </c>
      <c r="B705" s="23">
        <v>6.39</v>
      </c>
      <c r="C705" s="23">
        <v>8.24</v>
      </c>
      <c r="D705" s="23">
        <v>5.26</v>
      </c>
      <c r="E705" s="23">
        <v>4.51</v>
      </c>
      <c r="F705" s="23">
        <v>5.34</v>
      </c>
      <c r="G705" s="23">
        <v>4.1100000000000003</v>
      </c>
      <c r="H705" s="3"/>
    </row>
    <row r="706" spans="1:8" x14ac:dyDescent="0.25">
      <c r="A706" s="22">
        <v>42705</v>
      </c>
      <c r="B706" s="23">
        <v>6.39</v>
      </c>
      <c r="C706" s="23">
        <v>8.24</v>
      </c>
      <c r="D706" s="23">
        <v>5.26</v>
      </c>
      <c r="E706" s="23">
        <v>4.51</v>
      </c>
      <c r="F706" s="23">
        <v>5.38</v>
      </c>
      <c r="G706" s="23">
        <v>4.1500000000000004</v>
      </c>
      <c r="H706" s="3"/>
    </row>
    <row r="707" spans="1:8" x14ac:dyDescent="0.25">
      <c r="A707" s="22">
        <v>42736</v>
      </c>
      <c r="B707" s="23">
        <v>6.39</v>
      </c>
      <c r="C707" s="23">
        <v>8.24</v>
      </c>
      <c r="D707" s="23">
        <v>5.26</v>
      </c>
      <c r="E707" s="23">
        <v>4.51</v>
      </c>
      <c r="F707" s="23">
        <v>5.38</v>
      </c>
      <c r="G707" s="23">
        <v>4.26</v>
      </c>
      <c r="H707" s="3"/>
    </row>
    <row r="708" spans="1:8" x14ac:dyDescent="0.25">
      <c r="A708" s="22">
        <v>42767</v>
      </c>
      <c r="B708" s="23">
        <v>6.39</v>
      </c>
      <c r="C708" s="23">
        <v>8.24</v>
      </c>
      <c r="D708" s="23">
        <v>5.26</v>
      </c>
      <c r="E708" s="23">
        <v>4.51</v>
      </c>
      <c r="F708" s="23">
        <v>5.38</v>
      </c>
      <c r="G708" s="23">
        <v>4.26</v>
      </c>
      <c r="H708" s="3"/>
    </row>
    <row r="709" spans="1:8" x14ac:dyDescent="0.25">
      <c r="A709" s="22">
        <v>42795</v>
      </c>
      <c r="B709" s="23">
        <v>6.39</v>
      </c>
      <c r="C709" s="23">
        <v>8.26</v>
      </c>
      <c r="D709" s="23">
        <v>5.28</v>
      </c>
      <c r="E709" s="23">
        <v>4.53</v>
      </c>
      <c r="F709" s="23">
        <v>5.46</v>
      </c>
      <c r="G709" s="23">
        <v>4.26</v>
      </c>
      <c r="H709" s="3"/>
    </row>
    <row r="710" spans="1:8" x14ac:dyDescent="0.25">
      <c r="A710" s="22">
        <v>42826</v>
      </c>
      <c r="B710" s="23">
        <v>6.43</v>
      </c>
      <c r="C710" s="23">
        <v>8.2799999999999994</v>
      </c>
      <c r="D710" s="23">
        <v>5.28</v>
      </c>
      <c r="E710" s="23">
        <v>4.53</v>
      </c>
      <c r="F710" s="23">
        <v>5.45</v>
      </c>
      <c r="G710" s="23">
        <v>4.22</v>
      </c>
      <c r="H710" s="3"/>
    </row>
    <row r="711" spans="1:8" x14ac:dyDescent="0.25">
      <c r="A711" s="22">
        <v>42856</v>
      </c>
      <c r="B711" s="23">
        <v>6.43</v>
      </c>
      <c r="C711" s="23">
        <v>8.2799999999999994</v>
      </c>
      <c r="D711" s="23">
        <v>5.29</v>
      </c>
      <c r="E711" s="23">
        <v>4.54</v>
      </c>
      <c r="F711" s="23">
        <v>5.46</v>
      </c>
      <c r="G711" s="23">
        <v>4.22</v>
      </c>
      <c r="H711" s="3"/>
    </row>
    <row r="712" spans="1:8" x14ac:dyDescent="0.25">
      <c r="A712" s="22">
        <v>42887</v>
      </c>
      <c r="B712" s="23">
        <v>6.43</v>
      </c>
      <c r="C712" s="23">
        <v>8.2799999999999994</v>
      </c>
      <c r="D712" s="23">
        <v>5.23</v>
      </c>
      <c r="E712" s="23">
        <v>4.4800000000000004</v>
      </c>
      <c r="F712" s="23">
        <v>5.71</v>
      </c>
      <c r="G712" s="23">
        <v>4.1500000000000004</v>
      </c>
      <c r="H712" s="3"/>
    </row>
    <row r="713" spans="1:8" x14ac:dyDescent="0.25">
      <c r="A713" s="22">
        <v>42917</v>
      </c>
      <c r="B713" s="23">
        <v>6.43</v>
      </c>
      <c r="C713" s="23">
        <v>8.2799999999999994</v>
      </c>
      <c r="D713" s="23">
        <v>5.22</v>
      </c>
      <c r="E713" s="23">
        <v>4.47</v>
      </c>
      <c r="F713" s="23">
        <v>5.78</v>
      </c>
      <c r="G713" s="23">
        <v>4.1500000000000004</v>
      </c>
      <c r="H713" s="3"/>
    </row>
    <row r="714" spans="1:8" x14ac:dyDescent="0.25">
      <c r="A714" s="22">
        <v>42948</v>
      </c>
      <c r="B714" s="23">
        <v>6.43</v>
      </c>
      <c r="C714" s="23">
        <v>8.2799999999999994</v>
      </c>
      <c r="D714" s="23">
        <v>5.22</v>
      </c>
      <c r="E714" s="23">
        <v>4.47</v>
      </c>
      <c r="F714" s="23">
        <v>5.78</v>
      </c>
      <c r="G714" s="23">
        <v>4.1399999999999997</v>
      </c>
      <c r="H714" s="3"/>
    </row>
    <row r="715" spans="1:8" x14ac:dyDescent="0.25">
      <c r="A715" s="22">
        <v>42979</v>
      </c>
      <c r="B715" s="23">
        <v>6.43</v>
      </c>
      <c r="C715" s="23">
        <v>8.2799999999999994</v>
      </c>
      <c r="D715" s="23">
        <v>5.22</v>
      </c>
      <c r="E715" s="23">
        <v>4.47</v>
      </c>
      <c r="F715" s="23">
        <v>5.78</v>
      </c>
      <c r="G715" s="23">
        <v>4.12</v>
      </c>
      <c r="H715" s="3"/>
    </row>
    <row r="716" spans="1:8" x14ac:dyDescent="0.25">
      <c r="A716" s="22">
        <v>43009</v>
      </c>
      <c r="B716" s="23">
        <v>6.43</v>
      </c>
      <c r="C716" s="23">
        <v>8.2799999999999994</v>
      </c>
      <c r="D716" s="23">
        <v>5.22</v>
      </c>
      <c r="E716" s="23">
        <v>4.47</v>
      </c>
      <c r="F716" s="23">
        <v>5.78</v>
      </c>
      <c r="G716" s="23">
        <v>4.12</v>
      </c>
      <c r="H716" s="3"/>
    </row>
    <row r="717" spans="1:8" x14ac:dyDescent="0.25">
      <c r="A717" s="22">
        <v>43040</v>
      </c>
      <c r="B717" s="23">
        <v>6.43</v>
      </c>
      <c r="C717" s="23">
        <v>8.2799999999999994</v>
      </c>
      <c r="D717" s="23">
        <v>5.22</v>
      </c>
      <c r="E717" s="23">
        <v>4.47</v>
      </c>
      <c r="F717" s="23">
        <v>5.78</v>
      </c>
      <c r="G717" s="23">
        <v>4.12</v>
      </c>
      <c r="H717" s="3"/>
    </row>
    <row r="718" spans="1:8" x14ac:dyDescent="0.25">
      <c r="A718" s="22">
        <v>43070</v>
      </c>
      <c r="B718" s="23">
        <v>6.43</v>
      </c>
      <c r="C718" s="23">
        <v>8.2799999999999994</v>
      </c>
      <c r="D718" s="23">
        <v>5.22</v>
      </c>
      <c r="E718" s="23">
        <v>4.51</v>
      </c>
      <c r="F718" s="23">
        <v>5.78</v>
      </c>
      <c r="G718" s="23">
        <v>4.12</v>
      </c>
      <c r="H718" s="3"/>
    </row>
    <row r="719" spans="1:8" x14ac:dyDescent="0.25">
      <c r="A719" s="22">
        <v>43101</v>
      </c>
      <c r="B719" s="23">
        <v>6.43</v>
      </c>
      <c r="C719" s="23">
        <v>8.2799999999999994</v>
      </c>
      <c r="D719" s="23">
        <v>5.22</v>
      </c>
      <c r="E719" s="23">
        <v>4.51</v>
      </c>
      <c r="F719" s="23">
        <v>5.78</v>
      </c>
      <c r="G719" s="23">
        <v>4.1399999999999997</v>
      </c>
      <c r="H719" s="3"/>
    </row>
    <row r="720" spans="1:8" x14ac:dyDescent="0.25">
      <c r="A720" s="22">
        <v>43132</v>
      </c>
      <c r="B720" s="23">
        <v>6.43</v>
      </c>
      <c r="C720" s="23">
        <v>8.2799999999999994</v>
      </c>
      <c r="D720" s="23">
        <v>5.22</v>
      </c>
      <c r="E720" s="23">
        <v>4.51</v>
      </c>
      <c r="F720" s="23">
        <v>5.78</v>
      </c>
      <c r="G720" s="23">
        <v>4.1399999999999997</v>
      </c>
      <c r="H720" s="3"/>
    </row>
    <row r="721" spans="1:8" x14ac:dyDescent="0.25">
      <c r="A721" s="22">
        <v>43160</v>
      </c>
      <c r="B721" s="23">
        <v>6.43</v>
      </c>
      <c r="C721" s="23">
        <v>8.2799999999999994</v>
      </c>
      <c r="D721" s="23">
        <v>5.22</v>
      </c>
      <c r="E721" s="23">
        <v>4.51</v>
      </c>
      <c r="F721" s="23">
        <v>5.78</v>
      </c>
      <c r="G721" s="23">
        <v>4.13</v>
      </c>
      <c r="H721" s="3"/>
    </row>
    <row r="722" spans="1:8" x14ac:dyDescent="0.25">
      <c r="A722" s="22">
        <v>43191</v>
      </c>
      <c r="B722" s="23">
        <v>6.43</v>
      </c>
      <c r="C722" s="23">
        <v>8.2799999999999994</v>
      </c>
      <c r="D722" s="23">
        <v>5.22</v>
      </c>
      <c r="E722" s="23">
        <v>4.51</v>
      </c>
      <c r="F722" s="23">
        <v>5.78</v>
      </c>
      <c r="G722" s="23">
        <v>4.13</v>
      </c>
      <c r="H722" s="3"/>
    </row>
    <row r="723" spans="1:8" x14ac:dyDescent="0.25">
      <c r="A723" s="22">
        <v>43221</v>
      </c>
      <c r="B723" s="23">
        <v>6.43</v>
      </c>
      <c r="C723" s="23">
        <v>8.2799999999999994</v>
      </c>
      <c r="D723" s="23">
        <v>5.22</v>
      </c>
      <c r="E723" s="23">
        <v>4.51</v>
      </c>
      <c r="F723" s="23">
        <v>5.78</v>
      </c>
      <c r="G723" s="23">
        <v>4.13</v>
      </c>
      <c r="H723" s="3"/>
    </row>
    <row r="724" spans="1:8" x14ac:dyDescent="0.25">
      <c r="A724" s="22">
        <v>43252</v>
      </c>
      <c r="B724" s="23">
        <v>6.43</v>
      </c>
      <c r="C724" s="23">
        <v>8.2799999999999994</v>
      </c>
      <c r="D724" s="23">
        <v>5.22</v>
      </c>
      <c r="E724" s="23">
        <v>4.51</v>
      </c>
      <c r="F724" s="23">
        <v>5.78</v>
      </c>
      <c r="G724" s="23">
        <v>4.13</v>
      </c>
      <c r="H724" s="3"/>
    </row>
    <row r="725" spans="1:8" x14ac:dyDescent="0.25">
      <c r="A725" s="22">
        <v>43282</v>
      </c>
      <c r="B725" s="23">
        <v>6.43</v>
      </c>
      <c r="C725" s="23">
        <v>8.2799999999999994</v>
      </c>
      <c r="D725" s="23">
        <v>5.22</v>
      </c>
      <c r="E725" s="23">
        <v>4.51</v>
      </c>
      <c r="F725" s="23">
        <v>5.78</v>
      </c>
      <c r="G725" s="23">
        <v>4.1100000000000003</v>
      </c>
      <c r="H725" s="3"/>
    </row>
    <row r="726" spans="1:8" x14ac:dyDescent="0.25">
      <c r="A726" s="22">
        <v>43313</v>
      </c>
      <c r="B726" s="23">
        <v>6.43</v>
      </c>
      <c r="C726" s="23">
        <v>8.2799999999999994</v>
      </c>
      <c r="D726" s="23">
        <v>5.22</v>
      </c>
      <c r="E726" s="23">
        <v>4.51</v>
      </c>
      <c r="F726" s="23">
        <v>5.78</v>
      </c>
      <c r="G726" s="23">
        <v>4.1100000000000003</v>
      </c>
      <c r="H726" s="3"/>
    </row>
    <row r="727" spans="1:8" x14ac:dyDescent="0.25">
      <c r="A727" s="22">
        <v>43344</v>
      </c>
      <c r="B727" s="23">
        <v>6.47</v>
      </c>
      <c r="C727" s="23">
        <v>8.32</v>
      </c>
      <c r="D727" s="23">
        <v>5.31</v>
      </c>
      <c r="E727" s="23">
        <v>4.62</v>
      </c>
      <c r="F727" s="23">
        <v>5.86</v>
      </c>
      <c r="G727" s="23">
        <v>4.1100000000000003</v>
      </c>
      <c r="H727" s="3"/>
    </row>
    <row r="728" spans="1:8" x14ac:dyDescent="0.25">
      <c r="A728" s="22">
        <v>43374</v>
      </c>
      <c r="B728" s="23">
        <v>6.47</v>
      </c>
      <c r="C728" s="23">
        <v>8.32</v>
      </c>
      <c r="D728" s="23">
        <v>5.34</v>
      </c>
      <c r="E728" s="23">
        <v>4.6500000000000004</v>
      </c>
      <c r="F728" s="23">
        <v>5.89</v>
      </c>
      <c r="G728" s="23">
        <v>4.1100000000000003</v>
      </c>
      <c r="H728" s="3"/>
    </row>
    <row r="729" spans="1:8" x14ac:dyDescent="0.25">
      <c r="A729" s="22">
        <v>43405</v>
      </c>
      <c r="B729" s="23">
        <v>6.47</v>
      </c>
      <c r="C729" s="23">
        <v>8.32</v>
      </c>
      <c r="D729" s="23">
        <v>5.34</v>
      </c>
      <c r="E729" s="23">
        <v>4.6500000000000004</v>
      </c>
      <c r="F729" s="23">
        <v>5.89</v>
      </c>
      <c r="G729" s="23">
        <v>4.07</v>
      </c>
      <c r="H729" s="3"/>
    </row>
    <row r="730" spans="1:8" x14ac:dyDescent="0.25">
      <c r="A730" s="22">
        <v>43435</v>
      </c>
      <c r="B730" s="23">
        <v>6.47</v>
      </c>
      <c r="C730" s="23">
        <v>8.32</v>
      </c>
      <c r="D730" s="23">
        <v>5.34</v>
      </c>
      <c r="E730" s="23">
        <v>4.6500000000000004</v>
      </c>
      <c r="F730" s="23">
        <v>5.89</v>
      </c>
      <c r="G730" s="23">
        <v>4.07</v>
      </c>
      <c r="H730" s="3"/>
    </row>
    <row r="731" spans="1:8" x14ac:dyDescent="0.25">
      <c r="A731" s="22">
        <v>43466</v>
      </c>
      <c r="B731" s="23">
        <v>6.47</v>
      </c>
      <c r="C731" s="23">
        <v>8.32</v>
      </c>
      <c r="D731" s="23">
        <v>5.37</v>
      </c>
      <c r="E731" s="23">
        <v>4.68</v>
      </c>
      <c r="F731" s="23">
        <v>5.93</v>
      </c>
      <c r="G731" s="23">
        <v>4.07</v>
      </c>
      <c r="H731" s="3"/>
    </row>
    <row r="732" spans="1:8" x14ac:dyDescent="0.25">
      <c r="A732" s="22">
        <v>43497</v>
      </c>
      <c r="B732" s="23">
        <v>6.47</v>
      </c>
      <c r="C732" s="23">
        <v>8.32</v>
      </c>
      <c r="D732" s="23">
        <v>5.37</v>
      </c>
      <c r="E732" s="23">
        <v>4.68</v>
      </c>
      <c r="F732" s="23">
        <v>5.93</v>
      </c>
      <c r="G732" s="23">
        <v>4.07</v>
      </c>
      <c r="H732" s="3"/>
    </row>
    <row r="733" spans="1:8" x14ac:dyDescent="0.25">
      <c r="A733" s="22">
        <v>43525</v>
      </c>
      <c r="B733" s="23">
        <v>6.47</v>
      </c>
      <c r="C733" s="23">
        <v>8.32</v>
      </c>
      <c r="D733" s="23">
        <v>5.37</v>
      </c>
      <c r="E733" s="23">
        <v>4.68</v>
      </c>
      <c r="F733" s="23">
        <v>5.93</v>
      </c>
      <c r="G733" s="23">
        <v>4.05</v>
      </c>
      <c r="H733" s="3"/>
    </row>
    <row r="734" spans="1:8" x14ac:dyDescent="0.25">
      <c r="A734" s="22">
        <v>43556</v>
      </c>
      <c r="B734" s="23">
        <v>6.47</v>
      </c>
      <c r="C734" s="23">
        <v>8.32</v>
      </c>
      <c r="D734" s="23">
        <v>5.37</v>
      </c>
      <c r="E734" s="23">
        <v>4.68</v>
      </c>
      <c r="F734" s="23">
        <v>5.93</v>
      </c>
      <c r="G734" s="23">
        <v>3.99</v>
      </c>
      <c r="H734" s="3"/>
    </row>
    <row r="735" spans="1:8" x14ac:dyDescent="0.25">
      <c r="A735" s="22">
        <v>43586</v>
      </c>
      <c r="B735" s="23">
        <v>6.47</v>
      </c>
      <c r="C735" s="23">
        <v>8.32</v>
      </c>
      <c r="D735" s="23">
        <v>5.37</v>
      </c>
      <c r="E735" s="23">
        <v>4.68</v>
      </c>
      <c r="F735" s="23">
        <v>5.93</v>
      </c>
      <c r="G735" s="23">
        <v>3.89</v>
      </c>
      <c r="H735" s="3"/>
    </row>
    <row r="736" spans="1:8" x14ac:dyDescent="0.25">
      <c r="A736" s="22">
        <v>43617</v>
      </c>
      <c r="B736" s="23">
        <v>6.36</v>
      </c>
      <c r="C736" s="23">
        <v>8.2100000000000009</v>
      </c>
      <c r="D736" s="23">
        <v>5.15</v>
      </c>
      <c r="E736" s="23">
        <v>4.46</v>
      </c>
      <c r="F736" s="23">
        <v>5.71</v>
      </c>
      <c r="G736" s="23">
        <v>3.88</v>
      </c>
      <c r="H736" s="3"/>
    </row>
    <row r="737" spans="1:8" x14ac:dyDescent="0.25">
      <c r="A737" s="22">
        <v>43647</v>
      </c>
      <c r="B737" s="23">
        <v>6.2</v>
      </c>
      <c r="C737" s="23">
        <v>7.74</v>
      </c>
      <c r="D737" s="23">
        <v>4.9400000000000004</v>
      </c>
      <c r="E737" s="23">
        <v>4.25</v>
      </c>
      <c r="F737" s="23">
        <v>5.49</v>
      </c>
      <c r="G737" s="23">
        <v>3.41</v>
      </c>
      <c r="H737" s="3"/>
    </row>
    <row r="738" spans="1:8" x14ac:dyDescent="0.25">
      <c r="A738" s="22">
        <v>43678</v>
      </c>
      <c r="B738" s="23">
        <v>6.2</v>
      </c>
      <c r="C738" s="23">
        <v>7.74</v>
      </c>
      <c r="D738" s="23">
        <v>4.9400000000000004</v>
      </c>
      <c r="E738" s="23">
        <v>4.25</v>
      </c>
      <c r="F738" s="23">
        <v>5.49</v>
      </c>
      <c r="G738" s="23">
        <v>3.41</v>
      </c>
      <c r="H738" s="3"/>
    </row>
    <row r="739" spans="1:8" x14ac:dyDescent="0.25">
      <c r="A739" s="22">
        <v>43709</v>
      </c>
      <c r="B739" s="23">
        <v>6.2</v>
      </c>
      <c r="C739" s="23">
        <v>7.74</v>
      </c>
      <c r="D739" s="23">
        <v>4.9400000000000004</v>
      </c>
      <c r="E739" s="23">
        <v>4.25</v>
      </c>
      <c r="F739" s="23">
        <v>5.49</v>
      </c>
      <c r="G739" s="23">
        <v>3.36</v>
      </c>
      <c r="H739" s="3"/>
    </row>
    <row r="740" spans="1:8" x14ac:dyDescent="0.25">
      <c r="A740" s="22">
        <v>43739</v>
      </c>
      <c r="B740" s="23">
        <v>6.09</v>
      </c>
      <c r="C740" s="23">
        <v>7.63</v>
      </c>
      <c r="D740" s="23">
        <v>4.8</v>
      </c>
      <c r="E740" s="23">
        <v>4.1500000000000004</v>
      </c>
      <c r="F740" s="23">
        <v>5.35</v>
      </c>
      <c r="G740" s="23">
        <v>3.1</v>
      </c>
      <c r="H740" s="3"/>
    </row>
    <row r="741" spans="1:8" x14ac:dyDescent="0.25">
      <c r="A741" s="22">
        <v>43770</v>
      </c>
      <c r="B741" s="23">
        <v>6.09</v>
      </c>
      <c r="C741" s="23">
        <v>7.63</v>
      </c>
      <c r="D741" s="23">
        <v>4.8</v>
      </c>
      <c r="E741" s="23">
        <v>4.1500000000000004</v>
      </c>
      <c r="F741" s="23">
        <v>5.35</v>
      </c>
      <c r="G741" s="23">
        <v>3.1</v>
      </c>
      <c r="H741" s="3"/>
    </row>
    <row r="742" spans="1:8" x14ac:dyDescent="0.25">
      <c r="A742" s="22">
        <v>43800</v>
      </c>
      <c r="B742" s="23">
        <v>6.09</v>
      </c>
      <c r="C742" s="23">
        <v>7.63</v>
      </c>
      <c r="D742" s="23">
        <v>4.8</v>
      </c>
      <c r="E742" s="23">
        <v>4.1500000000000004</v>
      </c>
      <c r="F742" s="23">
        <v>5.35</v>
      </c>
      <c r="G742" s="23">
        <v>3.1</v>
      </c>
      <c r="H742" s="3"/>
    </row>
    <row r="743" spans="1:8" x14ac:dyDescent="0.25">
      <c r="A743" s="22">
        <v>43831</v>
      </c>
      <c r="B743" s="23">
        <v>6.09</v>
      </c>
      <c r="C743" s="23">
        <v>7.63</v>
      </c>
      <c r="D743" s="23">
        <v>4.8</v>
      </c>
      <c r="E743" s="23">
        <v>4.1500000000000004</v>
      </c>
      <c r="F743" s="23">
        <v>5.35</v>
      </c>
      <c r="G743" s="23">
        <v>3.1</v>
      </c>
      <c r="H743" s="3"/>
    </row>
    <row r="744" spans="1:8" x14ac:dyDescent="0.25">
      <c r="A744" s="22">
        <v>43862</v>
      </c>
      <c r="B744" s="23">
        <v>6.09</v>
      </c>
      <c r="C744" s="23">
        <v>7.63</v>
      </c>
      <c r="D744" s="23">
        <v>4.8</v>
      </c>
      <c r="E744" s="23">
        <v>4.1500000000000004</v>
      </c>
      <c r="F744" s="23">
        <v>5.35</v>
      </c>
      <c r="G744" s="23">
        <v>3.08</v>
      </c>
      <c r="H744" s="3"/>
    </row>
    <row r="745" spans="1:8" x14ac:dyDescent="0.25">
      <c r="A745" s="22">
        <v>43891</v>
      </c>
      <c r="B745" s="23">
        <v>5.53</v>
      </c>
      <c r="C745" s="23">
        <v>7.32</v>
      </c>
      <c r="D745" s="23">
        <v>4.5199999999999996</v>
      </c>
      <c r="E745" s="23">
        <v>3.91</v>
      </c>
      <c r="F745" s="23">
        <v>5.0599999999999996</v>
      </c>
      <c r="G745" s="23">
        <v>2.54</v>
      </c>
      <c r="H745" s="3"/>
    </row>
    <row r="746" spans="1:8" x14ac:dyDescent="0.25">
      <c r="A746" s="22">
        <v>43922</v>
      </c>
      <c r="B746" s="23">
        <v>5.03</v>
      </c>
      <c r="C746" s="23">
        <v>6.57</v>
      </c>
      <c r="D746" s="23">
        <v>4.5199999999999996</v>
      </c>
      <c r="E746" s="23">
        <v>3.91</v>
      </c>
      <c r="F746" s="23">
        <v>5.0599999999999996</v>
      </c>
      <c r="G746" s="23">
        <v>2.54</v>
      </c>
      <c r="H746" s="3"/>
    </row>
    <row r="747" spans="1:8" x14ac:dyDescent="0.25">
      <c r="A747" s="22">
        <v>43952</v>
      </c>
      <c r="B747" s="23">
        <v>5.03</v>
      </c>
      <c r="C747" s="23">
        <v>6.57</v>
      </c>
      <c r="D747" s="23">
        <v>4.5199999999999996</v>
      </c>
      <c r="E747" s="23">
        <v>3.87</v>
      </c>
      <c r="F747" s="23">
        <v>5.0599999999999996</v>
      </c>
      <c r="G747" s="23">
        <v>2.54</v>
      </c>
      <c r="H747" s="3"/>
    </row>
    <row r="748" spans="1:8" x14ac:dyDescent="0.25">
      <c r="A748" s="22">
        <v>43983</v>
      </c>
      <c r="B748" s="23">
        <v>5.03</v>
      </c>
      <c r="C748" s="23">
        <v>6.57</v>
      </c>
      <c r="D748" s="23">
        <v>4.5199999999999996</v>
      </c>
      <c r="E748" s="23">
        <v>3.65</v>
      </c>
      <c r="F748" s="23">
        <v>5.0599999999999996</v>
      </c>
      <c r="G748" s="23">
        <v>2.39</v>
      </c>
      <c r="H748" s="3"/>
    </row>
    <row r="749" spans="1:8" x14ac:dyDescent="0.25">
      <c r="A749" s="22">
        <v>44013</v>
      </c>
      <c r="B749" s="23">
        <v>5.03</v>
      </c>
      <c r="C749" s="23">
        <v>6.51</v>
      </c>
      <c r="D749" s="23">
        <v>4.5199999999999996</v>
      </c>
      <c r="E749" s="23">
        <v>3.65</v>
      </c>
      <c r="F749" s="23">
        <v>5.0599999999999996</v>
      </c>
      <c r="G749" s="23">
        <v>2.39</v>
      </c>
      <c r="H749" s="3"/>
    </row>
    <row r="750" spans="1:8" x14ac:dyDescent="0.25">
      <c r="A750" s="22">
        <v>44044</v>
      </c>
      <c r="B750" s="23">
        <v>5.03</v>
      </c>
      <c r="C750" s="23">
        <v>6.51</v>
      </c>
      <c r="D750" s="23">
        <v>4.5199999999999996</v>
      </c>
      <c r="E750" s="23">
        <v>3.65</v>
      </c>
      <c r="F750" s="23">
        <v>5.0599999999999996</v>
      </c>
      <c r="G750" s="23">
        <v>2.39</v>
      </c>
      <c r="H750" s="3"/>
    </row>
    <row r="751" spans="1:8" x14ac:dyDescent="0.25">
      <c r="A751" s="22">
        <v>44075</v>
      </c>
      <c r="B751" s="23">
        <v>5.03</v>
      </c>
      <c r="C751" s="23">
        <v>6.51</v>
      </c>
      <c r="D751" s="23">
        <v>4.5199999999999996</v>
      </c>
      <c r="E751" s="23">
        <v>3.65</v>
      </c>
      <c r="F751" s="23">
        <v>5.0599999999999996</v>
      </c>
      <c r="G751" s="23">
        <v>2.39</v>
      </c>
      <c r="H751" s="3"/>
    </row>
    <row r="752" spans="1:8" x14ac:dyDescent="0.25">
      <c r="A752" s="22">
        <v>44105</v>
      </c>
      <c r="B752" s="23">
        <v>5.03</v>
      </c>
      <c r="C752" s="23">
        <v>6.51</v>
      </c>
      <c r="D752" s="23">
        <v>4.5199999999999996</v>
      </c>
      <c r="E752" s="23">
        <v>3.65</v>
      </c>
      <c r="F752" s="23">
        <v>5.0599999999999996</v>
      </c>
      <c r="G752" s="23">
        <v>2.39</v>
      </c>
      <c r="H752" s="3"/>
    </row>
    <row r="753" spans="1:8" x14ac:dyDescent="0.25">
      <c r="A753" s="22">
        <v>44136</v>
      </c>
      <c r="B753" s="23">
        <v>5.03</v>
      </c>
      <c r="C753" s="23">
        <v>6.51</v>
      </c>
      <c r="D753" s="23">
        <v>4.5199999999999996</v>
      </c>
      <c r="E753" s="23">
        <v>3.65</v>
      </c>
      <c r="F753" s="23">
        <v>5.0599999999999996</v>
      </c>
      <c r="G753" s="23">
        <v>2.2000000000000002</v>
      </c>
      <c r="H753" s="3"/>
    </row>
    <row r="754" spans="1:8" x14ac:dyDescent="0.25">
      <c r="A754" s="22">
        <v>44166</v>
      </c>
      <c r="B754" s="23">
        <v>5.03</v>
      </c>
      <c r="C754" s="23">
        <v>6.51</v>
      </c>
      <c r="D754" s="23">
        <v>4.5199999999999996</v>
      </c>
      <c r="E754" s="23">
        <v>3.65</v>
      </c>
      <c r="F754" s="23">
        <v>5.0599999999999996</v>
      </c>
      <c r="G754" s="23">
        <v>2.2000000000000002</v>
      </c>
      <c r="H754" s="3"/>
    </row>
    <row r="755" spans="1:8" x14ac:dyDescent="0.25">
      <c r="A755" s="22">
        <v>44197</v>
      </c>
      <c r="B755" s="23">
        <v>5.03</v>
      </c>
      <c r="C755" s="23">
        <v>6.51</v>
      </c>
      <c r="D755" s="23">
        <v>4.5199999999999996</v>
      </c>
      <c r="E755" s="23">
        <v>3.65</v>
      </c>
      <c r="F755" s="23">
        <v>5.0599999999999996</v>
      </c>
      <c r="G755" s="23">
        <v>2.2000000000000002</v>
      </c>
      <c r="H755" s="3"/>
    </row>
    <row r="756" spans="1:8" x14ac:dyDescent="0.25">
      <c r="A756" s="22">
        <v>44228</v>
      </c>
      <c r="B756" s="23">
        <v>5.03</v>
      </c>
      <c r="C756" s="23">
        <v>6.51</v>
      </c>
      <c r="D756" s="23">
        <v>4.5199999999999996</v>
      </c>
      <c r="E756" s="23">
        <v>3.65</v>
      </c>
      <c r="F756" s="23">
        <v>5.0599999999999996</v>
      </c>
      <c r="G756" s="23">
        <v>2.19</v>
      </c>
      <c r="H756" s="3"/>
    </row>
    <row r="757" spans="1:8" x14ac:dyDescent="0.25">
      <c r="A757" s="22">
        <v>44256</v>
      </c>
      <c r="B757" s="23">
        <v>5.03</v>
      </c>
      <c r="C757" s="23">
        <v>6.51</v>
      </c>
      <c r="D757" s="23">
        <v>4.5199999999999996</v>
      </c>
      <c r="E757" s="23">
        <v>3.65</v>
      </c>
      <c r="F757" s="23">
        <v>5.0599999999999996</v>
      </c>
      <c r="G757" s="23">
        <v>2.14</v>
      </c>
      <c r="H757" s="3"/>
    </row>
    <row r="758" spans="1:8" x14ac:dyDescent="0.25">
      <c r="A758" s="22">
        <v>44287</v>
      </c>
      <c r="B758" s="23">
        <v>5.03</v>
      </c>
      <c r="C758" s="23">
        <v>6.51</v>
      </c>
      <c r="D758" s="23">
        <v>4.5199999999999996</v>
      </c>
      <c r="E758" s="23">
        <v>3.59</v>
      </c>
      <c r="F758" s="23">
        <v>5.0599999999999996</v>
      </c>
      <c r="G758" s="23">
        <v>2.14</v>
      </c>
      <c r="H758" s="3"/>
    </row>
    <row r="759" spans="1:8" x14ac:dyDescent="0.25">
      <c r="A759" s="22">
        <v>44317</v>
      </c>
      <c r="B759" s="23">
        <v>5.03</v>
      </c>
      <c r="C759" s="23">
        <v>6.51</v>
      </c>
      <c r="D759" s="23">
        <v>4.5199999999999996</v>
      </c>
      <c r="E759" s="23">
        <v>3.59</v>
      </c>
      <c r="F759" s="23">
        <v>5.0599999999999996</v>
      </c>
      <c r="G759" s="23">
        <v>2.15</v>
      </c>
      <c r="H759" s="3"/>
    </row>
    <row r="760" spans="1:8" x14ac:dyDescent="0.25">
      <c r="A760" s="22">
        <v>44348</v>
      </c>
      <c r="B760" s="23">
        <v>5.03</v>
      </c>
      <c r="C760" s="23">
        <v>6.51</v>
      </c>
      <c r="D760" s="23">
        <v>4.5199999999999996</v>
      </c>
      <c r="E760" s="23">
        <v>3.59</v>
      </c>
      <c r="F760" s="23">
        <v>5.0599999999999996</v>
      </c>
      <c r="G760" s="23">
        <v>2.19</v>
      </c>
      <c r="H760" s="3"/>
    </row>
    <row r="761" spans="1:8" x14ac:dyDescent="0.25">
      <c r="A761" s="22">
        <v>44378</v>
      </c>
      <c r="B761" s="23">
        <v>5.03</v>
      </c>
      <c r="C761" s="23">
        <v>6.51</v>
      </c>
      <c r="D761" s="23">
        <v>4.5199999999999996</v>
      </c>
      <c r="E761" s="23">
        <v>3.6</v>
      </c>
      <c r="F761" s="23">
        <v>5.0599999999999996</v>
      </c>
      <c r="G761" s="23">
        <v>2.19</v>
      </c>
      <c r="H761" s="3"/>
    </row>
    <row r="762" spans="1:8" x14ac:dyDescent="0.25">
      <c r="A762" s="22">
        <v>44409</v>
      </c>
      <c r="B762" s="23">
        <v>5.03</v>
      </c>
      <c r="C762" s="23">
        <v>6.51</v>
      </c>
      <c r="D762" s="23">
        <v>4.5199999999999996</v>
      </c>
      <c r="E762" s="23">
        <v>3.45</v>
      </c>
      <c r="F762" s="23">
        <v>5.0599999999999996</v>
      </c>
      <c r="G762" s="23">
        <v>2.19</v>
      </c>
      <c r="H762" s="3"/>
    </row>
    <row r="763" spans="1:8" x14ac:dyDescent="0.25">
      <c r="A763" s="22">
        <v>44440</v>
      </c>
      <c r="B763" s="23">
        <v>4.75</v>
      </c>
      <c r="C763" s="23">
        <v>6.51</v>
      </c>
      <c r="D763" s="23">
        <v>4.5199999999999996</v>
      </c>
      <c r="E763" s="23">
        <v>3.45</v>
      </c>
      <c r="F763" s="23">
        <v>5.0599999999999996</v>
      </c>
      <c r="G763" s="23">
        <v>2.25</v>
      </c>
      <c r="H763" s="3"/>
    </row>
    <row r="764" spans="1:8" x14ac:dyDescent="0.25">
      <c r="A764" s="22">
        <v>44470</v>
      </c>
      <c r="B764" s="23">
        <v>4.75</v>
      </c>
      <c r="C764" s="23">
        <v>6.51</v>
      </c>
      <c r="D764" s="23">
        <v>4.5199999999999996</v>
      </c>
      <c r="E764" s="23">
        <v>3.45</v>
      </c>
      <c r="F764" s="23">
        <v>5.0599999999999996</v>
      </c>
      <c r="G764" s="23">
        <v>2.4700000000000002</v>
      </c>
      <c r="H764" s="3"/>
    </row>
    <row r="765" spans="1:8" x14ac:dyDescent="0.25">
      <c r="A765" s="22">
        <v>44501</v>
      </c>
      <c r="B765" s="23">
        <v>4.75</v>
      </c>
      <c r="C765" s="23">
        <v>6.51</v>
      </c>
      <c r="D765" s="23">
        <v>4.5199999999999996</v>
      </c>
      <c r="E765" s="23">
        <v>3.45</v>
      </c>
      <c r="F765" s="23">
        <v>5.0599999999999996</v>
      </c>
      <c r="G765" s="23">
        <v>2.93</v>
      </c>
      <c r="H765" s="3"/>
    </row>
    <row r="766" spans="1:8" x14ac:dyDescent="0.25">
      <c r="A766" s="22">
        <v>44531</v>
      </c>
      <c r="B766" s="23">
        <v>4.75</v>
      </c>
      <c r="C766" s="23">
        <v>6.51</v>
      </c>
      <c r="D766" s="23">
        <v>4.5199999999999996</v>
      </c>
      <c r="E766" s="23">
        <v>3.45</v>
      </c>
      <c r="F766" s="23">
        <v>5.0599999999999996</v>
      </c>
      <c r="G766" s="23">
        <v>3.17</v>
      </c>
      <c r="H766" s="3"/>
    </row>
    <row r="767" spans="1:8" x14ac:dyDescent="0.25">
      <c r="A767" s="22">
        <v>44562</v>
      </c>
      <c r="B767" s="23">
        <v>4.75</v>
      </c>
      <c r="C767" s="23">
        <v>6.51</v>
      </c>
      <c r="D767" s="23">
        <v>4.5199999999999996</v>
      </c>
      <c r="E767" s="23">
        <v>3.45</v>
      </c>
      <c r="F767" s="23">
        <v>5.0599999999999996</v>
      </c>
      <c r="G767" s="23">
        <v>3.23</v>
      </c>
      <c r="H767" s="3"/>
    </row>
    <row r="768" spans="1:8" x14ac:dyDescent="0.25">
      <c r="A768" s="22">
        <v>44593</v>
      </c>
      <c r="B768" s="23">
        <v>4.75</v>
      </c>
      <c r="C768" s="23">
        <v>6.51</v>
      </c>
      <c r="D768" s="23">
        <v>4.5199999999999996</v>
      </c>
      <c r="E768" s="23">
        <v>3.45</v>
      </c>
      <c r="F768" s="23">
        <v>5.0599999999999996</v>
      </c>
      <c r="G768" s="23">
        <v>3.48</v>
      </c>
      <c r="H768" s="3"/>
    </row>
    <row r="769" spans="1:8" x14ac:dyDescent="0.25">
      <c r="A769" s="22">
        <v>44621</v>
      </c>
      <c r="B769" s="23">
        <v>4.75</v>
      </c>
      <c r="C769" s="23">
        <v>6.51</v>
      </c>
      <c r="D769" s="23">
        <v>4.5199999999999996</v>
      </c>
      <c r="E769" s="23">
        <v>3.45</v>
      </c>
      <c r="F769" s="23">
        <v>5.0599999999999996</v>
      </c>
      <c r="G769" s="23">
        <v>3.83</v>
      </c>
      <c r="H769" s="3"/>
    </row>
    <row r="770" spans="1:8" x14ac:dyDescent="0.25">
      <c r="A770" s="22">
        <v>44652</v>
      </c>
      <c r="B770" s="23">
        <v>4.75</v>
      </c>
      <c r="C770" s="23">
        <v>6.51</v>
      </c>
      <c r="D770" s="23">
        <v>4.5199999999999996</v>
      </c>
      <c r="E770" s="23">
        <v>3.45</v>
      </c>
      <c r="F770" s="23">
        <v>5.0599999999999996</v>
      </c>
      <c r="G770" s="23">
        <v>4.34</v>
      </c>
      <c r="H770" s="3"/>
    </row>
    <row r="771" spans="1:8" x14ac:dyDescent="0.25">
      <c r="A771" s="22">
        <v>44682</v>
      </c>
      <c r="B771" s="23">
        <v>5</v>
      </c>
      <c r="C771" s="23">
        <v>6.79</v>
      </c>
      <c r="D771" s="23">
        <v>4.7699999999999996</v>
      </c>
      <c r="E771" s="23">
        <v>3.7</v>
      </c>
      <c r="F771" s="23">
        <v>5.31</v>
      </c>
      <c r="G771" s="23">
        <v>4.72</v>
      </c>
      <c r="H771" s="3"/>
    </row>
    <row r="772" spans="1:8" x14ac:dyDescent="0.25">
      <c r="A772" s="22">
        <v>44713</v>
      </c>
      <c r="B772" s="23">
        <v>5.5</v>
      </c>
      <c r="C772" s="23">
        <v>7.26</v>
      </c>
      <c r="D772" s="23">
        <v>5.27</v>
      </c>
      <c r="E772" s="23">
        <v>4.2</v>
      </c>
      <c r="F772" s="23">
        <v>5.81</v>
      </c>
      <c r="G772" s="23">
        <v>5.66</v>
      </c>
      <c r="H772" s="3"/>
    </row>
    <row r="773" spans="1:8" x14ac:dyDescent="0.25">
      <c r="A773" s="22">
        <v>44743</v>
      </c>
      <c r="B773" s="23">
        <v>6</v>
      </c>
      <c r="C773" s="23">
        <v>7.76</v>
      </c>
      <c r="D773" s="23">
        <v>5.77</v>
      </c>
      <c r="E773" s="23">
        <v>4.7</v>
      </c>
      <c r="F773" s="23">
        <v>6.31</v>
      </c>
      <c r="G773" s="23">
        <v>6.14</v>
      </c>
      <c r="H773" s="3"/>
    </row>
    <row r="774" spans="1:8" x14ac:dyDescent="0.25">
      <c r="A774" s="22">
        <v>44774</v>
      </c>
      <c r="B774" s="23">
        <v>6.5</v>
      </c>
      <c r="C774" s="23">
        <v>8.2899999999999991</v>
      </c>
      <c r="D774" s="23">
        <v>6.27</v>
      </c>
      <c r="E774" s="23">
        <v>5.2</v>
      </c>
      <c r="F774" s="23">
        <v>6.81</v>
      </c>
      <c r="G774" s="23">
        <v>6.06</v>
      </c>
      <c r="H774" s="3"/>
    </row>
    <row r="775" spans="1:8" x14ac:dyDescent="0.25">
      <c r="A775" s="22">
        <v>44805</v>
      </c>
      <c r="B775" s="23">
        <v>7</v>
      </c>
      <c r="C775" s="23">
        <v>8.7899999999999991</v>
      </c>
      <c r="D775" s="23">
        <v>6.77</v>
      </c>
      <c r="E775" s="23">
        <v>5.7</v>
      </c>
      <c r="F775" s="23">
        <v>7.31</v>
      </c>
      <c r="G775" s="23">
        <v>6.05</v>
      </c>
      <c r="H775" s="3"/>
    </row>
    <row r="776" spans="1:8" x14ac:dyDescent="0.25">
      <c r="A776" s="22">
        <v>44835</v>
      </c>
      <c r="B776" s="23">
        <v>7.25</v>
      </c>
      <c r="C776" s="23">
        <v>9.0399999999999991</v>
      </c>
      <c r="D776" s="23">
        <v>7.02</v>
      </c>
      <c r="E776" s="23">
        <v>5.95</v>
      </c>
      <c r="F776" s="23">
        <v>7.56</v>
      </c>
      <c r="G776" s="23">
        <v>6.24</v>
      </c>
      <c r="H776" s="3"/>
    </row>
    <row r="777" spans="1:8" x14ac:dyDescent="0.25">
      <c r="A777" s="22">
        <v>44866</v>
      </c>
      <c r="B777" s="23">
        <v>7.5</v>
      </c>
      <c r="C777" s="23">
        <v>9.2899999999999991</v>
      </c>
      <c r="D777" s="23">
        <v>7.27</v>
      </c>
      <c r="E777" s="23">
        <v>5.72</v>
      </c>
      <c r="F777" s="23">
        <v>7.81</v>
      </c>
      <c r="G777" s="23">
        <v>6.3</v>
      </c>
      <c r="H777" s="3"/>
    </row>
    <row r="778" spans="1:8" x14ac:dyDescent="0.25">
      <c r="A778" s="22">
        <v>44896</v>
      </c>
      <c r="B778" s="23">
        <v>7.75</v>
      </c>
      <c r="C778" s="23">
        <v>9.51</v>
      </c>
      <c r="D778" s="23">
        <v>7.52</v>
      </c>
      <c r="E778" s="23">
        <v>5.97</v>
      </c>
      <c r="F778" s="23">
        <v>8.06</v>
      </c>
      <c r="G778" s="23">
        <v>6.24</v>
      </c>
      <c r="H778" s="3"/>
    </row>
    <row r="779" spans="1:8" x14ac:dyDescent="0.25">
      <c r="A779" s="22">
        <v>44927</v>
      </c>
      <c r="B779" s="23">
        <v>7.75</v>
      </c>
      <c r="C779" s="23">
        <v>9.51</v>
      </c>
      <c r="D779" s="23">
        <v>7.52</v>
      </c>
      <c r="E779" s="23">
        <v>5.97</v>
      </c>
      <c r="F779" s="23">
        <v>8.06</v>
      </c>
      <c r="G779" s="23">
        <v>6.24</v>
      </c>
      <c r="H779" s="3"/>
    </row>
    <row r="780" spans="1:8" x14ac:dyDescent="0.25">
      <c r="A780" s="22">
        <v>44958</v>
      </c>
      <c r="B780" s="23">
        <v>8</v>
      </c>
      <c r="C780" s="23">
        <v>9.76</v>
      </c>
      <c r="D780" s="23">
        <v>7.77</v>
      </c>
      <c r="E780" s="23">
        <v>6.22</v>
      </c>
      <c r="F780" s="23">
        <v>8.31</v>
      </c>
      <c r="G780" s="23">
        <v>6.26</v>
      </c>
      <c r="H780" s="3"/>
    </row>
    <row r="781" spans="1:8" x14ac:dyDescent="0.25">
      <c r="A781" s="22">
        <v>44986</v>
      </c>
      <c r="B781" s="23">
        <v>8.25</v>
      </c>
      <c r="C781" s="23">
        <v>10.01</v>
      </c>
      <c r="D781" s="23">
        <v>8.02</v>
      </c>
      <c r="E781" s="23">
        <v>6.43</v>
      </c>
      <c r="F781" s="23">
        <v>8.56</v>
      </c>
      <c r="G781" s="23">
        <v>6.27</v>
      </c>
      <c r="H781" s="3"/>
    </row>
    <row r="782" spans="1:8" x14ac:dyDescent="0.25">
      <c r="A782" s="22">
        <v>45017</v>
      </c>
      <c r="B782" s="23">
        <v>8.44</v>
      </c>
      <c r="C782" s="23">
        <v>10.01</v>
      </c>
      <c r="D782" s="23">
        <v>8.02</v>
      </c>
      <c r="E782" s="23">
        <v>6.49</v>
      </c>
      <c r="F782" s="23">
        <v>8.56</v>
      </c>
      <c r="G782" s="23">
        <v>5.97</v>
      </c>
      <c r="H782" s="3"/>
    </row>
    <row r="783" spans="1:8" x14ac:dyDescent="0.25">
      <c r="A783" s="22">
        <v>45047</v>
      </c>
      <c r="B783" s="23">
        <v>8.5</v>
      </c>
      <c r="C783" s="23">
        <v>10.26</v>
      </c>
      <c r="D783" s="23">
        <v>8.27</v>
      </c>
      <c r="E783" s="23">
        <v>6.79</v>
      </c>
      <c r="F783" s="23">
        <v>8.7899999999999991</v>
      </c>
      <c r="G783" s="23">
        <v>5.97</v>
      </c>
      <c r="H783" s="3"/>
    </row>
    <row r="784" spans="1:8" x14ac:dyDescent="0.25">
      <c r="A784" s="22">
        <v>45078</v>
      </c>
      <c r="B784" s="23">
        <v>8.75</v>
      </c>
      <c r="C784" s="23">
        <v>10.51</v>
      </c>
      <c r="D784" s="23">
        <v>8.52</v>
      </c>
      <c r="E784" s="23">
        <v>7.06</v>
      </c>
      <c r="F784" s="23">
        <v>9.0399999999999991</v>
      </c>
      <c r="G784" s="23">
        <v>6.38</v>
      </c>
      <c r="H784" s="3"/>
    </row>
    <row r="785" spans="1:8" x14ac:dyDescent="0.25">
      <c r="A785" s="22">
        <v>45108</v>
      </c>
      <c r="B785" s="23">
        <v>8.75</v>
      </c>
      <c r="C785" s="23">
        <v>10.51</v>
      </c>
      <c r="D785" s="23">
        <v>8.52</v>
      </c>
      <c r="E785" s="23">
        <v>7.06</v>
      </c>
      <c r="F785" s="23">
        <v>9.0399999999999991</v>
      </c>
      <c r="G785" s="23">
        <v>6.65</v>
      </c>
      <c r="H785" s="3"/>
    </row>
    <row r="786" spans="1:8" x14ac:dyDescent="0.25">
      <c r="A786" s="22">
        <v>45139</v>
      </c>
      <c r="B786" s="23">
        <v>8.75</v>
      </c>
      <c r="C786" s="23">
        <v>10.51</v>
      </c>
      <c r="D786" s="23">
        <v>8.52</v>
      </c>
      <c r="E786" s="23">
        <v>7.06</v>
      </c>
      <c r="F786" s="23">
        <v>9.0399999999999991</v>
      </c>
      <c r="G786" s="23">
        <v>6.58</v>
      </c>
      <c r="H786" s="3"/>
    </row>
    <row r="787" spans="1:8" x14ac:dyDescent="0.25">
      <c r="A787" s="22">
        <v>45170</v>
      </c>
      <c r="B787" s="23">
        <v>8.75</v>
      </c>
      <c r="C787" s="23">
        <v>10.51</v>
      </c>
      <c r="D787" s="23">
        <v>8.52</v>
      </c>
      <c r="E787" s="23">
        <v>7.06</v>
      </c>
      <c r="F787" s="23">
        <v>9.0399999999999991</v>
      </c>
      <c r="G787" s="23">
        <v>6.56</v>
      </c>
      <c r="H787" s="3"/>
    </row>
    <row r="788" spans="1:8" x14ac:dyDescent="0.25">
      <c r="A788" s="22">
        <v>45200</v>
      </c>
      <c r="B788" s="23">
        <v>8.75</v>
      </c>
      <c r="C788" s="23">
        <v>10.51</v>
      </c>
      <c r="D788" s="23">
        <v>8.52</v>
      </c>
      <c r="E788" s="23">
        <v>7.06</v>
      </c>
      <c r="F788" s="23">
        <v>9.0399999999999991</v>
      </c>
      <c r="G788" s="23">
        <v>6.56</v>
      </c>
      <c r="H788" s="3"/>
    </row>
    <row r="789" spans="1:8" x14ac:dyDescent="0.25">
      <c r="A789" s="22">
        <v>45231</v>
      </c>
      <c r="B789" s="23">
        <v>9</v>
      </c>
      <c r="C789" s="23">
        <v>10.79</v>
      </c>
      <c r="D789" s="23">
        <v>8.77</v>
      </c>
      <c r="E789" s="23">
        <v>7.31</v>
      </c>
      <c r="F789" s="23">
        <v>9.2899999999999991</v>
      </c>
      <c r="G789" s="23">
        <v>6.8</v>
      </c>
      <c r="H789" s="3"/>
    </row>
    <row r="790" spans="1:8" x14ac:dyDescent="0.25">
      <c r="A790" s="22">
        <v>45261</v>
      </c>
      <c r="B790" s="23">
        <v>9</v>
      </c>
      <c r="C790" s="23">
        <v>10.79</v>
      </c>
      <c r="D790" s="23">
        <v>8.77</v>
      </c>
      <c r="E790" s="23">
        <v>7.31</v>
      </c>
      <c r="F790" s="23">
        <v>9.2899999999999991</v>
      </c>
      <c r="G790" s="23">
        <v>6.8</v>
      </c>
      <c r="H790" s="3"/>
    </row>
    <row r="791" spans="1:8" x14ac:dyDescent="0.25">
      <c r="A791" s="22">
        <v>45292</v>
      </c>
      <c r="B791" s="23">
        <v>9</v>
      </c>
      <c r="C791" s="23">
        <v>10.79</v>
      </c>
      <c r="D791" s="23">
        <v>8.77</v>
      </c>
      <c r="E791" s="23">
        <v>7.31</v>
      </c>
      <c r="F791" s="23">
        <v>9.2899999999999991</v>
      </c>
      <c r="G791" s="23">
        <v>6.8</v>
      </c>
      <c r="H791" s="3"/>
    </row>
    <row r="792" spans="1:8" x14ac:dyDescent="0.25">
      <c r="A792" s="22">
        <v>45323</v>
      </c>
      <c r="B792" s="23">
        <v>9</v>
      </c>
      <c r="C792" s="23">
        <v>10.79</v>
      </c>
      <c r="D792" s="23">
        <v>8.77</v>
      </c>
      <c r="E792" s="23">
        <v>7.31</v>
      </c>
      <c r="F792" s="23">
        <v>9.2899999999999991</v>
      </c>
      <c r="G792" s="23">
        <v>6.8</v>
      </c>
      <c r="H792" s="3"/>
    </row>
    <row r="793" spans="1:8" x14ac:dyDescent="0.25">
      <c r="A793" s="22">
        <v>45352</v>
      </c>
      <c r="B793" s="23">
        <v>9</v>
      </c>
      <c r="C793" s="23">
        <v>10.79</v>
      </c>
      <c r="D793" s="23">
        <v>8.77</v>
      </c>
      <c r="E793" s="23">
        <v>7.31</v>
      </c>
      <c r="F793" s="23">
        <v>9.2899999999999991</v>
      </c>
      <c r="G793" s="23">
        <v>6.8</v>
      </c>
      <c r="H793" s="3"/>
    </row>
    <row r="794" spans="1:8" x14ac:dyDescent="0.25">
      <c r="A794" s="22">
        <v>45383</v>
      </c>
      <c r="B794" s="23">
        <v>9</v>
      </c>
      <c r="C794" s="23">
        <v>10.79</v>
      </c>
      <c r="D794" s="23">
        <v>8.77</v>
      </c>
      <c r="E794" s="23">
        <v>7.12</v>
      </c>
      <c r="F794" s="23">
        <v>9.2899999999999991</v>
      </c>
      <c r="G794" s="23">
        <v>6.8</v>
      </c>
      <c r="H794" s="3"/>
    </row>
    <row r="795" spans="1:8" x14ac:dyDescent="0.25">
      <c r="A795" s="22">
        <v>45413</v>
      </c>
      <c r="B795" s="23">
        <v>9</v>
      </c>
      <c r="C795" s="23">
        <v>10.79</v>
      </c>
      <c r="D795" s="23">
        <v>8.77</v>
      </c>
      <c r="E795" s="23">
        <v>7.12</v>
      </c>
      <c r="F795" s="23">
        <v>9.2899999999999991</v>
      </c>
      <c r="G795" s="23">
        <v>6.8</v>
      </c>
      <c r="H795" s="3"/>
    </row>
    <row r="796" spans="1:8" x14ac:dyDescent="0.25">
      <c r="A796" s="22">
        <v>45444</v>
      </c>
      <c r="B796" s="23">
        <v>9</v>
      </c>
      <c r="C796" s="23">
        <v>10.79</v>
      </c>
      <c r="D796" s="23">
        <v>8.77</v>
      </c>
      <c r="E796" s="23">
        <v>7.12</v>
      </c>
      <c r="F796" s="23">
        <v>9.2899999999999991</v>
      </c>
      <c r="G796" s="23">
        <v>6.8</v>
      </c>
      <c r="H796" s="3"/>
    </row>
    <row r="797" spans="1:8" x14ac:dyDescent="0.25">
      <c r="A797" s="22">
        <v>45474</v>
      </c>
      <c r="B797" s="23">
        <v>9</v>
      </c>
      <c r="C797" s="23">
        <v>10.79</v>
      </c>
      <c r="D797" s="23">
        <v>8.77</v>
      </c>
      <c r="E797" s="23">
        <v>7.12</v>
      </c>
      <c r="F797" s="23">
        <v>9.2899999999999991</v>
      </c>
      <c r="G797" s="23">
        <v>6.68</v>
      </c>
      <c r="H797" s="3"/>
    </row>
    <row r="798" spans="1:8" x14ac:dyDescent="0.25">
      <c r="A798" s="22">
        <v>45505</v>
      </c>
      <c r="B798" s="23">
        <v>9</v>
      </c>
      <c r="C798" s="23">
        <v>10.79</v>
      </c>
      <c r="D798" s="23">
        <v>8.77</v>
      </c>
      <c r="E798" s="23">
        <v>7.07</v>
      </c>
      <c r="F798" s="23">
        <v>9.2899999999999991</v>
      </c>
      <c r="G798" s="23">
        <v>6.27</v>
      </c>
      <c r="H798" s="3"/>
    </row>
    <row r="799" spans="1:8" x14ac:dyDescent="0.25">
      <c r="A799" s="22">
        <v>45536</v>
      </c>
      <c r="B799" s="23">
        <v>9</v>
      </c>
      <c r="C799" s="23">
        <v>10.79</v>
      </c>
      <c r="D799" s="23">
        <v>8.77</v>
      </c>
      <c r="E799" s="23">
        <v>7.07</v>
      </c>
      <c r="F799" s="23">
        <v>9.2899999999999991</v>
      </c>
      <c r="G799" s="23">
        <v>6.27</v>
      </c>
      <c r="H799" s="3"/>
    </row>
    <row r="800" spans="1:8" x14ac:dyDescent="0.25">
      <c r="A800" s="22">
        <v>45566</v>
      </c>
      <c r="B800" s="23">
        <v>9</v>
      </c>
      <c r="C800" s="23">
        <v>10.79</v>
      </c>
      <c r="D800" s="23">
        <v>8.77</v>
      </c>
      <c r="E800" s="23">
        <v>7.07</v>
      </c>
      <c r="F800" s="23">
        <v>9.2899999999999991</v>
      </c>
      <c r="G800" s="23">
        <v>6.08</v>
      </c>
      <c r="H800" s="3"/>
    </row>
    <row r="801" spans="1:8" x14ac:dyDescent="0.25">
      <c r="A801" s="22">
        <v>45597</v>
      </c>
      <c r="B801" s="23">
        <v>9</v>
      </c>
      <c r="C801" s="23">
        <v>10.79</v>
      </c>
      <c r="D801" s="23">
        <v>8.77</v>
      </c>
      <c r="E801" s="23">
        <v>7.07</v>
      </c>
      <c r="F801" s="23">
        <v>9.2899999999999991</v>
      </c>
      <c r="G801" s="23">
        <v>6.08</v>
      </c>
      <c r="H801" s="3"/>
    </row>
    <row r="802" spans="1:8" x14ac:dyDescent="0.25">
      <c r="A802" s="22">
        <v>45627</v>
      </c>
      <c r="B802" s="23">
        <v>9</v>
      </c>
      <c r="C802" s="23">
        <v>10.79</v>
      </c>
      <c r="D802" s="23">
        <v>8.77</v>
      </c>
      <c r="E802" s="23">
        <v>7.07</v>
      </c>
      <c r="F802" s="23">
        <v>9.2899999999999991</v>
      </c>
      <c r="G802" s="23">
        <v>6.08</v>
      </c>
      <c r="H802" s="3"/>
    </row>
    <row r="803" spans="1:8" x14ac:dyDescent="0.25">
      <c r="A803" s="22">
        <v>45658</v>
      </c>
      <c r="B803" s="23">
        <v>9</v>
      </c>
      <c r="C803" s="23">
        <v>10.79</v>
      </c>
      <c r="D803" s="23">
        <v>8.77</v>
      </c>
      <c r="E803" s="23">
        <v>7.07</v>
      </c>
      <c r="F803" s="23">
        <v>9.2899999999999991</v>
      </c>
      <c r="G803" s="23">
        <v>6.08</v>
      </c>
      <c r="H803" s="3"/>
    </row>
    <row r="804" spans="1:8" x14ac:dyDescent="0.25">
      <c r="A804" s="22">
        <v>45689</v>
      </c>
      <c r="B804" s="23">
        <v>8.8699999999999992</v>
      </c>
      <c r="C804" s="23">
        <v>10.63</v>
      </c>
      <c r="D804" s="23">
        <v>8.6199999999999992</v>
      </c>
      <c r="E804" s="23">
        <v>6.88</v>
      </c>
      <c r="F804" s="23">
        <v>9.1</v>
      </c>
      <c r="G804" s="23">
        <v>6.03</v>
      </c>
      <c r="H804" s="3"/>
    </row>
    <row r="805" spans="1:8" x14ac:dyDescent="0.25">
      <c r="A805" s="22">
        <v>45717</v>
      </c>
      <c r="B805" s="23">
        <v>8.75</v>
      </c>
      <c r="C805" s="23">
        <v>10.51</v>
      </c>
      <c r="D805" s="23">
        <v>8.52</v>
      </c>
      <c r="E805" s="23">
        <v>6.82</v>
      </c>
      <c r="F805" s="23">
        <v>9.0399999999999991</v>
      </c>
      <c r="G805" s="23">
        <v>6.03</v>
      </c>
      <c r="H805" s="3"/>
    </row>
    <row r="806" spans="1:8" x14ac:dyDescent="0.25">
      <c r="A806" s="22">
        <v>45748</v>
      </c>
      <c r="B806" s="23">
        <v>8.75</v>
      </c>
      <c r="C806" s="23">
        <v>10.51</v>
      </c>
      <c r="D806" s="23">
        <v>8.52</v>
      </c>
      <c r="E806" s="23">
        <v>6.55</v>
      </c>
      <c r="F806" s="23">
        <v>9.0399999999999991</v>
      </c>
      <c r="G806" s="23">
        <v>5.94</v>
      </c>
      <c r="H806" s="3"/>
    </row>
    <row r="807" spans="1:8" x14ac:dyDescent="0.25">
      <c r="A807" s="22">
        <v>45778</v>
      </c>
      <c r="B807" s="23">
        <v>8.6199999999999992</v>
      </c>
      <c r="C807" s="23">
        <v>10.38</v>
      </c>
      <c r="D807" s="23">
        <v>8.3699999999999992</v>
      </c>
      <c r="E807" s="23">
        <v>6.37</v>
      </c>
      <c r="F807" s="23">
        <v>8.85</v>
      </c>
      <c r="G807" s="23">
        <v>5.88</v>
      </c>
      <c r="H807" s="3"/>
    </row>
    <row r="808" spans="1:8" x14ac:dyDescent="0.25">
      <c r="A808" s="22">
        <v>45809</v>
      </c>
      <c r="B808" s="23">
        <v>8.5</v>
      </c>
      <c r="C808" s="23">
        <v>10.26</v>
      </c>
      <c r="D808" s="23">
        <v>8.27</v>
      </c>
      <c r="E808" s="23">
        <v>6.3</v>
      </c>
      <c r="F808" s="23">
        <v>8.7899999999999991</v>
      </c>
      <c r="G808" s="23">
        <v>5.88</v>
      </c>
      <c r="H808" s="3"/>
    </row>
    <row r="809" spans="1:8" x14ac:dyDescent="0.25">
      <c r="A809" s="22">
        <v>45839</v>
      </c>
      <c r="B809" s="23">
        <v>8.5</v>
      </c>
      <c r="C809" s="23">
        <v>10.26</v>
      </c>
      <c r="D809" s="23">
        <v>8.27</v>
      </c>
      <c r="E809" s="23">
        <v>6.3</v>
      </c>
      <c r="F809" s="23">
        <v>8.7899999999999991</v>
      </c>
      <c r="G809" s="23">
        <v>5.81</v>
      </c>
      <c r="H809" s="3"/>
    </row>
    <row r="810" spans="1:8" x14ac:dyDescent="0.25">
      <c r="A810" s="22">
        <v>45870</v>
      </c>
      <c r="B810" s="23">
        <v>8.25</v>
      </c>
      <c r="C810" s="23">
        <v>10.01</v>
      </c>
      <c r="D810" s="23">
        <v>8.02</v>
      </c>
      <c r="E810" s="23">
        <v>6.05</v>
      </c>
      <c r="F810" s="23">
        <v>8.5399999999999991</v>
      </c>
      <c r="G810" s="23">
        <v>5.52</v>
      </c>
      <c r="H810" s="3"/>
    </row>
    <row r="811" spans="1:8" x14ac:dyDescent="0.25">
      <c r="A811" s="22">
        <v>45901</v>
      </c>
      <c r="B811" s="23">
        <v>8.25</v>
      </c>
      <c r="C811" s="23">
        <v>10.01</v>
      </c>
      <c r="D811" s="23">
        <v>8.02</v>
      </c>
      <c r="E811" s="23">
        <v>6.05</v>
      </c>
      <c r="F811" s="23">
        <v>8.5399999999999991</v>
      </c>
      <c r="G811" s="23">
        <v>5.52</v>
      </c>
      <c r="H811" s="3"/>
    </row>
    <row r="812" spans="1:8" x14ac:dyDescent="0.25">
      <c r="A812" s="22">
        <v>45931</v>
      </c>
      <c r="B812" s="23">
        <v>8.25</v>
      </c>
      <c r="C812" s="23">
        <v>10.01</v>
      </c>
      <c r="D812" s="23">
        <v>8.02</v>
      </c>
      <c r="E812" s="23">
        <v>6.05</v>
      </c>
      <c r="F812" s="23">
        <v>8.5399999999999991</v>
      </c>
      <c r="G812" s="23">
        <v>5.52</v>
      </c>
      <c r="H812" s="3"/>
    </row>
    <row r="813" spans="1:8" x14ac:dyDescent="0.25">
      <c r="A813" s="22">
        <v>45962</v>
      </c>
      <c r="B813" s="23">
        <v>8.25</v>
      </c>
      <c r="C813" s="23">
        <v>10.01</v>
      </c>
      <c r="D813" s="23">
        <v>8.02</v>
      </c>
      <c r="E813" s="23">
        <v>6.05</v>
      </c>
      <c r="F813" s="23">
        <v>8.5399999999999991</v>
      </c>
      <c r="G813" s="23">
        <v>5.56</v>
      </c>
      <c r="H813" s="3"/>
    </row>
    <row r="814" spans="1:8" x14ac:dyDescent="0.25">
      <c r="A814" s="22">
        <v>45992</v>
      </c>
      <c r="B814" s="23">
        <v>8.25</v>
      </c>
      <c r="C814" s="23">
        <v>10.01</v>
      </c>
      <c r="D814" s="23">
        <v>8.02</v>
      </c>
      <c r="E814" s="23">
        <v>6.05</v>
      </c>
      <c r="F814" s="23">
        <v>8.5399999999999991</v>
      </c>
      <c r="G814" s="23">
        <v>5.77</v>
      </c>
      <c r="H814" s="3"/>
    </row>
    <row r="815" spans="1:8" x14ac:dyDescent="0.25">
      <c r="A815" s="22">
        <v>46023</v>
      </c>
      <c r="B815" s="23">
        <v>8.25</v>
      </c>
      <c r="C815" s="23">
        <v>10.01</v>
      </c>
      <c r="D815" s="23">
        <v>8.02</v>
      </c>
      <c r="E815" s="23">
        <v>6.05</v>
      </c>
      <c r="F815" s="23">
        <v>8.5399999999999991</v>
      </c>
      <c r="G815" s="23">
        <v>5.99</v>
      </c>
      <c r="H815" s="3"/>
    </row>
    <row r="816" spans="1:8" x14ac:dyDescent="0.25">
      <c r="A816" s="22">
        <v>46054</v>
      </c>
      <c r="B816" s="23">
        <v>8.5</v>
      </c>
      <c r="C816" s="23">
        <v>10.26</v>
      </c>
      <c r="D816" s="23">
        <v>8.27</v>
      </c>
      <c r="E816" s="23">
        <v>6.3</v>
      </c>
      <c r="F816" s="23">
        <v>8.7899999999999991</v>
      </c>
      <c r="G816" s="23">
        <v>6.24</v>
      </c>
      <c r="H816" s="3"/>
    </row>
  </sheetData>
  <conditionalFormatting sqref="B12:D452">
    <cfRule type="cellIs" dxfId="1" priority="1" stopIfTrue="1" operator="equal">
      <formula>NA()</formula>
    </cfRule>
  </conditionalFormatting>
  <conditionalFormatting sqref="E11:G452">
    <cfRule type="cellIs" dxfId="0" priority="2" stopIfTrue="1" operator="equal">
      <formula>NA()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78298-5A72-44D8-963A-B61D8EADF055}">
  <sheetPr>
    <tabColor rgb="FFFF0000"/>
  </sheetPr>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BFE4F-8ED8-46E2-A3E7-D09420486E88}">
  <sheetPr>
    <tabColor rgb="FFFF0000"/>
  </sheetPr>
  <dimension ref="A1:BH145"/>
  <sheetViews>
    <sheetView workbookViewId="0">
      <pane ySplit="1" topLeftCell="A62" activePane="bottomLeft" state="frozen"/>
      <selection pane="bottomLeft" activeCell="A141" sqref="A141"/>
    </sheetView>
  </sheetViews>
  <sheetFormatPr defaultRowHeight="15" x14ac:dyDescent="0.25"/>
  <cols>
    <col min="1" max="1" width="33.42578125" bestFit="1" customWidth="1"/>
    <col min="3" max="3" width="18.28515625" bestFit="1" customWidth="1"/>
    <col min="4" max="4" width="12.140625" bestFit="1" customWidth="1"/>
    <col min="5" max="5" width="10.42578125" bestFit="1" customWidth="1"/>
    <col min="6" max="6" width="12.85546875" bestFit="1" customWidth="1"/>
    <col min="7" max="7" width="12" bestFit="1" customWidth="1"/>
    <col min="8" max="8" width="12.5703125" bestFit="1" customWidth="1"/>
    <col min="9" max="9" width="13.5703125" bestFit="1" customWidth="1"/>
    <col min="10" max="10" width="11" bestFit="1" customWidth="1"/>
    <col min="11" max="11" width="14.7109375" bestFit="1" customWidth="1"/>
    <col min="12" max="12" width="11.85546875" bestFit="1" customWidth="1"/>
    <col min="13" max="13" width="9.28515625" bestFit="1" customWidth="1"/>
    <col min="14" max="14" width="11.140625" bestFit="1" customWidth="1"/>
    <col min="15" max="15" width="12.5703125" bestFit="1" customWidth="1"/>
    <col min="16" max="16" width="13.5703125" bestFit="1" customWidth="1"/>
    <col min="17" max="17" width="9.7109375" bestFit="1" customWidth="1"/>
    <col min="18" max="18" width="13" bestFit="1" customWidth="1"/>
    <col min="19" max="19" width="11.140625" bestFit="1" customWidth="1"/>
    <col min="20" max="20" width="12.85546875" bestFit="1" customWidth="1"/>
    <col min="21" max="21" width="13.7109375" bestFit="1" customWidth="1"/>
    <col min="22" max="22" width="13.5703125" bestFit="1" customWidth="1"/>
    <col min="23" max="23" width="11.5703125" bestFit="1" customWidth="1"/>
    <col min="24" max="24" width="10.7109375" bestFit="1" customWidth="1"/>
    <col min="25" max="25" width="13.85546875" bestFit="1" customWidth="1"/>
    <col min="26" max="26" width="8.5703125" bestFit="1" customWidth="1"/>
    <col min="27" max="27" width="13.28515625" bestFit="1" customWidth="1"/>
    <col min="28" max="28" width="11.42578125" bestFit="1" customWidth="1"/>
    <col min="29" max="29" width="7.42578125" bestFit="1" customWidth="1"/>
    <col min="30" max="30" width="12.28515625" bestFit="1" customWidth="1"/>
    <col min="31" max="31" width="13.140625" bestFit="1" customWidth="1"/>
    <col min="32" max="32" width="12.42578125" bestFit="1" customWidth="1"/>
    <col min="33" max="33" width="15.85546875" bestFit="1" customWidth="1"/>
    <col min="34" max="34" width="12.42578125" bestFit="1" customWidth="1"/>
    <col min="35" max="35" width="17.140625" bestFit="1" customWidth="1"/>
    <col min="36" max="36" width="10.5703125" bestFit="1" customWidth="1"/>
    <col min="37" max="37" width="16.140625" bestFit="1" customWidth="1"/>
    <col min="38" max="38" width="10.5703125" bestFit="1" customWidth="1"/>
    <col min="39" max="39" width="10.28515625" bestFit="1" customWidth="1"/>
    <col min="40" max="40" width="14" bestFit="1" customWidth="1"/>
    <col min="41" max="41" width="10.140625" bestFit="1" customWidth="1"/>
    <col min="42" max="42" width="10.5703125" bestFit="1" customWidth="1"/>
    <col min="43" max="43" width="11.28515625" bestFit="1" customWidth="1"/>
    <col min="44" max="44" width="9.5703125" bestFit="1" customWidth="1"/>
    <col min="45" max="45" width="11" bestFit="1" customWidth="1"/>
    <col min="46" max="46" width="17.85546875" bestFit="1" customWidth="1"/>
    <col min="47" max="47" width="12.5703125" bestFit="1" customWidth="1"/>
    <col min="48" max="48" width="13.28515625" bestFit="1" customWidth="1"/>
    <col min="50" max="50" width="13.5703125" bestFit="1" customWidth="1"/>
    <col min="51" max="51" width="11.7109375" bestFit="1" customWidth="1"/>
    <col min="52" max="52" width="9" bestFit="1" customWidth="1"/>
    <col min="53" max="53" width="17.28515625" bestFit="1" customWidth="1"/>
    <col min="54" max="54" width="11.140625" bestFit="1" customWidth="1"/>
    <col min="55" max="55" width="12.42578125" bestFit="1" customWidth="1"/>
    <col min="56" max="56" width="15.42578125" bestFit="1" customWidth="1"/>
    <col min="57" max="57" width="14.7109375" bestFit="1" customWidth="1"/>
    <col min="58" max="58" width="13.85546875" bestFit="1" customWidth="1"/>
    <col min="59" max="59" width="13.7109375" bestFit="1" customWidth="1"/>
    <col min="60" max="60" width="18.5703125" bestFit="1" customWidth="1"/>
  </cols>
  <sheetData>
    <row r="1" spans="1:60" x14ac:dyDescent="0.25">
      <c r="A1" t="s">
        <v>64</v>
      </c>
      <c r="B1" s="1" t="s">
        <v>1</v>
      </c>
      <c r="C1" t="s">
        <v>60</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row>
    <row r="2" spans="1:60" x14ac:dyDescent="0.25">
      <c r="A2" t="s">
        <v>61</v>
      </c>
      <c r="B2" s="1">
        <v>32933</v>
      </c>
      <c r="C2">
        <v>165</v>
      </c>
      <c r="D2">
        <v>190</v>
      </c>
      <c r="E2">
        <v>160</v>
      </c>
      <c r="F2">
        <v>160</v>
      </c>
      <c r="G2">
        <v>190</v>
      </c>
      <c r="H2">
        <v>170</v>
      </c>
      <c r="I2">
        <v>150</v>
      </c>
      <c r="J2">
        <v>235</v>
      </c>
      <c r="K2">
        <v>230</v>
      </c>
      <c r="L2">
        <v>180</v>
      </c>
      <c r="M2">
        <v>240</v>
      </c>
      <c r="N2">
        <v>195</v>
      </c>
      <c r="O2">
        <v>230</v>
      </c>
      <c r="P2">
        <v>160</v>
      </c>
      <c r="Q2">
        <v>140</v>
      </c>
      <c r="R2">
        <v>170</v>
      </c>
      <c r="S2">
        <v>180</v>
      </c>
      <c r="T2">
        <v>140</v>
      </c>
      <c r="U2">
        <v>185</v>
      </c>
      <c r="V2">
        <v>200</v>
      </c>
      <c r="W2">
        <v>155</v>
      </c>
      <c r="X2">
        <v>175</v>
      </c>
      <c r="Y2">
        <v>202.5</v>
      </c>
      <c r="Z2">
        <v>200</v>
      </c>
      <c r="AA2">
        <v>155</v>
      </c>
      <c r="AB2">
        <v>170</v>
      </c>
      <c r="AC2">
        <v>160</v>
      </c>
      <c r="AD2">
        <v>160</v>
      </c>
      <c r="AE2">
        <v>220</v>
      </c>
      <c r="AF2">
        <v>140</v>
      </c>
      <c r="AG2">
        <v>170</v>
      </c>
      <c r="AH2">
        <v>135</v>
      </c>
      <c r="AI2">
        <v>110</v>
      </c>
      <c r="AJ2">
        <v>145</v>
      </c>
      <c r="AK2">
        <v>125</v>
      </c>
      <c r="AL2">
        <v>120</v>
      </c>
      <c r="AM2">
        <v>135</v>
      </c>
      <c r="AN2">
        <v>135</v>
      </c>
      <c r="AO2">
        <v>150</v>
      </c>
      <c r="AP2">
        <v>180</v>
      </c>
      <c r="AQ2">
        <v>125</v>
      </c>
      <c r="AR2">
        <v>125</v>
      </c>
      <c r="AS2">
        <v>185</v>
      </c>
      <c r="AT2">
        <v>175</v>
      </c>
      <c r="AU2">
        <v>180</v>
      </c>
      <c r="AV2">
        <v>110</v>
      </c>
      <c r="AW2">
        <v>115</v>
      </c>
      <c r="AX2">
        <v>120</v>
      </c>
      <c r="AY2">
        <v>120</v>
      </c>
      <c r="AZ2">
        <v>115</v>
      </c>
      <c r="BA2">
        <v>120</v>
      </c>
      <c r="BB2">
        <v>105</v>
      </c>
      <c r="BC2">
        <v>130</v>
      </c>
      <c r="BD2">
        <v>120</v>
      </c>
      <c r="BE2">
        <v>110</v>
      </c>
      <c r="BF2">
        <v>120</v>
      </c>
      <c r="BG2">
        <v>100</v>
      </c>
      <c r="BH2">
        <v>150</v>
      </c>
    </row>
    <row r="3" spans="1:60" x14ac:dyDescent="0.25">
      <c r="A3" t="s">
        <v>0</v>
      </c>
      <c r="B3" s="1">
        <v>33025</v>
      </c>
      <c r="C3">
        <v>170</v>
      </c>
      <c r="D3">
        <v>195</v>
      </c>
      <c r="E3">
        <v>165</v>
      </c>
      <c r="F3">
        <v>160</v>
      </c>
      <c r="G3">
        <v>190</v>
      </c>
      <c r="H3">
        <v>170</v>
      </c>
      <c r="I3">
        <v>150</v>
      </c>
      <c r="J3">
        <v>230</v>
      </c>
      <c r="K3">
        <v>240</v>
      </c>
      <c r="L3">
        <v>190</v>
      </c>
      <c r="M3">
        <v>240</v>
      </c>
      <c r="N3">
        <v>200</v>
      </c>
      <c r="O3">
        <v>240</v>
      </c>
      <c r="P3">
        <v>160</v>
      </c>
      <c r="Q3">
        <v>140</v>
      </c>
      <c r="R3">
        <v>170</v>
      </c>
      <c r="S3">
        <v>180</v>
      </c>
      <c r="T3">
        <v>140</v>
      </c>
      <c r="U3">
        <v>195</v>
      </c>
      <c r="V3">
        <v>195</v>
      </c>
      <c r="W3">
        <v>160</v>
      </c>
      <c r="X3">
        <v>175</v>
      </c>
      <c r="Y3">
        <v>210</v>
      </c>
      <c r="Z3">
        <v>200</v>
      </c>
      <c r="AA3">
        <v>160</v>
      </c>
      <c r="AB3">
        <v>170</v>
      </c>
      <c r="AC3">
        <v>160</v>
      </c>
      <c r="AD3">
        <v>165</v>
      </c>
      <c r="AE3">
        <v>230</v>
      </c>
      <c r="AF3">
        <v>145</v>
      </c>
      <c r="AG3">
        <v>175</v>
      </c>
      <c r="AH3">
        <v>140</v>
      </c>
      <c r="AI3">
        <v>107.5</v>
      </c>
      <c r="AJ3">
        <v>145</v>
      </c>
      <c r="AK3">
        <v>125</v>
      </c>
      <c r="AL3">
        <v>125</v>
      </c>
      <c r="AM3">
        <v>140</v>
      </c>
      <c r="AN3">
        <v>140</v>
      </c>
      <c r="AO3">
        <v>150</v>
      </c>
      <c r="AP3">
        <v>180</v>
      </c>
      <c r="AQ3">
        <v>125</v>
      </c>
      <c r="AR3">
        <v>130</v>
      </c>
      <c r="AS3">
        <v>180</v>
      </c>
      <c r="AT3">
        <v>175</v>
      </c>
      <c r="AU3">
        <v>180</v>
      </c>
      <c r="AV3">
        <v>120</v>
      </c>
      <c r="AW3">
        <v>120</v>
      </c>
      <c r="AX3">
        <v>120</v>
      </c>
      <c r="AY3">
        <v>100</v>
      </c>
      <c r="AZ3">
        <v>120</v>
      </c>
      <c r="BA3">
        <v>125</v>
      </c>
      <c r="BB3">
        <v>110</v>
      </c>
      <c r="BC3">
        <v>140</v>
      </c>
      <c r="BD3">
        <v>120</v>
      </c>
      <c r="BE3">
        <v>110</v>
      </c>
      <c r="BF3">
        <v>115</v>
      </c>
      <c r="BG3">
        <v>105</v>
      </c>
      <c r="BH3">
        <v>150</v>
      </c>
    </row>
    <row r="4" spans="1:60" x14ac:dyDescent="0.25">
      <c r="B4" s="1">
        <v>33117</v>
      </c>
      <c r="C4">
        <v>170</v>
      </c>
      <c r="D4">
        <v>200</v>
      </c>
      <c r="E4">
        <v>165</v>
      </c>
      <c r="F4">
        <v>160</v>
      </c>
      <c r="G4">
        <v>190</v>
      </c>
      <c r="H4">
        <v>190</v>
      </c>
      <c r="I4">
        <v>150</v>
      </c>
      <c r="J4">
        <v>230</v>
      </c>
      <c r="K4">
        <v>240</v>
      </c>
      <c r="L4">
        <v>190</v>
      </c>
      <c r="M4">
        <v>250</v>
      </c>
      <c r="N4">
        <v>200</v>
      </c>
      <c r="O4">
        <v>230</v>
      </c>
      <c r="P4">
        <v>165</v>
      </c>
      <c r="Q4">
        <v>145</v>
      </c>
      <c r="R4">
        <v>180</v>
      </c>
      <c r="S4">
        <v>175</v>
      </c>
      <c r="T4">
        <v>140</v>
      </c>
      <c r="U4">
        <v>200</v>
      </c>
      <c r="V4">
        <v>220</v>
      </c>
      <c r="W4">
        <v>160</v>
      </c>
      <c r="X4">
        <v>175</v>
      </c>
      <c r="Y4">
        <v>210</v>
      </c>
      <c r="Z4">
        <v>210</v>
      </c>
      <c r="AA4">
        <v>157.5</v>
      </c>
      <c r="AB4">
        <v>170</v>
      </c>
      <c r="AC4">
        <v>165</v>
      </c>
      <c r="AD4">
        <v>165</v>
      </c>
      <c r="AE4">
        <v>225</v>
      </c>
      <c r="AF4">
        <v>145</v>
      </c>
      <c r="AG4">
        <v>175</v>
      </c>
      <c r="AH4">
        <v>135</v>
      </c>
      <c r="AI4">
        <v>105</v>
      </c>
      <c r="AJ4">
        <v>145</v>
      </c>
      <c r="AK4">
        <v>125</v>
      </c>
      <c r="AL4">
        <v>125</v>
      </c>
      <c r="AM4">
        <v>135</v>
      </c>
      <c r="AN4">
        <v>140</v>
      </c>
      <c r="AO4">
        <v>150</v>
      </c>
      <c r="AP4">
        <v>180</v>
      </c>
      <c r="AQ4">
        <v>125</v>
      </c>
      <c r="AR4">
        <v>125</v>
      </c>
      <c r="AS4">
        <v>185</v>
      </c>
      <c r="AT4">
        <v>175</v>
      </c>
      <c r="AU4">
        <v>180</v>
      </c>
      <c r="AV4" t="s">
        <v>21</v>
      </c>
      <c r="AW4">
        <v>115</v>
      </c>
      <c r="AX4">
        <v>120</v>
      </c>
      <c r="AY4">
        <v>105</v>
      </c>
      <c r="AZ4">
        <v>120</v>
      </c>
      <c r="BA4">
        <v>130</v>
      </c>
      <c r="BB4">
        <v>110</v>
      </c>
      <c r="BC4">
        <v>140</v>
      </c>
      <c r="BD4">
        <v>122.5</v>
      </c>
      <c r="BE4">
        <v>110</v>
      </c>
      <c r="BF4">
        <v>120</v>
      </c>
      <c r="BG4">
        <v>105</v>
      </c>
      <c r="BH4">
        <v>150</v>
      </c>
    </row>
    <row r="5" spans="1:60" x14ac:dyDescent="0.25">
      <c r="B5" s="1">
        <v>33208</v>
      </c>
      <c r="C5">
        <v>170</v>
      </c>
      <c r="D5">
        <v>190</v>
      </c>
      <c r="E5">
        <v>160</v>
      </c>
      <c r="F5">
        <v>160</v>
      </c>
      <c r="G5">
        <v>190</v>
      </c>
      <c r="H5">
        <v>180</v>
      </c>
      <c r="I5">
        <v>150</v>
      </c>
      <c r="J5">
        <v>220</v>
      </c>
      <c r="K5">
        <v>235</v>
      </c>
      <c r="L5">
        <v>185</v>
      </c>
      <c r="M5">
        <v>250</v>
      </c>
      <c r="N5">
        <v>195</v>
      </c>
      <c r="O5">
        <v>230</v>
      </c>
      <c r="P5">
        <v>160</v>
      </c>
      <c r="Q5">
        <v>140</v>
      </c>
      <c r="R5">
        <v>175</v>
      </c>
      <c r="S5">
        <v>182.5</v>
      </c>
      <c r="T5">
        <v>140</v>
      </c>
      <c r="U5">
        <v>190</v>
      </c>
      <c r="V5">
        <v>185</v>
      </c>
      <c r="W5">
        <v>160</v>
      </c>
      <c r="X5">
        <v>175</v>
      </c>
      <c r="Y5">
        <v>210</v>
      </c>
      <c r="Z5">
        <v>200</v>
      </c>
      <c r="AA5">
        <v>155</v>
      </c>
      <c r="AB5">
        <v>170</v>
      </c>
      <c r="AC5">
        <v>165</v>
      </c>
      <c r="AD5">
        <v>165</v>
      </c>
      <c r="AE5">
        <v>225</v>
      </c>
      <c r="AF5">
        <v>145</v>
      </c>
      <c r="AG5">
        <v>170</v>
      </c>
      <c r="AH5">
        <v>135</v>
      </c>
      <c r="AI5">
        <v>110</v>
      </c>
      <c r="AJ5" t="s">
        <v>21</v>
      </c>
      <c r="AK5">
        <v>130</v>
      </c>
      <c r="AL5">
        <v>125</v>
      </c>
      <c r="AM5">
        <v>135</v>
      </c>
      <c r="AN5">
        <v>140</v>
      </c>
      <c r="AO5">
        <v>150</v>
      </c>
      <c r="AP5">
        <v>180</v>
      </c>
      <c r="AQ5">
        <v>125</v>
      </c>
      <c r="AR5">
        <v>125</v>
      </c>
      <c r="AS5">
        <v>190</v>
      </c>
      <c r="AT5">
        <v>180</v>
      </c>
      <c r="AU5">
        <v>180</v>
      </c>
      <c r="AV5">
        <v>120</v>
      </c>
      <c r="AW5">
        <v>120</v>
      </c>
      <c r="AX5">
        <v>125</v>
      </c>
      <c r="AY5">
        <v>120</v>
      </c>
      <c r="AZ5">
        <v>130</v>
      </c>
      <c r="BA5">
        <v>130</v>
      </c>
      <c r="BB5">
        <v>115</v>
      </c>
      <c r="BC5">
        <v>140</v>
      </c>
      <c r="BD5">
        <v>125</v>
      </c>
      <c r="BE5">
        <v>110</v>
      </c>
      <c r="BF5">
        <v>120</v>
      </c>
      <c r="BG5">
        <v>105</v>
      </c>
      <c r="BH5">
        <v>150</v>
      </c>
    </row>
    <row r="6" spans="1:60" x14ac:dyDescent="0.25">
      <c r="B6" s="1">
        <v>33298</v>
      </c>
      <c r="C6">
        <v>170</v>
      </c>
      <c r="D6">
        <v>195</v>
      </c>
      <c r="E6">
        <v>165</v>
      </c>
      <c r="F6">
        <v>160</v>
      </c>
      <c r="G6">
        <v>190</v>
      </c>
      <c r="H6">
        <v>175</v>
      </c>
      <c r="I6">
        <v>150</v>
      </c>
      <c r="J6">
        <v>220</v>
      </c>
      <c r="K6">
        <v>235</v>
      </c>
      <c r="L6">
        <v>190</v>
      </c>
      <c r="M6">
        <v>235</v>
      </c>
      <c r="N6">
        <v>195</v>
      </c>
      <c r="O6">
        <v>230</v>
      </c>
      <c r="P6">
        <v>165</v>
      </c>
      <c r="Q6">
        <v>145</v>
      </c>
      <c r="R6">
        <v>175</v>
      </c>
      <c r="S6">
        <v>180</v>
      </c>
      <c r="T6">
        <v>140</v>
      </c>
      <c r="U6">
        <v>197.5</v>
      </c>
      <c r="V6">
        <v>200</v>
      </c>
      <c r="W6">
        <v>160</v>
      </c>
      <c r="X6">
        <v>175</v>
      </c>
      <c r="Y6">
        <v>217.5</v>
      </c>
      <c r="Z6">
        <v>200</v>
      </c>
      <c r="AA6">
        <v>160</v>
      </c>
      <c r="AB6">
        <v>170</v>
      </c>
      <c r="AC6">
        <v>165</v>
      </c>
      <c r="AD6">
        <v>165</v>
      </c>
      <c r="AE6">
        <v>225</v>
      </c>
      <c r="AF6">
        <v>145</v>
      </c>
      <c r="AG6">
        <v>165</v>
      </c>
      <c r="AH6">
        <v>135</v>
      </c>
      <c r="AI6">
        <v>107.5</v>
      </c>
      <c r="AJ6">
        <v>145</v>
      </c>
      <c r="AK6">
        <v>130</v>
      </c>
      <c r="AL6">
        <v>125</v>
      </c>
      <c r="AM6">
        <v>140</v>
      </c>
      <c r="AN6">
        <v>140</v>
      </c>
      <c r="AO6">
        <v>145</v>
      </c>
      <c r="AP6">
        <v>180</v>
      </c>
      <c r="AQ6">
        <v>125</v>
      </c>
      <c r="AR6">
        <v>130</v>
      </c>
      <c r="AS6">
        <v>192.5</v>
      </c>
      <c r="AT6">
        <v>175</v>
      </c>
      <c r="AU6">
        <v>180</v>
      </c>
      <c r="AV6">
        <v>117.5</v>
      </c>
      <c r="AW6">
        <v>120</v>
      </c>
      <c r="AX6">
        <v>125</v>
      </c>
      <c r="AY6">
        <v>120</v>
      </c>
      <c r="AZ6">
        <v>122.5</v>
      </c>
      <c r="BA6">
        <v>130</v>
      </c>
      <c r="BB6">
        <v>115</v>
      </c>
      <c r="BC6">
        <v>140</v>
      </c>
      <c r="BD6">
        <v>125</v>
      </c>
      <c r="BE6">
        <v>110</v>
      </c>
      <c r="BF6">
        <v>120</v>
      </c>
      <c r="BG6">
        <v>110</v>
      </c>
      <c r="BH6">
        <v>150</v>
      </c>
    </row>
    <row r="7" spans="1:60" x14ac:dyDescent="0.25">
      <c r="B7" s="1">
        <v>33390</v>
      </c>
      <c r="C7">
        <v>170</v>
      </c>
      <c r="D7">
        <v>195</v>
      </c>
      <c r="E7">
        <v>165</v>
      </c>
      <c r="F7">
        <v>160</v>
      </c>
      <c r="G7">
        <v>190</v>
      </c>
      <c r="H7">
        <v>177.5</v>
      </c>
      <c r="I7">
        <v>150</v>
      </c>
      <c r="J7">
        <v>222.5</v>
      </c>
      <c r="K7">
        <v>235</v>
      </c>
      <c r="L7">
        <v>190</v>
      </c>
      <c r="M7">
        <v>250</v>
      </c>
      <c r="N7">
        <v>190</v>
      </c>
      <c r="O7">
        <v>235</v>
      </c>
      <c r="P7">
        <v>160</v>
      </c>
      <c r="Q7">
        <v>140</v>
      </c>
      <c r="R7">
        <v>172.5</v>
      </c>
      <c r="S7">
        <v>185</v>
      </c>
      <c r="T7">
        <v>140</v>
      </c>
      <c r="U7">
        <v>200</v>
      </c>
      <c r="V7">
        <v>180</v>
      </c>
      <c r="W7">
        <v>160</v>
      </c>
      <c r="X7">
        <v>175</v>
      </c>
      <c r="Y7">
        <v>210</v>
      </c>
      <c r="Z7">
        <v>200</v>
      </c>
      <c r="AA7">
        <v>160</v>
      </c>
      <c r="AB7">
        <v>170</v>
      </c>
      <c r="AC7">
        <v>165</v>
      </c>
      <c r="AD7">
        <v>170</v>
      </c>
      <c r="AE7">
        <v>220</v>
      </c>
      <c r="AF7">
        <v>145</v>
      </c>
      <c r="AG7">
        <v>170</v>
      </c>
      <c r="AH7">
        <v>140</v>
      </c>
      <c r="AI7">
        <v>110</v>
      </c>
      <c r="AJ7">
        <v>150</v>
      </c>
      <c r="AK7">
        <v>130</v>
      </c>
      <c r="AL7">
        <v>125</v>
      </c>
      <c r="AM7">
        <v>140</v>
      </c>
      <c r="AN7">
        <v>140</v>
      </c>
      <c r="AO7">
        <v>150</v>
      </c>
      <c r="AP7">
        <v>180</v>
      </c>
      <c r="AQ7">
        <v>120</v>
      </c>
      <c r="AR7">
        <v>125</v>
      </c>
      <c r="AS7">
        <v>180</v>
      </c>
      <c r="AT7">
        <v>180</v>
      </c>
      <c r="AU7">
        <v>180</v>
      </c>
      <c r="AV7">
        <v>120</v>
      </c>
      <c r="AW7">
        <v>120</v>
      </c>
      <c r="AX7">
        <v>130</v>
      </c>
      <c r="AY7">
        <v>120</v>
      </c>
      <c r="AZ7">
        <v>127.5</v>
      </c>
      <c r="BA7">
        <v>140</v>
      </c>
      <c r="BB7">
        <v>120</v>
      </c>
      <c r="BC7">
        <v>149</v>
      </c>
      <c r="BD7">
        <v>130</v>
      </c>
      <c r="BE7">
        <v>115</v>
      </c>
      <c r="BF7">
        <v>120</v>
      </c>
      <c r="BG7">
        <v>110</v>
      </c>
      <c r="BH7">
        <v>150</v>
      </c>
    </row>
    <row r="8" spans="1:60" x14ac:dyDescent="0.25">
      <c r="B8" s="1">
        <v>33482</v>
      </c>
      <c r="C8">
        <v>170</v>
      </c>
      <c r="D8">
        <v>195</v>
      </c>
      <c r="E8">
        <v>165</v>
      </c>
      <c r="F8">
        <v>160</v>
      </c>
      <c r="G8">
        <v>190</v>
      </c>
      <c r="H8">
        <v>180</v>
      </c>
      <c r="I8">
        <v>150</v>
      </c>
      <c r="J8">
        <v>220</v>
      </c>
      <c r="K8">
        <v>240</v>
      </c>
      <c r="L8">
        <v>190</v>
      </c>
      <c r="M8">
        <v>240</v>
      </c>
      <c r="N8">
        <v>190</v>
      </c>
      <c r="O8">
        <v>230</v>
      </c>
      <c r="P8">
        <v>160</v>
      </c>
      <c r="Q8">
        <v>140</v>
      </c>
      <c r="R8">
        <v>170</v>
      </c>
      <c r="S8">
        <v>180</v>
      </c>
      <c r="T8">
        <v>140</v>
      </c>
      <c r="U8">
        <v>200</v>
      </c>
      <c r="V8">
        <v>185</v>
      </c>
      <c r="W8">
        <v>155</v>
      </c>
      <c r="X8">
        <v>175</v>
      </c>
      <c r="Y8">
        <v>200</v>
      </c>
      <c r="Z8">
        <v>200</v>
      </c>
      <c r="AA8">
        <v>155</v>
      </c>
      <c r="AB8">
        <v>170</v>
      </c>
      <c r="AC8">
        <v>165</v>
      </c>
      <c r="AD8">
        <v>170</v>
      </c>
      <c r="AE8">
        <v>220</v>
      </c>
      <c r="AF8">
        <v>150</v>
      </c>
      <c r="AG8">
        <v>177.5</v>
      </c>
      <c r="AH8">
        <v>135</v>
      </c>
      <c r="AI8">
        <v>116.5</v>
      </c>
      <c r="AJ8" t="s">
        <v>21</v>
      </c>
      <c r="AK8">
        <v>130</v>
      </c>
      <c r="AL8">
        <v>128</v>
      </c>
      <c r="AM8">
        <v>140</v>
      </c>
      <c r="AN8">
        <v>145</v>
      </c>
      <c r="AO8">
        <v>145</v>
      </c>
      <c r="AP8">
        <v>180</v>
      </c>
      <c r="AQ8">
        <v>125</v>
      </c>
      <c r="AR8">
        <v>125</v>
      </c>
      <c r="AS8">
        <v>185</v>
      </c>
      <c r="AT8">
        <v>175</v>
      </c>
      <c r="AU8">
        <v>175</v>
      </c>
      <c r="AV8" t="s">
        <v>21</v>
      </c>
      <c r="AW8">
        <v>120</v>
      </c>
      <c r="AX8">
        <v>130</v>
      </c>
      <c r="AY8">
        <v>115</v>
      </c>
      <c r="AZ8">
        <v>122.5</v>
      </c>
      <c r="BA8">
        <v>140</v>
      </c>
      <c r="BB8">
        <v>120</v>
      </c>
      <c r="BC8">
        <v>140</v>
      </c>
      <c r="BD8">
        <v>130</v>
      </c>
      <c r="BE8">
        <v>115</v>
      </c>
      <c r="BF8">
        <v>125</v>
      </c>
      <c r="BG8">
        <v>110</v>
      </c>
      <c r="BH8">
        <v>150</v>
      </c>
    </row>
    <row r="9" spans="1:60" x14ac:dyDescent="0.25">
      <c r="B9" s="1">
        <v>33573</v>
      </c>
      <c r="C9">
        <v>170</v>
      </c>
      <c r="D9">
        <v>190</v>
      </c>
      <c r="E9">
        <v>160</v>
      </c>
      <c r="F9">
        <v>160</v>
      </c>
      <c r="G9">
        <v>190</v>
      </c>
      <c r="H9">
        <v>180</v>
      </c>
      <c r="I9">
        <v>150</v>
      </c>
      <c r="J9">
        <v>210</v>
      </c>
      <c r="K9">
        <v>230</v>
      </c>
      <c r="L9">
        <v>185</v>
      </c>
      <c r="M9">
        <v>235</v>
      </c>
      <c r="N9">
        <v>190</v>
      </c>
      <c r="O9">
        <v>230</v>
      </c>
      <c r="P9">
        <v>160</v>
      </c>
      <c r="Q9">
        <v>140</v>
      </c>
      <c r="R9">
        <v>170</v>
      </c>
      <c r="S9">
        <v>180</v>
      </c>
      <c r="T9">
        <v>140</v>
      </c>
      <c r="U9">
        <v>200</v>
      </c>
      <c r="V9">
        <v>200</v>
      </c>
      <c r="W9">
        <v>155</v>
      </c>
      <c r="X9">
        <v>170</v>
      </c>
      <c r="Y9">
        <v>200</v>
      </c>
      <c r="Z9">
        <v>200</v>
      </c>
      <c r="AA9">
        <v>155</v>
      </c>
      <c r="AB9">
        <v>165</v>
      </c>
      <c r="AC9">
        <v>165</v>
      </c>
      <c r="AD9">
        <v>170</v>
      </c>
      <c r="AE9">
        <v>220</v>
      </c>
      <c r="AF9">
        <v>145</v>
      </c>
      <c r="AG9">
        <v>182.5</v>
      </c>
      <c r="AH9">
        <v>135</v>
      </c>
      <c r="AI9">
        <v>110</v>
      </c>
      <c r="AJ9">
        <v>155</v>
      </c>
      <c r="AK9">
        <v>130</v>
      </c>
      <c r="AL9">
        <v>130</v>
      </c>
      <c r="AM9">
        <v>140</v>
      </c>
      <c r="AN9">
        <v>140</v>
      </c>
      <c r="AO9">
        <v>150</v>
      </c>
      <c r="AP9">
        <v>180</v>
      </c>
      <c r="AQ9">
        <v>125</v>
      </c>
      <c r="AR9">
        <v>125</v>
      </c>
      <c r="AS9">
        <v>185</v>
      </c>
      <c r="AT9">
        <v>175</v>
      </c>
      <c r="AU9">
        <v>175</v>
      </c>
      <c r="AV9">
        <v>120</v>
      </c>
      <c r="AW9">
        <v>115</v>
      </c>
      <c r="AX9">
        <v>125</v>
      </c>
      <c r="AY9">
        <v>112.5</v>
      </c>
      <c r="AZ9">
        <v>130</v>
      </c>
      <c r="BA9">
        <v>135</v>
      </c>
      <c r="BB9">
        <v>125</v>
      </c>
      <c r="BC9">
        <v>140</v>
      </c>
      <c r="BD9">
        <v>130</v>
      </c>
      <c r="BE9">
        <v>115</v>
      </c>
      <c r="BF9">
        <v>120</v>
      </c>
      <c r="BG9">
        <v>110</v>
      </c>
      <c r="BH9">
        <v>150</v>
      </c>
    </row>
    <row r="10" spans="1:60" x14ac:dyDescent="0.25">
      <c r="B10" s="1">
        <v>33664</v>
      </c>
      <c r="C10">
        <v>170</v>
      </c>
      <c r="D10">
        <v>195</v>
      </c>
      <c r="E10">
        <v>160</v>
      </c>
      <c r="F10">
        <v>160</v>
      </c>
      <c r="G10">
        <v>185</v>
      </c>
      <c r="H10">
        <v>175</v>
      </c>
      <c r="I10">
        <v>150</v>
      </c>
      <c r="J10">
        <v>215</v>
      </c>
      <c r="K10">
        <v>230</v>
      </c>
      <c r="L10">
        <v>190</v>
      </c>
      <c r="M10">
        <v>250</v>
      </c>
      <c r="N10">
        <v>195</v>
      </c>
      <c r="O10">
        <v>230</v>
      </c>
      <c r="P10">
        <v>160</v>
      </c>
      <c r="Q10">
        <v>145</v>
      </c>
      <c r="R10">
        <v>170</v>
      </c>
      <c r="S10">
        <v>180</v>
      </c>
      <c r="T10">
        <v>135</v>
      </c>
      <c r="U10">
        <v>200</v>
      </c>
      <c r="V10">
        <v>205</v>
      </c>
      <c r="W10">
        <v>155</v>
      </c>
      <c r="X10">
        <v>170</v>
      </c>
      <c r="Y10">
        <v>200</v>
      </c>
      <c r="Z10">
        <v>207.5</v>
      </c>
      <c r="AA10">
        <v>155</v>
      </c>
      <c r="AB10">
        <v>165</v>
      </c>
      <c r="AC10">
        <v>160</v>
      </c>
      <c r="AD10">
        <v>170</v>
      </c>
      <c r="AE10">
        <v>215</v>
      </c>
      <c r="AF10">
        <v>145</v>
      </c>
      <c r="AG10">
        <v>170</v>
      </c>
      <c r="AH10">
        <v>135</v>
      </c>
      <c r="AI10">
        <v>110</v>
      </c>
      <c r="AJ10">
        <v>150</v>
      </c>
      <c r="AK10">
        <v>130</v>
      </c>
      <c r="AL10">
        <v>130</v>
      </c>
      <c r="AM10">
        <v>140</v>
      </c>
      <c r="AN10">
        <v>140</v>
      </c>
      <c r="AO10">
        <v>150</v>
      </c>
      <c r="AP10">
        <v>180</v>
      </c>
      <c r="AQ10">
        <v>125</v>
      </c>
      <c r="AR10">
        <v>125</v>
      </c>
      <c r="AS10">
        <v>185</v>
      </c>
      <c r="AT10">
        <v>180</v>
      </c>
      <c r="AU10">
        <v>180</v>
      </c>
      <c r="AV10">
        <v>120</v>
      </c>
      <c r="AW10">
        <v>120</v>
      </c>
      <c r="AX10">
        <v>125</v>
      </c>
      <c r="AY10">
        <v>112</v>
      </c>
      <c r="AZ10">
        <v>130</v>
      </c>
      <c r="BA10">
        <v>135</v>
      </c>
      <c r="BB10">
        <v>125</v>
      </c>
      <c r="BC10">
        <v>135</v>
      </c>
      <c r="BD10">
        <v>130</v>
      </c>
      <c r="BE10">
        <v>115</v>
      </c>
      <c r="BF10">
        <v>120</v>
      </c>
      <c r="BG10">
        <v>110</v>
      </c>
      <c r="BH10">
        <v>150</v>
      </c>
    </row>
    <row r="11" spans="1:60" x14ac:dyDescent="0.25">
      <c r="B11" s="1">
        <v>33756</v>
      </c>
      <c r="C11">
        <v>170</v>
      </c>
      <c r="D11">
        <v>200</v>
      </c>
      <c r="E11">
        <v>160</v>
      </c>
      <c r="F11">
        <v>165</v>
      </c>
      <c r="G11">
        <v>190</v>
      </c>
      <c r="H11">
        <v>180</v>
      </c>
      <c r="I11">
        <v>150</v>
      </c>
      <c r="J11">
        <v>220</v>
      </c>
      <c r="K11">
        <v>240</v>
      </c>
      <c r="L11">
        <v>190</v>
      </c>
      <c r="M11">
        <v>250</v>
      </c>
      <c r="N11">
        <v>200</v>
      </c>
      <c r="O11">
        <v>237.5</v>
      </c>
      <c r="P11">
        <v>165</v>
      </c>
      <c r="Q11">
        <v>145</v>
      </c>
      <c r="R11">
        <v>170</v>
      </c>
      <c r="S11">
        <v>180</v>
      </c>
      <c r="T11">
        <v>140</v>
      </c>
      <c r="U11">
        <v>195</v>
      </c>
      <c r="V11">
        <v>200</v>
      </c>
      <c r="W11">
        <v>160</v>
      </c>
      <c r="X11">
        <v>175</v>
      </c>
      <c r="Y11">
        <v>200</v>
      </c>
      <c r="Z11">
        <v>200</v>
      </c>
      <c r="AA11">
        <v>155</v>
      </c>
      <c r="AB11">
        <v>170</v>
      </c>
      <c r="AC11">
        <v>165</v>
      </c>
      <c r="AD11">
        <v>165</v>
      </c>
      <c r="AE11">
        <v>220</v>
      </c>
      <c r="AF11">
        <v>145</v>
      </c>
      <c r="AG11">
        <v>170</v>
      </c>
      <c r="AH11">
        <v>135</v>
      </c>
      <c r="AI11">
        <v>110</v>
      </c>
      <c r="AJ11">
        <v>150</v>
      </c>
      <c r="AK11">
        <v>125</v>
      </c>
      <c r="AL11">
        <v>130</v>
      </c>
      <c r="AM11">
        <v>140</v>
      </c>
      <c r="AN11">
        <v>140</v>
      </c>
      <c r="AO11">
        <v>150</v>
      </c>
      <c r="AP11">
        <v>180</v>
      </c>
      <c r="AQ11">
        <v>125</v>
      </c>
      <c r="AR11">
        <v>125</v>
      </c>
      <c r="AS11">
        <v>180</v>
      </c>
      <c r="AT11">
        <v>180</v>
      </c>
      <c r="AU11">
        <v>180</v>
      </c>
      <c r="AV11">
        <v>120</v>
      </c>
      <c r="AW11">
        <v>120</v>
      </c>
      <c r="AX11">
        <v>130</v>
      </c>
      <c r="AY11">
        <v>120</v>
      </c>
      <c r="AZ11">
        <v>130</v>
      </c>
      <c r="BA11">
        <v>140</v>
      </c>
      <c r="BB11">
        <v>130</v>
      </c>
      <c r="BC11">
        <v>140</v>
      </c>
      <c r="BD11">
        <v>130</v>
      </c>
      <c r="BE11">
        <v>120</v>
      </c>
      <c r="BF11">
        <v>125</v>
      </c>
      <c r="BG11">
        <v>110</v>
      </c>
      <c r="BH11">
        <v>150</v>
      </c>
    </row>
    <row r="12" spans="1:60" x14ac:dyDescent="0.25">
      <c r="B12" s="1">
        <v>33848</v>
      </c>
      <c r="C12">
        <v>170</v>
      </c>
      <c r="D12">
        <v>195</v>
      </c>
      <c r="E12">
        <v>160</v>
      </c>
      <c r="F12">
        <v>160</v>
      </c>
      <c r="G12">
        <v>180</v>
      </c>
      <c r="H12">
        <v>175</v>
      </c>
      <c r="I12">
        <v>150</v>
      </c>
      <c r="J12">
        <v>210</v>
      </c>
      <c r="K12">
        <v>230</v>
      </c>
      <c r="L12">
        <v>190</v>
      </c>
      <c r="M12">
        <v>250</v>
      </c>
      <c r="N12">
        <v>200</v>
      </c>
      <c r="O12">
        <v>230</v>
      </c>
      <c r="P12">
        <v>160</v>
      </c>
      <c r="Q12">
        <v>145</v>
      </c>
      <c r="R12">
        <v>175</v>
      </c>
      <c r="S12">
        <v>175</v>
      </c>
      <c r="T12">
        <v>140</v>
      </c>
      <c r="U12">
        <v>200</v>
      </c>
      <c r="V12">
        <v>190</v>
      </c>
      <c r="W12">
        <v>160</v>
      </c>
      <c r="X12">
        <v>175</v>
      </c>
      <c r="Y12">
        <v>200</v>
      </c>
      <c r="Z12">
        <v>200</v>
      </c>
      <c r="AA12">
        <v>160</v>
      </c>
      <c r="AB12">
        <v>170</v>
      </c>
      <c r="AC12">
        <v>160</v>
      </c>
      <c r="AD12">
        <v>165</v>
      </c>
      <c r="AE12">
        <v>220</v>
      </c>
      <c r="AF12">
        <v>150</v>
      </c>
      <c r="AG12">
        <v>170</v>
      </c>
      <c r="AH12">
        <v>140</v>
      </c>
      <c r="AI12">
        <v>120</v>
      </c>
      <c r="AJ12" t="s">
        <v>21</v>
      </c>
      <c r="AK12">
        <v>125</v>
      </c>
      <c r="AL12">
        <v>125</v>
      </c>
      <c r="AM12">
        <v>140</v>
      </c>
      <c r="AN12">
        <v>140</v>
      </c>
      <c r="AO12">
        <v>145</v>
      </c>
      <c r="AP12">
        <v>180</v>
      </c>
      <c r="AQ12">
        <v>125</v>
      </c>
      <c r="AR12">
        <v>125</v>
      </c>
      <c r="AS12">
        <v>185</v>
      </c>
      <c r="AT12">
        <v>175</v>
      </c>
      <c r="AU12">
        <v>179</v>
      </c>
      <c r="AV12">
        <v>120</v>
      </c>
      <c r="AW12">
        <v>120</v>
      </c>
      <c r="AX12">
        <v>130</v>
      </c>
      <c r="AY12">
        <v>115</v>
      </c>
      <c r="AZ12">
        <v>122.5</v>
      </c>
      <c r="BA12">
        <v>140</v>
      </c>
      <c r="BB12">
        <v>125</v>
      </c>
      <c r="BC12">
        <v>140</v>
      </c>
      <c r="BD12">
        <v>127.5</v>
      </c>
      <c r="BE12">
        <v>115</v>
      </c>
      <c r="BF12">
        <v>120</v>
      </c>
      <c r="BG12">
        <v>110</v>
      </c>
      <c r="BH12">
        <v>150</v>
      </c>
    </row>
    <row r="13" spans="1:60" x14ac:dyDescent="0.25">
      <c r="B13" s="1">
        <v>33939</v>
      </c>
      <c r="C13">
        <v>170</v>
      </c>
      <c r="D13">
        <v>195</v>
      </c>
      <c r="E13">
        <v>160</v>
      </c>
      <c r="F13">
        <v>160</v>
      </c>
      <c r="G13">
        <v>180</v>
      </c>
      <c r="H13">
        <v>170</v>
      </c>
      <c r="I13">
        <v>150</v>
      </c>
      <c r="J13">
        <v>220</v>
      </c>
      <c r="K13">
        <v>230</v>
      </c>
      <c r="L13">
        <v>185</v>
      </c>
      <c r="M13">
        <v>250</v>
      </c>
      <c r="N13">
        <v>200</v>
      </c>
      <c r="O13">
        <v>230</v>
      </c>
      <c r="P13">
        <v>160</v>
      </c>
      <c r="Q13">
        <v>140</v>
      </c>
      <c r="R13">
        <v>170</v>
      </c>
      <c r="S13">
        <v>180</v>
      </c>
      <c r="T13">
        <v>140</v>
      </c>
      <c r="U13">
        <v>195</v>
      </c>
      <c r="V13">
        <v>185</v>
      </c>
      <c r="W13">
        <v>156.5</v>
      </c>
      <c r="X13">
        <v>170</v>
      </c>
      <c r="Y13">
        <v>200</v>
      </c>
      <c r="Z13">
        <v>210</v>
      </c>
      <c r="AA13">
        <v>155</v>
      </c>
      <c r="AB13">
        <v>165</v>
      </c>
      <c r="AC13">
        <v>160</v>
      </c>
      <c r="AD13">
        <v>170</v>
      </c>
      <c r="AE13">
        <v>215</v>
      </c>
      <c r="AF13">
        <v>150</v>
      </c>
      <c r="AG13">
        <v>165</v>
      </c>
      <c r="AH13">
        <v>147.5</v>
      </c>
      <c r="AI13">
        <v>125</v>
      </c>
      <c r="AJ13" t="s">
        <v>21</v>
      </c>
      <c r="AK13">
        <v>125</v>
      </c>
      <c r="AL13">
        <v>130</v>
      </c>
      <c r="AM13">
        <v>145</v>
      </c>
      <c r="AN13">
        <v>135</v>
      </c>
      <c r="AO13">
        <v>145</v>
      </c>
      <c r="AP13">
        <v>180</v>
      </c>
      <c r="AQ13">
        <v>125</v>
      </c>
      <c r="AR13">
        <v>125</v>
      </c>
      <c r="AS13">
        <v>190</v>
      </c>
      <c r="AT13">
        <v>175</v>
      </c>
      <c r="AU13">
        <v>180</v>
      </c>
      <c r="AV13">
        <v>120</v>
      </c>
      <c r="AW13">
        <v>120</v>
      </c>
      <c r="AX13">
        <v>125</v>
      </c>
      <c r="AY13">
        <v>120</v>
      </c>
      <c r="AZ13">
        <v>130</v>
      </c>
      <c r="BA13">
        <v>135</v>
      </c>
      <c r="BB13">
        <v>120</v>
      </c>
      <c r="BC13">
        <v>130</v>
      </c>
      <c r="BD13">
        <v>130</v>
      </c>
      <c r="BE13">
        <v>115</v>
      </c>
      <c r="BF13">
        <v>120</v>
      </c>
      <c r="BG13">
        <v>110</v>
      </c>
      <c r="BH13">
        <v>150</v>
      </c>
    </row>
    <row r="14" spans="1:60" x14ac:dyDescent="0.25">
      <c r="B14" s="1">
        <v>34029</v>
      </c>
      <c r="C14">
        <v>170</v>
      </c>
      <c r="D14">
        <v>197.5</v>
      </c>
      <c r="E14">
        <v>160</v>
      </c>
      <c r="F14">
        <v>160</v>
      </c>
      <c r="G14">
        <v>180</v>
      </c>
      <c r="H14">
        <v>180</v>
      </c>
      <c r="I14">
        <v>150</v>
      </c>
      <c r="J14">
        <v>230</v>
      </c>
      <c r="K14">
        <v>235</v>
      </c>
      <c r="L14">
        <v>190</v>
      </c>
      <c r="M14">
        <v>240</v>
      </c>
      <c r="N14">
        <v>200</v>
      </c>
      <c r="O14">
        <v>235</v>
      </c>
      <c r="P14">
        <v>160</v>
      </c>
      <c r="Q14">
        <v>140</v>
      </c>
      <c r="R14">
        <v>170</v>
      </c>
      <c r="S14">
        <v>175</v>
      </c>
      <c r="T14">
        <v>139</v>
      </c>
      <c r="U14">
        <v>195</v>
      </c>
      <c r="V14">
        <v>200</v>
      </c>
      <c r="W14">
        <v>155</v>
      </c>
      <c r="X14">
        <v>175</v>
      </c>
      <c r="Y14">
        <v>200</v>
      </c>
      <c r="Z14">
        <v>200</v>
      </c>
      <c r="AA14">
        <v>160</v>
      </c>
      <c r="AB14">
        <v>170</v>
      </c>
      <c r="AC14">
        <v>160</v>
      </c>
      <c r="AD14">
        <v>165</v>
      </c>
      <c r="AE14">
        <v>220</v>
      </c>
      <c r="AF14">
        <v>145</v>
      </c>
      <c r="AG14">
        <v>185</v>
      </c>
      <c r="AH14">
        <v>135</v>
      </c>
      <c r="AI14">
        <v>120</v>
      </c>
      <c r="AJ14">
        <v>142.5</v>
      </c>
      <c r="AK14">
        <v>120</v>
      </c>
      <c r="AL14">
        <v>130</v>
      </c>
      <c r="AM14">
        <v>140</v>
      </c>
      <c r="AN14">
        <v>140</v>
      </c>
      <c r="AO14">
        <v>145</v>
      </c>
      <c r="AP14">
        <v>180</v>
      </c>
      <c r="AQ14">
        <v>125</v>
      </c>
      <c r="AR14">
        <v>125</v>
      </c>
      <c r="AS14">
        <v>190</v>
      </c>
      <c r="AT14">
        <v>175</v>
      </c>
      <c r="AU14">
        <v>180</v>
      </c>
      <c r="AV14">
        <v>120</v>
      </c>
      <c r="AW14">
        <v>110</v>
      </c>
      <c r="AX14">
        <v>125</v>
      </c>
      <c r="AY14">
        <v>112.5</v>
      </c>
      <c r="AZ14">
        <v>120</v>
      </c>
      <c r="BA14">
        <v>132.5</v>
      </c>
      <c r="BB14">
        <v>120</v>
      </c>
      <c r="BC14">
        <v>135</v>
      </c>
      <c r="BD14">
        <v>125</v>
      </c>
      <c r="BE14">
        <v>112.5</v>
      </c>
      <c r="BF14">
        <v>125</v>
      </c>
      <c r="BG14">
        <v>110</v>
      </c>
      <c r="BH14">
        <v>150</v>
      </c>
    </row>
    <row r="15" spans="1:60" x14ac:dyDescent="0.25">
      <c r="B15" s="1">
        <v>34121</v>
      </c>
      <c r="C15">
        <v>170</v>
      </c>
      <c r="D15">
        <v>200</v>
      </c>
      <c r="E15">
        <v>155</v>
      </c>
      <c r="F15">
        <v>160</v>
      </c>
      <c r="G15">
        <v>185</v>
      </c>
      <c r="H15">
        <v>185</v>
      </c>
      <c r="I15">
        <v>150</v>
      </c>
      <c r="J15">
        <v>225</v>
      </c>
      <c r="K15">
        <v>240</v>
      </c>
      <c r="L15">
        <v>200</v>
      </c>
      <c r="M15">
        <v>250</v>
      </c>
      <c r="N15">
        <v>200</v>
      </c>
      <c r="O15">
        <v>245</v>
      </c>
      <c r="P15">
        <v>160</v>
      </c>
      <c r="Q15">
        <v>135</v>
      </c>
      <c r="R15">
        <v>170</v>
      </c>
      <c r="S15">
        <v>175</v>
      </c>
      <c r="T15">
        <v>135</v>
      </c>
      <c r="U15">
        <v>200</v>
      </c>
      <c r="V15">
        <v>205</v>
      </c>
      <c r="W15">
        <v>155</v>
      </c>
      <c r="X15">
        <v>170</v>
      </c>
      <c r="Y15">
        <v>200</v>
      </c>
      <c r="Z15">
        <v>210</v>
      </c>
      <c r="AA15">
        <v>155</v>
      </c>
      <c r="AB15">
        <v>170</v>
      </c>
      <c r="AC15">
        <v>160</v>
      </c>
      <c r="AD15">
        <v>165</v>
      </c>
      <c r="AE15">
        <v>220</v>
      </c>
      <c r="AF15">
        <v>150</v>
      </c>
      <c r="AG15">
        <v>162.5</v>
      </c>
      <c r="AH15">
        <v>135</v>
      </c>
      <c r="AI15">
        <v>125</v>
      </c>
      <c r="AJ15" t="s">
        <v>21</v>
      </c>
      <c r="AK15">
        <v>125</v>
      </c>
      <c r="AL15">
        <v>130</v>
      </c>
      <c r="AM15">
        <v>140</v>
      </c>
      <c r="AN15">
        <v>135</v>
      </c>
      <c r="AO15">
        <v>145</v>
      </c>
      <c r="AP15">
        <v>180</v>
      </c>
      <c r="AQ15">
        <v>130</v>
      </c>
      <c r="AR15">
        <v>125</v>
      </c>
      <c r="AS15">
        <v>190</v>
      </c>
      <c r="AT15">
        <v>180</v>
      </c>
      <c r="AU15">
        <v>180</v>
      </c>
      <c r="AV15">
        <v>120</v>
      </c>
      <c r="AW15">
        <v>120</v>
      </c>
      <c r="AX15">
        <v>125</v>
      </c>
      <c r="AY15">
        <v>118.5</v>
      </c>
      <c r="AZ15">
        <v>125</v>
      </c>
      <c r="BA15">
        <v>130</v>
      </c>
      <c r="BB15">
        <v>124</v>
      </c>
      <c r="BC15">
        <v>130</v>
      </c>
      <c r="BD15">
        <v>120</v>
      </c>
      <c r="BE15">
        <v>115</v>
      </c>
      <c r="BF15">
        <v>120</v>
      </c>
      <c r="BG15">
        <v>110</v>
      </c>
      <c r="BH15">
        <v>150</v>
      </c>
    </row>
    <row r="16" spans="1:60" x14ac:dyDescent="0.25">
      <c r="B16" s="1">
        <v>34213</v>
      </c>
      <c r="C16">
        <v>170</v>
      </c>
      <c r="D16">
        <v>200</v>
      </c>
      <c r="E16">
        <v>160</v>
      </c>
      <c r="F16">
        <v>160</v>
      </c>
      <c r="G16">
        <v>190</v>
      </c>
      <c r="H16">
        <v>182.5</v>
      </c>
      <c r="I16">
        <v>150</v>
      </c>
      <c r="J16">
        <v>230</v>
      </c>
      <c r="K16">
        <v>240</v>
      </c>
      <c r="L16">
        <v>190</v>
      </c>
      <c r="M16">
        <v>250</v>
      </c>
      <c r="N16">
        <v>200</v>
      </c>
      <c r="O16">
        <v>240</v>
      </c>
      <c r="P16">
        <v>160</v>
      </c>
      <c r="Q16">
        <v>140</v>
      </c>
      <c r="R16">
        <v>170</v>
      </c>
      <c r="S16">
        <v>180</v>
      </c>
      <c r="T16">
        <v>135</v>
      </c>
      <c r="U16">
        <v>200</v>
      </c>
      <c r="V16">
        <v>200</v>
      </c>
      <c r="W16">
        <v>155</v>
      </c>
      <c r="X16">
        <v>170</v>
      </c>
      <c r="Y16">
        <v>207.5</v>
      </c>
      <c r="Z16">
        <v>205</v>
      </c>
      <c r="AA16">
        <v>160</v>
      </c>
      <c r="AB16">
        <v>165</v>
      </c>
      <c r="AC16">
        <v>160</v>
      </c>
      <c r="AD16">
        <v>165</v>
      </c>
      <c r="AE16">
        <v>220</v>
      </c>
      <c r="AF16">
        <v>150</v>
      </c>
      <c r="AG16">
        <v>170</v>
      </c>
      <c r="AH16">
        <v>135</v>
      </c>
      <c r="AI16">
        <v>120</v>
      </c>
      <c r="AJ16" t="s">
        <v>21</v>
      </c>
      <c r="AK16">
        <v>120</v>
      </c>
      <c r="AL16">
        <v>130</v>
      </c>
      <c r="AM16">
        <v>140</v>
      </c>
      <c r="AN16">
        <v>140</v>
      </c>
      <c r="AO16">
        <v>150</v>
      </c>
      <c r="AP16">
        <v>180</v>
      </c>
      <c r="AQ16">
        <v>130</v>
      </c>
      <c r="AR16">
        <v>125</v>
      </c>
      <c r="AS16">
        <v>190</v>
      </c>
      <c r="AT16">
        <v>175</v>
      </c>
      <c r="AU16">
        <v>180</v>
      </c>
      <c r="AV16">
        <v>120</v>
      </c>
      <c r="AW16">
        <v>120</v>
      </c>
      <c r="AX16">
        <v>125</v>
      </c>
      <c r="AY16">
        <v>110</v>
      </c>
      <c r="AZ16">
        <v>125</v>
      </c>
      <c r="BA16">
        <v>130</v>
      </c>
      <c r="BB16">
        <v>120</v>
      </c>
      <c r="BC16">
        <v>135</v>
      </c>
      <c r="BD16">
        <v>120</v>
      </c>
      <c r="BE16">
        <v>115</v>
      </c>
      <c r="BF16">
        <v>125</v>
      </c>
      <c r="BG16">
        <v>110</v>
      </c>
      <c r="BH16">
        <v>150</v>
      </c>
    </row>
    <row r="17" spans="2:60" x14ac:dyDescent="0.25">
      <c r="B17" s="1">
        <v>34304</v>
      </c>
      <c r="C17">
        <v>170</v>
      </c>
      <c r="D17">
        <v>200</v>
      </c>
      <c r="E17">
        <v>155</v>
      </c>
      <c r="F17">
        <v>160</v>
      </c>
      <c r="G17">
        <v>190</v>
      </c>
      <c r="H17">
        <v>180</v>
      </c>
      <c r="I17">
        <v>150</v>
      </c>
      <c r="J17">
        <v>225</v>
      </c>
      <c r="K17">
        <v>240</v>
      </c>
      <c r="L17">
        <v>190</v>
      </c>
      <c r="M17">
        <v>255</v>
      </c>
      <c r="N17">
        <v>200</v>
      </c>
      <c r="O17">
        <v>245</v>
      </c>
      <c r="P17">
        <v>160</v>
      </c>
      <c r="Q17">
        <v>140</v>
      </c>
      <c r="R17">
        <v>170</v>
      </c>
      <c r="S17">
        <v>165</v>
      </c>
      <c r="T17">
        <v>135</v>
      </c>
      <c r="U17">
        <v>200</v>
      </c>
      <c r="V17">
        <v>200</v>
      </c>
      <c r="W17">
        <v>160</v>
      </c>
      <c r="X17">
        <v>170</v>
      </c>
      <c r="Y17">
        <v>200</v>
      </c>
      <c r="Z17">
        <v>210</v>
      </c>
      <c r="AA17">
        <v>160</v>
      </c>
      <c r="AB17">
        <v>165</v>
      </c>
      <c r="AC17">
        <v>160</v>
      </c>
      <c r="AD17">
        <v>170</v>
      </c>
      <c r="AE17">
        <v>220</v>
      </c>
      <c r="AF17">
        <v>145</v>
      </c>
      <c r="AG17">
        <v>165</v>
      </c>
      <c r="AH17">
        <v>137.5</v>
      </c>
      <c r="AI17">
        <v>120</v>
      </c>
      <c r="AJ17" t="s">
        <v>21</v>
      </c>
      <c r="AK17">
        <v>125</v>
      </c>
      <c r="AL17">
        <v>125</v>
      </c>
      <c r="AM17">
        <v>140</v>
      </c>
      <c r="AN17">
        <v>135</v>
      </c>
      <c r="AO17">
        <v>145</v>
      </c>
      <c r="AP17">
        <v>175</v>
      </c>
      <c r="AQ17">
        <v>125</v>
      </c>
      <c r="AR17">
        <v>125</v>
      </c>
      <c r="AS17">
        <v>190</v>
      </c>
      <c r="AT17">
        <v>175</v>
      </c>
      <c r="AU17">
        <v>180</v>
      </c>
      <c r="AV17">
        <v>120</v>
      </c>
      <c r="AW17">
        <v>120</v>
      </c>
      <c r="AX17">
        <v>125</v>
      </c>
      <c r="AY17">
        <v>110</v>
      </c>
      <c r="AZ17">
        <v>130</v>
      </c>
      <c r="BA17">
        <v>130</v>
      </c>
      <c r="BB17">
        <v>120</v>
      </c>
      <c r="BC17">
        <v>130</v>
      </c>
      <c r="BD17">
        <v>115</v>
      </c>
      <c r="BE17">
        <v>120</v>
      </c>
      <c r="BF17">
        <v>120</v>
      </c>
      <c r="BG17">
        <v>110</v>
      </c>
      <c r="BH17">
        <v>150</v>
      </c>
    </row>
    <row r="18" spans="2:60" x14ac:dyDescent="0.25">
      <c r="B18" s="1">
        <v>34394</v>
      </c>
      <c r="C18">
        <v>170</v>
      </c>
      <c r="D18">
        <v>200</v>
      </c>
      <c r="E18">
        <v>160</v>
      </c>
      <c r="F18">
        <v>160</v>
      </c>
      <c r="G18">
        <v>190</v>
      </c>
      <c r="H18">
        <v>180</v>
      </c>
      <c r="I18">
        <v>150</v>
      </c>
      <c r="J18">
        <v>230</v>
      </c>
      <c r="K18">
        <v>240</v>
      </c>
      <c r="L18">
        <v>195</v>
      </c>
      <c r="M18">
        <v>250</v>
      </c>
      <c r="N18">
        <v>210</v>
      </c>
      <c r="O18">
        <v>240</v>
      </c>
      <c r="P18">
        <v>160</v>
      </c>
      <c r="Q18">
        <v>135</v>
      </c>
      <c r="R18">
        <v>170</v>
      </c>
      <c r="S18">
        <v>175</v>
      </c>
      <c r="T18">
        <v>135</v>
      </c>
      <c r="U18">
        <v>200</v>
      </c>
      <c r="V18">
        <v>200</v>
      </c>
      <c r="W18">
        <v>155</v>
      </c>
      <c r="X18">
        <v>170</v>
      </c>
      <c r="Y18">
        <v>210</v>
      </c>
      <c r="Z18">
        <v>210</v>
      </c>
      <c r="AA18">
        <v>160</v>
      </c>
      <c r="AB18">
        <v>165</v>
      </c>
      <c r="AC18">
        <v>160</v>
      </c>
      <c r="AD18">
        <v>160</v>
      </c>
      <c r="AE18">
        <v>225</v>
      </c>
      <c r="AF18">
        <v>150</v>
      </c>
      <c r="AG18">
        <v>155</v>
      </c>
      <c r="AH18">
        <v>132.5</v>
      </c>
      <c r="AI18">
        <v>115</v>
      </c>
      <c r="AJ18" t="s">
        <v>21</v>
      </c>
      <c r="AK18">
        <v>120</v>
      </c>
      <c r="AL18">
        <v>130</v>
      </c>
      <c r="AM18">
        <v>140</v>
      </c>
      <c r="AN18">
        <v>135</v>
      </c>
      <c r="AO18">
        <v>145</v>
      </c>
      <c r="AP18">
        <v>180</v>
      </c>
      <c r="AQ18">
        <v>130</v>
      </c>
      <c r="AR18">
        <v>125</v>
      </c>
      <c r="AS18">
        <v>190</v>
      </c>
      <c r="AT18">
        <v>180</v>
      </c>
      <c r="AU18">
        <v>185</v>
      </c>
      <c r="AV18">
        <v>110</v>
      </c>
      <c r="AW18">
        <v>120</v>
      </c>
      <c r="AX18">
        <v>125</v>
      </c>
      <c r="AY18">
        <v>115.5</v>
      </c>
      <c r="AZ18">
        <v>120</v>
      </c>
      <c r="BA18">
        <v>130</v>
      </c>
      <c r="BB18">
        <v>120</v>
      </c>
      <c r="BC18">
        <v>135</v>
      </c>
      <c r="BD18">
        <v>115</v>
      </c>
      <c r="BE18">
        <v>110</v>
      </c>
      <c r="BF18">
        <v>125</v>
      </c>
      <c r="BG18">
        <v>110</v>
      </c>
      <c r="BH18">
        <v>150</v>
      </c>
    </row>
    <row r="19" spans="2:60" x14ac:dyDescent="0.25">
      <c r="B19" s="1">
        <v>34486</v>
      </c>
      <c r="C19">
        <v>175</v>
      </c>
      <c r="D19">
        <v>215</v>
      </c>
      <c r="E19">
        <v>160</v>
      </c>
      <c r="F19">
        <v>165</v>
      </c>
      <c r="G19">
        <v>200</v>
      </c>
      <c r="H19">
        <v>185</v>
      </c>
      <c r="I19">
        <v>153.5</v>
      </c>
      <c r="J19">
        <v>242.5</v>
      </c>
      <c r="K19">
        <v>252.5</v>
      </c>
      <c r="L19">
        <v>200</v>
      </c>
      <c r="M19">
        <v>260</v>
      </c>
      <c r="N19">
        <v>220</v>
      </c>
      <c r="O19">
        <v>255</v>
      </c>
      <c r="P19">
        <v>165</v>
      </c>
      <c r="Q19">
        <v>135</v>
      </c>
      <c r="R19">
        <v>170</v>
      </c>
      <c r="S19">
        <v>175</v>
      </c>
      <c r="T19">
        <v>135</v>
      </c>
      <c r="U19">
        <v>220</v>
      </c>
      <c r="V19">
        <v>200</v>
      </c>
      <c r="W19">
        <v>160</v>
      </c>
      <c r="X19">
        <v>175</v>
      </c>
      <c r="Y19">
        <v>217.5</v>
      </c>
      <c r="Z19">
        <v>220</v>
      </c>
      <c r="AA19">
        <v>160</v>
      </c>
      <c r="AB19">
        <v>170</v>
      </c>
      <c r="AC19">
        <v>165</v>
      </c>
      <c r="AD19">
        <v>165</v>
      </c>
      <c r="AE19">
        <v>230</v>
      </c>
      <c r="AF19">
        <v>150</v>
      </c>
      <c r="AG19">
        <v>152.5</v>
      </c>
      <c r="AH19">
        <v>135</v>
      </c>
      <c r="AI19">
        <v>125</v>
      </c>
      <c r="AJ19" t="s">
        <v>21</v>
      </c>
      <c r="AK19">
        <v>120</v>
      </c>
      <c r="AL19">
        <v>125</v>
      </c>
      <c r="AM19">
        <v>145</v>
      </c>
      <c r="AN19">
        <v>130</v>
      </c>
      <c r="AO19">
        <v>145</v>
      </c>
      <c r="AP19">
        <v>180</v>
      </c>
      <c r="AQ19">
        <v>130</v>
      </c>
      <c r="AR19">
        <v>125</v>
      </c>
      <c r="AS19">
        <v>197.5</v>
      </c>
      <c r="AT19">
        <v>180</v>
      </c>
      <c r="AU19">
        <v>185</v>
      </c>
      <c r="AV19">
        <v>120</v>
      </c>
      <c r="AW19">
        <v>120</v>
      </c>
      <c r="AX19">
        <v>125</v>
      </c>
      <c r="AY19">
        <v>117</v>
      </c>
      <c r="AZ19">
        <v>130</v>
      </c>
      <c r="BA19">
        <v>130</v>
      </c>
      <c r="BB19">
        <v>120</v>
      </c>
      <c r="BC19">
        <v>130</v>
      </c>
      <c r="BD19">
        <v>120</v>
      </c>
      <c r="BE19">
        <v>120</v>
      </c>
      <c r="BF19">
        <v>125</v>
      </c>
      <c r="BG19">
        <v>110</v>
      </c>
      <c r="BH19">
        <v>150</v>
      </c>
    </row>
    <row r="20" spans="2:60" x14ac:dyDescent="0.25">
      <c r="B20" s="1">
        <v>34578</v>
      </c>
      <c r="C20">
        <v>175</v>
      </c>
      <c r="D20">
        <v>220</v>
      </c>
      <c r="E20">
        <v>160</v>
      </c>
      <c r="F20">
        <v>165</v>
      </c>
      <c r="G20">
        <v>200</v>
      </c>
      <c r="H20">
        <v>190</v>
      </c>
      <c r="I20">
        <v>155</v>
      </c>
      <c r="J20">
        <v>240</v>
      </c>
      <c r="K20">
        <v>260</v>
      </c>
      <c r="L20">
        <v>200</v>
      </c>
      <c r="M20">
        <v>260</v>
      </c>
      <c r="N20">
        <v>220</v>
      </c>
      <c r="O20">
        <v>250</v>
      </c>
      <c r="P20">
        <v>165</v>
      </c>
      <c r="Q20">
        <v>140</v>
      </c>
      <c r="R20">
        <v>175</v>
      </c>
      <c r="S20">
        <v>172.5</v>
      </c>
      <c r="T20">
        <v>140</v>
      </c>
      <c r="U20">
        <v>220</v>
      </c>
      <c r="V20">
        <v>200</v>
      </c>
      <c r="W20">
        <v>160</v>
      </c>
      <c r="X20">
        <v>175</v>
      </c>
      <c r="Y20">
        <v>215</v>
      </c>
      <c r="Z20">
        <v>230</v>
      </c>
      <c r="AA20">
        <v>160</v>
      </c>
      <c r="AB20">
        <v>170</v>
      </c>
      <c r="AC20">
        <v>160</v>
      </c>
      <c r="AD20">
        <v>162.5</v>
      </c>
      <c r="AE20">
        <v>230</v>
      </c>
      <c r="AF20">
        <v>150</v>
      </c>
      <c r="AG20">
        <v>145</v>
      </c>
      <c r="AH20">
        <v>135</v>
      </c>
      <c r="AI20">
        <v>125</v>
      </c>
      <c r="AJ20">
        <v>150</v>
      </c>
      <c r="AK20">
        <v>120</v>
      </c>
      <c r="AL20">
        <v>130</v>
      </c>
      <c r="AM20">
        <v>140</v>
      </c>
      <c r="AN20">
        <v>140</v>
      </c>
      <c r="AO20">
        <v>150</v>
      </c>
      <c r="AP20">
        <v>185</v>
      </c>
      <c r="AQ20">
        <v>125</v>
      </c>
      <c r="AR20">
        <v>125</v>
      </c>
      <c r="AS20">
        <v>195</v>
      </c>
      <c r="AT20">
        <v>180</v>
      </c>
      <c r="AU20">
        <v>190</v>
      </c>
      <c r="AV20">
        <v>120</v>
      </c>
      <c r="AW20">
        <v>120</v>
      </c>
      <c r="AX20">
        <v>125</v>
      </c>
      <c r="AY20">
        <v>110</v>
      </c>
      <c r="AZ20">
        <v>125</v>
      </c>
      <c r="BA20">
        <v>135</v>
      </c>
      <c r="BB20">
        <v>120</v>
      </c>
      <c r="BC20">
        <v>130</v>
      </c>
      <c r="BD20">
        <v>120</v>
      </c>
      <c r="BE20">
        <v>120</v>
      </c>
      <c r="BF20">
        <v>130</v>
      </c>
      <c r="BG20">
        <v>111</v>
      </c>
      <c r="BH20">
        <v>155</v>
      </c>
    </row>
    <row r="21" spans="2:60" x14ac:dyDescent="0.25">
      <c r="B21" s="1">
        <v>34669</v>
      </c>
      <c r="C21">
        <v>175</v>
      </c>
      <c r="D21">
        <v>220</v>
      </c>
      <c r="E21">
        <v>160</v>
      </c>
      <c r="F21">
        <v>165</v>
      </c>
      <c r="G21">
        <v>200</v>
      </c>
      <c r="H21">
        <v>190</v>
      </c>
      <c r="I21">
        <v>150</v>
      </c>
      <c r="J21">
        <v>247.5</v>
      </c>
      <c r="K21">
        <v>260</v>
      </c>
      <c r="L21">
        <v>200</v>
      </c>
      <c r="M21">
        <v>260</v>
      </c>
      <c r="N21">
        <v>220</v>
      </c>
      <c r="O21">
        <v>260</v>
      </c>
      <c r="P21">
        <v>165</v>
      </c>
      <c r="Q21">
        <v>140</v>
      </c>
      <c r="R21">
        <v>175</v>
      </c>
      <c r="S21">
        <v>175</v>
      </c>
      <c r="T21">
        <v>140</v>
      </c>
      <c r="U21">
        <v>227.5</v>
      </c>
      <c r="V21">
        <v>215</v>
      </c>
      <c r="W21">
        <v>160</v>
      </c>
      <c r="X21">
        <v>175</v>
      </c>
      <c r="Y21">
        <v>220</v>
      </c>
      <c r="Z21">
        <v>235</v>
      </c>
      <c r="AA21">
        <v>160</v>
      </c>
      <c r="AB21">
        <v>170</v>
      </c>
      <c r="AC21">
        <v>165</v>
      </c>
      <c r="AD21">
        <v>170</v>
      </c>
      <c r="AE21">
        <v>235</v>
      </c>
      <c r="AF21">
        <v>150</v>
      </c>
      <c r="AG21">
        <v>160</v>
      </c>
      <c r="AH21">
        <v>137.5</v>
      </c>
      <c r="AI21">
        <v>126.5</v>
      </c>
      <c r="AJ21" t="s">
        <v>21</v>
      </c>
      <c r="AK21">
        <v>115</v>
      </c>
      <c r="AL21">
        <v>130</v>
      </c>
      <c r="AM21">
        <v>150</v>
      </c>
      <c r="AN21">
        <v>135</v>
      </c>
      <c r="AO21">
        <v>150</v>
      </c>
      <c r="AP21">
        <v>182.5</v>
      </c>
      <c r="AQ21">
        <v>130</v>
      </c>
      <c r="AR21">
        <v>127.5</v>
      </c>
      <c r="AS21">
        <v>207.5</v>
      </c>
      <c r="AT21">
        <v>180</v>
      </c>
      <c r="AU21">
        <v>190</v>
      </c>
      <c r="AV21">
        <v>120</v>
      </c>
      <c r="AW21">
        <v>120</v>
      </c>
      <c r="AX21">
        <v>125</v>
      </c>
      <c r="AY21">
        <v>107.5</v>
      </c>
      <c r="AZ21">
        <v>120</v>
      </c>
      <c r="BA21">
        <v>135</v>
      </c>
      <c r="BB21">
        <v>120</v>
      </c>
      <c r="BC21">
        <v>135</v>
      </c>
      <c r="BD21">
        <v>117.5</v>
      </c>
      <c r="BE21">
        <v>115</v>
      </c>
      <c r="BF21">
        <v>125</v>
      </c>
      <c r="BG21">
        <v>110</v>
      </c>
      <c r="BH21">
        <v>155</v>
      </c>
    </row>
    <row r="22" spans="2:60" x14ac:dyDescent="0.25">
      <c r="B22" s="1">
        <v>34759</v>
      </c>
      <c r="C22">
        <v>180</v>
      </c>
      <c r="D22">
        <v>225</v>
      </c>
      <c r="E22">
        <v>160</v>
      </c>
      <c r="F22">
        <v>170</v>
      </c>
      <c r="G22">
        <v>200</v>
      </c>
      <c r="H22">
        <v>195</v>
      </c>
      <c r="I22">
        <v>155</v>
      </c>
      <c r="J22">
        <v>250</v>
      </c>
      <c r="K22">
        <v>270</v>
      </c>
      <c r="L22">
        <v>210</v>
      </c>
      <c r="M22">
        <v>280</v>
      </c>
      <c r="N22">
        <v>230</v>
      </c>
      <c r="O22">
        <v>250</v>
      </c>
      <c r="P22">
        <v>165</v>
      </c>
      <c r="Q22">
        <v>145</v>
      </c>
      <c r="R22">
        <v>175</v>
      </c>
      <c r="S22">
        <v>180</v>
      </c>
      <c r="T22">
        <v>140</v>
      </c>
      <c r="U22">
        <v>220</v>
      </c>
      <c r="V22">
        <v>195</v>
      </c>
      <c r="W22">
        <v>160</v>
      </c>
      <c r="X22">
        <v>175</v>
      </c>
      <c r="Y22">
        <v>220</v>
      </c>
      <c r="Z22">
        <v>240</v>
      </c>
      <c r="AA22">
        <v>160</v>
      </c>
      <c r="AB22">
        <v>175</v>
      </c>
      <c r="AC22">
        <v>165</v>
      </c>
      <c r="AD22">
        <v>165</v>
      </c>
      <c r="AE22">
        <v>240</v>
      </c>
      <c r="AF22">
        <v>150</v>
      </c>
      <c r="AG22">
        <v>200</v>
      </c>
      <c r="AH22">
        <v>140</v>
      </c>
      <c r="AI22">
        <v>125</v>
      </c>
      <c r="AJ22">
        <v>150</v>
      </c>
      <c r="AK22">
        <v>125</v>
      </c>
      <c r="AL22">
        <v>130</v>
      </c>
      <c r="AM22">
        <v>145</v>
      </c>
      <c r="AN22">
        <v>135</v>
      </c>
      <c r="AO22">
        <v>150</v>
      </c>
      <c r="AP22">
        <v>185</v>
      </c>
      <c r="AQ22">
        <v>130</v>
      </c>
      <c r="AR22">
        <v>130</v>
      </c>
      <c r="AS22" t="s">
        <v>21</v>
      </c>
      <c r="AT22">
        <v>185</v>
      </c>
      <c r="AU22">
        <v>200</v>
      </c>
      <c r="AV22">
        <v>117.5</v>
      </c>
      <c r="AW22">
        <v>120</v>
      </c>
      <c r="AX22">
        <v>130</v>
      </c>
      <c r="AY22">
        <v>116</v>
      </c>
      <c r="AZ22">
        <v>140</v>
      </c>
      <c r="BA22">
        <v>135</v>
      </c>
      <c r="BB22">
        <v>120</v>
      </c>
      <c r="BC22">
        <v>131</v>
      </c>
      <c r="BD22">
        <v>115</v>
      </c>
      <c r="BE22">
        <v>115</v>
      </c>
      <c r="BF22">
        <v>130</v>
      </c>
      <c r="BG22">
        <v>115</v>
      </c>
      <c r="BH22">
        <v>150</v>
      </c>
    </row>
    <row r="23" spans="2:60" x14ac:dyDescent="0.25">
      <c r="B23" s="1">
        <v>34851</v>
      </c>
      <c r="C23">
        <v>180</v>
      </c>
      <c r="D23">
        <v>240</v>
      </c>
      <c r="E23">
        <v>170</v>
      </c>
      <c r="F23">
        <v>170</v>
      </c>
      <c r="G23">
        <v>210</v>
      </c>
      <c r="H23">
        <v>185</v>
      </c>
      <c r="I23">
        <v>155</v>
      </c>
      <c r="J23">
        <v>250</v>
      </c>
      <c r="K23">
        <v>275</v>
      </c>
      <c r="L23">
        <v>220</v>
      </c>
      <c r="M23">
        <v>280</v>
      </c>
      <c r="N23">
        <v>245</v>
      </c>
      <c r="O23">
        <v>270</v>
      </c>
      <c r="P23">
        <v>170</v>
      </c>
      <c r="Q23">
        <v>145</v>
      </c>
      <c r="R23">
        <v>180</v>
      </c>
      <c r="S23">
        <v>180</v>
      </c>
      <c r="T23">
        <v>140</v>
      </c>
      <c r="U23">
        <v>220</v>
      </c>
      <c r="V23">
        <v>192.5</v>
      </c>
      <c r="W23">
        <v>160</v>
      </c>
      <c r="X23">
        <v>180</v>
      </c>
      <c r="Y23">
        <v>230</v>
      </c>
      <c r="Z23">
        <v>237.5</v>
      </c>
      <c r="AA23">
        <v>165</v>
      </c>
      <c r="AB23">
        <v>175</v>
      </c>
      <c r="AC23">
        <v>170</v>
      </c>
      <c r="AD23">
        <v>170</v>
      </c>
      <c r="AE23">
        <v>250</v>
      </c>
      <c r="AF23">
        <v>150</v>
      </c>
      <c r="AG23">
        <v>175</v>
      </c>
      <c r="AH23">
        <v>130</v>
      </c>
      <c r="AI23">
        <v>115</v>
      </c>
      <c r="AJ23">
        <v>150</v>
      </c>
      <c r="AK23">
        <v>120</v>
      </c>
      <c r="AL23">
        <v>130</v>
      </c>
      <c r="AM23">
        <v>150</v>
      </c>
      <c r="AN23">
        <v>140</v>
      </c>
      <c r="AO23">
        <v>160</v>
      </c>
      <c r="AP23">
        <v>190</v>
      </c>
      <c r="AQ23">
        <v>130</v>
      </c>
      <c r="AR23">
        <v>125</v>
      </c>
      <c r="AS23" t="s">
        <v>21</v>
      </c>
      <c r="AT23">
        <v>190</v>
      </c>
      <c r="AU23">
        <v>200</v>
      </c>
      <c r="AV23" t="s">
        <v>21</v>
      </c>
      <c r="AW23">
        <v>127.5</v>
      </c>
      <c r="AX23">
        <v>125</v>
      </c>
      <c r="AY23">
        <v>110</v>
      </c>
      <c r="AZ23">
        <v>140</v>
      </c>
      <c r="BA23">
        <v>130</v>
      </c>
      <c r="BB23">
        <v>117.5</v>
      </c>
      <c r="BC23">
        <v>140</v>
      </c>
      <c r="BD23">
        <v>120</v>
      </c>
      <c r="BE23">
        <v>120</v>
      </c>
      <c r="BF23">
        <v>127.5</v>
      </c>
      <c r="BG23">
        <v>115</v>
      </c>
      <c r="BH23">
        <v>155</v>
      </c>
    </row>
    <row r="24" spans="2:60" x14ac:dyDescent="0.25">
      <c r="B24" s="1">
        <v>34943</v>
      </c>
      <c r="C24">
        <v>185</v>
      </c>
      <c r="D24">
        <v>240</v>
      </c>
      <c r="E24">
        <v>170</v>
      </c>
      <c r="F24">
        <v>175</v>
      </c>
      <c r="G24">
        <v>210</v>
      </c>
      <c r="H24">
        <v>200</v>
      </c>
      <c r="I24">
        <v>160</v>
      </c>
      <c r="J24">
        <v>260</v>
      </c>
      <c r="K24">
        <v>275</v>
      </c>
      <c r="L24">
        <v>220</v>
      </c>
      <c r="M24">
        <v>290</v>
      </c>
      <c r="N24">
        <v>245</v>
      </c>
      <c r="O24">
        <v>280</v>
      </c>
      <c r="P24">
        <v>170</v>
      </c>
      <c r="Q24">
        <v>150</v>
      </c>
      <c r="R24">
        <v>180</v>
      </c>
      <c r="S24">
        <v>185</v>
      </c>
      <c r="T24">
        <v>145</v>
      </c>
      <c r="U24">
        <v>230</v>
      </c>
      <c r="V24">
        <v>232.5</v>
      </c>
      <c r="W24">
        <v>170</v>
      </c>
      <c r="X24">
        <v>180</v>
      </c>
      <c r="Y24">
        <v>230</v>
      </c>
      <c r="Z24">
        <v>240</v>
      </c>
      <c r="AA24">
        <v>165</v>
      </c>
      <c r="AB24">
        <v>180</v>
      </c>
      <c r="AC24">
        <v>170</v>
      </c>
      <c r="AD24">
        <v>170</v>
      </c>
      <c r="AE24">
        <v>250</v>
      </c>
      <c r="AF24">
        <v>155</v>
      </c>
      <c r="AG24">
        <v>180</v>
      </c>
      <c r="AH24">
        <v>140</v>
      </c>
      <c r="AI24">
        <v>125</v>
      </c>
      <c r="AJ24" t="s">
        <v>21</v>
      </c>
      <c r="AK24">
        <v>120</v>
      </c>
      <c r="AL24">
        <v>130</v>
      </c>
      <c r="AM24">
        <v>150</v>
      </c>
      <c r="AN24">
        <v>140</v>
      </c>
      <c r="AO24">
        <v>155</v>
      </c>
      <c r="AP24">
        <v>190</v>
      </c>
      <c r="AQ24">
        <v>130</v>
      </c>
      <c r="AR24">
        <v>125</v>
      </c>
      <c r="AS24">
        <v>210</v>
      </c>
      <c r="AT24">
        <v>190</v>
      </c>
      <c r="AU24">
        <v>197.5</v>
      </c>
      <c r="AV24">
        <v>125</v>
      </c>
      <c r="AW24">
        <v>120</v>
      </c>
      <c r="AX24">
        <v>125</v>
      </c>
      <c r="AY24">
        <v>116</v>
      </c>
      <c r="AZ24">
        <v>137.5</v>
      </c>
      <c r="BA24">
        <v>135</v>
      </c>
      <c r="BB24">
        <v>120</v>
      </c>
      <c r="BC24">
        <v>135</v>
      </c>
      <c r="BD24">
        <v>115</v>
      </c>
      <c r="BE24">
        <v>115</v>
      </c>
      <c r="BF24">
        <v>130</v>
      </c>
      <c r="BG24">
        <v>112.5</v>
      </c>
      <c r="BH24">
        <v>160</v>
      </c>
    </row>
    <row r="25" spans="2:60" x14ac:dyDescent="0.25">
      <c r="B25" s="1">
        <v>35034</v>
      </c>
      <c r="C25">
        <v>190</v>
      </c>
      <c r="D25">
        <v>240</v>
      </c>
      <c r="E25">
        <v>170</v>
      </c>
      <c r="F25">
        <v>175</v>
      </c>
      <c r="G25">
        <v>210</v>
      </c>
      <c r="H25">
        <v>200</v>
      </c>
      <c r="I25">
        <v>165</v>
      </c>
      <c r="J25">
        <v>260</v>
      </c>
      <c r="K25">
        <v>280</v>
      </c>
      <c r="L25">
        <v>220</v>
      </c>
      <c r="M25">
        <v>300</v>
      </c>
      <c r="N25">
        <v>260</v>
      </c>
      <c r="O25">
        <v>280</v>
      </c>
      <c r="P25">
        <v>175</v>
      </c>
      <c r="Q25">
        <v>145</v>
      </c>
      <c r="R25">
        <v>180</v>
      </c>
      <c r="S25">
        <v>210</v>
      </c>
      <c r="T25">
        <v>145</v>
      </c>
      <c r="U25">
        <v>240</v>
      </c>
      <c r="V25">
        <v>220</v>
      </c>
      <c r="W25">
        <v>170</v>
      </c>
      <c r="X25">
        <v>180</v>
      </c>
      <c r="Y25">
        <v>235</v>
      </c>
      <c r="Z25">
        <v>245</v>
      </c>
      <c r="AA25">
        <v>165</v>
      </c>
      <c r="AB25">
        <v>180</v>
      </c>
      <c r="AC25">
        <v>175</v>
      </c>
      <c r="AD25">
        <v>175</v>
      </c>
      <c r="AE25">
        <v>250</v>
      </c>
      <c r="AF25">
        <v>160</v>
      </c>
      <c r="AG25">
        <v>180</v>
      </c>
      <c r="AH25">
        <v>140</v>
      </c>
      <c r="AI25">
        <v>120</v>
      </c>
      <c r="AJ25" t="s">
        <v>21</v>
      </c>
      <c r="AK25">
        <v>120</v>
      </c>
      <c r="AL25">
        <v>130</v>
      </c>
      <c r="AM25">
        <v>145</v>
      </c>
      <c r="AN25">
        <v>135</v>
      </c>
      <c r="AO25">
        <v>165</v>
      </c>
      <c r="AP25">
        <v>190</v>
      </c>
      <c r="AQ25">
        <v>130</v>
      </c>
      <c r="AR25">
        <v>125</v>
      </c>
      <c r="AS25">
        <v>210</v>
      </c>
      <c r="AT25">
        <v>190</v>
      </c>
      <c r="AU25">
        <v>210</v>
      </c>
      <c r="AV25" t="s">
        <v>21</v>
      </c>
      <c r="AW25">
        <v>125</v>
      </c>
      <c r="AX25">
        <v>125</v>
      </c>
      <c r="AY25">
        <v>116</v>
      </c>
      <c r="AZ25">
        <v>140</v>
      </c>
      <c r="BA25">
        <v>135</v>
      </c>
      <c r="BB25">
        <v>120</v>
      </c>
      <c r="BC25">
        <v>130</v>
      </c>
      <c r="BD25">
        <v>115</v>
      </c>
      <c r="BE25">
        <v>115</v>
      </c>
      <c r="BF25">
        <v>130</v>
      </c>
      <c r="BG25">
        <v>115</v>
      </c>
      <c r="BH25">
        <v>160</v>
      </c>
    </row>
    <row r="26" spans="2:60" x14ac:dyDescent="0.25">
      <c r="B26" s="1">
        <v>35125</v>
      </c>
      <c r="C26">
        <v>190</v>
      </c>
      <c r="D26">
        <v>250</v>
      </c>
      <c r="E26">
        <v>175</v>
      </c>
      <c r="F26">
        <v>175</v>
      </c>
      <c r="G26">
        <v>220</v>
      </c>
      <c r="H26">
        <v>200</v>
      </c>
      <c r="I26">
        <v>165</v>
      </c>
      <c r="J26">
        <v>272.5</v>
      </c>
      <c r="K26">
        <v>290</v>
      </c>
      <c r="L26">
        <v>230</v>
      </c>
      <c r="M26">
        <v>300</v>
      </c>
      <c r="N26">
        <v>250</v>
      </c>
      <c r="O26">
        <v>280</v>
      </c>
      <c r="P26">
        <v>180</v>
      </c>
      <c r="Q26">
        <v>150</v>
      </c>
      <c r="R26">
        <v>185</v>
      </c>
      <c r="S26">
        <v>200</v>
      </c>
      <c r="T26">
        <v>150</v>
      </c>
      <c r="U26">
        <v>250</v>
      </c>
      <c r="V26">
        <v>230</v>
      </c>
      <c r="W26">
        <v>175</v>
      </c>
      <c r="X26">
        <v>190</v>
      </c>
      <c r="Y26">
        <v>230</v>
      </c>
      <c r="Z26">
        <v>250</v>
      </c>
      <c r="AA26">
        <v>170</v>
      </c>
      <c r="AB26">
        <v>185</v>
      </c>
      <c r="AC26">
        <v>175</v>
      </c>
      <c r="AD26">
        <v>195</v>
      </c>
      <c r="AE26">
        <v>260</v>
      </c>
      <c r="AF26">
        <v>160</v>
      </c>
      <c r="AG26">
        <v>160</v>
      </c>
      <c r="AH26">
        <v>140</v>
      </c>
      <c r="AI26">
        <v>135</v>
      </c>
      <c r="AJ26">
        <v>150</v>
      </c>
      <c r="AK26">
        <v>125</v>
      </c>
      <c r="AL26">
        <v>130</v>
      </c>
      <c r="AM26">
        <v>150</v>
      </c>
      <c r="AN26">
        <v>140</v>
      </c>
      <c r="AO26">
        <v>165</v>
      </c>
      <c r="AP26">
        <v>197.5</v>
      </c>
      <c r="AQ26">
        <v>130</v>
      </c>
      <c r="AR26">
        <v>130</v>
      </c>
      <c r="AS26">
        <v>225</v>
      </c>
      <c r="AT26">
        <v>195</v>
      </c>
      <c r="AU26">
        <v>215</v>
      </c>
      <c r="AV26">
        <v>110</v>
      </c>
      <c r="AW26">
        <v>125</v>
      </c>
      <c r="AX26">
        <v>130</v>
      </c>
      <c r="AY26">
        <v>100</v>
      </c>
      <c r="AZ26">
        <v>140</v>
      </c>
      <c r="BA26">
        <v>130</v>
      </c>
      <c r="BB26">
        <v>120</v>
      </c>
      <c r="BC26">
        <v>135</v>
      </c>
      <c r="BD26">
        <v>115</v>
      </c>
      <c r="BE26">
        <v>120</v>
      </c>
      <c r="BF26">
        <v>130</v>
      </c>
      <c r="BG26">
        <v>110</v>
      </c>
      <c r="BH26">
        <v>160</v>
      </c>
    </row>
    <row r="27" spans="2:60" x14ac:dyDescent="0.25">
      <c r="B27" s="1">
        <v>35217</v>
      </c>
      <c r="C27">
        <v>195</v>
      </c>
      <c r="D27">
        <v>250</v>
      </c>
      <c r="E27">
        <v>175</v>
      </c>
      <c r="F27">
        <v>180</v>
      </c>
      <c r="G27">
        <v>220</v>
      </c>
      <c r="H27">
        <v>230</v>
      </c>
      <c r="I27">
        <v>170</v>
      </c>
      <c r="J27">
        <v>270</v>
      </c>
      <c r="K27">
        <v>285</v>
      </c>
      <c r="L27">
        <v>235</v>
      </c>
      <c r="M27">
        <v>320</v>
      </c>
      <c r="N27">
        <v>260</v>
      </c>
      <c r="O27">
        <v>280</v>
      </c>
      <c r="P27">
        <v>180</v>
      </c>
      <c r="Q27">
        <v>150</v>
      </c>
      <c r="R27">
        <v>190</v>
      </c>
      <c r="S27">
        <v>200</v>
      </c>
      <c r="T27">
        <v>150</v>
      </c>
      <c r="U27">
        <v>250</v>
      </c>
      <c r="V27">
        <v>220</v>
      </c>
      <c r="W27">
        <v>175</v>
      </c>
      <c r="X27">
        <v>185</v>
      </c>
      <c r="Y27">
        <v>240</v>
      </c>
      <c r="Z27">
        <v>250</v>
      </c>
      <c r="AA27">
        <v>170</v>
      </c>
      <c r="AB27">
        <v>185</v>
      </c>
      <c r="AC27">
        <v>175</v>
      </c>
      <c r="AD27">
        <v>187.5</v>
      </c>
      <c r="AE27">
        <v>260</v>
      </c>
      <c r="AF27">
        <v>165</v>
      </c>
      <c r="AG27">
        <v>200</v>
      </c>
      <c r="AH27">
        <v>150</v>
      </c>
      <c r="AI27">
        <v>130</v>
      </c>
      <c r="AJ27" t="s">
        <v>21</v>
      </c>
      <c r="AK27">
        <v>120</v>
      </c>
      <c r="AL27">
        <v>130</v>
      </c>
      <c r="AM27">
        <v>150</v>
      </c>
      <c r="AN27">
        <v>140</v>
      </c>
      <c r="AO27">
        <v>170</v>
      </c>
      <c r="AP27">
        <v>200</v>
      </c>
      <c r="AQ27">
        <v>135</v>
      </c>
      <c r="AR27">
        <v>130</v>
      </c>
      <c r="AS27">
        <v>220</v>
      </c>
      <c r="AT27">
        <v>195</v>
      </c>
      <c r="AU27">
        <v>220</v>
      </c>
      <c r="AV27">
        <v>120</v>
      </c>
      <c r="AW27">
        <v>127.5</v>
      </c>
      <c r="AX27">
        <v>130</v>
      </c>
      <c r="AY27">
        <v>117</v>
      </c>
      <c r="AZ27">
        <v>130</v>
      </c>
      <c r="BA27">
        <v>130</v>
      </c>
      <c r="BB27">
        <v>120</v>
      </c>
      <c r="BC27">
        <v>130</v>
      </c>
      <c r="BD27">
        <v>115</v>
      </c>
      <c r="BE27">
        <v>120</v>
      </c>
      <c r="BF27">
        <v>130</v>
      </c>
      <c r="BG27">
        <v>110</v>
      </c>
      <c r="BH27">
        <v>165</v>
      </c>
    </row>
    <row r="28" spans="2:60" x14ac:dyDescent="0.25">
      <c r="B28" s="1">
        <v>35309</v>
      </c>
      <c r="C28">
        <v>200</v>
      </c>
      <c r="D28">
        <v>260</v>
      </c>
      <c r="E28">
        <v>177.5</v>
      </c>
      <c r="F28">
        <v>185</v>
      </c>
      <c r="G28">
        <v>215</v>
      </c>
      <c r="H28">
        <v>220</v>
      </c>
      <c r="I28">
        <v>175</v>
      </c>
      <c r="J28">
        <v>280</v>
      </c>
      <c r="K28">
        <v>300</v>
      </c>
      <c r="L28">
        <v>240</v>
      </c>
      <c r="M28">
        <v>320</v>
      </c>
      <c r="N28">
        <v>260</v>
      </c>
      <c r="O28">
        <v>285</v>
      </c>
      <c r="P28">
        <v>180</v>
      </c>
      <c r="Q28">
        <v>155</v>
      </c>
      <c r="R28">
        <v>192.5</v>
      </c>
      <c r="S28">
        <v>200</v>
      </c>
      <c r="T28">
        <v>150</v>
      </c>
      <c r="U28">
        <v>240</v>
      </c>
      <c r="V28">
        <v>245</v>
      </c>
      <c r="W28">
        <v>175</v>
      </c>
      <c r="X28">
        <v>190</v>
      </c>
      <c r="Y28">
        <v>240</v>
      </c>
      <c r="Z28">
        <v>260</v>
      </c>
      <c r="AA28">
        <v>175</v>
      </c>
      <c r="AB28">
        <v>185</v>
      </c>
      <c r="AC28">
        <v>180</v>
      </c>
      <c r="AD28">
        <v>190</v>
      </c>
      <c r="AE28">
        <v>270</v>
      </c>
      <c r="AF28">
        <v>165</v>
      </c>
      <c r="AG28">
        <v>180</v>
      </c>
      <c r="AH28">
        <v>140</v>
      </c>
      <c r="AI28">
        <v>125</v>
      </c>
      <c r="AJ28" t="s">
        <v>21</v>
      </c>
      <c r="AK28">
        <v>125</v>
      </c>
      <c r="AL28">
        <v>135</v>
      </c>
      <c r="AM28">
        <v>150</v>
      </c>
      <c r="AN28">
        <v>135</v>
      </c>
      <c r="AO28">
        <v>170</v>
      </c>
      <c r="AP28">
        <v>200</v>
      </c>
      <c r="AQ28">
        <v>135</v>
      </c>
      <c r="AR28">
        <v>130</v>
      </c>
      <c r="AS28">
        <v>225</v>
      </c>
      <c r="AT28">
        <v>200</v>
      </c>
      <c r="AU28">
        <v>215</v>
      </c>
      <c r="AV28">
        <v>120</v>
      </c>
      <c r="AW28">
        <v>130</v>
      </c>
      <c r="AX28">
        <v>130</v>
      </c>
      <c r="AY28">
        <v>113.6</v>
      </c>
      <c r="AZ28">
        <v>130</v>
      </c>
      <c r="BA28">
        <v>125</v>
      </c>
      <c r="BB28">
        <v>120</v>
      </c>
      <c r="BC28">
        <v>140</v>
      </c>
      <c r="BD28">
        <v>115</v>
      </c>
      <c r="BE28">
        <v>120</v>
      </c>
      <c r="BF28">
        <v>130</v>
      </c>
      <c r="BG28">
        <v>110</v>
      </c>
      <c r="BH28">
        <v>170</v>
      </c>
    </row>
    <row r="29" spans="2:60" x14ac:dyDescent="0.25">
      <c r="B29" s="1">
        <v>35400</v>
      </c>
      <c r="C29">
        <v>200</v>
      </c>
      <c r="D29">
        <v>260</v>
      </c>
      <c r="E29">
        <v>180</v>
      </c>
      <c r="F29">
        <v>185</v>
      </c>
      <c r="G29">
        <v>225</v>
      </c>
      <c r="H29">
        <v>225</v>
      </c>
      <c r="I29">
        <v>180</v>
      </c>
      <c r="J29">
        <v>280</v>
      </c>
      <c r="K29">
        <v>290</v>
      </c>
      <c r="L29">
        <v>240</v>
      </c>
      <c r="M29">
        <v>320</v>
      </c>
      <c r="N29">
        <v>280</v>
      </c>
      <c r="O29">
        <v>295</v>
      </c>
      <c r="P29">
        <v>185</v>
      </c>
      <c r="Q29">
        <v>155</v>
      </c>
      <c r="R29">
        <v>190</v>
      </c>
      <c r="S29">
        <v>200</v>
      </c>
      <c r="T29">
        <v>155</v>
      </c>
      <c r="U29">
        <v>250</v>
      </c>
      <c r="V29">
        <v>230</v>
      </c>
      <c r="W29">
        <v>180</v>
      </c>
      <c r="X29">
        <v>195</v>
      </c>
      <c r="Y29">
        <v>245</v>
      </c>
      <c r="Z29">
        <v>280</v>
      </c>
      <c r="AA29">
        <v>175</v>
      </c>
      <c r="AB29">
        <v>190</v>
      </c>
      <c r="AC29">
        <v>180</v>
      </c>
      <c r="AD29">
        <v>200</v>
      </c>
      <c r="AE29">
        <v>265</v>
      </c>
      <c r="AF29">
        <v>165</v>
      </c>
      <c r="AG29">
        <v>180</v>
      </c>
      <c r="AH29">
        <v>150</v>
      </c>
      <c r="AI29">
        <v>130</v>
      </c>
      <c r="AJ29" t="s">
        <v>21</v>
      </c>
      <c r="AK29">
        <v>125</v>
      </c>
      <c r="AL29">
        <v>135</v>
      </c>
      <c r="AM29">
        <v>150</v>
      </c>
      <c r="AN29">
        <v>145</v>
      </c>
      <c r="AO29">
        <v>170</v>
      </c>
      <c r="AP29">
        <v>200</v>
      </c>
      <c r="AQ29">
        <v>140</v>
      </c>
      <c r="AR29">
        <v>125</v>
      </c>
      <c r="AS29">
        <v>235</v>
      </c>
      <c r="AT29">
        <v>200</v>
      </c>
      <c r="AU29">
        <v>220</v>
      </c>
      <c r="AV29">
        <v>130</v>
      </c>
      <c r="AW29">
        <v>120</v>
      </c>
      <c r="AX29">
        <v>130</v>
      </c>
      <c r="AY29">
        <v>110</v>
      </c>
      <c r="AZ29">
        <v>135</v>
      </c>
      <c r="BA29">
        <v>130</v>
      </c>
      <c r="BB29">
        <v>120</v>
      </c>
      <c r="BC29">
        <v>140</v>
      </c>
      <c r="BD29">
        <v>115</v>
      </c>
      <c r="BE29">
        <v>120</v>
      </c>
      <c r="BF29">
        <v>130</v>
      </c>
      <c r="BG29">
        <v>115</v>
      </c>
      <c r="BH29">
        <v>170</v>
      </c>
    </row>
    <row r="30" spans="2:60" x14ac:dyDescent="0.25">
      <c r="B30" s="1">
        <v>35490</v>
      </c>
      <c r="C30">
        <v>205</v>
      </c>
      <c r="D30">
        <v>260</v>
      </c>
      <c r="E30">
        <v>180</v>
      </c>
      <c r="F30">
        <v>185</v>
      </c>
      <c r="G30">
        <v>230</v>
      </c>
      <c r="H30">
        <v>220</v>
      </c>
      <c r="I30">
        <v>180</v>
      </c>
      <c r="J30">
        <v>280</v>
      </c>
      <c r="K30">
        <v>300</v>
      </c>
      <c r="L30">
        <v>242.5</v>
      </c>
      <c r="M30">
        <v>320</v>
      </c>
      <c r="N30">
        <v>275</v>
      </c>
      <c r="O30">
        <v>295</v>
      </c>
      <c r="P30">
        <v>185</v>
      </c>
      <c r="Q30">
        <v>155</v>
      </c>
      <c r="R30">
        <v>190</v>
      </c>
      <c r="S30">
        <v>215</v>
      </c>
      <c r="T30">
        <v>150</v>
      </c>
      <c r="U30">
        <v>250</v>
      </c>
      <c r="V30">
        <v>210</v>
      </c>
      <c r="W30">
        <v>180</v>
      </c>
      <c r="X30">
        <v>190</v>
      </c>
      <c r="Y30">
        <v>240</v>
      </c>
      <c r="Z30">
        <v>270</v>
      </c>
      <c r="AA30">
        <v>180</v>
      </c>
      <c r="AB30">
        <v>190</v>
      </c>
      <c r="AC30">
        <v>180</v>
      </c>
      <c r="AD30">
        <v>200</v>
      </c>
      <c r="AE30">
        <v>275</v>
      </c>
      <c r="AF30">
        <v>165</v>
      </c>
      <c r="AG30">
        <v>190</v>
      </c>
      <c r="AH30">
        <v>150</v>
      </c>
      <c r="AI30">
        <v>130</v>
      </c>
      <c r="AJ30">
        <v>157.5</v>
      </c>
      <c r="AK30">
        <v>125</v>
      </c>
      <c r="AL30">
        <v>130</v>
      </c>
      <c r="AM30">
        <v>150</v>
      </c>
      <c r="AN30">
        <v>140</v>
      </c>
      <c r="AO30">
        <v>180</v>
      </c>
      <c r="AP30">
        <v>210</v>
      </c>
      <c r="AQ30">
        <v>135</v>
      </c>
      <c r="AR30">
        <v>130</v>
      </c>
      <c r="AS30">
        <v>230</v>
      </c>
      <c r="AT30">
        <v>200</v>
      </c>
      <c r="AU30">
        <v>220</v>
      </c>
      <c r="AV30">
        <v>115</v>
      </c>
      <c r="AW30">
        <v>130</v>
      </c>
      <c r="AX30">
        <v>130</v>
      </c>
      <c r="AY30">
        <v>120</v>
      </c>
      <c r="AZ30">
        <v>135</v>
      </c>
      <c r="BA30">
        <v>135</v>
      </c>
      <c r="BB30">
        <v>125</v>
      </c>
      <c r="BC30">
        <v>135</v>
      </c>
      <c r="BD30">
        <v>115</v>
      </c>
      <c r="BE30">
        <v>115</v>
      </c>
      <c r="BF30">
        <v>130</v>
      </c>
      <c r="BG30">
        <v>115</v>
      </c>
      <c r="BH30">
        <v>170</v>
      </c>
    </row>
    <row r="31" spans="2:60" x14ac:dyDescent="0.25">
      <c r="B31" s="1">
        <v>35582</v>
      </c>
      <c r="C31">
        <v>210</v>
      </c>
      <c r="D31">
        <v>270</v>
      </c>
      <c r="E31">
        <v>185</v>
      </c>
      <c r="F31">
        <v>190</v>
      </c>
      <c r="G31">
        <v>230</v>
      </c>
      <c r="H31">
        <v>237.5</v>
      </c>
      <c r="I31">
        <v>184</v>
      </c>
      <c r="J31">
        <v>280</v>
      </c>
      <c r="K31">
        <v>300</v>
      </c>
      <c r="L31">
        <v>250</v>
      </c>
      <c r="M31">
        <v>330</v>
      </c>
      <c r="N31">
        <v>280</v>
      </c>
      <c r="O31">
        <v>300</v>
      </c>
      <c r="P31">
        <v>185</v>
      </c>
      <c r="Q31">
        <v>155</v>
      </c>
      <c r="R31">
        <v>190</v>
      </c>
      <c r="S31">
        <v>212.5</v>
      </c>
      <c r="T31">
        <v>155</v>
      </c>
      <c r="U31">
        <v>250</v>
      </c>
      <c r="V31">
        <v>247.5</v>
      </c>
      <c r="W31">
        <v>185</v>
      </c>
      <c r="X31">
        <v>200</v>
      </c>
      <c r="Y31">
        <v>250</v>
      </c>
      <c r="Z31">
        <v>270</v>
      </c>
      <c r="AA31">
        <v>180</v>
      </c>
      <c r="AB31">
        <v>195</v>
      </c>
      <c r="AC31">
        <v>185</v>
      </c>
      <c r="AD31">
        <v>195</v>
      </c>
      <c r="AE31">
        <v>280</v>
      </c>
      <c r="AF31">
        <v>170</v>
      </c>
      <c r="AG31">
        <v>185</v>
      </c>
      <c r="AH31">
        <v>142.5</v>
      </c>
      <c r="AI31">
        <v>130</v>
      </c>
      <c r="AJ31" t="s">
        <v>21</v>
      </c>
      <c r="AK31">
        <v>125</v>
      </c>
      <c r="AL31">
        <v>130</v>
      </c>
      <c r="AM31">
        <v>150</v>
      </c>
      <c r="AN31">
        <v>140</v>
      </c>
      <c r="AO31">
        <v>175</v>
      </c>
      <c r="AP31">
        <v>220</v>
      </c>
      <c r="AQ31">
        <v>140</v>
      </c>
      <c r="AR31">
        <v>130</v>
      </c>
      <c r="AS31">
        <v>230</v>
      </c>
      <c r="AT31">
        <v>200</v>
      </c>
      <c r="AU31">
        <v>230</v>
      </c>
      <c r="AV31">
        <v>120</v>
      </c>
      <c r="AW31">
        <v>130</v>
      </c>
      <c r="AX31">
        <v>130</v>
      </c>
      <c r="AY31">
        <v>120</v>
      </c>
      <c r="AZ31">
        <v>135</v>
      </c>
      <c r="BA31">
        <v>135</v>
      </c>
      <c r="BB31">
        <v>120</v>
      </c>
      <c r="BC31">
        <v>140</v>
      </c>
      <c r="BD31">
        <v>115</v>
      </c>
      <c r="BE31">
        <v>115</v>
      </c>
      <c r="BF31">
        <v>130</v>
      </c>
      <c r="BG31">
        <v>110</v>
      </c>
      <c r="BH31">
        <v>175</v>
      </c>
    </row>
    <row r="32" spans="2:60" x14ac:dyDescent="0.25">
      <c r="B32" s="1">
        <v>35674</v>
      </c>
      <c r="C32">
        <v>210</v>
      </c>
      <c r="D32">
        <v>275</v>
      </c>
      <c r="E32">
        <v>185</v>
      </c>
      <c r="F32">
        <v>190</v>
      </c>
      <c r="G32">
        <v>235</v>
      </c>
      <c r="H32">
        <v>250</v>
      </c>
      <c r="I32">
        <v>180</v>
      </c>
      <c r="J32">
        <v>290</v>
      </c>
      <c r="K32">
        <v>300</v>
      </c>
      <c r="L32">
        <v>250</v>
      </c>
      <c r="M32">
        <v>320</v>
      </c>
      <c r="N32">
        <v>280</v>
      </c>
      <c r="O32">
        <v>300</v>
      </c>
      <c r="P32">
        <v>190</v>
      </c>
      <c r="Q32">
        <v>155</v>
      </c>
      <c r="R32">
        <v>190</v>
      </c>
      <c r="S32">
        <v>220</v>
      </c>
      <c r="T32">
        <v>160</v>
      </c>
      <c r="U32">
        <v>270</v>
      </c>
      <c r="V32">
        <v>225</v>
      </c>
      <c r="W32">
        <v>190</v>
      </c>
      <c r="X32">
        <v>192.5</v>
      </c>
      <c r="Y32">
        <v>248.125</v>
      </c>
      <c r="Z32">
        <v>280</v>
      </c>
      <c r="AA32">
        <v>180</v>
      </c>
      <c r="AB32">
        <v>195</v>
      </c>
      <c r="AC32">
        <v>190</v>
      </c>
      <c r="AD32">
        <v>202.5</v>
      </c>
      <c r="AE32">
        <v>280</v>
      </c>
      <c r="AF32">
        <v>175</v>
      </c>
      <c r="AG32">
        <v>182.5</v>
      </c>
      <c r="AH32">
        <v>140</v>
      </c>
      <c r="AI32">
        <v>130</v>
      </c>
      <c r="AJ32" t="s">
        <v>21</v>
      </c>
      <c r="AK32">
        <v>125</v>
      </c>
      <c r="AL32">
        <v>130</v>
      </c>
      <c r="AM32">
        <v>155</v>
      </c>
      <c r="AN32">
        <v>140</v>
      </c>
      <c r="AO32">
        <v>180</v>
      </c>
      <c r="AP32">
        <v>220</v>
      </c>
      <c r="AQ32">
        <v>140</v>
      </c>
      <c r="AR32">
        <v>130</v>
      </c>
      <c r="AS32">
        <v>235</v>
      </c>
      <c r="AT32">
        <v>210</v>
      </c>
      <c r="AU32">
        <v>225</v>
      </c>
      <c r="AV32" t="s">
        <v>21</v>
      </c>
      <c r="AW32">
        <v>130</v>
      </c>
      <c r="AX32">
        <v>130</v>
      </c>
      <c r="AY32">
        <v>110</v>
      </c>
      <c r="AZ32">
        <v>135</v>
      </c>
      <c r="BA32">
        <v>140</v>
      </c>
      <c r="BB32">
        <v>120</v>
      </c>
      <c r="BC32">
        <v>140</v>
      </c>
      <c r="BD32">
        <v>120</v>
      </c>
      <c r="BE32">
        <v>120</v>
      </c>
      <c r="BF32">
        <v>130</v>
      </c>
      <c r="BG32">
        <v>110</v>
      </c>
      <c r="BH32">
        <v>180</v>
      </c>
    </row>
    <row r="33" spans="1:60" x14ac:dyDescent="0.25">
      <c r="B33" s="1">
        <v>35765</v>
      </c>
      <c r="C33">
        <v>210</v>
      </c>
      <c r="D33">
        <v>270</v>
      </c>
      <c r="E33">
        <v>190</v>
      </c>
      <c r="F33">
        <v>190</v>
      </c>
      <c r="G33">
        <v>237.5</v>
      </c>
      <c r="H33">
        <v>230</v>
      </c>
      <c r="I33">
        <v>180</v>
      </c>
      <c r="J33">
        <v>300</v>
      </c>
      <c r="K33">
        <v>310</v>
      </c>
      <c r="L33">
        <v>250</v>
      </c>
      <c r="M33">
        <v>330</v>
      </c>
      <c r="N33">
        <v>280</v>
      </c>
      <c r="O33">
        <v>310</v>
      </c>
      <c r="P33">
        <v>190</v>
      </c>
      <c r="Q33">
        <v>160</v>
      </c>
      <c r="R33">
        <v>190</v>
      </c>
      <c r="S33">
        <v>215</v>
      </c>
      <c r="T33">
        <v>160</v>
      </c>
      <c r="U33">
        <v>275</v>
      </c>
      <c r="V33">
        <v>230</v>
      </c>
      <c r="W33">
        <v>185</v>
      </c>
      <c r="X33">
        <v>200</v>
      </c>
      <c r="Y33">
        <v>255</v>
      </c>
      <c r="Z33">
        <v>285</v>
      </c>
      <c r="AA33">
        <v>180</v>
      </c>
      <c r="AB33">
        <v>195</v>
      </c>
      <c r="AC33">
        <v>185</v>
      </c>
      <c r="AD33">
        <v>200</v>
      </c>
      <c r="AE33">
        <v>280</v>
      </c>
      <c r="AF33">
        <v>170</v>
      </c>
      <c r="AG33">
        <v>187.5</v>
      </c>
      <c r="AH33">
        <v>160</v>
      </c>
      <c r="AI33">
        <v>130</v>
      </c>
      <c r="AJ33" t="s">
        <v>21</v>
      </c>
      <c r="AK33">
        <v>125</v>
      </c>
      <c r="AL33">
        <v>130</v>
      </c>
      <c r="AM33">
        <v>155</v>
      </c>
      <c r="AN33">
        <v>145</v>
      </c>
      <c r="AO33">
        <v>180</v>
      </c>
      <c r="AP33">
        <v>220</v>
      </c>
      <c r="AQ33">
        <v>140</v>
      </c>
      <c r="AR33">
        <v>130</v>
      </c>
      <c r="AS33">
        <v>240</v>
      </c>
      <c r="AT33">
        <v>210</v>
      </c>
      <c r="AU33">
        <v>240</v>
      </c>
      <c r="AV33">
        <v>125</v>
      </c>
      <c r="AW33">
        <v>130</v>
      </c>
      <c r="AX33">
        <v>130</v>
      </c>
      <c r="AY33">
        <v>110</v>
      </c>
      <c r="AZ33">
        <v>130</v>
      </c>
      <c r="BA33">
        <v>135</v>
      </c>
      <c r="BB33">
        <v>120</v>
      </c>
      <c r="BC33">
        <v>140</v>
      </c>
      <c r="BD33">
        <v>117.5</v>
      </c>
      <c r="BE33">
        <v>120</v>
      </c>
      <c r="BF33">
        <v>135</v>
      </c>
      <c r="BG33">
        <v>115</v>
      </c>
      <c r="BH33">
        <v>180</v>
      </c>
    </row>
    <row r="34" spans="1:60" x14ac:dyDescent="0.25">
      <c r="B34" s="1">
        <v>35855</v>
      </c>
      <c r="C34">
        <v>220</v>
      </c>
      <c r="D34">
        <v>280</v>
      </c>
      <c r="E34">
        <v>195</v>
      </c>
      <c r="F34">
        <v>195</v>
      </c>
      <c r="G34">
        <v>245</v>
      </c>
      <c r="H34">
        <v>300</v>
      </c>
      <c r="I34">
        <v>190</v>
      </c>
      <c r="J34">
        <v>300</v>
      </c>
      <c r="K34">
        <v>315</v>
      </c>
      <c r="L34">
        <v>260</v>
      </c>
      <c r="M34">
        <v>340</v>
      </c>
      <c r="N34">
        <v>280</v>
      </c>
      <c r="O34">
        <v>320</v>
      </c>
      <c r="P34">
        <v>190</v>
      </c>
      <c r="Q34">
        <v>160</v>
      </c>
      <c r="R34">
        <v>190</v>
      </c>
      <c r="S34">
        <v>220</v>
      </c>
      <c r="T34">
        <v>160</v>
      </c>
      <c r="U34">
        <v>270</v>
      </c>
      <c r="V34">
        <v>255</v>
      </c>
      <c r="W34">
        <v>190</v>
      </c>
      <c r="X34">
        <v>200</v>
      </c>
      <c r="Y34">
        <v>260</v>
      </c>
      <c r="Z34">
        <v>285</v>
      </c>
      <c r="AA34">
        <v>180</v>
      </c>
      <c r="AB34">
        <v>195</v>
      </c>
      <c r="AC34">
        <v>190</v>
      </c>
      <c r="AD34">
        <v>202.5</v>
      </c>
      <c r="AE34">
        <v>280</v>
      </c>
      <c r="AF34">
        <v>170</v>
      </c>
      <c r="AG34">
        <v>190</v>
      </c>
      <c r="AH34">
        <v>145</v>
      </c>
      <c r="AI34">
        <v>130</v>
      </c>
      <c r="AJ34" t="s">
        <v>21</v>
      </c>
      <c r="AK34">
        <v>125</v>
      </c>
      <c r="AL34">
        <v>135</v>
      </c>
      <c r="AM34">
        <v>155</v>
      </c>
      <c r="AN34">
        <v>140</v>
      </c>
      <c r="AO34">
        <v>190</v>
      </c>
      <c r="AP34">
        <v>230</v>
      </c>
      <c r="AQ34">
        <v>140</v>
      </c>
      <c r="AR34">
        <v>130</v>
      </c>
      <c r="AS34">
        <v>250</v>
      </c>
      <c r="AT34">
        <v>210</v>
      </c>
      <c r="AU34">
        <v>240</v>
      </c>
      <c r="AV34">
        <v>130</v>
      </c>
      <c r="AW34">
        <v>130</v>
      </c>
      <c r="AX34">
        <v>135</v>
      </c>
      <c r="AY34">
        <v>120</v>
      </c>
      <c r="AZ34">
        <v>140</v>
      </c>
      <c r="BA34">
        <v>135</v>
      </c>
      <c r="BB34">
        <v>130</v>
      </c>
      <c r="BC34">
        <v>145</v>
      </c>
      <c r="BD34">
        <v>120</v>
      </c>
      <c r="BE34">
        <v>120</v>
      </c>
      <c r="BF34">
        <v>135</v>
      </c>
      <c r="BG34">
        <v>115</v>
      </c>
      <c r="BH34">
        <v>180</v>
      </c>
    </row>
    <row r="35" spans="1:60" x14ac:dyDescent="0.25">
      <c r="B35" s="1">
        <v>35947</v>
      </c>
      <c r="C35">
        <v>220</v>
      </c>
      <c r="D35">
        <v>280</v>
      </c>
      <c r="E35">
        <v>192.5</v>
      </c>
      <c r="F35">
        <v>195</v>
      </c>
      <c r="G35">
        <v>240</v>
      </c>
      <c r="H35">
        <v>240</v>
      </c>
      <c r="I35">
        <v>190</v>
      </c>
      <c r="J35">
        <v>300</v>
      </c>
      <c r="K35">
        <v>320</v>
      </c>
      <c r="L35">
        <v>260</v>
      </c>
      <c r="M35">
        <v>330</v>
      </c>
      <c r="N35">
        <v>280</v>
      </c>
      <c r="O35">
        <v>330</v>
      </c>
      <c r="P35">
        <v>195</v>
      </c>
      <c r="Q35">
        <v>160</v>
      </c>
      <c r="R35">
        <v>190</v>
      </c>
      <c r="S35">
        <v>230</v>
      </c>
      <c r="T35">
        <v>160</v>
      </c>
      <c r="U35">
        <v>260</v>
      </c>
      <c r="V35">
        <v>260</v>
      </c>
      <c r="W35">
        <v>190</v>
      </c>
      <c r="X35">
        <v>200</v>
      </c>
      <c r="Y35">
        <v>270</v>
      </c>
      <c r="Z35">
        <v>287.5</v>
      </c>
      <c r="AA35">
        <v>185</v>
      </c>
      <c r="AB35">
        <v>200</v>
      </c>
      <c r="AC35">
        <v>190</v>
      </c>
      <c r="AD35">
        <v>217.5</v>
      </c>
      <c r="AE35">
        <v>295</v>
      </c>
      <c r="AF35">
        <v>175</v>
      </c>
      <c r="AG35">
        <v>185</v>
      </c>
      <c r="AH35">
        <v>155</v>
      </c>
      <c r="AI35">
        <v>140</v>
      </c>
      <c r="AJ35" t="s">
        <v>21</v>
      </c>
      <c r="AK35">
        <v>125</v>
      </c>
      <c r="AL35">
        <v>135</v>
      </c>
      <c r="AM35">
        <v>155</v>
      </c>
      <c r="AN35">
        <v>140</v>
      </c>
      <c r="AO35">
        <v>185</v>
      </c>
      <c r="AP35">
        <v>220</v>
      </c>
      <c r="AQ35">
        <v>140</v>
      </c>
      <c r="AR35">
        <v>130</v>
      </c>
      <c r="AS35">
        <v>250</v>
      </c>
      <c r="AT35">
        <v>215</v>
      </c>
      <c r="AU35">
        <v>250</v>
      </c>
      <c r="AV35">
        <v>120</v>
      </c>
      <c r="AW35">
        <v>130</v>
      </c>
      <c r="AX35">
        <v>130</v>
      </c>
      <c r="AY35">
        <v>112.5</v>
      </c>
      <c r="AZ35">
        <v>132.5</v>
      </c>
      <c r="BA35">
        <v>140</v>
      </c>
      <c r="BB35">
        <v>120</v>
      </c>
      <c r="BC35">
        <v>145</v>
      </c>
      <c r="BD35">
        <v>120</v>
      </c>
      <c r="BE35">
        <v>120</v>
      </c>
      <c r="BF35">
        <v>130</v>
      </c>
      <c r="BG35">
        <v>115</v>
      </c>
      <c r="BH35">
        <v>180</v>
      </c>
    </row>
    <row r="36" spans="1:60" x14ac:dyDescent="0.25">
      <c r="B36" s="1">
        <v>36039</v>
      </c>
      <c r="C36">
        <v>220</v>
      </c>
      <c r="D36">
        <v>280</v>
      </c>
      <c r="E36">
        <v>200</v>
      </c>
      <c r="F36">
        <v>200</v>
      </c>
      <c r="G36">
        <v>240</v>
      </c>
      <c r="H36">
        <v>277.5</v>
      </c>
      <c r="I36">
        <v>195</v>
      </c>
      <c r="J36">
        <v>292.5</v>
      </c>
      <c r="K36">
        <v>320</v>
      </c>
      <c r="L36">
        <v>260</v>
      </c>
      <c r="M36">
        <v>340</v>
      </c>
      <c r="N36">
        <v>285</v>
      </c>
      <c r="O36">
        <v>320</v>
      </c>
      <c r="P36">
        <v>195</v>
      </c>
      <c r="Q36">
        <v>160</v>
      </c>
      <c r="R36">
        <v>190</v>
      </c>
      <c r="S36">
        <v>220</v>
      </c>
      <c r="T36">
        <v>160</v>
      </c>
      <c r="U36">
        <v>270</v>
      </c>
      <c r="V36">
        <v>245</v>
      </c>
      <c r="W36">
        <v>190</v>
      </c>
      <c r="X36">
        <v>207.5</v>
      </c>
      <c r="Y36">
        <v>260</v>
      </c>
      <c r="Z36">
        <v>290</v>
      </c>
      <c r="AA36">
        <v>185</v>
      </c>
      <c r="AB36">
        <v>200</v>
      </c>
      <c r="AC36">
        <v>195</v>
      </c>
      <c r="AD36">
        <v>200</v>
      </c>
      <c r="AE36">
        <v>290</v>
      </c>
      <c r="AF36">
        <v>175</v>
      </c>
      <c r="AG36">
        <v>180</v>
      </c>
      <c r="AH36">
        <v>150</v>
      </c>
      <c r="AI36">
        <v>145</v>
      </c>
      <c r="AJ36">
        <v>155</v>
      </c>
      <c r="AK36">
        <v>130</v>
      </c>
      <c r="AL36">
        <v>135</v>
      </c>
      <c r="AM36">
        <v>155</v>
      </c>
      <c r="AN36">
        <v>150</v>
      </c>
      <c r="AO36">
        <v>190</v>
      </c>
      <c r="AP36">
        <v>230</v>
      </c>
      <c r="AQ36">
        <v>140</v>
      </c>
      <c r="AR36">
        <v>130</v>
      </c>
      <c r="AS36">
        <v>250</v>
      </c>
      <c r="AT36">
        <v>220</v>
      </c>
      <c r="AU36">
        <v>245</v>
      </c>
      <c r="AV36">
        <v>130</v>
      </c>
      <c r="AW36">
        <v>127.5</v>
      </c>
      <c r="AX36">
        <v>135</v>
      </c>
      <c r="AY36">
        <v>125</v>
      </c>
      <c r="AZ36">
        <v>140</v>
      </c>
      <c r="BA36">
        <v>140</v>
      </c>
      <c r="BB36">
        <v>120</v>
      </c>
      <c r="BC36">
        <v>145</v>
      </c>
      <c r="BD36">
        <v>120</v>
      </c>
      <c r="BE36">
        <v>120</v>
      </c>
      <c r="BF36">
        <v>135</v>
      </c>
      <c r="BG36">
        <v>115</v>
      </c>
      <c r="BH36">
        <v>185</v>
      </c>
    </row>
    <row r="37" spans="1:60" x14ac:dyDescent="0.25">
      <c r="B37" s="1">
        <v>36130</v>
      </c>
      <c r="C37">
        <v>230</v>
      </c>
      <c r="D37">
        <v>290</v>
      </c>
      <c r="E37">
        <v>200</v>
      </c>
      <c r="F37">
        <v>200</v>
      </c>
      <c r="G37">
        <v>250</v>
      </c>
      <c r="H37">
        <v>270</v>
      </c>
      <c r="I37">
        <v>190</v>
      </c>
      <c r="J37">
        <v>300</v>
      </c>
      <c r="K37">
        <v>320</v>
      </c>
      <c r="L37">
        <v>270</v>
      </c>
      <c r="M37">
        <v>350</v>
      </c>
      <c r="N37">
        <v>290</v>
      </c>
      <c r="O37">
        <v>320</v>
      </c>
      <c r="P37">
        <v>200</v>
      </c>
      <c r="Q37">
        <v>165</v>
      </c>
      <c r="R37">
        <v>200</v>
      </c>
      <c r="S37">
        <v>235</v>
      </c>
      <c r="T37">
        <v>160</v>
      </c>
      <c r="U37">
        <v>270</v>
      </c>
      <c r="V37">
        <v>250</v>
      </c>
      <c r="W37">
        <v>190</v>
      </c>
      <c r="X37">
        <v>210</v>
      </c>
      <c r="Y37">
        <v>265</v>
      </c>
      <c r="Z37">
        <v>300</v>
      </c>
      <c r="AA37">
        <v>185</v>
      </c>
      <c r="AB37">
        <v>200</v>
      </c>
      <c r="AC37">
        <v>195</v>
      </c>
      <c r="AD37">
        <v>210</v>
      </c>
      <c r="AE37">
        <v>290</v>
      </c>
      <c r="AF37">
        <v>182.5</v>
      </c>
      <c r="AG37">
        <v>187.5</v>
      </c>
      <c r="AH37">
        <v>160</v>
      </c>
      <c r="AI37">
        <v>140</v>
      </c>
      <c r="AJ37" t="s">
        <v>21</v>
      </c>
      <c r="AK37">
        <v>125</v>
      </c>
      <c r="AL37">
        <v>130</v>
      </c>
      <c r="AM37">
        <v>160</v>
      </c>
      <c r="AN37">
        <v>142.5</v>
      </c>
      <c r="AO37">
        <v>190</v>
      </c>
      <c r="AP37">
        <v>225</v>
      </c>
      <c r="AQ37">
        <v>140</v>
      </c>
      <c r="AR37">
        <v>130</v>
      </c>
      <c r="AS37">
        <v>250</v>
      </c>
      <c r="AT37">
        <v>220</v>
      </c>
      <c r="AU37">
        <v>250</v>
      </c>
      <c r="AV37" t="s">
        <v>21</v>
      </c>
      <c r="AW37">
        <v>130</v>
      </c>
      <c r="AX37">
        <v>135</v>
      </c>
      <c r="AY37">
        <v>110</v>
      </c>
      <c r="AZ37">
        <v>135</v>
      </c>
      <c r="BA37">
        <v>140</v>
      </c>
      <c r="BB37">
        <v>120</v>
      </c>
      <c r="BC37">
        <v>145</v>
      </c>
      <c r="BD37">
        <v>120</v>
      </c>
      <c r="BE37">
        <v>120</v>
      </c>
      <c r="BF37">
        <v>135</v>
      </c>
      <c r="BG37">
        <v>115</v>
      </c>
      <c r="BH37">
        <v>190</v>
      </c>
    </row>
    <row r="38" spans="1:60" x14ac:dyDescent="0.25">
      <c r="B38" s="1">
        <v>36220</v>
      </c>
      <c r="C38">
        <v>230</v>
      </c>
      <c r="D38">
        <v>300</v>
      </c>
      <c r="E38">
        <v>200</v>
      </c>
      <c r="F38">
        <v>200</v>
      </c>
      <c r="G38">
        <v>250</v>
      </c>
      <c r="H38">
        <v>300</v>
      </c>
      <c r="I38">
        <v>200</v>
      </c>
      <c r="J38">
        <v>320</v>
      </c>
      <c r="K38">
        <v>320</v>
      </c>
      <c r="L38">
        <v>275</v>
      </c>
      <c r="M38">
        <v>350</v>
      </c>
      <c r="N38">
        <v>300</v>
      </c>
      <c r="O38">
        <v>325</v>
      </c>
      <c r="P38">
        <v>200</v>
      </c>
      <c r="Q38">
        <v>165</v>
      </c>
      <c r="R38">
        <v>195</v>
      </c>
      <c r="S38">
        <v>235</v>
      </c>
      <c r="T38">
        <v>160</v>
      </c>
      <c r="U38">
        <v>270</v>
      </c>
      <c r="V38">
        <v>255</v>
      </c>
      <c r="W38">
        <v>190</v>
      </c>
      <c r="X38">
        <v>205</v>
      </c>
      <c r="Y38">
        <v>270</v>
      </c>
      <c r="Z38">
        <v>310</v>
      </c>
      <c r="AA38">
        <v>190</v>
      </c>
      <c r="AB38">
        <v>202.5</v>
      </c>
      <c r="AC38">
        <v>200</v>
      </c>
      <c r="AD38">
        <v>230</v>
      </c>
      <c r="AE38">
        <v>300</v>
      </c>
      <c r="AF38">
        <v>185</v>
      </c>
      <c r="AG38">
        <v>210</v>
      </c>
      <c r="AH38">
        <v>160</v>
      </c>
      <c r="AI38">
        <v>145</v>
      </c>
      <c r="AJ38" t="s">
        <v>21</v>
      </c>
      <c r="AK38">
        <v>130</v>
      </c>
      <c r="AL38">
        <v>135</v>
      </c>
      <c r="AM38">
        <v>160</v>
      </c>
      <c r="AN38">
        <v>145</v>
      </c>
      <c r="AO38">
        <v>190</v>
      </c>
      <c r="AP38">
        <v>245</v>
      </c>
      <c r="AQ38">
        <v>145</v>
      </c>
      <c r="AR38">
        <v>135</v>
      </c>
      <c r="AS38">
        <v>260</v>
      </c>
      <c r="AT38">
        <v>220</v>
      </c>
      <c r="AU38">
        <v>260</v>
      </c>
      <c r="AV38" t="s">
        <v>21</v>
      </c>
      <c r="AW38">
        <v>135</v>
      </c>
      <c r="AX38">
        <v>135</v>
      </c>
      <c r="AY38">
        <v>110</v>
      </c>
      <c r="AZ38">
        <v>145</v>
      </c>
      <c r="BA38">
        <v>140</v>
      </c>
      <c r="BB38">
        <v>120</v>
      </c>
      <c r="BC38">
        <v>150</v>
      </c>
      <c r="BD38">
        <v>120</v>
      </c>
      <c r="BE38">
        <v>122.5</v>
      </c>
      <c r="BF38">
        <v>135</v>
      </c>
      <c r="BG38">
        <v>115</v>
      </c>
      <c r="BH38">
        <v>185</v>
      </c>
    </row>
    <row r="39" spans="1:60" x14ac:dyDescent="0.25">
      <c r="B39" s="1">
        <v>36312</v>
      </c>
      <c r="C39">
        <v>230</v>
      </c>
      <c r="D39">
        <v>300</v>
      </c>
      <c r="E39">
        <v>210</v>
      </c>
      <c r="F39">
        <v>205</v>
      </c>
      <c r="G39">
        <v>250</v>
      </c>
      <c r="H39">
        <v>320</v>
      </c>
      <c r="I39">
        <v>195</v>
      </c>
      <c r="J39">
        <v>320</v>
      </c>
      <c r="K39">
        <v>330</v>
      </c>
      <c r="L39">
        <v>280</v>
      </c>
      <c r="M39">
        <v>360</v>
      </c>
      <c r="N39">
        <v>300</v>
      </c>
      <c r="O39">
        <v>340</v>
      </c>
      <c r="P39">
        <v>200</v>
      </c>
      <c r="Q39">
        <v>170</v>
      </c>
      <c r="R39">
        <v>200</v>
      </c>
      <c r="S39">
        <v>250</v>
      </c>
      <c r="T39">
        <v>165</v>
      </c>
      <c r="U39">
        <v>290</v>
      </c>
      <c r="V39">
        <v>320</v>
      </c>
      <c r="W39">
        <v>200</v>
      </c>
      <c r="X39">
        <v>210</v>
      </c>
      <c r="Y39">
        <v>280</v>
      </c>
      <c r="Z39">
        <v>300</v>
      </c>
      <c r="AA39">
        <v>190</v>
      </c>
      <c r="AB39">
        <v>210</v>
      </c>
      <c r="AC39">
        <v>210</v>
      </c>
      <c r="AD39">
        <v>242.5</v>
      </c>
      <c r="AE39">
        <v>300</v>
      </c>
      <c r="AF39">
        <v>190</v>
      </c>
      <c r="AG39">
        <v>220</v>
      </c>
      <c r="AH39">
        <v>160</v>
      </c>
      <c r="AI39">
        <v>145</v>
      </c>
      <c r="AJ39" t="s">
        <v>21</v>
      </c>
      <c r="AK39">
        <v>130</v>
      </c>
      <c r="AL39">
        <v>140</v>
      </c>
      <c r="AM39">
        <v>165</v>
      </c>
      <c r="AN39">
        <v>145</v>
      </c>
      <c r="AO39">
        <v>200</v>
      </c>
      <c r="AP39">
        <v>235</v>
      </c>
      <c r="AQ39">
        <v>140</v>
      </c>
      <c r="AR39">
        <v>130</v>
      </c>
      <c r="AS39">
        <v>267.5</v>
      </c>
      <c r="AT39">
        <v>230</v>
      </c>
      <c r="AU39">
        <v>260</v>
      </c>
      <c r="AV39" t="s">
        <v>21</v>
      </c>
      <c r="AW39">
        <v>140</v>
      </c>
      <c r="AX39">
        <v>135</v>
      </c>
      <c r="AY39">
        <v>110</v>
      </c>
      <c r="AZ39">
        <v>145</v>
      </c>
      <c r="BA39">
        <v>140</v>
      </c>
      <c r="BB39">
        <v>120</v>
      </c>
      <c r="BC39">
        <v>145</v>
      </c>
      <c r="BD39">
        <v>120</v>
      </c>
      <c r="BE39">
        <v>120</v>
      </c>
      <c r="BF39">
        <v>135</v>
      </c>
      <c r="BG39">
        <v>115</v>
      </c>
      <c r="BH39">
        <v>190</v>
      </c>
    </row>
    <row r="40" spans="1:60" x14ac:dyDescent="0.25">
      <c r="B40" s="1">
        <v>36404</v>
      </c>
      <c r="C40">
        <v>240</v>
      </c>
      <c r="D40">
        <v>310</v>
      </c>
      <c r="E40">
        <v>210</v>
      </c>
      <c r="F40">
        <v>210</v>
      </c>
      <c r="G40">
        <v>260</v>
      </c>
      <c r="H40">
        <v>290</v>
      </c>
      <c r="I40">
        <v>205</v>
      </c>
      <c r="J40">
        <v>340</v>
      </c>
      <c r="K40">
        <v>340</v>
      </c>
      <c r="L40">
        <v>280</v>
      </c>
      <c r="M40">
        <v>370</v>
      </c>
      <c r="N40">
        <v>310</v>
      </c>
      <c r="O40">
        <v>340</v>
      </c>
      <c r="P40">
        <v>210</v>
      </c>
      <c r="Q40">
        <v>170</v>
      </c>
      <c r="R40">
        <v>200</v>
      </c>
      <c r="S40">
        <v>245</v>
      </c>
      <c r="T40">
        <v>165</v>
      </c>
      <c r="U40">
        <v>282.5</v>
      </c>
      <c r="V40">
        <v>270</v>
      </c>
      <c r="W40">
        <v>200</v>
      </c>
      <c r="X40">
        <v>215</v>
      </c>
      <c r="Y40">
        <v>270</v>
      </c>
      <c r="Z40">
        <v>330</v>
      </c>
      <c r="AA40">
        <v>190</v>
      </c>
      <c r="AB40">
        <v>215</v>
      </c>
      <c r="AC40">
        <v>210</v>
      </c>
      <c r="AD40">
        <v>250</v>
      </c>
      <c r="AE40">
        <v>310</v>
      </c>
      <c r="AF40">
        <v>190</v>
      </c>
      <c r="AG40">
        <v>220</v>
      </c>
      <c r="AH40">
        <v>165</v>
      </c>
      <c r="AI40">
        <v>150</v>
      </c>
      <c r="AJ40">
        <v>160</v>
      </c>
      <c r="AK40">
        <v>130</v>
      </c>
      <c r="AL40">
        <v>135</v>
      </c>
      <c r="AM40">
        <v>165</v>
      </c>
      <c r="AN40">
        <v>150</v>
      </c>
      <c r="AO40">
        <v>205</v>
      </c>
      <c r="AP40">
        <v>247.5</v>
      </c>
      <c r="AQ40">
        <v>150</v>
      </c>
      <c r="AR40">
        <v>130</v>
      </c>
      <c r="AS40">
        <v>270</v>
      </c>
      <c r="AT40">
        <v>230</v>
      </c>
      <c r="AU40">
        <v>260</v>
      </c>
      <c r="AV40">
        <v>125</v>
      </c>
      <c r="AW40">
        <v>140</v>
      </c>
      <c r="AX40">
        <v>135</v>
      </c>
      <c r="AY40">
        <v>110</v>
      </c>
      <c r="AZ40">
        <v>147.5</v>
      </c>
      <c r="BA40">
        <v>140</v>
      </c>
      <c r="BB40">
        <v>125</v>
      </c>
      <c r="BC40">
        <v>145</v>
      </c>
      <c r="BD40">
        <v>125</v>
      </c>
      <c r="BE40">
        <v>125</v>
      </c>
      <c r="BF40">
        <v>135</v>
      </c>
      <c r="BG40">
        <v>115</v>
      </c>
      <c r="BH40">
        <v>200</v>
      </c>
    </row>
    <row r="41" spans="1:60" x14ac:dyDescent="0.25">
      <c r="B41" s="1">
        <v>36495</v>
      </c>
      <c r="C41">
        <v>240</v>
      </c>
      <c r="D41">
        <v>320</v>
      </c>
      <c r="E41">
        <v>215</v>
      </c>
      <c r="F41">
        <v>200</v>
      </c>
      <c r="G41">
        <v>270</v>
      </c>
      <c r="H41">
        <v>340</v>
      </c>
      <c r="I41">
        <v>210</v>
      </c>
      <c r="J41">
        <v>340</v>
      </c>
      <c r="K41">
        <v>350</v>
      </c>
      <c r="L41">
        <v>300</v>
      </c>
      <c r="M41">
        <v>380</v>
      </c>
      <c r="N41">
        <v>330</v>
      </c>
      <c r="O41">
        <v>350</v>
      </c>
      <c r="P41">
        <v>210</v>
      </c>
      <c r="Q41">
        <v>170</v>
      </c>
      <c r="R41">
        <v>200</v>
      </c>
      <c r="S41">
        <v>250</v>
      </c>
      <c r="T41">
        <v>165</v>
      </c>
      <c r="U41">
        <v>280</v>
      </c>
      <c r="V41">
        <v>285</v>
      </c>
      <c r="W41">
        <v>200</v>
      </c>
      <c r="X41">
        <v>220</v>
      </c>
      <c r="Y41">
        <v>290</v>
      </c>
      <c r="Z41">
        <v>337.5</v>
      </c>
      <c r="AA41">
        <v>190</v>
      </c>
      <c r="AB41">
        <v>220</v>
      </c>
      <c r="AC41">
        <v>210</v>
      </c>
      <c r="AD41">
        <v>300</v>
      </c>
      <c r="AE41">
        <v>320</v>
      </c>
      <c r="AF41">
        <v>200</v>
      </c>
      <c r="AG41">
        <v>205</v>
      </c>
      <c r="AH41">
        <v>175</v>
      </c>
      <c r="AI41">
        <v>150</v>
      </c>
      <c r="AJ41" t="s">
        <v>21</v>
      </c>
      <c r="AK41">
        <v>130</v>
      </c>
      <c r="AL41">
        <v>137.5</v>
      </c>
      <c r="AM41">
        <v>170</v>
      </c>
      <c r="AN41">
        <v>150</v>
      </c>
      <c r="AO41">
        <v>210</v>
      </c>
      <c r="AP41">
        <v>255</v>
      </c>
      <c r="AQ41">
        <v>145</v>
      </c>
      <c r="AR41">
        <v>135</v>
      </c>
      <c r="AS41">
        <v>270</v>
      </c>
      <c r="AT41">
        <v>235</v>
      </c>
      <c r="AU41">
        <v>275</v>
      </c>
      <c r="AV41" t="s">
        <v>21</v>
      </c>
      <c r="AW41">
        <v>140</v>
      </c>
      <c r="AX41">
        <v>135</v>
      </c>
      <c r="AY41">
        <v>115</v>
      </c>
      <c r="AZ41">
        <v>140</v>
      </c>
      <c r="BA41">
        <v>140</v>
      </c>
      <c r="BB41">
        <v>122.5</v>
      </c>
      <c r="BC41">
        <v>141</v>
      </c>
      <c r="BD41">
        <v>123.5</v>
      </c>
      <c r="BE41">
        <v>125</v>
      </c>
      <c r="BF41">
        <v>140</v>
      </c>
      <c r="BG41">
        <v>115</v>
      </c>
      <c r="BH41">
        <v>200</v>
      </c>
    </row>
    <row r="42" spans="1:60" x14ac:dyDescent="0.25">
      <c r="B42" s="1">
        <v>36586</v>
      </c>
      <c r="C42">
        <v>250</v>
      </c>
      <c r="D42">
        <v>330</v>
      </c>
      <c r="E42">
        <v>220</v>
      </c>
      <c r="F42">
        <v>212.5</v>
      </c>
      <c r="G42">
        <v>260</v>
      </c>
      <c r="H42">
        <v>350</v>
      </c>
      <c r="I42">
        <v>220</v>
      </c>
      <c r="J42">
        <v>355</v>
      </c>
      <c r="K42">
        <v>360</v>
      </c>
      <c r="L42">
        <v>300</v>
      </c>
      <c r="M42">
        <v>390</v>
      </c>
      <c r="N42">
        <v>330</v>
      </c>
      <c r="O42">
        <v>360</v>
      </c>
      <c r="P42">
        <v>220</v>
      </c>
      <c r="Q42">
        <v>180</v>
      </c>
      <c r="R42">
        <v>200</v>
      </c>
      <c r="S42">
        <v>250</v>
      </c>
      <c r="T42">
        <v>170</v>
      </c>
      <c r="U42">
        <v>300</v>
      </c>
      <c r="V42">
        <v>280</v>
      </c>
      <c r="W42">
        <v>210</v>
      </c>
      <c r="X42">
        <v>225</v>
      </c>
      <c r="Y42">
        <v>290</v>
      </c>
      <c r="Z42">
        <v>340</v>
      </c>
      <c r="AA42">
        <v>200</v>
      </c>
      <c r="AB42">
        <v>225</v>
      </c>
      <c r="AC42">
        <v>220</v>
      </c>
      <c r="AD42">
        <v>250</v>
      </c>
      <c r="AE42">
        <v>350</v>
      </c>
      <c r="AF42">
        <v>200</v>
      </c>
      <c r="AG42">
        <v>220</v>
      </c>
      <c r="AH42">
        <v>170</v>
      </c>
      <c r="AI42">
        <v>150</v>
      </c>
      <c r="AJ42" t="s">
        <v>21</v>
      </c>
      <c r="AK42">
        <v>135</v>
      </c>
      <c r="AL42">
        <v>140</v>
      </c>
      <c r="AM42">
        <v>170</v>
      </c>
      <c r="AN42">
        <v>150</v>
      </c>
      <c r="AO42">
        <v>210</v>
      </c>
      <c r="AP42">
        <v>255</v>
      </c>
      <c r="AQ42">
        <v>150</v>
      </c>
      <c r="AR42">
        <v>135</v>
      </c>
      <c r="AS42">
        <v>280</v>
      </c>
      <c r="AT42">
        <v>235</v>
      </c>
      <c r="AU42">
        <v>280</v>
      </c>
      <c r="AV42">
        <v>130</v>
      </c>
      <c r="AW42">
        <v>144</v>
      </c>
      <c r="AX42">
        <v>140</v>
      </c>
      <c r="AY42">
        <v>110</v>
      </c>
      <c r="AZ42">
        <v>145</v>
      </c>
      <c r="BA42">
        <v>140</v>
      </c>
      <c r="BB42">
        <v>125</v>
      </c>
      <c r="BC42">
        <v>150</v>
      </c>
      <c r="BD42">
        <v>125</v>
      </c>
      <c r="BE42">
        <v>125</v>
      </c>
      <c r="BF42">
        <v>145</v>
      </c>
      <c r="BG42">
        <v>115</v>
      </c>
      <c r="BH42">
        <v>200</v>
      </c>
    </row>
    <row r="43" spans="1:60" x14ac:dyDescent="0.25">
      <c r="B43" s="1">
        <v>36678</v>
      </c>
      <c r="C43">
        <v>250</v>
      </c>
      <c r="D43">
        <v>340</v>
      </c>
      <c r="E43">
        <v>230</v>
      </c>
      <c r="F43">
        <v>220</v>
      </c>
      <c r="G43">
        <v>270</v>
      </c>
      <c r="H43">
        <v>370</v>
      </c>
      <c r="I43">
        <v>220</v>
      </c>
      <c r="J43">
        <v>350</v>
      </c>
      <c r="K43">
        <v>370</v>
      </c>
      <c r="L43">
        <v>310</v>
      </c>
      <c r="M43">
        <v>400</v>
      </c>
      <c r="N43">
        <v>340</v>
      </c>
      <c r="O43">
        <v>375</v>
      </c>
      <c r="P43">
        <v>220</v>
      </c>
      <c r="Q43">
        <v>180</v>
      </c>
      <c r="R43">
        <v>210</v>
      </c>
      <c r="S43">
        <v>280</v>
      </c>
      <c r="T43">
        <v>170</v>
      </c>
      <c r="U43">
        <v>300</v>
      </c>
      <c r="V43">
        <v>295</v>
      </c>
      <c r="W43">
        <v>210</v>
      </c>
      <c r="X43">
        <v>230</v>
      </c>
      <c r="Y43">
        <v>290</v>
      </c>
      <c r="Z43">
        <v>350</v>
      </c>
      <c r="AA43">
        <v>200</v>
      </c>
      <c r="AB43">
        <v>230</v>
      </c>
      <c r="AC43">
        <v>225</v>
      </c>
      <c r="AD43">
        <v>287.5</v>
      </c>
      <c r="AE43">
        <v>350</v>
      </c>
      <c r="AF43">
        <v>205</v>
      </c>
      <c r="AG43">
        <v>225</v>
      </c>
      <c r="AH43">
        <v>170</v>
      </c>
      <c r="AI43">
        <v>155</v>
      </c>
      <c r="AJ43" t="s">
        <v>21</v>
      </c>
      <c r="AK43">
        <v>135</v>
      </c>
      <c r="AL43">
        <v>140</v>
      </c>
      <c r="AM43">
        <v>165</v>
      </c>
      <c r="AN43">
        <v>157.5</v>
      </c>
      <c r="AO43">
        <v>215</v>
      </c>
      <c r="AP43">
        <v>250</v>
      </c>
      <c r="AQ43">
        <v>155</v>
      </c>
      <c r="AR43">
        <v>135</v>
      </c>
      <c r="AS43">
        <v>290</v>
      </c>
      <c r="AT43">
        <v>240</v>
      </c>
      <c r="AU43">
        <v>280</v>
      </c>
      <c r="AV43">
        <v>140</v>
      </c>
      <c r="AW43">
        <v>140</v>
      </c>
      <c r="AX43">
        <v>140</v>
      </c>
      <c r="AY43">
        <v>107.5</v>
      </c>
      <c r="AZ43">
        <v>145</v>
      </c>
      <c r="BA43">
        <v>140</v>
      </c>
      <c r="BB43">
        <v>120</v>
      </c>
      <c r="BC43">
        <v>145</v>
      </c>
      <c r="BD43">
        <v>125</v>
      </c>
      <c r="BE43">
        <v>125</v>
      </c>
      <c r="BF43">
        <v>144.5</v>
      </c>
      <c r="BG43">
        <v>115</v>
      </c>
      <c r="BH43">
        <v>210</v>
      </c>
    </row>
    <row r="44" spans="1:60" x14ac:dyDescent="0.25">
      <c r="B44" s="1">
        <v>36770</v>
      </c>
      <c r="C44">
        <v>260</v>
      </c>
      <c r="D44">
        <v>340</v>
      </c>
      <c r="E44">
        <v>230</v>
      </c>
      <c r="F44">
        <v>220</v>
      </c>
      <c r="G44">
        <v>270</v>
      </c>
      <c r="H44">
        <v>340</v>
      </c>
      <c r="I44">
        <v>220</v>
      </c>
      <c r="J44">
        <v>350</v>
      </c>
      <c r="K44">
        <v>360</v>
      </c>
      <c r="L44">
        <v>310</v>
      </c>
      <c r="M44">
        <v>410</v>
      </c>
      <c r="N44">
        <v>350</v>
      </c>
      <c r="O44">
        <v>360</v>
      </c>
      <c r="P44">
        <v>225</v>
      </c>
      <c r="Q44">
        <v>180</v>
      </c>
      <c r="R44">
        <v>212.5</v>
      </c>
      <c r="S44">
        <v>280</v>
      </c>
      <c r="T44">
        <v>175</v>
      </c>
      <c r="U44">
        <v>300</v>
      </c>
      <c r="V44">
        <v>295</v>
      </c>
      <c r="W44">
        <v>220</v>
      </c>
      <c r="X44">
        <v>230</v>
      </c>
      <c r="Y44">
        <v>300</v>
      </c>
      <c r="Z44">
        <v>340</v>
      </c>
      <c r="AA44">
        <v>210</v>
      </c>
      <c r="AB44">
        <v>235</v>
      </c>
      <c r="AC44">
        <v>225</v>
      </c>
      <c r="AD44">
        <v>310</v>
      </c>
      <c r="AE44">
        <v>350</v>
      </c>
      <c r="AF44">
        <v>210</v>
      </c>
      <c r="AG44">
        <v>240</v>
      </c>
      <c r="AH44">
        <v>170</v>
      </c>
      <c r="AI44">
        <v>150</v>
      </c>
      <c r="AJ44" t="s">
        <v>21</v>
      </c>
      <c r="AK44">
        <v>135</v>
      </c>
      <c r="AL44">
        <v>145</v>
      </c>
      <c r="AM44">
        <v>170</v>
      </c>
      <c r="AN44">
        <v>150</v>
      </c>
      <c r="AO44">
        <v>220</v>
      </c>
      <c r="AP44">
        <v>255</v>
      </c>
      <c r="AQ44">
        <v>157.5</v>
      </c>
      <c r="AR44">
        <v>140</v>
      </c>
      <c r="AS44">
        <v>290</v>
      </c>
      <c r="AT44">
        <v>245</v>
      </c>
      <c r="AU44">
        <v>280</v>
      </c>
      <c r="AV44">
        <v>140</v>
      </c>
      <c r="AW44">
        <v>147.5</v>
      </c>
      <c r="AX44">
        <v>140</v>
      </c>
      <c r="AY44">
        <v>115</v>
      </c>
      <c r="AZ44">
        <v>150</v>
      </c>
      <c r="BA44">
        <v>145</v>
      </c>
      <c r="BB44">
        <v>120</v>
      </c>
      <c r="BC44">
        <v>150</v>
      </c>
      <c r="BD44">
        <v>125</v>
      </c>
      <c r="BE44">
        <v>130</v>
      </c>
      <c r="BF44">
        <v>140</v>
      </c>
      <c r="BG44">
        <v>120</v>
      </c>
      <c r="BH44">
        <v>210</v>
      </c>
    </row>
    <row r="45" spans="1:60" x14ac:dyDescent="0.25">
      <c r="B45" s="1">
        <v>36861</v>
      </c>
      <c r="C45">
        <v>260</v>
      </c>
      <c r="D45">
        <v>350</v>
      </c>
      <c r="E45">
        <v>240</v>
      </c>
      <c r="F45">
        <v>220</v>
      </c>
      <c r="G45">
        <v>280</v>
      </c>
      <c r="H45">
        <v>395</v>
      </c>
      <c r="I45">
        <v>225</v>
      </c>
      <c r="J45">
        <v>370</v>
      </c>
      <c r="K45">
        <v>377.5</v>
      </c>
      <c r="L45">
        <v>320</v>
      </c>
      <c r="M45">
        <v>420</v>
      </c>
      <c r="N45">
        <v>350</v>
      </c>
      <c r="O45">
        <v>370</v>
      </c>
      <c r="P45">
        <v>230</v>
      </c>
      <c r="Q45">
        <v>180</v>
      </c>
      <c r="R45">
        <v>215</v>
      </c>
      <c r="S45">
        <v>300</v>
      </c>
      <c r="T45">
        <v>175</v>
      </c>
      <c r="U45">
        <v>300</v>
      </c>
      <c r="V45">
        <v>400</v>
      </c>
      <c r="W45">
        <v>225</v>
      </c>
      <c r="X45">
        <v>235</v>
      </c>
      <c r="Y45">
        <v>297.5</v>
      </c>
      <c r="Z45">
        <v>360</v>
      </c>
      <c r="AA45">
        <v>210</v>
      </c>
      <c r="AB45">
        <v>235</v>
      </c>
      <c r="AC45">
        <v>230</v>
      </c>
      <c r="AD45">
        <v>350</v>
      </c>
      <c r="AE45">
        <v>340</v>
      </c>
      <c r="AF45">
        <v>215</v>
      </c>
      <c r="AG45">
        <v>230</v>
      </c>
      <c r="AH45">
        <v>190</v>
      </c>
      <c r="AI45">
        <v>160</v>
      </c>
      <c r="AJ45" t="s">
        <v>21</v>
      </c>
      <c r="AK45">
        <v>137.5</v>
      </c>
      <c r="AL45">
        <v>145</v>
      </c>
      <c r="AM45">
        <v>170</v>
      </c>
      <c r="AN45">
        <v>150</v>
      </c>
      <c r="AO45">
        <v>220</v>
      </c>
      <c r="AP45">
        <v>260</v>
      </c>
      <c r="AQ45">
        <v>160</v>
      </c>
      <c r="AR45">
        <v>140</v>
      </c>
      <c r="AS45">
        <v>285</v>
      </c>
      <c r="AT45">
        <v>240</v>
      </c>
      <c r="AU45">
        <v>290</v>
      </c>
      <c r="AV45">
        <v>140</v>
      </c>
      <c r="AW45">
        <v>145</v>
      </c>
      <c r="AX45">
        <v>140</v>
      </c>
      <c r="AY45">
        <v>110</v>
      </c>
      <c r="AZ45">
        <v>150</v>
      </c>
      <c r="BA45">
        <v>145</v>
      </c>
      <c r="BB45">
        <v>125</v>
      </c>
      <c r="BC45">
        <v>150</v>
      </c>
      <c r="BD45">
        <v>127.5</v>
      </c>
      <c r="BE45">
        <v>130</v>
      </c>
      <c r="BF45">
        <v>140</v>
      </c>
      <c r="BG45">
        <v>120</v>
      </c>
      <c r="BH45">
        <v>220</v>
      </c>
    </row>
    <row r="46" spans="1:60" x14ac:dyDescent="0.25">
      <c r="A46" s="3"/>
      <c r="B46" s="1">
        <v>36951</v>
      </c>
      <c r="C46">
        <v>270</v>
      </c>
      <c r="D46">
        <v>350</v>
      </c>
      <c r="E46">
        <v>240</v>
      </c>
      <c r="F46">
        <v>220</v>
      </c>
      <c r="G46">
        <v>275</v>
      </c>
      <c r="H46">
        <v>365</v>
      </c>
      <c r="I46">
        <v>230</v>
      </c>
      <c r="J46">
        <v>362.5</v>
      </c>
      <c r="K46">
        <v>370</v>
      </c>
      <c r="L46">
        <v>320</v>
      </c>
      <c r="M46">
        <v>430</v>
      </c>
      <c r="N46">
        <v>350</v>
      </c>
      <c r="O46">
        <v>380</v>
      </c>
      <c r="P46">
        <v>230</v>
      </c>
      <c r="Q46">
        <v>185</v>
      </c>
      <c r="R46">
        <v>210</v>
      </c>
      <c r="S46">
        <v>292.5</v>
      </c>
      <c r="T46">
        <v>175</v>
      </c>
      <c r="U46">
        <v>310</v>
      </c>
      <c r="V46">
        <v>305</v>
      </c>
      <c r="W46">
        <v>220</v>
      </c>
      <c r="X46">
        <v>240</v>
      </c>
      <c r="Y46">
        <v>300</v>
      </c>
      <c r="Z46">
        <v>370</v>
      </c>
      <c r="AA46">
        <v>210</v>
      </c>
      <c r="AB46">
        <v>240</v>
      </c>
      <c r="AC46">
        <v>230</v>
      </c>
      <c r="AD46">
        <v>325</v>
      </c>
      <c r="AE46">
        <v>350</v>
      </c>
      <c r="AF46">
        <v>215</v>
      </c>
      <c r="AG46">
        <v>210</v>
      </c>
      <c r="AH46">
        <v>180</v>
      </c>
      <c r="AI46">
        <v>150</v>
      </c>
      <c r="AJ46">
        <v>167.5</v>
      </c>
      <c r="AK46">
        <v>140</v>
      </c>
      <c r="AL46">
        <v>140</v>
      </c>
      <c r="AM46">
        <v>175</v>
      </c>
      <c r="AN46">
        <v>150</v>
      </c>
      <c r="AO46">
        <v>216.5</v>
      </c>
      <c r="AP46">
        <v>265</v>
      </c>
      <c r="AQ46">
        <v>160</v>
      </c>
      <c r="AR46">
        <v>140</v>
      </c>
      <c r="AS46">
        <v>300</v>
      </c>
      <c r="AT46">
        <v>240</v>
      </c>
      <c r="AU46">
        <v>290</v>
      </c>
      <c r="AV46">
        <v>150</v>
      </c>
      <c r="AW46">
        <v>150</v>
      </c>
      <c r="AX46">
        <v>145</v>
      </c>
      <c r="AY46">
        <v>130</v>
      </c>
      <c r="AZ46">
        <v>150</v>
      </c>
      <c r="BA46">
        <v>145</v>
      </c>
      <c r="BB46">
        <v>125</v>
      </c>
      <c r="BC46">
        <v>155</v>
      </c>
      <c r="BD46">
        <v>125</v>
      </c>
      <c r="BE46">
        <v>130</v>
      </c>
      <c r="BF46">
        <v>150</v>
      </c>
      <c r="BG46">
        <v>120</v>
      </c>
      <c r="BH46">
        <v>220</v>
      </c>
    </row>
    <row r="47" spans="1:60" x14ac:dyDescent="0.25">
      <c r="A47" s="3"/>
      <c r="B47" s="1">
        <v>37043</v>
      </c>
      <c r="C47">
        <v>265</v>
      </c>
      <c r="D47">
        <v>350</v>
      </c>
      <c r="E47">
        <v>245</v>
      </c>
      <c r="F47">
        <v>227.5</v>
      </c>
      <c r="G47">
        <v>285</v>
      </c>
      <c r="H47">
        <v>390</v>
      </c>
      <c r="I47">
        <v>230</v>
      </c>
      <c r="J47">
        <v>360</v>
      </c>
      <c r="K47">
        <v>380</v>
      </c>
      <c r="L47">
        <v>320</v>
      </c>
      <c r="M47">
        <v>425</v>
      </c>
      <c r="N47">
        <v>350</v>
      </c>
      <c r="O47">
        <v>380</v>
      </c>
      <c r="P47">
        <v>230</v>
      </c>
      <c r="Q47">
        <v>190</v>
      </c>
      <c r="R47">
        <v>215</v>
      </c>
      <c r="S47">
        <v>280</v>
      </c>
      <c r="T47">
        <v>180</v>
      </c>
      <c r="U47">
        <v>325</v>
      </c>
      <c r="V47">
        <v>320</v>
      </c>
      <c r="W47">
        <v>220</v>
      </c>
      <c r="X47">
        <v>240</v>
      </c>
      <c r="Y47">
        <v>300</v>
      </c>
      <c r="Z47">
        <v>350</v>
      </c>
      <c r="AA47">
        <v>210</v>
      </c>
      <c r="AB47">
        <v>235</v>
      </c>
      <c r="AC47">
        <v>240</v>
      </c>
      <c r="AD47">
        <v>310</v>
      </c>
      <c r="AE47">
        <v>350</v>
      </c>
      <c r="AF47">
        <v>215</v>
      </c>
      <c r="AG47">
        <v>220</v>
      </c>
      <c r="AH47">
        <v>175</v>
      </c>
      <c r="AI47">
        <v>155</v>
      </c>
      <c r="AJ47" t="s">
        <v>21</v>
      </c>
      <c r="AK47">
        <v>137.5</v>
      </c>
      <c r="AL47">
        <v>145</v>
      </c>
      <c r="AM47">
        <v>175</v>
      </c>
      <c r="AN47">
        <v>155</v>
      </c>
      <c r="AO47">
        <v>220</v>
      </c>
      <c r="AP47">
        <v>255</v>
      </c>
      <c r="AQ47">
        <v>160</v>
      </c>
      <c r="AR47">
        <v>145</v>
      </c>
      <c r="AS47">
        <v>295</v>
      </c>
      <c r="AT47">
        <v>245</v>
      </c>
      <c r="AU47">
        <v>295</v>
      </c>
      <c r="AV47" t="s">
        <v>21</v>
      </c>
      <c r="AW47">
        <v>147.5</v>
      </c>
      <c r="AX47">
        <v>140</v>
      </c>
      <c r="AY47">
        <v>105</v>
      </c>
      <c r="AZ47">
        <v>170</v>
      </c>
      <c r="BA47">
        <v>145</v>
      </c>
      <c r="BB47">
        <v>120</v>
      </c>
      <c r="BC47">
        <v>150</v>
      </c>
      <c r="BD47">
        <v>130</v>
      </c>
      <c r="BE47">
        <v>130</v>
      </c>
      <c r="BF47">
        <v>145</v>
      </c>
      <c r="BG47">
        <v>120</v>
      </c>
      <c r="BH47">
        <v>220</v>
      </c>
    </row>
    <row r="48" spans="1:60" x14ac:dyDescent="0.25">
      <c r="A48" s="3"/>
      <c r="B48" s="1">
        <v>37135</v>
      </c>
      <c r="C48">
        <v>270</v>
      </c>
      <c r="D48">
        <v>350</v>
      </c>
      <c r="E48">
        <v>240</v>
      </c>
      <c r="F48">
        <v>230</v>
      </c>
      <c r="G48">
        <v>290</v>
      </c>
      <c r="H48">
        <v>370</v>
      </c>
      <c r="I48">
        <v>230</v>
      </c>
      <c r="J48">
        <v>350</v>
      </c>
      <c r="K48">
        <v>365</v>
      </c>
      <c r="L48">
        <v>320</v>
      </c>
      <c r="M48">
        <v>420</v>
      </c>
      <c r="N48">
        <v>340</v>
      </c>
      <c r="O48">
        <v>380</v>
      </c>
      <c r="P48">
        <v>230</v>
      </c>
      <c r="Q48">
        <v>185</v>
      </c>
      <c r="R48">
        <v>215</v>
      </c>
      <c r="S48">
        <v>300</v>
      </c>
      <c r="T48">
        <v>175</v>
      </c>
      <c r="U48">
        <v>310</v>
      </c>
      <c r="V48">
        <v>275</v>
      </c>
      <c r="W48">
        <v>230</v>
      </c>
      <c r="X48">
        <v>240</v>
      </c>
      <c r="Y48">
        <v>300</v>
      </c>
      <c r="Z48">
        <v>350</v>
      </c>
      <c r="AA48">
        <v>215</v>
      </c>
      <c r="AB48">
        <v>235</v>
      </c>
      <c r="AC48">
        <v>235</v>
      </c>
      <c r="AD48">
        <v>300</v>
      </c>
      <c r="AE48">
        <v>360</v>
      </c>
      <c r="AF48">
        <v>210</v>
      </c>
      <c r="AG48">
        <v>262.5</v>
      </c>
      <c r="AH48">
        <v>175</v>
      </c>
      <c r="AI48">
        <v>160</v>
      </c>
      <c r="AJ48" t="s">
        <v>21</v>
      </c>
      <c r="AK48">
        <v>140</v>
      </c>
      <c r="AL48">
        <v>145</v>
      </c>
      <c r="AM48">
        <v>175</v>
      </c>
      <c r="AN48">
        <v>160</v>
      </c>
      <c r="AO48">
        <v>210</v>
      </c>
      <c r="AP48">
        <v>255</v>
      </c>
      <c r="AQ48">
        <v>160</v>
      </c>
      <c r="AR48">
        <v>145</v>
      </c>
      <c r="AS48">
        <v>295</v>
      </c>
      <c r="AT48">
        <v>245</v>
      </c>
      <c r="AU48">
        <v>290</v>
      </c>
      <c r="AV48">
        <v>140</v>
      </c>
      <c r="AW48">
        <v>145</v>
      </c>
      <c r="AX48">
        <v>150</v>
      </c>
      <c r="AY48">
        <v>120</v>
      </c>
      <c r="AZ48">
        <v>150</v>
      </c>
      <c r="BA48">
        <v>150</v>
      </c>
      <c r="BB48">
        <v>125</v>
      </c>
      <c r="BC48">
        <v>155</v>
      </c>
      <c r="BD48">
        <v>135</v>
      </c>
      <c r="BE48">
        <v>135</v>
      </c>
      <c r="BF48">
        <v>150</v>
      </c>
      <c r="BG48">
        <v>120</v>
      </c>
      <c r="BH48">
        <v>225</v>
      </c>
    </row>
    <row r="49" spans="1:60" x14ac:dyDescent="0.25">
      <c r="A49" s="3"/>
      <c r="B49" s="1">
        <v>37226</v>
      </c>
      <c r="C49">
        <v>270</v>
      </c>
      <c r="D49">
        <v>350</v>
      </c>
      <c r="E49">
        <v>240</v>
      </c>
      <c r="F49">
        <v>220</v>
      </c>
      <c r="G49">
        <v>275</v>
      </c>
      <c r="H49">
        <v>400</v>
      </c>
      <c r="I49">
        <v>230</v>
      </c>
      <c r="J49">
        <v>350</v>
      </c>
      <c r="K49">
        <v>360</v>
      </c>
      <c r="L49">
        <v>320</v>
      </c>
      <c r="M49">
        <v>410</v>
      </c>
      <c r="N49">
        <v>350</v>
      </c>
      <c r="O49">
        <v>370</v>
      </c>
      <c r="P49">
        <v>230</v>
      </c>
      <c r="Q49">
        <v>185</v>
      </c>
      <c r="R49">
        <v>210</v>
      </c>
      <c r="S49">
        <v>280</v>
      </c>
      <c r="T49">
        <v>175</v>
      </c>
      <c r="U49">
        <v>315</v>
      </c>
      <c r="V49">
        <v>290</v>
      </c>
      <c r="W49">
        <v>222.5</v>
      </c>
      <c r="X49">
        <v>235</v>
      </c>
      <c r="Y49">
        <v>292.5</v>
      </c>
      <c r="Z49">
        <v>360</v>
      </c>
      <c r="AA49">
        <v>215</v>
      </c>
      <c r="AB49">
        <v>230</v>
      </c>
      <c r="AC49">
        <v>230</v>
      </c>
      <c r="AD49">
        <v>280</v>
      </c>
      <c r="AE49">
        <v>365</v>
      </c>
      <c r="AF49">
        <v>220</v>
      </c>
      <c r="AG49">
        <v>272.5</v>
      </c>
      <c r="AH49">
        <v>175</v>
      </c>
      <c r="AI49">
        <v>165</v>
      </c>
      <c r="AJ49" t="s">
        <v>21</v>
      </c>
      <c r="AK49">
        <v>142.5</v>
      </c>
      <c r="AL49">
        <v>150</v>
      </c>
      <c r="AM49">
        <v>175</v>
      </c>
      <c r="AN49">
        <v>160</v>
      </c>
      <c r="AO49">
        <v>220</v>
      </c>
      <c r="AP49">
        <v>255</v>
      </c>
      <c r="AQ49">
        <v>165</v>
      </c>
      <c r="AR49">
        <v>147.5</v>
      </c>
      <c r="AS49">
        <v>285</v>
      </c>
      <c r="AT49">
        <v>250</v>
      </c>
      <c r="AU49">
        <v>300</v>
      </c>
      <c r="AV49" t="s">
        <v>21</v>
      </c>
      <c r="AW49">
        <v>150</v>
      </c>
      <c r="AX49">
        <v>145</v>
      </c>
      <c r="AY49">
        <v>120</v>
      </c>
      <c r="AZ49">
        <v>152.5</v>
      </c>
      <c r="BA49">
        <v>150</v>
      </c>
      <c r="BB49">
        <v>125.5</v>
      </c>
      <c r="BC49">
        <v>155</v>
      </c>
      <c r="BD49">
        <v>130</v>
      </c>
      <c r="BE49">
        <v>135</v>
      </c>
      <c r="BF49">
        <v>155</v>
      </c>
      <c r="BG49">
        <v>120</v>
      </c>
      <c r="BH49">
        <v>230</v>
      </c>
    </row>
    <row r="50" spans="1:60" x14ac:dyDescent="0.25">
      <c r="A50" s="3"/>
      <c r="B50" s="1">
        <v>37316</v>
      </c>
      <c r="C50">
        <v>270</v>
      </c>
      <c r="D50">
        <v>340</v>
      </c>
      <c r="E50">
        <v>235</v>
      </c>
      <c r="F50">
        <v>225</v>
      </c>
      <c r="G50">
        <v>270</v>
      </c>
      <c r="H50">
        <v>370</v>
      </c>
      <c r="I50">
        <v>235</v>
      </c>
      <c r="J50">
        <v>340</v>
      </c>
      <c r="K50">
        <v>350</v>
      </c>
      <c r="L50">
        <v>322.5</v>
      </c>
      <c r="M50">
        <v>410</v>
      </c>
      <c r="N50">
        <v>350</v>
      </c>
      <c r="O50">
        <v>377.5</v>
      </c>
      <c r="P50">
        <v>230</v>
      </c>
      <c r="Q50">
        <v>190</v>
      </c>
      <c r="R50">
        <v>210</v>
      </c>
      <c r="S50">
        <v>300</v>
      </c>
      <c r="T50">
        <v>180</v>
      </c>
      <c r="U50">
        <v>310</v>
      </c>
      <c r="V50">
        <v>280</v>
      </c>
      <c r="W50">
        <v>225</v>
      </c>
      <c r="X50">
        <v>240</v>
      </c>
      <c r="Y50">
        <v>300</v>
      </c>
      <c r="Z50">
        <v>370</v>
      </c>
      <c r="AA50">
        <v>210</v>
      </c>
      <c r="AB50">
        <v>230</v>
      </c>
      <c r="AC50">
        <v>225</v>
      </c>
      <c r="AD50">
        <v>285</v>
      </c>
      <c r="AE50">
        <v>350</v>
      </c>
      <c r="AF50">
        <v>215</v>
      </c>
      <c r="AG50">
        <v>270</v>
      </c>
      <c r="AH50">
        <v>180</v>
      </c>
      <c r="AI50">
        <v>160</v>
      </c>
      <c r="AJ50" t="s">
        <v>21</v>
      </c>
      <c r="AK50">
        <v>145</v>
      </c>
      <c r="AL50">
        <v>145</v>
      </c>
      <c r="AM50">
        <v>180</v>
      </c>
      <c r="AN50">
        <v>155</v>
      </c>
      <c r="AO50">
        <v>210</v>
      </c>
      <c r="AP50">
        <v>260</v>
      </c>
      <c r="AQ50">
        <v>165</v>
      </c>
      <c r="AR50">
        <v>150</v>
      </c>
      <c r="AS50">
        <v>300</v>
      </c>
      <c r="AT50">
        <v>250</v>
      </c>
      <c r="AU50">
        <v>295</v>
      </c>
      <c r="AV50" t="s">
        <v>21</v>
      </c>
      <c r="AW50">
        <v>150</v>
      </c>
      <c r="AX50">
        <v>150</v>
      </c>
      <c r="AY50">
        <v>125</v>
      </c>
      <c r="AZ50">
        <v>160</v>
      </c>
      <c r="BA50">
        <v>150</v>
      </c>
      <c r="BB50">
        <v>120</v>
      </c>
      <c r="BC50">
        <v>160</v>
      </c>
      <c r="BD50">
        <v>140</v>
      </c>
      <c r="BE50">
        <v>140</v>
      </c>
      <c r="BF50">
        <v>160</v>
      </c>
      <c r="BG50">
        <v>125</v>
      </c>
      <c r="BH50">
        <v>220</v>
      </c>
    </row>
    <row r="51" spans="1:60" x14ac:dyDescent="0.25">
      <c r="A51" s="3"/>
      <c r="B51" s="1">
        <v>37408</v>
      </c>
      <c r="C51">
        <v>265</v>
      </c>
      <c r="D51">
        <v>350</v>
      </c>
      <c r="E51">
        <v>240</v>
      </c>
      <c r="F51">
        <v>220</v>
      </c>
      <c r="G51">
        <v>270</v>
      </c>
      <c r="H51">
        <v>385</v>
      </c>
      <c r="I51">
        <v>240</v>
      </c>
      <c r="J51">
        <v>345</v>
      </c>
      <c r="K51">
        <v>360</v>
      </c>
      <c r="L51">
        <v>330</v>
      </c>
      <c r="M51">
        <v>420</v>
      </c>
      <c r="N51">
        <v>350</v>
      </c>
      <c r="O51">
        <v>380</v>
      </c>
      <c r="P51">
        <v>230</v>
      </c>
      <c r="Q51">
        <v>190</v>
      </c>
      <c r="R51">
        <v>210</v>
      </c>
      <c r="S51">
        <v>300</v>
      </c>
      <c r="T51">
        <v>175</v>
      </c>
      <c r="U51">
        <v>320</v>
      </c>
      <c r="V51">
        <v>270</v>
      </c>
      <c r="W51">
        <v>225</v>
      </c>
      <c r="X51">
        <v>240</v>
      </c>
      <c r="Y51">
        <v>300</v>
      </c>
      <c r="Z51">
        <v>360</v>
      </c>
      <c r="AA51">
        <v>210</v>
      </c>
      <c r="AB51">
        <v>230</v>
      </c>
      <c r="AC51">
        <v>230</v>
      </c>
      <c r="AD51">
        <v>280</v>
      </c>
      <c r="AE51">
        <v>355</v>
      </c>
      <c r="AF51">
        <v>210</v>
      </c>
      <c r="AG51">
        <v>270</v>
      </c>
      <c r="AH51">
        <v>180</v>
      </c>
      <c r="AI51">
        <v>160</v>
      </c>
      <c r="AJ51" t="s">
        <v>21</v>
      </c>
      <c r="AK51">
        <v>145</v>
      </c>
      <c r="AL51">
        <v>150</v>
      </c>
      <c r="AM51">
        <v>185</v>
      </c>
      <c r="AN51">
        <v>160</v>
      </c>
      <c r="AO51">
        <v>210</v>
      </c>
      <c r="AP51">
        <v>270</v>
      </c>
      <c r="AQ51">
        <v>165</v>
      </c>
      <c r="AR51">
        <v>150</v>
      </c>
      <c r="AS51">
        <v>300</v>
      </c>
      <c r="AT51">
        <v>245</v>
      </c>
      <c r="AU51">
        <v>310</v>
      </c>
      <c r="AV51" t="s">
        <v>21</v>
      </c>
      <c r="AW51">
        <v>155</v>
      </c>
      <c r="AX51">
        <v>150</v>
      </c>
      <c r="AY51">
        <v>117.5</v>
      </c>
      <c r="AZ51">
        <v>167.5</v>
      </c>
      <c r="BA51">
        <v>155</v>
      </c>
      <c r="BB51">
        <v>130</v>
      </c>
      <c r="BC51">
        <v>160</v>
      </c>
      <c r="BD51">
        <v>140</v>
      </c>
      <c r="BE51">
        <v>140</v>
      </c>
      <c r="BF51">
        <v>160</v>
      </c>
      <c r="BG51">
        <v>125</v>
      </c>
      <c r="BH51">
        <v>220</v>
      </c>
    </row>
    <row r="52" spans="1:60" x14ac:dyDescent="0.25">
      <c r="A52" s="3"/>
      <c r="B52" s="1">
        <v>37500</v>
      </c>
      <c r="C52">
        <v>265</v>
      </c>
      <c r="D52">
        <v>340</v>
      </c>
      <c r="E52">
        <v>240</v>
      </c>
      <c r="F52">
        <v>220</v>
      </c>
      <c r="G52">
        <v>270</v>
      </c>
      <c r="H52">
        <v>360</v>
      </c>
      <c r="I52">
        <v>235</v>
      </c>
      <c r="J52">
        <v>350</v>
      </c>
      <c r="K52">
        <v>350</v>
      </c>
      <c r="L52">
        <v>315</v>
      </c>
      <c r="M52">
        <v>410</v>
      </c>
      <c r="N52">
        <v>340</v>
      </c>
      <c r="O52">
        <v>360</v>
      </c>
      <c r="P52">
        <v>230</v>
      </c>
      <c r="Q52">
        <v>190</v>
      </c>
      <c r="R52">
        <v>210</v>
      </c>
      <c r="S52">
        <v>280</v>
      </c>
      <c r="T52">
        <v>175</v>
      </c>
      <c r="U52">
        <v>310</v>
      </c>
      <c r="V52">
        <v>270</v>
      </c>
      <c r="W52">
        <v>220</v>
      </c>
      <c r="X52">
        <v>230</v>
      </c>
      <c r="Y52">
        <v>280</v>
      </c>
      <c r="Z52">
        <v>355</v>
      </c>
      <c r="AA52">
        <v>210</v>
      </c>
      <c r="AB52">
        <v>230</v>
      </c>
      <c r="AC52">
        <v>230</v>
      </c>
      <c r="AD52">
        <v>300</v>
      </c>
      <c r="AE52">
        <v>350</v>
      </c>
      <c r="AF52">
        <v>220</v>
      </c>
      <c r="AG52">
        <v>220</v>
      </c>
      <c r="AH52">
        <v>180</v>
      </c>
      <c r="AI52">
        <v>170</v>
      </c>
      <c r="AJ52" t="s">
        <v>21</v>
      </c>
      <c r="AK52">
        <v>150</v>
      </c>
      <c r="AL52">
        <v>145</v>
      </c>
      <c r="AM52">
        <v>180</v>
      </c>
      <c r="AN52">
        <v>160</v>
      </c>
      <c r="AO52">
        <v>210</v>
      </c>
      <c r="AP52">
        <v>260</v>
      </c>
      <c r="AQ52">
        <v>170</v>
      </c>
      <c r="AR52">
        <v>155</v>
      </c>
      <c r="AS52">
        <v>300</v>
      </c>
      <c r="AT52">
        <v>245</v>
      </c>
      <c r="AU52">
        <v>290</v>
      </c>
      <c r="AV52">
        <v>175</v>
      </c>
      <c r="AW52">
        <v>150</v>
      </c>
      <c r="AX52">
        <v>155</v>
      </c>
      <c r="AY52">
        <v>120</v>
      </c>
      <c r="AZ52">
        <v>170</v>
      </c>
      <c r="BA52">
        <v>155</v>
      </c>
      <c r="BB52">
        <v>130</v>
      </c>
      <c r="BC52">
        <v>160</v>
      </c>
      <c r="BD52">
        <v>140</v>
      </c>
      <c r="BE52">
        <v>140</v>
      </c>
      <c r="BF52">
        <v>160</v>
      </c>
      <c r="BG52">
        <v>130</v>
      </c>
      <c r="BH52">
        <v>230</v>
      </c>
    </row>
    <row r="53" spans="1:60" x14ac:dyDescent="0.25">
      <c r="A53" s="3"/>
      <c r="B53" s="1">
        <v>37591</v>
      </c>
      <c r="C53">
        <v>270</v>
      </c>
      <c r="D53">
        <v>340</v>
      </c>
      <c r="E53">
        <v>240</v>
      </c>
      <c r="F53">
        <v>220</v>
      </c>
      <c r="G53">
        <v>270</v>
      </c>
      <c r="H53">
        <v>402.5</v>
      </c>
      <c r="I53">
        <v>227.5</v>
      </c>
      <c r="J53">
        <v>350</v>
      </c>
      <c r="K53">
        <v>350</v>
      </c>
      <c r="L53">
        <v>310</v>
      </c>
      <c r="M53">
        <v>400</v>
      </c>
      <c r="N53">
        <v>340</v>
      </c>
      <c r="O53">
        <v>360</v>
      </c>
      <c r="P53">
        <v>230</v>
      </c>
      <c r="Q53">
        <v>190</v>
      </c>
      <c r="R53">
        <v>210</v>
      </c>
      <c r="S53">
        <v>280</v>
      </c>
      <c r="T53">
        <v>175</v>
      </c>
      <c r="U53">
        <v>320</v>
      </c>
      <c r="V53">
        <v>292.5</v>
      </c>
      <c r="W53">
        <v>220</v>
      </c>
      <c r="X53">
        <v>235</v>
      </c>
      <c r="Y53">
        <v>285</v>
      </c>
      <c r="Z53">
        <v>360</v>
      </c>
      <c r="AA53">
        <v>215</v>
      </c>
      <c r="AB53">
        <v>230</v>
      </c>
      <c r="AC53">
        <v>230</v>
      </c>
      <c r="AD53">
        <v>315</v>
      </c>
      <c r="AE53">
        <v>350</v>
      </c>
      <c r="AF53">
        <v>220</v>
      </c>
      <c r="AG53">
        <v>240</v>
      </c>
      <c r="AH53">
        <v>180</v>
      </c>
      <c r="AI53">
        <v>160</v>
      </c>
      <c r="AJ53" t="s">
        <v>21</v>
      </c>
      <c r="AK53">
        <v>150</v>
      </c>
      <c r="AL53">
        <v>150</v>
      </c>
      <c r="AM53">
        <v>185</v>
      </c>
      <c r="AN53">
        <v>170</v>
      </c>
      <c r="AO53">
        <v>210</v>
      </c>
      <c r="AP53">
        <v>260</v>
      </c>
      <c r="AQ53">
        <v>165</v>
      </c>
      <c r="AR53">
        <v>155</v>
      </c>
      <c r="AS53">
        <v>290</v>
      </c>
      <c r="AT53">
        <v>245</v>
      </c>
      <c r="AU53">
        <v>290</v>
      </c>
      <c r="AV53" t="s">
        <v>21</v>
      </c>
      <c r="AW53">
        <v>150</v>
      </c>
      <c r="AX53">
        <v>160</v>
      </c>
      <c r="AY53">
        <v>135</v>
      </c>
      <c r="AZ53">
        <v>170</v>
      </c>
      <c r="BA53">
        <v>160</v>
      </c>
      <c r="BB53">
        <v>140</v>
      </c>
      <c r="BC53">
        <v>165</v>
      </c>
      <c r="BD53">
        <v>135</v>
      </c>
      <c r="BE53">
        <v>140</v>
      </c>
      <c r="BF53">
        <v>170</v>
      </c>
      <c r="BG53">
        <v>130</v>
      </c>
      <c r="BH53">
        <v>230</v>
      </c>
    </row>
    <row r="54" spans="1:60" x14ac:dyDescent="0.25">
      <c r="A54" s="3"/>
      <c r="B54" s="1">
        <v>37681</v>
      </c>
      <c r="C54">
        <v>270</v>
      </c>
      <c r="D54">
        <v>350</v>
      </c>
      <c r="E54">
        <v>240</v>
      </c>
      <c r="F54">
        <v>220</v>
      </c>
      <c r="G54">
        <v>270</v>
      </c>
      <c r="H54">
        <v>387.5</v>
      </c>
      <c r="I54">
        <v>240</v>
      </c>
      <c r="J54">
        <v>350</v>
      </c>
      <c r="K54">
        <v>355</v>
      </c>
      <c r="L54">
        <v>320</v>
      </c>
      <c r="M54">
        <v>410</v>
      </c>
      <c r="N54">
        <v>350</v>
      </c>
      <c r="O54">
        <v>380</v>
      </c>
      <c r="P54">
        <v>230</v>
      </c>
      <c r="Q54">
        <v>190</v>
      </c>
      <c r="R54">
        <v>220</v>
      </c>
      <c r="S54">
        <v>280</v>
      </c>
      <c r="T54">
        <v>180</v>
      </c>
      <c r="U54">
        <v>320</v>
      </c>
      <c r="V54">
        <v>325</v>
      </c>
      <c r="W54">
        <v>230</v>
      </c>
      <c r="X54">
        <v>250</v>
      </c>
      <c r="Y54">
        <v>300</v>
      </c>
      <c r="Z54">
        <v>350</v>
      </c>
      <c r="AA54">
        <v>210</v>
      </c>
      <c r="AB54">
        <v>235</v>
      </c>
      <c r="AC54">
        <v>225</v>
      </c>
      <c r="AD54">
        <v>310</v>
      </c>
      <c r="AE54">
        <v>350</v>
      </c>
      <c r="AF54">
        <v>220</v>
      </c>
      <c r="AG54">
        <v>230</v>
      </c>
      <c r="AH54">
        <v>190</v>
      </c>
      <c r="AI54">
        <v>162.5</v>
      </c>
      <c r="AJ54" t="s">
        <v>21</v>
      </c>
      <c r="AK54">
        <v>150</v>
      </c>
      <c r="AL54">
        <v>150</v>
      </c>
      <c r="AM54">
        <v>185</v>
      </c>
      <c r="AN54">
        <v>170</v>
      </c>
      <c r="AO54">
        <v>210</v>
      </c>
      <c r="AP54">
        <v>265</v>
      </c>
      <c r="AQ54">
        <v>170</v>
      </c>
      <c r="AR54">
        <v>150</v>
      </c>
      <c r="AS54">
        <v>305</v>
      </c>
      <c r="AT54">
        <v>245</v>
      </c>
      <c r="AU54">
        <v>300</v>
      </c>
      <c r="AV54">
        <v>160</v>
      </c>
      <c r="AW54">
        <v>160</v>
      </c>
      <c r="AX54">
        <v>160.5</v>
      </c>
      <c r="AY54">
        <v>120</v>
      </c>
      <c r="AZ54">
        <v>175</v>
      </c>
      <c r="BA54">
        <v>157.5</v>
      </c>
      <c r="BB54">
        <v>130</v>
      </c>
      <c r="BC54">
        <v>170</v>
      </c>
      <c r="BD54">
        <v>140</v>
      </c>
      <c r="BE54">
        <v>145</v>
      </c>
      <c r="BF54">
        <v>170</v>
      </c>
      <c r="BG54">
        <v>130</v>
      </c>
      <c r="BH54">
        <v>230</v>
      </c>
    </row>
    <row r="55" spans="1:60" x14ac:dyDescent="0.25">
      <c r="A55" s="3"/>
      <c r="B55" s="1">
        <v>37773</v>
      </c>
      <c r="C55">
        <v>270</v>
      </c>
      <c r="D55">
        <v>350</v>
      </c>
      <c r="E55">
        <v>240</v>
      </c>
      <c r="F55">
        <v>220</v>
      </c>
      <c r="G55">
        <v>270</v>
      </c>
      <c r="H55">
        <v>395</v>
      </c>
      <c r="I55">
        <v>255</v>
      </c>
      <c r="J55">
        <v>350</v>
      </c>
      <c r="K55">
        <v>360</v>
      </c>
      <c r="L55">
        <v>320</v>
      </c>
      <c r="M55">
        <v>420</v>
      </c>
      <c r="N55">
        <v>350</v>
      </c>
      <c r="O55">
        <v>375</v>
      </c>
      <c r="P55">
        <v>240</v>
      </c>
      <c r="Q55">
        <v>195</v>
      </c>
      <c r="R55">
        <v>217.5</v>
      </c>
      <c r="S55">
        <v>300</v>
      </c>
      <c r="T55">
        <v>175</v>
      </c>
      <c r="U55">
        <v>330</v>
      </c>
      <c r="V55">
        <v>375</v>
      </c>
      <c r="W55">
        <v>227.5</v>
      </c>
      <c r="X55">
        <v>240</v>
      </c>
      <c r="Y55">
        <v>290</v>
      </c>
      <c r="Z55">
        <v>360</v>
      </c>
      <c r="AA55">
        <v>210</v>
      </c>
      <c r="AB55">
        <v>250</v>
      </c>
      <c r="AC55">
        <v>230</v>
      </c>
      <c r="AD55">
        <v>320</v>
      </c>
      <c r="AE55">
        <v>360</v>
      </c>
      <c r="AF55">
        <v>220</v>
      </c>
      <c r="AG55">
        <v>210</v>
      </c>
      <c r="AH55">
        <v>190</v>
      </c>
      <c r="AI55">
        <v>160</v>
      </c>
      <c r="AJ55" t="s">
        <v>21</v>
      </c>
      <c r="AK55">
        <v>150</v>
      </c>
      <c r="AL55">
        <v>150</v>
      </c>
      <c r="AM55">
        <v>185</v>
      </c>
      <c r="AN55">
        <v>170</v>
      </c>
      <c r="AO55">
        <v>210</v>
      </c>
      <c r="AP55">
        <v>270</v>
      </c>
      <c r="AQ55">
        <v>170</v>
      </c>
      <c r="AR55">
        <v>155</v>
      </c>
      <c r="AS55">
        <v>290</v>
      </c>
      <c r="AT55">
        <v>250</v>
      </c>
      <c r="AU55">
        <v>300</v>
      </c>
      <c r="AV55">
        <v>155</v>
      </c>
      <c r="AW55">
        <v>160</v>
      </c>
      <c r="AX55">
        <v>160</v>
      </c>
      <c r="AY55">
        <v>135</v>
      </c>
      <c r="AZ55">
        <v>177.5</v>
      </c>
      <c r="BA55">
        <v>160</v>
      </c>
      <c r="BB55">
        <v>140</v>
      </c>
      <c r="BC55">
        <v>170</v>
      </c>
      <c r="BD55">
        <v>147</v>
      </c>
      <c r="BE55">
        <v>145</v>
      </c>
      <c r="BF55">
        <v>165</v>
      </c>
      <c r="BG55">
        <v>135</v>
      </c>
      <c r="BH55">
        <v>230</v>
      </c>
    </row>
    <row r="56" spans="1:60" x14ac:dyDescent="0.25">
      <c r="A56" s="3"/>
      <c r="B56" s="1">
        <v>37865</v>
      </c>
      <c r="C56">
        <v>275</v>
      </c>
      <c r="D56">
        <v>350</v>
      </c>
      <c r="E56">
        <v>240</v>
      </c>
      <c r="F56">
        <v>225</v>
      </c>
      <c r="G56">
        <v>270</v>
      </c>
      <c r="H56">
        <v>380</v>
      </c>
      <c r="I56">
        <v>250</v>
      </c>
      <c r="J56">
        <v>357.5</v>
      </c>
      <c r="K56">
        <v>370</v>
      </c>
      <c r="L56">
        <v>320</v>
      </c>
      <c r="M56">
        <v>400</v>
      </c>
      <c r="N56">
        <v>350</v>
      </c>
      <c r="O56">
        <v>360</v>
      </c>
      <c r="P56">
        <v>240</v>
      </c>
      <c r="Q56">
        <v>210</v>
      </c>
      <c r="R56">
        <v>220</v>
      </c>
      <c r="S56">
        <v>280</v>
      </c>
      <c r="T56">
        <v>175</v>
      </c>
      <c r="U56">
        <v>315</v>
      </c>
      <c r="V56">
        <v>340</v>
      </c>
      <c r="W56">
        <v>225</v>
      </c>
      <c r="X56">
        <v>240</v>
      </c>
      <c r="Y56">
        <v>300</v>
      </c>
      <c r="Z56">
        <v>360</v>
      </c>
      <c r="AA56">
        <v>220</v>
      </c>
      <c r="AB56">
        <v>240</v>
      </c>
      <c r="AC56">
        <v>240</v>
      </c>
      <c r="AD56">
        <v>320</v>
      </c>
      <c r="AE56">
        <v>350</v>
      </c>
      <c r="AF56">
        <v>220</v>
      </c>
      <c r="AG56">
        <v>230</v>
      </c>
      <c r="AH56">
        <v>190</v>
      </c>
      <c r="AI56">
        <v>170</v>
      </c>
      <c r="AJ56" t="s">
        <v>21</v>
      </c>
      <c r="AK56">
        <v>150</v>
      </c>
      <c r="AL56">
        <v>150</v>
      </c>
      <c r="AM56">
        <v>190</v>
      </c>
      <c r="AN56">
        <v>170</v>
      </c>
      <c r="AO56">
        <v>210</v>
      </c>
      <c r="AP56">
        <v>280</v>
      </c>
      <c r="AQ56">
        <v>175</v>
      </c>
      <c r="AR56">
        <v>155</v>
      </c>
      <c r="AS56">
        <v>300</v>
      </c>
      <c r="AT56">
        <v>245</v>
      </c>
      <c r="AU56">
        <v>300</v>
      </c>
      <c r="AV56">
        <v>162.5</v>
      </c>
      <c r="AW56">
        <v>165</v>
      </c>
      <c r="AX56">
        <v>165</v>
      </c>
      <c r="AY56">
        <v>135</v>
      </c>
      <c r="AZ56">
        <v>180</v>
      </c>
      <c r="BA56">
        <v>170</v>
      </c>
      <c r="BB56">
        <v>145</v>
      </c>
      <c r="BC56">
        <v>171</v>
      </c>
      <c r="BD56">
        <v>150</v>
      </c>
      <c r="BE56">
        <v>150</v>
      </c>
      <c r="BF56">
        <v>170</v>
      </c>
      <c r="BG56">
        <v>140</v>
      </c>
      <c r="BH56">
        <v>235</v>
      </c>
    </row>
    <row r="57" spans="1:60" x14ac:dyDescent="0.25">
      <c r="A57" s="3"/>
      <c r="B57" s="1">
        <v>37956</v>
      </c>
      <c r="C57">
        <v>280</v>
      </c>
      <c r="D57">
        <v>350</v>
      </c>
      <c r="E57">
        <v>245</v>
      </c>
      <c r="F57">
        <v>220</v>
      </c>
      <c r="G57">
        <v>275</v>
      </c>
      <c r="H57">
        <v>350</v>
      </c>
      <c r="I57">
        <v>240</v>
      </c>
      <c r="J57">
        <v>360</v>
      </c>
      <c r="K57">
        <v>370</v>
      </c>
      <c r="L57">
        <v>320</v>
      </c>
      <c r="M57">
        <v>420</v>
      </c>
      <c r="N57">
        <v>360</v>
      </c>
      <c r="O57">
        <v>370</v>
      </c>
      <c r="P57">
        <v>240</v>
      </c>
      <c r="Q57">
        <v>210</v>
      </c>
      <c r="R57">
        <v>220</v>
      </c>
      <c r="S57">
        <v>280</v>
      </c>
      <c r="T57">
        <v>180</v>
      </c>
      <c r="U57">
        <v>310</v>
      </c>
      <c r="V57">
        <v>380</v>
      </c>
      <c r="W57">
        <v>230</v>
      </c>
      <c r="X57">
        <v>242.5</v>
      </c>
      <c r="Y57">
        <v>305</v>
      </c>
      <c r="Z57">
        <v>375</v>
      </c>
      <c r="AA57">
        <v>220</v>
      </c>
      <c r="AB57">
        <v>250</v>
      </c>
      <c r="AC57">
        <v>232.5</v>
      </c>
      <c r="AD57">
        <v>310</v>
      </c>
      <c r="AE57">
        <v>357.5</v>
      </c>
      <c r="AF57">
        <v>230</v>
      </c>
      <c r="AG57">
        <v>240</v>
      </c>
      <c r="AH57">
        <v>190</v>
      </c>
      <c r="AI57">
        <v>160</v>
      </c>
      <c r="AJ57" t="s">
        <v>21</v>
      </c>
      <c r="AK57">
        <v>155</v>
      </c>
      <c r="AL57">
        <v>150</v>
      </c>
      <c r="AM57">
        <v>190</v>
      </c>
      <c r="AN57">
        <v>165</v>
      </c>
      <c r="AO57">
        <v>215</v>
      </c>
      <c r="AP57">
        <v>280</v>
      </c>
      <c r="AQ57">
        <v>170</v>
      </c>
      <c r="AR57">
        <v>160</v>
      </c>
      <c r="AS57">
        <v>322.5</v>
      </c>
      <c r="AT57">
        <v>250</v>
      </c>
      <c r="AU57">
        <v>300</v>
      </c>
      <c r="AV57">
        <v>150</v>
      </c>
      <c r="AW57">
        <v>165</v>
      </c>
      <c r="AX57">
        <v>170</v>
      </c>
      <c r="AY57">
        <v>140</v>
      </c>
      <c r="AZ57" t="s">
        <v>21</v>
      </c>
      <c r="BA57">
        <v>175</v>
      </c>
      <c r="BB57">
        <v>150</v>
      </c>
      <c r="BC57">
        <v>180</v>
      </c>
      <c r="BD57">
        <v>160</v>
      </c>
      <c r="BE57">
        <v>150</v>
      </c>
      <c r="BF57">
        <v>175</v>
      </c>
      <c r="BG57">
        <v>140</v>
      </c>
      <c r="BH57">
        <v>240</v>
      </c>
    </row>
    <row r="58" spans="1:60" x14ac:dyDescent="0.25">
      <c r="A58" s="3"/>
      <c r="B58" s="1">
        <v>38047</v>
      </c>
      <c r="C58">
        <v>280</v>
      </c>
      <c r="D58">
        <v>350</v>
      </c>
      <c r="E58">
        <v>240</v>
      </c>
      <c r="F58">
        <v>220</v>
      </c>
      <c r="G58">
        <v>275</v>
      </c>
      <c r="H58">
        <v>360</v>
      </c>
      <c r="I58">
        <v>250</v>
      </c>
      <c r="J58">
        <v>365</v>
      </c>
      <c r="K58">
        <v>360</v>
      </c>
      <c r="L58">
        <v>320</v>
      </c>
      <c r="M58">
        <v>420</v>
      </c>
      <c r="N58">
        <v>360</v>
      </c>
      <c r="O58">
        <v>370</v>
      </c>
      <c r="P58">
        <v>250</v>
      </c>
      <c r="Q58">
        <v>200</v>
      </c>
      <c r="R58">
        <v>230</v>
      </c>
      <c r="S58">
        <v>280</v>
      </c>
      <c r="T58">
        <v>180</v>
      </c>
      <c r="U58">
        <v>340</v>
      </c>
      <c r="V58">
        <v>368.75</v>
      </c>
      <c r="W58">
        <v>220</v>
      </c>
      <c r="X58">
        <v>250</v>
      </c>
      <c r="Y58">
        <v>295</v>
      </c>
      <c r="Z58">
        <v>380</v>
      </c>
      <c r="AA58">
        <v>225</v>
      </c>
      <c r="AB58">
        <v>250</v>
      </c>
      <c r="AC58">
        <v>240</v>
      </c>
      <c r="AD58">
        <v>320</v>
      </c>
      <c r="AE58">
        <v>360</v>
      </c>
      <c r="AF58">
        <v>230</v>
      </c>
      <c r="AG58">
        <v>255</v>
      </c>
      <c r="AH58">
        <v>190</v>
      </c>
      <c r="AI58">
        <v>155</v>
      </c>
      <c r="AJ58" t="s">
        <v>21</v>
      </c>
      <c r="AK58">
        <v>150</v>
      </c>
      <c r="AL58">
        <v>150</v>
      </c>
      <c r="AM58">
        <v>190</v>
      </c>
      <c r="AN58">
        <v>167.5</v>
      </c>
      <c r="AO58">
        <v>220</v>
      </c>
      <c r="AP58">
        <v>270</v>
      </c>
      <c r="AQ58">
        <v>170</v>
      </c>
      <c r="AR58">
        <v>160</v>
      </c>
      <c r="AS58">
        <v>320</v>
      </c>
      <c r="AT58">
        <v>255</v>
      </c>
      <c r="AU58">
        <v>310</v>
      </c>
      <c r="AV58">
        <v>155</v>
      </c>
      <c r="AW58">
        <v>170</v>
      </c>
      <c r="AX58">
        <v>175</v>
      </c>
      <c r="AY58">
        <v>160</v>
      </c>
      <c r="AZ58">
        <v>180</v>
      </c>
      <c r="BA58">
        <v>167.5</v>
      </c>
      <c r="BB58">
        <v>145</v>
      </c>
      <c r="BC58">
        <v>185</v>
      </c>
      <c r="BD58">
        <v>165</v>
      </c>
      <c r="BE58">
        <v>150</v>
      </c>
      <c r="BF58">
        <v>180</v>
      </c>
      <c r="BG58">
        <v>145</v>
      </c>
      <c r="BH58">
        <v>240</v>
      </c>
    </row>
    <row r="59" spans="1:60" x14ac:dyDescent="0.25">
      <c r="A59" s="3"/>
      <c r="B59" s="1">
        <v>38139</v>
      </c>
      <c r="C59">
        <v>280</v>
      </c>
      <c r="D59">
        <v>360</v>
      </c>
      <c r="E59">
        <v>245</v>
      </c>
      <c r="F59">
        <v>225</v>
      </c>
      <c r="G59">
        <v>275</v>
      </c>
      <c r="H59">
        <v>385</v>
      </c>
      <c r="I59">
        <v>260</v>
      </c>
      <c r="J59">
        <v>365</v>
      </c>
      <c r="K59">
        <v>380</v>
      </c>
      <c r="L59">
        <v>325</v>
      </c>
      <c r="M59">
        <v>420</v>
      </c>
      <c r="N59">
        <v>350</v>
      </c>
      <c r="O59">
        <v>380</v>
      </c>
      <c r="P59">
        <v>250</v>
      </c>
      <c r="Q59">
        <v>200</v>
      </c>
      <c r="R59">
        <v>215</v>
      </c>
      <c r="S59">
        <v>290</v>
      </c>
      <c r="T59">
        <v>180</v>
      </c>
      <c r="U59">
        <v>320</v>
      </c>
      <c r="V59">
        <v>310</v>
      </c>
      <c r="W59">
        <v>220</v>
      </c>
      <c r="X59">
        <v>260</v>
      </c>
      <c r="Y59">
        <v>305</v>
      </c>
      <c r="Z59">
        <v>380</v>
      </c>
      <c r="AA59">
        <v>225</v>
      </c>
      <c r="AB59">
        <v>250</v>
      </c>
      <c r="AC59">
        <v>240</v>
      </c>
      <c r="AD59">
        <v>300</v>
      </c>
      <c r="AE59">
        <v>360</v>
      </c>
      <c r="AF59">
        <v>230</v>
      </c>
      <c r="AG59">
        <v>260</v>
      </c>
      <c r="AH59">
        <v>192.5</v>
      </c>
      <c r="AI59">
        <v>160</v>
      </c>
      <c r="AJ59" t="s">
        <v>21</v>
      </c>
      <c r="AK59">
        <v>150</v>
      </c>
      <c r="AL59">
        <v>155</v>
      </c>
      <c r="AM59">
        <v>190</v>
      </c>
      <c r="AN59">
        <v>170</v>
      </c>
      <c r="AO59">
        <v>215</v>
      </c>
      <c r="AP59">
        <v>280</v>
      </c>
      <c r="AQ59">
        <v>170</v>
      </c>
      <c r="AR59">
        <v>160</v>
      </c>
      <c r="AS59">
        <v>317.5</v>
      </c>
      <c r="AT59">
        <v>250</v>
      </c>
      <c r="AU59">
        <v>320</v>
      </c>
      <c r="AV59">
        <v>157.5</v>
      </c>
      <c r="AW59">
        <v>170</v>
      </c>
      <c r="AX59">
        <v>175</v>
      </c>
      <c r="AY59">
        <v>140</v>
      </c>
      <c r="AZ59">
        <v>170</v>
      </c>
      <c r="BA59">
        <v>170</v>
      </c>
      <c r="BB59">
        <v>150</v>
      </c>
      <c r="BC59">
        <v>180.5</v>
      </c>
      <c r="BD59">
        <v>160</v>
      </c>
      <c r="BE59">
        <v>150</v>
      </c>
      <c r="BF59">
        <v>180</v>
      </c>
      <c r="BG59">
        <v>145</v>
      </c>
      <c r="BH59">
        <v>240</v>
      </c>
    </row>
    <row r="60" spans="1:60" x14ac:dyDescent="0.25">
      <c r="A60" s="3"/>
      <c r="B60" s="1">
        <v>38231</v>
      </c>
      <c r="C60">
        <v>280</v>
      </c>
      <c r="D60">
        <v>350</v>
      </c>
      <c r="E60">
        <v>250</v>
      </c>
      <c r="F60">
        <v>230</v>
      </c>
      <c r="G60">
        <v>280</v>
      </c>
      <c r="H60">
        <v>365</v>
      </c>
      <c r="I60">
        <v>250</v>
      </c>
      <c r="J60">
        <v>360</v>
      </c>
      <c r="K60">
        <v>370</v>
      </c>
      <c r="L60">
        <v>320</v>
      </c>
      <c r="M60">
        <v>420</v>
      </c>
      <c r="N60">
        <v>350</v>
      </c>
      <c r="O60">
        <v>360</v>
      </c>
      <c r="P60">
        <v>250</v>
      </c>
      <c r="Q60">
        <v>220</v>
      </c>
      <c r="R60">
        <v>220</v>
      </c>
      <c r="S60">
        <v>290</v>
      </c>
      <c r="T60">
        <v>180</v>
      </c>
      <c r="U60">
        <v>327.5</v>
      </c>
      <c r="V60">
        <v>277.5</v>
      </c>
      <c r="W60">
        <v>230</v>
      </c>
      <c r="X60">
        <v>250</v>
      </c>
      <c r="Y60">
        <v>300</v>
      </c>
      <c r="Z60">
        <v>380</v>
      </c>
      <c r="AA60">
        <v>225</v>
      </c>
      <c r="AB60">
        <v>265</v>
      </c>
      <c r="AC60">
        <v>240</v>
      </c>
      <c r="AD60">
        <v>280</v>
      </c>
      <c r="AE60">
        <v>370</v>
      </c>
      <c r="AF60">
        <v>230</v>
      </c>
      <c r="AG60">
        <v>250</v>
      </c>
      <c r="AH60">
        <v>190</v>
      </c>
      <c r="AI60">
        <v>160</v>
      </c>
      <c r="AJ60" t="s">
        <v>21</v>
      </c>
      <c r="AK60">
        <v>155</v>
      </c>
      <c r="AL60">
        <v>160</v>
      </c>
      <c r="AM60">
        <v>195</v>
      </c>
      <c r="AN60">
        <v>175</v>
      </c>
      <c r="AO60">
        <v>215</v>
      </c>
      <c r="AP60">
        <v>285</v>
      </c>
      <c r="AQ60">
        <v>170</v>
      </c>
      <c r="AR60">
        <v>160</v>
      </c>
      <c r="AS60">
        <v>325</v>
      </c>
      <c r="AT60">
        <v>250</v>
      </c>
      <c r="AU60">
        <v>310</v>
      </c>
      <c r="AV60">
        <v>160</v>
      </c>
      <c r="AW60">
        <v>167.5</v>
      </c>
      <c r="AX60">
        <v>180</v>
      </c>
      <c r="AY60">
        <v>130</v>
      </c>
      <c r="AZ60">
        <v>185</v>
      </c>
      <c r="BA60">
        <v>175</v>
      </c>
      <c r="BB60">
        <v>155</v>
      </c>
      <c r="BC60">
        <v>195</v>
      </c>
      <c r="BD60">
        <v>160</v>
      </c>
      <c r="BE60">
        <v>150</v>
      </c>
      <c r="BF60">
        <v>180</v>
      </c>
      <c r="BG60">
        <v>145</v>
      </c>
      <c r="BH60">
        <v>245</v>
      </c>
    </row>
    <row r="61" spans="1:60" x14ac:dyDescent="0.25">
      <c r="A61" s="3"/>
      <c r="B61" s="1">
        <v>38322</v>
      </c>
      <c r="C61">
        <v>290</v>
      </c>
      <c r="D61">
        <v>360</v>
      </c>
      <c r="E61">
        <v>250</v>
      </c>
      <c r="F61">
        <v>230</v>
      </c>
      <c r="G61">
        <v>280</v>
      </c>
      <c r="H61">
        <v>380</v>
      </c>
      <c r="I61">
        <v>255</v>
      </c>
      <c r="J61">
        <v>347.5</v>
      </c>
      <c r="K61">
        <v>360</v>
      </c>
      <c r="L61">
        <v>320</v>
      </c>
      <c r="M61">
        <v>430</v>
      </c>
      <c r="N61">
        <v>360</v>
      </c>
      <c r="O61">
        <v>380</v>
      </c>
      <c r="P61">
        <v>250</v>
      </c>
      <c r="Q61">
        <v>220</v>
      </c>
      <c r="R61">
        <v>230</v>
      </c>
      <c r="S61">
        <v>290</v>
      </c>
      <c r="T61">
        <v>175</v>
      </c>
      <c r="U61">
        <v>342.5</v>
      </c>
      <c r="V61">
        <v>310</v>
      </c>
      <c r="W61">
        <v>230</v>
      </c>
      <c r="X61">
        <v>270</v>
      </c>
      <c r="Y61">
        <v>290</v>
      </c>
      <c r="Z61">
        <v>400</v>
      </c>
      <c r="AA61">
        <v>230</v>
      </c>
      <c r="AB61">
        <v>255</v>
      </c>
      <c r="AC61">
        <v>250</v>
      </c>
      <c r="AD61">
        <v>295</v>
      </c>
      <c r="AE61">
        <v>350</v>
      </c>
      <c r="AF61">
        <v>230</v>
      </c>
      <c r="AG61">
        <v>277.5</v>
      </c>
      <c r="AH61">
        <v>190</v>
      </c>
      <c r="AI61">
        <v>160</v>
      </c>
      <c r="AJ61" t="s">
        <v>21</v>
      </c>
      <c r="AK61">
        <v>155</v>
      </c>
      <c r="AL61">
        <v>165</v>
      </c>
      <c r="AM61">
        <v>200</v>
      </c>
      <c r="AN61">
        <v>170</v>
      </c>
      <c r="AO61">
        <v>215</v>
      </c>
      <c r="AP61">
        <v>280</v>
      </c>
      <c r="AQ61">
        <v>170</v>
      </c>
      <c r="AR61">
        <v>160</v>
      </c>
      <c r="AS61">
        <v>310</v>
      </c>
      <c r="AT61">
        <v>260</v>
      </c>
      <c r="AU61">
        <v>325</v>
      </c>
      <c r="AV61">
        <v>180</v>
      </c>
      <c r="AW61">
        <v>165</v>
      </c>
      <c r="AX61">
        <v>175</v>
      </c>
      <c r="AY61">
        <v>145</v>
      </c>
      <c r="AZ61">
        <v>175</v>
      </c>
      <c r="BA61">
        <v>180</v>
      </c>
      <c r="BB61">
        <v>150</v>
      </c>
      <c r="BC61">
        <v>190</v>
      </c>
      <c r="BD61">
        <v>160</v>
      </c>
      <c r="BE61">
        <v>160</v>
      </c>
      <c r="BF61">
        <v>180</v>
      </c>
      <c r="BG61">
        <v>145</v>
      </c>
      <c r="BH61">
        <v>250</v>
      </c>
    </row>
    <row r="62" spans="1:60" x14ac:dyDescent="0.25">
      <c r="A62" s="3"/>
      <c r="B62" s="1">
        <v>38412</v>
      </c>
      <c r="C62">
        <v>290</v>
      </c>
      <c r="D62">
        <v>360</v>
      </c>
      <c r="E62">
        <v>250</v>
      </c>
      <c r="F62">
        <v>240</v>
      </c>
      <c r="G62">
        <v>280</v>
      </c>
      <c r="H62">
        <v>375</v>
      </c>
      <c r="I62">
        <v>250</v>
      </c>
      <c r="J62">
        <v>360</v>
      </c>
      <c r="K62">
        <v>370</v>
      </c>
      <c r="L62">
        <v>330</v>
      </c>
      <c r="M62">
        <v>430</v>
      </c>
      <c r="N62">
        <v>360</v>
      </c>
      <c r="O62">
        <v>387.5</v>
      </c>
      <c r="P62">
        <v>260</v>
      </c>
      <c r="Q62">
        <v>220</v>
      </c>
      <c r="R62">
        <v>230</v>
      </c>
      <c r="S62">
        <v>300</v>
      </c>
      <c r="T62">
        <v>180</v>
      </c>
      <c r="U62">
        <v>340</v>
      </c>
      <c r="V62">
        <v>295</v>
      </c>
      <c r="W62">
        <v>230</v>
      </c>
      <c r="X62">
        <v>262.5</v>
      </c>
      <c r="Y62">
        <v>305</v>
      </c>
      <c r="Z62">
        <v>380</v>
      </c>
      <c r="AA62">
        <v>230</v>
      </c>
      <c r="AB62">
        <v>260</v>
      </c>
      <c r="AC62">
        <v>245</v>
      </c>
      <c r="AD62">
        <v>300</v>
      </c>
      <c r="AE62">
        <v>370</v>
      </c>
      <c r="AF62">
        <v>230</v>
      </c>
      <c r="AG62">
        <v>270</v>
      </c>
      <c r="AH62">
        <v>197.5</v>
      </c>
      <c r="AI62">
        <v>165</v>
      </c>
      <c r="AJ62" t="s">
        <v>21</v>
      </c>
      <c r="AK62">
        <v>155</v>
      </c>
      <c r="AL62">
        <v>160</v>
      </c>
      <c r="AM62">
        <v>200</v>
      </c>
      <c r="AN62">
        <v>175</v>
      </c>
      <c r="AO62">
        <v>220</v>
      </c>
      <c r="AP62">
        <v>285</v>
      </c>
      <c r="AQ62">
        <v>170</v>
      </c>
      <c r="AR62">
        <v>160</v>
      </c>
      <c r="AS62">
        <v>320</v>
      </c>
      <c r="AT62">
        <v>260</v>
      </c>
      <c r="AU62">
        <v>330</v>
      </c>
      <c r="AV62">
        <v>155</v>
      </c>
      <c r="AW62">
        <v>170</v>
      </c>
      <c r="AX62">
        <v>185</v>
      </c>
      <c r="AY62">
        <v>140</v>
      </c>
      <c r="AZ62">
        <v>177.5</v>
      </c>
      <c r="BA62">
        <v>165</v>
      </c>
      <c r="BB62">
        <v>150</v>
      </c>
      <c r="BC62">
        <v>200</v>
      </c>
      <c r="BD62">
        <v>160</v>
      </c>
      <c r="BE62">
        <v>150</v>
      </c>
      <c r="BF62">
        <v>200</v>
      </c>
      <c r="BG62">
        <v>150</v>
      </c>
      <c r="BH62">
        <v>250</v>
      </c>
    </row>
    <row r="63" spans="1:60" x14ac:dyDescent="0.25">
      <c r="A63" s="3"/>
      <c r="B63" s="1">
        <v>38504</v>
      </c>
      <c r="C63">
        <v>280</v>
      </c>
      <c r="D63">
        <v>370</v>
      </c>
      <c r="E63">
        <v>250</v>
      </c>
      <c r="F63">
        <v>250</v>
      </c>
      <c r="G63">
        <v>290</v>
      </c>
      <c r="H63">
        <v>380</v>
      </c>
      <c r="I63">
        <v>252.5</v>
      </c>
      <c r="J63">
        <v>367.5</v>
      </c>
      <c r="K63">
        <v>400</v>
      </c>
      <c r="L63">
        <v>340</v>
      </c>
      <c r="M63">
        <v>440</v>
      </c>
      <c r="N63">
        <v>360</v>
      </c>
      <c r="O63">
        <v>390</v>
      </c>
      <c r="P63">
        <v>255</v>
      </c>
      <c r="Q63">
        <v>230</v>
      </c>
      <c r="R63">
        <v>230</v>
      </c>
      <c r="S63">
        <v>290</v>
      </c>
      <c r="T63">
        <v>180</v>
      </c>
      <c r="U63">
        <v>340</v>
      </c>
      <c r="V63">
        <v>325</v>
      </c>
      <c r="W63">
        <v>230</v>
      </c>
      <c r="X63">
        <v>260</v>
      </c>
      <c r="Y63">
        <v>300</v>
      </c>
      <c r="Z63">
        <v>395</v>
      </c>
      <c r="AA63">
        <v>235</v>
      </c>
      <c r="AB63">
        <v>260</v>
      </c>
      <c r="AC63">
        <v>250</v>
      </c>
      <c r="AD63">
        <v>280</v>
      </c>
      <c r="AE63">
        <v>380</v>
      </c>
      <c r="AF63">
        <v>230</v>
      </c>
      <c r="AG63">
        <v>270</v>
      </c>
      <c r="AH63">
        <v>210</v>
      </c>
      <c r="AI63">
        <v>170</v>
      </c>
      <c r="AJ63" t="s">
        <v>21</v>
      </c>
      <c r="AK63">
        <v>160</v>
      </c>
      <c r="AL63">
        <v>170</v>
      </c>
      <c r="AM63">
        <v>200</v>
      </c>
      <c r="AN63">
        <v>185</v>
      </c>
      <c r="AO63">
        <v>225</v>
      </c>
      <c r="AP63">
        <v>290</v>
      </c>
      <c r="AQ63">
        <v>170</v>
      </c>
      <c r="AR63">
        <v>160</v>
      </c>
      <c r="AS63">
        <v>340</v>
      </c>
      <c r="AT63">
        <v>260</v>
      </c>
      <c r="AU63">
        <v>320</v>
      </c>
      <c r="AV63">
        <v>185</v>
      </c>
      <c r="AW63">
        <v>170</v>
      </c>
      <c r="AX63">
        <v>180</v>
      </c>
      <c r="AY63">
        <v>150</v>
      </c>
      <c r="AZ63">
        <v>190</v>
      </c>
      <c r="BA63">
        <v>185</v>
      </c>
      <c r="BB63">
        <v>145</v>
      </c>
      <c r="BC63">
        <v>196</v>
      </c>
      <c r="BD63">
        <v>155</v>
      </c>
      <c r="BE63">
        <v>155</v>
      </c>
      <c r="BF63">
        <v>180</v>
      </c>
      <c r="BG63">
        <v>150</v>
      </c>
      <c r="BH63">
        <v>250</v>
      </c>
    </row>
    <row r="64" spans="1:60" x14ac:dyDescent="0.25">
      <c r="A64" s="3"/>
      <c r="B64" s="1">
        <v>38596</v>
      </c>
      <c r="C64">
        <v>290</v>
      </c>
      <c r="D64">
        <v>370</v>
      </c>
      <c r="E64">
        <v>250</v>
      </c>
      <c r="F64">
        <v>250</v>
      </c>
      <c r="G64">
        <v>300</v>
      </c>
      <c r="H64">
        <v>400</v>
      </c>
      <c r="I64">
        <v>250</v>
      </c>
      <c r="J64">
        <v>380</v>
      </c>
      <c r="K64">
        <v>400</v>
      </c>
      <c r="L64">
        <v>340</v>
      </c>
      <c r="M64">
        <v>440</v>
      </c>
      <c r="N64">
        <v>370</v>
      </c>
      <c r="O64">
        <v>395</v>
      </c>
      <c r="P64">
        <v>260</v>
      </c>
      <c r="Q64">
        <v>250</v>
      </c>
      <c r="R64">
        <v>230</v>
      </c>
      <c r="S64">
        <v>290</v>
      </c>
      <c r="T64">
        <v>190</v>
      </c>
      <c r="U64">
        <v>350</v>
      </c>
      <c r="V64">
        <v>370</v>
      </c>
      <c r="W64">
        <v>230</v>
      </c>
      <c r="X64">
        <v>260</v>
      </c>
      <c r="Y64">
        <v>315</v>
      </c>
      <c r="Z64">
        <v>400</v>
      </c>
      <c r="AA64">
        <v>240</v>
      </c>
      <c r="AB64">
        <v>260</v>
      </c>
      <c r="AC64">
        <v>250</v>
      </c>
      <c r="AD64">
        <v>285</v>
      </c>
      <c r="AE64">
        <v>370</v>
      </c>
      <c r="AF64">
        <v>240</v>
      </c>
      <c r="AG64">
        <v>290</v>
      </c>
      <c r="AH64">
        <v>210</v>
      </c>
      <c r="AI64">
        <v>165</v>
      </c>
      <c r="AJ64" t="s">
        <v>21</v>
      </c>
      <c r="AK64">
        <v>160</v>
      </c>
      <c r="AL64">
        <v>165</v>
      </c>
      <c r="AM64">
        <v>200</v>
      </c>
      <c r="AN64">
        <v>180</v>
      </c>
      <c r="AO64">
        <v>220</v>
      </c>
      <c r="AP64">
        <v>295</v>
      </c>
      <c r="AQ64">
        <v>175</v>
      </c>
      <c r="AR64">
        <v>160</v>
      </c>
      <c r="AS64">
        <v>325</v>
      </c>
      <c r="AT64">
        <v>260</v>
      </c>
      <c r="AU64">
        <v>320</v>
      </c>
      <c r="AV64">
        <v>165</v>
      </c>
      <c r="AW64">
        <v>177.5</v>
      </c>
      <c r="AX64">
        <v>180</v>
      </c>
      <c r="AY64">
        <v>160</v>
      </c>
      <c r="AZ64">
        <v>185</v>
      </c>
      <c r="BA64">
        <v>180</v>
      </c>
      <c r="BB64">
        <v>160</v>
      </c>
      <c r="BC64">
        <v>200</v>
      </c>
      <c r="BD64">
        <v>165</v>
      </c>
      <c r="BE64">
        <v>160</v>
      </c>
      <c r="BF64">
        <v>190</v>
      </c>
      <c r="BG64">
        <v>150</v>
      </c>
      <c r="BH64">
        <v>255</v>
      </c>
    </row>
    <row r="65" spans="1:60" x14ac:dyDescent="0.25">
      <c r="A65" s="3"/>
      <c r="B65" s="1">
        <v>38687</v>
      </c>
      <c r="C65">
        <v>300</v>
      </c>
      <c r="D65">
        <v>380</v>
      </c>
      <c r="E65">
        <v>260</v>
      </c>
      <c r="F65">
        <v>260</v>
      </c>
      <c r="G65">
        <v>295</v>
      </c>
      <c r="H65">
        <v>395</v>
      </c>
      <c r="I65">
        <v>255</v>
      </c>
      <c r="J65">
        <v>372.5</v>
      </c>
      <c r="K65">
        <v>380</v>
      </c>
      <c r="L65">
        <v>340</v>
      </c>
      <c r="M65">
        <v>445</v>
      </c>
      <c r="N65">
        <v>380</v>
      </c>
      <c r="O65">
        <v>397.5</v>
      </c>
      <c r="P65">
        <v>265</v>
      </c>
      <c r="Q65">
        <v>242.5</v>
      </c>
      <c r="R65">
        <v>230</v>
      </c>
      <c r="S65">
        <v>320</v>
      </c>
      <c r="T65">
        <v>185</v>
      </c>
      <c r="U65">
        <v>360</v>
      </c>
      <c r="V65">
        <v>315</v>
      </c>
      <c r="W65">
        <v>250</v>
      </c>
      <c r="X65">
        <v>260</v>
      </c>
      <c r="Y65">
        <v>307.5</v>
      </c>
      <c r="Z65">
        <v>400</v>
      </c>
      <c r="AA65">
        <v>245</v>
      </c>
      <c r="AB65">
        <v>260</v>
      </c>
      <c r="AC65">
        <v>260</v>
      </c>
      <c r="AD65">
        <v>300</v>
      </c>
      <c r="AE65">
        <v>385</v>
      </c>
      <c r="AF65">
        <v>240</v>
      </c>
      <c r="AG65">
        <v>290</v>
      </c>
      <c r="AH65">
        <v>220</v>
      </c>
      <c r="AI65">
        <v>165</v>
      </c>
      <c r="AJ65" t="s">
        <v>21</v>
      </c>
      <c r="AK65">
        <v>160</v>
      </c>
      <c r="AL65">
        <v>170</v>
      </c>
      <c r="AM65">
        <v>200</v>
      </c>
      <c r="AN65">
        <v>180</v>
      </c>
      <c r="AO65">
        <v>230</v>
      </c>
      <c r="AP65">
        <v>290</v>
      </c>
      <c r="AQ65">
        <v>180</v>
      </c>
      <c r="AR65">
        <v>165</v>
      </c>
      <c r="AS65">
        <v>332.5</v>
      </c>
      <c r="AT65">
        <v>260</v>
      </c>
      <c r="AU65">
        <v>340</v>
      </c>
      <c r="AV65">
        <v>187.5</v>
      </c>
      <c r="AW65">
        <v>180</v>
      </c>
      <c r="AX65">
        <v>185</v>
      </c>
      <c r="AY65">
        <v>155</v>
      </c>
      <c r="AZ65">
        <v>180</v>
      </c>
      <c r="BA65">
        <v>200</v>
      </c>
      <c r="BB65">
        <v>155</v>
      </c>
      <c r="BC65">
        <v>200</v>
      </c>
      <c r="BD65">
        <v>170</v>
      </c>
      <c r="BE65">
        <v>155</v>
      </c>
      <c r="BF65">
        <v>192.5</v>
      </c>
      <c r="BG65">
        <v>150</v>
      </c>
      <c r="BH65">
        <v>260</v>
      </c>
    </row>
    <row r="66" spans="1:60" x14ac:dyDescent="0.25">
      <c r="A66" s="3"/>
      <c r="B66" s="1">
        <v>38777</v>
      </c>
      <c r="C66">
        <v>300</v>
      </c>
      <c r="D66">
        <v>380</v>
      </c>
      <c r="E66">
        <v>252.5</v>
      </c>
      <c r="F66">
        <v>250</v>
      </c>
      <c r="G66">
        <v>300</v>
      </c>
      <c r="H66">
        <v>372.5</v>
      </c>
      <c r="I66">
        <v>260</v>
      </c>
      <c r="J66">
        <v>370</v>
      </c>
      <c r="K66">
        <v>400</v>
      </c>
      <c r="L66">
        <v>350</v>
      </c>
      <c r="M66">
        <v>450</v>
      </c>
      <c r="N66">
        <v>380</v>
      </c>
      <c r="O66">
        <v>400</v>
      </c>
      <c r="P66">
        <v>270</v>
      </c>
      <c r="Q66">
        <v>260</v>
      </c>
      <c r="R66">
        <v>235</v>
      </c>
      <c r="S66">
        <v>300</v>
      </c>
      <c r="T66">
        <v>190</v>
      </c>
      <c r="U66">
        <v>365</v>
      </c>
      <c r="V66">
        <v>300</v>
      </c>
      <c r="W66">
        <v>240</v>
      </c>
      <c r="X66">
        <v>280</v>
      </c>
      <c r="Y66">
        <v>317.5</v>
      </c>
      <c r="Z66">
        <v>400</v>
      </c>
      <c r="AA66">
        <v>245</v>
      </c>
      <c r="AB66">
        <v>270</v>
      </c>
      <c r="AC66">
        <v>260</v>
      </c>
      <c r="AD66">
        <v>300</v>
      </c>
      <c r="AE66">
        <v>377.5</v>
      </c>
      <c r="AF66">
        <v>240</v>
      </c>
      <c r="AG66">
        <v>270</v>
      </c>
      <c r="AH66">
        <v>210</v>
      </c>
      <c r="AI66">
        <v>175</v>
      </c>
      <c r="AJ66">
        <v>232.5</v>
      </c>
      <c r="AK66">
        <v>165</v>
      </c>
      <c r="AL66">
        <v>170</v>
      </c>
      <c r="AM66">
        <v>205</v>
      </c>
      <c r="AN66">
        <v>180</v>
      </c>
      <c r="AO66">
        <v>230</v>
      </c>
      <c r="AP66">
        <v>300</v>
      </c>
      <c r="AQ66">
        <v>180</v>
      </c>
      <c r="AR66">
        <v>170</v>
      </c>
      <c r="AS66">
        <v>350</v>
      </c>
      <c r="AT66">
        <v>265</v>
      </c>
      <c r="AU66">
        <v>340</v>
      </c>
      <c r="AV66">
        <v>165</v>
      </c>
      <c r="AW66">
        <v>180</v>
      </c>
      <c r="AX66">
        <v>195</v>
      </c>
      <c r="AY66">
        <v>150</v>
      </c>
      <c r="AZ66">
        <v>200</v>
      </c>
      <c r="BA66">
        <v>185</v>
      </c>
      <c r="BB66">
        <v>160</v>
      </c>
      <c r="BC66">
        <v>225</v>
      </c>
      <c r="BD66">
        <v>170</v>
      </c>
      <c r="BE66">
        <v>165</v>
      </c>
      <c r="BF66">
        <v>195</v>
      </c>
      <c r="BG66">
        <v>150</v>
      </c>
      <c r="BH66">
        <v>260</v>
      </c>
    </row>
    <row r="67" spans="1:60" x14ac:dyDescent="0.25">
      <c r="A67" s="3"/>
      <c r="B67" s="1">
        <v>38869</v>
      </c>
      <c r="C67">
        <v>300</v>
      </c>
      <c r="D67">
        <v>390</v>
      </c>
      <c r="E67">
        <v>265</v>
      </c>
      <c r="F67">
        <v>270</v>
      </c>
      <c r="G67">
        <v>310</v>
      </c>
      <c r="H67">
        <v>405</v>
      </c>
      <c r="I67">
        <v>270</v>
      </c>
      <c r="J67">
        <v>377.5</v>
      </c>
      <c r="K67">
        <v>410</v>
      </c>
      <c r="L67">
        <v>350</v>
      </c>
      <c r="M67">
        <v>460</v>
      </c>
      <c r="N67">
        <v>390</v>
      </c>
      <c r="O67">
        <v>420</v>
      </c>
      <c r="P67">
        <v>270</v>
      </c>
      <c r="Q67">
        <v>267.5</v>
      </c>
      <c r="R67">
        <v>240</v>
      </c>
      <c r="S67">
        <v>310</v>
      </c>
      <c r="T67">
        <v>190</v>
      </c>
      <c r="U67">
        <v>380</v>
      </c>
      <c r="V67">
        <v>335</v>
      </c>
      <c r="W67">
        <v>240</v>
      </c>
      <c r="X67">
        <v>285</v>
      </c>
      <c r="Y67">
        <v>325</v>
      </c>
      <c r="Z67">
        <v>420</v>
      </c>
      <c r="AA67">
        <v>250</v>
      </c>
      <c r="AB67">
        <v>270</v>
      </c>
      <c r="AC67">
        <v>260</v>
      </c>
      <c r="AD67">
        <v>300</v>
      </c>
      <c r="AE67">
        <v>390</v>
      </c>
      <c r="AF67">
        <v>250</v>
      </c>
      <c r="AG67">
        <v>300</v>
      </c>
      <c r="AH67">
        <v>220</v>
      </c>
      <c r="AI67">
        <v>180</v>
      </c>
      <c r="AJ67" t="s">
        <v>21</v>
      </c>
      <c r="AK67">
        <v>165</v>
      </c>
      <c r="AL67">
        <v>170</v>
      </c>
      <c r="AM67">
        <v>210</v>
      </c>
      <c r="AN67">
        <v>180</v>
      </c>
      <c r="AO67">
        <v>230</v>
      </c>
      <c r="AP67">
        <v>310</v>
      </c>
      <c r="AQ67">
        <v>175</v>
      </c>
      <c r="AR67">
        <v>160</v>
      </c>
      <c r="AS67">
        <v>330</v>
      </c>
      <c r="AT67">
        <v>270</v>
      </c>
      <c r="AU67">
        <v>350</v>
      </c>
      <c r="AV67" t="s">
        <v>21</v>
      </c>
      <c r="AW67">
        <v>180</v>
      </c>
      <c r="AX67">
        <v>190</v>
      </c>
      <c r="AY67">
        <v>170</v>
      </c>
      <c r="AZ67">
        <v>195</v>
      </c>
      <c r="BA67">
        <v>190</v>
      </c>
      <c r="BB67">
        <v>155</v>
      </c>
      <c r="BC67">
        <v>220</v>
      </c>
      <c r="BD67">
        <v>180</v>
      </c>
      <c r="BE67">
        <v>160</v>
      </c>
      <c r="BF67">
        <v>190</v>
      </c>
      <c r="BG67">
        <v>150</v>
      </c>
      <c r="BH67">
        <v>260</v>
      </c>
    </row>
    <row r="68" spans="1:60" x14ac:dyDescent="0.25">
      <c r="A68" s="3"/>
      <c r="B68" s="1">
        <v>38961</v>
      </c>
      <c r="C68">
        <v>310</v>
      </c>
      <c r="D68">
        <v>390</v>
      </c>
      <c r="E68">
        <v>270</v>
      </c>
      <c r="F68">
        <v>260</v>
      </c>
      <c r="G68">
        <v>300</v>
      </c>
      <c r="H68">
        <v>410</v>
      </c>
      <c r="I68">
        <v>270</v>
      </c>
      <c r="J68">
        <v>390</v>
      </c>
      <c r="K68">
        <v>420</v>
      </c>
      <c r="L68">
        <v>350</v>
      </c>
      <c r="M68">
        <v>460</v>
      </c>
      <c r="N68">
        <v>380</v>
      </c>
      <c r="O68">
        <v>400</v>
      </c>
      <c r="P68">
        <v>280</v>
      </c>
      <c r="Q68">
        <v>280</v>
      </c>
      <c r="R68">
        <v>245</v>
      </c>
      <c r="S68">
        <v>320</v>
      </c>
      <c r="T68">
        <v>195</v>
      </c>
      <c r="U68">
        <v>375</v>
      </c>
      <c r="V68">
        <v>330</v>
      </c>
      <c r="W68">
        <v>245</v>
      </c>
      <c r="X68">
        <v>285</v>
      </c>
      <c r="Y68">
        <v>317.5</v>
      </c>
      <c r="Z68">
        <v>415</v>
      </c>
      <c r="AA68">
        <v>250</v>
      </c>
      <c r="AB68">
        <v>275</v>
      </c>
      <c r="AC68">
        <v>265</v>
      </c>
      <c r="AD68">
        <v>310</v>
      </c>
      <c r="AE68">
        <v>400</v>
      </c>
      <c r="AF68">
        <v>250</v>
      </c>
      <c r="AG68">
        <v>310</v>
      </c>
      <c r="AH68">
        <v>220</v>
      </c>
      <c r="AI68">
        <v>165</v>
      </c>
      <c r="AJ68" t="s">
        <v>21</v>
      </c>
      <c r="AK68">
        <v>165</v>
      </c>
      <c r="AL68">
        <v>175</v>
      </c>
      <c r="AM68">
        <v>212.5</v>
      </c>
      <c r="AN68">
        <v>175</v>
      </c>
      <c r="AO68">
        <v>230</v>
      </c>
      <c r="AP68">
        <v>310</v>
      </c>
      <c r="AQ68">
        <v>190</v>
      </c>
      <c r="AR68">
        <v>170</v>
      </c>
      <c r="AS68">
        <v>340</v>
      </c>
      <c r="AT68">
        <v>275</v>
      </c>
      <c r="AU68">
        <v>350</v>
      </c>
      <c r="AV68">
        <v>170</v>
      </c>
      <c r="AW68">
        <v>180</v>
      </c>
      <c r="AX68">
        <v>195</v>
      </c>
      <c r="AY68">
        <v>172.5</v>
      </c>
      <c r="AZ68">
        <v>205</v>
      </c>
      <c r="BA68">
        <v>195</v>
      </c>
      <c r="BB68">
        <v>182.5</v>
      </c>
      <c r="BC68">
        <v>222.5</v>
      </c>
      <c r="BD68">
        <v>170</v>
      </c>
      <c r="BE68">
        <v>160</v>
      </c>
      <c r="BF68">
        <v>190</v>
      </c>
      <c r="BG68">
        <v>155</v>
      </c>
      <c r="BH68">
        <v>265</v>
      </c>
    </row>
    <row r="69" spans="1:60" x14ac:dyDescent="0.25">
      <c r="A69" s="3"/>
      <c r="B69" s="1">
        <v>39052</v>
      </c>
      <c r="C69">
        <v>310</v>
      </c>
      <c r="D69">
        <v>400</v>
      </c>
      <c r="E69">
        <v>270</v>
      </c>
      <c r="F69">
        <v>270</v>
      </c>
      <c r="G69">
        <v>320</v>
      </c>
      <c r="H69">
        <v>420</v>
      </c>
      <c r="I69">
        <v>280</v>
      </c>
      <c r="J69">
        <v>420</v>
      </c>
      <c r="K69">
        <v>420</v>
      </c>
      <c r="L69">
        <v>360</v>
      </c>
      <c r="M69">
        <v>470</v>
      </c>
      <c r="N69">
        <v>407.5</v>
      </c>
      <c r="O69">
        <v>420</v>
      </c>
      <c r="P69">
        <v>280</v>
      </c>
      <c r="Q69">
        <v>270</v>
      </c>
      <c r="R69">
        <v>240</v>
      </c>
      <c r="S69">
        <v>317.5</v>
      </c>
      <c r="T69">
        <v>205</v>
      </c>
      <c r="U69">
        <v>380</v>
      </c>
      <c r="V69">
        <v>310</v>
      </c>
      <c r="W69">
        <v>260</v>
      </c>
      <c r="X69">
        <v>280</v>
      </c>
      <c r="Y69">
        <v>350</v>
      </c>
      <c r="Z69">
        <v>450</v>
      </c>
      <c r="AA69">
        <v>260</v>
      </c>
      <c r="AB69">
        <v>280</v>
      </c>
      <c r="AC69">
        <v>270</v>
      </c>
      <c r="AD69">
        <v>320</v>
      </c>
      <c r="AE69">
        <v>400</v>
      </c>
      <c r="AF69">
        <v>250</v>
      </c>
      <c r="AG69">
        <v>310</v>
      </c>
      <c r="AH69">
        <v>230</v>
      </c>
      <c r="AI69">
        <v>175</v>
      </c>
      <c r="AJ69" t="s">
        <v>21</v>
      </c>
      <c r="AK69">
        <v>160</v>
      </c>
      <c r="AL69">
        <v>175</v>
      </c>
      <c r="AM69">
        <v>210</v>
      </c>
      <c r="AN69">
        <v>180</v>
      </c>
      <c r="AO69">
        <v>240</v>
      </c>
      <c r="AP69">
        <v>310</v>
      </c>
      <c r="AQ69">
        <v>185</v>
      </c>
      <c r="AR69">
        <v>175</v>
      </c>
      <c r="AS69">
        <v>360</v>
      </c>
      <c r="AT69">
        <v>275</v>
      </c>
      <c r="AU69">
        <v>360</v>
      </c>
      <c r="AV69">
        <v>190</v>
      </c>
      <c r="AW69">
        <v>190</v>
      </c>
      <c r="AX69">
        <v>200</v>
      </c>
      <c r="AY69">
        <v>180</v>
      </c>
      <c r="AZ69">
        <v>207.5</v>
      </c>
      <c r="BA69">
        <v>197.5</v>
      </c>
      <c r="BB69">
        <v>167.5</v>
      </c>
      <c r="BC69">
        <v>240</v>
      </c>
      <c r="BD69">
        <v>180</v>
      </c>
      <c r="BE69">
        <v>160</v>
      </c>
      <c r="BF69">
        <v>200</v>
      </c>
      <c r="BG69">
        <v>160</v>
      </c>
      <c r="BH69">
        <v>270</v>
      </c>
    </row>
    <row r="70" spans="1:60" x14ac:dyDescent="0.25">
      <c r="A70" s="3"/>
      <c r="B70" s="1">
        <v>39142</v>
      </c>
      <c r="C70">
        <v>320</v>
      </c>
      <c r="D70">
        <v>410</v>
      </c>
      <c r="E70">
        <v>280</v>
      </c>
      <c r="F70">
        <v>280</v>
      </c>
      <c r="G70">
        <v>320</v>
      </c>
      <c r="H70">
        <v>460</v>
      </c>
      <c r="I70">
        <v>280</v>
      </c>
      <c r="J70">
        <v>405</v>
      </c>
      <c r="K70">
        <v>440</v>
      </c>
      <c r="L70">
        <v>365</v>
      </c>
      <c r="M70">
        <v>480</v>
      </c>
      <c r="N70">
        <v>420</v>
      </c>
      <c r="O70">
        <v>445</v>
      </c>
      <c r="P70">
        <v>290</v>
      </c>
      <c r="Q70">
        <v>300</v>
      </c>
      <c r="R70">
        <v>250</v>
      </c>
      <c r="S70">
        <v>340</v>
      </c>
      <c r="T70">
        <v>210</v>
      </c>
      <c r="U70">
        <v>395</v>
      </c>
      <c r="V70">
        <v>380</v>
      </c>
      <c r="W70">
        <v>255</v>
      </c>
      <c r="X70">
        <v>295</v>
      </c>
      <c r="Y70">
        <v>340</v>
      </c>
      <c r="Z70">
        <v>430</v>
      </c>
      <c r="AA70">
        <v>270</v>
      </c>
      <c r="AB70">
        <v>287.5</v>
      </c>
      <c r="AC70">
        <v>280</v>
      </c>
      <c r="AD70">
        <v>320</v>
      </c>
      <c r="AE70">
        <v>420</v>
      </c>
      <c r="AF70">
        <v>260</v>
      </c>
      <c r="AG70">
        <v>310</v>
      </c>
      <c r="AH70">
        <v>227.5</v>
      </c>
      <c r="AI70">
        <v>180</v>
      </c>
      <c r="AJ70" t="s">
        <v>21</v>
      </c>
      <c r="AK70">
        <v>170</v>
      </c>
      <c r="AL70">
        <v>180</v>
      </c>
      <c r="AM70">
        <v>220</v>
      </c>
      <c r="AN70">
        <v>185</v>
      </c>
      <c r="AO70">
        <v>250</v>
      </c>
      <c r="AP70">
        <v>330</v>
      </c>
      <c r="AQ70">
        <v>190</v>
      </c>
      <c r="AR70">
        <v>175</v>
      </c>
      <c r="AS70">
        <v>385</v>
      </c>
      <c r="AT70">
        <v>280</v>
      </c>
      <c r="AU70">
        <v>365</v>
      </c>
      <c r="AV70">
        <v>187.5</v>
      </c>
      <c r="AW70">
        <v>190</v>
      </c>
      <c r="AX70">
        <v>200</v>
      </c>
      <c r="AY70">
        <v>170</v>
      </c>
      <c r="AZ70">
        <v>190</v>
      </c>
      <c r="BA70">
        <v>200</v>
      </c>
      <c r="BB70">
        <v>160</v>
      </c>
      <c r="BC70">
        <v>240</v>
      </c>
      <c r="BD70">
        <v>180</v>
      </c>
      <c r="BE70">
        <v>160</v>
      </c>
      <c r="BF70">
        <v>200</v>
      </c>
      <c r="BG70">
        <v>160</v>
      </c>
      <c r="BH70">
        <v>270</v>
      </c>
    </row>
    <row r="71" spans="1:60" x14ac:dyDescent="0.25">
      <c r="A71" s="3"/>
      <c r="B71" s="1">
        <v>39234</v>
      </c>
      <c r="C71">
        <v>330</v>
      </c>
      <c r="D71">
        <v>430</v>
      </c>
      <c r="E71">
        <v>297.5</v>
      </c>
      <c r="F71">
        <v>280</v>
      </c>
      <c r="G71">
        <v>340</v>
      </c>
      <c r="H71">
        <v>420</v>
      </c>
      <c r="I71">
        <v>300</v>
      </c>
      <c r="J71">
        <v>440</v>
      </c>
      <c r="K71">
        <v>450</v>
      </c>
      <c r="L71">
        <v>395</v>
      </c>
      <c r="M71">
        <v>500</v>
      </c>
      <c r="N71">
        <v>420</v>
      </c>
      <c r="O71">
        <v>450</v>
      </c>
      <c r="P71">
        <v>300</v>
      </c>
      <c r="Q71">
        <v>280</v>
      </c>
      <c r="R71">
        <v>260</v>
      </c>
      <c r="S71">
        <v>340</v>
      </c>
      <c r="T71">
        <v>210</v>
      </c>
      <c r="U71">
        <v>430</v>
      </c>
      <c r="V71">
        <v>360</v>
      </c>
      <c r="W71">
        <v>270</v>
      </c>
      <c r="X71">
        <v>310</v>
      </c>
      <c r="Y71">
        <v>370</v>
      </c>
      <c r="Z71">
        <v>450</v>
      </c>
      <c r="AA71">
        <v>272.5</v>
      </c>
      <c r="AB71">
        <v>300</v>
      </c>
      <c r="AC71">
        <v>285</v>
      </c>
      <c r="AD71">
        <v>330</v>
      </c>
      <c r="AE71">
        <v>435</v>
      </c>
      <c r="AF71">
        <v>260</v>
      </c>
      <c r="AG71">
        <v>320</v>
      </c>
      <c r="AH71">
        <v>232.5</v>
      </c>
      <c r="AI71">
        <v>180</v>
      </c>
      <c r="AJ71" t="s">
        <v>21</v>
      </c>
      <c r="AK71">
        <v>165</v>
      </c>
      <c r="AL71">
        <v>185</v>
      </c>
      <c r="AM71">
        <v>230</v>
      </c>
      <c r="AN71">
        <v>200</v>
      </c>
      <c r="AO71">
        <v>255</v>
      </c>
      <c r="AP71">
        <v>340</v>
      </c>
      <c r="AQ71">
        <v>200</v>
      </c>
      <c r="AR71">
        <v>180</v>
      </c>
      <c r="AS71">
        <v>377.5</v>
      </c>
      <c r="AT71">
        <v>295</v>
      </c>
      <c r="AU71">
        <v>370</v>
      </c>
      <c r="AV71">
        <v>175</v>
      </c>
      <c r="AW71">
        <v>200</v>
      </c>
      <c r="AX71">
        <v>200</v>
      </c>
      <c r="AY71">
        <v>170</v>
      </c>
      <c r="AZ71">
        <v>202.5</v>
      </c>
      <c r="BA71">
        <v>220</v>
      </c>
      <c r="BB71">
        <v>180</v>
      </c>
      <c r="BC71">
        <v>250</v>
      </c>
      <c r="BD71">
        <v>180</v>
      </c>
      <c r="BE71">
        <v>165</v>
      </c>
      <c r="BF71">
        <v>200</v>
      </c>
      <c r="BG71">
        <v>160</v>
      </c>
      <c r="BH71">
        <v>280</v>
      </c>
    </row>
    <row r="72" spans="1:60" x14ac:dyDescent="0.25">
      <c r="A72" s="3"/>
      <c r="B72" s="1">
        <v>39326</v>
      </c>
      <c r="C72">
        <v>340</v>
      </c>
      <c r="D72">
        <v>430</v>
      </c>
      <c r="E72">
        <v>320</v>
      </c>
      <c r="F72">
        <v>290</v>
      </c>
      <c r="G72">
        <v>350</v>
      </c>
      <c r="H72">
        <v>445</v>
      </c>
      <c r="I72">
        <v>320</v>
      </c>
      <c r="J72">
        <v>412.5</v>
      </c>
      <c r="K72">
        <v>450</v>
      </c>
      <c r="L72">
        <v>385</v>
      </c>
      <c r="M72">
        <v>520</v>
      </c>
      <c r="N72">
        <v>420</v>
      </c>
      <c r="O72">
        <v>450</v>
      </c>
      <c r="P72">
        <v>300</v>
      </c>
      <c r="Q72">
        <v>300</v>
      </c>
      <c r="R72">
        <v>260</v>
      </c>
      <c r="S72">
        <v>340</v>
      </c>
      <c r="T72">
        <v>230</v>
      </c>
      <c r="U72">
        <v>420</v>
      </c>
      <c r="V72">
        <v>320</v>
      </c>
      <c r="W72">
        <v>277.5</v>
      </c>
      <c r="X72">
        <v>300</v>
      </c>
      <c r="Y72">
        <v>380</v>
      </c>
      <c r="Z72">
        <v>460</v>
      </c>
      <c r="AA72">
        <v>280</v>
      </c>
      <c r="AB72">
        <v>300</v>
      </c>
      <c r="AC72">
        <v>290</v>
      </c>
      <c r="AD72">
        <v>350</v>
      </c>
      <c r="AE72">
        <v>440</v>
      </c>
      <c r="AF72">
        <v>270</v>
      </c>
      <c r="AG72">
        <v>320</v>
      </c>
      <c r="AH72">
        <v>240</v>
      </c>
      <c r="AI72">
        <v>185</v>
      </c>
      <c r="AJ72" t="s">
        <v>21</v>
      </c>
      <c r="AK72">
        <v>172.5</v>
      </c>
      <c r="AL72">
        <v>185</v>
      </c>
      <c r="AM72">
        <v>225</v>
      </c>
      <c r="AN72">
        <v>190</v>
      </c>
      <c r="AO72">
        <v>260</v>
      </c>
      <c r="AP72">
        <v>345</v>
      </c>
      <c r="AQ72">
        <v>200</v>
      </c>
      <c r="AR72">
        <v>180</v>
      </c>
      <c r="AS72">
        <v>382.5</v>
      </c>
      <c r="AT72">
        <v>300</v>
      </c>
      <c r="AU72">
        <v>380</v>
      </c>
      <c r="AV72" t="s">
        <v>21</v>
      </c>
      <c r="AW72">
        <v>190</v>
      </c>
      <c r="AX72">
        <v>210</v>
      </c>
      <c r="AY72">
        <v>182.5</v>
      </c>
      <c r="AZ72">
        <v>197.5</v>
      </c>
      <c r="BA72">
        <v>205</v>
      </c>
      <c r="BB72">
        <v>180</v>
      </c>
      <c r="BC72">
        <v>240</v>
      </c>
      <c r="BD72">
        <v>182.5</v>
      </c>
      <c r="BE72">
        <v>170</v>
      </c>
      <c r="BF72">
        <v>220</v>
      </c>
      <c r="BG72">
        <v>160</v>
      </c>
      <c r="BH72">
        <v>290</v>
      </c>
    </row>
    <row r="73" spans="1:60" x14ac:dyDescent="0.25">
      <c r="A73" s="3"/>
      <c r="B73" s="1">
        <v>39417</v>
      </c>
      <c r="C73">
        <v>350</v>
      </c>
      <c r="D73">
        <v>450</v>
      </c>
      <c r="E73">
        <v>300</v>
      </c>
      <c r="F73">
        <v>320</v>
      </c>
      <c r="G73">
        <v>350</v>
      </c>
      <c r="H73">
        <v>470</v>
      </c>
      <c r="I73">
        <v>350</v>
      </c>
      <c r="J73">
        <v>450</v>
      </c>
      <c r="K73">
        <v>480</v>
      </c>
      <c r="L73">
        <v>410</v>
      </c>
      <c r="M73">
        <v>530</v>
      </c>
      <c r="N73">
        <v>460</v>
      </c>
      <c r="O73">
        <v>475</v>
      </c>
      <c r="P73">
        <v>320</v>
      </c>
      <c r="Q73">
        <v>340</v>
      </c>
      <c r="R73">
        <v>270</v>
      </c>
      <c r="S73">
        <v>355</v>
      </c>
      <c r="T73">
        <v>240</v>
      </c>
      <c r="U73">
        <v>450</v>
      </c>
      <c r="V73">
        <v>415</v>
      </c>
      <c r="W73">
        <v>280</v>
      </c>
      <c r="X73">
        <v>315</v>
      </c>
      <c r="Y73">
        <v>390</v>
      </c>
      <c r="Z73">
        <v>480</v>
      </c>
      <c r="AA73">
        <v>300</v>
      </c>
      <c r="AB73">
        <v>320</v>
      </c>
      <c r="AC73">
        <v>300</v>
      </c>
      <c r="AD73">
        <v>355</v>
      </c>
      <c r="AE73">
        <v>450</v>
      </c>
      <c r="AF73">
        <v>280</v>
      </c>
      <c r="AG73">
        <v>340</v>
      </c>
      <c r="AH73">
        <v>250</v>
      </c>
      <c r="AI73">
        <v>180</v>
      </c>
      <c r="AJ73" t="s">
        <v>21</v>
      </c>
      <c r="AK73">
        <v>185</v>
      </c>
      <c r="AL73">
        <v>190</v>
      </c>
      <c r="AM73">
        <v>230</v>
      </c>
      <c r="AN73">
        <v>200</v>
      </c>
      <c r="AO73">
        <v>270</v>
      </c>
      <c r="AP73">
        <v>350</v>
      </c>
      <c r="AQ73">
        <v>220</v>
      </c>
      <c r="AR73">
        <v>190</v>
      </c>
      <c r="AS73">
        <v>400</v>
      </c>
      <c r="AT73">
        <v>310</v>
      </c>
      <c r="AU73">
        <v>395</v>
      </c>
      <c r="AV73">
        <v>195</v>
      </c>
      <c r="AW73">
        <v>210</v>
      </c>
      <c r="AX73">
        <v>220</v>
      </c>
      <c r="AY73">
        <v>165</v>
      </c>
      <c r="AZ73">
        <v>195</v>
      </c>
      <c r="BA73">
        <v>220</v>
      </c>
      <c r="BB73">
        <v>190</v>
      </c>
      <c r="BC73">
        <v>250</v>
      </c>
      <c r="BD73">
        <v>190</v>
      </c>
      <c r="BE73">
        <v>180</v>
      </c>
      <c r="BF73">
        <v>210</v>
      </c>
      <c r="BG73">
        <v>165</v>
      </c>
      <c r="BH73">
        <v>300</v>
      </c>
    </row>
    <row r="74" spans="1:60" x14ac:dyDescent="0.25">
      <c r="A74" s="3"/>
      <c r="B74" s="1">
        <v>39508</v>
      </c>
      <c r="C74">
        <v>360</v>
      </c>
      <c r="D74">
        <v>460</v>
      </c>
      <c r="E74">
        <v>320</v>
      </c>
      <c r="F74">
        <v>310</v>
      </c>
      <c r="G74">
        <v>350</v>
      </c>
      <c r="H74">
        <v>460</v>
      </c>
      <c r="I74">
        <v>330</v>
      </c>
      <c r="J74">
        <v>450</v>
      </c>
      <c r="K74">
        <v>475</v>
      </c>
      <c r="L74">
        <v>430</v>
      </c>
      <c r="M74">
        <v>550</v>
      </c>
      <c r="N74">
        <v>455</v>
      </c>
      <c r="O74">
        <v>500</v>
      </c>
      <c r="P74">
        <v>325</v>
      </c>
      <c r="Q74">
        <v>320</v>
      </c>
      <c r="R74">
        <v>260</v>
      </c>
      <c r="S74">
        <v>360</v>
      </c>
      <c r="T74">
        <v>250</v>
      </c>
      <c r="U74">
        <v>460</v>
      </c>
      <c r="V74">
        <v>450</v>
      </c>
      <c r="W74">
        <v>290</v>
      </c>
      <c r="X74">
        <v>310</v>
      </c>
      <c r="Y74">
        <v>400</v>
      </c>
      <c r="Z74">
        <v>500</v>
      </c>
      <c r="AA74">
        <v>300</v>
      </c>
      <c r="AB74">
        <v>320</v>
      </c>
      <c r="AC74">
        <v>320</v>
      </c>
      <c r="AD74">
        <v>350</v>
      </c>
      <c r="AE74">
        <v>485</v>
      </c>
      <c r="AF74">
        <v>290</v>
      </c>
      <c r="AG74">
        <v>345</v>
      </c>
      <c r="AH74">
        <v>260</v>
      </c>
      <c r="AI74">
        <v>200</v>
      </c>
      <c r="AJ74" t="s">
        <v>21</v>
      </c>
      <c r="AK74">
        <v>175</v>
      </c>
      <c r="AL74">
        <v>190</v>
      </c>
      <c r="AM74">
        <v>230</v>
      </c>
      <c r="AN74">
        <v>220</v>
      </c>
      <c r="AO74">
        <v>270</v>
      </c>
      <c r="AP74">
        <v>350</v>
      </c>
      <c r="AQ74">
        <v>220</v>
      </c>
      <c r="AR74">
        <v>200</v>
      </c>
      <c r="AS74">
        <v>420</v>
      </c>
      <c r="AT74">
        <v>320</v>
      </c>
      <c r="AU74">
        <v>400</v>
      </c>
      <c r="AV74" t="s">
        <v>21</v>
      </c>
      <c r="AW74">
        <v>220</v>
      </c>
      <c r="AX74">
        <v>225</v>
      </c>
      <c r="AY74">
        <v>192.5</v>
      </c>
      <c r="AZ74">
        <v>220</v>
      </c>
      <c r="BA74">
        <v>220</v>
      </c>
      <c r="BB74">
        <v>185</v>
      </c>
      <c r="BC74">
        <v>250</v>
      </c>
      <c r="BD74">
        <v>190</v>
      </c>
      <c r="BE74">
        <v>170</v>
      </c>
      <c r="BF74">
        <v>220</v>
      </c>
      <c r="BG74">
        <v>170</v>
      </c>
      <c r="BH74">
        <v>300</v>
      </c>
    </row>
    <row r="75" spans="1:60" x14ac:dyDescent="0.25">
      <c r="A75" s="3"/>
      <c r="B75" s="1">
        <v>39600</v>
      </c>
      <c r="C75">
        <v>380</v>
      </c>
      <c r="D75">
        <v>490</v>
      </c>
      <c r="E75">
        <v>350</v>
      </c>
      <c r="F75">
        <v>345</v>
      </c>
      <c r="G75">
        <v>395</v>
      </c>
      <c r="H75">
        <v>530</v>
      </c>
      <c r="I75">
        <v>340</v>
      </c>
      <c r="J75">
        <v>495</v>
      </c>
      <c r="K75">
        <v>492.5</v>
      </c>
      <c r="L75">
        <v>450</v>
      </c>
      <c r="M75">
        <v>560</v>
      </c>
      <c r="N75">
        <v>492.5</v>
      </c>
      <c r="O75">
        <v>495</v>
      </c>
      <c r="P75">
        <v>350</v>
      </c>
      <c r="Q75">
        <v>350</v>
      </c>
      <c r="R75">
        <v>290</v>
      </c>
      <c r="S75">
        <v>380</v>
      </c>
      <c r="T75">
        <v>270</v>
      </c>
      <c r="U75">
        <v>485</v>
      </c>
      <c r="V75">
        <v>387.5</v>
      </c>
      <c r="W75">
        <v>300</v>
      </c>
      <c r="X75">
        <v>340</v>
      </c>
      <c r="Y75">
        <v>450</v>
      </c>
      <c r="Z75">
        <v>500</v>
      </c>
      <c r="AA75">
        <v>320</v>
      </c>
      <c r="AB75">
        <v>350</v>
      </c>
      <c r="AC75">
        <v>330</v>
      </c>
      <c r="AD75">
        <v>380</v>
      </c>
      <c r="AE75">
        <v>485</v>
      </c>
      <c r="AF75">
        <v>300</v>
      </c>
      <c r="AG75">
        <v>370</v>
      </c>
      <c r="AH75">
        <v>270</v>
      </c>
      <c r="AI75">
        <v>185</v>
      </c>
      <c r="AJ75" t="s">
        <v>21</v>
      </c>
      <c r="AK75">
        <v>185</v>
      </c>
      <c r="AL75">
        <v>210</v>
      </c>
      <c r="AM75">
        <v>230</v>
      </c>
      <c r="AN75">
        <v>222.5</v>
      </c>
      <c r="AO75">
        <v>290</v>
      </c>
      <c r="AP75">
        <v>370</v>
      </c>
      <c r="AQ75">
        <v>220</v>
      </c>
      <c r="AR75">
        <v>200</v>
      </c>
      <c r="AS75">
        <v>400</v>
      </c>
      <c r="AT75">
        <v>330</v>
      </c>
      <c r="AU75">
        <v>420</v>
      </c>
      <c r="AV75">
        <v>200</v>
      </c>
      <c r="AW75">
        <v>220</v>
      </c>
      <c r="AX75">
        <v>230</v>
      </c>
      <c r="AY75">
        <v>210</v>
      </c>
      <c r="AZ75">
        <v>222.5</v>
      </c>
      <c r="BA75">
        <v>215</v>
      </c>
      <c r="BB75">
        <v>210</v>
      </c>
      <c r="BC75">
        <v>253</v>
      </c>
      <c r="BD75">
        <v>185</v>
      </c>
      <c r="BE75">
        <v>177.5</v>
      </c>
      <c r="BF75">
        <v>230</v>
      </c>
      <c r="BG75">
        <v>170</v>
      </c>
      <c r="BH75">
        <v>320</v>
      </c>
    </row>
    <row r="76" spans="1:60" x14ac:dyDescent="0.25">
      <c r="A76" s="3"/>
      <c r="B76" s="1">
        <v>39692</v>
      </c>
      <c r="C76">
        <v>390</v>
      </c>
      <c r="D76">
        <v>480</v>
      </c>
      <c r="E76">
        <v>350</v>
      </c>
      <c r="F76">
        <v>360</v>
      </c>
      <c r="G76">
        <v>390</v>
      </c>
      <c r="H76">
        <v>520</v>
      </c>
      <c r="I76">
        <v>360</v>
      </c>
      <c r="J76">
        <v>460</v>
      </c>
      <c r="K76">
        <v>490</v>
      </c>
      <c r="L76">
        <v>442.5</v>
      </c>
      <c r="M76">
        <v>570</v>
      </c>
      <c r="N76">
        <v>470</v>
      </c>
      <c r="O76">
        <v>500</v>
      </c>
      <c r="P76">
        <v>360</v>
      </c>
      <c r="Q76">
        <v>360</v>
      </c>
      <c r="R76">
        <v>300</v>
      </c>
      <c r="S76">
        <v>400</v>
      </c>
      <c r="T76">
        <v>280</v>
      </c>
      <c r="U76">
        <v>480</v>
      </c>
      <c r="V76">
        <v>395</v>
      </c>
      <c r="W76">
        <v>320</v>
      </c>
      <c r="X76">
        <v>350</v>
      </c>
      <c r="Y76">
        <v>422.5</v>
      </c>
      <c r="Z76">
        <v>500</v>
      </c>
      <c r="AA76">
        <v>340</v>
      </c>
      <c r="AB76">
        <v>360</v>
      </c>
      <c r="AC76">
        <v>340</v>
      </c>
      <c r="AD76">
        <v>390</v>
      </c>
      <c r="AE76">
        <v>480</v>
      </c>
      <c r="AF76">
        <v>310</v>
      </c>
      <c r="AG76">
        <v>372.5</v>
      </c>
      <c r="AH76">
        <v>282.5</v>
      </c>
      <c r="AI76">
        <v>185</v>
      </c>
      <c r="AJ76" t="s">
        <v>21</v>
      </c>
      <c r="AK76">
        <v>192.5</v>
      </c>
      <c r="AL76">
        <v>220</v>
      </c>
      <c r="AM76">
        <v>240</v>
      </c>
      <c r="AN76">
        <v>232.5</v>
      </c>
      <c r="AO76">
        <v>300</v>
      </c>
      <c r="AP76">
        <v>380</v>
      </c>
      <c r="AQ76">
        <v>240</v>
      </c>
      <c r="AR76">
        <v>210</v>
      </c>
      <c r="AS76">
        <v>395</v>
      </c>
      <c r="AT76">
        <v>340</v>
      </c>
      <c r="AU76">
        <v>420</v>
      </c>
      <c r="AV76">
        <v>200</v>
      </c>
      <c r="AW76">
        <v>220</v>
      </c>
      <c r="AX76">
        <v>230</v>
      </c>
      <c r="AY76">
        <v>200</v>
      </c>
      <c r="AZ76">
        <v>220</v>
      </c>
      <c r="BA76">
        <v>240</v>
      </c>
      <c r="BB76">
        <v>190</v>
      </c>
      <c r="BC76">
        <v>260</v>
      </c>
      <c r="BD76">
        <v>200</v>
      </c>
      <c r="BE76">
        <v>185</v>
      </c>
      <c r="BF76">
        <v>232.5</v>
      </c>
      <c r="BG76">
        <v>175</v>
      </c>
      <c r="BH76">
        <v>340</v>
      </c>
    </row>
    <row r="77" spans="1:60" x14ac:dyDescent="0.25">
      <c r="A77" s="3"/>
      <c r="B77" s="1">
        <v>39783</v>
      </c>
      <c r="C77">
        <v>400</v>
      </c>
      <c r="D77">
        <v>500</v>
      </c>
      <c r="E77">
        <v>350</v>
      </c>
      <c r="F77">
        <v>350</v>
      </c>
      <c r="G77">
        <v>400</v>
      </c>
      <c r="H77">
        <v>490</v>
      </c>
      <c r="I77">
        <v>360</v>
      </c>
      <c r="J77">
        <v>450</v>
      </c>
      <c r="K77">
        <v>500</v>
      </c>
      <c r="L77">
        <v>450</v>
      </c>
      <c r="M77">
        <v>575</v>
      </c>
      <c r="N77">
        <v>500</v>
      </c>
      <c r="O77">
        <v>530</v>
      </c>
      <c r="P77">
        <v>360</v>
      </c>
      <c r="Q77">
        <v>380</v>
      </c>
      <c r="R77">
        <v>310</v>
      </c>
      <c r="S77">
        <v>400</v>
      </c>
      <c r="T77">
        <v>280</v>
      </c>
      <c r="U77">
        <v>460</v>
      </c>
      <c r="V77" t="s">
        <v>21</v>
      </c>
      <c r="W77">
        <v>330</v>
      </c>
      <c r="X77">
        <v>350</v>
      </c>
      <c r="Y77">
        <v>455</v>
      </c>
      <c r="Z77">
        <v>525</v>
      </c>
      <c r="AA77">
        <v>340</v>
      </c>
      <c r="AB77">
        <v>360</v>
      </c>
      <c r="AC77">
        <v>350</v>
      </c>
      <c r="AD77">
        <v>400</v>
      </c>
      <c r="AE77">
        <v>482.5</v>
      </c>
      <c r="AF77">
        <v>320</v>
      </c>
      <c r="AG77">
        <v>370</v>
      </c>
      <c r="AH77">
        <v>275</v>
      </c>
      <c r="AI77">
        <v>200</v>
      </c>
      <c r="AJ77" t="s">
        <v>21</v>
      </c>
      <c r="AK77">
        <v>200</v>
      </c>
      <c r="AL77">
        <v>230</v>
      </c>
      <c r="AM77">
        <v>240</v>
      </c>
      <c r="AN77">
        <v>225</v>
      </c>
      <c r="AO77">
        <v>320</v>
      </c>
      <c r="AP77">
        <v>385</v>
      </c>
      <c r="AQ77">
        <v>250</v>
      </c>
      <c r="AR77">
        <v>212.5</v>
      </c>
      <c r="AS77">
        <v>430</v>
      </c>
      <c r="AT77">
        <v>350</v>
      </c>
      <c r="AU77">
        <v>425</v>
      </c>
      <c r="AV77" t="s">
        <v>21</v>
      </c>
      <c r="AW77">
        <v>210</v>
      </c>
      <c r="AX77">
        <v>240</v>
      </c>
      <c r="AY77">
        <v>195</v>
      </c>
      <c r="AZ77">
        <v>230</v>
      </c>
      <c r="BA77">
        <v>220</v>
      </c>
      <c r="BB77">
        <v>205</v>
      </c>
      <c r="BC77">
        <v>260</v>
      </c>
      <c r="BD77">
        <v>200</v>
      </c>
      <c r="BE77">
        <v>185</v>
      </c>
      <c r="BF77">
        <v>250</v>
      </c>
      <c r="BG77">
        <v>180</v>
      </c>
      <c r="BH77">
        <v>350</v>
      </c>
    </row>
    <row r="78" spans="1:60" x14ac:dyDescent="0.25">
      <c r="A78" s="3"/>
      <c r="B78" s="1">
        <v>39873</v>
      </c>
      <c r="C78">
        <v>400</v>
      </c>
      <c r="D78">
        <v>500</v>
      </c>
      <c r="E78">
        <v>350</v>
      </c>
      <c r="F78">
        <v>330</v>
      </c>
      <c r="G78">
        <v>395</v>
      </c>
      <c r="H78">
        <v>515</v>
      </c>
      <c r="I78">
        <v>365</v>
      </c>
      <c r="J78">
        <v>500</v>
      </c>
      <c r="K78">
        <v>500</v>
      </c>
      <c r="L78">
        <v>450</v>
      </c>
      <c r="M78">
        <v>560</v>
      </c>
      <c r="N78">
        <v>520</v>
      </c>
      <c r="O78">
        <v>530</v>
      </c>
      <c r="P78">
        <v>370</v>
      </c>
      <c r="Q78">
        <v>380</v>
      </c>
      <c r="R78">
        <v>320</v>
      </c>
      <c r="S78">
        <v>405</v>
      </c>
      <c r="T78">
        <v>290</v>
      </c>
      <c r="U78">
        <v>500</v>
      </c>
      <c r="V78">
        <v>470</v>
      </c>
      <c r="W78">
        <v>347.5</v>
      </c>
      <c r="X78">
        <v>360</v>
      </c>
      <c r="Y78">
        <v>475</v>
      </c>
      <c r="Z78">
        <v>510</v>
      </c>
      <c r="AA78">
        <v>340</v>
      </c>
      <c r="AB78">
        <v>360</v>
      </c>
      <c r="AC78">
        <v>340</v>
      </c>
      <c r="AD78">
        <v>400</v>
      </c>
      <c r="AE78">
        <v>500</v>
      </c>
      <c r="AF78">
        <v>320</v>
      </c>
      <c r="AG78">
        <v>380</v>
      </c>
      <c r="AH78">
        <v>300</v>
      </c>
      <c r="AI78">
        <v>240</v>
      </c>
      <c r="AJ78" t="s">
        <v>21</v>
      </c>
      <c r="AK78">
        <v>200</v>
      </c>
      <c r="AL78">
        <v>237.5</v>
      </c>
      <c r="AM78">
        <v>240</v>
      </c>
      <c r="AN78">
        <v>230</v>
      </c>
      <c r="AO78">
        <v>310</v>
      </c>
      <c r="AP78">
        <v>395</v>
      </c>
      <c r="AQ78">
        <v>250</v>
      </c>
      <c r="AR78">
        <v>220</v>
      </c>
      <c r="AS78">
        <v>422.5</v>
      </c>
      <c r="AT78">
        <v>350</v>
      </c>
      <c r="AU78">
        <v>430</v>
      </c>
      <c r="AV78" t="s">
        <v>21</v>
      </c>
      <c r="AW78">
        <v>230</v>
      </c>
      <c r="AX78">
        <v>245</v>
      </c>
      <c r="AY78">
        <v>205</v>
      </c>
      <c r="AZ78">
        <v>220</v>
      </c>
      <c r="BA78">
        <v>240</v>
      </c>
      <c r="BB78">
        <v>200</v>
      </c>
      <c r="BC78">
        <v>275</v>
      </c>
      <c r="BD78">
        <v>210</v>
      </c>
      <c r="BE78">
        <v>190</v>
      </c>
      <c r="BF78">
        <v>250</v>
      </c>
      <c r="BG78">
        <v>180</v>
      </c>
      <c r="BH78">
        <v>335</v>
      </c>
    </row>
    <row r="79" spans="1:60" x14ac:dyDescent="0.25">
      <c r="A79" s="3"/>
      <c r="B79" s="1">
        <v>39965</v>
      </c>
      <c r="C79">
        <v>400</v>
      </c>
      <c r="D79">
        <v>500</v>
      </c>
      <c r="E79">
        <v>360</v>
      </c>
      <c r="F79">
        <v>360</v>
      </c>
      <c r="G79">
        <v>380</v>
      </c>
      <c r="H79">
        <v>500</v>
      </c>
      <c r="I79">
        <v>370</v>
      </c>
      <c r="J79">
        <v>450</v>
      </c>
      <c r="K79">
        <v>500</v>
      </c>
      <c r="L79">
        <v>450</v>
      </c>
      <c r="M79">
        <v>580</v>
      </c>
      <c r="N79">
        <v>500</v>
      </c>
      <c r="O79">
        <v>525</v>
      </c>
      <c r="P79">
        <v>370</v>
      </c>
      <c r="Q79">
        <v>390</v>
      </c>
      <c r="R79">
        <v>300</v>
      </c>
      <c r="S79">
        <v>400</v>
      </c>
      <c r="T79">
        <v>290</v>
      </c>
      <c r="U79">
        <v>500</v>
      </c>
      <c r="V79">
        <v>450</v>
      </c>
      <c r="W79">
        <v>340</v>
      </c>
      <c r="X79">
        <v>350</v>
      </c>
      <c r="Y79">
        <v>480</v>
      </c>
      <c r="Z79">
        <v>500</v>
      </c>
      <c r="AA79">
        <v>350</v>
      </c>
      <c r="AB79">
        <v>360</v>
      </c>
      <c r="AC79">
        <v>350</v>
      </c>
      <c r="AD79">
        <v>400</v>
      </c>
      <c r="AE79">
        <v>500</v>
      </c>
      <c r="AF79">
        <v>320</v>
      </c>
      <c r="AG79">
        <v>390</v>
      </c>
      <c r="AH79">
        <v>285</v>
      </c>
      <c r="AI79">
        <v>220</v>
      </c>
      <c r="AJ79" t="s">
        <v>21</v>
      </c>
      <c r="AK79">
        <v>200</v>
      </c>
      <c r="AL79">
        <v>240</v>
      </c>
      <c r="AM79">
        <v>250</v>
      </c>
      <c r="AN79">
        <v>210</v>
      </c>
      <c r="AO79">
        <v>310</v>
      </c>
      <c r="AP79">
        <v>390</v>
      </c>
      <c r="AQ79">
        <v>250</v>
      </c>
      <c r="AR79">
        <v>230</v>
      </c>
      <c r="AS79">
        <v>430</v>
      </c>
      <c r="AT79">
        <v>350</v>
      </c>
      <c r="AU79">
        <v>425</v>
      </c>
      <c r="AV79">
        <v>215</v>
      </c>
      <c r="AW79">
        <v>220</v>
      </c>
      <c r="AX79">
        <v>240</v>
      </c>
      <c r="AY79">
        <v>215</v>
      </c>
      <c r="AZ79">
        <v>262.5</v>
      </c>
      <c r="BA79">
        <v>250</v>
      </c>
      <c r="BB79">
        <v>200</v>
      </c>
      <c r="BC79">
        <v>270</v>
      </c>
      <c r="BD79">
        <v>210</v>
      </c>
      <c r="BE79">
        <v>210</v>
      </c>
      <c r="BF79">
        <v>242.5</v>
      </c>
      <c r="BG79">
        <v>180</v>
      </c>
      <c r="BH79">
        <v>350</v>
      </c>
    </row>
    <row r="80" spans="1:60" x14ac:dyDescent="0.25">
      <c r="A80" s="3"/>
      <c r="B80" s="1">
        <v>40057</v>
      </c>
      <c r="C80">
        <v>400</v>
      </c>
      <c r="D80">
        <v>500</v>
      </c>
      <c r="E80">
        <v>360</v>
      </c>
      <c r="F80">
        <v>410</v>
      </c>
      <c r="G80">
        <v>390</v>
      </c>
      <c r="H80">
        <v>480</v>
      </c>
      <c r="I80">
        <v>380</v>
      </c>
      <c r="J80">
        <v>480</v>
      </c>
      <c r="K80">
        <v>500</v>
      </c>
      <c r="L80">
        <v>450</v>
      </c>
      <c r="M80">
        <v>580</v>
      </c>
      <c r="N80">
        <v>495</v>
      </c>
      <c r="O80">
        <v>520</v>
      </c>
      <c r="P80">
        <v>370</v>
      </c>
      <c r="Q80">
        <v>370</v>
      </c>
      <c r="R80">
        <v>320</v>
      </c>
      <c r="S80">
        <v>400</v>
      </c>
      <c r="T80">
        <v>290</v>
      </c>
      <c r="U80">
        <v>500</v>
      </c>
      <c r="V80">
        <v>395</v>
      </c>
      <c r="W80">
        <v>340</v>
      </c>
      <c r="X80">
        <v>360</v>
      </c>
      <c r="Y80">
        <v>445</v>
      </c>
      <c r="Z80">
        <v>522.5</v>
      </c>
      <c r="AA80">
        <v>350</v>
      </c>
      <c r="AB80">
        <v>360</v>
      </c>
      <c r="AC80">
        <v>350</v>
      </c>
      <c r="AD80">
        <v>420</v>
      </c>
      <c r="AE80">
        <v>500</v>
      </c>
      <c r="AF80">
        <v>330</v>
      </c>
      <c r="AG80">
        <v>367.5</v>
      </c>
      <c r="AH80">
        <v>310</v>
      </c>
      <c r="AI80">
        <v>225</v>
      </c>
      <c r="AJ80" t="s">
        <v>21</v>
      </c>
      <c r="AK80">
        <v>220</v>
      </c>
      <c r="AL80">
        <v>240</v>
      </c>
      <c r="AM80">
        <v>250</v>
      </c>
      <c r="AN80">
        <v>237.5</v>
      </c>
      <c r="AO80">
        <v>320</v>
      </c>
      <c r="AP80">
        <v>395</v>
      </c>
      <c r="AQ80">
        <v>265</v>
      </c>
      <c r="AR80">
        <v>240</v>
      </c>
      <c r="AS80">
        <v>427.5</v>
      </c>
      <c r="AT80">
        <v>350</v>
      </c>
      <c r="AU80">
        <v>430</v>
      </c>
      <c r="AV80" t="s">
        <v>21</v>
      </c>
      <c r="AW80">
        <v>250</v>
      </c>
      <c r="AX80">
        <v>250</v>
      </c>
      <c r="AY80">
        <v>215</v>
      </c>
      <c r="AZ80">
        <v>255</v>
      </c>
      <c r="BA80">
        <v>230</v>
      </c>
      <c r="BB80">
        <v>200</v>
      </c>
      <c r="BC80">
        <v>280</v>
      </c>
      <c r="BD80">
        <v>220</v>
      </c>
      <c r="BE80">
        <v>210</v>
      </c>
      <c r="BF80">
        <v>252.5</v>
      </c>
      <c r="BG80">
        <v>180</v>
      </c>
      <c r="BH80">
        <v>350</v>
      </c>
    </row>
    <row r="81" spans="1:60" x14ac:dyDescent="0.25">
      <c r="A81" s="3"/>
      <c r="B81" s="1">
        <v>40148</v>
      </c>
      <c r="C81">
        <v>400</v>
      </c>
      <c r="D81">
        <v>500</v>
      </c>
      <c r="E81">
        <v>370</v>
      </c>
      <c r="F81">
        <v>360</v>
      </c>
      <c r="G81">
        <v>400</v>
      </c>
      <c r="H81">
        <v>497.5</v>
      </c>
      <c r="I81">
        <v>375</v>
      </c>
      <c r="J81">
        <v>490</v>
      </c>
      <c r="K81">
        <v>510</v>
      </c>
      <c r="L81">
        <v>470</v>
      </c>
      <c r="M81">
        <v>570</v>
      </c>
      <c r="N81">
        <v>540</v>
      </c>
      <c r="O81">
        <v>540</v>
      </c>
      <c r="P81">
        <v>380</v>
      </c>
      <c r="Q81">
        <v>360</v>
      </c>
      <c r="R81">
        <v>335</v>
      </c>
      <c r="S81">
        <v>420</v>
      </c>
      <c r="T81">
        <v>300</v>
      </c>
      <c r="U81">
        <v>480</v>
      </c>
      <c r="V81">
        <v>420</v>
      </c>
      <c r="W81">
        <v>345</v>
      </c>
      <c r="X81">
        <v>370</v>
      </c>
      <c r="Y81">
        <v>490</v>
      </c>
      <c r="Z81">
        <v>540</v>
      </c>
      <c r="AA81">
        <v>350</v>
      </c>
      <c r="AB81">
        <v>370</v>
      </c>
      <c r="AC81">
        <v>350</v>
      </c>
      <c r="AD81">
        <v>400</v>
      </c>
      <c r="AE81">
        <v>490</v>
      </c>
      <c r="AF81">
        <v>330</v>
      </c>
      <c r="AG81">
        <v>380</v>
      </c>
      <c r="AH81">
        <v>310</v>
      </c>
      <c r="AI81">
        <v>227.5</v>
      </c>
      <c r="AJ81" t="s">
        <v>21</v>
      </c>
      <c r="AK81">
        <v>220</v>
      </c>
      <c r="AL81">
        <v>262.5</v>
      </c>
      <c r="AM81">
        <v>260</v>
      </c>
      <c r="AN81">
        <v>230</v>
      </c>
      <c r="AO81">
        <v>320</v>
      </c>
      <c r="AP81">
        <v>400</v>
      </c>
      <c r="AQ81">
        <v>267.5</v>
      </c>
      <c r="AR81">
        <v>250</v>
      </c>
      <c r="AS81">
        <v>440</v>
      </c>
      <c r="AT81">
        <v>370</v>
      </c>
      <c r="AU81">
        <v>440</v>
      </c>
      <c r="AV81">
        <v>225</v>
      </c>
      <c r="AW81">
        <v>250</v>
      </c>
      <c r="AX81">
        <v>250</v>
      </c>
      <c r="AY81">
        <v>222.5</v>
      </c>
      <c r="AZ81">
        <v>245</v>
      </c>
      <c r="BA81">
        <v>240</v>
      </c>
      <c r="BB81">
        <v>220</v>
      </c>
      <c r="BC81">
        <v>280</v>
      </c>
      <c r="BD81">
        <v>220</v>
      </c>
      <c r="BE81">
        <v>200</v>
      </c>
      <c r="BF81">
        <v>260</v>
      </c>
      <c r="BG81">
        <v>185</v>
      </c>
      <c r="BH81">
        <v>360</v>
      </c>
    </row>
    <row r="82" spans="1:60" x14ac:dyDescent="0.25">
      <c r="A82" s="3"/>
      <c r="B82" s="1">
        <v>40238</v>
      </c>
      <c r="C82">
        <v>410</v>
      </c>
      <c r="D82">
        <v>520</v>
      </c>
      <c r="E82">
        <v>380</v>
      </c>
      <c r="F82">
        <v>370</v>
      </c>
      <c r="G82">
        <v>400</v>
      </c>
      <c r="H82">
        <v>500</v>
      </c>
      <c r="I82">
        <v>380</v>
      </c>
      <c r="J82">
        <v>480</v>
      </c>
      <c r="K82">
        <v>515</v>
      </c>
      <c r="L82">
        <v>480</v>
      </c>
      <c r="M82">
        <v>590</v>
      </c>
      <c r="N82">
        <v>550</v>
      </c>
      <c r="O82">
        <v>570</v>
      </c>
      <c r="P82">
        <v>380</v>
      </c>
      <c r="Q82">
        <v>362.5</v>
      </c>
      <c r="R82">
        <v>335</v>
      </c>
      <c r="S82">
        <v>420</v>
      </c>
      <c r="T82">
        <v>300</v>
      </c>
      <c r="U82">
        <v>510</v>
      </c>
      <c r="V82">
        <v>420</v>
      </c>
      <c r="W82">
        <v>350</v>
      </c>
      <c r="X82">
        <v>375</v>
      </c>
      <c r="Y82">
        <v>480</v>
      </c>
      <c r="Z82">
        <v>580</v>
      </c>
      <c r="AA82">
        <v>350</v>
      </c>
      <c r="AB82">
        <v>380</v>
      </c>
      <c r="AC82">
        <v>360</v>
      </c>
      <c r="AD82">
        <v>420</v>
      </c>
      <c r="AE82">
        <v>520</v>
      </c>
      <c r="AF82">
        <v>340</v>
      </c>
      <c r="AG82">
        <v>390</v>
      </c>
      <c r="AH82">
        <v>320</v>
      </c>
      <c r="AI82">
        <v>260</v>
      </c>
      <c r="AJ82" t="s">
        <v>21</v>
      </c>
      <c r="AK82">
        <v>240</v>
      </c>
      <c r="AL82">
        <v>260</v>
      </c>
      <c r="AM82">
        <v>260</v>
      </c>
      <c r="AN82">
        <v>250</v>
      </c>
      <c r="AO82">
        <v>320</v>
      </c>
      <c r="AP82">
        <v>400</v>
      </c>
      <c r="AQ82">
        <v>280</v>
      </c>
      <c r="AR82">
        <v>240</v>
      </c>
      <c r="AS82">
        <v>450</v>
      </c>
      <c r="AT82">
        <v>360</v>
      </c>
      <c r="AU82">
        <v>450</v>
      </c>
      <c r="AV82" t="s">
        <v>21</v>
      </c>
      <c r="AW82">
        <v>260</v>
      </c>
      <c r="AX82">
        <v>260</v>
      </c>
      <c r="AY82">
        <v>220</v>
      </c>
      <c r="AZ82">
        <v>270</v>
      </c>
      <c r="BA82">
        <v>250</v>
      </c>
      <c r="BB82">
        <v>220</v>
      </c>
      <c r="BC82">
        <v>285</v>
      </c>
      <c r="BD82">
        <v>210</v>
      </c>
      <c r="BE82">
        <v>220</v>
      </c>
      <c r="BF82">
        <v>265</v>
      </c>
      <c r="BG82">
        <v>190</v>
      </c>
      <c r="BH82">
        <v>360</v>
      </c>
    </row>
    <row r="83" spans="1:60" x14ac:dyDescent="0.25">
      <c r="A83" s="3"/>
      <c r="B83" s="1">
        <v>40330</v>
      </c>
      <c r="C83">
        <v>420</v>
      </c>
      <c r="D83">
        <v>540</v>
      </c>
      <c r="E83">
        <v>385</v>
      </c>
      <c r="F83">
        <v>390</v>
      </c>
      <c r="G83">
        <v>410</v>
      </c>
      <c r="H83">
        <v>510</v>
      </c>
      <c r="I83">
        <v>400</v>
      </c>
      <c r="J83">
        <v>500</v>
      </c>
      <c r="K83">
        <v>550</v>
      </c>
      <c r="L83">
        <v>490</v>
      </c>
      <c r="M83">
        <v>620</v>
      </c>
      <c r="N83">
        <v>525</v>
      </c>
      <c r="O83">
        <v>550</v>
      </c>
      <c r="P83">
        <v>390</v>
      </c>
      <c r="Q83">
        <v>370</v>
      </c>
      <c r="R83">
        <v>340</v>
      </c>
      <c r="S83">
        <v>420</v>
      </c>
      <c r="T83">
        <v>310</v>
      </c>
      <c r="U83">
        <v>510</v>
      </c>
      <c r="V83">
        <v>520</v>
      </c>
      <c r="W83">
        <v>350</v>
      </c>
      <c r="X83">
        <v>385</v>
      </c>
      <c r="Y83">
        <v>510</v>
      </c>
      <c r="Z83">
        <v>540</v>
      </c>
      <c r="AA83">
        <v>360</v>
      </c>
      <c r="AB83">
        <v>390</v>
      </c>
      <c r="AC83">
        <v>365</v>
      </c>
      <c r="AD83">
        <v>420</v>
      </c>
      <c r="AE83">
        <v>520</v>
      </c>
      <c r="AF83">
        <v>340</v>
      </c>
      <c r="AG83">
        <v>410</v>
      </c>
      <c r="AH83">
        <v>310</v>
      </c>
      <c r="AI83">
        <v>230</v>
      </c>
      <c r="AJ83">
        <v>312.5</v>
      </c>
      <c r="AK83">
        <v>230</v>
      </c>
      <c r="AL83">
        <v>260</v>
      </c>
      <c r="AM83">
        <v>260</v>
      </c>
      <c r="AN83">
        <v>250</v>
      </c>
      <c r="AO83">
        <v>340</v>
      </c>
      <c r="AP83">
        <v>410</v>
      </c>
      <c r="AQ83">
        <v>280</v>
      </c>
      <c r="AR83">
        <v>250</v>
      </c>
      <c r="AS83">
        <v>460</v>
      </c>
      <c r="AT83">
        <v>380</v>
      </c>
      <c r="AU83">
        <v>455</v>
      </c>
      <c r="AV83" t="s">
        <v>21</v>
      </c>
      <c r="AW83">
        <v>262.5</v>
      </c>
      <c r="AX83">
        <v>260</v>
      </c>
      <c r="AY83">
        <v>245</v>
      </c>
      <c r="AZ83">
        <v>255</v>
      </c>
      <c r="BA83">
        <v>240</v>
      </c>
      <c r="BB83">
        <v>220</v>
      </c>
      <c r="BC83">
        <v>290</v>
      </c>
      <c r="BD83">
        <v>232.5</v>
      </c>
      <c r="BE83">
        <v>210</v>
      </c>
      <c r="BF83">
        <v>280</v>
      </c>
      <c r="BG83">
        <v>190</v>
      </c>
      <c r="BH83">
        <v>370</v>
      </c>
    </row>
    <row r="84" spans="1:60" x14ac:dyDescent="0.25">
      <c r="A84" s="3"/>
      <c r="B84" s="1">
        <v>40422</v>
      </c>
      <c r="C84">
        <v>430</v>
      </c>
      <c r="D84">
        <v>550</v>
      </c>
      <c r="E84">
        <v>380</v>
      </c>
      <c r="F84">
        <v>395</v>
      </c>
      <c r="G84">
        <v>430</v>
      </c>
      <c r="H84">
        <v>498</v>
      </c>
      <c r="I84">
        <v>400</v>
      </c>
      <c r="J84">
        <v>512.5</v>
      </c>
      <c r="K84">
        <v>550</v>
      </c>
      <c r="L84">
        <v>492.5</v>
      </c>
      <c r="M84">
        <v>620</v>
      </c>
      <c r="N84">
        <v>550</v>
      </c>
      <c r="O84">
        <v>555</v>
      </c>
      <c r="P84">
        <v>395</v>
      </c>
      <c r="Q84">
        <v>400</v>
      </c>
      <c r="R84">
        <v>350</v>
      </c>
      <c r="S84">
        <v>440</v>
      </c>
      <c r="T84">
        <v>315</v>
      </c>
      <c r="U84">
        <v>535</v>
      </c>
      <c r="V84">
        <v>430</v>
      </c>
      <c r="W84">
        <v>360</v>
      </c>
      <c r="X84">
        <v>380</v>
      </c>
      <c r="Y84">
        <v>525</v>
      </c>
      <c r="Z84">
        <v>550</v>
      </c>
      <c r="AA84">
        <v>360</v>
      </c>
      <c r="AB84">
        <v>390</v>
      </c>
      <c r="AC84">
        <v>380</v>
      </c>
      <c r="AD84">
        <v>420</v>
      </c>
      <c r="AE84">
        <v>530</v>
      </c>
      <c r="AF84">
        <v>350</v>
      </c>
      <c r="AG84">
        <v>400</v>
      </c>
      <c r="AH84">
        <v>330</v>
      </c>
      <c r="AI84">
        <v>237.5</v>
      </c>
      <c r="AJ84" t="s">
        <v>21</v>
      </c>
      <c r="AK84">
        <v>240</v>
      </c>
      <c r="AL84">
        <v>270</v>
      </c>
      <c r="AM84">
        <v>270</v>
      </c>
      <c r="AN84">
        <v>270</v>
      </c>
      <c r="AO84">
        <v>340</v>
      </c>
      <c r="AP84">
        <v>415</v>
      </c>
      <c r="AQ84">
        <v>280</v>
      </c>
      <c r="AR84">
        <v>260</v>
      </c>
      <c r="AS84">
        <v>450</v>
      </c>
      <c r="AT84">
        <v>380</v>
      </c>
      <c r="AU84">
        <v>460</v>
      </c>
      <c r="AV84">
        <v>215</v>
      </c>
      <c r="AW84">
        <v>260</v>
      </c>
      <c r="AX84">
        <v>270</v>
      </c>
      <c r="AY84">
        <v>240</v>
      </c>
      <c r="AZ84">
        <v>275</v>
      </c>
      <c r="BA84">
        <v>250</v>
      </c>
      <c r="BB84">
        <v>250</v>
      </c>
      <c r="BC84">
        <v>300</v>
      </c>
      <c r="BD84">
        <v>227.5</v>
      </c>
      <c r="BE84">
        <v>220</v>
      </c>
      <c r="BF84">
        <v>285</v>
      </c>
      <c r="BG84">
        <v>195</v>
      </c>
      <c r="BH84">
        <v>380</v>
      </c>
    </row>
    <row r="85" spans="1:60" x14ac:dyDescent="0.25">
      <c r="A85" s="3"/>
      <c r="B85" s="1">
        <v>40513</v>
      </c>
      <c r="C85">
        <v>435</v>
      </c>
      <c r="D85">
        <v>550</v>
      </c>
      <c r="E85">
        <v>395</v>
      </c>
      <c r="F85">
        <v>395</v>
      </c>
      <c r="G85">
        <v>450</v>
      </c>
      <c r="H85">
        <v>550</v>
      </c>
      <c r="I85">
        <v>400</v>
      </c>
      <c r="J85">
        <v>510</v>
      </c>
      <c r="K85">
        <v>550</v>
      </c>
      <c r="L85">
        <v>500</v>
      </c>
      <c r="M85">
        <v>640</v>
      </c>
      <c r="N85">
        <v>600</v>
      </c>
      <c r="O85">
        <v>585</v>
      </c>
      <c r="P85">
        <v>400</v>
      </c>
      <c r="Q85">
        <v>400</v>
      </c>
      <c r="R85">
        <v>350</v>
      </c>
      <c r="S85">
        <v>420</v>
      </c>
      <c r="T85">
        <v>320</v>
      </c>
      <c r="U85">
        <v>530</v>
      </c>
      <c r="V85">
        <v>520</v>
      </c>
      <c r="W85">
        <v>365</v>
      </c>
      <c r="X85">
        <v>390</v>
      </c>
      <c r="Y85">
        <v>530</v>
      </c>
      <c r="Z85">
        <v>570</v>
      </c>
      <c r="AA85">
        <v>370</v>
      </c>
      <c r="AB85">
        <v>390</v>
      </c>
      <c r="AC85">
        <v>380</v>
      </c>
      <c r="AD85">
        <v>420</v>
      </c>
      <c r="AE85">
        <v>540</v>
      </c>
      <c r="AF85">
        <v>350</v>
      </c>
      <c r="AG85">
        <v>410</v>
      </c>
      <c r="AH85">
        <v>330</v>
      </c>
      <c r="AI85">
        <v>250</v>
      </c>
      <c r="AJ85" t="s">
        <v>21</v>
      </c>
      <c r="AK85">
        <v>252.5</v>
      </c>
      <c r="AL85">
        <v>270</v>
      </c>
      <c r="AM85">
        <v>280</v>
      </c>
      <c r="AN85">
        <v>285</v>
      </c>
      <c r="AO85">
        <v>350</v>
      </c>
      <c r="AP85">
        <v>430</v>
      </c>
      <c r="AQ85">
        <v>295</v>
      </c>
      <c r="AR85">
        <v>250</v>
      </c>
      <c r="AS85">
        <v>472.5</v>
      </c>
      <c r="AT85">
        <v>390</v>
      </c>
      <c r="AU85">
        <v>480</v>
      </c>
      <c r="AV85" t="s">
        <v>21</v>
      </c>
      <c r="AW85">
        <v>260</v>
      </c>
      <c r="AX85">
        <v>275</v>
      </c>
      <c r="AY85">
        <v>240</v>
      </c>
      <c r="AZ85">
        <v>250</v>
      </c>
      <c r="BA85">
        <v>265</v>
      </c>
      <c r="BB85">
        <v>240</v>
      </c>
      <c r="BC85">
        <v>300</v>
      </c>
      <c r="BD85">
        <v>230</v>
      </c>
      <c r="BE85">
        <v>210</v>
      </c>
      <c r="BF85">
        <v>285</v>
      </c>
      <c r="BG85">
        <v>200</v>
      </c>
      <c r="BH85">
        <v>380</v>
      </c>
    </row>
    <row r="86" spans="1:60" x14ac:dyDescent="0.25">
      <c r="A86" s="3"/>
      <c r="B86" s="1">
        <v>40603</v>
      </c>
      <c r="C86">
        <v>440</v>
      </c>
      <c r="D86">
        <v>560</v>
      </c>
      <c r="E86">
        <v>395</v>
      </c>
      <c r="F86">
        <v>500</v>
      </c>
      <c r="G86">
        <v>440</v>
      </c>
      <c r="H86">
        <v>540</v>
      </c>
      <c r="I86">
        <v>410</v>
      </c>
      <c r="J86">
        <v>540</v>
      </c>
      <c r="K86">
        <v>567.5</v>
      </c>
      <c r="L86">
        <v>520</v>
      </c>
      <c r="M86">
        <v>640</v>
      </c>
      <c r="N86">
        <v>600</v>
      </c>
      <c r="O86">
        <v>590</v>
      </c>
      <c r="P86">
        <v>400</v>
      </c>
      <c r="Q86">
        <v>392.5</v>
      </c>
      <c r="R86">
        <v>350</v>
      </c>
      <c r="S86">
        <v>430</v>
      </c>
      <c r="T86">
        <v>320</v>
      </c>
      <c r="U86">
        <v>520</v>
      </c>
      <c r="V86">
        <v>450</v>
      </c>
      <c r="W86">
        <v>380</v>
      </c>
      <c r="X86">
        <v>400</v>
      </c>
      <c r="Y86">
        <v>550</v>
      </c>
      <c r="Z86">
        <v>590</v>
      </c>
      <c r="AA86">
        <v>375</v>
      </c>
      <c r="AB86">
        <v>400</v>
      </c>
      <c r="AC86">
        <v>380</v>
      </c>
      <c r="AD86">
        <v>430</v>
      </c>
      <c r="AE86">
        <v>540</v>
      </c>
      <c r="AF86">
        <v>360</v>
      </c>
      <c r="AG86">
        <v>410</v>
      </c>
      <c r="AH86">
        <v>330</v>
      </c>
      <c r="AI86">
        <v>250</v>
      </c>
      <c r="AJ86">
        <v>330</v>
      </c>
      <c r="AK86">
        <v>270</v>
      </c>
      <c r="AL86">
        <v>280</v>
      </c>
      <c r="AM86">
        <v>280</v>
      </c>
      <c r="AN86">
        <v>270</v>
      </c>
      <c r="AO86">
        <v>350</v>
      </c>
      <c r="AP86">
        <v>435</v>
      </c>
      <c r="AQ86">
        <v>290</v>
      </c>
      <c r="AR86">
        <v>260</v>
      </c>
      <c r="AS86">
        <v>500</v>
      </c>
      <c r="AT86">
        <v>400</v>
      </c>
      <c r="AU86">
        <v>475</v>
      </c>
      <c r="AV86">
        <v>250</v>
      </c>
      <c r="AW86">
        <v>260</v>
      </c>
      <c r="AX86">
        <v>285</v>
      </c>
      <c r="AY86">
        <v>240</v>
      </c>
      <c r="AZ86">
        <v>300</v>
      </c>
      <c r="BA86">
        <v>260</v>
      </c>
      <c r="BB86">
        <v>250</v>
      </c>
      <c r="BC86">
        <v>317.5</v>
      </c>
      <c r="BD86">
        <v>270</v>
      </c>
      <c r="BE86">
        <v>225</v>
      </c>
      <c r="BF86">
        <v>290</v>
      </c>
      <c r="BG86">
        <v>200</v>
      </c>
      <c r="BH86">
        <v>380</v>
      </c>
    </row>
    <row r="87" spans="1:60" x14ac:dyDescent="0.25">
      <c r="A87" s="3"/>
      <c r="B87" s="1">
        <v>40695</v>
      </c>
      <c r="C87">
        <v>450</v>
      </c>
      <c r="D87">
        <v>575</v>
      </c>
      <c r="E87">
        <v>420</v>
      </c>
      <c r="F87">
        <v>420</v>
      </c>
      <c r="G87">
        <v>450</v>
      </c>
      <c r="H87">
        <v>530</v>
      </c>
      <c r="I87">
        <v>420</v>
      </c>
      <c r="J87">
        <v>550</v>
      </c>
      <c r="K87">
        <v>595</v>
      </c>
      <c r="L87">
        <v>520</v>
      </c>
      <c r="M87">
        <v>650</v>
      </c>
      <c r="N87">
        <v>600</v>
      </c>
      <c r="O87">
        <v>600</v>
      </c>
      <c r="P87">
        <v>410</v>
      </c>
      <c r="Q87">
        <v>387.5</v>
      </c>
      <c r="R87">
        <v>360</v>
      </c>
      <c r="S87">
        <v>450</v>
      </c>
      <c r="T87">
        <v>330</v>
      </c>
      <c r="U87">
        <v>550</v>
      </c>
      <c r="V87">
        <v>522.5</v>
      </c>
      <c r="W87">
        <v>380</v>
      </c>
      <c r="X87">
        <v>400</v>
      </c>
      <c r="Y87">
        <v>550</v>
      </c>
      <c r="Z87">
        <v>580</v>
      </c>
      <c r="AA87">
        <v>380</v>
      </c>
      <c r="AB87">
        <v>390</v>
      </c>
      <c r="AC87">
        <v>390</v>
      </c>
      <c r="AD87">
        <v>435</v>
      </c>
      <c r="AE87">
        <v>550</v>
      </c>
      <c r="AF87">
        <v>360</v>
      </c>
      <c r="AG87">
        <v>460</v>
      </c>
      <c r="AH87">
        <v>340</v>
      </c>
      <c r="AI87">
        <v>270</v>
      </c>
      <c r="AJ87" t="s">
        <v>21</v>
      </c>
      <c r="AK87">
        <v>260</v>
      </c>
      <c r="AL87">
        <v>280</v>
      </c>
      <c r="AM87">
        <v>290</v>
      </c>
      <c r="AN87">
        <v>280</v>
      </c>
      <c r="AO87">
        <v>350</v>
      </c>
      <c r="AP87">
        <v>430</v>
      </c>
      <c r="AQ87">
        <v>295</v>
      </c>
      <c r="AR87">
        <v>267.5</v>
      </c>
      <c r="AS87">
        <v>460</v>
      </c>
      <c r="AT87">
        <v>400</v>
      </c>
      <c r="AU87">
        <v>480</v>
      </c>
      <c r="AV87" t="s">
        <v>21</v>
      </c>
      <c r="AW87">
        <v>260</v>
      </c>
      <c r="AX87">
        <v>280</v>
      </c>
      <c r="AY87">
        <v>260</v>
      </c>
      <c r="AZ87">
        <v>300</v>
      </c>
      <c r="BA87">
        <v>280</v>
      </c>
      <c r="BB87">
        <v>247.5</v>
      </c>
      <c r="BC87">
        <v>320</v>
      </c>
      <c r="BD87">
        <v>250</v>
      </c>
      <c r="BE87">
        <v>200</v>
      </c>
      <c r="BF87">
        <v>290</v>
      </c>
      <c r="BG87">
        <v>205</v>
      </c>
      <c r="BH87">
        <v>390</v>
      </c>
    </row>
    <row r="88" spans="1:60" x14ac:dyDescent="0.25">
      <c r="A88" s="3"/>
      <c r="B88" s="1">
        <v>40787</v>
      </c>
      <c r="C88">
        <v>450</v>
      </c>
      <c r="D88">
        <v>570</v>
      </c>
      <c r="E88">
        <v>400</v>
      </c>
      <c r="F88">
        <v>430</v>
      </c>
      <c r="G88">
        <v>445</v>
      </c>
      <c r="H88">
        <v>600</v>
      </c>
      <c r="I88">
        <v>420</v>
      </c>
      <c r="J88">
        <v>542.5</v>
      </c>
      <c r="K88">
        <v>580</v>
      </c>
      <c r="L88">
        <v>525</v>
      </c>
      <c r="M88">
        <v>660</v>
      </c>
      <c r="N88">
        <v>580</v>
      </c>
      <c r="O88">
        <v>595</v>
      </c>
      <c r="P88">
        <v>420</v>
      </c>
      <c r="Q88">
        <v>390</v>
      </c>
      <c r="R88">
        <v>360</v>
      </c>
      <c r="S88">
        <v>452.5</v>
      </c>
      <c r="T88">
        <v>340</v>
      </c>
      <c r="U88">
        <v>560</v>
      </c>
      <c r="V88">
        <v>440</v>
      </c>
      <c r="W88">
        <v>370</v>
      </c>
      <c r="X88">
        <v>420</v>
      </c>
      <c r="Y88">
        <v>567.5</v>
      </c>
      <c r="Z88">
        <v>600</v>
      </c>
      <c r="AA88">
        <v>385</v>
      </c>
      <c r="AB88">
        <v>400</v>
      </c>
      <c r="AC88">
        <v>400</v>
      </c>
      <c r="AD88">
        <v>450</v>
      </c>
      <c r="AE88">
        <v>560</v>
      </c>
      <c r="AF88">
        <v>370</v>
      </c>
      <c r="AG88">
        <v>440</v>
      </c>
      <c r="AH88">
        <v>330</v>
      </c>
      <c r="AI88">
        <v>280</v>
      </c>
      <c r="AJ88" t="s">
        <v>21</v>
      </c>
      <c r="AK88">
        <v>260</v>
      </c>
      <c r="AL88">
        <v>300</v>
      </c>
      <c r="AM88">
        <v>290</v>
      </c>
      <c r="AN88">
        <v>270</v>
      </c>
      <c r="AO88">
        <v>360</v>
      </c>
      <c r="AP88">
        <v>430</v>
      </c>
      <c r="AQ88">
        <v>300</v>
      </c>
      <c r="AR88">
        <v>265</v>
      </c>
      <c r="AS88">
        <v>475</v>
      </c>
      <c r="AT88">
        <v>400</v>
      </c>
      <c r="AU88">
        <v>480</v>
      </c>
      <c r="AV88" t="s">
        <v>21</v>
      </c>
      <c r="AW88">
        <v>270</v>
      </c>
      <c r="AX88">
        <v>290</v>
      </c>
      <c r="AY88">
        <v>252.5</v>
      </c>
      <c r="AZ88">
        <v>295</v>
      </c>
      <c r="BA88">
        <v>280</v>
      </c>
      <c r="BB88">
        <v>272.5</v>
      </c>
      <c r="BC88">
        <v>327.5</v>
      </c>
      <c r="BD88">
        <v>250</v>
      </c>
      <c r="BE88">
        <v>240</v>
      </c>
      <c r="BF88">
        <v>300</v>
      </c>
      <c r="BG88">
        <v>210</v>
      </c>
      <c r="BH88">
        <v>400</v>
      </c>
    </row>
    <row r="89" spans="1:60" x14ac:dyDescent="0.25">
      <c r="A89" s="3"/>
      <c r="B89" s="1">
        <v>40878</v>
      </c>
      <c r="C89">
        <v>450</v>
      </c>
      <c r="D89">
        <v>590</v>
      </c>
      <c r="E89">
        <v>415</v>
      </c>
      <c r="F89">
        <v>420</v>
      </c>
      <c r="G89">
        <v>445</v>
      </c>
      <c r="H89">
        <v>560</v>
      </c>
      <c r="I89">
        <v>422.5</v>
      </c>
      <c r="J89">
        <v>550</v>
      </c>
      <c r="K89">
        <v>580</v>
      </c>
      <c r="L89">
        <v>540</v>
      </c>
      <c r="M89">
        <v>670</v>
      </c>
      <c r="N89">
        <v>630</v>
      </c>
      <c r="O89">
        <v>600</v>
      </c>
      <c r="P89">
        <v>420</v>
      </c>
      <c r="Q89">
        <v>410</v>
      </c>
      <c r="R89">
        <v>370</v>
      </c>
      <c r="S89">
        <v>440</v>
      </c>
      <c r="T89">
        <v>330</v>
      </c>
      <c r="U89">
        <v>550</v>
      </c>
      <c r="V89" t="s">
        <v>21</v>
      </c>
      <c r="W89">
        <v>380</v>
      </c>
      <c r="X89">
        <v>420</v>
      </c>
      <c r="Y89">
        <v>550</v>
      </c>
      <c r="Z89">
        <v>590</v>
      </c>
      <c r="AA89">
        <v>390</v>
      </c>
      <c r="AB89">
        <v>405</v>
      </c>
      <c r="AC89">
        <v>400</v>
      </c>
      <c r="AD89">
        <v>440</v>
      </c>
      <c r="AE89">
        <v>550</v>
      </c>
      <c r="AF89">
        <v>375</v>
      </c>
      <c r="AG89">
        <v>450</v>
      </c>
      <c r="AH89">
        <v>342.5</v>
      </c>
      <c r="AI89">
        <v>250</v>
      </c>
      <c r="AJ89" t="s">
        <v>21</v>
      </c>
      <c r="AK89">
        <v>290</v>
      </c>
      <c r="AL89">
        <v>300</v>
      </c>
      <c r="AM89">
        <v>295</v>
      </c>
      <c r="AN89">
        <v>285</v>
      </c>
      <c r="AO89">
        <v>360</v>
      </c>
      <c r="AP89">
        <v>430</v>
      </c>
      <c r="AQ89">
        <v>302.5</v>
      </c>
      <c r="AR89">
        <v>280</v>
      </c>
      <c r="AS89">
        <v>485</v>
      </c>
      <c r="AT89">
        <v>415</v>
      </c>
      <c r="AU89">
        <v>500</v>
      </c>
      <c r="AV89" t="s">
        <v>21</v>
      </c>
      <c r="AW89">
        <v>265</v>
      </c>
      <c r="AX89">
        <v>285</v>
      </c>
      <c r="AY89">
        <v>270</v>
      </c>
      <c r="AZ89">
        <v>265</v>
      </c>
      <c r="BA89">
        <v>265</v>
      </c>
      <c r="BB89">
        <v>270</v>
      </c>
      <c r="BC89">
        <v>320</v>
      </c>
      <c r="BD89">
        <v>250</v>
      </c>
      <c r="BE89">
        <v>240</v>
      </c>
      <c r="BF89">
        <v>290</v>
      </c>
      <c r="BG89">
        <v>210</v>
      </c>
      <c r="BH89">
        <v>400</v>
      </c>
    </row>
    <row r="90" spans="1:60" x14ac:dyDescent="0.25">
      <c r="A90" s="3"/>
      <c r="B90" s="1">
        <v>40969</v>
      </c>
      <c r="C90">
        <v>450</v>
      </c>
      <c r="D90">
        <v>585</v>
      </c>
      <c r="E90">
        <v>410</v>
      </c>
      <c r="F90">
        <v>430</v>
      </c>
      <c r="G90">
        <v>460</v>
      </c>
      <c r="H90">
        <v>555</v>
      </c>
      <c r="I90">
        <v>420</v>
      </c>
      <c r="J90">
        <v>562.5</v>
      </c>
      <c r="K90">
        <v>585</v>
      </c>
      <c r="L90">
        <v>550</v>
      </c>
      <c r="M90">
        <v>680</v>
      </c>
      <c r="N90">
        <v>625</v>
      </c>
      <c r="O90">
        <v>625</v>
      </c>
      <c r="P90">
        <v>420</v>
      </c>
      <c r="Q90">
        <v>410</v>
      </c>
      <c r="R90">
        <v>362.5</v>
      </c>
      <c r="S90">
        <v>460</v>
      </c>
      <c r="T90">
        <v>330</v>
      </c>
      <c r="U90">
        <v>550</v>
      </c>
      <c r="V90">
        <v>505</v>
      </c>
      <c r="W90">
        <v>390</v>
      </c>
      <c r="X90">
        <v>420</v>
      </c>
      <c r="Y90">
        <v>550</v>
      </c>
      <c r="Z90">
        <v>612.5</v>
      </c>
      <c r="AA90">
        <v>380</v>
      </c>
      <c r="AB90">
        <v>420</v>
      </c>
      <c r="AC90">
        <v>400</v>
      </c>
      <c r="AD90">
        <v>440</v>
      </c>
      <c r="AE90">
        <v>580</v>
      </c>
      <c r="AF90">
        <v>370</v>
      </c>
      <c r="AG90">
        <v>420</v>
      </c>
      <c r="AH90">
        <v>340</v>
      </c>
      <c r="AI90">
        <v>270</v>
      </c>
      <c r="AJ90">
        <v>320</v>
      </c>
      <c r="AK90">
        <v>280</v>
      </c>
      <c r="AL90">
        <v>300</v>
      </c>
      <c r="AM90">
        <v>300</v>
      </c>
      <c r="AN90">
        <v>280</v>
      </c>
      <c r="AO90">
        <v>367.5</v>
      </c>
      <c r="AP90">
        <v>430</v>
      </c>
      <c r="AQ90">
        <v>307.5</v>
      </c>
      <c r="AR90">
        <v>280</v>
      </c>
      <c r="AS90">
        <v>500</v>
      </c>
      <c r="AT90">
        <v>410</v>
      </c>
      <c r="AU90">
        <v>500</v>
      </c>
      <c r="AV90">
        <v>285</v>
      </c>
      <c r="AW90">
        <v>270</v>
      </c>
      <c r="AX90">
        <v>300</v>
      </c>
      <c r="AY90">
        <v>260</v>
      </c>
      <c r="AZ90">
        <v>295</v>
      </c>
      <c r="BA90">
        <v>280</v>
      </c>
      <c r="BB90">
        <v>257.5</v>
      </c>
      <c r="BC90">
        <v>340</v>
      </c>
      <c r="BD90">
        <v>260</v>
      </c>
      <c r="BE90">
        <v>250</v>
      </c>
      <c r="BF90">
        <v>300</v>
      </c>
      <c r="BG90">
        <v>220</v>
      </c>
      <c r="BH90">
        <v>395</v>
      </c>
    </row>
    <row r="91" spans="1:60" x14ac:dyDescent="0.25">
      <c r="A91" s="3"/>
      <c r="B91" s="1">
        <v>41061</v>
      </c>
      <c r="C91">
        <v>450</v>
      </c>
      <c r="D91">
        <v>595</v>
      </c>
      <c r="E91">
        <v>420</v>
      </c>
      <c r="F91">
        <v>430</v>
      </c>
      <c r="G91">
        <v>470</v>
      </c>
      <c r="H91">
        <v>600</v>
      </c>
      <c r="I91">
        <v>430</v>
      </c>
      <c r="J91">
        <v>572.5</v>
      </c>
      <c r="K91">
        <v>600</v>
      </c>
      <c r="L91">
        <v>550</v>
      </c>
      <c r="M91">
        <v>680</v>
      </c>
      <c r="N91">
        <v>620</v>
      </c>
      <c r="O91">
        <v>620</v>
      </c>
      <c r="P91">
        <v>420</v>
      </c>
      <c r="Q91">
        <v>430</v>
      </c>
      <c r="R91">
        <v>380</v>
      </c>
      <c r="S91">
        <v>450</v>
      </c>
      <c r="T91">
        <v>340</v>
      </c>
      <c r="U91">
        <v>560</v>
      </c>
      <c r="V91">
        <v>475</v>
      </c>
      <c r="W91">
        <v>390</v>
      </c>
      <c r="X91">
        <v>420</v>
      </c>
      <c r="Y91">
        <v>550</v>
      </c>
      <c r="Z91">
        <v>590</v>
      </c>
      <c r="AA91">
        <v>385</v>
      </c>
      <c r="AB91">
        <v>420</v>
      </c>
      <c r="AC91">
        <v>410</v>
      </c>
      <c r="AD91">
        <v>450</v>
      </c>
      <c r="AE91">
        <v>585</v>
      </c>
      <c r="AF91">
        <v>370</v>
      </c>
      <c r="AG91">
        <v>460</v>
      </c>
      <c r="AH91">
        <v>340</v>
      </c>
      <c r="AI91">
        <v>250</v>
      </c>
      <c r="AJ91">
        <v>360</v>
      </c>
      <c r="AK91">
        <v>300</v>
      </c>
      <c r="AL91">
        <v>300</v>
      </c>
      <c r="AM91">
        <v>300</v>
      </c>
      <c r="AN91">
        <v>290</v>
      </c>
      <c r="AO91">
        <v>370</v>
      </c>
      <c r="AP91">
        <v>440</v>
      </c>
      <c r="AQ91">
        <v>300</v>
      </c>
      <c r="AR91">
        <v>290</v>
      </c>
      <c r="AS91">
        <v>520</v>
      </c>
      <c r="AT91">
        <v>400</v>
      </c>
      <c r="AU91">
        <v>495</v>
      </c>
      <c r="AV91" t="s">
        <v>21</v>
      </c>
      <c r="AW91">
        <v>285</v>
      </c>
      <c r="AX91">
        <v>300</v>
      </c>
      <c r="AY91">
        <v>280</v>
      </c>
      <c r="AZ91">
        <v>300</v>
      </c>
      <c r="BA91">
        <v>290</v>
      </c>
      <c r="BB91">
        <v>270</v>
      </c>
      <c r="BC91">
        <v>340</v>
      </c>
      <c r="BD91">
        <v>262.5</v>
      </c>
      <c r="BE91">
        <v>250</v>
      </c>
      <c r="BF91">
        <v>295</v>
      </c>
      <c r="BG91">
        <v>220</v>
      </c>
      <c r="BH91">
        <v>400</v>
      </c>
    </row>
    <row r="92" spans="1:60" x14ac:dyDescent="0.25">
      <c r="A92" s="3"/>
      <c r="B92" s="1">
        <v>41153</v>
      </c>
      <c r="C92">
        <v>460</v>
      </c>
      <c r="D92">
        <v>585</v>
      </c>
      <c r="E92">
        <v>410</v>
      </c>
      <c r="F92">
        <v>435</v>
      </c>
      <c r="G92">
        <v>460</v>
      </c>
      <c r="H92">
        <v>600</v>
      </c>
      <c r="I92">
        <v>440</v>
      </c>
      <c r="J92">
        <v>550</v>
      </c>
      <c r="K92">
        <v>600</v>
      </c>
      <c r="L92">
        <v>550</v>
      </c>
      <c r="M92">
        <v>680</v>
      </c>
      <c r="N92">
        <v>595</v>
      </c>
      <c r="O92">
        <v>620</v>
      </c>
      <c r="P92">
        <v>430</v>
      </c>
      <c r="Q92">
        <v>450</v>
      </c>
      <c r="R92">
        <v>375</v>
      </c>
      <c r="S92">
        <v>450</v>
      </c>
      <c r="T92">
        <v>345</v>
      </c>
      <c r="U92">
        <v>550</v>
      </c>
      <c r="V92">
        <v>492.5</v>
      </c>
      <c r="W92">
        <v>395</v>
      </c>
      <c r="X92">
        <v>430</v>
      </c>
      <c r="Y92">
        <v>590</v>
      </c>
      <c r="Z92">
        <v>600</v>
      </c>
      <c r="AA92">
        <v>385</v>
      </c>
      <c r="AB92">
        <v>420</v>
      </c>
      <c r="AC92">
        <v>420</v>
      </c>
      <c r="AD92">
        <v>450</v>
      </c>
      <c r="AE92">
        <v>570</v>
      </c>
      <c r="AF92">
        <v>370</v>
      </c>
      <c r="AG92">
        <v>490</v>
      </c>
      <c r="AH92">
        <v>350</v>
      </c>
      <c r="AI92">
        <v>262.5</v>
      </c>
      <c r="AJ92" t="s">
        <v>21</v>
      </c>
      <c r="AK92">
        <v>292.5</v>
      </c>
      <c r="AL92">
        <v>300</v>
      </c>
      <c r="AM92">
        <v>300</v>
      </c>
      <c r="AN92">
        <v>300</v>
      </c>
      <c r="AO92">
        <v>370</v>
      </c>
      <c r="AP92">
        <v>450</v>
      </c>
      <c r="AQ92">
        <v>310</v>
      </c>
      <c r="AR92">
        <v>285</v>
      </c>
      <c r="AS92">
        <v>500</v>
      </c>
      <c r="AT92">
        <v>410</v>
      </c>
      <c r="AU92">
        <v>500</v>
      </c>
      <c r="AV92" t="s">
        <v>21</v>
      </c>
      <c r="AW92">
        <v>280</v>
      </c>
      <c r="AX92">
        <v>300</v>
      </c>
      <c r="AY92">
        <v>280</v>
      </c>
      <c r="AZ92">
        <v>300</v>
      </c>
      <c r="BA92">
        <v>310</v>
      </c>
      <c r="BB92">
        <v>280</v>
      </c>
      <c r="BC92">
        <v>350</v>
      </c>
      <c r="BD92">
        <v>260</v>
      </c>
      <c r="BE92">
        <v>250</v>
      </c>
      <c r="BF92">
        <v>300</v>
      </c>
      <c r="BG92">
        <v>220</v>
      </c>
      <c r="BH92">
        <v>400</v>
      </c>
    </row>
    <row r="93" spans="1:60" x14ac:dyDescent="0.25">
      <c r="A93" s="3"/>
      <c r="B93" s="1">
        <v>41244</v>
      </c>
      <c r="C93">
        <v>470</v>
      </c>
      <c r="D93">
        <v>595</v>
      </c>
      <c r="E93">
        <v>420</v>
      </c>
      <c r="F93">
        <v>550</v>
      </c>
      <c r="G93">
        <v>470</v>
      </c>
      <c r="H93">
        <v>572.5</v>
      </c>
      <c r="I93">
        <v>430</v>
      </c>
      <c r="J93">
        <v>577.5</v>
      </c>
      <c r="K93">
        <v>595</v>
      </c>
      <c r="L93">
        <v>550</v>
      </c>
      <c r="M93">
        <v>690</v>
      </c>
      <c r="N93">
        <v>650</v>
      </c>
      <c r="O93">
        <v>630</v>
      </c>
      <c r="P93">
        <v>430</v>
      </c>
      <c r="Q93">
        <v>470</v>
      </c>
      <c r="R93">
        <v>370</v>
      </c>
      <c r="S93">
        <v>460</v>
      </c>
      <c r="T93">
        <v>350</v>
      </c>
      <c r="U93">
        <v>550</v>
      </c>
      <c r="V93">
        <v>450</v>
      </c>
      <c r="W93">
        <v>390</v>
      </c>
      <c r="X93">
        <v>430</v>
      </c>
      <c r="Y93">
        <v>560</v>
      </c>
      <c r="Z93">
        <v>640</v>
      </c>
      <c r="AA93">
        <v>385</v>
      </c>
      <c r="AB93">
        <v>435</v>
      </c>
      <c r="AC93">
        <v>400</v>
      </c>
      <c r="AD93">
        <v>450</v>
      </c>
      <c r="AE93">
        <v>560</v>
      </c>
      <c r="AF93">
        <v>380</v>
      </c>
      <c r="AG93">
        <v>480</v>
      </c>
      <c r="AH93">
        <v>350</v>
      </c>
      <c r="AI93">
        <v>290</v>
      </c>
      <c r="AJ93" t="s">
        <v>21</v>
      </c>
      <c r="AK93">
        <v>295</v>
      </c>
      <c r="AL93">
        <v>300</v>
      </c>
      <c r="AM93">
        <v>310</v>
      </c>
      <c r="AN93">
        <v>300</v>
      </c>
      <c r="AO93">
        <v>360</v>
      </c>
      <c r="AP93">
        <v>440</v>
      </c>
      <c r="AQ93">
        <v>300</v>
      </c>
      <c r="AR93">
        <v>280</v>
      </c>
      <c r="AS93">
        <v>495</v>
      </c>
      <c r="AT93">
        <v>420</v>
      </c>
      <c r="AU93">
        <v>500</v>
      </c>
      <c r="AV93">
        <v>290</v>
      </c>
      <c r="AW93">
        <v>280</v>
      </c>
      <c r="AX93">
        <v>300</v>
      </c>
      <c r="AY93">
        <v>270</v>
      </c>
      <c r="AZ93">
        <v>270</v>
      </c>
      <c r="BA93">
        <v>310</v>
      </c>
      <c r="BB93">
        <v>280</v>
      </c>
      <c r="BC93">
        <v>345.5</v>
      </c>
      <c r="BD93">
        <v>265</v>
      </c>
      <c r="BE93">
        <v>270</v>
      </c>
      <c r="BF93">
        <v>300</v>
      </c>
      <c r="BG93">
        <v>220</v>
      </c>
      <c r="BH93">
        <v>410</v>
      </c>
    </row>
    <row r="94" spans="1:60" x14ac:dyDescent="0.25">
      <c r="A94" s="3"/>
      <c r="B94" s="1">
        <v>41334</v>
      </c>
      <c r="C94">
        <v>470</v>
      </c>
      <c r="D94">
        <v>595</v>
      </c>
      <c r="E94">
        <v>425</v>
      </c>
      <c r="F94">
        <v>550</v>
      </c>
      <c r="G94">
        <v>460</v>
      </c>
      <c r="H94">
        <v>545</v>
      </c>
      <c r="I94">
        <v>460</v>
      </c>
      <c r="J94">
        <v>560</v>
      </c>
      <c r="K94">
        <v>600</v>
      </c>
      <c r="L94">
        <v>550</v>
      </c>
      <c r="M94">
        <v>685</v>
      </c>
      <c r="N94">
        <v>650</v>
      </c>
      <c r="O94">
        <v>645</v>
      </c>
      <c r="P94">
        <v>430</v>
      </c>
      <c r="Q94">
        <v>430</v>
      </c>
      <c r="R94">
        <v>375</v>
      </c>
      <c r="S94">
        <v>465</v>
      </c>
      <c r="T94">
        <v>350</v>
      </c>
      <c r="U94">
        <v>550</v>
      </c>
      <c r="V94">
        <v>505</v>
      </c>
      <c r="W94">
        <v>400</v>
      </c>
      <c r="X94">
        <v>420</v>
      </c>
      <c r="Y94">
        <v>565</v>
      </c>
      <c r="Z94">
        <v>650</v>
      </c>
      <c r="AA94">
        <v>400</v>
      </c>
      <c r="AB94">
        <v>430</v>
      </c>
      <c r="AC94">
        <v>420</v>
      </c>
      <c r="AD94">
        <v>450</v>
      </c>
      <c r="AE94">
        <v>580</v>
      </c>
      <c r="AF94">
        <v>380</v>
      </c>
      <c r="AG94">
        <v>500</v>
      </c>
      <c r="AH94">
        <v>350</v>
      </c>
      <c r="AI94">
        <v>280</v>
      </c>
      <c r="AJ94" t="s">
        <v>21</v>
      </c>
      <c r="AK94">
        <v>280</v>
      </c>
      <c r="AL94">
        <v>300</v>
      </c>
      <c r="AM94">
        <v>310</v>
      </c>
      <c r="AN94">
        <v>295</v>
      </c>
      <c r="AO94">
        <v>370</v>
      </c>
      <c r="AP94">
        <v>450</v>
      </c>
      <c r="AQ94">
        <v>317.5</v>
      </c>
      <c r="AR94">
        <v>280</v>
      </c>
      <c r="AS94">
        <v>490</v>
      </c>
      <c r="AT94">
        <v>420</v>
      </c>
      <c r="AU94">
        <v>515</v>
      </c>
      <c r="AV94">
        <v>300</v>
      </c>
      <c r="AW94">
        <v>280</v>
      </c>
      <c r="AX94">
        <v>315</v>
      </c>
      <c r="AY94">
        <v>280</v>
      </c>
      <c r="AZ94">
        <v>290</v>
      </c>
      <c r="BA94">
        <v>295</v>
      </c>
      <c r="BB94">
        <v>280</v>
      </c>
      <c r="BC94">
        <v>370</v>
      </c>
      <c r="BD94">
        <v>280</v>
      </c>
      <c r="BE94">
        <v>255</v>
      </c>
      <c r="BF94">
        <v>310</v>
      </c>
      <c r="BG94">
        <v>230</v>
      </c>
      <c r="BH94">
        <v>415</v>
      </c>
    </row>
    <row r="95" spans="1:60" x14ac:dyDescent="0.25">
      <c r="A95" s="3"/>
      <c r="B95" s="1">
        <v>41426</v>
      </c>
      <c r="C95">
        <v>470</v>
      </c>
      <c r="D95">
        <v>600</v>
      </c>
      <c r="E95">
        <v>430</v>
      </c>
      <c r="F95">
        <v>580</v>
      </c>
      <c r="G95">
        <v>480</v>
      </c>
      <c r="H95">
        <v>592.5</v>
      </c>
      <c r="I95">
        <v>450</v>
      </c>
      <c r="J95">
        <v>590</v>
      </c>
      <c r="K95">
        <v>620</v>
      </c>
      <c r="L95">
        <v>550</v>
      </c>
      <c r="M95">
        <v>700</v>
      </c>
      <c r="N95">
        <v>650</v>
      </c>
      <c r="O95">
        <v>650</v>
      </c>
      <c r="P95">
        <v>440</v>
      </c>
      <c r="Q95">
        <v>427.5</v>
      </c>
      <c r="R95">
        <v>380</v>
      </c>
      <c r="S95">
        <v>500</v>
      </c>
      <c r="T95">
        <v>350</v>
      </c>
      <c r="U95">
        <v>550</v>
      </c>
      <c r="V95">
        <v>530</v>
      </c>
      <c r="W95">
        <v>400</v>
      </c>
      <c r="X95">
        <v>440</v>
      </c>
      <c r="Y95">
        <v>600</v>
      </c>
      <c r="Z95">
        <v>600</v>
      </c>
      <c r="AA95">
        <v>400</v>
      </c>
      <c r="AB95">
        <v>450</v>
      </c>
      <c r="AC95">
        <v>420</v>
      </c>
      <c r="AD95">
        <v>450</v>
      </c>
      <c r="AE95">
        <v>595</v>
      </c>
      <c r="AF95">
        <v>380</v>
      </c>
      <c r="AG95">
        <v>465</v>
      </c>
      <c r="AH95">
        <v>340</v>
      </c>
      <c r="AI95">
        <v>300</v>
      </c>
      <c r="AJ95">
        <v>380</v>
      </c>
      <c r="AK95">
        <v>300</v>
      </c>
      <c r="AL95">
        <v>300</v>
      </c>
      <c r="AM95">
        <v>310</v>
      </c>
      <c r="AN95">
        <v>282.5</v>
      </c>
      <c r="AO95">
        <v>370</v>
      </c>
      <c r="AP95">
        <v>460</v>
      </c>
      <c r="AQ95">
        <v>310</v>
      </c>
      <c r="AR95">
        <v>300</v>
      </c>
      <c r="AS95">
        <v>505</v>
      </c>
      <c r="AT95">
        <v>420</v>
      </c>
      <c r="AU95">
        <v>510</v>
      </c>
      <c r="AV95" t="s">
        <v>21</v>
      </c>
      <c r="AW95">
        <v>290</v>
      </c>
      <c r="AX95">
        <v>300</v>
      </c>
      <c r="AY95">
        <v>280</v>
      </c>
      <c r="AZ95">
        <v>295</v>
      </c>
      <c r="BA95">
        <v>300</v>
      </c>
      <c r="BB95">
        <v>270</v>
      </c>
      <c r="BC95">
        <v>350</v>
      </c>
      <c r="BD95">
        <v>275</v>
      </c>
      <c r="BE95">
        <v>265</v>
      </c>
      <c r="BF95">
        <v>310</v>
      </c>
      <c r="BG95">
        <v>225</v>
      </c>
      <c r="BH95">
        <v>415</v>
      </c>
    </row>
    <row r="96" spans="1:60" x14ac:dyDescent="0.25">
      <c r="A96" s="3"/>
      <c r="B96" s="1">
        <v>41518</v>
      </c>
      <c r="C96">
        <v>480</v>
      </c>
      <c r="D96">
        <v>600</v>
      </c>
      <c r="E96">
        <v>430</v>
      </c>
      <c r="F96">
        <v>570</v>
      </c>
      <c r="G96">
        <v>480</v>
      </c>
      <c r="H96">
        <v>600</v>
      </c>
      <c r="I96">
        <v>450</v>
      </c>
      <c r="J96">
        <v>582.5</v>
      </c>
      <c r="K96">
        <v>600</v>
      </c>
      <c r="L96">
        <v>550</v>
      </c>
      <c r="M96">
        <v>690</v>
      </c>
      <c r="N96">
        <v>620</v>
      </c>
      <c r="O96">
        <v>600</v>
      </c>
      <c r="P96">
        <v>450</v>
      </c>
      <c r="Q96">
        <v>430</v>
      </c>
      <c r="R96">
        <v>385</v>
      </c>
      <c r="S96">
        <v>550</v>
      </c>
      <c r="T96">
        <v>370</v>
      </c>
      <c r="U96">
        <v>580</v>
      </c>
      <c r="V96">
        <v>480</v>
      </c>
      <c r="W96">
        <v>400</v>
      </c>
      <c r="X96">
        <v>450</v>
      </c>
      <c r="Y96">
        <v>600</v>
      </c>
      <c r="Z96">
        <v>632.5</v>
      </c>
      <c r="AA96">
        <v>400</v>
      </c>
      <c r="AB96">
        <v>440</v>
      </c>
      <c r="AC96">
        <v>420</v>
      </c>
      <c r="AD96">
        <v>470</v>
      </c>
      <c r="AE96">
        <v>585</v>
      </c>
      <c r="AF96">
        <v>390</v>
      </c>
      <c r="AG96">
        <v>500</v>
      </c>
      <c r="AH96">
        <v>350</v>
      </c>
      <c r="AI96">
        <v>300</v>
      </c>
      <c r="AJ96">
        <v>370</v>
      </c>
      <c r="AK96">
        <v>325</v>
      </c>
      <c r="AL96">
        <v>300</v>
      </c>
      <c r="AM96">
        <v>310</v>
      </c>
      <c r="AN96">
        <v>300</v>
      </c>
      <c r="AO96">
        <v>385</v>
      </c>
      <c r="AP96">
        <v>460</v>
      </c>
      <c r="AQ96">
        <v>320</v>
      </c>
      <c r="AR96">
        <v>300</v>
      </c>
      <c r="AS96">
        <v>500</v>
      </c>
      <c r="AT96">
        <v>420</v>
      </c>
      <c r="AU96">
        <v>510</v>
      </c>
      <c r="AV96" t="s">
        <v>21</v>
      </c>
      <c r="AW96">
        <v>280</v>
      </c>
      <c r="AX96">
        <v>300</v>
      </c>
      <c r="AY96">
        <v>270</v>
      </c>
      <c r="AZ96">
        <v>292.5</v>
      </c>
      <c r="BA96">
        <v>300</v>
      </c>
      <c r="BB96">
        <v>270</v>
      </c>
      <c r="BC96">
        <v>347.5</v>
      </c>
      <c r="BD96">
        <v>260</v>
      </c>
      <c r="BE96">
        <v>250</v>
      </c>
      <c r="BF96">
        <v>320</v>
      </c>
      <c r="BG96">
        <v>230</v>
      </c>
      <c r="BH96">
        <v>420</v>
      </c>
    </row>
    <row r="97" spans="1:60" x14ac:dyDescent="0.25">
      <c r="A97" s="3"/>
      <c r="B97" s="1">
        <v>41609</v>
      </c>
      <c r="C97">
        <v>490</v>
      </c>
      <c r="D97">
        <v>620</v>
      </c>
      <c r="E97">
        <v>447.5</v>
      </c>
      <c r="F97">
        <v>505</v>
      </c>
      <c r="G97">
        <v>495</v>
      </c>
      <c r="H97">
        <v>635</v>
      </c>
      <c r="I97">
        <v>450</v>
      </c>
      <c r="J97">
        <v>575</v>
      </c>
      <c r="K97">
        <v>620</v>
      </c>
      <c r="L97">
        <v>565</v>
      </c>
      <c r="M97">
        <v>700</v>
      </c>
      <c r="N97">
        <v>650</v>
      </c>
      <c r="O97">
        <v>630</v>
      </c>
      <c r="P97">
        <v>450</v>
      </c>
      <c r="Q97">
        <v>450</v>
      </c>
      <c r="R97">
        <v>390</v>
      </c>
      <c r="S97">
        <v>510</v>
      </c>
      <c r="T97">
        <v>360</v>
      </c>
      <c r="U97">
        <v>580</v>
      </c>
      <c r="V97">
        <v>527.5</v>
      </c>
      <c r="W97">
        <v>430</v>
      </c>
      <c r="X97">
        <v>440</v>
      </c>
      <c r="Y97">
        <v>590</v>
      </c>
      <c r="Z97">
        <v>667.5</v>
      </c>
      <c r="AA97">
        <v>410</v>
      </c>
      <c r="AB97">
        <v>450</v>
      </c>
      <c r="AC97">
        <v>425</v>
      </c>
      <c r="AD97">
        <v>465</v>
      </c>
      <c r="AE97">
        <v>595</v>
      </c>
      <c r="AF97">
        <v>390</v>
      </c>
      <c r="AG97">
        <v>500</v>
      </c>
      <c r="AH97">
        <v>355</v>
      </c>
      <c r="AI97">
        <v>310</v>
      </c>
      <c r="AJ97" t="s">
        <v>21</v>
      </c>
      <c r="AK97">
        <v>290</v>
      </c>
      <c r="AL97">
        <v>310</v>
      </c>
      <c r="AM97">
        <v>320</v>
      </c>
      <c r="AN97">
        <v>280</v>
      </c>
      <c r="AO97">
        <v>380</v>
      </c>
      <c r="AP97">
        <v>460</v>
      </c>
      <c r="AQ97">
        <v>330</v>
      </c>
      <c r="AR97">
        <v>290</v>
      </c>
      <c r="AS97">
        <v>520</v>
      </c>
      <c r="AT97">
        <v>420</v>
      </c>
      <c r="AU97">
        <v>540</v>
      </c>
      <c r="AV97" t="s">
        <v>21</v>
      </c>
      <c r="AW97">
        <v>282.5</v>
      </c>
      <c r="AX97">
        <v>300</v>
      </c>
      <c r="AY97">
        <v>250</v>
      </c>
      <c r="AZ97">
        <v>297.5</v>
      </c>
      <c r="BA97">
        <v>300</v>
      </c>
      <c r="BB97">
        <v>260</v>
      </c>
      <c r="BC97">
        <v>350</v>
      </c>
      <c r="BD97">
        <v>280</v>
      </c>
      <c r="BE97">
        <v>260</v>
      </c>
      <c r="BF97">
        <v>310</v>
      </c>
      <c r="BG97">
        <v>230</v>
      </c>
      <c r="BH97">
        <v>430</v>
      </c>
    </row>
    <row r="98" spans="1:60" x14ac:dyDescent="0.25">
      <c r="A98" s="3"/>
      <c r="B98" s="1">
        <v>41699</v>
      </c>
      <c r="C98">
        <v>500</v>
      </c>
      <c r="D98">
        <v>620</v>
      </c>
      <c r="E98">
        <v>450</v>
      </c>
      <c r="F98">
        <v>600</v>
      </c>
      <c r="G98">
        <v>490</v>
      </c>
      <c r="H98">
        <v>600</v>
      </c>
      <c r="I98">
        <v>460</v>
      </c>
      <c r="J98">
        <v>600</v>
      </c>
      <c r="K98">
        <v>620</v>
      </c>
      <c r="L98">
        <v>575</v>
      </c>
      <c r="M98">
        <v>700</v>
      </c>
      <c r="N98">
        <v>675</v>
      </c>
      <c r="O98">
        <v>650</v>
      </c>
      <c r="P98">
        <v>455</v>
      </c>
      <c r="Q98">
        <v>475</v>
      </c>
      <c r="R98">
        <v>380</v>
      </c>
      <c r="S98">
        <v>490</v>
      </c>
      <c r="T98">
        <v>360</v>
      </c>
      <c r="U98">
        <v>580</v>
      </c>
      <c r="V98">
        <v>550</v>
      </c>
      <c r="W98">
        <v>430</v>
      </c>
      <c r="X98">
        <v>440</v>
      </c>
      <c r="Y98">
        <v>580</v>
      </c>
      <c r="Z98">
        <v>680</v>
      </c>
      <c r="AA98">
        <v>420</v>
      </c>
      <c r="AB98">
        <v>452.5</v>
      </c>
      <c r="AC98">
        <v>420</v>
      </c>
      <c r="AD98">
        <v>460</v>
      </c>
      <c r="AE98">
        <v>600</v>
      </c>
      <c r="AF98">
        <v>390</v>
      </c>
      <c r="AG98">
        <v>500</v>
      </c>
      <c r="AH98">
        <v>350</v>
      </c>
      <c r="AI98">
        <v>285</v>
      </c>
      <c r="AJ98" t="s">
        <v>21</v>
      </c>
      <c r="AK98">
        <v>330</v>
      </c>
      <c r="AL98">
        <v>320</v>
      </c>
      <c r="AM98">
        <v>320</v>
      </c>
      <c r="AN98">
        <v>300</v>
      </c>
      <c r="AO98">
        <v>380</v>
      </c>
      <c r="AP98">
        <v>475</v>
      </c>
      <c r="AQ98">
        <v>320</v>
      </c>
      <c r="AR98">
        <v>300</v>
      </c>
      <c r="AS98">
        <v>550</v>
      </c>
      <c r="AT98">
        <v>430</v>
      </c>
      <c r="AU98">
        <v>542.5</v>
      </c>
      <c r="AV98" t="s">
        <v>21</v>
      </c>
      <c r="AW98">
        <v>290</v>
      </c>
      <c r="AX98">
        <v>320</v>
      </c>
      <c r="AY98">
        <v>250</v>
      </c>
      <c r="AZ98">
        <v>340</v>
      </c>
      <c r="BA98">
        <v>300</v>
      </c>
      <c r="BB98">
        <v>270</v>
      </c>
      <c r="BC98">
        <v>360</v>
      </c>
      <c r="BD98">
        <v>280</v>
      </c>
      <c r="BE98">
        <v>290</v>
      </c>
      <c r="BF98">
        <v>320</v>
      </c>
      <c r="BG98">
        <v>235</v>
      </c>
      <c r="BH98">
        <v>435</v>
      </c>
    </row>
    <row r="99" spans="1:60" x14ac:dyDescent="0.25">
      <c r="A99" s="3"/>
      <c r="B99" s="1">
        <v>41791</v>
      </c>
      <c r="C99">
        <v>495</v>
      </c>
      <c r="D99">
        <v>630</v>
      </c>
      <c r="E99">
        <v>450</v>
      </c>
      <c r="F99">
        <v>480</v>
      </c>
      <c r="G99">
        <v>495</v>
      </c>
      <c r="H99">
        <v>600</v>
      </c>
      <c r="I99">
        <v>470</v>
      </c>
      <c r="J99">
        <v>600</v>
      </c>
      <c r="K99">
        <v>630</v>
      </c>
      <c r="L99">
        <v>580</v>
      </c>
      <c r="M99">
        <v>720</v>
      </c>
      <c r="N99">
        <v>680</v>
      </c>
      <c r="O99">
        <v>675</v>
      </c>
      <c r="P99">
        <v>460</v>
      </c>
      <c r="Q99">
        <v>470</v>
      </c>
      <c r="R99">
        <v>395</v>
      </c>
      <c r="S99">
        <v>500</v>
      </c>
      <c r="T99">
        <v>370</v>
      </c>
      <c r="U99">
        <v>600</v>
      </c>
      <c r="V99">
        <v>550</v>
      </c>
      <c r="W99">
        <v>420</v>
      </c>
      <c r="X99">
        <v>430</v>
      </c>
      <c r="Y99">
        <v>600</v>
      </c>
      <c r="Z99">
        <v>650</v>
      </c>
      <c r="AA99">
        <v>420</v>
      </c>
      <c r="AB99">
        <v>450</v>
      </c>
      <c r="AC99">
        <v>440</v>
      </c>
      <c r="AD99">
        <v>480</v>
      </c>
      <c r="AE99">
        <v>600</v>
      </c>
      <c r="AF99">
        <v>400</v>
      </c>
      <c r="AG99">
        <v>490</v>
      </c>
      <c r="AH99">
        <v>350</v>
      </c>
      <c r="AI99">
        <v>305</v>
      </c>
      <c r="AJ99">
        <v>385</v>
      </c>
      <c r="AK99">
        <v>310</v>
      </c>
      <c r="AL99">
        <v>310</v>
      </c>
      <c r="AM99">
        <v>320</v>
      </c>
      <c r="AN99">
        <v>295</v>
      </c>
      <c r="AO99">
        <v>400</v>
      </c>
      <c r="AP99">
        <v>470</v>
      </c>
      <c r="AQ99">
        <v>350</v>
      </c>
      <c r="AR99">
        <v>300</v>
      </c>
      <c r="AS99">
        <v>520</v>
      </c>
      <c r="AT99">
        <v>430</v>
      </c>
      <c r="AU99">
        <v>550</v>
      </c>
      <c r="AV99" t="s">
        <v>21</v>
      </c>
      <c r="AW99">
        <v>300</v>
      </c>
      <c r="AX99">
        <v>300</v>
      </c>
      <c r="AY99">
        <v>250</v>
      </c>
      <c r="AZ99">
        <v>320</v>
      </c>
      <c r="BA99">
        <v>300</v>
      </c>
      <c r="BB99">
        <v>260</v>
      </c>
      <c r="BC99">
        <v>350</v>
      </c>
      <c r="BD99">
        <v>280</v>
      </c>
      <c r="BE99">
        <v>290</v>
      </c>
      <c r="BF99">
        <v>320</v>
      </c>
      <c r="BG99">
        <v>235</v>
      </c>
      <c r="BH99">
        <v>430</v>
      </c>
    </row>
    <row r="100" spans="1:60" x14ac:dyDescent="0.25">
      <c r="A100" s="3"/>
      <c r="B100" s="1">
        <v>41883</v>
      </c>
      <c r="C100">
        <v>500</v>
      </c>
      <c r="D100">
        <v>620</v>
      </c>
      <c r="E100">
        <v>450</v>
      </c>
      <c r="F100">
        <v>592.5</v>
      </c>
      <c r="G100">
        <v>500</v>
      </c>
      <c r="H100">
        <v>595</v>
      </c>
      <c r="I100">
        <v>480</v>
      </c>
      <c r="J100">
        <v>600</v>
      </c>
      <c r="K100">
        <v>620</v>
      </c>
      <c r="L100">
        <v>582.5</v>
      </c>
      <c r="M100">
        <v>700</v>
      </c>
      <c r="N100">
        <v>650</v>
      </c>
      <c r="O100">
        <v>650</v>
      </c>
      <c r="P100">
        <v>470</v>
      </c>
      <c r="Q100">
        <v>460</v>
      </c>
      <c r="R100">
        <v>400</v>
      </c>
      <c r="S100">
        <v>500</v>
      </c>
      <c r="T100">
        <v>370</v>
      </c>
      <c r="U100">
        <v>600</v>
      </c>
      <c r="V100">
        <v>540</v>
      </c>
      <c r="W100">
        <v>420</v>
      </c>
      <c r="X100">
        <v>450</v>
      </c>
      <c r="Y100">
        <v>597.5</v>
      </c>
      <c r="Z100">
        <v>650</v>
      </c>
      <c r="AA100">
        <v>430</v>
      </c>
      <c r="AB100">
        <v>460</v>
      </c>
      <c r="AC100">
        <v>450</v>
      </c>
      <c r="AD100">
        <v>480</v>
      </c>
      <c r="AE100">
        <v>610</v>
      </c>
      <c r="AF100">
        <v>395</v>
      </c>
      <c r="AG100">
        <v>500</v>
      </c>
      <c r="AH100">
        <v>360</v>
      </c>
      <c r="AI100">
        <v>320</v>
      </c>
      <c r="AJ100">
        <v>355</v>
      </c>
      <c r="AK100">
        <v>340</v>
      </c>
      <c r="AL100">
        <v>320</v>
      </c>
      <c r="AM100">
        <v>330</v>
      </c>
      <c r="AN100">
        <v>300</v>
      </c>
      <c r="AO100">
        <v>390</v>
      </c>
      <c r="AP100">
        <v>470</v>
      </c>
      <c r="AQ100">
        <v>330</v>
      </c>
      <c r="AR100">
        <v>300</v>
      </c>
      <c r="AS100">
        <v>542.5</v>
      </c>
      <c r="AT100">
        <v>440</v>
      </c>
      <c r="AU100">
        <v>550</v>
      </c>
      <c r="AV100">
        <v>295</v>
      </c>
      <c r="AW100">
        <v>300</v>
      </c>
      <c r="AX100">
        <v>320</v>
      </c>
      <c r="AY100">
        <v>255</v>
      </c>
      <c r="AZ100">
        <v>317.5</v>
      </c>
      <c r="BA100">
        <v>300</v>
      </c>
      <c r="BB100">
        <v>260</v>
      </c>
      <c r="BC100">
        <v>350</v>
      </c>
      <c r="BD100">
        <v>267.5</v>
      </c>
      <c r="BE100">
        <v>290</v>
      </c>
      <c r="BF100">
        <v>330</v>
      </c>
      <c r="BG100">
        <v>230</v>
      </c>
      <c r="BH100">
        <v>450</v>
      </c>
    </row>
    <row r="101" spans="1:60" x14ac:dyDescent="0.25">
      <c r="A101" s="3"/>
      <c r="B101" s="1">
        <v>41974</v>
      </c>
      <c r="C101">
        <v>500</v>
      </c>
      <c r="D101">
        <v>640</v>
      </c>
      <c r="E101">
        <v>450</v>
      </c>
      <c r="F101">
        <v>555</v>
      </c>
      <c r="G101">
        <v>490</v>
      </c>
      <c r="H101">
        <v>612.5</v>
      </c>
      <c r="I101">
        <v>465</v>
      </c>
      <c r="J101">
        <v>590</v>
      </c>
      <c r="K101">
        <v>650</v>
      </c>
      <c r="L101">
        <v>590</v>
      </c>
      <c r="M101">
        <v>715</v>
      </c>
      <c r="N101">
        <v>690</v>
      </c>
      <c r="O101">
        <v>672.5</v>
      </c>
      <c r="P101">
        <v>470</v>
      </c>
      <c r="Q101">
        <v>480</v>
      </c>
      <c r="R101">
        <v>400</v>
      </c>
      <c r="S101">
        <v>520</v>
      </c>
      <c r="T101">
        <v>380</v>
      </c>
      <c r="U101">
        <v>600</v>
      </c>
      <c r="V101">
        <v>615</v>
      </c>
      <c r="W101">
        <v>430</v>
      </c>
      <c r="X101">
        <v>450</v>
      </c>
      <c r="Y101">
        <v>600</v>
      </c>
      <c r="Z101">
        <v>695</v>
      </c>
      <c r="AA101">
        <v>430</v>
      </c>
      <c r="AB101">
        <v>500</v>
      </c>
      <c r="AC101">
        <v>435</v>
      </c>
      <c r="AD101">
        <v>480</v>
      </c>
      <c r="AE101">
        <v>600</v>
      </c>
      <c r="AF101">
        <v>400</v>
      </c>
      <c r="AG101">
        <v>520</v>
      </c>
      <c r="AH101">
        <v>360</v>
      </c>
      <c r="AI101">
        <v>300</v>
      </c>
      <c r="AJ101">
        <v>377.5</v>
      </c>
      <c r="AK101">
        <v>317.5</v>
      </c>
      <c r="AL101">
        <v>320</v>
      </c>
      <c r="AM101">
        <v>332.5</v>
      </c>
      <c r="AN101">
        <v>320</v>
      </c>
      <c r="AO101">
        <v>390</v>
      </c>
      <c r="AP101">
        <v>477.5</v>
      </c>
      <c r="AQ101">
        <v>330</v>
      </c>
      <c r="AR101">
        <v>300</v>
      </c>
      <c r="AS101">
        <v>580</v>
      </c>
      <c r="AT101">
        <v>440</v>
      </c>
      <c r="AU101">
        <v>550</v>
      </c>
      <c r="AV101">
        <v>300</v>
      </c>
      <c r="AW101">
        <v>290</v>
      </c>
      <c r="AX101">
        <v>320</v>
      </c>
      <c r="AY101">
        <v>250</v>
      </c>
      <c r="AZ101">
        <v>350</v>
      </c>
      <c r="BA101">
        <v>310</v>
      </c>
      <c r="BB101">
        <v>267.5</v>
      </c>
      <c r="BC101">
        <v>360</v>
      </c>
      <c r="BD101">
        <v>265</v>
      </c>
      <c r="BE101">
        <v>290</v>
      </c>
      <c r="BF101">
        <v>330</v>
      </c>
      <c r="BG101">
        <v>230</v>
      </c>
      <c r="BH101">
        <v>450</v>
      </c>
    </row>
    <row r="102" spans="1:60" x14ac:dyDescent="0.25">
      <c r="A102" s="3"/>
      <c r="B102" s="1">
        <v>42064</v>
      </c>
      <c r="C102">
        <v>520</v>
      </c>
      <c r="D102">
        <v>640</v>
      </c>
      <c r="E102">
        <v>450</v>
      </c>
      <c r="F102">
        <v>600</v>
      </c>
      <c r="G102">
        <v>510</v>
      </c>
      <c r="H102">
        <v>635</v>
      </c>
      <c r="I102">
        <v>480</v>
      </c>
      <c r="J102">
        <v>600</v>
      </c>
      <c r="K102">
        <v>630</v>
      </c>
      <c r="L102">
        <v>595</v>
      </c>
      <c r="M102">
        <v>720</v>
      </c>
      <c r="N102">
        <v>695</v>
      </c>
      <c r="O102">
        <v>675</v>
      </c>
      <c r="P102">
        <v>480</v>
      </c>
      <c r="Q102">
        <v>480</v>
      </c>
      <c r="R102">
        <v>400</v>
      </c>
      <c r="S102">
        <v>520</v>
      </c>
      <c r="T102">
        <v>380</v>
      </c>
      <c r="U102">
        <v>610</v>
      </c>
      <c r="V102" t="s">
        <v>21</v>
      </c>
      <c r="W102">
        <v>430</v>
      </c>
      <c r="X102">
        <v>460</v>
      </c>
      <c r="Y102">
        <v>610</v>
      </c>
      <c r="Z102">
        <v>690</v>
      </c>
      <c r="AA102">
        <v>420</v>
      </c>
      <c r="AB102">
        <v>500</v>
      </c>
      <c r="AC102">
        <v>450</v>
      </c>
      <c r="AD102">
        <v>490</v>
      </c>
      <c r="AE102">
        <v>637.5</v>
      </c>
      <c r="AF102">
        <v>404.4</v>
      </c>
      <c r="AG102">
        <v>510</v>
      </c>
      <c r="AH102">
        <v>360</v>
      </c>
      <c r="AI102">
        <v>300</v>
      </c>
      <c r="AJ102">
        <v>385</v>
      </c>
      <c r="AK102">
        <v>320</v>
      </c>
      <c r="AL102">
        <v>325</v>
      </c>
      <c r="AM102">
        <v>340</v>
      </c>
      <c r="AN102">
        <v>290</v>
      </c>
      <c r="AO102">
        <v>400</v>
      </c>
      <c r="AP102">
        <v>480</v>
      </c>
      <c r="AQ102">
        <v>340</v>
      </c>
      <c r="AR102">
        <v>300</v>
      </c>
      <c r="AS102">
        <v>560</v>
      </c>
      <c r="AT102">
        <v>450</v>
      </c>
      <c r="AU102">
        <v>550</v>
      </c>
      <c r="AV102">
        <v>280</v>
      </c>
      <c r="AW102">
        <v>300</v>
      </c>
      <c r="AX102">
        <v>320</v>
      </c>
      <c r="AY102">
        <v>250</v>
      </c>
      <c r="AZ102">
        <v>330</v>
      </c>
      <c r="BA102">
        <v>310</v>
      </c>
      <c r="BB102">
        <v>256</v>
      </c>
      <c r="BC102">
        <v>350</v>
      </c>
      <c r="BD102">
        <v>275</v>
      </c>
      <c r="BE102">
        <v>290</v>
      </c>
      <c r="BF102">
        <v>340</v>
      </c>
      <c r="BG102">
        <v>240</v>
      </c>
      <c r="BH102">
        <v>450</v>
      </c>
    </row>
    <row r="103" spans="1:60" x14ac:dyDescent="0.25">
      <c r="A103" s="3"/>
      <c r="B103" s="1">
        <v>42156</v>
      </c>
      <c r="C103">
        <v>500</v>
      </c>
      <c r="D103">
        <v>640</v>
      </c>
      <c r="E103">
        <v>450</v>
      </c>
      <c r="F103">
        <v>640</v>
      </c>
      <c r="G103">
        <v>515</v>
      </c>
      <c r="H103">
        <v>600</v>
      </c>
      <c r="I103">
        <v>490</v>
      </c>
      <c r="J103">
        <v>627.5</v>
      </c>
      <c r="K103">
        <v>640</v>
      </c>
      <c r="L103">
        <v>592.5</v>
      </c>
      <c r="M103">
        <v>730</v>
      </c>
      <c r="N103">
        <v>680</v>
      </c>
      <c r="O103">
        <v>690</v>
      </c>
      <c r="P103">
        <v>480</v>
      </c>
      <c r="Q103">
        <v>470</v>
      </c>
      <c r="R103">
        <v>400</v>
      </c>
      <c r="S103">
        <v>520</v>
      </c>
      <c r="T103">
        <v>380</v>
      </c>
      <c r="U103">
        <v>620</v>
      </c>
      <c r="V103">
        <v>550</v>
      </c>
      <c r="W103">
        <v>440</v>
      </c>
      <c r="X103">
        <v>462.5</v>
      </c>
      <c r="Y103">
        <v>600</v>
      </c>
      <c r="Z103">
        <v>700</v>
      </c>
      <c r="AA103">
        <v>430</v>
      </c>
      <c r="AB103">
        <v>510</v>
      </c>
      <c r="AC103">
        <v>480</v>
      </c>
      <c r="AD103">
        <v>490</v>
      </c>
      <c r="AE103">
        <v>600</v>
      </c>
      <c r="AF103">
        <v>400</v>
      </c>
      <c r="AG103">
        <v>510</v>
      </c>
      <c r="AH103">
        <v>370</v>
      </c>
      <c r="AI103">
        <v>305</v>
      </c>
      <c r="AJ103">
        <v>405</v>
      </c>
      <c r="AK103">
        <v>345</v>
      </c>
      <c r="AL103">
        <v>320</v>
      </c>
      <c r="AM103">
        <v>330</v>
      </c>
      <c r="AN103">
        <v>305</v>
      </c>
      <c r="AO103">
        <v>395</v>
      </c>
      <c r="AP103">
        <v>490</v>
      </c>
      <c r="AQ103">
        <v>340</v>
      </c>
      <c r="AR103">
        <v>300</v>
      </c>
      <c r="AS103">
        <v>550</v>
      </c>
      <c r="AT103">
        <v>450</v>
      </c>
      <c r="AU103">
        <v>565</v>
      </c>
      <c r="AV103">
        <v>310</v>
      </c>
      <c r="AW103">
        <v>300</v>
      </c>
      <c r="AX103">
        <v>320</v>
      </c>
      <c r="AY103">
        <v>250</v>
      </c>
      <c r="AZ103">
        <v>362.5</v>
      </c>
      <c r="BA103">
        <v>310</v>
      </c>
      <c r="BB103">
        <v>260</v>
      </c>
      <c r="BC103">
        <v>360</v>
      </c>
      <c r="BD103">
        <v>270</v>
      </c>
      <c r="BE103">
        <v>300</v>
      </c>
      <c r="BF103">
        <v>335</v>
      </c>
      <c r="BG103">
        <v>240</v>
      </c>
      <c r="BH103">
        <v>450</v>
      </c>
    </row>
    <row r="104" spans="1:60" x14ac:dyDescent="0.25">
      <c r="A104" s="3"/>
      <c r="B104" s="1">
        <v>42248</v>
      </c>
      <c r="C104">
        <v>520</v>
      </c>
      <c r="D104">
        <v>650</v>
      </c>
      <c r="E104">
        <v>460</v>
      </c>
      <c r="F104">
        <v>640</v>
      </c>
      <c r="G104">
        <v>520</v>
      </c>
      <c r="H104">
        <v>620</v>
      </c>
      <c r="I104">
        <v>490</v>
      </c>
      <c r="J104">
        <v>600</v>
      </c>
      <c r="K104">
        <v>650</v>
      </c>
      <c r="L104">
        <v>600</v>
      </c>
      <c r="M104">
        <v>730</v>
      </c>
      <c r="N104">
        <v>664.5</v>
      </c>
      <c r="O104">
        <v>650</v>
      </c>
      <c r="P104">
        <v>480</v>
      </c>
      <c r="Q104">
        <v>480</v>
      </c>
      <c r="R104">
        <v>405</v>
      </c>
      <c r="S104">
        <v>540</v>
      </c>
      <c r="T104">
        <v>390</v>
      </c>
      <c r="U104">
        <v>610</v>
      </c>
      <c r="V104">
        <v>572.5</v>
      </c>
      <c r="W104">
        <v>420</v>
      </c>
      <c r="X104">
        <v>470</v>
      </c>
      <c r="Y104">
        <v>600</v>
      </c>
      <c r="Z104">
        <v>675</v>
      </c>
      <c r="AA104">
        <v>450</v>
      </c>
      <c r="AB104">
        <v>495</v>
      </c>
      <c r="AC104">
        <v>470</v>
      </c>
      <c r="AD104">
        <v>500</v>
      </c>
      <c r="AE104">
        <v>600</v>
      </c>
      <c r="AF104">
        <v>410</v>
      </c>
      <c r="AG104">
        <v>510</v>
      </c>
      <c r="AH104">
        <v>370</v>
      </c>
      <c r="AI104">
        <v>310</v>
      </c>
      <c r="AJ104" t="s">
        <v>21</v>
      </c>
      <c r="AK104">
        <v>350</v>
      </c>
      <c r="AL104">
        <v>330</v>
      </c>
      <c r="AM104">
        <v>330</v>
      </c>
      <c r="AN104">
        <v>300</v>
      </c>
      <c r="AO104">
        <v>400</v>
      </c>
      <c r="AP104">
        <v>490</v>
      </c>
      <c r="AQ104">
        <v>345</v>
      </c>
      <c r="AR104">
        <v>320</v>
      </c>
      <c r="AS104">
        <v>550</v>
      </c>
      <c r="AT104">
        <v>450</v>
      </c>
      <c r="AU104">
        <v>560</v>
      </c>
      <c r="AV104">
        <v>300</v>
      </c>
      <c r="AW104">
        <v>310</v>
      </c>
      <c r="AX104">
        <v>325</v>
      </c>
      <c r="AY104">
        <v>260</v>
      </c>
      <c r="AZ104">
        <v>395</v>
      </c>
      <c r="BA104">
        <v>320</v>
      </c>
      <c r="BB104">
        <v>260</v>
      </c>
      <c r="BC104">
        <v>350</v>
      </c>
      <c r="BD104">
        <v>280</v>
      </c>
      <c r="BE104">
        <v>305</v>
      </c>
      <c r="BF104">
        <v>340</v>
      </c>
      <c r="BG104">
        <v>240</v>
      </c>
      <c r="BH104">
        <v>460</v>
      </c>
    </row>
    <row r="105" spans="1:60" x14ac:dyDescent="0.25">
      <c r="A105" s="3"/>
      <c r="B105" s="1">
        <v>42339</v>
      </c>
      <c r="C105">
        <v>520</v>
      </c>
      <c r="D105">
        <v>650</v>
      </c>
      <c r="E105">
        <v>470</v>
      </c>
      <c r="F105">
        <v>620</v>
      </c>
      <c r="G105">
        <v>550</v>
      </c>
      <c r="H105">
        <v>685</v>
      </c>
      <c r="I105">
        <v>510</v>
      </c>
      <c r="J105">
        <v>650</v>
      </c>
      <c r="K105">
        <v>650</v>
      </c>
      <c r="L105">
        <v>620</v>
      </c>
      <c r="M105">
        <v>750</v>
      </c>
      <c r="N105">
        <v>730</v>
      </c>
      <c r="O105">
        <v>700</v>
      </c>
      <c r="P105">
        <v>485</v>
      </c>
      <c r="Q105">
        <v>500</v>
      </c>
      <c r="R105">
        <v>410</v>
      </c>
      <c r="S105">
        <v>530</v>
      </c>
      <c r="T105">
        <v>380</v>
      </c>
      <c r="U105">
        <v>620</v>
      </c>
      <c r="V105">
        <v>602.5</v>
      </c>
      <c r="W105">
        <v>450</v>
      </c>
      <c r="X105">
        <v>460</v>
      </c>
      <c r="Y105">
        <v>602.5</v>
      </c>
      <c r="Z105">
        <v>725</v>
      </c>
      <c r="AA105">
        <v>450</v>
      </c>
      <c r="AB105">
        <v>510</v>
      </c>
      <c r="AC105">
        <v>470</v>
      </c>
      <c r="AD105">
        <v>500</v>
      </c>
      <c r="AE105">
        <v>620</v>
      </c>
      <c r="AF105">
        <v>410</v>
      </c>
      <c r="AG105">
        <v>520</v>
      </c>
      <c r="AH105">
        <v>380</v>
      </c>
      <c r="AI105">
        <v>320</v>
      </c>
      <c r="AJ105">
        <v>372.5</v>
      </c>
      <c r="AK105">
        <v>400</v>
      </c>
      <c r="AL105">
        <v>330</v>
      </c>
      <c r="AM105">
        <v>350</v>
      </c>
      <c r="AN105">
        <v>320</v>
      </c>
      <c r="AO105">
        <v>400</v>
      </c>
      <c r="AP105">
        <v>500</v>
      </c>
      <c r="AQ105">
        <v>350</v>
      </c>
      <c r="AR105">
        <v>310</v>
      </c>
      <c r="AS105">
        <v>592.5</v>
      </c>
      <c r="AT105">
        <v>460</v>
      </c>
      <c r="AU105">
        <v>570</v>
      </c>
      <c r="AV105">
        <v>320</v>
      </c>
      <c r="AW105">
        <v>320</v>
      </c>
      <c r="AX105">
        <v>330</v>
      </c>
      <c r="AY105">
        <v>260</v>
      </c>
      <c r="AZ105">
        <v>360</v>
      </c>
      <c r="BA105">
        <v>320</v>
      </c>
      <c r="BB105">
        <v>270</v>
      </c>
      <c r="BC105">
        <v>350</v>
      </c>
      <c r="BD105">
        <v>270</v>
      </c>
      <c r="BE105">
        <v>297.5</v>
      </c>
      <c r="BF105">
        <v>350</v>
      </c>
      <c r="BG105">
        <v>240</v>
      </c>
      <c r="BH105">
        <v>460</v>
      </c>
    </row>
    <row r="106" spans="1:60" x14ac:dyDescent="0.25">
      <c r="A106" s="3"/>
      <c r="B106" s="1">
        <v>42430</v>
      </c>
      <c r="C106">
        <v>520</v>
      </c>
      <c r="D106">
        <v>660</v>
      </c>
      <c r="E106">
        <v>470</v>
      </c>
      <c r="F106">
        <v>580</v>
      </c>
      <c r="G106">
        <v>580</v>
      </c>
      <c r="H106">
        <v>625</v>
      </c>
      <c r="I106">
        <v>500</v>
      </c>
      <c r="J106">
        <v>630</v>
      </c>
      <c r="K106">
        <v>650</v>
      </c>
      <c r="L106">
        <v>620</v>
      </c>
      <c r="M106">
        <v>750</v>
      </c>
      <c r="N106">
        <v>720</v>
      </c>
      <c r="O106">
        <v>720</v>
      </c>
      <c r="P106">
        <v>490</v>
      </c>
      <c r="Q106">
        <v>500</v>
      </c>
      <c r="R106">
        <v>410</v>
      </c>
      <c r="S106">
        <v>540</v>
      </c>
      <c r="T106">
        <v>380</v>
      </c>
      <c r="U106">
        <v>630</v>
      </c>
      <c r="V106">
        <v>560</v>
      </c>
      <c r="W106">
        <v>450</v>
      </c>
      <c r="X106">
        <v>460</v>
      </c>
      <c r="Y106">
        <v>620</v>
      </c>
      <c r="Z106">
        <v>725</v>
      </c>
      <c r="AA106">
        <v>430</v>
      </c>
      <c r="AB106">
        <v>500</v>
      </c>
      <c r="AC106">
        <v>460</v>
      </c>
      <c r="AD106">
        <v>500</v>
      </c>
      <c r="AE106">
        <v>650</v>
      </c>
      <c r="AF106">
        <v>420</v>
      </c>
      <c r="AG106">
        <v>510</v>
      </c>
      <c r="AH106">
        <v>370</v>
      </c>
      <c r="AI106">
        <v>330</v>
      </c>
      <c r="AJ106" t="s">
        <v>21</v>
      </c>
      <c r="AK106">
        <v>360</v>
      </c>
      <c r="AL106">
        <v>320</v>
      </c>
      <c r="AM106">
        <v>350</v>
      </c>
      <c r="AN106">
        <v>320</v>
      </c>
      <c r="AO106">
        <v>400</v>
      </c>
      <c r="AP106">
        <v>510</v>
      </c>
      <c r="AQ106">
        <v>380</v>
      </c>
      <c r="AR106">
        <v>315</v>
      </c>
      <c r="AS106">
        <v>570</v>
      </c>
      <c r="AT106">
        <v>455</v>
      </c>
      <c r="AU106">
        <v>580</v>
      </c>
      <c r="AV106" t="s">
        <v>21</v>
      </c>
      <c r="AW106">
        <v>325</v>
      </c>
      <c r="AX106">
        <v>340</v>
      </c>
      <c r="AY106">
        <v>260</v>
      </c>
      <c r="AZ106">
        <v>340</v>
      </c>
      <c r="BA106">
        <v>320</v>
      </c>
      <c r="BB106">
        <v>275</v>
      </c>
      <c r="BC106">
        <v>360</v>
      </c>
      <c r="BD106">
        <v>280</v>
      </c>
      <c r="BE106">
        <v>315</v>
      </c>
      <c r="BF106">
        <v>350</v>
      </c>
      <c r="BG106">
        <v>240</v>
      </c>
      <c r="BH106">
        <v>460</v>
      </c>
    </row>
    <row r="107" spans="1:60" x14ac:dyDescent="0.25">
      <c r="A107" s="3"/>
      <c r="B107" s="1">
        <v>42522</v>
      </c>
      <c r="C107">
        <v>520</v>
      </c>
      <c r="D107">
        <v>660</v>
      </c>
      <c r="E107">
        <v>475</v>
      </c>
      <c r="F107">
        <v>620</v>
      </c>
      <c r="G107">
        <v>565</v>
      </c>
      <c r="H107">
        <v>650.1</v>
      </c>
      <c r="I107">
        <v>525</v>
      </c>
      <c r="J107">
        <v>645</v>
      </c>
      <c r="K107">
        <v>650</v>
      </c>
      <c r="L107">
        <v>620</v>
      </c>
      <c r="M107">
        <v>750</v>
      </c>
      <c r="N107">
        <v>710</v>
      </c>
      <c r="O107">
        <v>692.5</v>
      </c>
      <c r="P107">
        <v>500</v>
      </c>
      <c r="Q107">
        <v>500</v>
      </c>
      <c r="R107">
        <v>410</v>
      </c>
      <c r="S107">
        <v>570</v>
      </c>
      <c r="T107">
        <v>390</v>
      </c>
      <c r="U107">
        <v>630</v>
      </c>
      <c r="V107">
        <v>595</v>
      </c>
      <c r="W107">
        <v>450</v>
      </c>
      <c r="X107">
        <v>470</v>
      </c>
      <c r="Y107">
        <v>630</v>
      </c>
      <c r="Z107">
        <v>725</v>
      </c>
      <c r="AA107">
        <v>450</v>
      </c>
      <c r="AB107">
        <v>530</v>
      </c>
      <c r="AC107">
        <v>470</v>
      </c>
      <c r="AD107">
        <v>515</v>
      </c>
      <c r="AE107">
        <v>670</v>
      </c>
      <c r="AF107">
        <v>410</v>
      </c>
      <c r="AG107">
        <v>520</v>
      </c>
      <c r="AH107">
        <v>375</v>
      </c>
      <c r="AI107">
        <v>330</v>
      </c>
      <c r="AJ107">
        <v>390</v>
      </c>
      <c r="AK107">
        <v>350</v>
      </c>
      <c r="AL107">
        <v>330</v>
      </c>
      <c r="AM107">
        <v>350</v>
      </c>
      <c r="AN107">
        <v>320</v>
      </c>
      <c r="AO107">
        <v>410</v>
      </c>
      <c r="AP107">
        <v>510</v>
      </c>
      <c r="AQ107">
        <v>347.5</v>
      </c>
      <c r="AR107">
        <v>320</v>
      </c>
      <c r="AS107">
        <v>595</v>
      </c>
      <c r="AT107">
        <v>465</v>
      </c>
      <c r="AU107">
        <v>590</v>
      </c>
      <c r="AV107" t="s">
        <v>21</v>
      </c>
      <c r="AW107">
        <v>320</v>
      </c>
      <c r="AX107">
        <v>340</v>
      </c>
      <c r="AY107">
        <v>260</v>
      </c>
      <c r="AZ107">
        <v>365</v>
      </c>
      <c r="BA107">
        <v>320</v>
      </c>
      <c r="BB107">
        <v>250</v>
      </c>
      <c r="BC107">
        <v>350</v>
      </c>
      <c r="BD107">
        <v>280</v>
      </c>
      <c r="BE107">
        <v>300</v>
      </c>
      <c r="BF107">
        <v>360</v>
      </c>
      <c r="BG107">
        <v>245</v>
      </c>
      <c r="BH107">
        <v>460</v>
      </c>
    </row>
    <row r="108" spans="1:60" x14ac:dyDescent="0.25">
      <c r="A108" s="3"/>
      <c r="B108" s="1">
        <v>42614</v>
      </c>
      <c r="C108">
        <v>540</v>
      </c>
      <c r="D108">
        <v>680</v>
      </c>
      <c r="E108">
        <v>475</v>
      </c>
      <c r="F108">
        <v>610</v>
      </c>
      <c r="G108">
        <v>550</v>
      </c>
      <c r="H108">
        <v>692.5</v>
      </c>
      <c r="I108">
        <v>530</v>
      </c>
      <c r="J108">
        <v>650</v>
      </c>
      <c r="K108">
        <v>680</v>
      </c>
      <c r="L108">
        <v>620</v>
      </c>
      <c r="M108">
        <v>750</v>
      </c>
      <c r="N108">
        <v>720</v>
      </c>
      <c r="O108">
        <v>697.5</v>
      </c>
      <c r="P108">
        <v>510</v>
      </c>
      <c r="Q108">
        <v>540</v>
      </c>
      <c r="R108">
        <v>420</v>
      </c>
      <c r="S108">
        <v>610</v>
      </c>
      <c r="T108">
        <v>400</v>
      </c>
      <c r="U108">
        <v>640</v>
      </c>
      <c r="V108">
        <v>512.5</v>
      </c>
      <c r="W108">
        <v>490</v>
      </c>
      <c r="X108">
        <v>475</v>
      </c>
      <c r="Y108">
        <v>620</v>
      </c>
      <c r="Z108">
        <v>750</v>
      </c>
      <c r="AA108">
        <v>460</v>
      </c>
      <c r="AB108">
        <v>550</v>
      </c>
      <c r="AC108">
        <v>485</v>
      </c>
      <c r="AD108">
        <v>520</v>
      </c>
      <c r="AE108">
        <v>670</v>
      </c>
      <c r="AF108">
        <v>420</v>
      </c>
      <c r="AG108">
        <v>530</v>
      </c>
      <c r="AH108">
        <v>380</v>
      </c>
      <c r="AI108">
        <v>350</v>
      </c>
      <c r="AJ108">
        <v>400</v>
      </c>
      <c r="AK108">
        <v>360</v>
      </c>
      <c r="AL108">
        <v>330</v>
      </c>
      <c r="AM108">
        <v>350</v>
      </c>
      <c r="AN108">
        <v>340</v>
      </c>
      <c r="AO108">
        <v>415</v>
      </c>
      <c r="AP108">
        <v>510</v>
      </c>
      <c r="AQ108">
        <v>360</v>
      </c>
      <c r="AR108">
        <v>320</v>
      </c>
      <c r="AS108">
        <v>615</v>
      </c>
      <c r="AT108">
        <v>460</v>
      </c>
      <c r="AU108">
        <v>590</v>
      </c>
      <c r="AV108" t="s">
        <v>21</v>
      </c>
      <c r="AW108">
        <v>340</v>
      </c>
      <c r="AX108">
        <v>330</v>
      </c>
      <c r="AY108">
        <v>250</v>
      </c>
      <c r="AZ108">
        <v>390</v>
      </c>
      <c r="BA108">
        <v>315</v>
      </c>
      <c r="BB108">
        <v>270</v>
      </c>
      <c r="BC108">
        <v>350</v>
      </c>
      <c r="BD108">
        <v>280</v>
      </c>
      <c r="BE108">
        <v>315</v>
      </c>
      <c r="BF108">
        <v>360</v>
      </c>
      <c r="BG108">
        <v>250</v>
      </c>
      <c r="BH108">
        <v>480</v>
      </c>
    </row>
    <row r="109" spans="1:60" x14ac:dyDescent="0.25">
      <c r="A109" s="3"/>
      <c r="B109" s="2">
        <v>42705</v>
      </c>
      <c r="C109">
        <v>530</v>
      </c>
      <c r="D109">
        <v>690</v>
      </c>
      <c r="E109">
        <v>477.5</v>
      </c>
      <c r="F109">
        <v>670</v>
      </c>
      <c r="G109">
        <v>550</v>
      </c>
      <c r="H109">
        <v>630</v>
      </c>
      <c r="I109">
        <v>520</v>
      </c>
      <c r="J109">
        <v>650</v>
      </c>
      <c r="K109">
        <v>680</v>
      </c>
      <c r="L109">
        <v>650</v>
      </c>
      <c r="M109">
        <v>760</v>
      </c>
      <c r="N109">
        <v>755</v>
      </c>
      <c r="O109">
        <v>730</v>
      </c>
      <c r="P109">
        <v>500</v>
      </c>
      <c r="Q109">
        <v>520</v>
      </c>
      <c r="R109">
        <v>420</v>
      </c>
      <c r="S109">
        <v>540</v>
      </c>
      <c r="T109">
        <v>410</v>
      </c>
      <c r="U109">
        <v>640</v>
      </c>
      <c r="V109">
        <v>587.5</v>
      </c>
      <c r="W109">
        <v>460</v>
      </c>
      <c r="X109">
        <v>470</v>
      </c>
      <c r="Y109">
        <v>630</v>
      </c>
      <c r="Z109">
        <v>750</v>
      </c>
      <c r="AA109">
        <v>460</v>
      </c>
      <c r="AB109">
        <v>500</v>
      </c>
      <c r="AC109">
        <v>490</v>
      </c>
      <c r="AD109">
        <v>540</v>
      </c>
      <c r="AE109">
        <v>650</v>
      </c>
      <c r="AF109">
        <v>430</v>
      </c>
      <c r="AG109">
        <v>520</v>
      </c>
      <c r="AH109">
        <v>370</v>
      </c>
      <c r="AI109">
        <v>315</v>
      </c>
      <c r="AJ109">
        <v>400</v>
      </c>
      <c r="AK109">
        <v>360</v>
      </c>
      <c r="AL109">
        <v>350</v>
      </c>
      <c r="AM109">
        <v>360</v>
      </c>
      <c r="AN109">
        <v>350</v>
      </c>
      <c r="AO109">
        <v>420</v>
      </c>
      <c r="AP109">
        <v>500</v>
      </c>
      <c r="AQ109">
        <v>367.5</v>
      </c>
      <c r="AR109">
        <v>330</v>
      </c>
      <c r="AS109">
        <v>612.5</v>
      </c>
      <c r="AT109">
        <v>480</v>
      </c>
      <c r="AU109">
        <v>600</v>
      </c>
      <c r="AV109" t="s">
        <v>21</v>
      </c>
      <c r="AW109">
        <v>310</v>
      </c>
      <c r="AX109">
        <v>340</v>
      </c>
      <c r="AY109">
        <v>260</v>
      </c>
      <c r="AZ109">
        <v>410</v>
      </c>
      <c r="BA109">
        <v>322.5</v>
      </c>
      <c r="BB109">
        <v>260</v>
      </c>
      <c r="BC109">
        <v>370</v>
      </c>
      <c r="BD109">
        <v>290</v>
      </c>
      <c r="BE109">
        <v>310</v>
      </c>
      <c r="BF109">
        <v>360</v>
      </c>
      <c r="BG109">
        <v>250</v>
      </c>
      <c r="BH109">
        <v>480</v>
      </c>
    </row>
    <row r="110" spans="1:60" x14ac:dyDescent="0.25">
      <c r="A110" s="3"/>
      <c r="B110" s="2">
        <v>42795</v>
      </c>
      <c r="C110">
        <v>540</v>
      </c>
      <c r="D110">
        <v>685</v>
      </c>
      <c r="E110">
        <v>495</v>
      </c>
      <c r="F110">
        <v>670</v>
      </c>
      <c r="G110">
        <v>570</v>
      </c>
      <c r="H110">
        <v>640</v>
      </c>
      <c r="I110">
        <v>520</v>
      </c>
      <c r="J110">
        <v>660</v>
      </c>
      <c r="K110">
        <v>680</v>
      </c>
      <c r="L110">
        <v>650</v>
      </c>
      <c r="M110">
        <v>775</v>
      </c>
      <c r="N110">
        <v>755</v>
      </c>
      <c r="O110">
        <v>722.5</v>
      </c>
      <c r="P110">
        <v>510</v>
      </c>
      <c r="Q110">
        <v>530</v>
      </c>
      <c r="R110">
        <v>420</v>
      </c>
      <c r="S110">
        <v>580</v>
      </c>
      <c r="T110">
        <v>420</v>
      </c>
      <c r="U110">
        <v>650</v>
      </c>
      <c r="V110">
        <v>600</v>
      </c>
      <c r="W110">
        <v>465</v>
      </c>
      <c r="X110">
        <v>470</v>
      </c>
      <c r="Y110">
        <v>640</v>
      </c>
      <c r="Z110">
        <v>745</v>
      </c>
      <c r="AA110">
        <v>470</v>
      </c>
      <c r="AB110">
        <v>550</v>
      </c>
      <c r="AC110">
        <v>480</v>
      </c>
      <c r="AD110">
        <v>530</v>
      </c>
      <c r="AE110">
        <v>667.5</v>
      </c>
      <c r="AF110">
        <v>440</v>
      </c>
      <c r="AG110">
        <v>520</v>
      </c>
      <c r="AH110">
        <v>380</v>
      </c>
      <c r="AI110">
        <v>352.5</v>
      </c>
      <c r="AJ110">
        <v>400</v>
      </c>
      <c r="AK110">
        <v>380</v>
      </c>
      <c r="AL110">
        <v>350</v>
      </c>
      <c r="AM110">
        <v>360</v>
      </c>
      <c r="AN110">
        <v>335</v>
      </c>
      <c r="AO110">
        <v>420</v>
      </c>
      <c r="AP110">
        <v>500</v>
      </c>
      <c r="AQ110">
        <v>360</v>
      </c>
      <c r="AR110">
        <v>325</v>
      </c>
      <c r="AS110">
        <v>620</v>
      </c>
      <c r="AT110">
        <v>490</v>
      </c>
      <c r="AU110">
        <v>600</v>
      </c>
      <c r="AV110" t="s">
        <v>21</v>
      </c>
      <c r="AW110">
        <v>330</v>
      </c>
      <c r="AX110">
        <v>360</v>
      </c>
      <c r="AY110">
        <v>262.5</v>
      </c>
      <c r="AZ110">
        <v>370</v>
      </c>
      <c r="BA110">
        <v>345</v>
      </c>
      <c r="BB110">
        <v>285</v>
      </c>
      <c r="BC110">
        <v>365</v>
      </c>
      <c r="BD110">
        <v>290</v>
      </c>
      <c r="BE110">
        <v>330</v>
      </c>
      <c r="BF110">
        <v>380</v>
      </c>
      <c r="BG110">
        <v>250</v>
      </c>
      <c r="BH110">
        <v>490</v>
      </c>
    </row>
    <row r="111" spans="1:60" x14ac:dyDescent="0.25">
      <c r="A111" s="3"/>
      <c r="B111" s="2">
        <v>42887</v>
      </c>
      <c r="C111">
        <v>550</v>
      </c>
      <c r="D111">
        <v>700</v>
      </c>
      <c r="E111">
        <v>500</v>
      </c>
      <c r="F111">
        <v>650</v>
      </c>
      <c r="G111">
        <v>580</v>
      </c>
      <c r="H111">
        <v>690</v>
      </c>
      <c r="I111">
        <v>550</v>
      </c>
      <c r="J111">
        <v>675</v>
      </c>
      <c r="K111">
        <v>695</v>
      </c>
      <c r="L111">
        <v>650</v>
      </c>
      <c r="M111">
        <v>800</v>
      </c>
      <c r="N111">
        <v>760</v>
      </c>
      <c r="O111">
        <v>730</v>
      </c>
      <c r="P111">
        <v>530</v>
      </c>
      <c r="Q111">
        <v>540</v>
      </c>
      <c r="R111">
        <v>430</v>
      </c>
      <c r="S111">
        <v>587.5</v>
      </c>
      <c r="T111">
        <v>410</v>
      </c>
      <c r="U111">
        <v>650</v>
      </c>
      <c r="V111">
        <v>585</v>
      </c>
      <c r="W111">
        <v>480</v>
      </c>
      <c r="X111">
        <v>500</v>
      </c>
      <c r="Y111">
        <v>650</v>
      </c>
      <c r="Z111">
        <v>750</v>
      </c>
      <c r="AA111">
        <v>490</v>
      </c>
      <c r="AB111">
        <v>540</v>
      </c>
      <c r="AC111">
        <v>510</v>
      </c>
      <c r="AD111">
        <v>520</v>
      </c>
      <c r="AE111">
        <v>660</v>
      </c>
      <c r="AF111">
        <v>450</v>
      </c>
      <c r="AG111">
        <v>520</v>
      </c>
      <c r="AH111">
        <v>382.5</v>
      </c>
      <c r="AI111">
        <v>350</v>
      </c>
      <c r="AJ111">
        <v>390</v>
      </c>
      <c r="AK111">
        <v>390</v>
      </c>
      <c r="AL111">
        <v>350</v>
      </c>
      <c r="AM111">
        <v>360</v>
      </c>
      <c r="AN111">
        <v>322.5</v>
      </c>
      <c r="AO111">
        <v>430</v>
      </c>
      <c r="AP111">
        <v>530</v>
      </c>
      <c r="AQ111">
        <v>410</v>
      </c>
      <c r="AR111">
        <v>325</v>
      </c>
      <c r="AS111">
        <v>620</v>
      </c>
      <c r="AT111">
        <v>480</v>
      </c>
      <c r="AU111">
        <v>600</v>
      </c>
      <c r="AV111">
        <v>315</v>
      </c>
      <c r="AW111">
        <v>320</v>
      </c>
      <c r="AX111">
        <v>350</v>
      </c>
      <c r="AY111">
        <v>260</v>
      </c>
      <c r="AZ111">
        <v>400</v>
      </c>
      <c r="BA111">
        <v>340</v>
      </c>
      <c r="BB111">
        <v>275</v>
      </c>
      <c r="BC111">
        <v>360</v>
      </c>
      <c r="BD111">
        <v>290</v>
      </c>
      <c r="BE111">
        <v>320</v>
      </c>
      <c r="BF111">
        <v>375</v>
      </c>
      <c r="BG111">
        <v>250</v>
      </c>
      <c r="BH111">
        <v>500</v>
      </c>
    </row>
    <row r="112" spans="1:60" x14ac:dyDescent="0.25">
      <c r="B112" s="1">
        <v>42979</v>
      </c>
      <c r="C112" s="5">
        <v>560</v>
      </c>
      <c r="D112" s="6">
        <v>700</v>
      </c>
      <c r="G112">
        <v>580</v>
      </c>
      <c r="J112">
        <v>670</v>
      </c>
      <c r="K112">
        <v>680</v>
      </c>
      <c r="L112">
        <v>650</v>
      </c>
      <c r="M112">
        <v>780</v>
      </c>
      <c r="N112">
        <v>750</v>
      </c>
      <c r="O112">
        <v>720</v>
      </c>
      <c r="P112" s="6">
        <v>520</v>
      </c>
      <c r="S112">
        <v>580</v>
      </c>
      <c r="U112">
        <v>650</v>
      </c>
      <c r="V112">
        <v>605</v>
      </c>
      <c r="Y112">
        <v>640</v>
      </c>
      <c r="AA112">
        <v>520</v>
      </c>
      <c r="AC112">
        <v>500</v>
      </c>
      <c r="AD112">
        <v>530</v>
      </c>
      <c r="AE112">
        <v>670</v>
      </c>
      <c r="AF112" s="6">
        <v>450</v>
      </c>
      <c r="AG112">
        <v>550</v>
      </c>
      <c r="AH112">
        <v>380</v>
      </c>
      <c r="AI112">
        <v>350</v>
      </c>
      <c r="AJ112">
        <v>395</v>
      </c>
      <c r="AK112">
        <v>350</v>
      </c>
      <c r="AL112">
        <v>350</v>
      </c>
      <c r="AN112">
        <v>332.5</v>
      </c>
      <c r="AP112">
        <v>520</v>
      </c>
      <c r="AQ112">
        <v>380</v>
      </c>
      <c r="AR112">
        <v>350</v>
      </c>
      <c r="AT112">
        <v>490</v>
      </c>
      <c r="AV112">
        <v>315</v>
      </c>
      <c r="AY112">
        <v>270</v>
      </c>
      <c r="AZ112">
        <v>420</v>
      </c>
      <c r="BA112">
        <v>330</v>
      </c>
      <c r="BB112">
        <v>270</v>
      </c>
      <c r="BC112">
        <v>360</v>
      </c>
      <c r="BD112">
        <v>290</v>
      </c>
      <c r="BE112">
        <v>340</v>
      </c>
      <c r="BF112">
        <v>380</v>
      </c>
    </row>
    <row r="113" spans="2:58" x14ac:dyDescent="0.25">
      <c r="B113" s="2">
        <v>43070</v>
      </c>
      <c r="C113" s="5">
        <v>550</v>
      </c>
      <c r="D113" s="6">
        <v>700</v>
      </c>
      <c r="G113">
        <v>570</v>
      </c>
      <c r="J113">
        <v>650</v>
      </c>
      <c r="K113">
        <v>690</v>
      </c>
      <c r="L113">
        <v>660</v>
      </c>
      <c r="M113">
        <v>780</v>
      </c>
      <c r="N113">
        <v>760</v>
      </c>
      <c r="O113">
        <v>747.5</v>
      </c>
      <c r="P113" s="6">
        <v>520</v>
      </c>
      <c r="S113">
        <v>565</v>
      </c>
      <c r="U113">
        <v>630</v>
      </c>
      <c r="V113">
        <v>580</v>
      </c>
      <c r="Y113">
        <v>627.5</v>
      </c>
      <c r="AA113">
        <v>520</v>
      </c>
      <c r="AC113">
        <v>490</v>
      </c>
      <c r="AD113">
        <v>540</v>
      </c>
      <c r="AE113">
        <v>650</v>
      </c>
      <c r="AF113" s="6">
        <v>450</v>
      </c>
      <c r="AG113">
        <v>540</v>
      </c>
      <c r="AH113">
        <v>380</v>
      </c>
      <c r="AI113">
        <v>340</v>
      </c>
      <c r="AJ113">
        <v>390</v>
      </c>
      <c r="AK113">
        <v>350</v>
      </c>
      <c r="AL113">
        <v>352.5</v>
      </c>
      <c r="AN113">
        <v>340</v>
      </c>
      <c r="AP113">
        <v>510</v>
      </c>
      <c r="AQ113">
        <v>380</v>
      </c>
      <c r="AR113">
        <v>350</v>
      </c>
      <c r="AT113">
        <v>495</v>
      </c>
      <c r="AV113">
        <v>315</v>
      </c>
      <c r="AY113">
        <v>260</v>
      </c>
      <c r="AZ113">
        <v>420</v>
      </c>
      <c r="BA113">
        <v>330</v>
      </c>
      <c r="BB113">
        <v>280</v>
      </c>
      <c r="BC113">
        <v>370</v>
      </c>
      <c r="BD113">
        <v>300</v>
      </c>
      <c r="BE113">
        <v>330</v>
      </c>
      <c r="BF113">
        <v>380</v>
      </c>
    </row>
    <row r="114" spans="2:58" x14ac:dyDescent="0.25">
      <c r="B114" s="2">
        <v>43160</v>
      </c>
      <c r="C114" s="5">
        <v>570</v>
      </c>
      <c r="D114" s="6">
        <v>710</v>
      </c>
      <c r="G114">
        <v>580</v>
      </c>
      <c r="J114">
        <v>660</v>
      </c>
      <c r="K114">
        <v>700</v>
      </c>
      <c r="L114">
        <v>650</v>
      </c>
      <c r="M114">
        <v>780</v>
      </c>
      <c r="N114">
        <v>780</v>
      </c>
      <c r="O114">
        <v>740</v>
      </c>
      <c r="P114" s="6">
        <v>530</v>
      </c>
      <c r="S114">
        <v>580</v>
      </c>
      <c r="U114">
        <v>660</v>
      </c>
      <c r="V114">
        <v>595</v>
      </c>
      <c r="Y114">
        <v>620</v>
      </c>
      <c r="AA114">
        <v>520</v>
      </c>
      <c r="AC114">
        <v>550</v>
      </c>
      <c r="AD114">
        <v>530</v>
      </c>
      <c r="AE114">
        <v>670</v>
      </c>
      <c r="AF114" s="6">
        <v>460</v>
      </c>
      <c r="AG114">
        <v>540</v>
      </c>
      <c r="AH114">
        <v>370</v>
      </c>
      <c r="AI114">
        <v>330</v>
      </c>
      <c r="AJ114">
        <v>390</v>
      </c>
      <c r="AK114">
        <v>380</v>
      </c>
      <c r="AL114">
        <v>350</v>
      </c>
      <c r="AN114">
        <v>340</v>
      </c>
      <c r="AP114">
        <v>500</v>
      </c>
      <c r="AQ114">
        <v>390</v>
      </c>
      <c r="AR114">
        <v>375</v>
      </c>
      <c r="AT114">
        <v>495</v>
      </c>
      <c r="AV114">
        <v>340</v>
      </c>
      <c r="AY114">
        <v>275</v>
      </c>
      <c r="AZ114">
        <v>470</v>
      </c>
      <c r="BA114">
        <v>350</v>
      </c>
      <c r="BB114">
        <v>316</v>
      </c>
      <c r="BC114">
        <v>385</v>
      </c>
      <c r="BD114">
        <v>310</v>
      </c>
      <c r="BE114">
        <v>332.5</v>
      </c>
      <c r="BF114">
        <v>390</v>
      </c>
    </row>
    <row r="115" spans="2:58" x14ac:dyDescent="0.25">
      <c r="B115" s="2">
        <v>43252</v>
      </c>
      <c r="C115" s="5">
        <v>550</v>
      </c>
      <c r="D115" s="6">
        <v>710</v>
      </c>
      <c r="G115">
        <v>575</v>
      </c>
      <c r="J115">
        <v>660</v>
      </c>
      <c r="K115">
        <v>700</v>
      </c>
      <c r="L115">
        <v>650</v>
      </c>
      <c r="M115">
        <v>780</v>
      </c>
      <c r="N115">
        <v>760</v>
      </c>
      <c r="O115">
        <v>730</v>
      </c>
      <c r="P115" s="6">
        <v>515</v>
      </c>
      <c r="S115">
        <v>580</v>
      </c>
      <c r="U115">
        <v>630</v>
      </c>
      <c r="V115">
        <v>627.5</v>
      </c>
      <c r="Y115">
        <v>630</v>
      </c>
      <c r="AA115">
        <v>510</v>
      </c>
      <c r="AC115">
        <v>550</v>
      </c>
      <c r="AD115">
        <v>530</v>
      </c>
      <c r="AE115">
        <v>650</v>
      </c>
      <c r="AF115" s="6">
        <v>450</v>
      </c>
      <c r="AG115">
        <v>540</v>
      </c>
      <c r="AH115">
        <v>380</v>
      </c>
      <c r="AI115">
        <v>350</v>
      </c>
      <c r="AJ115">
        <v>382.5</v>
      </c>
      <c r="AK115">
        <v>355</v>
      </c>
      <c r="AL115">
        <v>345</v>
      </c>
      <c r="AN115">
        <v>330</v>
      </c>
      <c r="AP115">
        <v>510</v>
      </c>
      <c r="AQ115">
        <v>390</v>
      </c>
      <c r="AR115">
        <v>360</v>
      </c>
      <c r="AT115">
        <v>495</v>
      </c>
      <c r="AV115">
        <v>345</v>
      </c>
      <c r="AY115">
        <v>265</v>
      </c>
      <c r="AZ115">
        <v>410</v>
      </c>
      <c r="BA115">
        <v>350</v>
      </c>
      <c r="BB115">
        <v>295</v>
      </c>
      <c r="BC115">
        <v>380</v>
      </c>
      <c r="BD115">
        <v>300</v>
      </c>
      <c r="BE115">
        <v>345</v>
      </c>
      <c r="BF115">
        <v>380</v>
      </c>
    </row>
    <row r="116" spans="2:58" x14ac:dyDescent="0.25">
      <c r="B116" s="1">
        <v>43344</v>
      </c>
      <c r="C116" s="5">
        <v>550</v>
      </c>
      <c r="D116" s="6">
        <v>700</v>
      </c>
      <c r="G116">
        <v>560</v>
      </c>
      <c r="J116">
        <v>660</v>
      </c>
      <c r="K116">
        <v>685</v>
      </c>
      <c r="L116">
        <v>650</v>
      </c>
      <c r="M116">
        <v>780</v>
      </c>
      <c r="N116">
        <v>750</v>
      </c>
      <c r="O116">
        <v>705</v>
      </c>
      <c r="P116" s="6">
        <v>510</v>
      </c>
      <c r="S116">
        <v>580</v>
      </c>
      <c r="U116">
        <v>630</v>
      </c>
      <c r="V116">
        <v>590</v>
      </c>
      <c r="Y116">
        <v>640</v>
      </c>
      <c r="AA116">
        <v>510</v>
      </c>
      <c r="AC116">
        <v>500</v>
      </c>
      <c r="AD116">
        <v>535</v>
      </c>
      <c r="AE116">
        <v>650</v>
      </c>
      <c r="AF116" s="6">
        <v>450</v>
      </c>
      <c r="AG116">
        <v>520</v>
      </c>
      <c r="AH116">
        <v>380</v>
      </c>
      <c r="AI116">
        <v>357.5</v>
      </c>
      <c r="AJ116">
        <v>372.5</v>
      </c>
      <c r="AK116">
        <v>360</v>
      </c>
      <c r="AL116">
        <v>350</v>
      </c>
      <c r="AN116">
        <v>350</v>
      </c>
      <c r="AP116">
        <v>505</v>
      </c>
      <c r="AQ116">
        <v>400</v>
      </c>
      <c r="AR116">
        <v>350</v>
      </c>
      <c r="AT116">
        <v>500</v>
      </c>
      <c r="AV116">
        <v>320</v>
      </c>
      <c r="AY116">
        <v>280</v>
      </c>
      <c r="AZ116">
        <v>405</v>
      </c>
      <c r="BA116">
        <v>350</v>
      </c>
      <c r="BB116">
        <v>300</v>
      </c>
      <c r="BC116">
        <v>365</v>
      </c>
      <c r="BD116">
        <v>310</v>
      </c>
      <c r="BE116">
        <v>330</v>
      </c>
      <c r="BF116">
        <v>375</v>
      </c>
    </row>
    <row r="117" spans="2:58" x14ac:dyDescent="0.25">
      <c r="B117" s="2">
        <v>43435</v>
      </c>
      <c r="C117" s="5">
        <v>550</v>
      </c>
      <c r="D117" s="6">
        <v>695</v>
      </c>
      <c r="G117">
        <v>550</v>
      </c>
      <c r="J117">
        <v>650</v>
      </c>
      <c r="K117">
        <v>675</v>
      </c>
      <c r="L117">
        <v>650</v>
      </c>
      <c r="M117">
        <v>750</v>
      </c>
      <c r="N117">
        <v>750</v>
      </c>
      <c r="O117">
        <v>720</v>
      </c>
      <c r="P117" s="6">
        <v>500</v>
      </c>
      <c r="S117">
        <v>570</v>
      </c>
      <c r="U117">
        <v>620</v>
      </c>
      <c r="V117">
        <v>588</v>
      </c>
      <c r="Y117">
        <v>615</v>
      </c>
      <c r="AA117">
        <v>505</v>
      </c>
      <c r="AC117">
        <v>475</v>
      </c>
      <c r="AD117">
        <v>530</v>
      </c>
      <c r="AE117">
        <v>650</v>
      </c>
      <c r="AF117" s="6">
        <v>450</v>
      </c>
      <c r="AG117">
        <v>500</v>
      </c>
      <c r="AH117">
        <v>380</v>
      </c>
      <c r="AI117">
        <v>350</v>
      </c>
      <c r="AJ117">
        <v>375</v>
      </c>
      <c r="AK117">
        <v>350</v>
      </c>
      <c r="AL117">
        <v>350</v>
      </c>
      <c r="AN117">
        <v>340</v>
      </c>
      <c r="AP117">
        <v>500</v>
      </c>
      <c r="AQ117">
        <v>410</v>
      </c>
      <c r="AR117">
        <v>360</v>
      </c>
      <c r="AT117">
        <v>480</v>
      </c>
      <c r="AV117">
        <v>340</v>
      </c>
      <c r="AY117">
        <v>280</v>
      </c>
      <c r="AZ117">
        <v>405</v>
      </c>
      <c r="BA117">
        <v>350</v>
      </c>
      <c r="BB117">
        <v>300</v>
      </c>
      <c r="BC117">
        <v>390</v>
      </c>
      <c r="BD117">
        <v>313</v>
      </c>
      <c r="BE117">
        <v>330</v>
      </c>
      <c r="BF117">
        <v>380</v>
      </c>
    </row>
    <row r="118" spans="2:58" x14ac:dyDescent="0.25">
      <c r="B118" s="2">
        <v>43525</v>
      </c>
      <c r="C118" s="5">
        <v>550</v>
      </c>
      <c r="D118" s="6">
        <v>700</v>
      </c>
      <c r="G118">
        <v>560</v>
      </c>
      <c r="J118">
        <v>660</v>
      </c>
      <c r="K118">
        <v>685</v>
      </c>
      <c r="L118">
        <v>630</v>
      </c>
      <c r="M118">
        <v>770</v>
      </c>
      <c r="N118">
        <v>750</v>
      </c>
      <c r="O118">
        <v>713</v>
      </c>
      <c r="P118" s="6">
        <v>520</v>
      </c>
      <c r="S118">
        <v>580</v>
      </c>
      <c r="U118">
        <v>620</v>
      </c>
      <c r="V118">
        <v>600</v>
      </c>
      <c r="Y118">
        <v>610</v>
      </c>
      <c r="AA118">
        <v>500</v>
      </c>
      <c r="AC118">
        <v>540</v>
      </c>
      <c r="AD118">
        <v>520</v>
      </c>
      <c r="AE118">
        <v>630</v>
      </c>
      <c r="AF118" s="6">
        <v>440</v>
      </c>
      <c r="AG118">
        <v>500</v>
      </c>
      <c r="AH118">
        <v>380</v>
      </c>
      <c r="AI118">
        <v>340</v>
      </c>
      <c r="AJ118">
        <v>370</v>
      </c>
      <c r="AK118">
        <v>360</v>
      </c>
      <c r="AL118">
        <v>350</v>
      </c>
      <c r="AN118">
        <v>340</v>
      </c>
      <c r="AP118">
        <v>490</v>
      </c>
      <c r="AQ118">
        <v>390</v>
      </c>
      <c r="AR118">
        <v>360</v>
      </c>
      <c r="AT118">
        <v>485</v>
      </c>
      <c r="AV118">
        <v>330</v>
      </c>
      <c r="AY118">
        <v>285</v>
      </c>
      <c r="AZ118">
        <v>445</v>
      </c>
      <c r="BA118">
        <v>350</v>
      </c>
      <c r="BB118">
        <v>303</v>
      </c>
      <c r="BC118">
        <v>390</v>
      </c>
      <c r="BD118">
        <v>325</v>
      </c>
      <c r="BE118">
        <v>335</v>
      </c>
      <c r="BF118">
        <v>390</v>
      </c>
    </row>
    <row r="119" spans="2:58" x14ac:dyDescent="0.25">
      <c r="B119" s="2">
        <v>43617</v>
      </c>
      <c r="C119" s="5">
        <v>535</v>
      </c>
      <c r="D119" s="6">
        <v>700</v>
      </c>
      <c r="G119">
        <v>585</v>
      </c>
      <c r="J119">
        <v>630</v>
      </c>
      <c r="K119">
        <v>680</v>
      </c>
      <c r="L119">
        <v>630</v>
      </c>
      <c r="M119">
        <v>780</v>
      </c>
      <c r="N119">
        <v>750</v>
      </c>
      <c r="O119">
        <v>720</v>
      </c>
      <c r="P119" s="6">
        <v>500</v>
      </c>
      <c r="S119">
        <v>590</v>
      </c>
      <c r="U119">
        <v>600</v>
      </c>
      <c r="V119">
        <v>535</v>
      </c>
      <c r="Y119">
        <v>600</v>
      </c>
      <c r="AA119">
        <v>485</v>
      </c>
      <c r="AC119">
        <v>510</v>
      </c>
      <c r="AD119">
        <v>510</v>
      </c>
      <c r="AE119">
        <v>635</v>
      </c>
      <c r="AF119" s="6">
        <v>430</v>
      </c>
      <c r="AG119">
        <v>500</v>
      </c>
      <c r="AH119">
        <v>373</v>
      </c>
      <c r="AI119">
        <v>340</v>
      </c>
      <c r="AJ119">
        <v>350</v>
      </c>
      <c r="AK119">
        <v>350</v>
      </c>
      <c r="AL119">
        <v>335</v>
      </c>
      <c r="AN119">
        <v>340</v>
      </c>
      <c r="AP119">
        <v>495</v>
      </c>
      <c r="AQ119">
        <v>400</v>
      </c>
      <c r="AR119">
        <v>350</v>
      </c>
      <c r="AT119">
        <v>475</v>
      </c>
      <c r="AV119">
        <v>320</v>
      </c>
      <c r="AY119">
        <v>300</v>
      </c>
      <c r="AZ119">
        <v>450</v>
      </c>
      <c r="BA119">
        <v>340</v>
      </c>
      <c r="BB119">
        <v>290</v>
      </c>
      <c r="BC119">
        <v>390</v>
      </c>
      <c r="BD119">
        <v>320</v>
      </c>
      <c r="BE119">
        <v>340</v>
      </c>
      <c r="BF119">
        <v>375</v>
      </c>
    </row>
    <row r="120" spans="2:58" x14ac:dyDescent="0.25">
      <c r="B120" s="1">
        <v>43709</v>
      </c>
      <c r="C120" s="5">
        <v>545</v>
      </c>
      <c r="D120" s="6">
        <v>685</v>
      </c>
      <c r="G120">
        <v>550</v>
      </c>
      <c r="J120">
        <v>600</v>
      </c>
      <c r="K120">
        <v>670</v>
      </c>
      <c r="L120">
        <v>610</v>
      </c>
      <c r="M120">
        <v>760</v>
      </c>
      <c r="N120">
        <v>700</v>
      </c>
      <c r="O120">
        <v>700</v>
      </c>
      <c r="P120" s="6">
        <v>500</v>
      </c>
      <c r="S120">
        <v>573</v>
      </c>
      <c r="U120">
        <v>620</v>
      </c>
      <c r="V120">
        <v>550</v>
      </c>
      <c r="Y120">
        <v>600</v>
      </c>
      <c r="AA120">
        <v>500</v>
      </c>
      <c r="AC120">
        <v>500</v>
      </c>
      <c r="AD120">
        <v>520</v>
      </c>
      <c r="AE120">
        <v>630</v>
      </c>
      <c r="AF120" s="6">
        <v>430</v>
      </c>
      <c r="AG120">
        <v>500</v>
      </c>
      <c r="AH120">
        <v>360</v>
      </c>
      <c r="AI120">
        <v>320</v>
      </c>
      <c r="AJ120">
        <v>375</v>
      </c>
      <c r="AK120">
        <v>350</v>
      </c>
      <c r="AL120">
        <v>340</v>
      </c>
      <c r="AN120">
        <v>328</v>
      </c>
      <c r="AP120">
        <v>499</v>
      </c>
      <c r="AQ120">
        <v>390</v>
      </c>
      <c r="AR120">
        <v>350</v>
      </c>
      <c r="AT120">
        <v>480</v>
      </c>
      <c r="AV120">
        <v>335</v>
      </c>
      <c r="AY120">
        <v>290</v>
      </c>
      <c r="AZ120">
        <v>425</v>
      </c>
      <c r="BA120">
        <v>350</v>
      </c>
      <c r="BB120">
        <v>300</v>
      </c>
      <c r="BC120">
        <v>390</v>
      </c>
      <c r="BD120">
        <v>320</v>
      </c>
      <c r="BE120">
        <v>330</v>
      </c>
      <c r="BF120">
        <v>370</v>
      </c>
    </row>
    <row r="121" spans="2:58" x14ac:dyDescent="0.25">
      <c r="B121" s="2">
        <v>43800</v>
      </c>
      <c r="C121" s="5">
        <v>530</v>
      </c>
      <c r="D121" s="6">
        <v>685</v>
      </c>
      <c r="G121">
        <v>560</v>
      </c>
      <c r="J121">
        <v>675</v>
      </c>
      <c r="K121">
        <v>675</v>
      </c>
      <c r="L121">
        <v>630</v>
      </c>
      <c r="M121">
        <v>760</v>
      </c>
      <c r="N121">
        <v>750</v>
      </c>
      <c r="O121">
        <v>700</v>
      </c>
      <c r="P121" s="6">
        <v>495</v>
      </c>
      <c r="S121">
        <v>550</v>
      </c>
      <c r="U121">
        <v>600</v>
      </c>
      <c r="V121">
        <v>570</v>
      </c>
      <c r="Y121">
        <v>610</v>
      </c>
      <c r="AA121">
        <v>500</v>
      </c>
      <c r="AC121">
        <v>498</v>
      </c>
      <c r="AD121">
        <v>500</v>
      </c>
      <c r="AE121">
        <v>623</v>
      </c>
      <c r="AF121" s="6">
        <v>430</v>
      </c>
      <c r="AG121">
        <v>495</v>
      </c>
      <c r="AH121">
        <v>380</v>
      </c>
      <c r="AI121">
        <v>320</v>
      </c>
      <c r="AJ121">
        <v>360</v>
      </c>
      <c r="AK121">
        <v>350</v>
      </c>
      <c r="AL121">
        <v>350</v>
      </c>
      <c r="AN121">
        <v>300</v>
      </c>
      <c r="AP121">
        <v>485</v>
      </c>
      <c r="AQ121">
        <v>378</v>
      </c>
      <c r="AR121">
        <v>350</v>
      </c>
      <c r="AT121">
        <v>480</v>
      </c>
      <c r="AV121">
        <v>320</v>
      </c>
      <c r="AY121">
        <v>280</v>
      </c>
      <c r="AZ121">
        <v>410</v>
      </c>
      <c r="BA121">
        <v>345</v>
      </c>
      <c r="BB121">
        <v>330</v>
      </c>
      <c r="BC121">
        <v>400</v>
      </c>
      <c r="BD121">
        <v>320</v>
      </c>
      <c r="BE121">
        <v>350</v>
      </c>
      <c r="BF121">
        <v>370</v>
      </c>
    </row>
    <row r="122" spans="2:58" x14ac:dyDescent="0.25">
      <c r="B122" s="2">
        <v>43891</v>
      </c>
      <c r="C122" s="5">
        <v>540</v>
      </c>
      <c r="D122" s="6">
        <v>690</v>
      </c>
      <c r="G122">
        <v>580</v>
      </c>
      <c r="J122">
        <v>650</v>
      </c>
      <c r="K122">
        <v>680</v>
      </c>
      <c r="L122">
        <v>630</v>
      </c>
      <c r="M122">
        <v>775</v>
      </c>
      <c r="N122">
        <v>750</v>
      </c>
      <c r="O122">
        <v>700</v>
      </c>
      <c r="P122" s="6">
        <v>500</v>
      </c>
      <c r="S122">
        <v>620</v>
      </c>
      <c r="U122">
        <v>610</v>
      </c>
      <c r="V122">
        <v>600</v>
      </c>
      <c r="Y122">
        <v>600</v>
      </c>
      <c r="AA122">
        <v>500</v>
      </c>
      <c r="AC122">
        <v>550</v>
      </c>
      <c r="AD122">
        <v>500</v>
      </c>
      <c r="AE122">
        <v>630</v>
      </c>
      <c r="AF122" s="6">
        <v>430</v>
      </c>
      <c r="AG122">
        <v>490</v>
      </c>
      <c r="AH122">
        <v>380</v>
      </c>
      <c r="AI122">
        <v>340</v>
      </c>
      <c r="AJ122">
        <v>360</v>
      </c>
      <c r="AK122">
        <v>360</v>
      </c>
      <c r="AL122">
        <v>330</v>
      </c>
      <c r="AN122">
        <v>320</v>
      </c>
      <c r="AP122">
        <v>480</v>
      </c>
      <c r="AQ122">
        <v>390</v>
      </c>
      <c r="AR122">
        <v>350</v>
      </c>
      <c r="AT122">
        <v>485</v>
      </c>
      <c r="AV122">
        <v>320</v>
      </c>
      <c r="AY122">
        <v>295</v>
      </c>
      <c r="AZ122">
        <v>475</v>
      </c>
      <c r="BA122">
        <v>350</v>
      </c>
      <c r="BB122">
        <v>320</v>
      </c>
      <c r="BC122">
        <v>400</v>
      </c>
      <c r="BD122">
        <v>320</v>
      </c>
      <c r="BE122">
        <v>340</v>
      </c>
      <c r="BF122">
        <v>380</v>
      </c>
    </row>
    <row r="123" spans="2:58" x14ac:dyDescent="0.25">
      <c r="B123" s="2">
        <v>43983</v>
      </c>
      <c r="C123" s="5">
        <v>510</v>
      </c>
      <c r="D123" s="6">
        <v>625</v>
      </c>
      <c r="G123">
        <v>540</v>
      </c>
      <c r="J123">
        <v>650</v>
      </c>
      <c r="K123">
        <v>620</v>
      </c>
      <c r="L123">
        <v>580</v>
      </c>
      <c r="M123">
        <v>660</v>
      </c>
      <c r="N123">
        <v>680</v>
      </c>
      <c r="O123">
        <v>650</v>
      </c>
      <c r="P123" s="6">
        <v>480</v>
      </c>
      <c r="S123">
        <v>523</v>
      </c>
      <c r="U123">
        <v>560</v>
      </c>
      <c r="V123">
        <v>475</v>
      </c>
      <c r="Y123">
        <v>560</v>
      </c>
      <c r="AA123">
        <v>475</v>
      </c>
      <c r="AC123">
        <v>480</v>
      </c>
      <c r="AD123">
        <v>480</v>
      </c>
      <c r="AE123">
        <v>600</v>
      </c>
      <c r="AF123" s="6">
        <v>420</v>
      </c>
      <c r="AG123">
        <v>490</v>
      </c>
      <c r="AH123">
        <v>360</v>
      </c>
      <c r="AI123">
        <v>340</v>
      </c>
      <c r="AJ123">
        <v>350</v>
      </c>
      <c r="AK123">
        <v>360</v>
      </c>
      <c r="AL123">
        <v>330</v>
      </c>
      <c r="AN123">
        <v>330</v>
      </c>
      <c r="AP123">
        <v>460</v>
      </c>
      <c r="AQ123">
        <v>370</v>
      </c>
      <c r="AR123">
        <v>336</v>
      </c>
      <c r="AT123">
        <v>475</v>
      </c>
      <c r="AV123">
        <v>320</v>
      </c>
      <c r="AY123">
        <v>300</v>
      </c>
      <c r="AZ123">
        <v>450</v>
      </c>
      <c r="BA123">
        <v>360</v>
      </c>
      <c r="BB123">
        <v>310</v>
      </c>
      <c r="BC123">
        <v>395</v>
      </c>
      <c r="BD123">
        <v>320</v>
      </c>
      <c r="BE123">
        <v>330</v>
      </c>
      <c r="BF123">
        <v>375</v>
      </c>
    </row>
    <row r="124" spans="2:58" x14ac:dyDescent="0.25">
      <c r="B124" s="1">
        <v>44075</v>
      </c>
      <c r="C124" s="5">
        <v>510</v>
      </c>
      <c r="D124" s="6">
        <v>600</v>
      </c>
      <c r="G124">
        <v>515</v>
      </c>
      <c r="J124">
        <v>595</v>
      </c>
      <c r="K124">
        <v>625</v>
      </c>
      <c r="L124">
        <v>560</v>
      </c>
      <c r="M124">
        <v>650</v>
      </c>
      <c r="N124">
        <v>675</v>
      </c>
      <c r="O124">
        <v>650</v>
      </c>
      <c r="P124" s="6">
        <v>480</v>
      </c>
      <c r="S124">
        <v>510</v>
      </c>
      <c r="U124">
        <v>550</v>
      </c>
      <c r="V124">
        <v>530</v>
      </c>
      <c r="Y124">
        <v>555</v>
      </c>
      <c r="AA124">
        <v>470</v>
      </c>
      <c r="AC124">
        <v>480</v>
      </c>
      <c r="AD124">
        <v>480</v>
      </c>
      <c r="AE124">
        <v>555</v>
      </c>
      <c r="AF124" s="6">
        <v>430</v>
      </c>
      <c r="AG124">
        <v>513</v>
      </c>
      <c r="AH124">
        <v>380</v>
      </c>
      <c r="AI124">
        <v>375</v>
      </c>
      <c r="AJ124">
        <v>380</v>
      </c>
      <c r="AK124">
        <v>370</v>
      </c>
      <c r="AL124">
        <v>320</v>
      </c>
      <c r="AN124">
        <v>330</v>
      </c>
      <c r="AP124">
        <v>450</v>
      </c>
      <c r="AQ124">
        <v>380</v>
      </c>
      <c r="AR124">
        <v>350</v>
      </c>
      <c r="AT124">
        <v>500</v>
      </c>
      <c r="AV124">
        <v>320</v>
      </c>
      <c r="AY124">
        <v>300</v>
      </c>
      <c r="AZ124">
        <v>438</v>
      </c>
      <c r="BA124">
        <v>360</v>
      </c>
      <c r="BB124">
        <v>310</v>
      </c>
      <c r="BC124">
        <v>410</v>
      </c>
      <c r="BD124">
        <v>345</v>
      </c>
      <c r="BE124">
        <v>350</v>
      </c>
      <c r="BF124">
        <v>390</v>
      </c>
    </row>
    <row r="125" spans="2:58" x14ac:dyDescent="0.25">
      <c r="B125" s="2">
        <v>44166</v>
      </c>
      <c r="C125" s="5">
        <v>500</v>
      </c>
      <c r="D125" s="6">
        <v>600</v>
      </c>
      <c r="G125">
        <v>520</v>
      </c>
      <c r="J125">
        <v>590</v>
      </c>
      <c r="K125">
        <v>600</v>
      </c>
      <c r="L125">
        <v>550</v>
      </c>
      <c r="M125">
        <v>620</v>
      </c>
      <c r="N125">
        <v>690</v>
      </c>
      <c r="O125">
        <v>650</v>
      </c>
      <c r="P125" s="6">
        <v>450</v>
      </c>
      <c r="S125">
        <v>500</v>
      </c>
      <c r="U125">
        <v>535</v>
      </c>
      <c r="V125">
        <v>588</v>
      </c>
      <c r="Y125">
        <v>560</v>
      </c>
      <c r="AA125">
        <v>450</v>
      </c>
      <c r="AC125">
        <v>470</v>
      </c>
      <c r="AD125">
        <v>450</v>
      </c>
      <c r="AE125">
        <v>550</v>
      </c>
      <c r="AF125" s="6">
        <v>430</v>
      </c>
      <c r="AG125">
        <v>520</v>
      </c>
      <c r="AH125">
        <v>380</v>
      </c>
      <c r="AI125">
        <v>380</v>
      </c>
      <c r="AJ125">
        <v>370</v>
      </c>
      <c r="AK125">
        <v>375</v>
      </c>
      <c r="AL125">
        <v>330</v>
      </c>
      <c r="AN125">
        <v>350</v>
      </c>
      <c r="AP125">
        <v>450</v>
      </c>
      <c r="AQ125">
        <v>375</v>
      </c>
      <c r="AR125">
        <v>370</v>
      </c>
      <c r="AT125">
        <v>500</v>
      </c>
      <c r="AV125">
        <v>340</v>
      </c>
      <c r="AY125">
        <v>300</v>
      </c>
      <c r="AZ125">
        <v>450</v>
      </c>
      <c r="BA125">
        <v>360</v>
      </c>
      <c r="BB125">
        <v>330</v>
      </c>
      <c r="BC125">
        <v>430</v>
      </c>
      <c r="BD125">
        <v>330</v>
      </c>
      <c r="BE125">
        <v>360</v>
      </c>
      <c r="BF125">
        <v>400</v>
      </c>
    </row>
    <row r="126" spans="2:58" x14ac:dyDescent="0.25">
      <c r="B126" s="2">
        <v>44256</v>
      </c>
      <c r="C126" s="5">
        <v>500</v>
      </c>
      <c r="D126" s="6">
        <v>600</v>
      </c>
      <c r="G126">
        <v>520</v>
      </c>
      <c r="J126">
        <v>645</v>
      </c>
      <c r="K126">
        <v>600</v>
      </c>
      <c r="L126">
        <v>550</v>
      </c>
      <c r="M126">
        <v>650</v>
      </c>
      <c r="N126">
        <v>700</v>
      </c>
      <c r="O126">
        <v>650</v>
      </c>
      <c r="P126" s="6">
        <v>455</v>
      </c>
      <c r="S126">
        <v>500</v>
      </c>
      <c r="U126">
        <v>560</v>
      </c>
      <c r="V126">
        <v>530</v>
      </c>
      <c r="Y126">
        <v>560</v>
      </c>
      <c r="AA126">
        <v>450</v>
      </c>
      <c r="AC126">
        <v>480</v>
      </c>
      <c r="AD126">
        <v>450</v>
      </c>
      <c r="AE126">
        <v>550</v>
      </c>
      <c r="AF126" s="6">
        <v>445</v>
      </c>
      <c r="AG126">
        <v>500</v>
      </c>
      <c r="AH126">
        <v>380</v>
      </c>
      <c r="AI126">
        <v>395</v>
      </c>
      <c r="AJ126">
        <v>370</v>
      </c>
      <c r="AK126">
        <v>370</v>
      </c>
      <c r="AL126">
        <v>330</v>
      </c>
      <c r="AN126">
        <v>355</v>
      </c>
      <c r="AP126">
        <v>450</v>
      </c>
      <c r="AQ126">
        <v>380</v>
      </c>
      <c r="AR126">
        <v>380</v>
      </c>
      <c r="AT126">
        <v>495</v>
      </c>
      <c r="AV126">
        <v>340</v>
      </c>
      <c r="AY126">
        <v>310</v>
      </c>
      <c r="AZ126">
        <v>530</v>
      </c>
      <c r="BA126">
        <v>400</v>
      </c>
      <c r="BB126">
        <v>330</v>
      </c>
      <c r="BC126">
        <v>450</v>
      </c>
      <c r="BD126">
        <v>360</v>
      </c>
      <c r="BE126">
        <v>360</v>
      </c>
      <c r="BF126">
        <v>410</v>
      </c>
    </row>
    <row r="127" spans="2:58" x14ac:dyDescent="0.25">
      <c r="B127" s="2">
        <v>44348</v>
      </c>
      <c r="C127" s="5">
        <v>500</v>
      </c>
      <c r="D127" s="6">
        <v>630</v>
      </c>
      <c r="G127">
        <v>540</v>
      </c>
      <c r="J127">
        <v>625</v>
      </c>
      <c r="K127">
        <v>650</v>
      </c>
      <c r="L127">
        <v>560</v>
      </c>
      <c r="M127">
        <v>668</v>
      </c>
      <c r="N127">
        <v>715</v>
      </c>
      <c r="O127">
        <v>692</v>
      </c>
      <c r="P127" s="6">
        <v>450</v>
      </c>
      <c r="S127">
        <v>480</v>
      </c>
      <c r="U127">
        <v>560</v>
      </c>
      <c r="V127">
        <v>513</v>
      </c>
      <c r="Y127">
        <v>560</v>
      </c>
      <c r="AA127">
        <v>450</v>
      </c>
      <c r="AC127">
        <v>460</v>
      </c>
      <c r="AD127">
        <v>450</v>
      </c>
      <c r="AE127">
        <v>560</v>
      </c>
      <c r="AF127" s="6">
        <v>450</v>
      </c>
      <c r="AG127">
        <v>510</v>
      </c>
      <c r="AH127">
        <v>388</v>
      </c>
      <c r="AI127">
        <v>360</v>
      </c>
      <c r="AJ127">
        <v>375</v>
      </c>
      <c r="AK127">
        <v>360</v>
      </c>
      <c r="AL127">
        <v>320</v>
      </c>
      <c r="AN127">
        <v>360</v>
      </c>
      <c r="AP127">
        <v>450</v>
      </c>
      <c r="AQ127">
        <v>380</v>
      </c>
      <c r="AR127">
        <v>370</v>
      </c>
      <c r="AT127">
        <v>500</v>
      </c>
      <c r="AV127">
        <v>360</v>
      </c>
      <c r="AY127">
        <v>330</v>
      </c>
      <c r="AZ127">
        <v>498</v>
      </c>
      <c r="BA127">
        <v>400</v>
      </c>
      <c r="BB127">
        <v>343</v>
      </c>
      <c r="BC127">
        <v>450</v>
      </c>
      <c r="BD127">
        <v>380</v>
      </c>
      <c r="BE127">
        <v>370</v>
      </c>
      <c r="BF127">
        <v>410</v>
      </c>
    </row>
    <row r="128" spans="2:58" x14ac:dyDescent="0.25">
      <c r="B128" s="1">
        <v>44440</v>
      </c>
      <c r="C128" s="5">
        <v>500</v>
      </c>
      <c r="D128" s="6">
        <v>640</v>
      </c>
      <c r="G128">
        <v>520</v>
      </c>
      <c r="J128">
        <v>650</v>
      </c>
      <c r="K128">
        <v>650</v>
      </c>
      <c r="L128">
        <v>590</v>
      </c>
      <c r="M128">
        <v>660</v>
      </c>
      <c r="N128">
        <v>750</v>
      </c>
      <c r="O128">
        <v>680</v>
      </c>
      <c r="P128" s="6">
        <v>450</v>
      </c>
      <c r="S128">
        <v>500</v>
      </c>
      <c r="U128">
        <v>565</v>
      </c>
      <c r="V128">
        <v>550</v>
      </c>
      <c r="Y128">
        <v>590</v>
      </c>
      <c r="AA128">
        <v>460</v>
      </c>
      <c r="AC128">
        <v>480</v>
      </c>
      <c r="AD128">
        <v>450</v>
      </c>
      <c r="AE128">
        <v>575</v>
      </c>
      <c r="AF128" s="6">
        <v>450</v>
      </c>
      <c r="AG128">
        <v>500</v>
      </c>
      <c r="AH128">
        <v>380</v>
      </c>
      <c r="AI128">
        <v>380</v>
      </c>
      <c r="AJ128">
        <v>380</v>
      </c>
      <c r="AK128">
        <v>380</v>
      </c>
      <c r="AL128">
        <v>320</v>
      </c>
      <c r="AN128">
        <v>380</v>
      </c>
      <c r="AP128">
        <v>450</v>
      </c>
      <c r="AQ128">
        <v>390</v>
      </c>
      <c r="AR128">
        <v>365</v>
      </c>
      <c r="AT128">
        <v>505</v>
      </c>
      <c r="AV128">
        <v>360</v>
      </c>
      <c r="AY128">
        <v>327</v>
      </c>
      <c r="AZ128">
        <v>500</v>
      </c>
      <c r="BA128">
        <v>390</v>
      </c>
      <c r="BB128">
        <v>350</v>
      </c>
      <c r="BC128">
        <v>460</v>
      </c>
      <c r="BD128">
        <v>390</v>
      </c>
      <c r="BE128">
        <v>410</v>
      </c>
      <c r="BF128">
        <v>410</v>
      </c>
    </row>
    <row r="129" spans="2:58" x14ac:dyDescent="0.25">
      <c r="B129" s="2">
        <v>44531</v>
      </c>
      <c r="C129" s="5">
        <v>500</v>
      </c>
      <c r="D129" s="6">
        <v>650</v>
      </c>
      <c r="G129">
        <v>560</v>
      </c>
      <c r="J129">
        <v>600</v>
      </c>
      <c r="K129">
        <v>650</v>
      </c>
      <c r="L129">
        <v>600</v>
      </c>
      <c r="M129">
        <v>669</v>
      </c>
      <c r="N129">
        <v>750</v>
      </c>
      <c r="O129">
        <v>695</v>
      </c>
      <c r="P129" s="6">
        <v>450</v>
      </c>
      <c r="S129">
        <v>500</v>
      </c>
      <c r="U129">
        <v>590</v>
      </c>
      <c r="V129">
        <v>510</v>
      </c>
      <c r="Y129">
        <v>600</v>
      </c>
      <c r="AA129">
        <v>460</v>
      </c>
      <c r="AC129">
        <v>500</v>
      </c>
      <c r="AD129">
        <v>460</v>
      </c>
      <c r="AE129">
        <v>580</v>
      </c>
      <c r="AF129" s="6">
        <v>450</v>
      </c>
      <c r="AG129">
        <v>510</v>
      </c>
      <c r="AH129">
        <v>390</v>
      </c>
      <c r="AI129">
        <v>390</v>
      </c>
      <c r="AJ129">
        <v>388</v>
      </c>
      <c r="AK129">
        <v>380</v>
      </c>
      <c r="AL129">
        <v>330</v>
      </c>
      <c r="AN129">
        <v>350</v>
      </c>
      <c r="AP129">
        <v>470</v>
      </c>
      <c r="AQ129">
        <v>390</v>
      </c>
      <c r="AR129">
        <v>390</v>
      </c>
      <c r="AT129">
        <v>530</v>
      </c>
      <c r="AV129">
        <v>350</v>
      </c>
      <c r="AY129">
        <v>330</v>
      </c>
      <c r="AZ129">
        <v>500</v>
      </c>
      <c r="BA129">
        <v>415</v>
      </c>
      <c r="BB129">
        <v>360</v>
      </c>
      <c r="BC129">
        <v>450</v>
      </c>
      <c r="BD129">
        <v>380</v>
      </c>
      <c r="BE129">
        <v>430</v>
      </c>
      <c r="BF129">
        <v>420</v>
      </c>
    </row>
    <row r="130" spans="2:58" x14ac:dyDescent="0.25">
      <c r="B130" s="2">
        <v>44621</v>
      </c>
      <c r="C130" s="5">
        <v>530</v>
      </c>
      <c r="D130" s="6">
        <v>670</v>
      </c>
      <c r="G130">
        <v>600</v>
      </c>
      <c r="J130">
        <v>640</v>
      </c>
      <c r="K130">
        <v>650</v>
      </c>
      <c r="L130">
        <v>600</v>
      </c>
      <c r="M130">
        <v>730</v>
      </c>
      <c r="N130">
        <v>750</v>
      </c>
      <c r="O130">
        <v>700</v>
      </c>
      <c r="P130" s="6">
        <v>480</v>
      </c>
      <c r="S130">
        <v>550</v>
      </c>
      <c r="U130">
        <v>610</v>
      </c>
      <c r="V130">
        <v>520</v>
      </c>
      <c r="Y130">
        <v>600</v>
      </c>
      <c r="AA130">
        <v>480</v>
      </c>
      <c r="AC130">
        <v>530</v>
      </c>
      <c r="AD130">
        <v>460</v>
      </c>
      <c r="AE130">
        <v>595</v>
      </c>
      <c r="AF130" s="6">
        <v>470</v>
      </c>
      <c r="AG130">
        <v>535</v>
      </c>
      <c r="AH130">
        <v>420</v>
      </c>
      <c r="AI130">
        <v>390</v>
      </c>
      <c r="AJ130">
        <v>400</v>
      </c>
      <c r="AK130">
        <v>395</v>
      </c>
      <c r="AL130">
        <v>330</v>
      </c>
      <c r="AN130">
        <v>378</v>
      </c>
      <c r="AP130">
        <v>480</v>
      </c>
      <c r="AQ130">
        <v>398</v>
      </c>
      <c r="AR130">
        <v>400</v>
      </c>
      <c r="AT130">
        <v>520</v>
      </c>
      <c r="AV130">
        <v>375</v>
      </c>
      <c r="AY130">
        <v>350</v>
      </c>
      <c r="AZ130">
        <v>550</v>
      </c>
      <c r="BA130">
        <v>410</v>
      </c>
      <c r="BB130">
        <v>380</v>
      </c>
      <c r="BC130">
        <v>490</v>
      </c>
      <c r="BD130">
        <v>405</v>
      </c>
      <c r="BE130">
        <v>485</v>
      </c>
      <c r="BF130">
        <v>450</v>
      </c>
    </row>
    <row r="131" spans="2:58" x14ac:dyDescent="0.25">
      <c r="B131" s="2">
        <v>44713</v>
      </c>
      <c r="C131" s="5">
        <v>550</v>
      </c>
      <c r="D131" s="6">
        <v>700</v>
      </c>
      <c r="G131">
        <v>590</v>
      </c>
      <c r="J131">
        <v>665</v>
      </c>
      <c r="K131">
        <v>675</v>
      </c>
      <c r="L131">
        <v>640</v>
      </c>
      <c r="M131">
        <v>780</v>
      </c>
      <c r="N131">
        <v>775</v>
      </c>
      <c r="O131">
        <v>730</v>
      </c>
      <c r="P131" s="6">
        <v>500</v>
      </c>
      <c r="S131">
        <v>573</v>
      </c>
      <c r="U131">
        <v>640</v>
      </c>
      <c r="V131">
        <v>575</v>
      </c>
      <c r="Y131">
        <v>630</v>
      </c>
      <c r="AA131">
        <v>500</v>
      </c>
      <c r="AC131">
        <v>550</v>
      </c>
      <c r="AD131">
        <v>520</v>
      </c>
      <c r="AE131">
        <v>623</v>
      </c>
      <c r="AF131" s="6">
        <v>470</v>
      </c>
      <c r="AG131">
        <v>570</v>
      </c>
      <c r="AH131">
        <v>410</v>
      </c>
      <c r="AI131">
        <v>395</v>
      </c>
      <c r="AJ131">
        <v>390</v>
      </c>
      <c r="AK131">
        <v>380</v>
      </c>
      <c r="AL131">
        <v>330</v>
      </c>
      <c r="AN131">
        <v>380</v>
      </c>
      <c r="AP131">
        <v>480</v>
      </c>
      <c r="AQ131">
        <v>400</v>
      </c>
      <c r="AR131">
        <v>380</v>
      </c>
      <c r="AT131">
        <v>530</v>
      </c>
      <c r="AV131">
        <v>393</v>
      </c>
      <c r="AY131">
        <v>350</v>
      </c>
      <c r="AZ131">
        <v>490</v>
      </c>
      <c r="BA131">
        <v>420</v>
      </c>
      <c r="BB131">
        <v>350</v>
      </c>
      <c r="BC131">
        <v>500</v>
      </c>
      <c r="BD131">
        <v>420</v>
      </c>
      <c r="BE131">
        <v>490</v>
      </c>
      <c r="BF131">
        <v>463</v>
      </c>
    </row>
    <row r="132" spans="2:58" x14ac:dyDescent="0.25">
      <c r="B132" s="1">
        <v>44805</v>
      </c>
      <c r="C132" s="5">
        <v>580</v>
      </c>
      <c r="D132" s="6">
        <v>750</v>
      </c>
      <c r="G132">
        <v>630</v>
      </c>
      <c r="J132">
        <v>688</v>
      </c>
      <c r="K132">
        <v>700</v>
      </c>
      <c r="L132">
        <v>680</v>
      </c>
      <c r="M132">
        <v>830</v>
      </c>
      <c r="N132">
        <v>780</v>
      </c>
      <c r="O132">
        <v>730</v>
      </c>
      <c r="P132" s="6">
        <v>530</v>
      </c>
      <c r="S132">
        <v>630</v>
      </c>
      <c r="U132">
        <v>650</v>
      </c>
      <c r="V132">
        <v>560</v>
      </c>
      <c r="Y132">
        <v>635</v>
      </c>
      <c r="AA132">
        <v>550</v>
      </c>
      <c r="AC132">
        <v>590</v>
      </c>
      <c r="AD132">
        <v>550</v>
      </c>
      <c r="AE132">
        <v>630</v>
      </c>
      <c r="AF132" s="6">
        <v>500</v>
      </c>
      <c r="AG132">
        <v>590</v>
      </c>
      <c r="AH132">
        <v>470</v>
      </c>
      <c r="AI132">
        <v>375</v>
      </c>
      <c r="AJ132">
        <v>420</v>
      </c>
      <c r="AK132">
        <v>420</v>
      </c>
      <c r="AL132">
        <v>345</v>
      </c>
      <c r="AN132">
        <v>400</v>
      </c>
      <c r="AP132">
        <v>520</v>
      </c>
      <c r="AQ132">
        <v>440</v>
      </c>
      <c r="AR132">
        <v>400</v>
      </c>
      <c r="AT132">
        <v>540</v>
      </c>
      <c r="AV132">
        <v>393</v>
      </c>
      <c r="AY132">
        <v>353</v>
      </c>
      <c r="AZ132">
        <v>520</v>
      </c>
      <c r="BA132">
        <v>440</v>
      </c>
      <c r="BB132">
        <v>360</v>
      </c>
      <c r="BC132">
        <v>495</v>
      </c>
      <c r="BD132">
        <v>400</v>
      </c>
      <c r="BE132">
        <v>480</v>
      </c>
      <c r="BF132">
        <v>470</v>
      </c>
    </row>
    <row r="133" spans="2:58" x14ac:dyDescent="0.25">
      <c r="B133" s="2">
        <v>44896</v>
      </c>
      <c r="C133" s="5">
        <v>600</v>
      </c>
      <c r="D133" s="6">
        <v>800</v>
      </c>
      <c r="G133">
        <v>670</v>
      </c>
      <c r="J133">
        <v>700</v>
      </c>
      <c r="K133">
        <v>725</v>
      </c>
      <c r="L133">
        <v>750</v>
      </c>
      <c r="M133">
        <v>870</v>
      </c>
      <c r="N133">
        <v>868</v>
      </c>
      <c r="O133">
        <v>800</v>
      </c>
      <c r="P133" s="6">
        <v>560</v>
      </c>
      <c r="S133">
        <v>693</v>
      </c>
      <c r="U133">
        <v>690</v>
      </c>
      <c r="V133">
        <v>500</v>
      </c>
      <c r="Y133">
        <v>650</v>
      </c>
      <c r="AA133">
        <v>565</v>
      </c>
      <c r="AC133">
        <v>590</v>
      </c>
      <c r="AD133">
        <v>560</v>
      </c>
      <c r="AE133">
        <v>650</v>
      </c>
      <c r="AF133" s="6">
        <v>500</v>
      </c>
      <c r="AG133">
        <v>600</v>
      </c>
      <c r="AH133">
        <v>480</v>
      </c>
      <c r="AI133">
        <v>420</v>
      </c>
      <c r="AJ133">
        <v>420</v>
      </c>
      <c r="AK133">
        <v>400</v>
      </c>
      <c r="AL133">
        <v>350</v>
      </c>
      <c r="AN133">
        <v>420</v>
      </c>
      <c r="AP133">
        <v>528</v>
      </c>
      <c r="AQ133">
        <v>450</v>
      </c>
      <c r="AR133">
        <v>400</v>
      </c>
      <c r="AT133">
        <v>565</v>
      </c>
      <c r="AV133">
        <v>393</v>
      </c>
      <c r="AY133">
        <v>358</v>
      </c>
      <c r="AZ133">
        <v>520</v>
      </c>
      <c r="BA133">
        <v>450</v>
      </c>
      <c r="BB133">
        <v>377</v>
      </c>
      <c r="BC133">
        <v>530</v>
      </c>
      <c r="BD133">
        <v>410</v>
      </c>
      <c r="BE133">
        <v>480</v>
      </c>
      <c r="BF133">
        <v>470</v>
      </c>
    </row>
    <row r="134" spans="2:58" x14ac:dyDescent="0.25">
      <c r="B134" s="2">
        <v>44986</v>
      </c>
      <c r="C134" s="5">
        <v>650</v>
      </c>
      <c r="D134" s="6">
        <v>860</v>
      </c>
      <c r="G134">
        <v>950</v>
      </c>
      <c r="J134">
        <v>735</v>
      </c>
      <c r="K134">
        <v>775</v>
      </c>
      <c r="L134">
        <v>800</v>
      </c>
      <c r="M134">
        <v>960</v>
      </c>
      <c r="N134">
        <v>900</v>
      </c>
      <c r="O134">
        <v>860</v>
      </c>
      <c r="P134" s="6">
        <v>600</v>
      </c>
      <c r="S134">
        <v>700</v>
      </c>
      <c r="U134">
        <v>750</v>
      </c>
      <c r="V134">
        <v>550</v>
      </c>
      <c r="Y134">
        <v>685</v>
      </c>
      <c r="AA134">
        <v>590</v>
      </c>
      <c r="AC134">
        <v>650</v>
      </c>
      <c r="AD134">
        <v>600</v>
      </c>
      <c r="AE134">
        <v>700</v>
      </c>
      <c r="AF134" s="6">
        <v>530</v>
      </c>
      <c r="AG134">
        <v>620</v>
      </c>
      <c r="AH134">
        <v>500</v>
      </c>
      <c r="AI134">
        <v>400</v>
      </c>
      <c r="AJ134">
        <v>420</v>
      </c>
      <c r="AK134">
        <v>420</v>
      </c>
      <c r="AL134">
        <v>360</v>
      </c>
      <c r="AN134">
        <v>400</v>
      </c>
      <c r="AP134">
        <v>560</v>
      </c>
      <c r="AQ134">
        <v>480</v>
      </c>
      <c r="AR134">
        <v>420</v>
      </c>
      <c r="AT134">
        <v>570</v>
      </c>
      <c r="AV134">
        <v>395</v>
      </c>
      <c r="AY134">
        <v>380</v>
      </c>
      <c r="AZ134">
        <v>520</v>
      </c>
      <c r="BA134">
        <v>450</v>
      </c>
      <c r="BB134">
        <v>380</v>
      </c>
      <c r="BC134">
        <v>505</v>
      </c>
      <c r="BD134">
        <v>440</v>
      </c>
      <c r="BE134">
        <v>450</v>
      </c>
      <c r="BF134">
        <v>490</v>
      </c>
    </row>
    <row r="135" spans="2:58" x14ac:dyDescent="0.25">
      <c r="B135" s="2">
        <v>45078</v>
      </c>
      <c r="C135" s="5">
        <v>700</v>
      </c>
      <c r="D135" s="6">
        <v>850</v>
      </c>
      <c r="G135">
        <v>780</v>
      </c>
      <c r="J135">
        <v>750</v>
      </c>
      <c r="K135">
        <v>780</v>
      </c>
      <c r="L135">
        <v>780</v>
      </c>
      <c r="M135">
        <v>955</v>
      </c>
      <c r="N135">
        <v>900</v>
      </c>
      <c r="O135">
        <v>825</v>
      </c>
      <c r="P135" s="6">
        <v>650</v>
      </c>
      <c r="S135">
        <v>780</v>
      </c>
      <c r="U135">
        <v>780</v>
      </c>
      <c r="V135">
        <v>720</v>
      </c>
      <c r="Y135">
        <v>710</v>
      </c>
      <c r="AA135">
        <v>650</v>
      </c>
      <c r="AC135">
        <v>720</v>
      </c>
      <c r="AD135">
        <v>650</v>
      </c>
      <c r="AE135">
        <v>800</v>
      </c>
      <c r="AF135" s="6">
        <v>550</v>
      </c>
      <c r="AG135">
        <v>650</v>
      </c>
      <c r="AH135">
        <v>510</v>
      </c>
      <c r="AI135">
        <v>400</v>
      </c>
      <c r="AJ135">
        <v>450</v>
      </c>
      <c r="AK135">
        <v>425</v>
      </c>
      <c r="AL135">
        <v>383</v>
      </c>
      <c r="AN135">
        <v>410</v>
      </c>
      <c r="AP135">
        <v>600</v>
      </c>
      <c r="AQ135">
        <v>460</v>
      </c>
      <c r="AR135">
        <v>430</v>
      </c>
      <c r="AT135">
        <v>600</v>
      </c>
      <c r="AV135">
        <v>405</v>
      </c>
      <c r="AY135">
        <v>380</v>
      </c>
      <c r="AZ135">
        <v>525</v>
      </c>
      <c r="BA135">
        <v>450</v>
      </c>
      <c r="BB135">
        <v>400</v>
      </c>
      <c r="BC135">
        <v>528</v>
      </c>
      <c r="BD135">
        <v>435</v>
      </c>
      <c r="BE135">
        <v>460</v>
      </c>
      <c r="BF135">
        <v>485</v>
      </c>
    </row>
    <row r="136" spans="2:58" x14ac:dyDescent="0.25">
      <c r="B136" s="1">
        <v>45170</v>
      </c>
      <c r="C136" s="5">
        <v>710</v>
      </c>
      <c r="D136" s="6">
        <v>875</v>
      </c>
      <c r="G136">
        <v>773</v>
      </c>
      <c r="J136">
        <v>750</v>
      </c>
      <c r="K136">
        <v>788</v>
      </c>
      <c r="L136">
        <v>800</v>
      </c>
      <c r="M136">
        <v>970</v>
      </c>
      <c r="N136">
        <v>900</v>
      </c>
      <c r="O136">
        <v>850</v>
      </c>
      <c r="P136" s="6">
        <v>680</v>
      </c>
      <c r="S136">
        <v>795</v>
      </c>
      <c r="U136">
        <v>800</v>
      </c>
      <c r="V136">
        <v>640</v>
      </c>
      <c r="Y136">
        <v>730</v>
      </c>
      <c r="AA136">
        <v>660</v>
      </c>
      <c r="AC136">
        <v>730</v>
      </c>
      <c r="AD136">
        <v>680</v>
      </c>
      <c r="AE136">
        <v>750</v>
      </c>
      <c r="AF136" s="6">
        <v>570</v>
      </c>
      <c r="AG136">
        <v>650</v>
      </c>
      <c r="AH136">
        <v>530</v>
      </c>
      <c r="AI136">
        <v>420</v>
      </c>
      <c r="AJ136">
        <v>440</v>
      </c>
      <c r="AK136">
        <v>430</v>
      </c>
      <c r="AL136">
        <v>390</v>
      </c>
      <c r="AN136">
        <v>420</v>
      </c>
      <c r="AP136">
        <v>630</v>
      </c>
      <c r="AQ136">
        <v>500</v>
      </c>
      <c r="AR136">
        <v>450</v>
      </c>
      <c r="AT136">
        <v>600</v>
      </c>
      <c r="AV136">
        <v>400</v>
      </c>
      <c r="AY136">
        <v>390</v>
      </c>
      <c r="AZ136">
        <v>520</v>
      </c>
      <c r="BA136">
        <v>450</v>
      </c>
      <c r="BB136">
        <v>420</v>
      </c>
      <c r="BC136">
        <v>500</v>
      </c>
      <c r="BD136">
        <v>440</v>
      </c>
      <c r="BE136">
        <v>550</v>
      </c>
      <c r="BF136">
        <v>490</v>
      </c>
    </row>
    <row r="137" spans="2:58" x14ac:dyDescent="0.25">
      <c r="B137" s="2">
        <v>45261</v>
      </c>
      <c r="C137" s="5">
        <v>700</v>
      </c>
      <c r="D137" s="6">
        <v>900</v>
      </c>
      <c r="G137">
        <v>750</v>
      </c>
      <c r="J137">
        <v>805</v>
      </c>
      <c r="K137">
        <v>811</v>
      </c>
      <c r="L137">
        <v>850</v>
      </c>
      <c r="M137">
        <v>1000</v>
      </c>
      <c r="N137">
        <v>998</v>
      </c>
      <c r="O137">
        <v>950</v>
      </c>
      <c r="P137" s="6">
        <v>670</v>
      </c>
      <c r="S137">
        <v>800</v>
      </c>
      <c r="U137">
        <v>800</v>
      </c>
      <c r="V137">
        <v>695</v>
      </c>
      <c r="Y137">
        <v>750</v>
      </c>
      <c r="AA137">
        <v>650</v>
      </c>
      <c r="AC137">
        <v>690</v>
      </c>
      <c r="AD137">
        <v>670</v>
      </c>
      <c r="AE137">
        <v>760</v>
      </c>
      <c r="AF137" s="6">
        <v>580</v>
      </c>
      <c r="AG137">
        <v>650</v>
      </c>
      <c r="AH137">
        <v>550</v>
      </c>
      <c r="AI137">
        <v>420</v>
      </c>
      <c r="AJ137">
        <v>460</v>
      </c>
      <c r="AK137">
        <v>450</v>
      </c>
      <c r="AL137">
        <v>410</v>
      </c>
      <c r="AN137">
        <v>450</v>
      </c>
      <c r="AP137">
        <v>628</v>
      </c>
      <c r="AQ137">
        <v>530</v>
      </c>
      <c r="AR137">
        <v>460</v>
      </c>
      <c r="AT137">
        <v>640</v>
      </c>
      <c r="AV137">
        <v>400</v>
      </c>
      <c r="AY137">
        <v>405</v>
      </c>
      <c r="AZ137">
        <v>525</v>
      </c>
      <c r="BA137">
        <v>450</v>
      </c>
      <c r="BB137">
        <v>430</v>
      </c>
      <c r="BC137">
        <v>520</v>
      </c>
      <c r="BD137">
        <v>445</v>
      </c>
      <c r="BE137">
        <v>550</v>
      </c>
      <c r="BF137">
        <v>500</v>
      </c>
    </row>
    <row r="138" spans="2:58" x14ac:dyDescent="0.25">
      <c r="B138" s="2">
        <v>45352</v>
      </c>
      <c r="C138" s="5">
        <v>750</v>
      </c>
      <c r="D138" s="6">
        <v>950</v>
      </c>
      <c r="G138">
        <v>800</v>
      </c>
      <c r="J138">
        <v>825</v>
      </c>
      <c r="K138">
        <v>850</v>
      </c>
      <c r="L138">
        <v>880</v>
      </c>
      <c r="M138">
        <v>1100</v>
      </c>
      <c r="N138">
        <v>1000</v>
      </c>
      <c r="O138">
        <v>950</v>
      </c>
      <c r="P138" s="6">
        <v>700</v>
      </c>
      <c r="S138">
        <v>850</v>
      </c>
      <c r="U138">
        <v>825</v>
      </c>
      <c r="V138">
        <v>660</v>
      </c>
      <c r="Y138">
        <v>760</v>
      </c>
      <c r="AA138">
        <v>680</v>
      </c>
      <c r="AC138">
        <v>750</v>
      </c>
      <c r="AD138">
        <v>700</v>
      </c>
      <c r="AE138">
        <v>780</v>
      </c>
      <c r="AF138" s="6">
        <v>600</v>
      </c>
      <c r="AG138">
        <v>680</v>
      </c>
      <c r="AH138">
        <v>560</v>
      </c>
      <c r="AI138">
        <v>450</v>
      </c>
      <c r="AJ138">
        <v>470</v>
      </c>
      <c r="AK138">
        <v>460</v>
      </c>
      <c r="AL138">
        <v>420</v>
      </c>
      <c r="AN138">
        <v>460</v>
      </c>
      <c r="AP138">
        <v>650</v>
      </c>
      <c r="AQ138">
        <v>550</v>
      </c>
      <c r="AR138">
        <v>500</v>
      </c>
      <c r="AT138">
        <v>650</v>
      </c>
      <c r="AV138">
        <v>400</v>
      </c>
      <c r="AY138">
        <v>420</v>
      </c>
      <c r="AZ138">
        <v>575</v>
      </c>
      <c r="BA138">
        <v>450</v>
      </c>
      <c r="BB138">
        <v>425</v>
      </c>
      <c r="BC138">
        <v>540</v>
      </c>
      <c r="BD138">
        <v>460</v>
      </c>
      <c r="BE138">
        <v>500</v>
      </c>
      <c r="BF138">
        <v>530</v>
      </c>
    </row>
    <row r="139" spans="2:58" x14ac:dyDescent="0.25">
      <c r="B139" s="2">
        <v>45444</v>
      </c>
      <c r="C139" s="5">
        <v>750</v>
      </c>
      <c r="D139" s="6">
        <v>905</v>
      </c>
      <c r="G139">
        <v>800</v>
      </c>
      <c r="J139">
        <v>850</v>
      </c>
      <c r="K139">
        <v>850</v>
      </c>
      <c r="L139">
        <v>875</v>
      </c>
      <c r="M139">
        <v>1050</v>
      </c>
      <c r="N139">
        <v>1000</v>
      </c>
      <c r="O139">
        <v>895</v>
      </c>
      <c r="P139" s="6">
        <v>700</v>
      </c>
      <c r="S139">
        <v>800</v>
      </c>
      <c r="U139">
        <v>850</v>
      </c>
      <c r="V139">
        <v>770</v>
      </c>
      <c r="Y139">
        <v>798</v>
      </c>
      <c r="AA139">
        <v>700</v>
      </c>
      <c r="AC139">
        <v>775</v>
      </c>
      <c r="AD139">
        <v>740</v>
      </c>
      <c r="AE139">
        <v>840</v>
      </c>
      <c r="AF139" s="6">
        <v>600</v>
      </c>
      <c r="AG139">
        <v>695</v>
      </c>
      <c r="AH139">
        <v>550</v>
      </c>
      <c r="AI139">
        <v>470</v>
      </c>
      <c r="AJ139">
        <v>465</v>
      </c>
      <c r="AK139">
        <v>470</v>
      </c>
      <c r="AL139">
        <v>460</v>
      </c>
      <c r="AN139">
        <v>480</v>
      </c>
      <c r="AP139">
        <v>660</v>
      </c>
      <c r="AQ139">
        <v>550</v>
      </c>
      <c r="AR139">
        <v>480</v>
      </c>
      <c r="AT139">
        <v>660</v>
      </c>
      <c r="AV139">
        <v>403</v>
      </c>
      <c r="AY139">
        <v>420</v>
      </c>
      <c r="AZ139">
        <v>590</v>
      </c>
      <c r="BA139">
        <v>480</v>
      </c>
      <c r="BB139">
        <v>450</v>
      </c>
      <c r="BC139">
        <v>580</v>
      </c>
      <c r="BD139">
        <v>460</v>
      </c>
      <c r="BE139">
        <v>448</v>
      </c>
      <c r="BF139">
        <v>523</v>
      </c>
    </row>
    <row r="140" spans="2:58" x14ac:dyDescent="0.25">
      <c r="B140" s="1">
        <v>45536</v>
      </c>
      <c r="C140" s="5">
        <v>750</v>
      </c>
      <c r="D140" s="6">
        <v>940</v>
      </c>
      <c r="G140">
        <v>800</v>
      </c>
      <c r="J140">
        <v>790</v>
      </c>
      <c r="K140">
        <v>850</v>
      </c>
      <c r="L140">
        <v>850</v>
      </c>
      <c r="M140">
        <v>1050</v>
      </c>
      <c r="N140">
        <v>953</v>
      </c>
      <c r="O140">
        <v>900</v>
      </c>
      <c r="P140" s="6">
        <v>710</v>
      </c>
      <c r="S140">
        <v>830</v>
      </c>
      <c r="U140">
        <v>820</v>
      </c>
      <c r="V140">
        <v>780</v>
      </c>
      <c r="Y140">
        <v>778</v>
      </c>
      <c r="AA140">
        <v>710</v>
      </c>
      <c r="AC140">
        <v>750</v>
      </c>
      <c r="AD140">
        <v>700</v>
      </c>
      <c r="AE140">
        <v>800</v>
      </c>
      <c r="AF140" s="6">
        <v>625</v>
      </c>
      <c r="AG140">
        <v>710</v>
      </c>
      <c r="AH140">
        <v>590</v>
      </c>
      <c r="AI140">
        <v>450</v>
      </c>
      <c r="AJ140">
        <v>500</v>
      </c>
      <c r="AK140">
        <v>500</v>
      </c>
      <c r="AL140">
        <v>450</v>
      </c>
      <c r="AN140">
        <v>450</v>
      </c>
      <c r="AP140">
        <v>653</v>
      </c>
      <c r="AQ140">
        <v>550</v>
      </c>
      <c r="AR140">
        <v>500</v>
      </c>
      <c r="AT140">
        <v>660</v>
      </c>
      <c r="AV140">
        <v>428</v>
      </c>
      <c r="AY140">
        <v>420</v>
      </c>
      <c r="AZ140">
        <v>610</v>
      </c>
      <c r="BA140">
        <v>480</v>
      </c>
      <c r="BB140">
        <v>450</v>
      </c>
      <c r="BC140">
        <v>550</v>
      </c>
      <c r="BD140">
        <v>470</v>
      </c>
      <c r="BE140">
        <v>495</v>
      </c>
      <c r="BF140">
        <v>550</v>
      </c>
    </row>
    <row r="141" spans="2:58" x14ac:dyDescent="0.25">
      <c r="B141" s="2">
        <v>45627</v>
      </c>
      <c r="C141" s="5">
        <v>750</v>
      </c>
      <c r="D141" s="6">
        <v>925</v>
      </c>
      <c r="G141">
        <v>815</v>
      </c>
      <c r="J141">
        <v>800</v>
      </c>
      <c r="K141">
        <v>850</v>
      </c>
      <c r="L141">
        <v>880</v>
      </c>
      <c r="M141">
        <v>1000</v>
      </c>
      <c r="N141">
        <v>1025</v>
      </c>
      <c r="O141">
        <v>950</v>
      </c>
      <c r="P141" s="6">
        <v>700</v>
      </c>
      <c r="S141">
        <v>750</v>
      </c>
      <c r="U141">
        <v>820</v>
      </c>
      <c r="V141">
        <v>708</v>
      </c>
      <c r="Y141">
        <v>780</v>
      </c>
      <c r="AA141">
        <v>690</v>
      </c>
      <c r="AC141">
        <v>710</v>
      </c>
      <c r="AD141">
        <v>690</v>
      </c>
      <c r="AE141">
        <v>793</v>
      </c>
      <c r="AF141" s="6">
        <v>620</v>
      </c>
      <c r="AG141">
        <v>700</v>
      </c>
      <c r="AH141">
        <v>580</v>
      </c>
      <c r="AI141">
        <v>460</v>
      </c>
      <c r="AJ141">
        <v>500</v>
      </c>
      <c r="AK141">
        <v>478</v>
      </c>
      <c r="AL141">
        <v>465</v>
      </c>
      <c r="AN141">
        <v>470</v>
      </c>
      <c r="AP141">
        <v>650</v>
      </c>
      <c r="AQ141">
        <v>550</v>
      </c>
      <c r="AR141">
        <v>540</v>
      </c>
      <c r="AT141">
        <v>670</v>
      </c>
      <c r="AV141">
        <v>425</v>
      </c>
      <c r="AY141">
        <v>450</v>
      </c>
      <c r="AZ141">
        <v>550</v>
      </c>
      <c r="BA141">
        <v>500</v>
      </c>
      <c r="BB141">
        <v>455</v>
      </c>
      <c r="BC141">
        <v>580</v>
      </c>
      <c r="BD141">
        <v>485</v>
      </c>
      <c r="BE141">
        <v>530</v>
      </c>
      <c r="BF141">
        <v>545</v>
      </c>
    </row>
    <row r="142" spans="2:58" x14ac:dyDescent="0.25">
      <c r="B142" s="2">
        <v>45717</v>
      </c>
      <c r="C142" s="5">
        <v>770</v>
      </c>
      <c r="D142" s="6">
        <v>975</v>
      </c>
      <c r="G142">
        <v>800</v>
      </c>
      <c r="J142">
        <v>858</v>
      </c>
      <c r="K142">
        <v>850</v>
      </c>
      <c r="L142">
        <v>898</v>
      </c>
      <c r="M142">
        <v>1100</v>
      </c>
      <c r="N142">
        <v>1025</v>
      </c>
      <c r="O142">
        <v>950</v>
      </c>
      <c r="P142" s="6">
        <v>720</v>
      </c>
      <c r="S142">
        <v>850</v>
      </c>
      <c r="U142">
        <v>850</v>
      </c>
      <c r="V142">
        <v>680</v>
      </c>
      <c r="Y142">
        <v>750</v>
      </c>
      <c r="AA142">
        <v>715</v>
      </c>
      <c r="AC142">
        <v>725</v>
      </c>
      <c r="AD142">
        <v>700</v>
      </c>
      <c r="AE142">
        <v>830</v>
      </c>
      <c r="AF142" s="6">
        <v>620</v>
      </c>
      <c r="AG142">
        <v>700</v>
      </c>
      <c r="AH142">
        <v>575</v>
      </c>
      <c r="AI142">
        <v>470</v>
      </c>
      <c r="AJ142">
        <v>500</v>
      </c>
      <c r="AK142">
        <v>480</v>
      </c>
      <c r="AL142">
        <v>470</v>
      </c>
      <c r="AN142">
        <v>455</v>
      </c>
      <c r="AP142">
        <v>650</v>
      </c>
      <c r="AQ142">
        <v>570</v>
      </c>
      <c r="AR142">
        <v>500</v>
      </c>
      <c r="AT142">
        <v>680</v>
      </c>
      <c r="AV142">
        <v>420</v>
      </c>
      <c r="AY142">
        <v>440</v>
      </c>
      <c r="AZ142">
        <v>600</v>
      </c>
      <c r="BA142">
        <v>500</v>
      </c>
      <c r="BB142">
        <v>465</v>
      </c>
      <c r="BC142">
        <v>600</v>
      </c>
      <c r="BD142">
        <v>490</v>
      </c>
      <c r="BE142">
        <v>540</v>
      </c>
      <c r="BF142">
        <v>560</v>
      </c>
    </row>
    <row r="143" spans="2:58" x14ac:dyDescent="0.25">
      <c r="B143" s="2">
        <v>45809</v>
      </c>
      <c r="C143" s="5">
        <v>750</v>
      </c>
      <c r="D143" s="6">
        <v>950</v>
      </c>
      <c r="G143">
        <v>850</v>
      </c>
      <c r="J143">
        <v>850</v>
      </c>
      <c r="K143">
        <v>880</v>
      </c>
      <c r="L143">
        <v>890</v>
      </c>
      <c r="M143">
        <v>1100</v>
      </c>
      <c r="N143">
        <v>1050</v>
      </c>
      <c r="O143">
        <v>950</v>
      </c>
      <c r="P143" s="6">
        <v>700</v>
      </c>
      <c r="S143">
        <v>805</v>
      </c>
      <c r="U143">
        <v>850</v>
      </c>
      <c r="V143">
        <v>700</v>
      </c>
      <c r="Y143">
        <v>800</v>
      </c>
      <c r="AA143">
        <v>720</v>
      </c>
      <c r="AC143">
        <v>730</v>
      </c>
      <c r="AD143">
        <v>700</v>
      </c>
      <c r="AE143">
        <v>830</v>
      </c>
      <c r="AF143" s="6">
        <v>640</v>
      </c>
      <c r="AG143">
        <v>720</v>
      </c>
      <c r="AH143">
        <v>590</v>
      </c>
      <c r="AI143">
        <v>480</v>
      </c>
      <c r="AJ143">
        <v>500</v>
      </c>
      <c r="AK143">
        <v>495</v>
      </c>
      <c r="AL143">
        <v>450</v>
      </c>
      <c r="AN143">
        <v>498</v>
      </c>
      <c r="AP143">
        <v>670</v>
      </c>
      <c r="AQ143">
        <v>550</v>
      </c>
      <c r="AR143">
        <v>518</v>
      </c>
      <c r="AT143">
        <v>700</v>
      </c>
      <c r="AV143">
        <v>425</v>
      </c>
      <c r="AY143">
        <v>460</v>
      </c>
      <c r="AZ143">
        <v>580</v>
      </c>
      <c r="BA143">
        <v>530</v>
      </c>
      <c r="BB143">
        <v>490</v>
      </c>
      <c r="BC143">
        <v>620</v>
      </c>
      <c r="BD143">
        <v>490</v>
      </c>
      <c r="BE143">
        <v>528</v>
      </c>
      <c r="BF143">
        <v>570</v>
      </c>
    </row>
    <row r="144" spans="2:58" x14ac:dyDescent="0.25">
      <c r="B144" s="1">
        <v>45901</v>
      </c>
      <c r="C144" s="5">
        <v>785</v>
      </c>
      <c r="D144" s="6">
        <v>950</v>
      </c>
      <c r="G144">
        <v>840</v>
      </c>
      <c r="J144">
        <v>850</v>
      </c>
      <c r="K144">
        <v>875</v>
      </c>
      <c r="L144">
        <v>880</v>
      </c>
      <c r="M144">
        <v>1100</v>
      </c>
      <c r="N144">
        <v>1000</v>
      </c>
      <c r="O144">
        <v>950</v>
      </c>
      <c r="P144" s="6">
        <v>730</v>
      </c>
      <c r="S144">
        <v>830</v>
      </c>
      <c r="U144">
        <v>850</v>
      </c>
      <c r="V144">
        <v>763</v>
      </c>
      <c r="Y144">
        <v>820</v>
      </c>
      <c r="AA144">
        <v>730</v>
      </c>
      <c r="AC144">
        <v>790</v>
      </c>
      <c r="AD144">
        <v>720</v>
      </c>
      <c r="AE144">
        <v>845</v>
      </c>
      <c r="AF144" s="6">
        <v>640</v>
      </c>
      <c r="AG144">
        <v>740</v>
      </c>
      <c r="AH144">
        <v>600</v>
      </c>
      <c r="AI144">
        <v>470</v>
      </c>
      <c r="AJ144">
        <v>495</v>
      </c>
      <c r="AK144">
        <v>500</v>
      </c>
      <c r="AL144">
        <v>470</v>
      </c>
      <c r="AN144">
        <v>480</v>
      </c>
      <c r="AP144">
        <v>680</v>
      </c>
      <c r="AQ144">
        <v>550</v>
      </c>
      <c r="AR144">
        <v>520</v>
      </c>
      <c r="AT144">
        <v>700</v>
      </c>
      <c r="AV144">
        <v>440</v>
      </c>
      <c r="AY144">
        <v>450</v>
      </c>
      <c r="AZ144">
        <v>550</v>
      </c>
      <c r="BA144">
        <v>520</v>
      </c>
      <c r="BB144">
        <v>498</v>
      </c>
      <c r="BC144">
        <v>600</v>
      </c>
      <c r="BD144">
        <v>500</v>
      </c>
      <c r="BE144">
        <v>550</v>
      </c>
      <c r="BF144">
        <v>570</v>
      </c>
    </row>
    <row r="145" spans="2:58" x14ac:dyDescent="0.25">
      <c r="B145" s="2">
        <v>45992</v>
      </c>
      <c r="C145" s="5">
        <v>780</v>
      </c>
      <c r="D145" s="6">
        <v>980</v>
      </c>
      <c r="G145">
        <v>850</v>
      </c>
      <c r="J145">
        <v>850</v>
      </c>
      <c r="K145">
        <v>900</v>
      </c>
      <c r="L145">
        <v>920</v>
      </c>
      <c r="M145">
        <v>1100</v>
      </c>
      <c r="N145">
        <v>1150</v>
      </c>
      <c r="O145">
        <v>1000</v>
      </c>
      <c r="P145" s="6">
        <v>725</v>
      </c>
      <c r="S145">
        <v>840</v>
      </c>
      <c r="U145">
        <v>860</v>
      </c>
      <c r="V145">
        <v>850</v>
      </c>
      <c r="Y145">
        <v>840</v>
      </c>
      <c r="AA145">
        <v>730</v>
      </c>
      <c r="AC145">
        <v>790</v>
      </c>
      <c r="AD145">
        <v>700</v>
      </c>
      <c r="AE145">
        <v>850</v>
      </c>
      <c r="AF145" s="6">
        <v>650</v>
      </c>
      <c r="AG145">
        <v>750</v>
      </c>
      <c r="AH145">
        <v>600</v>
      </c>
      <c r="AI145">
        <v>475</v>
      </c>
      <c r="AJ145">
        <v>508</v>
      </c>
      <c r="AK145">
        <v>500</v>
      </c>
      <c r="AL145">
        <v>500</v>
      </c>
      <c r="AN145">
        <v>490</v>
      </c>
      <c r="AP145">
        <v>700</v>
      </c>
      <c r="AQ145">
        <v>530</v>
      </c>
      <c r="AR145">
        <v>520</v>
      </c>
      <c r="AT145">
        <v>720</v>
      </c>
      <c r="AV145">
        <v>440</v>
      </c>
      <c r="AY145">
        <v>480</v>
      </c>
      <c r="AZ145">
        <v>600</v>
      </c>
      <c r="BA145">
        <v>550</v>
      </c>
      <c r="BB145">
        <v>498</v>
      </c>
      <c r="BC145">
        <v>640</v>
      </c>
      <c r="BD145">
        <v>510</v>
      </c>
      <c r="BE145">
        <v>590</v>
      </c>
      <c r="BF145">
        <v>590</v>
      </c>
    </row>
  </sheetData>
  <autoFilter ref="A1:BH111" xr:uid="{57ABFE4F-8ED8-46E2-A3E7-D09420486E8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7266C-75BE-45BF-8496-AD95282C2F7B}">
  <sheetPr>
    <tabColor rgb="FFFF0000"/>
  </sheetPr>
  <dimension ref="A1:BH145"/>
  <sheetViews>
    <sheetView workbookViewId="0">
      <pane ySplit="1" topLeftCell="A2" activePane="bottomLeft" state="frozen"/>
      <selection pane="bottomLeft" activeCell="A11" sqref="A11"/>
    </sheetView>
  </sheetViews>
  <sheetFormatPr defaultRowHeight="15" x14ac:dyDescent="0.25"/>
  <cols>
    <col min="1" max="1" width="33.42578125" bestFit="1" customWidth="1"/>
    <col min="3" max="3" width="18.28515625" bestFit="1" customWidth="1"/>
    <col min="4" max="4" width="12.140625" bestFit="1" customWidth="1"/>
    <col min="5" max="5" width="10.42578125" bestFit="1" customWidth="1"/>
    <col min="6" max="6" width="12.85546875" bestFit="1" customWidth="1"/>
    <col min="7" max="7" width="12" bestFit="1" customWidth="1"/>
    <col min="8" max="8" width="12.5703125" bestFit="1" customWidth="1"/>
    <col min="9" max="9" width="13.5703125" bestFit="1" customWidth="1"/>
    <col min="10" max="10" width="11" bestFit="1" customWidth="1"/>
    <col min="11" max="11" width="14.7109375" bestFit="1" customWidth="1"/>
    <col min="12" max="12" width="11.85546875" bestFit="1" customWidth="1"/>
    <col min="13" max="13" width="9.28515625" bestFit="1" customWidth="1"/>
    <col min="14" max="14" width="11.140625" bestFit="1" customWidth="1"/>
    <col min="15" max="15" width="12.5703125" bestFit="1" customWidth="1"/>
    <col min="16" max="16" width="13.5703125" bestFit="1" customWidth="1"/>
    <col min="17" max="17" width="9.7109375" bestFit="1" customWidth="1"/>
    <col min="18" max="18" width="13" bestFit="1" customWidth="1"/>
    <col min="19" max="19" width="11.140625" bestFit="1" customWidth="1"/>
    <col min="20" max="20" width="12.85546875" bestFit="1" customWidth="1"/>
    <col min="21" max="21" width="13.7109375" bestFit="1" customWidth="1"/>
    <col min="22" max="22" width="13.5703125" bestFit="1" customWidth="1"/>
    <col min="23" max="23" width="11.5703125" bestFit="1" customWidth="1"/>
    <col min="24" max="24" width="10.7109375" bestFit="1" customWidth="1"/>
    <col min="25" max="25" width="13.85546875" bestFit="1" customWidth="1"/>
    <col min="26" max="26" width="8.5703125" bestFit="1" customWidth="1"/>
    <col min="27" max="27" width="13.28515625" bestFit="1" customWidth="1"/>
    <col min="28" max="28" width="11.42578125" bestFit="1" customWidth="1"/>
    <col min="29" max="29" width="7.42578125" bestFit="1" customWidth="1"/>
    <col min="30" max="30" width="12.28515625" bestFit="1" customWidth="1"/>
    <col min="31" max="31" width="13.140625" bestFit="1" customWidth="1"/>
    <col min="32" max="32" width="12.42578125" bestFit="1" customWidth="1"/>
    <col min="33" max="33" width="15.85546875" bestFit="1" customWidth="1"/>
    <col min="34" max="34" width="12.42578125" bestFit="1" customWidth="1"/>
    <col min="35" max="35" width="17.140625" bestFit="1" customWidth="1"/>
    <col min="36" max="36" width="10.5703125" bestFit="1" customWidth="1"/>
    <col min="37" max="37" width="16.140625" bestFit="1" customWidth="1"/>
    <col min="38" max="38" width="10.5703125" bestFit="1" customWidth="1"/>
    <col min="39" max="39" width="10.28515625" bestFit="1" customWidth="1"/>
    <col min="40" max="40" width="14" bestFit="1" customWidth="1"/>
    <col min="41" max="41" width="10.140625" bestFit="1" customWidth="1"/>
    <col min="42" max="42" width="10.5703125" bestFit="1" customWidth="1"/>
    <col min="43" max="43" width="11.28515625" bestFit="1" customWidth="1"/>
    <col min="44" max="44" width="9.5703125" bestFit="1" customWidth="1"/>
    <col min="45" max="45" width="11" bestFit="1" customWidth="1"/>
    <col min="46" max="46" width="17.85546875" bestFit="1" customWidth="1"/>
    <col min="47" max="47" width="12.5703125" bestFit="1" customWidth="1"/>
    <col min="48" max="48" width="13.28515625" bestFit="1" customWidth="1"/>
    <col min="50" max="50" width="13.5703125" bestFit="1" customWidth="1"/>
    <col min="51" max="51" width="11.7109375" bestFit="1" customWidth="1"/>
    <col min="52" max="52" width="9" bestFit="1" customWidth="1"/>
    <col min="53" max="53" width="17.28515625" bestFit="1" customWidth="1"/>
    <col min="54" max="54" width="11.140625" bestFit="1" customWidth="1"/>
    <col min="55" max="55" width="12.42578125" bestFit="1" customWidth="1"/>
    <col min="56" max="56" width="15.42578125" bestFit="1" customWidth="1"/>
    <col min="57" max="57" width="14.7109375" bestFit="1" customWidth="1"/>
    <col min="58" max="58" width="13.85546875" bestFit="1" customWidth="1"/>
    <col min="59" max="59" width="13.7109375" bestFit="1" customWidth="1"/>
    <col min="60" max="60" width="18.5703125" bestFit="1" customWidth="1"/>
  </cols>
  <sheetData>
    <row r="1" spans="1:60" x14ac:dyDescent="0.25">
      <c r="A1" t="s">
        <v>63</v>
      </c>
      <c r="B1" s="1" t="s">
        <v>1</v>
      </c>
      <c r="C1" t="s">
        <v>60</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row>
    <row r="2" spans="1:60" x14ac:dyDescent="0.25">
      <c r="A2" t="s">
        <v>62</v>
      </c>
      <c r="B2" s="2">
        <v>32933</v>
      </c>
      <c r="C2">
        <v>190</v>
      </c>
      <c r="D2">
        <v>270</v>
      </c>
      <c r="E2">
        <v>227.5</v>
      </c>
      <c r="F2">
        <v>252.5</v>
      </c>
      <c r="G2">
        <v>300</v>
      </c>
      <c r="H2">
        <v>260</v>
      </c>
      <c r="I2">
        <v>220</v>
      </c>
      <c r="J2">
        <v>362.5</v>
      </c>
      <c r="K2">
        <v>350</v>
      </c>
      <c r="L2">
        <v>280</v>
      </c>
      <c r="M2">
        <v>270</v>
      </c>
      <c r="N2">
        <v>327.5</v>
      </c>
      <c r="O2">
        <v>477.5</v>
      </c>
      <c r="P2">
        <v>220</v>
      </c>
      <c r="Q2">
        <v>180</v>
      </c>
      <c r="R2">
        <v>190</v>
      </c>
      <c r="S2">
        <v>230</v>
      </c>
      <c r="T2">
        <v>200</v>
      </c>
      <c r="U2">
        <v>240</v>
      </c>
      <c r="V2" t="s">
        <v>21</v>
      </c>
      <c r="W2">
        <v>215</v>
      </c>
      <c r="X2">
        <v>220</v>
      </c>
      <c r="Y2">
        <v>330</v>
      </c>
      <c r="Z2">
        <v>300</v>
      </c>
      <c r="AA2">
        <v>190</v>
      </c>
      <c r="AB2">
        <v>220</v>
      </c>
      <c r="AC2">
        <v>237.5</v>
      </c>
      <c r="AD2">
        <v>260</v>
      </c>
      <c r="AE2">
        <v>300</v>
      </c>
      <c r="AF2">
        <v>170</v>
      </c>
      <c r="AG2">
        <v>225</v>
      </c>
      <c r="AH2">
        <v>165</v>
      </c>
      <c r="AI2">
        <v>145</v>
      </c>
      <c r="AJ2">
        <v>180</v>
      </c>
      <c r="AK2">
        <v>165</v>
      </c>
      <c r="AL2">
        <v>170</v>
      </c>
      <c r="AM2">
        <v>165</v>
      </c>
      <c r="AN2">
        <v>170</v>
      </c>
      <c r="AO2">
        <v>180</v>
      </c>
      <c r="AP2">
        <v>230</v>
      </c>
      <c r="AQ2">
        <v>170</v>
      </c>
      <c r="AR2">
        <v>165</v>
      </c>
      <c r="AS2">
        <v>290</v>
      </c>
      <c r="AT2">
        <v>230</v>
      </c>
      <c r="AU2">
        <v>275</v>
      </c>
      <c r="AV2">
        <v>147.5</v>
      </c>
      <c r="AW2">
        <v>150</v>
      </c>
      <c r="AX2">
        <v>150</v>
      </c>
      <c r="AY2">
        <v>125</v>
      </c>
      <c r="AZ2">
        <v>150</v>
      </c>
      <c r="BA2">
        <v>150</v>
      </c>
      <c r="BB2">
        <v>140</v>
      </c>
      <c r="BC2">
        <v>150</v>
      </c>
      <c r="BD2">
        <v>140</v>
      </c>
      <c r="BE2">
        <v>155</v>
      </c>
      <c r="BF2">
        <v>155</v>
      </c>
      <c r="BG2">
        <v>140</v>
      </c>
      <c r="BH2">
        <v>165</v>
      </c>
    </row>
    <row r="3" spans="1:60" x14ac:dyDescent="0.25">
      <c r="A3" t="s">
        <v>0</v>
      </c>
      <c r="B3" s="2">
        <v>33025</v>
      </c>
      <c r="C3">
        <v>185</v>
      </c>
      <c r="D3">
        <v>275</v>
      </c>
      <c r="E3">
        <v>232.5</v>
      </c>
      <c r="F3">
        <v>250</v>
      </c>
      <c r="G3">
        <v>290</v>
      </c>
      <c r="H3">
        <v>262.5</v>
      </c>
      <c r="I3">
        <v>220</v>
      </c>
      <c r="J3">
        <v>437.5</v>
      </c>
      <c r="K3">
        <v>340</v>
      </c>
      <c r="L3">
        <v>280</v>
      </c>
      <c r="M3">
        <v>260</v>
      </c>
      <c r="N3">
        <v>345</v>
      </c>
      <c r="O3">
        <v>445</v>
      </c>
      <c r="P3">
        <v>220</v>
      </c>
      <c r="Q3">
        <v>180</v>
      </c>
      <c r="R3">
        <v>190</v>
      </c>
      <c r="S3">
        <v>225</v>
      </c>
      <c r="T3">
        <v>210</v>
      </c>
      <c r="U3">
        <v>250</v>
      </c>
      <c r="V3">
        <v>322.5</v>
      </c>
      <c r="W3">
        <v>220</v>
      </c>
      <c r="X3">
        <v>230</v>
      </c>
      <c r="Y3">
        <v>320</v>
      </c>
      <c r="Z3">
        <v>295</v>
      </c>
      <c r="AA3">
        <v>190</v>
      </c>
      <c r="AB3">
        <v>220</v>
      </c>
      <c r="AC3">
        <v>240</v>
      </c>
      <c r="AD3">
        <v>225</v>
      </c>
      <c r="AE3">
        <v>320</v>
      </c>
      <c r="AF3">
        <v>170</v>
      </c>
      <c r="AG3">
        <v>230</v>
      </c>
      <c r="AH3">
        <v>160</v>
      </c>
      <c r="AI3">
        <v>150</v>
      </c>
      <c r="AJ3">
        <v>175</v>
      </c>
      <c r="AK3">
        <v>170</v>
      </c>
      <c r="AL3">
        <v>170</v>
      </c>
      <c r="AM3">
        <v>170</v>
      </c>
      <c r="AN3">
        <v>170</v>
      </c>
      <c r="AO3">
        <v>180</v>
      </c>
      <c r="AP3">
        <v>230</v>
      </c>
      <c r="AQ3">
        <v>160</v>
      </c>
      <c r="AR3">
        <v>165</v>
      </c>
      <c r="AS3">
        <v>280</v>
      </c>
      <c r="AT3">
        <v>230</v>
      </c>
      <c r="AU3">
        <v>280</v>
      </c>
      <c r="AV3">
        <v>147.5</v>
      </c>
      <c r="AW3">
        <v>150</v>
      </c>
      <c r="AX3">
        <v>150</v>
      </c>
      <c r="AY3">
        <v>120</v>
      </c>
      <c r="AZ3">
        <v>155</v>
      </c>
      <c r="BA3">
        <v>155</v>
      </c>
      <c r="BB3">
        <v>140</v>
      </c>
      <c r="BC3">
        <v>150</v>
      </c>
      <c r="BD3">
        <v>140</v>
      </c>
      <c r="BE3">
        <v>150</v>
      </c>
      <c r="BF3">
        <v>160</v>
      </c>
      <c r="BG3">
        <v>140</v>
      </c>
      <c r="BH3">
        <v>165</v>
      </c>
    </row>
    <row r="4" spans="1:60" x14ac:dyDescent="0.25">
      <c r="B4" s="2">
        <v>33117</v>
      </c>
      <c r="C4">
        <v>190</v>
      </c>
      <c r="D4">
        <v>270</v>
      </c>
      <c r="E4">
        <v>250</v>
      </c>
      <c r="F4">
        <v>230</v>
      </c>
      <c r="G4">
        <v>310</v>
      </c>
      <c r="H4">
        <v>275</v>
      </c>
      <c r="I4">
        <v>220</v>
      </c>
      <c r="J4">
        <v>410</v>
      </c>
      <c r="K4">
        <v>350</v>
      </c>
      <c r="L4">
        <v>280</v>
      </c>
      <c r="M4">
        <v>240</v>
      </c>
      <c r="N4">
        <v>342.5</v>
      </c>
      <c r="O4">
        <v>450</v>
      </c>
      <c r="P4">
        <v>220</v>
      </c>
      <c r="Q4">
        <v>190</v>
      </c>
      <c r="R4">
        <v>195</v>
      </c>
      <c r="S4">
        <v>230</v>
      </c>
      <c r="T4">
        <v>200</v>
      </c>
      <c r="U4">
        <v>235</v>
      </c>
      <c r="V4" t="s">
        <v>21</v>
      </c>
      <c r="W4">
        <v>210</v>
      </c>
      <c r="X4">
        <v>235</v>
      </c>
      <c r="Y4">
        <v>305</v>
      </c>
      <c r="Z4">
        <v>310</v>
      </c>
      <c r="AA4">
        <v>200</v>
      </c>
      <c r="AB4">
        <v>215</v>
      </c>
      <c r="AC4">
        <v>240</v>
      </c>
      <c r="AD4">
        <v>230</v>
      </c>
      <c r="AE4">
        <v>310</v>
      </c>
      <c r="AF4">
        <v>170</v>
      </c>
      <c r="AG4">
        <v>225</v>
      </c>
      <c r="AH4">
        <v>160</v>
      </c>
      <c r="AI4">
        <v>150</v>
      </c>
      <c r="AJ4">
        <v>175</v>
      </c>
      <c r="AK4">
        <v>170</v>
      </c>
      <c r="AL4">
        <v>170</v>
      </c>
      <c r="AM4">
        <v>165</v>
      </c>
      <c r="AN4">
        <v>170</v>
      </c>
      <c r="AO4">
        <v>180</v>
      </c>
      <c r="AP4">
        <v>240</v>
      </c>
      <c r="AQ4">
        <v>165</v>
      </c>
      <c r="AR4">
        <v>170</v>
      </c>
      <c r="AS4">
        <v>280</v>
      </c>
      <c r="AT4">
        <v>230</v>
      </c>
      <c r="AU4">
        <v>280</v>
      </c>
      <c r="AV4">
        <v>147.5</v>
      </c>
      <c r="AW4">
        <v>150</v>
      </c>
      <c r="AX4">
        <v>150</v>
      </c>
      <c r="AY4">
        <v>130</v>
      </c>
      <c r="AZ4">
        <v>160</v>
      </c>
      <c r="BA4">
        <v>160</v>
      </c>
      <c r="BB4">
        <v>140</v>
      </c>
      <c r="BC4">
        <v>160</v>
      </c>
      <c r="BD4">
        <v>140</v>
      </c>
      <c r="BE4">
        <v>160</v>
      </c>
      <c r="BF4">
        <v>160</v>
      </c>
      <c r="BG4">
        <v>140</v>
      </c>
      <c r="BH4">
        <v>170</v>
      </c>
    </row>
    <row r="5" spans="1:60" x14ac:dyDescent="0.25">
      <c r="B5" s="2">
        <v>33208</v>
      </c>
      <c r="C5">
        <v>190</v>
      </c>
      <c r="D5">
        <v>270</v>
      </c>
      <c r="E5">
        <v>245</v>
      </c>
      <c r="F5">
        <v>250</v>
      </c>
      <c r="G5">
        <v>300</v>
      </c>
      <c r="H5">
        <v>270</v>
      </c>
      <c r="I5">
        <v>220</v>
      </c>
      <c r="J5">
        <v>477.5</v>
      </c>
      <c r="K5">
        <v>327.5</v>
      </c>
      <c r="L5">
        <v>285</v>
      </c>
      <c r="M5">
        <v>270</v>
      </c>
      <c r="N5">
        <v>340</v>
      </c>
      <c r="O5">
        <v>450</v>
      </c>
      <c r="P5">
        <v>220</v>
      </c>
      <c r="Q5">
        <v>180</v>
      </c>
      <c r="R5">
        <v>200</v>
      </c>
      <c r="S5">
        <v>245</v>
      </c>
      <c r="T5">
        <v>210</v>
      </c>
      <c r="U5">
        <v>250</v>
      </c>
      <c r="V5">
        <v>335</v>
      </c>
      <c r="W5">
        <v>217.5</v>
      </c>
      <c r="X5">
        <v>225</v>
      </c>
      <c r="Y5">
        <v>300</v>
      </c>
      <c r="Z5">
        <v>290</v>
      </c>
      <c r="AA5">
        <v>195</v>
      </c>
      <c r="AB5">
        <v>220</v>
      </c>
      <c r="AC5">
        <v>240</v>
      </c>
      <c r="AD5">
        <v>230</v>
      </c>
      <c r="AE5">
        <v>300</v>
      </c>
      <c r="AF5">
        <v>175</v>
      </c>
      <c r="AG5">
        <v>230</v>
      </c>
      <c r="AH5">
        <v>165</v>
      </c>
      <c r="AI5">
        <v>140</v>
      </c>
      <c r="AJ5">
        <v>180</v>
      </c>
      <c r="AK5">
        <v>170</v>
      </c>
      <c r="AL5">
        <v>170</v>
      </c>
      <c r="AM5">
        <v>170</v>
      </c>
      <c r="AN5">
        <v>170</v>
      </c>
      <c r="AO5">
        <v>185</v>
      </c>
      <c r="AP5">
        <v>230</v>
      </c>
      <c r="AQ5">
        <v>170</v>
      </c>
      <c r="AR5">
        <v>170</v>
      </c>
      <c r="AS5">
        <v>280</v>
      </c>
      <c r="AT5">
        <v>240</v>
      </c>
      <c r="AU5">
        <v>280</v>
      </c>
      <c r="AV5">
        <v>150</v>
      </c>
      <c r="AW5">
        <v>150</v>
      </c>
      <c r="AX5">
        <v>155</v>
      </c>
      <c r="AY5">
        <v>125</v>
      </c>
      <c r="AZ5">
        <v>165</v>
      </c>
      <c r="BA5">
        <v>160</v>
      </c>
      <c r="BB5">
        <v>150</v>
      </c>
      <c r="BC5">
        <v>160</v>
      </c>
      <c r="BD5">
        <v>145</v>
      </c>
      <c r="BE5">
        <v>160</v>
      </c>
      <c r="BF5">
        <v>160</v>
      </c>
      <c r="BG5">
        <v>140</v>
      </c>
      <c r="BH5">
        <v>170</v>
      </c>
    </row>
    <row r="6" spans="1:60" x14ac:dyDescent="0.25">
      <c r="B6" s="2">
        <v>33298</v>
      </c>
      <c r="C6">
        <v>190</v>
      </c>
      <c r="D6">
        <v>270</v>
      </c>
      <c r="E6">
        <v>230</v>
      </c>
      <c r="F6">
        <v>250</v>
      </c>
      <c r="G6">
        <v>300</v>
      </c>
      <c r="H6">
        <v>260</v>
      </c>
      <c r="I6">
        <v>220</v>
      </c>
      <c r="J6">
        <v>400</v>
      </c>
      <c r="K6">
        <v>330</v>
      </c>
      <c r="L6">
        <v>290</v>
      </c>
      <c r="M6">
        <v>275</v>
      </c>
      <c r="N6">
        <v>310</v>
      </c>
      <c r="O6">
        <v>495</v>
      </c>
      <c r="P6">
        <v>220</v>
      </c>
      <c r="Q6">
        <v>185</v>
      </c>
      <c r="R6">
        <v>195</v>
      </c>
      <c r="S6">
        <v>220</v>
      </c>
      <c r="T6">
        <v>200</v>
      </c>
      <c r="U6">
        <v>240</v>
      </c>
      <c r="V6">
        <v>290</v>
      </c>
      <c r="W6">
        <v>220</v>
      </c>
      <c r="X6">
        <v>240</v>
      </c>
      <c r="Y6">
        <v>320</v>
      </c>
      <c r="Z6">
        <v>337.5</v>
      </c>
      <c r="AA6">
        <v>200</v>
      </c>
      <c r="AB6">
        <v>215</v>
      </c>
      <c r="AC6">
        <v>240</v>
      </c>
      <c r="AD6">
        <v>240</v>
      </c>
      <c r="AE6">
        <v>315</v>
      </c>
      <c r="AF6">
        <v>175</v>
      </c>
      <c r="AG6">
        <v>230</v>
      </c>
      <c r="AH6">
        <v>170</v>
      </c>
      <c r="AI6">
        <v>150</v>
      </c>
      <c r="AJ6">
        <v>180</v>
      </c>
      <c r="AK6">
        <v>170</v>
      </c>
      <c r="AL6">
        <v>175</v>
      </c>
      <c r="AM6">
        <v>170</v>
      </c>
      <c r="AN6">
        <v>175</v>
      </c>
      <c r="AO6">
        <v>185</v>
      </c>
      <c r="AP6">
        <v>230</v>
      </c>
      <c r="AQ6">
        <v>170</v>
      </c>
      <c r="AR6">
        <v>170</v>
      </c>
      <c r="AS6">
        <v>300</v>
      </c>
      <c r="AT6">
        <v>230</v>
      </c>
      <c r="AU6">
        <v>280</v>
      </c>
      <c r="AV6">
        <v>150</v>
      </c>
      <c r="AW6">
        <v>150</v>
      </c>
      <c r="AX6">
        <v>160</v>
      </c>
      <c r="AY6">
        <v>132.5</v>
      </c>
      <c r="AZ6">
        <v>165</v>
      </c>
      <c r="BA6">
        <v>160</v>
      </c>
      <c r="BB6">
        <v>150</v>
      </c>
      <c r="BC6">
        <v>170</v>
      </c>
      <c r="BD6">
        <v>150</v>
      </c>
      <c r="BE6">
        <v>160</v>
      </c>
      <c r="BF6">
        <v>165</v>
      </c>
      <c r="BG6">
        <v>144</v>
      </c>
      <c r="BH6">
        <v>170</v>
      </c>
    </row>
    <row r="7" spans="1:60" x14ac:dyDescent="0.25">
      <c r="B7" s="2">
        <v>33390</v>
      </c>
      <c r="C7">
        <v>190</v>
      </c>
      <c r="D7">
        <v>270</v>
      </c>
      <c r="E7">
        <v>250</v>
      </c>
      <c r="F7">
        <v>230</v>
      </c>
      <c r="G7">
        <v>305</v>
      </c>
      <c r="H7">
        <v>280</v>
      </c>
      <c r="I7">
        <v>220</v>
      </c>
      <c r="J7">
        <v>387.5</v>
      </c>
      <c r="K7">
        <v>365</v>
      </c>
      <c r="L7">
        <v>285</v>
      </c>
      <c r="M7">
        <v>270</v>
      </c>
      <c r="N7">
        <v>350</v>
      </c>
      <c r="O7">
        <v>450</v>
      </c>
      <c r="P7">
        <v>220</v>
      </c>
      <c r="Q7">
        <v>180</v>
      </c>
      <c r="R7">
        <v>200</v>
      </c>
      <c r="S7">
        <v>237.5</v>
      </c>
      <c r="T7">
        <v>200</v>
      </c>
      <c r="U7">
        <v>240</v>
      </c>
      <c r="V7">
        <v>300</v>
      </c>
      <c r="W7">
        <v>220</v>
      </c>
      <c r="X7">
        <v>230</v>
      </c>
      <c r="Y7">
        <v>310</v>
      </c>
      <c r="Z7">
        <v>325</v>
      </c>
      <c r="AA7">
        <v>190</v>
      </c>
      <c r="AB7">
        <v>220</v>
      </c>
      <c r="AC7">
        <v>250</v>
      </c>
      <c r="AD7">
        <v>240</v>
      </c>
      <c r="AE7">
        <v>300</v>
      </c>
      <c r="AF7">
        <v>175</v>
      </c>
      <c r="AG7">
        <v>230</v>
      </c>
      <c r="AH7">
        <v>165</v>
      </c>
      <c r="AI7">
        <v>150</v>
      </c>
      <c r="AJ7">
        <v>180</v>
      </c>
      <c r="AK7">
        <v>170</v>
      </c>
      <c r="AL7">
        <v>175</v>
      </c>
      <c r="AM7">
        <v>170</v>
      </c>
      <c r="AN7">
        <v>175</v>
      </c>
      <c r="AO7">
        <v>185</v>
      </c>
      <c r="AP7">
        <v>230</v>
      </c>
      <c r="AQ7">
        <v>175</v>
      </c>
      <c r="AR7">
        <v>170</v>
      </c>
      <c r="AS7">
        <v>280</v>
      </c>
      <c r="AT7">
        <v>230</v>
      </c>
      <c r="AU7">
        <v>277.5</v>
      </c>
      <c r="AV7">
        <v>150</v>
      </c>
      <c r="AW7">
        <v>150</v>
      </c>
      <c r="AX7">
        <v>160</v>
      </c>
      <c r="AY7">
        <v>130</v>
      </c>
      <c r="AZ7">
        <v>170</v>
      </c>
      <c r="BA7">
        <v>160</v>
      </c>
      <c r="BB7">
        <v>155</v>
      </c>
      <c r="BC7">
        <v>170</v>
      </c>
      <c r="BD7">
        <v>150</v>
      </c>
      <c r="BE7">
        <v>160</v>
      </c>
      <c r="BF7">
        <v>165</v>
      </c>
      <c r="BG7">
        <v>140</v>
      </c>
      <c r="BH7">
        <v>170</v>
      </c>
    </row>
    <row r="8" spans="1:60" x14ac:dyDescent="0.25">
      <c r="B8" s="2">
        <v>33482</v>
      </c>
      <c r="C8">
        <v>190</v>
      </c>
      <c r="D8">
        <v>265</v>
      </c>
      <c r="E8">
        <v>240</v>
      </c>
      <c r="F8">
        <v>250</v>
      </c>
      <c r="G8">
        <v>300</v>
      </c>
      <c r="H8">
        <v>275</v>
      </c>
      <c r="I8">
        <v>220</v>
      </c>
      <c r="J8">
        <v>350</v>
      </c>
      <c r="K8">
        <v>360</v>
      </c>
      <c r="L8">
        <v>280</v>
      </c>
      <c r="M8">
        <v>250</v>
      </c>
      <c r="N8">
        <v>330</v>
      </c>
      <c r="O8">
        <v>400</v>
      </c>
      <c r="P8">
        <v>220</v>
      </c>
      <c r="Q8">
        <v>185</v>
      </c>
      <c r="R8">
        <v>195</v>
      </c>
      <c r="S8">
        <v>240</v>
      </c>
      <c r="T8">
        <v>200</v>
      </c>
      <c r="U8">
        <v>250</v>
      </c>
      <c r="V8">
        <v>320</v>
      </c>
      <c r="W8">
        <v>215</v>
      </c>
      <c r="X8">
        <v>240</v>
      </c>
      <c r="Y8">
        <v>300</v>
      </c>
      <c r="Z8">
        <v>295</v>
      </c>
      <c r="AA8">
        <v>191</v>
      </c>
      <c r="AB8">
        <v>220</v>
      </c>
      <c r="AC8">
        <v>235</v>
      </c>
      <c r="AD8">
        <v>230</v>
      </c>
      <c r="AE8">
        <v>315</v>
      </c>
      <c r="AF8">
        <v>175</v>
      </c>
      <c r="AG8">
        <v>230</v>
      </c>
      <c r="AH8">
        <v>165</v>
      </c>
      <c r="AI8">
        <v>150</v>
      </c>
      <c r="AJ8">
        <v>180</v>
      </c>
      <c r="AK8">
        <v>170</v>
      </c>
      <c r="AL8">
        <v>175</v>
      </c>
      <c r="AM8">
        <v>170</v>
      </c>
      <c r="AN8">
        <v>175</v>
      </c>
      <c r="AO8">
        <v>180</v>
      </c>
      <c r="AP8">
        <v>230</v>
      </c>
      <c r="AQ8">
        <v>170</v>
      </c>
      <c r="AR8">
        <v>170</v>
      </c>
      <c r="AS8">
        <v>270</v>
      </c>
      <c r="AT8">
        <v>240</v>
      </c>
      <c r="AU8">
        <v>270</v>
      </c>
      <c r="AV8">
        <v>150</v>
      </c>
      <c r="AW8">
        <v>150</v>
      </c>
      <c r="AX8">
        <v>160</v>
      </c>
      <c r="AY8">
        <v>140</v>
      </c>
      <c r="AZ8">
        <v>165</v>
      </c>
      <c r="BA8">
        <v>165</v>
      </c>
      <c r="BB8">
        <v>160</v>
      </c>
      <c r="BC8">
        <v>165</v>
      </c>
      <c r="BD8">
        <v>150</v>
      </c>
      <c r="BE8">
        <v>165</v>
      </c>
      <c r="BF8">
        <v>165</v>
      </c>
      <c r="BG8">
        <v>140</v>
      </c>
      <c r="BH8">
        <v>170</v>
      </c>
    </row>
    <row r="9" spans="1:60" x14ac:dyDescent="0.25">
      <c r="B9" s="2">
        <v>33573</v>
      </c>
      <c r="C9">
        <v>190</v>
      </c>
      <c r="D9">
        <v>270</v>
      </c>
      <c r="E9">
        <v>240</v>
      </c>
      <c r="F9">
        <v>245</v>
      </c>
      <c r="G9">
        <v>300</v>
      </c>
      <c r="H9">
        <v>290</v>
      </c>
      <c r="I9">
        <v>220</v>
      </c>
      <c r="J9">
        <v>405</v>
      </c>
      <c r="K9">
        <v>350</v>
      </c>
      <c r="L9">
        <v>290</v>
      </c>
      <c r="M9">
        <v>251</v>
      </c>
      <c r="N9">
        <v>325</v>
      </c>
      <c r="O9">
        <v>400</v>
      </c>
      <c r="P9">
        <v>220</v>
      </c>
      <c r="Q9">
        <v>180</v>
      </c>
      <c r="R9">
        <v>200</v>
      </c>
      <c r="S9">
        <v>250</v>
      </c>
      <c r="T9">
        <v>200</v>
      </c>
      <c r="U9">
        <v>250</v>
      </c>
      <c r="V9">
        <v>272.5</v>
      </c>
      <c r="W9">
        <v>210</v>
      </c>
      <c r="X9">
        <v>230</v>
      </c>
      <c r="Y9">
        <v>300</v>
      </c>
      <c r="Z9">
        <v>340</v>
      </c>
      <c r="AA9">
        <v>190</v>
      </c>
      <c r="AB9">
        <v>220</v>
      </c>
      <c r="AC9">
        <v>240</v>
      </c>
      <c r="AD9">
        <v>230</v>
      </c>
      <c r="AE9">
        <v>300</v>
      </c>
      <c r="AF9">
        <v>175</v>
      </c>
      <c r="AG9">
        <v>230</v>
      </c>
      <c r="AH9">
        <v>165</v>
      </c>
      <c r="AI9">
        <v>160</v>
      </c>
      <c r="AJ9">
        <v>180</v>
      </c>
      <c r="AK9">
        <v>175</v>
      </c>
      <c r="AL9">
        <v>180</v>
      </c>
      <c r="AM9">
        <v>170</v>
      </c>
      <c r="AN9">
        <v>180</v>
      </c>
      <c r="AO9">
        <v>180</v>
      </c>
      <c r="AP9">
        <v>230</v>
      </c>
      <c r="AQ9">
        <v>180</v>
      </c>
      <c r="AR9">
        <v>170</v>
      </c>
      <c r="AS9">
        <v>290</v>
      </c>
      <c r="AT9">
        <v>232.5</v>
      </c>
      <c r="AU9">
        <v>280</v>
      </c>
      <c r="AV9">
        <v>150</v>
      </c>
      <c r="AW9">
        <v>150</v>
      </c>
      <c r="AX9">
        <v>160</v>
      </c>
      <c r="AY9">
        <v>135</v>
      </c>
      <c r="AZ9">
        <v>160</v>
      </c>
      <c r="BA9">
        <v>160</v>
      </c>
      <c r="BB9">
        <v>160</v>
      </c>
      <c r="BC9">
        <v>160</v>
      </c>
      <c r="BD9">
        <v>150</v>
      </c>
      <c r="BE9">
        <v>165</v>
      </c>
      <c r="BF9">
        <v>170</v>
      </c>
      <c r="BG9">
        <v>145</v>
      </c>
      <c r="BH9">
        <v>170</v>
      </c>
    </row>
    <row r="10" spans="1:60" x14ac:dyDescent="0.25">
      <c r="B10" s="2">
        <v>33664</v>
      </c>
      <c r="C10">
        <v>190</v>
      </c>
      <c r="D10">
        <v>280</v>
      </c>
      <c r="E10">
        <v>250</v>
      </c>
      <c r="F10">
        <v>242.5</v>
      </c>
      <c r="G10">
        <v>300</v>
      </c>
      <c r="H10">
        <v>282.5</v>
      </c>
      <c r="I10">
        <v>220</v>
      </c>
      <c r="J10">
        <v>450</v>
      </c>
      <c r="K10">
        <v>340</v>
      </c>
      <c r="L10">
        <v>290</v>
      </c>
      <c r="M10">
        <v>260</v>
      </c>
      <c r="N10">
        <v>350</v>
      </c>
      <c r="O10">
        <v>500</v>
      </c>
      <c r="P10">
        <v>220</v>
      </c>
      <c r="Q10">
        <v>185</v>
      </c>
      <c r="R10">
        <v>200</v>
      </c>
      <c r="S10">
        <v>230</v>
      </c>
      <c r="T10">
        <v>200</v>
      </c>
      <c r="U10">
        <v>240</v>
      </c>
      <c r="V10">
        <v>300</v>
      </c>
      <c r="W10">
        <v>220</v>
      </c>
      <c r="X10">
        <v>230</v>
      </c>
      <c r="Y10">
        <v>310</v>
      </c>
      <c r="Z10">
        <v>320</v>
      </c>
      <c r="AA10">
        <v>190</v>
      </c>
      <c r="AB10">
        <v>225</v>
      </c>
      <c r="AC10">
        <v>240</v>
      </c>
      <c r="AD10">
        <v>230</v>
      </c>
      <c r="AE10">
        <v>320</v>
      </c>
      <c r="AF10">
        <v>175</v>
      </c>
      <c r="AG10">
        <v>225</v>
      </c>
      <c r="AH10">
        <v>165</v>
      </c>
      <c r="AI10">
        <v>160</v>
      </c>
      <c r="AJ10">
        <v>185</v>
      </c>
      <c r="AK10">
        <v>175</v>
      </c>
      <c r="AL10">
        <v>175</v>
      </c>
      <c r="AM10">
        <v>175</v>
      </c>
      <c r="AN10">
        <v>175</v>
      </c>
      <c r="AO10">
        <v>180</v>
      </c>
      <c r="AP10">
        <v>235</v>
      </c>
      <c r="AQ10">
        <v>175</v>
      </c>
      <c r="AR10">
        <v>170</v>
      </c>
      <c r="AS10">
        <v>290</v>
      </c>
      <c r="AT10">
        <v>240</v>
      </c>
      <c r="AU10">
        <v>297.5</v>
      </c>
      <c r="AV10">
        <v>155</v>
      </c>
      <c r="AW10">
        <v>150</v>
      </c>
      <c r="AX10">
        <v>160</v>
      </c>
      <c r="AY10">
        <v>130</v>
      </c>
      <c r="AZ10">
        <v>165</v>
      </c>
      <c r="BA10">
        <v>160</v>
      </c>
      <c r="BB10">
        <v>160</v>
      </c>
      <c r="BC10">
        <v>160</v>
      </c>
      <c r="BD10">
        <v>155</v>
      </c>
      <c r="BE10">
        <v>160</v>
      </c>
      <c r="BF10">
        <v>170</v>
      </c>
      <c r="BG10">
        <v>150</v>
      </c>
      <c r="BH10">
        <v>170</v>
      </c>
    </row>
    <row r="11" spans="1:60" x14ac:dyDescent="0.25">
      <c r="B11" s="2">
        <v>33756</v>
      </c>
      <c r="C11">
        <v>190</v>
      </c>
      <c r="D11">
        <v>280</v>
      </c>
      <c r="E11">
        <v>250</v>
      </c>
      <c r="F11">
        <v>235</v>
      </c>
      <c r="G11">
        <v>292.5</v>
      </c>
      <c r="H11">
        <v>290</v>
      </c>
      <c r="I11">
        <v>230</v>
      </c>
      <c r="J11">
        <v>455</v>
      </c>
      <c r="K11">
        <v>370</v>
      </c>
      <c r="L11">
        <v>290</v>
      </c>
      <c r="M11">
        <v>270</v>
      </c>
      <c r="N11">
        <v>340</v>
      </c>
      <c r="O11">
        <v>450</v>
      </c>
      <c r="P11">
        <v>220</v>
      </c>
      <c r="Q11">
        <v>180</v>
      </c>
      <c r="R11">
        <v>200</v>
      </c>
      <c r="S11">
        <v>240</v>
      </c>
      <c r="T11">
        <v>205</v>
      </c>
      <c r="U11">
        <v>250</v>
      </c>
      <c r="V11" t="s">
        <v>21</v>
      </c>
      <c r="W11">
        <v>220</v>
      </c>
      <c r="X11">
        <v>240</v>
      </c>
      <c r="Y11">
        <v>300</v>
      </c>
      <c r="Z11">
        <v>330</v>
      </c>
      <c r="AA11">
        <v>200</v>
      </c>
      <c r="AB11">
        <v>220</v>
      </c>
      <c r="AC11">
        <v>235</v>
      </c>
      <c r="AD11">
        <v>250</v>
      </c>
      <c r="AE11">
        <v>310</v>
      </c>
      <c r="AF11">
        <v>175</v>
      </c>
      <c r="AG11">
        <v>230</v>
      </c>
      <c r="AH11">
        <v>170</v>
      </c>
      <c r="AI11">
        <v>155</v>
      </c>
      <c r="AJ11">
        <v>185</v>
      </c>
      <c r="AK11">
        <v>170</v>
      </c>
      <c r="AL11">
        <v>180</v>
      </c>
      <c r="AM11">
        <v>170</v>
      </c>
      <c r="AN11">
        <v>175</v>
      </c>
      <c r="AO11">
        <v>180</v>
      </c>
      <c r="AP11">
        <v>240</v>
      </c>
      <c r="AQ11">
        <v>170</v>
      </c>
      <c r="AR11">
        <v>170</v>
      </c>
      <c r="AS11">
        <v>285</v>
      </c>
      <c r="AT11">
        <v>240</v>
      </c>
      <c r="AU11">
        <v>290</v>
      </c>
      <c r="AV11">
        <v>155</v>
      </c>
      <c r="AW11">
        <v>150</v>
      </c>
      <c r="AX11">
        <v>160</v>
      </c>
      <c r="AY11">
        <v>135</v>
      </c>
      <c r="AZ11">
        <v>165</v>
      </c>
      <c r="BA11">
        <v>160</v>
      </c>
      <c r="BB11">
        <v>160</v>
      </c>
      <c r="BC11">
        <v>160</v>
      </c>
      <c r="BD11">
        <v>150</v>
      </c>
      <c r="BE11">
        <v>165</v>
      </c>
      <c r="BF11">
        <v>170</v>
      </c>
      <c r="BG11">
        <v>150</v>
      </c>
      <c r="BH11">
        <v>170</v>
      </c>
    </row>
    <row r="12" spans="1:60" x14ac:dyDescent="0.25">
      <c r="B12" s="2">
        <v>33848</v>
      </c>
      <c r="C12">
        <v>190</v>
      </c>
      <c r="D12">
        <v>275</v>
      </c>
      <c r="E12">
        <v>220</v>
      </c>
      <c r="F12">
        <v>250</v>
      </c>
      <c r="G12">
        <v>310</v>
      </c>
      <c r="H12">
        <v>270</v>
      </c>
      <c r="I12">
        <v>225</v>
      </c>
      <c r="J12">
        <v>360</v>
      </c>
      <c r="K12">
        <v>380</v>
      </c>
      <c r="L12">
        <v>280</v>
      </c>
      <c r="M12">
        <v>255</v>
      </c>
      <c r="N12">
        <v>325</v>
      </c>
      <c r="O12">
        <v>440</v>
      </c>
      <c r="P12">
        <v>220</v>
      </c>
      <c r="Q12">
        <v>180</v>
      </c>
      <c r="R12">
        <v>190</v>
      </c>
      <c r="S12">
        <v>240</v>
      </c>
      <c r="T12">
        <v>210</v>
      </c>
      <c r="U12">
        <v>240</v>
      </c>
      <c r="V12">
        <v>295</v>
      </c>
      <c r="W12">
        <v>220</v>
      </c>
      <c r="X12">
        <v>240</v>
      </c>
      <c r="Y12">
        <v>300</v>
      </c>
      <c r="Z12">
        <v>325</v>
      </c>
      <c r="AA12">
        <v>195</v>
      </c>
      <c r="AB12">
        <v>220</v>
      </c>
      <c r="AC12">
        <v>240</v>
      </c>
      <c r="AD12">
        <v>240</v>
      </c>
      <c r="AE12">
        <v>300</v>
      </c>
      <c r="AF12">
        <v>175</v>
      </c>
      <c r="AG12">
        <v>220</v>
      </c>
      <c r="AH12">
        <v>165</v>
      </c>
      <c r="AI12">
        <v>160</v>
      </c>
      <c r="AJ12">
        <v>185</v>
      </c>
      <c r="AK12">
        <v>170</v>
      </c>
      <c r="AL12">
        <v>175</v>
      </c>
      <c r="AM12">
        <v>175</v>
      </c>
      <c r="AN12">
        <v>175</v>
      </c>
      <c r="AO12">
        <v>180</v>
      </c>
      <c r="AP12">
        <v>230</v>
      </c>
      <c r="AQ12">
        <v>175</v>
      </c>
      <c r="AR12">
        <v>170</v>
      </c>
      <c r="AS12">
        <v>285</v>
      </c>
      <c r="AT12">
        <v>230</v>
      </c>
      <c r="AU12">
        <v>280</v>
      </c>
      <c r="AV12">
        <v>155</v>
      </c>
      <c r="AW12">
        <v>150</v>
      </c>
      <c r="AX12">
        <v>160</v>
      </c>
      <c r="AY12">
        <v>140</v>
      </c>
      <c r="AZ12">
        <v>165</v>
      </c>
      <c r="BA12">
        <v>160</v>
      </c>
      <c r="BB12">
        <v>160</v>
      </c>
      <c r="BC12">
        <v>160</v>
      </c>
      <c r="BD12">
        <v>150</v>
      </c>
      <c r="BE12">
        <v>160</v>
      </c>
      <c r="BF12">
        <v>165</v>
      </c>
      <c r="BG12">
        <v>150</v>
      </c>
      <c r="BH12">
        <v>165</v>
      </c>
    </row>
    <row r="13" spans="1:60" x14ac:dyDescent="0.25">
      <c r="B13" s="2">
        <v>33939</v>
      </c>
      <c r="C13">
        <v>190</v>
      </c>
      <c r="D13">
        <v>275</v>
      </c>
      <c r="E13">
        <v>240</v>
      </c>
      <c r="F13">
        <v>250</v>
      </c>
      <c r="G13">
        <v>300</v>
      </c>
      <c r="H13">
        <v>277.5</v>
      </c>
      <c r="I13">
        <v>220</v>
      </c>
      <c r="J13">
        <v>400</v>
      </c>
      <c r="K13">
        <v>345</v>
      </c>
      <c r="L13">
        <v>280</v>
      </c>
      <c r="M13">
        <v>282.5</v>
      </c>
      <c r="N13">
        <v>325</v>
      </c>
      <c r="O13">
        <v>500</v>
      </c>
      <c r="P13">
        <v>220</v>
      </c>
      <c r="Q13">
        <v>180</v>
      </c>
      <c r="R13">
        <v>200</v>
      </c>
      <c r="S13">
        <v>230</v>
      </c>
      <c r="T13">
        <v>200</v>
      </c>
      <c r="U13">
        <v>240</v>
      </c>
      <c r="V13">
        <v>350</v>
      </c>
      <c r="W13">
        <v>220</v>
      </c>
      <c r="X13">
        <v>230</v>
      </c>
      <c r="Y13">
        <v>300</v>
      </c>
      <c r="Z13">
        <v>315</v>
      </c>
      <c r="AA13">
        <v>190</v>
      </c>
      <c r="AB13">
        <v>210</v>
      </c>
      <c r="AC13">
        <v>230</v>
      </c>
      <c r="AD13">
        <v>220</v>
      </c>
      <c r="AE13">
        <v>320</v>
      </c>
      <c r="AF13">
        <v>175</v>
      </c>
      <c r="AG13">
        <v>225</v>
      </c>
      <c r="AH13">
        <v>165</v>
      </c>
      <c r="AI13">
        <v>160</v>
      </c>
      <c r="AJ13">
        <v>180</v>
      </c>
      <c r="AK13">
        <v>170</v>
      </c>
      <c r="AL13">
        <v>180</v>
      </c>
      <c r="AM13">
        <v>170</v>
      </c>
      <c r="AN13">
        <v>170</v>
      </c>
      <c r="AO13">
        <v>180</v>
      </c>
      <c r="AP13">
        <v>230</v>
      </c>
      <c r="AQ13">
        <v>180</v>
      </c>
      <c r="AR13">
        <v>170</v>
      </c>
      <c r="AS13">
        <v>290</v>
      </c>
      <c r="AT13">
        <v>240</v>
      </c>
      <c r="AU13">
        <v>280</v>
      </c>
      <c r="AV13">
        <v>160</v>
      </c>
      <c r="AW13">
        <v>150</v>
      </c>
      <c r="AX13">
        <v>160</v>
      </c>
      <c r="AY13">
        <v>135</v>
      </c>
      <c r="AZ13">
        <v>160</v>
      </c>
      <c r="BA13">
        <v>160</v>
      </c>
      <c r="BB13">
        <v>160</v>
      </c>
      <c r="BC13">
        <v>155</v>
      </c>
      <c r="BD13">
        <v>150</v>
      </c>
      <c r="BE13">
        <v>165</v>
      </c>
      <c r="BF13">
        <v>165</v>
      </c>
      <c r="BG13">
        <v>150</v>
      </c>
      <c r="BH13">
        <v>170</v>
      </c>
    </row>
    <row r="14" spans="1:60" x14ac:dyDescent="0.25">
      <c r="B14" s="2">
        <v>34029</v>
      </c>
      <c r="C14">
        <v>190</v>
      </c>
      <c r="D14">
        <v>280</v>
      </c>
      <c r="E14">
        <v>237.5</v>
      </c>
      <c r="F14">
        <v>250</v>
      </c>
      <c r="G14">
        <v>300</v>
      </c>
      <c r="H14">
        <v>280</v>
      </c>
      <c r="I14">
        <v>220</v>
      </c>
      <c r="J14">
        <v>445</v>
      </c>
      <c r="K14">
        <v>350</v>
      </c>
      <c r="L14">
        <v>280</v>
      </c>
      <c r="M14">
        <v>280</v>
      </c>
      <c r="N14">
        <v>350</v>
      </c>
      <c r="O14">
        <v>425</v>
      </c>
      <c r="P14">
        <v>220</v>
      </c>
      <c r="Q14">
        <v>180</v>
      </c>
      <c r="R14">
        <v>190</v>
      </c>
      <c r="S14">
        <v>230</v>
      </c>
      <c r="T14">
        <v>202.5</v>
      </c>
      <c r="U14">
        <v>235</v>
      </c>
      <c r="V14">
        <v>300</v>
      </c>
      <c r="W14">
        <v>220</v>
      </c>
      <c r="X14">
        <v>240</v>
      </c>
      <c r="Y14">
        <v>300</v>
      </c>
      <c r="Z14">
        <v>317.5</v>
      </c>
      <c r="AA14">
        <v>190</v>
      </c>
      <c r="AB14">
        <v>225</v>
      </c>
      <c r="AC14">
        <v>230</v>
      </c>
      <c r="AD14">
        <v>220</v>
      </c>
      <c r="AE14">
        <v>320</v>
      </c>
      <c r="AF14">
        <v>175</v>
      </c>
      <c r="AG14">
        <v>220</v>
      </c>
      <c r="AH14">
        <v>165</v>
      </c>
      <c r="AI14">
        <v>160</v>
      </c>
      <c r="AJ14">
        <v>180</v>
      </c>
      <c r="AK14">
        <v>170</v>
      </c>
      <c r="AL14">
        <v>175</v>
      </c>
      <c r="AM14">
        <v>175</v>
      </c>
      <c r="AN14">
        <v>170</v>
      </c>
      <c r="AO14">
        <v>180</v>
      </c>
      <c r="AP14">
        <v>235</v>
      </c>
      <c r="AQ14">
        <v>175</v>
      </c>
      <c r="AR14">
        <v>170</v>
      </c>
      <c r="AS14">
        <v>285</v>
      </c>
      <c r="AT14">
        <v>240</v>
      </c>
      <c r="AU14">
        <v>280</v>
      </c>
      <c r="AV14">
        <v>150</v>
      </c>
      <c r="AW14">
        <v>150</v>
      </c>
      <c r="AX14">
        <v>160</v>
      </c>
      <c r="AY14">
        <v>140</v>
      </c>
      <c r="AZ14">
        <v>170</v>
      </c>
      <c r="BA14">
        <v>160</v>
      </c>
      <c r="BB14">
        <v>160</v>
      </c>
      <c r="BC14">
        <v>160</v>
      </c>
      <c r="BD14">
        <v>150</v>
      </c>
      <c r="BE14">
        <v>160</v>
      </c>
      <c r="BF14">
        <v>170</v>
      </c>
      <c r="BG14">
        <v>150</v>
      </c>
      <c r="BH14">
        <v>170</v>
      </c>
    </row>
    <row r="15" spans="1:60" x14ac:dyDescent="0.25">
      <c r="B15" s="2">
        <v>34121</v>
      </c>
      <c r="C15">
        <v>185</v>
      </c>
      <c r="D15">
        <v>275</v>
      </c>
      <c r="E15">
        <v>240</v>
      </c>
      <c r="F15">
        <v>240</v>
      </c>
      <c r="G15">
        <v>320</v>
      </c>
      <c r="H15">
        <v>275</v>
      </c>
      <c r="I15">
        <v>217.5</v>
      </c>
      <c r="J15">
        <v>380</v>
      </c>
      <c r="K15">
        <v>350</v>
      </c>
      <c r="L15">
        <v>280</v>
      </c>
      <c r="M15">
        <v>280</v>
      </c>
      <c r="N15">
        <v>350</v>
      </c>
      <c r="O15">
        <v>465</v>
      </c>
      <c r="P15">
        <v>220</v>
      </c>
      <c r="Q15">
        <v>180</v>
      </c>
      <c r="R15">
        <v>200</v>
      </c>
      <c r="S15">
        <v>230</v>
      </c>
      <c r="T15">
        <v>205</v>
      </c>
      <c r="U15">
        <v>250</v>
      </c>
      <c r="V15">
        <v>260</v>
      </c>
      <c r="W15">
        <v>220</v>
      </c>
      <c r="X15">
        <v>240</v>
      </c>
      <c r="Y15">
        <v>300</v>
      </c>
      <c r="Z15">
        <v>320</v>
      </c>
      <c r="AA15">
        <v>190</v>
      </c>
      <c r="AB15">
        <v>220</v>
      </c>
      <c r="AC15">
        <v>230</v>
      </c>
      <c r="AD15">
        <v>225</v>
      </c>
      <c r="AE15">
        <v>320</v>
      </c>
      <c r="AF15">
        <v>175</v>
      </c>
      <c r="AG15">
        <v>220</v>
      </c>
      <c r="AH15">
        <v>165</v>
      </c>
      <c r="AI15">
        <v>160</v>
      </c>
      <c r="AJ15">
        <v>180</v>
      </c>
      <c r="AK15">
        <v>170</v>
      </c>
      <c r="AL15">
        <v>175</v>
      </c>
      <c r="AM15">
        <v>170</v>
      </c>
      <c r="AN15">
        <v>170</v>
      </c>
      <c r="AO15">
        <v>180</v>
      </c>
      <c r="AP15">
        <v>230</v>
      </c>
      <c r="AQ15">
        <v>175</v>
      </c>
      <c r="AR15">
        <v>170</v>
      </c>
      <c r="AS15">
        <v>285</v>
      </c>
      <c r="AT15">
        <v>240</v>
      </c>
      <c r="AU15">
        <v>290</v>
      </c>
      <c r="AV15">
        <v>160</v>
      </c>
      <c r="AW15">
        <v>150</v>
      </c>
      <c r="AX15">
        <v>160</v>
      </c>
      <c r="AY15">
        <v>140</v>
      </c>
      <c r="AZ15">
        <v>165</v>
      </c>
      <c r="BA15">
        <v>160</v>
      </c>
      <c r="BB15">
        <v>150</v>
      </c>
      <c r="BC15">
        <v>160</v>
      </c>
      <c r="BD15">
        <v>150</v>
      </c>
      <c r="BE15">
        <v>165</v>
      </c>
      <c r="BF15">
        <v>170</v>
      </c>
      <c r="BG15">
        <v>145</v>
      </c>
      <c r="BH15">
        <v>165</v>
      </c>
    </row>
    <row r="16" spans="1:60" x14ac:dyDescent="0.25">
      <c r="B16" s="2">
        <v>34213</v>
      </c>
      <c r="C16">
        <v>185</v>
      </c>
      <c r="D16">
        <v>275</v>
      </c>
      <c r="E16">
        <v>240</v>
      </c>
      <c r="F16">
        <v>240</v>
      </c>
      <c r="G16">
        <v>300</v>
      </c>
      <c r="H16">
        <v>262.5</v>
      </c>
      <c r="I16">
        <v>220</v>
      </c>
      <c r="J16">
        <v>425</v>
      </c>
      <c r="K16">
        <v>400</v>
      </c>
      <c r="L16">
        <v>290</v>
      </c>
      <c r="M16">
        <v>265</v>
      </c>
      <c r="N16">
        <v>330</v>
      </c>
      <c r="O16">
        <v>425</v>
      </c>
      <c r="P16">
        <v>215</v>
      </c>
      <c r="Q16">
        <v>185</v>
      </c>
      <c r="R16">
        <v>200</v>
      </c>
      <c r="S16">
        <v>220</v>
      </c>
      <c r="T16">
        <v>200</v>
      </c>
      <c r="U16">
        <v>245</v>
      </c>
      <c r="V16">
        <v>365</v>
      </c>
      <c r="W16">
        <v>220</v>
      </c>
      <c r="X16">
        <v>240</v>
      </c>
      <c r="Y16">
        <v>300</v>
      </c>
      <c r="Z16">
        <v>335</v>
      </c>
      <c r="AA16">
        <v>190</v>
      </c>
      <c r="AB16">
        <v>220</v>
      </c>
      <c r="AC16">
        <v>235</v>
      </c>
      <c r="AD16">
        <v>220</v>
      </c>
      <c r="AE16">
        <v>320</v>
      </c>
      <c r="AF16">
        <v>175</v>
      </c>
      <c r="AG16">
        <v>220</v>
      </c>
      <c r="AH16">
        <v>165</v>
      </c>
      <c r="AI16">
        <v>160</v>
      </c>
      <c r="AJ16">
        <v>180</v>
      </c>
      <c r="AK16">
        <v>165</v>
      </c>
      <c r="AL16">
        <v>175</v>
      </c>
      <c r="AM16">
        <v>170</v>
      </c>
      <c r="AN16">
        <v>165</v>
      </c>
      <c r="AO16">
        <v>180</v>
      </c>
      <c r="AP16">
        <v>230</v>
      </c>
      <c r="AQ16">
        <v>175</v>
      </c>
      <c r="AR16">
        <v>170</v>
      </c>
      <c r="AS16">
        <v>300</v>
      </c>
      <c r="AT16">
        <v>240</v>
      </c>
      <c r="AU16">
        <v>280</v>
      </c>
      <c r="AV16">
        <v>155</v>
      </c>
      <c r="AW16">
        <v>150</v>
      </c>
      <c r="AX16">
        <v>155</v>
      </c>
      <c r="AY16">
        <v>135</v>
      </c>
      <c r="AZ16">
        <v>170</v>
      </c>
      <c r="BA16">
        <v>155</v>
      </c>
      <c r="BB16">
        <v>150</v>
      </c>
      <c r="BC16">
        <v>155</v>
      </c>
      <c r="BD16">
        <v>150</v>
      </c>
      <c r="BE16">
        <v>165</v>
      </c>
      <c r="BF16">
        <v>165</v>
      </c>
      <c r="BG16">
        <v>145</v>
      </c>
      <c r="BH16">
        <v>165</v>
      </c>
    </row>
    <row r="17" spans="2:60" x14ac:dyDescent="0.25">
      <c r="B17" s="2">
        <v>34304</v>
      </c>
      <c r="C17">
        <v>185</v>
      </c>
      <c r="D17">
        <v>280</v>
      </c>
      <c r="E17">
        <v>235</v>
      </c>
      <c r="F17">
        <v>245</v>
      </c>
      <c r="G17">
        <v>300</v>
      </c>
      <c r="H17">
        <v>280</v>
      </c>
      <c r="I17">
        <v>220</v>
      </c>
      <c r="J17">
        <v>550</v>
      </c>
      <c r="K17">
        <v>380</v>
      </c>
      <c r="L17">
        <v>290</v>
      </c>
      <c r="M17">
        <v>280</v>
      </c>
      <c r="N17">
        <v>360</v>
      </c>
      <c r="O17">
        <v>465</v>
      </c>
      <c r="P17">
        <v>215</v>
      </c>
      <c r="Q17">
        <v>180</v>
      </c>
      <c r="R17">
        <v>190</v>
      </c>
      <c r="S17">
        <v>230</v>
      </c>
      <c r="T17">
        <v>200</v>
      </c>
      <c r="U17">
        <v>240</v>
      </c>
      <c r="V17" t="s">
        <v>21</v>
      </c>
      <c r="W17">
        <v>210</v>
      </c>
      <c r="X17">
        <v>240</v>
      </c>
      <c r="Y17">
        <v>300</v>
      </c>
      <c r="Z17">
        <v>320</v>
      </c>
      <c r="AA17">
        <v>190</v>
      </c>
      <c r="AB17">
        <v>220</v>
      </c>
      <c r="AC17">
        <v>230</v>
      </c>
      <c r="AD17">
        <v>205</v>
      </c>
      <c r="AE17">
        <v>312.5</v>
      </c>
      <c r="AF17">
        <v>175</v>
      </c>
      <c r="AG17">
        <v>220</v>
      </c>
      <c r="AH17">
        <v>165</v>
      </c>
      <c r="AI17">
        <v>160</v>
      </c>
      <c r="AJ17">
        <v>175</v>
      </c>
      <c r="AK17">
        <v>167</v>
      </c>
      <c r="AL17">
        <v>170</v>
      </c>
      <c r="AM17">
        <v>170</v>
      </c>
      <c r="AN17">
        <v>170</v>
      </c>
      <c r="AO17">
        <v>180</v>
      </c>
      <c r="AP17">
        <v>240</v>
      </c>
      <c r="AQ17">
        <v>175</v>
      </c>
      <c r="AR17">
        <v>170</v>
      </c>
      <c r="AS17">
        <v>290</v>
      </c>
      <c r="AT17">
        <v>240</v>
      </c>
      <c r="AU17">
        <v>280</v>
      </c>
      <c r="AV17">
        <v>155</v>
      </c>
      <c r="AW17">
        <v>157.5</v>
      </c>
      <c r="AX17">
        <v>155</v>
      </c>
      <c r="AY17">
        <v>139</v>
      </c>
      <c r="AZ17">
        <v>165</v>
      </c>
      <c r="BA17">
        <v>155</v>
      </c>
      <c r="BB17">
        <v>150</v>
      </c>
      <c r="BC17">
        <v>160</v>
      </c>
      <c r="BD17">
        <v>150</v>
      </c>
      <c r="BE17">
        <v>162.5</v>
      </c>
      <c r="BF17">
        <v>170</v>
      </c>
      <c r="BG17">
        <v>145</v>
      </c>
      <c r="BH17">
        <v>165</v>
      </c>
    </row>
    <row r="18" spans="2:60" x14ac:dyDescent="0.25">
      <c r="B18" s="2">
        <v>34394</v>
      </c>
      <c r="C18">
        <v>185</v>
      </c>
      <c r="D18">
        <v>280</v>
      </c>
      <c r="E18">
        <v>237.5</v>
      </c>
      <c r="F18">
        <v>247.5</v>
      </c>
      <c r="G18">
        <v>310</v>
      </c>
      <c r="H18">
        <v>290</v>
      </c>
      <c r="I18">
        <v>220</v>
      </c>
      <c r="J18">
        <v>450</v>
      </c>
      <c r="K18">
        <v>350</v>
      </c>
      <c r="L18">
        <v>290</v>
      </c>
      <c r="M18">
        <v>277.5</v>
      </c>
      <c r="N18">
        <v>400</v>
      </c>
      <c r="O18">
        <v>472.5</v>
      </c>
      <c r="P18">
        <v>220</v>
      </c>
      <c r="Q18">
        <v>180</v>
      </c>
      <c r="R18">
        <v>200</v>
      </c>
      <c r="S18">
        <v>235</v>
      </c>
      <c r="T18">
        <v>200</v>
      </c>
      <c r="U18">
        <v>250</v>
      </c>
      <c r="V18">
        <v>300</v>
      </c>
      <c r="W18">
        <v>230</v>
      </c>
      <c r="X18">
        <v>240</v>
      </c>
      <c r="Y18">
        <v>310</v>
      </c>
      <c r="Z18">
        <v>320</v>
      </c>
      <c r="AA18">
        <v>190</v>
      </c>
      <c r="AB18">
        <v>220</v>
      </c>
      <c r="AC18">
        <v>230</v>
      </c>
      <c r="AD18">
        <v>250</v>
      </c>
      <c r="AE18">
        <v>340</v>
      </c>
      <c r="AF18">
        <v>175</v>
      </c>
      <c r="AG18">
        <v>220</v>
      </c>
      <c r="AH18">
        <v>165</v>
      </c>
      <c r="AI18">
        <v>160</v>
      </c>
      <c r="AJ18">
        <v>180</v>
      </c>
      <c r="AK18">
        <v>165</v>
      </c>
      <c r="AL18">
        <v>175</v>
      </c>
      <c r="AM18">
        <v>175</v>
      </c>
      <c r="AN18">
        <v>170</v>
      </c>
      <c r="AO18">
        <v>180</v>
      </c>
      <c r="AP18">
        <v>230</v>
      </c>
      <c r="AQ18">
        <v>175</v>
      </c>
      <c r="AR18">
        <v>170</v>
      </c>
      <c r="AS18">
        <v>300</v>
      </c>
      <c r="AT18">
        <v>240</v>
      </c>
      <c r="AU18">
        <v>280</v>
      </c>
      <c r="AV18">
        <v>155</v>
      </c>
      <c r="AW18">
        <v>155</v>
      </c>
      <c r="AX18">
        <v>155</v>
      </c>
      <c r="AY18">
        <v>135</v>
      </c>
      <c r="AZ18">
        <v>165</v>
      </c>
      <c r="BA18">
        <v>150</v>
      </c>
      <c r="BB18">
        <v>150</v>
      </c>
      <c r="BC18">
        <v>155</v>
      </c>
      <c r="BD18">
        <v>150</v>
      </c>
      <c r="BE18">
        <v>165</v>
      </c>
      <c r="BF18">
        <v>170</v>
      </c>
      <c r="BG18">
        <v>150</v>
      </c>
      <c r="BH18">
        <v>165</v>
      </c>
    </row>
    <row r="19" spans="2:60" x14ac:dyDescent="0.25">
      <c r="B19" s="2">
        <v>34486</v>
      </c>
      <c r="C19">
        <v>190</v>
      </c>
      <c r="D19">
        <v>290</v>
      </c>
      <c r="E19">
        <v>240</v>
      </c>
      <c r="F19">
        <v>250</v>
      </c>
      <c r="G19">
        <v>325</v>
      </c>
      <c r="H19">
        <v>300</v>
      </c>
      <c r="I19">
        <v>230</v>
      </c>
      <c r="J19">
        <v>440</v>
      </c>
      <c r="K19">
        <v>360</v>
      </c>
      <c r="L19">
        <v>290</v>
      </c>
      <c r="M19">
        <v>280</v>
      </c>
      <c r="N19">
        <v>320</v>
      </c>
      <c r="O19">
        <v>450</v>
      </c>
      <c r="P19">
        <v>220</v>
      </c>
      <c r="Q19">
        <v>185</v>
      </c>
      <c r="R19">
        <v>200</v>
      </c>
      <c r="S19">
        <v>230</v>
      </c>
      <c r="T19">
        <v>200</v>
      </c>
      <c r="U19">
        <v>250</v>
      </c>
      <c r="V19">
        <v>315</v>
      </c>
      <c r="W19">
        <v>220</v>
      </c>
      <c r="X19">
        <v>240</v>
      </c>
      <c r="Y19">
        <v>320</v>
      </c>
      <c r="Z19">
        <v>350</v>
      </c>
      <c r="AA19">
        <v>190</v>
      </c>
      <c r="AB19">
        <v>230</v>
      </c>
      <c r="AC19">
        <v>240</v>
      </c>
      <c r="AD19">
        <v>230</v>
      </c>
      <c r="AE19">
        <v>330</v>
      </c>
      <c r="AF19">
        <v>175</v>
      </c>
      <c r="AG19">
        <v>230</v>
      </c>
      <c r="AH19">
        <v>170</v>
      </c>
      <c r="AI19">
        <v>160</v>
      </c>
      <c r="AJ19">
        <v>180</v>
      </c>
      <c r="AK19">
        <v>165</v>
      </c>
      <c r="AL19">
        <v>180</v>
      </c>
      <c r="AM19">
        <v>175</v>
      </c>
      <c r="AN19">
        <v>175</v>
      </c>
      <c r="AO19">
        <v>185</v>
      </c>
      <c r="AP19">
        <v>240</v>
      </c>
      <c r="AQ19">
        <v>175</v>
      </c>
      <c r="AR19">
        <v>170</v>
      </c>
      <c r="AS19">
        <v>300</v>
      </c>
      <c r="AT19">
        <v>240</v>
      </c>
      <c r="AU19">
        <v>300</v>
      </c>
      <c r="AV19">
        <v>155</v>
      </c>
      <c r="AW19">
        <v>160</v>
      </c>
      <c r="AX19">
        <v>155</v>
      </c>
      <c r="AY19">
        <v>135</v>
      </c>
      <c r="AZ19">
        <v>170</v>
      </c>
      <c r="BA19">
        <v>155</v>
      </c>
      <c r="BB19">
        <v>150</v>
      </c>
      <c r="BC19">
        <v>155</v>
      </c>
      <c r="BD19">
        <v>150</v>
      </c>
      <c r="BE19">
        <v>167.5</v>
      </c>
      <c r="BF19">
        <v>170</v>
      </c>
      <c r="BG19">
        <v>150</v>
      </c>
      <c r="BH19">
        <v>165</v>
      </c>
    </row>
    <row r="20" spans="2:60" x14ac:dyDescent="0.25">
      <c r="B20" s="2">
        <v>34578</v>
      </c>
      <c r="C20">
        <v>185</v>
      </c>
      <c r="D20">
        <v>300</v>
      </c>
      <c r="E20">
        <v>250</v>
      </c>
      <c r="F20">
        <v>270</v>
      </c>
      <c r="G20">
        <v>320</v>
      </c>
      <c r="H20">
        <v>280</v>
      </c>
      <c r="I20">
        <v>230</v>
      </c>
      <c r="J20">
        <v>475</v>
      </c>
      <c r="K20">
        <v>400</v>
      </c>
      <c r="L20">
        <v>300</v>
      </c>
      <c r="M20">
        <v>280</v>
      </c>
      <c r="N20">
        <v>365</v>
      </c>
      <c r="O20">
        <v>500</v>
      </c>
      <c r="P20">
        <v>220</v>
      </c>
      <c r="Q20">
        <v>180</v>
      </c>
      <c r="R20">
        <v>200</v>
      </c>
      <c r="S20">
        <v>225</v>
      </c>
      <c r="T20">
        <v>210</v>
      </c>
      <c r="U20">
        <v>260</v>
      </c>
      <c r="V20">
        <v>315</v>
      </c>
      <c r="W20">
        <v>230</v>
      </c>
      <c r="X20">
        <v>240</v>
      </c>
      <c r="Y20">
        <v>310</v>
      </c>
      <c r="Z20">
        <v>340</v>
      </c>
      <c r="AA20">
        <v>195</v>
      </c>
      <c r="AB20">
        <v>220</v>
      </c>
      <c r="AC20">
        <v>240</v>
      </c>
      <c r="AD20">
        <v>237.5</v>
      </c>
      <c r="AE20">
        <v>340</v>
      </c>
      <c r="AF20">
        <v>175</v>
      </c>
      <c r="AG20">
        <v>230</v>
      </c>
      <c r="AH20">
        <v>170</v>
      </c>
      <c r="AI20">
        <v>160</v>
      </c>
      <c r="AJ20">
        <v>180</v>
      </c>
      <c r="AK20">
        <v>170</v>
      </c>
      <c r="AL20">
        <v>180</v>
      </c>
      <c r="AM20">
        <v>175</v>
      </c>
      <c r="AN20">
        <v>170</v>
      </c>
      <c r="AO20">
        <v>185</v>
      </c>
      <c r="AP20">
        <v>240</v>
      </c>
      <c r="AQ20">
        <v>175</v>
      </c>
      <c r="AR20">
        <v>170</v>
      </c>
      <c r="AS20">
        <v>300</v>
      </c>
      <c r="AT20">
        <v>245</v>
      </c>
      <c r="AU20">
        <v>300</v>
      </c>
      <c r="AV20">
        <v>155</v>
      </c>
      <c r="AW20">
        <v>155</v>
      </c>
      <c r="AX20">
        <v>155</v>
      </c>
      <c r="AY20">
        <v>135</v>
      </c>
      <c r="AZ20">
        <v>170</v>
      </c>
      <c r="BA20">
        <v>155</v>
      </c>
      <c r="BB20">
        <v>150</v>
      </c>
      <c r="BC20">
        <v>150</v>
      </c>
      <c r="BD20">
        <v>145</v>
      </c>
      <c r="BE20">
        <v>165</v>
      </c>
      <c r="BF20">
        <v>170</v>
      </c>
      <c r="BG20">
        <v>150</v>
      </c>
      <c r="BH20">
        <v>165</v>
      </c>
    </row>
    <row r="21" spans="2:60" x14ac:dyDescent="0.25">
      <c r="B21" s="2">
        <v>34669</v>
      </c>
      <c r="C21">
        <v>190</v>
      </c>
      <c r="D21">
        <v>295</v>
      </c>
      <c r="E21">
        <v>240</v>
      </c>
      <c r="F21">
        <v>250</v>
      </c>
      <c r="G21">
        <v>320</v>
      </c>
      <c r="H21">
        <v>290</v>
      </c>
      <c r="I21">
        <v>242.5</v>
      </c>
      <c r="J21">
        <v>525</v>
      </c>
      <c r="K21">
        <v>377.5</v>
      </c>
      <c r="L21">
        <v>320</v>
      </c>
      <c r="M21">
        <v>270</v>
      </c>
      <c r="N21">
        <v>380</v>
      </c>
      <c r="O21">
        <v>587.5</v>
      </c>
      <c r="P21">
        <v>220</v>
      </c>
      <c r="Q21">
        <v>185</v>
      </c>
      <c r="R21">
        <v>200</v>
      </c>
      <c r="S21">
        <v>237.5</v>
      </c>
      <c r="T21">
        <v>210</v>
      </c>
      <c r="U21">
        <v>265</v>
      </c>
      <c r="V21">
        <v>265</v>
      </c>
      <c r="W21">
        <v>230</v>
      </c>
      <c r="X21">
        <v>250</v>
      </c>
      <c r="Y21">
        <v>325</v>
      </c>
      <c r="Z21">
        <v>345</v>
      </c>
      <c r="AA21">
        <v>200</v>
      </c>
      <c r="AB21">
        <v>220</v>
      </c>
      <c r="AC21">
        <v>245</v>
      </c>
      <c r="AD21">
        <v>220</v>
      </c>
      <c r="AE21">
        <v>340</v>
      </c>
      <c r="AF21">
        <v>180</v>
      </c>
      <c r="AG21">
        <v>230</v>
      </c>
      <c r="AH21">
        <v>170</v>
      </c>
      <c r="AI21">
        <v>160</v>
      </c>
      <c r="AJ21">
        <v>180</v>
      </c>
      <c r="AK21">
        <v>169</v>
      </c>
      <c r="AL21">
        <v>180</v>
      </c>
      <c r="AM21">
        <v>175</v>
      </c>
      <c r="AN21">
        <v>175</v>
      </c>
      <c r="AO21">
        <v>185</v>
      </c>
      <c r="AP21">
        <v>240</v>
      </c>
      <c r="AQ21">
        <v>180</v>
      </c>
      <c r="AR21">
        <v>175</v>
      </c>
      <c r="AS21">
        <v>317.5</v>
      </c>
      <c r="AT21">
        <v>250</v>
      </c>
      <c r="AU21">
        <v>300</v>
      </c>
      <c r="AV21">
        <v>155</v>
      </c>
      <c r="AW21">
        <v>160</v>
      </c>
      <c r="AX21">
        <v>155</v>
      </c>
      <c r="AY21">
        <v>140</v>
      </c>
      <c r="AZ21">
        <v>170</v>
      </c>
      <c r="BA21">
        <v>150</v>
      </c>
      <c r="BB21">
        <v>150</v>
      </c>
      <c r="BC21">
        <v>160</v>
      </c>
      <c r="BD21">
        <v>145</v>
      </c>
      <c r="BE21">
        <v>165</v>
      </c>
      <c r="BF21">
        <v>170</v>
      </c>
      <c r="BG21">
        <v>150</v>
      </c>
      <c r="BH21">
        <v>170</v>
      </c>
    </row>
    <row r="22" spans="2:60" x14ac:dyDescent="0.25">
      <c r="B22" s="2">
        <v>34759</v>
      </c>
      <c r="C22">
        <v>190</v>
      </c>
      <c r="D22">
        <v>300</v>
      </c>
      <c r="E22">
        <v>250</v>
      </c>
      <c r="F22">
        <v>262.5</v>
      </c>
      <c r="G22">
        <v>350</v>
      </c>
      <c r="H22">
        <v>290</v>
      </c>
      <c r="I22">
        <v>240</v>
      </c>
      <c r="J22">
        <v>510</v>
      </c>
      <c r="K22">
        <v>400</v>
      </c>
      <c r="L22">
        <v>310</v>
      </c>
      <c r="M22">
        <v>320</v>
      </c>
      <c r="N22">
        <v>487.5</v>
      </c>
      <c r="O22">
        <v>550</v>
      </c>
      <c r="P22">
        <v>230</v>
      </c>
      <c r="Q22">
        <v>180</v>
      </c>
      <c r="R22">
        <v>210</v>
      </c>
      <c r="S22">
        <v>240</v>
      </c>
      <c r="T22">
        <v>220</v>
      </c>
      <c r="U22">
        <v>260</v>
      </c>
      <c r="V22">
        <v>397.5</v>
      </c>
      <c r="W22">
        <v>230</v>
      </c>
      <c r="X22">
        <v>245</v>
      </c>
      <c r="Y22">
        <v>340</v>
      </c>
      <c r="Z22">
        <v>360</v>
      </c>
      <c r="AA22">
        <v>200</v>
      </c>
      <c r="AB22">
        <v>230</v>
      </c>
      <c r="AC22">
        <v>250</v>
      </c>
      <c r="AD22">
        <v>240</v>
      </c>
      <c r="AE22">
        <v>350</v>
      </c>
      <c r="AF22">
        <v>180</v>
      </c>
      <c r="AG22">
        <v>230</v>
      </c>
      <c r="AH22">
        <v>170</v>
      </c>
      <c r="AI22">
        <v>165</v>
      </c>
      <c r="AJ22">
        <v>180</v>
      </c>
      <c r="AK22">
        <v>170</v>
      </c>
      <c r="AL22">
        <v>180</v>
      </c>
      <c r="AM22">
        <v>180</v>
      </c>
      <c r="AN22">
        <v>175</v>
      </c>
      <c r="AO22">
        <v>185</v>
      </c>
      <c r="AP22">
        <v>245</v>
      </c>
      <c r="AQ22">
        <v>180</v>
      </c>
      <c r="AR22">
        <v>175</v>
      </c>
      <c r="AS22" t="s">
        <v>21</v>
      </c>
      <c r="AT22">
        <v>250</v>
      </c>
      <c r="AU22">
        <v>310</v>
      </c>
      <c r="AV22">
        <v>160</v>
      </c>
      <c r="AW22">
        <v>160</v>
      </c>
      <c r="AX22">
        <v>160</v>
      </c>
      <c r="AY22">
        <v>135</v>
      </c>
      <c r="AZ22">
        <v>175</v>
      </c>
      <c r="BA22">
        <v>150</v>
      </c>
      <c r="BB22">
        <v>150</v>
      </c>
      <c r="BC22">
        <v>160</v>
      </c>
      <c r="BD22">
        <v>150</v>
      </c>
      <c r="BE22">
        <v>170</v>
      </c>
      <c r="BF22">
        <v>170</v>
      </c>
      <c r="BG22">
        <v>150</v>
      </c>
      <c r="BH22">
        <v>165</v>
      </c>
    </row>
    <row r="23" spans="2:60" x14ac:dyDescent="0.25">
      <c r="B23" s="2">
        <v>34851</v>
      </c>
      <c r="C23">
        <v>190</v>
      </c>
      <c r="D23">
        <v>320</v>
      </c>
      <c r="E23">
        <v>260</v>
      </c>
      <c r="F23">
        <v>285</v>
      </c>
      <c r="G23">
        <v>370</v>
      </c>
      <c r="H23">
        <v>310</v>
      </c>
      <c r="I23">
        <v>250</v>
      </c>
      <c r="J23">
        <v>525</v>
      </c>
      <c r="K23">
        <v>420</v>
      </c>
      <c r="L23">
        <v>340</v>
      </c>
      <c r="M23">
        <v>305</v>
      </c>
      <c r="N23">
        <v>425</v>
      </c>
      <c r="O23">
        <v>575</v>
      </c>
      <c r="P23">
        <v>230</v>
      </c>
      <c r="Q23">
        <v>185</v>
      </c>
      <c r="R23">
        <v>200</v>
      </c>
      <c r="S23">
        <v>260</v>
      </c>
      <c r="T23">
        <v>220</v>
      </c>
      <c r="U23">
        <v>270</v>
      </c>
      <c r="V23">
        <v>375</v>
      </c>
      <c r="W23">
        <v>230</v>
      </c>
      <c r="X23">
        <v>250</v>
      </c>
      <c r="Y23">
        <v>350</v>
      </c>
      <c r="Z23">
        <v>335</v>
      </c>
      <c r="AA23">
        <v>200</v>
      </c>
      <c r="AB23">
        <v>250</v>
      </c>
      <c r="AC23">
        <v>250</v>
      </c>
      <c r="AD23">
        <v>242.5</v>
      </c>
      <c r="AE23">
        <v>360</v>
      </c>
      <c r="AF23">
        <v>180</v>
      </c>
      <c r="AG23">
        <v>240</v>
      </c>
      <c r="AH23">
        <v>170</v>
      </c>
      <c r="AI23">
        <v>160</v>
      </c>
      <c r="AJ23">
        <v>180</v>
      </c>
      <c r="AK23">
        <v>170</v>
      </c>
      <c r="AL23">
        <v>180</v>
      </c>
      <c r="AM23">
        <v>180</v>
      </c>
      <c r="AN23">
        <v>175</v>
      </c>
      <c r="AO23">
        <v>190</v>
      </c>
      <c r="AP23">
        <v>250</v>
      </c>
      <c r="AQ23">
        <v>180</v>
      </c>
      <c r="AR23">
        <v>175</v>
      </c>
      <c r="AS23" t="s">
        <v>21</v>
      </c>
      <c r="AT23">
        <v>250</v>
      </c>
      <c r="AU23">
        <v>320</v>
      </c>
      <c r="AV23">
        <v>160</v>
      </c>
      <c r="AW23">
        <v>160</v>
      </c>
      <c r="AX23">
        <v>160</v>
      </c>
      <c r="AY23">
        <v>140</v>
      </c>
      <c r="AZ23">
        <v>177.5</v>
      </c>
      <c r="BA23">
        <v>155</v>
      </c>
      <c r="BB23">
        <v>150</v>
      </c>
      <c r="BC23">
        <v>155</v>
      </c>
      <c r="BD23">
        <v>150</v>
      </c>
      <c r="BE23">
        <v>170</v>
      </c>
      <c r="BF23">
        <v>175</v>
      </c>
      <c r="BG23">
        <v>150</v>
      </c>
      <c r="BH23">
        <v>170</v>
      </c>
    </row>
    <row r="24" spans="2:60" x14ac:dyDescent="0.25">
      <c r="B24" s="2">
        <v>34943</v>
      </c>
      <c r="C24">
        <v>190</v>
      </c>
      <c r="D24">
        <v>310</v>
      </c>
      <c r="E24">
        <v>272.5</v>
      </c>
      <c r="F24">
        <v>260</v>
      </c>
      <c r="G24">
        <v>350</v>
      </c>
      <c r="H24">
        <v>310</v>
      </c>
      <c r="I24">
        <v>257.5</v>
      </c>
      <c r="J24">
        <v>460</v>
      </c>
      <c r="K24">
        <v>375</v>
      </c>
      <c r="L24">
        <v>320</v>
      </c>
      <c r="M24">
        <v>320</v>
      </c>
      <c r="N24">
        <v>450</v>
      </c>
      <c r="O24">
        <v>637.5</v>
      </c>
      <c r="P24">
        <v>240</v>
      </c>
      <c r="Q24">
        <v>185</v>
      </c>
      <c r="R24">
        <v>210</v>
      </c>
      <c r="S24">
        <v>250</v>
      </c>
      <c r="T24">
        <v>220</v>
      </c>
      <c r="U24">
        <v>262.5</v>
      </c>
      <c r="V24">
        <v>350</v>
      </c>
      <c r="W24">
        <v>230</v>
      </c>
      <c r="X24">
        <v>250</v>
      </c>
      <c r="Y24">
        <v>340</v>
      </c>
      <c r="Z24">
        <v>350</v>
      </c>
      <c r="AA24">
        <v>200</v>
      </c>
      <c r="AB24">
        <v>250</v>
      </c>
      <c r="AC24">
        <v>265</v>
      </c>
      <c r="AD24">
        <v>265</v>
      </c>
      <c r="AE24">
        <v>360</v>
      </c>
      <c r="AF24">
        <v>180</v>
      </c>
      <c r="AG24">
        <v>240</v>
      </c>
      <c r="AH24">
        <v>170</v>
      </c>
      <c r="AI24">
        <v>160</v>
      </c>
      <c r="AJ24">
        <v>180</v>
      </c>
      <c r="AK24">
        <v>170</v>
      </c>
      <c r="AL24">
        <v>180</v>
      </c>
      <c r="AM24">
        <v>180</v>
      </c>
      <c r="AN24">
        <v>180</v>
      </c>
      <c r="AO24">
        <v>195</v>
      </c>
      <c r="AP24">
        <v>250</v>
      </c>
      <c r="AQ24">
        <v>180</v>
      </c>
      <c r="AR24">
        <v>175</v>
      </c>
      <c r="AS24">
        <v>330</v>
      </c>
      <c r="AT24">
        <v>260</v>
      </c>
      <c r="AU24">
        <v>320</v>
      </c>
      <c r="AV24">
        <v>160</v>
      </c>
      <c r="AW24">
        <v>160</v>
      </c>
      <c r="AX24">
        <v>160</v>
      </c>
      <c r="AY24">
        <v>135</v>
      </c>
      <c r="AZ24">
        <v>180</v>
      </c>
      <c r="BA24">
        <v>155</v>
      </c>
      <c r="BB24">
        <v>150</v>
      </c>
      <c r="BC24">
        <v>160</v>
      </c>
      <c r="BD24">
        <v>150</v>
      </c>
      <c r="BE24">
        <v>170</v>
      </c>
      <c r="BF24">
        <v>175</v>
      </c>
      <c r="BG24">
        <v>150</v>
      </c>
      <c r="BH24">
        <v>170</v>
      </c>
    </row>
    <row r="25" spans="2:60" x14ac:dyDescent="0.25">
      <c r="B25" s="2">
        <v>35034</v>
      </c>
      <c r="C25">
        <v>190</v>
      </c>
      <c r="D25">
        <v>320</v>
      </c>
      <c r="E25">
        <v>265</v>
      </c>
      <c r="F25">
        <v>280</v>
      </c>
      <c r="G25">
        <v>350</v>
      </c>
      <c r="H25">
        <v>325</v>
      </c>
      <c r="I25">
        <v>250</v>
      </c>
      <c r="J25">
        <v>550</v>
      </c>
      <c r="K25">
        <v>392.5</v>
      </c>
      <c r="L25">
        <v>330</v>
      </c>
      <c r="M25">
        <v>297.5</v>
      </c>
      <c r="N25">
        <v>440</v>
      </c>
      <c r="O25">
        <v>550</v>
      </c>
      <c r="P25">
        <v>240</v>
      </c>
      <c r="Q25">
        <v>190</v>
      </c>
      <c r="R25">
        <v>210</v>
      </c>
      <c r="S25">
        <v>235</v>
      </c>
      <c r="T25">
        <v>230</v>
      </c>
      <c r="U25">
        <v>270</v>
      </c>
      <c r="V25">
        <v>300</v>
      </c>
      <c r="W25">
        <v>240</v>
      </c>
      <c r="X25">
        <v>250</v>
      </c>
      <c r="Y25">
        <v>360</v>
      </c>
      <c r="Z25">
        <v>350</v>
      </c>
      <c r="AA25">
        <v>210</v>
      </c>
      <c r="AB25">
        <v>250</v>
      </c>
      <c r="AC25">
        <v>260</v>
      </c>
      <c r="AD25">
        <v>245</v>
      </c>
      <c r="AE25">
        <v>355</v>
      </c>
      <c r="AF25">
        <v>180</v>
      </c>
      <c r="AG25">
        <v>240</v>
      </c>
      <c r="AH25">
        <v>175</v>
      </c>
      <c r="AI25">
        <v>165</v>
      </c>
      <c r="AJ25">
        <v>185</v>
      </c>
      <c r="AK25">
        <v>170</v>
      </c>
      <c r="AL25">
        <v>180</v>
      </c>
      <c r="AM25">
        <v>180</v>
      </c>
      <c r="AN25">
        <v>175</v>
      </c>
      <c r="AO25">
        <v>190</v>
      </c>
      <c r="AP25">
        <v>250</v>
      </c>
      <c r="AQ25">
        <v>180</v>
      </c>
      <c r="AR25">
        <v>175</v>
      </c>
      <c r="AS25">
        <v>330</v>
      </c>
      <c r="AT25">
        <v>260</v>
      </c>
      <c r="AU25">
        <v>320</v>
      </c>
      <c r="AV25">
        <v>160</v>
      </c>
      <c r="AW25">
        <v>160</v>
      </c>
      <c r="AX25">
        <v>155</v>
      </c>
      <c r="AY25">
        <v>135</v>
      </c>
      <c r="AZ25">
        <v>175</v>
      </c>
      <c r="BA25">
        <v>155</v>
      </c>
      <c r="BB25">
        <v>150</v>
      </c>
      <c r="BC25">
        <v>155</v>
      </c>
      <c r="BD25">
        <v>150</v>
      </c>
      <c r="BE25">
        <v>170</v>
      </c>
      <c r="BF25">
        <v>175</v>
      </c>
      <c r="BG25">
        <v>150</v>
      </c>
      <c r="BH25">
        <v>170</v>
      </c>
    </row>
    <row r="26" spans="2:60" x14ac:dyDescent="0.25">
      <c r="B26" s="2">
        <v>35125</v>
      </c>
      <c r="C26">
        <v>200</v>
      </c>
      <c r="D26">
        <v>330</v>
      </c>
      <c r="E26">
        <v>275</v>
      </c>
      <c r="F26">
        <v>280</v>
      </c>
      <c r="G26">
        <v>350</v>
      </c>
      <c r="H26">
        <v>325</v>
      </c>
      <c r="I26">
        <v>260</v>
      </c>
      <c r="J26">
        <v>512.5</v>
      </c>
      <c r="K26">
        <v>427.5</v>
      </c>
      <c r="L26">
        <v>350</v>
      </c>
      <c r="M26">
        <v>340</v>
      </c>
      <c r="N26">
        <v>450</v>
      </c>
      <c r="O26">
        <v>510</v>
      </c>
      <c r="P26">
        <v>245</v>
      </c>
      <c r="Q26">
        <v>195</v>
      </c>
      <c r="R26">
        <v>210</v>
      </c>
      <c r="S26">
        <v>255</v>
      </c>
      <c r="T26">
        <v>222.5</v>
      </c>
      <c r="U26">
        <v>280</v>
      </c>
      <c r="V26">
        <v>350</v>
      </c>
      <c r="W26">
        <v>240</v>
      </c>
      <c r="X26">
        <v>280</v>
      </c>
      <c r="Y26">
        <v>355</v>
      </c>
      <c r="Z26">
        <v>400</v>
      </c>
      <c r="AA26">
        <v>210</v>
      </c>
      <c r="AB26">
        <v>250</v>
      </c>
      <c r="AC26">
        <v>270</v>
      </c>
      <c r="AD26">
        <v>280</v>
      </c>
      <c r="AE26">
        <v>380</v>
      </c>
      <c r="AF26">
        <v>180</v>
      </c>
      <c r="AG26">
        <v>250</v>
      </c>
      <c r="AH26">
        <v>175</v>
      </c>
      <c r="AI26">
        <v>165</v>
      </c>
      <c r="AJ26">
        <v>185</v>
      </c>
      <c r="AK26">
        <v>170</v>
      </c>
      <c r="AL26">
        <v>185</v>
      </c>
      <c r="AM26">
        <v>185</v>
      </c>
      <c r="AN26">
        <v>175</v>
      </c>
      <c r="AO26">
        <v>200</v>
      </c>
      <c r="AP26">
        <v>260</v>
      </c>
      <c r="AQ26">
        <v>185</v>
      </c>
      <c r="AR26">
        <v>175</v>
      </c>
      <c r="AS26">
        <v>350</v>
      </c>
      <c r="AT26">
        <v>260</v>
      </c>
      <c r="AU26">
        <v>320</v>
      </c>
      <c r="AV26">
        <v>160</v>
      </c>
      <c r="AW26">
        <v>160</v>
      </c>
      <c r="AX26">
        <v>160</v>
      </c>
      <c r="AY26">
        <v>135</v>
      </c>
      <c r="AZ26">
        <v>180</v>
      </c>
      <c r="BA26">
        <v>155</v>
      </c>
      <c r="BB26">
        <v>150</v>
      </c>
      <c r="BC26">
        <v>160</v>
      </c>
      <c r="BD26">
        <v>150</v>
      </c>
      <c r="BE26">
        <v>170</v>
      </c>
      <c r="BF26">
        <v>180</v>
      </c>
      <c r="BG26">
        <v>150</v>
      </c>
      <c r="BH26">
        <v>170</v>
      </c>
    </row>
    <row r="27" spans="2:60" x14ac:dyDescent="0.25">
      <c r="B27" s="2">
        <v>35217</v>
      </c>
      <c r="C27">
        <v>195</v>
      </c>
      <c r="D27">
        <v>320</v>
      </c>
      <c r="E27">
        <v>270</v>
      </c>
      <c r="F27">
        <v>290</v>
      </c>
      <c r="G27">
        <v>355</v>
      </c>
      <c r="H27">
        <v>310</v>
      </c>
      <c r="I27">
        <v>255</v>
      </c>
      <c r="J27">
        <v>500</v>
      </c>
      <c r="K27">
        <v>450</v>
      </c>
      <c r="L27">
        <v>340</v>
      </c>
      <c r="M27">
        <v>350</v>
      </c>
      <c r="N27">
        <v>500</v>
      </c>
      <c r="O27">
        <v>460</v>
      </c>
      <c r="P27">
        <v>240</v>
      </c>
      <c r="Q27">
        <v>200</v>
      </c>
      <c r="R27">
        <v>220</v>
      </c>
      <c r="S27">
        <v>260</v>
      </c>
      <c r="T27">
        <v>225</v>
      </c>
      <c r="U27">
        <v>280</v>
      </c>
      <c r="V27">
        <v>450</v>
      </c>
      <c r="W27">
        <v>240</v>
      </c>
      <c r="X27">
        <v>260</v>
      </c>
      <c r="Y27">
        <v>360</v>
      </c>
      <c r="Z27">
        <v>362.5</v>
      </c>
      <c r="AA27">
        <v>210</v>
      </c>
      <c r="AB27">
        <v>250</v>
      </c>
      <c r="AC27">
        <v>270</v>
      </c>
      <c r="AD27">
        <v>270</v>
      </c>
      <c r="AE27">
        <v>360</v>
      </c>
      <c r="AF27">
        <v>180</v>
      </c>
      <c r="AG27">
        <v>250</v>
      </c>
      <c r="AH27">
        <v>175</v>
      </c>
      <c r="AI27">
        <v>165</v>
      </c>
      <c r="AJ27">
        <v>185</v>
      </c>
      <c r="AK27">
        <v>175</v>
      </c>
      <c r="AL27">
        <v>180</v>
      </c>
      <c r="AM27">
        <v>180</v>
      </c>
      <c r="AN27">
        <v>180</v>
      </c>
      <c r="AO27">
        <v>200</v>
      </c>
      <c r="AP27">
        <v>260</v>
      </c>
      <c r="AQ27">
        <v>190</v>
      </c>
      <c r="AR27">
        <v>175</v>
      </c>
      <c r="AS27">
        <v>332.5</v>
      </c>
      <c r="AT27">
        <v>265</v>
      </c>
      <c r="AU27">
        <v>330</v>
      </c>
      <c r="AV27">
        <v>165</v>
      </c>
      <c r="AW27">
        <v>160</v>
      </c>
      <c r="AX27">
        <v>160</v>
      </c>
      <c r="AY27">
        <v>140</v>
      </c>
      <c r="AZ27">
        <v>180</v>
      </c>
      <c r="BA27">
        <v>160</v>
      </c>
      <c r="BB27">
        <v>150</v>
      </c>
      <c r="BC27">
        <v>160</v>
      </c>
      <c r="BD27">
        <v>150</v>
      </c>
      <c r="BE27">
        <v>175</v>
      </c>
      <c r="BF27">
        <v>180</v>
      </c>
      <c r="BG27">
        <v>150</v>
      </c>
      <c r="BH27">
        <v>170</v>
      </c>
    </row>
    <row r="28" spans="2:60" x14ac:dyDescent="0.25">
      <c r="B28" s="2">
        <v>35309</v>
      </c>
      <c r="C28">
        <v>200</v>
      </c>
      <c r="D28">
        <v>340</v>
      </c>
      <c r="E28">
        <v>280</v>
      </c>
      <c r="F28">
        <v>280</v>
      </c>
      <c r="G28">
        <v>360</v>
      </c>
      <c r="H28">
        <v>320</v>
      </c>
      <c r="I28">
        <v>270</v>
      </c>
      <c r="J28">
        <v>510</v>
      </c>
      <c r="K28">
        <v>450</v>
      </c>
      <c r="L28">
        <v>350</v>
      </c>
      <c r="M28">
        <v>300</v>
      </c>
      <c r="N28">
        <v>440</v>
      </c>
      <c r="O28">
        <v>715</v>
      </c>
      <c r="P28">
        <v>245</v>
      </c>
      <c r="Q28">
        <v>205</v>
      </c>
      <c r="R28">
        <v>210</v>
      </c>
      <c r="S28">
        <v>260</v>
      </c>
      <c r="T28">
        <v>230</v>
      </c>
      <c r="U28">
        <v>300</v>
      </c>
      <c r="V28">
        <v>320</v>
      </c>
      <c r="W28">
        <v>250</v>
      </c>
      <c r="X28">
        <v>255</v>
      </c>
      <c r="Y28">
        <v>350</v>
      </c>
      <c r="Z28">
        <v>367.5</v>
      </c>
      <c r="AA28">
        <v>220</v>
      </c>
      <c r="AB28">
        <v>250</v>
      </c>
      <c r="AC28">
        <v>275</v>
      </c>
      <c r="AD28">
        <v>260</v>
      </c>
      <c r="AE28">
        <v>380</v>
      </c>
      <c r="AF28">
        <v>185</v>
      </c>
      <c r="AG28">
        <v>250</v>
      </c>
      <c r="AH28">
        <v>180</v>
      </c>
      <c r="AI28">
        <v>170</v>
      </c>
      <c r="AJ28">
        <v>185</v>
      </c>
      <c r="AK28">
        <v>175</v>
      </c>
      <c r="AL28">
        <v>190</v>
      </c>
      <c r="AM28">
        <v>180</v>
      </c>
      <c r="AN28">
        <v>175</v>
      </c>
      <c r="AO28">
        <v>200</v>
      </c>
      <c r="AP28">
        <v>267.5</v>
      </c>
      <c r="AQ28">
        <v>190</v>
      </c>
      <c r="AR28">
        <v>180</v>
      </c>
      <c r="AS28">
        <v>340</v>
      </c>
      <c r="AT28">
        <v>257.5</v>
      </c>
      <c r="AU28">
        <v>330</v>
      </c>
      <c r="AV28">
        <v>160</v>
      </c>
      <c r="AW28">
        <v>165</v>
      </c>
      <c r="AX28">
        <v>160</v>
      </c>
      <c r="AY28">
        <v>140</v>
      </c>
      <c r="AZ28">
        <v>180</v>
      </c>
      <c r="BA28">
        <v>160</v>
      </c>
      <c r="BB28">
        <v>150</v>
      </c>
      <c r="BC28">
        <v>160</v>
      </c>
      <c r="BD28">
        <v>150</v>
      </c>
      <c r="BE28">
        <v>170</v>
      </c>
      <c r="BF28">
        <v>180</v>
      </c>
      <c r="BG28">
        <v>150</v>
      </c>
      <c r="BH28">
        <v>170</v>
      </c>
    </row>
    <row r="29" spans="2:60" x14ac:dyDescent="0.25">
      <c r="B29" s="2">
        <v>35400</v>
      </c>
      <c r="C29">
        <v>200</v>
      </c>
      <c r="D29">
        <v>340</v>
      </c>
      <c r="E29">
        <v>290</v>
      </c>
      <c r="F29">
        <v>280</v>
      </c>
      <c r="G29">
        <v>355</v>
      </c>
      <c r="H29">
        <v>330</v>
      </c>
      <c r="I29">
        <v>265</v>
      </c>
      <c r="J29">
        <v>495</v>
      </c>
      <c r="K29">
        <v>430</v>
      </c>
      <c r="L29">
        <v>360</v>
      </c>
      <c r="M29">
        <v>340</v>
      </c>
      <c r="N29">
        <v>480</v>
      </c>
      <c r="O29">
        <v>700</v>
      </c>
      <c r="P29">
        <v>250</v>
      </c>
      <c r="Q29">
        <v>200</v>
      </c>
      <c r="R29">
        <v>220</v>
      </c>
      <c r="S29">
        <v>260</v>
      </c>
      <c r="T29">
        <v>230</v>
      </c>
      <c r="U29">
        <v>285</v>
      </c>
      <c r="V29">
        <v>400</v>
      </c>
      <c r="W29">
        <v>245</v>
      </c>
      <c r="X29">
        <v>280</v>
      </c>
      <c r="Y29">
        <v>370</v>
      </c>
      <c r="Z29">
        <v>392.5</v>
      </c>
      <c r="AA29">
        <v>220</v>
      </c>
      <c r="AB29">
        <v>250</v>
      </c>
      <c r="AC29">
        <v>280</v>
      </c>
      <c r="AD29">
        <v>290</v>
      </c>
      <c r="AE29">
        <v>380</v>
      </c>
      <c r="AF29">
        <v>185</v>
      </c>
      <c r="AG29">
        <v>250</v>
      </c>
      <c r="AH29">
        <v>180</v>
      </c>
      <c r="AI29">
        <v>170</v>
      </c>
      <c r="AJ29">
        <v>185</v>
      </c>
      <c r="AK29">
        <v>175</v>
      </c>
      <c r="AL29">
        <v>185</v>
      </c>
      <c r="AM29">
        <v>185</v>
      </c>
      <c r="AN29">
        <v>180</v>
      </c>
      <c r="AO29">
        <v>200</v>
      </c>
      <c r="AP29">
        <v>260</v>
      </c>
      <c r="AQ29">
        <v>190</v>
      </c>
      <c r="AR29">
        <v>177.5</v>
      </c>
      <c r="AS29">
        <v>350</v>
      </c>
      <c r="AT29">
        <v>270</v>
      </c>
      <c r="AU29">
        <v>340</v>
      </c>
      <c r="AV29">
        <v>165</v>
      </c>
      <c r="AW29">
        <v>160</v>
      </c>
      <c r="AX29">
        <v>160</v>
      </c>
      <c r="AY29">
        <v>135</v>
      </c>
      <c r="AZ29">
        <v>182.5</v>
      </c>
      <c r="BA29">
        <v>160</v>
      </c>
      <c r="BB29">
        <v>150</v>
      </c>
      <c r="BC29">
        <v>160</v>
      </c>
      <c r="BD29">
        <v>150</v>
      </c>
      <c r="BE29">
        <v>170</v>
      </c>
      <c r="BF29">
        <v>180</v>
      </c>
      <c r="BG29">
        <v>150</v>
      </c>
      <c r="BH29">
        <v>170</v>
      </c>
    </row>
    <row r="30" spans="2:60" x14ac:dyDescent="0.25">
      <c r="B30" s="2">
        <v>35490</v>
      </c>
      <c r="C30">
        <v>200</v>
      </c>
      <c r="D30">
        <v>350</v>
      </c>
      <c r="E30">
        <v>287.5</v>
      </c>
      <c r="F30">
        <v>282.5</v>
      </c>
      <c r="G30">
        <v>375</v>
      </c>
      <c r="H30">
        <v>350</v>
      </c>
      <c r="I30">
        <v>280</v>
      </c>
      <c r="J30">
        <v>537.5</v>
      </c>
      <c r="K30">
        <v>520</v>
      </c>
      <c r="L30">
        <v>360</v>
      </c>
      <c r="M30">
        <v>330</v>
      </c>
      <c r="N30">
        <v>487.5</v>
      </c>
      <c r="O30">
        <v>630</v>
      </c>
      <c r="P30">
        <v>250</v>
      </c>
      <c r="Q30">
        <v>200</v>
      </c>
      <c r="R30">
        <v>220</v>
      </c>
      <c r="S30">
        <v>290</v>
      </c>
      <c r="T30">
        <v>240</v>
      </c>
      <c r="U30">
        <v>300</v>
      </c>
      <c r="V30">
        <v>390</v>
      </c>
      <c r="W30">
        <v>240</v>
      </c>
      <c r="X30">
        <v>270</v>
      </c>
      <c r="Y30">
        <v>360</v>
      </c>
      <c r="Z30">
        <v>430</v>
      </c>
      <c r="AA30">
        <v>220</v>
      </c>
      <c r="AB30">
        <v>257.5</v>
      </c>
      <c r="AC30">
        <v>280</v>
      </c>
      <c r="AD30">
        <v>285</v>
      </c>
      <c r="AE30">
        <v>400</v>
      </c>
      <c r="AF30">
        <v>185</v>
      </c>
      <c r="AG30">
        <v>250</v>
      </c>
      <c r="AH30">
        <v>180</v>
      </c>
      <c r="AI30">
        <v>165</v>
      </c>
      <c r="AJ30">
        <v>190</v>
      </c>
      <c r="AK30">
        <v>175</v>
      </c>
      <c r="AL30">
        <v>185</v>
      </c>
      <c r="AM30">
        <v>187.5</v>
      </c>
      <c r="AN30">
        <v>180</v>
      </c>
      <c r="AO30">
        <v>200</v>
      </c>
      <c r="AP30">
        <v>270</v>
      </c>
      <c r="AQ30">
        <v>190</v>
      </c>
      <c r="AR30">
        <v>180</v>
      </c>
      <c r="AS30">
        <v>350</v>
      </c>
      <c r="AT30">
        <v>270</v>
      </c>
      <c r="AU30">
        <v>350</v>
      </c>
      <c r="AV30">
        <v>165</v>
      </c>
      <c r="AW30">
        <v>165</v>
      </c>
      <c r="AX30">
        <v>160</v>
      </c>
      <c r="AY30">
        <v>135</v>
      </c>
      <c r="AZ30">
        <v>180</v>
      </c>
      <c r="BA30">
        <v>160</v>
      </c>
      <c r="BB30">
        <v>150</v>
      </c>
      <c r="BC30">
        <v>160</v>
      </c>
      <c r="BD30">
        <v>150</v>
      </c>
      <c r="BE30">
        <v>172.5</v>
      </c>
      <c r="BF30">
        <v>180</v>
      </c>
      <c r="BG30">
        <v>150</v>
      </c>
      <c r="BH30">
        <v>175</v>
      </c>
    </row>
    <row r="31" spans="2:60" x14ac:dyDescent="0.25">
      <c r="B31" s="2">
        <v>35582</v>
      </c>
      <c r="C31">
        <v>200</v>
      </c>
      <c r="D31">
        <v>350</v>
      </c>
      <c r="E31">
        <v>300</v>
      </c>
      <c r="F31">
        <v>300</v>
      </c>
      <c r="G31">
        <v>375</v>
      </c>
      <c r="H31">
        <v>360</v>
      </c>
      <c r="I31">
        <v>275</v>
      </c>
      <c r="J31">
        <v>520</v>
      </c>
      <c r="K31">
        <v>450</v>
      </c>
      <c r="L31">
        <v>372.5</v>
      </c>
      <c r="M31">
        <v>360</v>
      </c>
      <c r="N31">
        <v>420</v>
      </c>
      <c r="O31">
        <v>587.5</v>
      </c>
      <c r="P31">
        <v>250</v>
      </c>
      <c r="Q31">
        <v>200</v>
      </c>
      <c r="R31">
        <v>220</v>
      </c>
      <c r="S31">
        <v>280</v>
      </c>
      <c r="T31">
        <v>232.5</v>
      </c>
      <c r="U31">
        <v>300</v>
      </c>
      <c r="V31">
        <v>390</v>
      </c>
      <c r="W31">
        <v>247.5</v>
      </c>
      <c r="X31">
        <v>282.5</v>
      </c>
      <c r="Y31">
        <v>380</v>
      </c>
      <c r="Z31">
        <v>415</v>
      </c>
      <c r="AA31">
        <v>220</v>
      </c>
      <c r="AB31">
        <v>260</v>
      </c>
      <c r="AC31">
        <v>285</v>
      </c>
      <c r="AD31">
        <v>270</v>
      </c>
      <c r="AE31">
        <v>397.5</v>
      </c>
      <c r="AF31">
        <v>185</v>
      </c>
      <c r="AG31">
        <v>252.5</v>
      </c>
      <c r="AH31">
        <v>180</v>
      </c>
      <c r="AI31">
        <v>170</v>
      </c>
      <c r="AJ31">
        <v>190</v>
      </c>
      <c r="AK31">
        <v>175</v>
      </c>
      <c r="AL31">
        <v>185</v>
      </c>
      <c r="AM31">
        <v>190</v>
      </c>
      <c r="AN31">
        <v>180</v>
      </c>
      <c r="AO31">
        <v>200</v>
      </c>
      <c r="AP31">
        <v>270</v>
      </c>
      <c r="AQ31">
        <v>195</v>
      </c>
      <c r="AR31">
        <v>180</v>
      </c>
      <c r="AS31">
        <v>360</v>
      </c>
      <c r="AT31">
        <v>270</v>
      </c>
      <c r="AU31">
        <v>350</v>
      </c>
      <c r="AV31">
        <v>165</v>
      </c>
      <c r="AW31">
        <v>165</v>
      </c>
      <c r="AX31">
        <v>160</v>
      </c>
      <c r="AY31">
        <v>135</v>
      </c>
      <c r="AZ31">
        <v>180</v>
      </c>
      <c r="BA31">
        <v>160</v>
      </c>
      <c r="BB31">
        <v>150</v>
      </c>
      <c r="BC31">
        <v>160</v>
      </c>
      <c r="BD31">
        <v>150</v>
      </c>
      <c r="BE31">
        <v>175</v>
      </c>
      <c r="BF31">
        <v>180</v>
      </c>
      <c r="BG31">
        <v>150</v>
      </c>
      <c r="BH31">
        <v>175</v>
      </c>
    </row>
    <row r="32" spans="2:60" x14ac:dyDescent="0.25">
      <c r="B32" s="2">
        <v>35674</v>
      </c>
      <c r="C32">
        <v>200</v>
      </c>
      <c r="D32">
        <v>350</v>
      </c>
      <c r="E32">
        <v>290</v>
      </c>
      <c r="F32">
        <v>315</v>
      </c>
      <c r="G32">
        <v>402.5</v>
      </c>
      <c r="H32">
        <v>350</v>
      </c>
      <c r="I32">
        <v>285</v>
      </c>
      <c r="J32">
        <v>525</v>
      </c>
      <c r="K32">
        <v>480</v>
      </c>
      <c r="L32">
        <v>360</v>
      </c>
      <c r="M32">
        <v>350</v>
      </c>
      <c r="N32">
        <v>455</v>
      </c>
      <c r="O32">
        <v>590</v>
      </c>
      <c r="P32">
        <v>250</v>
      </c>
      <c r="Q32">
        <v>210</v>
      </c>
      <c r="R32">
        <v>220</v>
      </c>
      <c r="S32">
        <v>290</v>
      </c>
      <c r="T32">
        <v>240</v>
      </c>
      <c r="U32">
        <v>300</v>
      </c>
      <c r="V32">
        <v>350</v>
      </c>
      <c r="W32">
        <v>262.5</v>
      </c>
      <c r="X32">
        <v>285</v>
      </c>
      <c r="Y32">
        <v>380</v>
      </c>
      <c r="Z32">
        <v>390</v>
      </c>
      <c r="AA32">
        <v>220</v>
      </c>
      <c r="AB32">
        <v>260</v>
      </c>
      <c r="AC32">
        <v>290</v>
      </c>
      <c r="AD32">
        <v>270</v>
      </c>
      <c r="AE32">
        <v>400</v>
      </c>
      <c r="AF32">
        <v>185</v>
      </c>
      <c r="AG32">
        <v>255</v>
      </c>
      <c r="AH32">
        <v>180</v>
      </c>
      <c r="AI32">
        <v>170</v>
      </c>
      <c r="AJ32">
        <v>190</v>
      </c>
      <c r="AK32">
        <v>175</v>
      </c>
      <c r="AL32">
        <v>190</v>
      </c>
      <c r="AM32">
        <v>190</v>
      </c>
      <c r="AN32">
        <v>180</v>
      </c>
      <c r="AO32">
        <v>210</v>
      </c>
      <c r="AP32">
        <v>272.5</v>
      </c>
      <c r="AQ32">
        <v>200</v>
      </c>
      <c r="AR32">
        <v>180</v>
      </c>
      <c r="AS32">
        <v>360</v>
      </c>
      <c r="AT32">
        <v>275</v>
      </c>
      <c r="AU32">
        <v>350</v>
      </c>
      <c r="AV32">
        <v>165</v>
      </c>
      <c r="AW32">
        <v>165</v>
      </c>
      <c r="AX32">
        <v>160</v>
      </c>
      <c r="AY32">
        <v>140</v>
      </c>
      <c r="AZ32">
        <v>180</v>
      </c>
      <c r="BA32">
        <v>160</v>
      </c>
      <c r="BB32">
        <v>155</v>
      </c>
      <c r="BC32">
        <v>160</v>
      </c>
      <c r="BD32">
        <v>150</v>
      </c>
      <c r="BE32">
        <v>170</v>
      </c>
      <c r="BF32">
        <v>180</v>
      </c>
      <c r="BG32">
        <v>150</v>
      </c>
      <c r="BH32">
        <v>175</v>
      </c>
    </row>
    <row r="33" spans="1:60" x14ac:dyDescent="0.25">
      <c r="B33" s="2">
        <v>35765</v>
      </c>
      <c r="C33">
        <v>200</v>
      </c>
      <c r="D33">
        <v>350</v>
      </c>
      <c r="E33">
        <v>295</v>
      </c>
      <c r="F33">
        <v>300</v>
      </c>
      <c r="G33">
        <v>382.5</v>
      </c>
      <c r="H33">
        <v>350</v>
      </c>
      <c r="I33">
        <v>275</v>
      </c>
      <c r="J33">
        <v>600</v>
      </c>
      <c r="K33">
        <v>475</v>
      </c>
      <c r="L33">
        <v>360</v>
      </c>
      <c r="M33">
        <v>360</v>
      </c>
      <c r="N33">
        <v>500</v>
      </c>
      <c r="O33">
        <v>775</v>
      </c>
      <c r="P33">
        <v>255</v>
      </c>
      <c r="Q33">
        <v>220</v>
      </c>
      <c r="R33">
        <v>225</v>
      </c>
      <c r="S33">
        <v>280</v>
      </c>
      <c r="T33">
        <v>240</v>
      </c>
      <c r="U33">
        <v>300</v>
      </c>
      <c r="V33" t="s">
        <v>21</v>
      </c>
      <c r="W33">
        <v>255</v>
      </c>
      <c r="X33">
        <v>267.5</v>
      </c>
      <c r="Y33">
        <v>390</v>
      </c>
      <c r="Z33">
        <v>440</v>
      </c>
      <c r="AA33">
        <v>225</v>
      </c>
      <c r="AB33">
        <v>270</v>
      </c>
      <c r="AC33">
        <v>285</v>
      </c>
      <c r="AD33">
        <v>270</v>
      </c>
      <c r="AE33">
        <v>395</v>
      </c>
      <c r="AF33">
        <v>190</v>
      </c>
      <c r="AG33">
        <v>270</v>
      </c>
      <c r="AH33">
        <v>185</v>
      </c>
      <c r="AI33">
        <v>170</v>
      </c>
      <c r="AJ33">
        <v>200</v>
      </c>
      <c r="AK33">
        <v>180</v>
      </c>
      <c r="AL33">
        <v>190</v>
      </c>
      <c r="AM33">
        <v>190</v>
      </c>
      <c r="AN33">
        <v>180</v>
      </c>
      <c r="AO33">
        <v>200</v>
      </c>
      <c r="AP33">
        <v>280</v>
      </c>
      <c r="AQ33">
        <v>200</v>
      </c>
      <c r="AR33">
        <v>180</v>
      </c>
      <c r="AS33">
        <v>370</v>
      </c>
      <c r="AT33">
        <v>280</v>
      </c>
      <c r="AU33">
        <v>360</v>
      </c>
      <c r="AV33">
        <v>167.5</v>
      </c>
      <c r="AW33">
        <v>165</v>
      </c>
      <c r="AX33">
        <v>160</v>
      </c>
      <c r="AY33">
        <v>140</v>
      </c>
      <c r="AZ33">
        <v>180</v>
      </c>
      <c r="BA33">
        <v>160</v>
      </c>
      <c r="BB33">
        <v>160</v>
      </c>
      <c r="BC33">
        <v>165</v>
      </c>
      <c r="BD33">
        <v>150</v>
      </c>
      <c r="BE33">
        <v>170</v>
      </c>
      <c r="BF33">
        <v>180</v>
      </c>
      <c r="BG33">
        <v>150</v>
      </c>
      <c r="BH33">
        <v>175</v>
      </c>
    </row>
    <row r="34" spans="1:60" x14ac:dyDescent="0.25">
      <c r="B34" s="2">
        <v>35855</v>
      </c>
      <c r="C34">
        <v>210</v>
      </c>
      <c r="D34">
        <v>355</v>
      </c>
      <c r="E34">
        <v>300</v>
      </c>
      <c r="F34">
        <v>300</v>
      </c>
      <c r="G34">
        <v>380</v>
      </c>
      <c r="H34">
        <v>350</v>
      </c>
      <c r="I34">
        <v>300</v>
      </c>
      <c r="J34">
        <v>680</v>
      </c>
      <c r="K34">
        <v>450</v>
      </c>
      <c r="L34">
        <v>380</v>
      </c>
      <c r="M34">
        <v>360</v>
      </c>
      <c r="N34">
        <v>500</v>
      </c>
      <c r="O34">
        <v>700</v>
      </c>
      <c r="P34">
        <v>260</v>
      </c>
      <c r="Q34">
        <v>210</v>
      </c>
      <c r="R34">
        <v>230</v>
      </c>
      <c r="S34">
        <v>297.5</v>
      </c>
      <c r="T34">
        <v>247.5</v>
      </c>
      <c r="U34">
        <v>330</v>
      </c>
      <c r="V34">
        <v>387.5</v>
      </c>
      <c r="W34">
        <v>255</v>
      </c>
      <c r="X34">
        <v>282.5</v>
      </c>
      <c r="Y34">
        <v>405</v>
      </c>
      <c r="Z34">
        <v>450</v>
      </c>
      <c r="AA34">
        <v>220</v>
      </c>
      <c r="AB34">
        <v>270</v>
      </c>
      <c r="AC34">
        <v>300</v>
      </c>
      <c r="AD34">
        <v>310</v>
      </c>
      <c r="AE34">
        <v>420</v>
      </c>
      <c r="AF34">
        <v>190</v>
      </c>
      <c r="AG34">
        <v>270</v>
      </c>
      <c r="AH34">
        <v>180</v>
      </c>
      <c r="AI34">
        <v>170</v>
      </c>
      <c r="AJ34">
        <v>195</v>
      </c>
      <c r="AK34">
        <v>175</v>
      </c>
      <c r="AL34">
        <v>185</v>
      </c>
      <c r="AM34">
        <v>190</v>
      </c>
      <c r="AN34">
        <v>180</v>
      </c>
      <c r="AO34">
        <v>210</v>
      </c>
      <c r="AP34">
        <v>280</v>
      </c>
      <c r="AQ34">
        <v>200</v>
      </c>
      <c r="AR34">
        <v>185</v>
      </c>
      <c r="AS34">
        <v>367.5</v>
      </c>
      <c r="AT34">
        <v>280</v>
      </c>
      <c r="AU34">
        <v>355</v>
      </c>
      <c r="AV34">
        <v>170</v>
      </c>
      <c r="AW34">
        <v>170</v>
      </c>
      <c r="AX34">
        <v>165</v>
      </c>
      <c r="AY34">
        <v>140</v>
      </c>
      <c r="AZ34">
        <v>190</v>
      </c>
      <c r="BA34">
        <v>160</v>
      </c>
      <c r="BB34">
        <v>160</v>
      </c>
      <c r="BC34">
        <v>165</v>
      </c>
      <c r="BD34">
        <v>155</v>
      </c>
      <c r="BE34">
        <v>170</v>
      </c>
      <c r="BF34">
        <v>185</v>
      </c>
      <c r="BG34">
        <v>150</v>
      </c>
      <c r="BH34">
        <v>175</v>
      </c>
    </row>
    <row r="35" spans="1:60" x14ac:dyDescent="0.25">
      <c r="B35" s="2">
        <v>35947</v>
      </c>
      <c r="C35">
        <v>210</v>
      </c>
      <c r="D35">
        <v>370</v>
      </c>
      <c r="E35">
        <v>300</v>
      </c>
      <c r="F35">
        <v>320</v>
      </c>
      <c r="G35">
        <v>385</v>
      </c>
      <c r="H35">
        <v>397.5</v>
      </c>
      <c r="I35">
        <v>300</v>
      </c>
      <c r="J35">
        <v>512.5</v>
      </c>
      <c r="K35">
        <v>480</v>
      </c>
      <c r="L35">
        <v>385</v>
      </c>
      <c r="M35">
        <v>380</v>
      </c>
      <c r="N35">
        <v>485</v>
      </c>
      <c r="O35">
        <v>625</v>
      </c>
      <c r="P35">
        <v>260</v>
      </c>
      <c r="Q35">
        <v>220</v>
      </c>
      <c r="R35">
        <v>230</v>
      </c>
      <c r="S35">
        <v>287.5</v>
      </c>
      <c r="T35">
        <v>250</v>
      </c>
      <c r="U35">
        <v>315</v>
      </c>
      <c r="V35">
        <v>430</v>
      </c>
      <c r="W35">
        <v>260</v>
      </c>
      <c r="X35">
        <v>280</v>
      </c>
      <c r="Y35">
        <v>400</v>
      </c>
      <c r="Z35">
        <v>450</v>
      </c>
      <c r="AA35">
        <v>230</v>
      </c>
      <c r="AB35">
        <v>270</v>
      </c>
      <c r="AC35">
        <v>300</v>
      </c>
      <c r="AD35">
        <v>300</v>
      </c>
      <c r="AE35">
        <v>422.5</v>
      </c>
      <c r="AF35">
        <v>190</v>
      </c>
      <c r="AG35">
        <v>270</v>
      </c>
      <c r="AH35">
        <v>185</v>
      </c>
      <c r="AI35">
        <v>175</v>
      </c>
      <c r="AJ35">
        <v>200</v>
      </c>
      <c r="AK35">
        <v>180</v>
      </c>
      <c r="AL35">
        <v>190</v>
      </c>
      <c r="AM35">
        <v>200</v>
      </c>
      <c r="AN35">
        <v>185</v>
      </c>
      <c r="AO35">
        <v>210</v>
      </c>
      <c r="AP35">
        <v>280</v>
      </c>
      <c r="AQ35">
        <v>200</v>
      </c>
      <c r="AR35">
        <v>180</v>
      </c>
      <c r="AS35">
        <v>370</v>
      </c>
      <c r="AT35">
        <v>280</v>
      </c>
      <c r="AU35">
        <v>370</v>
      </c>
      <c r="AV35">
        <v>165</v>
      </c>
      <c r="AW35">
        <v>170</v>
      </c>
      <c r="AX35">
        <v>165</v>
      </c>
      <c r="AY35">
        <v>135</v>
      </c>
      <c r="AZ35">
        <v>195</v>
      </c>
      <c r="BA35">
        <v>165</v>
      </c>
      <c r="BB35">
        <v>160</v>
      </c>
      <c r="BC35">
        <v>165</v>
      </c>
      <c r="BD35">
        <v>155</v>
      </c>
      <c r="BE35">
        <v>170</v>
      </c>
      <c r="BF35">
        <v>180</v>
      </c>
      <c r="BG35">
        <v>150</v>
      </c>
      <c r="BH35">
        <v>175</v>
      </c>
    </row>
    <row r="36" spans="1:60" x14ac:dyDescent="0.25">
      <c r="B36" s="2">
        <v>36039</v>
      </c>
      <c r="C36">
        <v>210</v>
      </c>
      <c r="D36">
        <v>360</v>
      </c>
      <c r="E36">
        <v>300</v>
      </c>
      <c r="F36">
        <v>300</v>
      </c>
      <c r="G36">
        <v>395</v>
      </c>
      <c r="H36">
        <v>360</v>
      </c>
      <c r="I36">
        <v>300</v>
      </c>
      <c r="J36">
        <v>600</v>
      </c>
      <c r="K36">
        <v>500</v>
      </c>
      <c r="L36">
        <v>380</v>
      </c>
      <c r="M36">
        <v>360</v>
      </c>
      <c r="N36">
        <v>490</v>
      </c>
      <c r="O36">
        <v>680</v>
      </c>
      <c r="P36">
        <v>260</v>
      </c>
      <c r="Q36">
        <v>220</v>
      </c>
      <c r="R36">
        <v>225</v>
      </c>
      <c r="S36">
        <v>300</v>
      </c>
      <c r="T36">
        <v>250</v>
      </c>
      <c r="U36">
        <v>330</v>
      </c>
      <c r="V36">
        <v>450</v>
      </c>
      <c r="W36">
        <v>260</v>
      </c>
      <c r="X36">
        <v>280</v>
      </c>
      <c r="Y36">
        <v>400</v>
      </c>
      <c r="Z36">
        <v>495</v>
      </c>
      <c r="AA36">
        <v>225</v>
      </c>
      <c r="AB36">
        <v>280</v>
      </c>
      <c r="AC36">
        <v>300</v>
      </c>
      <c r="AD36">
        <v>320</v>
      </c>
      <c r="AE36">
        <v>450</v>
      </c>
      <c r="AF36">
        <v>190</v>
      </c>
      <c r="AG36">
        <v>270</v>
      </c>
      <c r="AH36">
        <v>185</v>
      </c>
      <c r="AI36">
        <v>180</v>
      </c>
      <c r="AJ36">
        <v>200</v>
      </c>
      <c r="AK36">
        <v>180</v>
      </c>
      <c r="AL36">
        <v>190</v>
      </c>
      <c r="AM36">
        <v>200</v>
      </c>
      <c r="AN36">
        <v>180</v>
      </c>
      <c r="AO36">
        <v>210</v>
      </c>
      <c r="AP36">
        <v>290</v>
      </c>
      <c r="AQ36">
        <v>205</v>
      </c>
      <c r="AR36">
        <v>185</v>
      </c>
      <c r="AS36">
        <v>360</v>
      </c>
      <c r="AT36">
        <v>280</v>
      </c>
      <c r="AU36">
        <v>360</v>
      </c>
      <c r="AV36">
        <v>165</v>
      </c>
      <c r="AW36">
        <v>170</v>
      </c>
      <c r="AX36">
        <v>165</v>
      </c>
      <c r="AY36">
        <v>140</v>
      </c>
      <c r="AZ36">
        <v>190</v>
      </c>
      <c r="BA36">
        <v>165</v>
      </c>
      <c r="BB36">
        <v>155</v>
      </c>
      <c r="BC36">
        <v>170</v>
      </c>
      <c r="BD36">
        <v>150</v>
      </c>
      <c r="BE36">
        <v>175</v>
      </c>
      <c r="BF36">
        <v>180</v>
      </c>
      <c r="BG36">
        <v>150</v>
      </c>
      <c r="BH36">
        <v>180</v>
      </c>
    </row>
    <row r="37" spans="1:60" x14ac:dyDescent="0.25">
      <c r="B37" s="2">
        <v>36130</v>
      </c>
      <c r="C37">
        <v>220</v>
      </c>
      <c r="D37">
        <v>360</v>
      </c>
      <c r="E37">
        <v>290</v>
      </c>
      <c r="F37">
        <v>300</v>
      </c>
      <c r="G37">
        <v>410</v>
      </c>
      <c r="H37">
        <v>360</v>
      </c>
      <c r="I37">
        <v>300</v>
      </c>
      <c r="J37">
        <v>582.5</v>
      </c>
      <c r="K37">
        <v>495</v>
      </c>
      <c r="L37">
        <v>380</v>
      </c>
      <c r="M37">
        <v>367.5</v>
      </c>
      <c r="N37">
        <v>500</v>
      </c>
      <c r="O37">
        <v>650</v>
      </c>
      <c r="P37">
        <v>265</v>
      </c>
      <c r="Q37">
        <v>220</v>
      </c>
      <c r="R37">
        <v>230</v>
      </c>
      <c r="S37">
        <v>305</v>
      </c>
      <c r="T37">
        <v>250</v>
      </c>
      <c r="U37">
        <v>310</v>
      </c>
      <c r="V37">
        <v>450</v>
      </c>
      <c r="W37">
        <v>260</v>
      </c>
      <c r="X37">
        <v>290</v>
      </c>
      <c r="Y37">
        <v>400</v>
      </c>
      <c r="Z37">
        <v>420</v>
      </c>
      <c r="AA37">
        <v>230</v>
      </c>
      <c r="AB37">
        <v>280</v>
      </c>
      <c r="AC37">
        <v>310</v>
      </c>
      <c r="AD37">
        <v>310</v>
      </c>
      <c r="AE37">
        <v>440</v>
      </c>
      <c r="AF37">
        <v>195</v>
      </c>
      <c r="AG37">
        <v>270</v>
      </c>
      <c r="AH37">
        <v>190</v>
      </c>
      <c r="AI37">
        <v>175</v>
      </c>
      <c r="AJ37">
        <v>210</v>
      </c>
      <c r="AK37">
        <v>180</v>
      </c>
      <c r="AL37">
        <v>190</v>
      </c>
      <c r="AM37">
        <v>200</v>
      </c>
      <c r="AN37">
        <v>185</v>
      </c>
      <c r="AO37">
        <v>220</v>
      </c>
      <c r="AP37">
        <v>290</v>
      </c>
      <c r="AQ37">
        <v>210</v>
      </c>
      <c r="AR37">
        <v>185</v>
      </c>
      <c r="AS37">
        <v>385</v>
      </c>
      <c r="AT37">
        <v>300</v>
      </c>
      <c r="AU37">
        <v>375</v>
      </c>
      <c r="AV37">
        <v>172.5</v>
      </c>
      <c r="AW37">
        <v>170</v>
      </c>
      <c r="AX37">
        <v>165</v>
      </c>
      <c r="AY37">
        <v>140</v>
      </c>
      <c r="AZ37">
        <v>190</v>
      </c>
      <c r="BA37">
        <v>165</v>
      </c>
      <c r="BB37">
        <v>160</v>
      </c>
      <c r="BC37">
        <v>170</v>
      </c>
      <c r="BD37">
        <v>155</v>
      </c>
      <c r="BE37">
        <v>175</v>
      </c>
      <c r="BF37">
        <v>180</v>
      </c>
      <c r="BG37">
        <v>150</v>
      </c>
      <c r="BH37">
        <v>180</v>
      </c>
    </row>
    <row r="38" spans="1:60" x14ac:dyDescent="0.25">
      <c r="B38" s="2">
        <v>36220</v>
      </c>
      <c r="C38">
        <v>215</v>
      </c>
      <c r="D38">
        <v>370</v>
      </c>
      <c r="E38">
        <v>322.5</v>
      </c>
      <c r="F38">
        <v>310</v>
      </c>
      <c r="G38">
        <v>427.5</v>
      </c>
      <c r="H38">
        <v>380</v>
      </c>
      <c r="I38">
        <v>300</v>
      </c>
      <c r="J38">
        <v>650</v>
      </c>
      <c r="K38">
        <v>550</v>
      </c>
      <c r="L38">
        <v>380</v>
      </c>
      <c r="M38">
        <v>360</v>
      </c>
      <c r="N38">
        <v>500</v>
      </c>
      <c r="O38">
        <v>715</v>
      </c>
      <c r="P38">
        <v>270</v>
      </c>
      <c r="Q38">
        <v>220</v>
      </c>
      <c r="R38">
        <v>230</v>
      </c>
      <c r="S38">
        <v>300</v>
      </c>
      <c r="T38">
        <v>250</v>
      </c>
      <c r="U38">
        <v>340</v>
      </c>
      <c r="V38">
        <v>410</v>
      </c>
      <c r="W38">
        <v>270</v>
      </c>
      <c r="X38">
        <v>292.5</v>
      </c>
      <c r="Y38">
        <v>410</v>
      </c>
      <c r="Z38">
        <v>512.5</v>
      </c>
      <c r="AA38">
        <v>230</v>
      </c>
      <c r="AB38">
        <v>285</v>
      </c>
      <c r="AC38">
        <v>320</v>
      </c>
      <c r="AD38">
        <v>320</v>
      </c>
      <c r="AE38">
        <v>430</v>
      </c>
      <c r="AF38">
        <v>195</v>
      </c>
      <c r="AG38">
        <v>280</v>
      </c>
      <c r="AH38">
        <v>190</v>
      </c>
      <c r="AI38">
        <v>185</v>
      </c>
      <c r="AJ38">
        <v>200</v>
      </c>
      <c r="AK38">
        <v>180</v>
      </c>
      <c r="AL38">
        <v>190</v>
      </c>
      <c r="AM38">
        <v>200</v>
      </c>
      <c r="AN38">
        <v>185</v>
      </c>
      <c r="AO38">
        <v>220</v>
      </c>
      <c r="AP38">
        <v>300</v>
      </c>
      <c r="AQ38">
        <v>200</v>
      </c>
      <c r="AR38">
        <v>185</v>
      </c>
      <c r="AS38">
        <v>390</v>
      </c>
      <c r="AT38">
        <v>290</v>
      </c>
      <c r="AU38">
        <v>380</v>
      </c>
      <c r="AV38">
        <v>170</v>
      </c>
      <c r="AW38">
        <v>175</v>
      </c>
      <c r="AX38">
        <v>165</v>
      </c>
      <c r="AY38">
        <v>140</v>
      </c>
      <c r="AZ38">
        <v>190</v>
      </c>
      <c r="BA38">
        <v>165</v>
      </c>
      <c r="BB38">
        <v>160</v>
      </c>
      <c r="BC38">
        <v>170</v>
      </c>
      <c r="BD38">
        <v>150</v>
      </c>
      <c r="BE38">
        <v>170</v>
      </c>
      <c r="BF38">
        <v>180</v>
      </c>
      <c r="BG38">
        <v>150</v>
      </c>
      <c r="BH38">
        <v>180</v>
      </c>
    </row>
    <row r="39" spans="1:60" x14ac:dyDescent="0.25">
      <c r="B39" s="2">
        <v>36312</v>
      </c>
      <c r="C39">
        <v>220</v>
      </c>
      <c r="D39">
        <v>390</v>
      </c>
      <c r="E39">
        <v>330</v>
      </c>
      <c r="F39">
        <v>305</v>
      </c>
      <c r="G39">
        <v>450</v>
      </c>
      <c r="H39">
        <v>385</v>
      </c>
      <c r="I39">
        <v>300</v>
      </c>
      <c r="J39">
        <v>680</v>
      </c>
      <c r="K39">
        <v>495</v>
      </c>
      <c r="L39">
        <v>400</v>
      </c>
      <c r="M39">
        <v>417.5</v>
      </c>
      <c r="N39">
        <v>550</v>
      </c>
      <c r="O39">
        <v>730</v>
      </c>
      <c r="P39">
        <v>270</v>
      </c>
      <c r="Q39">
        <v>220</v>
      </c>
      <c r="R39">
        <v>230</v>
      </c>
      <c r="S39">
        <v>315</v>
      </c>
      <c r="T39">
        <v>255</v>
      </c>
      <c r="U39">
        <v>350</v>
      </c>
      <c r="V39">
        <v>400</v>
      </c>
      <c r="W39">
        <v>267.5</v>
      </c>
      <c r="X39">
        <v>290</v>
      </c>
      <c r="Y39">
        <v>430</v>
      </c>
      <c r="Z39">
        <v>520</v>
      </c>
      <c r="AA39">
        <v>240</v>
      </c>
      <c r="AB39">
        <v>290</v>
      </c>
      <c r="AC39">
        <v>330</v>
      </c>
      <c r="AD39">
        <v>300</v>
      </c>
      <c r="AE39">
        <v>430</v>
      </c>
      <c r="AF39">
        <v>200</v>
      </c>
      <c r="AG39">
        <v>280</v>
      </c>
      <c r="AH39">
        <v>190</v>
      </c>
      <c r="AI39">
        <v>180</v>
      </c>
      <c r="AJ39">
        <v>205</v>
      </c>
      <c r="AK39">
        <v>180</v>
      </c>
      <c r="AL39">
        <v>190</v>
      </c>
      <c r="AM39">
        <v>200</v>
      </c>
      <c r="AN39">
        <v>190</v>
      </c>
      <c r="AO39">
        <v>220</v>
      </c>
      <c r="AP39">
        <v>300</v>
      </c>
      <c r="AQ39">
        <v>210</v>
      </c>
      <c r="AR39">
        <v>185</v>
      </c>
      <c r="AS39">
        <v>390</v>
      </c>
      <c r="AT39">
        <v>300</v>
      </c>
      <c r="AU39">
        <v>380</v>
      </c>
      <c r="AV39">
        <v>175</v>
      </c>
      <c r="AW39">
        <v>180</v>
      </c>
      <c r="AX39">
        <v>165</v>
      </c>
      <c r="AY39">
        <v>140</v>
      </c>
      <c r="AZ39">
        <v>195</v>
      </c>
      <c r="BA39">
        <v>165</v>
      </c>
      <c r="BB39">
        <v>155</v>
      </c>
      <c r="BC39">
        <v>170</v>
      </c>
      <c r="BD39">
        <v>151</v>
      </c>
      <c r="BE39">
        <v>175</v>
      </c>
      <c r="BF39">
        <v>185</v>
      </c>
      <c r="BG39">
        <v>150</v>
      </c>
      <c r="BH39">
        <v>180</v>
      </c>
    </row>
    <row r="40" spans="1:60" x14ac:dyDescent="0.25">
      <c r="B40" s="2">
        <v>36404</v>
      </c>
      <c r="C40">
        <v>220</v>
      </c>
      <c r="D40">
        <v>395</v>
      </c>
      <c r="E40">
        <v>320</v>
      </c>
      <c r="F40">
        <v>330</v>
      </c>
      <c r="G40">
        <v>435</v>
      </c>
      <c r="H40">
        <v>380</v>
      </c>
      <c r="I40">
        <v>320</v>
      </c>
      <c r="J40">
        <v>740</v>
      </c>
      <c r="K40">
        <v>480</v>
      </c>
      <c r="L40">
        <v>450</v>
      </c>
      <c r="M40">
        <v>380</v>
      </c>
      <c r="N40">
        <v>510</v>
      </c>
      <c r="O40">
        <v>560</v>
      </c>
      <c r="P40">
        <v>280</v>
      </c>
      <c r="Q40">
        <v>230</v>
      </c>
      <c r="R40">
        <v>230</v>
      </c>
      <c r="S40">
        <v>320</v>
      </c>
      <c r="T40">
        <v>260</v>
      </c>
      <c r="U40">
        <v>350</v>
      </c>
      <c r="V40">
        <v>450</v>
      </c>
      <c r="W40">
        <v>280</v>
      </c>
      <c r="X40">
        <v>310</v>
      </c>
      <c r="Y40">
        <v>440</v>
      </c>
      <c r="Z40">
        <v>500</v>
      </c>
      <c r="AA40">
        <v>240</v>
      </c>
      <c r="AB40">
        <v>297.5</v>
      </c>
      <c r="AC40">
        <v>330</v>
      </c>
      <c r="AD40">
        <v>340</v>
      </c>
      <c r="AE40">
        <v>450</v>
      </c>
      <c r="AF40">
        <v>200</v>
      </c>
      <c r="AG40">
        <v>292.5</v>
      </c>
      <c r="AH40">
        <v>195</v>
      </c>
      <c r="AI40">
        <v>190</v>
      </c>
      <c r="AJ40">
        <v>210</v>
      </c>
      <c r="AK40">
        <v>180</v>
      </c>
      <c r="AL40">
        <v>200</v>
      </c>
      <c r="AM40">
        <v>210</v>
      </c>
      <c r="AN40">
        <v>190</v>
      </c>
      <c r="AO40">
        <v>220</v>
      </c>
      <c r="AP40">
        <v>310</v>
      </c>
      <c r="AQ40">
        <v>210</v>
      </c>
      <c r="AR40">
        <v>190</v>
      </c>
      <c r="AS40">
        <v>400</v>
      </c>
      <c r="AT40">
        <v>300</v>
      </c>
      <c r="AU40">
        <v>380</v>
      </c>
      <c r="AV40">
        <v>180</v>
      </c>
      <c r="AW40">
        <v>175</v>
      </c>
      <c r="AX40">
        <v>170</v>
      </c>
      <c r="AY40">
        <v>135</v>
      </c>
      <c r="AZ40">
        <v>200</v>
      </c>
      <c r="BA40">
        <v>165</v>
      </c>
      <c r="BB40">
        <v>160</v>
      </c>
      <c r="BC40">
        <v>170</v>
      </c>
      <c r="BD40">
        <v>156</v>
      </c>
      <c r="BE40">
        <v>180</v>
      </c>
      <c r="BF40">
        <v>190</v>
      </c>
      <c r="BG40">
        <v>150</v>
      </c>
      <c r="BH40">
        <v>180</v>
      </c>
    </row>
    <row r="41" spans="1:60" x14ac:dyDescent="0.25">
      <c r="B41" s="2">
        <v>36495</v>
      </c>
      <c r="C41">
        <v>225</v>
      </c>
      <c r="D41">
        <v>400</v>
      </c>
      <c r="E41">
        <v>340</v>
      </c>
      <c r="F41">
        <v>350</v>
      </c>
      <c r="G41">
        <v>430</v>
      </c>
      <c r="H41">
        <v>390</v>
      </c>
      <c r="I41">
        <v>320</v>
      </c>
      <c r="J41">
        <v>700</v>
      </c>
      <c r="K41">
        <v>550</v>
      </c>
      <c r="L41">
        <v>430</v>
      </c>
      <c r="M41">
        <v>420</v>
      </c>
      <c r="N41">
        <v>560</v>
      </c>
      <c r="O41">
        <v>715</v>
      </c>
      <c r="P41">
        <v>280</v>
      </c>
      <c r="Q41">
        <v>230</v>
      </c>
      <c r="R41">
        <v>240</v>
      </c>
      <c r="S41">
        <v>310</v>
      </c>
      <c r="T41">
        <v>260</v>
      </c>
      <c r="U41">
        <v>345</v>
      </c>
      <c r="V41">
        <v>430</v>
      </c>
      <c r="W41">
        <v>280</v>
      </c>
      <c r="X41">
        <v>300</v>
      </c>
      <c r="Y41">
        <v>450</v>
      </c>
      <c r="Z41">
        <v>475</v>
      </c>
      <c r="AA41">
        <v>240</v>
      </c>
      <c r="AB41">
        <v>292.5</v>
      </c>
      <c r="AC41">
        <v>330</v>
      </c>
      <c r="AD41">
        <v>300</v>
      </c>
      <c r="AE41">
        <v>450</v>
      </c>
      <c r="AF41">
        <v>200</v>
      </c>
      <c r="AG41">
        <v>285</v>
      </c>
      <c r="AH41">
        <v>200</v>
      </c>
      <c r="AI41">
        <v>190</v>
      </c>
      <c r="AJ41">
        <v>210</v>
      </c>
      <c r="AK41">
        <v>190</v>
      </c>
      <c r="AL41">
        <v>200</v>
      </c>
      <c r="AM41">
        <v>210</v>
      </c>
      <c r="AN41">
        <v>190</v>
      </c>
      <c r="AO41">
        <v>230</v>
      </c>
      <c r="AP41">
        <v>315</v>
      </c>
      <c r="AQ41">
        <v>220</v>
      </c>
      <c r="AR41">
        <v>195</v>
      </c>
      <c r="AS41">
        <v>395</v>
      </c>
      <c r="AT41">
        <v>310</v>
      </c>
      <c r="AU41">
        <v>400</v>
      </c>
      <c r="AV41">
        <v>180</v>
      </c>
      <c r="AW41">
        <v>180</v>
      </c>
      <c r="AX41">
        <v>170</v>
      </c>
      <c r="AY41">
        <v>140</v>
      </c>
      <c r="AZ41">
        <v>200</v>
      </c>
      <c r="BA41">
        <v>170</v>
      </c>
      <c r="BB41">
        <v>160</v>
      </c>
      <c r="BC41">
        <v>171</v>
      </c>
      <c r="BD41">
        <v>157</v>
      </c>
      <c r="BE41">
        <v>180</v>
      </c>
      <c r="BF41">
        <v>195</v>
      </c>
      <c r="BG41">
        <v>150</v>
      </c>
      <c r="BH41">
        <v>185</v>
      </c>
    </row>
    <row r="42" spans="1:60" x14ac:dyDescent="0.25">
      <c r="B42" s="2">
        <v>36586</v>
      </c>
      <c r="C42">
        <v>230</v>
      </c>
      <c r="D42">
        <v>420</v>
      </c>
      <c r="E42">
        <v>340</v>
      </c>
      <c r="F42">
        <v>350</v>
      </c>
      <c r="G42">
        <v>420</v>
      </c>
      <c r="H42">
        <v>420</v>
      </c>
      <c r="I42">
        <v>350</v>
      </c>
      <c r="J42">
        <v>760</v>
      </c>
      <c r="K42">
        <v>527.5</v>
      </c>
      <c r="L42">
        <v>450</v>
      </c>
      <c r="M42">
        <v>425</v>
      </c>
      <c r="N42">
        <v>580</v>
      </c>
      <c r="O42">
        <v>812.5</v>
      </c>
      <c r="P42">
        <v>290</v>
      </c>
      <c r="Q42">
        <v>230</v>
      </c>
      <c r="R42">
        <v>245</v>
      </c>
      <c r="S42">
        <v>340</v>
      </c>
      <c r="T42">
        <v>265</v>
      </c>
      <c r="U42">
        <v>360</v>
      </c>
      <c r="V42">
        <v>420</v>
      </c>
      <c r="W42">
        <v>280</v>
      </c>
      <c r="X42">
        <v>322.5</v>
      </c>
      <c r="Y42">
        <v>450</v>
      </c>
      <c r="Z42">
        <v>477.5</v>
      </c>
      <c r="AA42">
        <v>250</v>
      </c>
      <c r="AB42">
        <v>305</v>
      </c>
      <c r="AC42">
        <v>340</v>
      </c>
      <c r="AD42">
        <v>320</v>
      </c>
      <c r="AE42">
        <v>490</v>
      </c>
      <c r="AF42">
        <v>210</v>
      </c>
      <c r="AG42">
        <v>300</v>
      </c>
      <c r="AH42">
        <v>200</v>
      </c>
      <c r="AI42">
        <v>195</v>
      </c>
      <c r="AJ42">
        <v>215</v>
      </c>
      <c r="AK42">
        <v>190</v>
      </c>
      <c r="AL42">
        <v>200</v>
      </c>
      <c r="AM42">
        <v>220</v>
      </c>
      <c r="AN42">
        <v>190</v>
      </c>
      <c r="AO42">
        <v>240</v>
      </c>
      <c r="AP42">
        <v>320</v>
      </c>
      <c r="AQ42">
        <v>220</v>
      </c>
      <c r="AR42">
        <v>200</v>
      </c>
      <c r="AS42">
        <v>410</v>
      </c>
      <c r="AT42">
        <v>310</v>
      </c>
      <c r="AU42">
        <v>400</v>
      </c>
      <c r="AV42">
        <v>180</v>
      </c>
      <c r="AW42">
        <v>185</v>
      </c>
      <c r="AX42">
        <v>170</v>
      </c>
      <c r="AY42">
        <v>145</v>
      </c>
      <c r="AZ42">
        <v>210</v>
      </c>
      <c r="BA42">
        <v>170</v>
      </c>
      <c r="BB42">
        <v>160</v>
      </c>
      <c r="BC42">
        <v>175</v>
      </c>
      <c r="BD42">
        <v>160</v>
      </c>
      <c r="BE42">
        <v>180</v>
      </c>
      <c r="BF42">
        <v>200</v>
      </c>
      <c r="BG42">
        <v>155</v>
      </c>
      <c r="BH42">
        <v>185</v>
      </c>
    </row>
    <row r="43" spans="1:60" x14ac:dyDescent="0.25">
      <c r="B43" s="2">
        <v>36678</v>
      </c>
      <c r="C43">
        <v>230</v>
      </c>
      <c r="D43">
        <v>435</v>
      </c>
      <c r="E43">
        <v>345</v>
      </c>
      <c r="F43">
        <v>350</v>
      </c>
      <c r="G43">
        <v>430</v>
      </c>
      <c r="H43">
        <v>435</v>
      </c>
      <c r="I43">
        <v>360</v>
      </c>
      <c r="J43">
        <v>700</v>
      </c>
      <c r="K43">
        <v>565</v>
      </c>
      <c r="L43">
        <v>450</v>
      </c>
      <c r="M43">
        <v>430</v>
      </c>
      <c r="N43">
        <v>550</v>
      </c>
      <c r="O43">
        <v>700</v>
      </c>
      <c r="P43">
        <v>290</v>
      </c>
      <c r="Q43">
        <v>240</v>
      </c>
      <c r="R43">
        <v>240</v>
      </c>
      <c r="S43">
        <v>320</v>
      </c>
      <c r="T43">
        <v>270</v>
      </c>
      <c r="U43">
        <v>360</v>
      </c>
      <c r="V43">
        <v>382.5</v>
      </c>
      <c r="W43">
        <v>290</v>
      </c>
      <c r="X43">
        <v>310</v>
      </c>
      <c r="Y43">
        <v>450</v>
      </c>
      <c r="Z43">
        <v>500</v>
      </c>
      <c r="AA43">
        <v>250</v>
      </c>
      <c r="AB43">
        <v>310</v>
      </c>
      <c r="AC43">
        <v>350</v>
      </c>
      <c r="AD43">
        <v>330</v>
      </c>
      <c r="AE43">
        <v>495</v>
      </c>
      <c r="AF43">
        <v>210</v>
      </c>
      <c r="AG43">
        <v>300</v>
      </c>
      <c r="AH43">
        <v>200</v>
      </c>
      <c r="AI43">
        <v>200</v>
      </c>
      <c r="AJ43">
        <v>220</v>
      </c>
      <c r="AK43">
        <v>190</v>
      </c>
      <c r="AL43">
        <v>205</v>
      </c>
      <c r="AM43">
        <v>220</v>
      </c>
      <c r="AN43">
        <v>200</v>
      </c>
      <c r="AO43">
        <v>230</v>
      </c>
      <c r="AP43">
        <v>330</v>
      </c>
      <c r="AQ43">
        <v>222.5</v>
      </c>
      <c r="AR43">
        <v>200</v>
      </c>
      <c r="AS43">
        <v>430</v>
      </c>
      <c r="AT43">
        <v>310</v>
      </c>
      <c r="AU43">
        <v>420</v>
      </c>
      <c r="AV43">
        <v>185</v>
      </c>
      <c r="AW43">
        <v>185</v>
      </c>
      <c r="AX43">
        <v>175</v>
      </c>
      <c r="AY43">
        <v>140</v>
      </c>
      <c r="AZ43">
        <v>210</v>
      </c>
      <c r="BA43">
        <v>175</v>
      </c>
      <c r="BB43">
        <v>160</v>
      </c>
      <c r="BC43">
        <v>175</v>
      </c>
      <c r="BD43">
        <v>160</v>
      </c>
      <c r="BE43">
        <v>180</v>
      </c>
      <c r="BF43">
        <v>195</v>
      </c>
      <c r="BG43">
        <v>155</v>
      </c>
      <c r="BH43">
        <v>190</v>
      </c>
    </row>
    <row r="44" spans="1:60" x14ac:dyDescent="0.25">
      <c r="B44" s="2">
        <v>36770</v>
      </c>
      <c r="C44">
        <v>235</v>
      </c>
      <c r="D44">
        <v>420</v>
      </c>
      <c r="E44">
        <v>340</v>
      </c>
      <c r="F44">
        <v>367.5</v>
      </c>
      <c r="G44">
        <v>445</v>
      </c>
      <c r="H44">
        <v>400</v>
      </c>
      <c r="I44">
        <v>320</v>
      </c>
      <c r="J44">
        <v>600</v>
      </c>
      <c r="K44">
        <v>537.5</v>
      </c>
      <c r="L44">
        <v>430</v>
      </c>
      <c r="M44">
        <v>420</v>
      </c>
      <c r="N44">
        <v>662.5</v>
      </c>
      <c r="O44">
        <v>700</v>
      </c>
      <c r="P44">
        <v>290</v>
      </c>
      <c r="Q44">
        <v>245</v>
      </c>
      <c r="R44">
        <v>250</v>
      </c>
      <c r="S44">
        <v>350</v>
      </c>
      <c r="T44">
        <v>280</v>
      </c>
      <c r="U44">
        <v>350</v>
      </c>
      <c r="V44">
        <v>425</v>
      </c>
      <c r="W44">
        <v>280</v>
      </c>
      <c r="X44">
        <v>320</v>
      </c>
      <c r="Y44">
        <v>450</v>
      </c>
      <c r="Z44">
        <v>500</v>
      </c>
      <c r="AA44">
        <v>250</v>
      </c>
      <c r="AB44">
        <v>310</v>
      </c>
      <c r="AC44">
        <v>340</v>
      </c>
      <c r="AD44">
        <v>330</v>
      </c>
      <c r="AE44">
        <v>470</v>
      </c>
      <c r="AF44">
        <v>215</v>
      </c>
      <c r="AG44">
        <v>300</v>
      </c>
      <c r="AH44">
        <v>205</v>
      </c>
      <c r="AI44">
        <v>200</v>
      </c>
      <c r="AJ44">
        <v>215</v>
      </c>
      <c r="AK44">
        <v>190</v>
      </c>
      <c r="AL44">
        <v>210</v>
      </c>
      <c r="AM44">
        <v>220</v>
      </c>
      <c r="AN44">
        <v>200</v>
      </c>
      <c r="AO44">
        <v>240</v>
      </c>
      <c r="AP44">
        <v>325</v>
      </c>
      <c r="AQ44">
        <v>220</v>
      </c>
      <c r="AR44">
        <v>200</v>
      </c>
      <c r="AS44">
        <v>420</v>
      </c>
      <c r="AT44">
        <v>327.5</v>
      </c>
      <c r="AU44">
        <v>410</v>
      </c>
      <c r="AV44">
        <v>185</v>
      </c>
      <c r="AW44">
        <v>185</v>
      </c>
      <c r="AX44">
        <v>175</v>
      </c>
      <c r="AY44">
        <v>140</v>
      </c>
      <c r="AZ44">
        <v>205</v>
      </c>
      <c r="BA44">
        <v>175</v>
      </c>
      <c r="BB44">
        <v>163</v>
      </c>
      <c r="BC44">
        <v>180</v>
      </c>
      <c r="BD44">
        <v>165</v>
      </c>
      <c r="BE44">
        <v>185</v>
      </c>
      <c r="BF44">
        <v>200</v>
      </c>
      <c r="BG44">
        <v>160</v>
      </c>
      <c r="BH44">
        <v>190</v>
      </c>
    </row>
    <row r="45" spans="1:60" x14ac:dyDescent="0.25">
      <c r="B45" s="2">
        <v>36861</v>
      </c>
      <c r="C45">
        <v>235</v>
      </c>
      <c r="D45">
        <v>430</v>
      </c>
      <c r="E45">
        <v>350</v>
      </c>
      <c r="F45">
        <v>365</v>
      </c>
      <c r="G45">
        <v>450</v>
      </c>
      <c r="H45">
        <v>445</v>
      </c>
      <c r="I45">
        <v>350</v>
      </c>
      <c r="J45">
        <v>837.5</v>
      </c>
      <c r="K45">
        <v>575</v>
      </c>
      <c r="L45">
        <v>447.5</v>
      </c>
      <c r="M45">
        <v>410</v>
      </c>
      <c r="N45">
        <v>550</v>
      </c>
      <c r="O45">
        <v>750</v>
      </c>
      <c r="P45">
        <v>300</v>
      </c>
      <c r="Q45">
        <v>232.5</v>
      </c>
      <c r="R45">
        <v>245</v>
      </c>
      <c r="S45">
        <v>332.5</v>
      </c>
      <c r="T45">
        <v>280</v>
      </c>
      <c r="U45">
        <v>360</v>
      </c>
      <c r="V45">
        <v>450</v>
      </c>
      <c r="W45">
        <v>290</v>
      </c>
      <c r="X45">
        <v>332.5</v>
      </c>
      <c r="Y45">
        <v>450</v>
      </c>
      <c r="Z45">
        <v>500</v>
      </c>
      <c r="AA45">
        <v>260</v>
      </c>
      <c r="AB45">
        <v>320</v>
      </c>
      <c r="AC45">
        <v>350</v>
      </c>
      <c r="AD45">
        <v>320</v>
      </c>
      <c r="AE45">
        <v>480</v>
      </c>
      <c r="AF45">
        <v>215</v>
      </c>
      <c r="AG45">
        <v>300</v>
      </c>
      <c r="AH45">
        <v>210</v>
      </c>
      <c r="AI45">
        <v>200</v>
      </c>
      <c r="AJ45">
        <v>220</v>
      </c>
      <c r="AK45">
        <v>190</v>
      </c>
      <c r="AL45">
        <v>200</v>
      </c>
      <c r="AM45">
        <v>220</v>
      </c>
      <c r="AN45">
        <v>205</v>
      </c>
      <c r="AO45">
        <v>240</v>
      </c>
      <c r="AP45">
        <v>330</v>
      </c>
      <c r="AQ45">
        <v>220</v>
      </c>
      <c r="AR45">
        <v>210</v>
      </c>
      <c r="AS45">
        <v>450</v>
      </c>
      <c r="AT45">
        <v>330</v>
      </c>
      <c r="AU45">
        <v>420</v>
      </c>
      <c r="AV45">
        <v>195</v>
      </c>
      <c r="AW45">
        <v>190</v>
      </c>
      <c r="AX45">
        <v>175</v>
      </c>
      <c r="AY45">
        <v>145</v>
      </c>
      <c r="AZ45">
        <v>210</v>
      </c>
      <c r="BA45">
        <v>170</v>
      </c>
      <c r="BB45">
        <v>160</v>
      </c>
      <c r="BC45">
        <v>175</v>
      </c>
      <c r="BD45">
        <v>165</v>
      </c>
      <c r="BE45">
        <v>185</v>
      </c>
      <c r="BF45">
        <v>200</v>
      </c>
      <c r="BG45">
        <v>160</v>
      </c>
      <c r="BH45">
        <v>190</v>
      </c>
    </row>
    <row r="46" spans="1:60" x14ac:dyDescent="0.25">
      <c r="A46" s="3"/>
      <c r="B46" s="2">
        <v>36951</v>
      </c>
      <c r="C46">
        <v>240</v>
      </c>
      <c r="D46">
        <v>430</v>
      </c>
      <c r="E46">
        <v>350</v>
      </c>
      <c r="F46">
        <v>360</v>
      </c>
      <c r="G46">
        <v>450</v>
      </c>
      <c r="H46">
        <v>425</v>
      </c>
      <c r="I46">
        <v>350</v>
      </c>
      <c r="J46">
        <v>700</v>
      </c>
      <c r="K46">
        <v>650</v>
      </c>
      <c r="L46">
        <v>450</v>
      </c>
      <c r="M46">
        <v>420</v>
      </c>
      <c r="N46">
        <v>600</v>
      </c>
      <c r="O46">
        <v>640</v>
      </c>
      <c r="P46">
        <v>300</v>
      </c>
      <c r="Q46">
        <v>240</v>
      </c>
      <c r="R46">
        <v>250</v>
      </c>
      <c r="S46">
        <v>340</v>
      </c>
      <c r="T46">
        <v>280</v>
      </c>
      <c r="U46">
        <v>390</v>
      </c>
      <c r="V46">
        <v>360</v>
      </c>
      <c r="W46">
        <v>290</v>
      </c>
      <c r="X46">
        <v>330</v>
      </c>
      <c r="Y46">
        <v>475</v>
      </c>
      <c r="Z46">
        <v>550</v>
      </c>
      <c r="AA46">
        <v>270</v>
      </c>
      <c r="AB46">
        <v>310</v>
      </c>
      <c r="AC46">
        <v>342.5</v>
      </c>
      <c r="AD46">
        <v>340</v>
      </c>
      <c r="AE46">
        <v>480</v>
      </c>
      <c r="AF46">
        <v>220</v>
      </c>
      <c r="AG46">
        <v>302.5</v>
      </c>
      <c r="AH46">
        <v>210</v>
      </c>
      <c r="AI46">
        <v>200</v>
      </c>
      <c r="AJ46">
        <v>220</v>
      </c>
      <c r="AK46">
        <v>195</v>
      </c>
      <c r="AL46">
        <v>202.5</v>
      </c>
      <c r="AM46">
        <v>220</v>
      </c>
      <c r="AN46">
        <v>200</v>
      </c>
      <c r="AO46">
        <v>240</v>
      </c>
      <c r="AP46">
        <v>340</v>
      </c>
      <c r="AQ46">
        <v>220</v>
      </c>
      <c r="AR46">
        <v>210</v>
      </c>
      <c r="AS46">
        <v>430</v>
      </c>
      <c r="AT46">
        <v>320</v>
      </c>
      <c r="AU46">
        <v>420</v>
      </c>
      <c r="AV46">
        <v>190</v>
      </c>
      <c r="AW46">
        <v>185</v>
      </c>
      <c r="AX46">
        <v>180</v>
      </c>
      <c r="AY46">
        <v>150</v>
      </c>
      <c r="AZ46">
        <v>220</v>
      </c>
      <c r="BA46">
        <v>177.5</v>
      </c>
      <c r="BB46">
        <v>161</v>
      </c>
      <c r="BC46">
        <v>180</v>
      </c>
      <c r="BD46">
        <v>160</v>
      </c>
      <c r="BE46">
        <v>190</v>
      </c>
      <c r="BF46">
        <v>210</v>
      </c>
      <c r="BG46">
        <v>160</v>
      </c>
      <c r="BH46">
        <v>195</v>
      </c>
    </row>
    <row r="47" spans="1:60" x14ac:dyDescent="0.25">
      <c r="A47" s="3"/>
      <c r="B47" s="2">
        <v>37043</v>
      </c>
      <c r="C47">
        <v>235</v>
      </c>
      <c r="D47">
        <v>430</v>
      </c>
      <c r="E47">
        <v>350</v>
      </c>
      <c r="F47">
        <v>400</v>
      </c>
      <c r="G47">
        <v>450</v>
      </c>
      <c r="H47">
        <v>430</v>
      </c>
      <c r="I47">
        <v>350</v>
      </c>
      <c r="J47">
        <v>612.5</v>
      </c>
      <c r="K47">
        <v>575</v>
      </c>
      <c r="L47">
        <v>450</v>
      </c>
      <c r="M47">
        <v>430</v>
      </c>
      <c r="N47">
        <v>525</v>
      </c>
      <c r="O47">
        <v>650</v>
      </c>
      <c r="P47">
        <v>300</v>
      </c>
      <c r="Q47">
        <v>240</v>
      </c>
      <c r="R47">
        <v>250</v>
      </c>
      <c r="S47">
        <v>340</v>
      </c>
      <c r="T47">
        <v>270</v>
      </c>
      <c r="U47">
        <v>380</v>
      </c>
      <c r="V47">
        <v>535</v>
      </c>
      <c r="W47">
        <v>295</v>
      </c>
      <c r="X47">
        <v>330</v>
      </c>
      <c r="Y47">
        <v>460</v>
      </c>
      <c r="Z47">
        <v>540</v>
      </c>
      <c r="AA47">
        <v>250</v>
      </c>
      <c r="AB47">
        <v>320</v>
      </c>
      <c r="AC47">
        <v>350</v>
      </c>
      <c r="AD47">
        <v>350</v>
      </c>
      <c r="AE47">
        <v>500</v>
      </c>
      <c r="AF47">
        <v>220</v>
      </c>
      <c r="AG47">
        <v>300</v>
      </c>
      <c r="AH47">
        <v>210</v>
      </c>
      <c r="AI47">
        <v>200</v>
      </c>
      <c r="AJ47">
        <v>225</v>
      </c>
      <c r="AK47">
        <v>195</v>
      </c>
      <c r="AL47">
        <v>210</v>
      </c>
      <c r="AM47">
        <v>220</v>
      </c>
      <c r="AN47">
        <v>210</v>
      </c>
      <c r="AO47">
        <v>240</v>
      </c>
      <c r="AP47">
        <v>340</v>
      </c>
      <c r="AQ47">
        <v>230</v>
      </c>
      <c r="AR47">
        <v>210</v>
      </c>
      <c r="AS47">
        <v>440</v>
      </c>
      <c r="AT47">
        <v>340</v>
      </c>
      <c r="AU47">
        <v>430</v>
      </c>
      <c r="AV47">
        <v>200</v>
      </c>
      <c r="AW47">
        <v>190</v>
      </c>
      <c r="AX47">
        <v>180</v>
      </c>
      <c r="AY47">
        <v>145</v>
      </c>
      <c r="AZ47">
        <v>230</v>
      </c>
      <c r="BA47">
        <v>180</v>
      </c>
      <c r="BB47">
        <v>160</v>
      </c>
      <c r="BC47">
        <v>180</v>
      </c>
      <c r="BD47">
        <v>170</v>
      </c>
      <c r="BE47">
        <v>190</v>
      </c>
      <c r="BF47">
        <v>210</v>
      </c>
      <c r="BG47">
        <v>160</v>
      </c>
      <c r="BH47">
        <v>200</v>
      </c>
    </row>
    <row r="48" spans="1:60" x14ac:dyDescent="0.25">
      <c r="A48" s="3"/>
      <c r="B48" s="2">
        <v>37135</v>
      </c>
      <c r="C48">
        <v>240</v>
      </c>
      <c r="D48">
        <v>430</v>
      </c>
      <c r="E48">
        <v>350</v>
      </c>
      <c r="F48">
        <v>380</v>
      </c>
      <c r="G48">
        <v>450</v>
      </c>
      <c r="H48">
        <v>450</v>
      </c>
      <c r="I48">
        <v>350</v>
      </c>
      <c r="J48">
        <v>650</v>
      </c>
      <c r="K48">
        <v>572.5</v>
      </c>
      <c r="L48">
        <v>420</v>
      </c>
      <c r="M48">
        <v>445</v>
      </c>
      <c r="N48">
        <v>600</v>
      </c>
      <c r="O48">
        <v>800</v>
      </c>
      <c r="P48">
        <v>300</v>
      </c>
      <c r="Q48">
        <v>250</v>
      </c>
      <c r="R48">
        <v>250</v>
      </c>
      <c r="S48">
        <v>330</v>
      </c>
      <c r="T48">
        <v>280</v>
      </c>
      <c r="U48">
        <v>365</v>
      </c>
      <c r="V48">
        <v>460</v>
      </c>
      <c r="W48">
        <v>300</v>
      </c>
      <c r="X48">
        <v>320</v>
      </c>
      <c r="Y48">
        <v>450</v>
      </c>
      <c r="Z48">
        <v>500</v>
      </c>
      <c r="AA48">
        <v>260</v>
      </c>
      <c r="AB48">
        <v>320</v>
      </c>
      <c r="AC48">
        <v>340</v>
      </c>
      <c r="AD48">
        <v>330</v>
      </c>
      <c r="AE48">
        <v>490</v>
      </c>
      <c r="AF48">
        <v>220</v>
      </c>
      <c r="AG48">
        <v>300</v>
      </c>
      <c r="AH48">
        <v>210</v>
      </c>
      <c r="AI48">
        <v>200</v>
      </c>
      <c r="AJ48">
        <v>230</v>
      </c>
      <c r="AK48">
        <v>195</v>
      </c>
      <c r="AL48">
        <v>210</v>
      </c>
      <c r="AM48">
        <v>220</v>
      </c>
      <c r="AN48">
        <v>210</v>
      </c>
      <c r="AO48">
        <v>240</v>
      </c>
      <c r="AP48">
        <v>330</v>
      </c>
      <c r="AQ48">
        <v>230</v>
      </c>
      <c r="AR48">
        <v>210</v>
      </c>
      <c r="AS48">
        <v>430</v>
      </c>
      <c r="AT48">
        <v>330</v>
      </c>
      <c r="AU48">
        <v>420</v>
      </c>
      <c r="AV48">
        <v>200</v>
      </c>
      <c r="AW48">
        <v>190</v>
      </c>
      <c r="AX48">
        <v>180</v>
      </c>
      <c r="AY48">
        <v>150</v>
      </c>
      <c r="AZ48">
        <v>225</v>
      </c>
      <c r="BA48">
        <v>175</v>
      </c>
      <c r="BB48">
        <v>170</v>
      </c>
      <c r="BC48">
        <v>180</v>
      </c>
      <c r="BD48">
        <v>170</v>
      </c>
      <c r="BE48">
        <v>195</v>
      </c>
      <c r="BF48">
        <v>220</v>
      </c>
      <c r="BG48">
        <v>160</v>
      </c>
      <c r="BH48">
        <v>200</v>
      </c>
    </row>
    <row r="49" spans="1:60" x14ac:dyDescent="0.25">
      <c r="A49" s="3"/>
      <c r="B49" s="2">
        <v>37226</v>
      </c>
      <c r="C49">
        <v>240</v>
      </c>
      <c r="D49">
        <v>420</v>
      </c>
      <c r="E49">
        <v>340</v>
      </c>
      <c r="F49">
        <v>365</v>
      </c>
      <c r="G49">
        <v>420</v>
      </c>
      <c r="H49">
        <v>430</v>
      </c>
      <c r="I49">
        <v>350</v>
      </c>
      <c r="J49">
        <v>650</v>
      </c>
      <c r="K49">
        <v>575</v>
      </c>
      <c r="L49">
        <v>420</v>
      </c>
      <c r="M49">
        <v>385</v>
      </c>
      <c r="N49">
        <v>550</v>
      </c>
      <c r="O49">
        <v>795</v>
      </c>
      <c r="P49">
        <v>300</v>
      </c>
      <c r="Q49">
        <v>250</v>
      </c>
      <c r="R49">
        <v>250</v>
      </c>
      <c r="S49">
        <v>342.5</v>
      </c>
      <c r="T49">
        <v>280</v>
      </c>
      <c r="U49">
        <v>360</v>
      </c>
      <c r="V49">
        <v>475</v>
      </c>
      <c r="W49">
        <v>295</v>
      </c>
      <c r="X49">
        <v>340</v>
      </c>
      <c r="Y49">
        <v>450</v>
      </c>
      <c r="Z49">
        <v>525</v>
      </c>
      <c r="AA49">
        <v>260</v>
      </c>
      <c r="AB49">
        <v>310</v>
      </c>
      <c r="AC49">
        <v>350</v>
      </c>
      <c r="AD49">
        <v>320</v>
      </c>
      <c r="AE49">
        <v>480</v>
      </c>
      <c r="AF49">
        <v>220</v>
      </c>
      <c r="AG49">
        <v>300</v>
      </c>
      <c r="AH49">
        <v>215</v>
      </c>
      <c r="AI49">
        <v>210</v>
      </c>
      <c r="AJ49">
        <v>230</v>
      </c>
      <c r="AK49">
        <v>190</v>
      </c>
      <c r="AL49">
        <v>210</v>
      </c>
      <c r="AM49">
        <v>225</v>
      </c>
      <c r="AN49">
        <v>210</v>
      </c>
      <c r="AO49">
        <v>240</v>
      </c>
      <c r="AP49">
        <v>330</v>
      </c>
      <c r="AQ49">
        <v>225</v>
      </c>
      <c r="AR49">
        <v>210</v>
      </c>
      <c r="AS49">
        <v>450</v>
      </c>
      <c r="AT49">
        <v>330</v>
      </c>
      <c r="AU49">
        <v>420</v>
      </c>
      <c r="AV49">
        <v>200</v>
      </c>
      <c r="AW49">
        <v>190</v>
      </c>
      <c r="AX49">
        <v>185</v>
      </c>
      <c r="AY49">
        <v>150</v>
      </c>
      <c r="AZ49">
        <v>240</v>
      </c>
      <c r="BA49">
        <v>180</v>
      </c>
      <c r="BB49">
        <v>170</v>
      </c>
      <c r="BC49">
        <v>185</v>
      </c>
      <c r="BD49">
        <v>170</v>
      </c>
      <c r="BE49">
        <v>197.5</v>
      </c>
      <c r="BF49">
        <v>220</v>
      </c>
      <c r="BG49">
        <v>165</v>
      </c>
      <c r="BH49">
        <v>200</v>
      </c>
    </row>
    <row r="50" spans="1:60" x14ac:dyDescent="0.25">
      <c r="A50" s="3"/>
      <c r="B50" s="2">
        <v>37316</v>
      </c>
      <c r="C50">
        <v>240</v>
      </c>
      <c r="D50">
        <v>425</v>
      </c>
      <c r="E50">
        <v>360</v>
      </c>
      <c r="F50">
        <v>365</v>
      </c>
      <c r="G50">
        <v>455</v>
      </c>
      <c r="H50">
        <v>430</v>
      </c>
      <c r="I50">
        <v>325</v>
      </c>
      <c r="J50">
        <v>632.5</v>
      </c>
      <c r="K50">
        <v>560</v>
      </c>
      <c r="L50">
        <v>455</v>
      </c>
      <c r="M50">
        <v>400</v>
      </c>
      <c r="N50">
        <v>650</v>
      </c>
      <c r="O50">
        <v>740</v>
      </c>
      <c r="P50">
        <v>300</v>
      </c>
      <c r="Q50">
        <v>250</v>
      </c>
      <c r="R50">
        <v>250</v>
      </c>
      <c r="S50">
        <v>335</v>
      </c>
      <c r="T50">
        <v>277.5</v>
      </c>
      <c r="U50">
        <v>380</v>
      </c>
      <c r="V50">
        <v>450</v>
      </c>
      <c r="W50">
        <v>285</v>
      </c>
      <c r="X50">
        <v>325</v>
      </c>
      <c r="Y50">
        <v>460</v>
      </c>
      <c r="Z50">
        <v>555</v>
      </c>
      <c r="AA50">
        <v>260</v>
      </c>
      <c r="AB50">
        <v>300</v>
      </c>
      <c r="AC50">
        <v>345</v>
      </c>
      <c r="AD50">
        <v>300</v>
      </c>
      <c r="AE50">
        <v>477.5</v>
      </c>
      <c r="AF50">
        <v>220</v>
      </c>
      <c r="AG50">
        <v>310</v>
      </c>
      <c r="AH50">
        <v>220</v>
      </c>
      <c r="AI50">
        <v>210</v>
      </c>
      <c r="AJ50">
        <v>225</v>
      </c>
      <c r="AK50">
        <v>195</v>
      </c>
      <c r="AL50">
        <v>220</v>
      </c>
      <c r="AM50">
        <v>230</v>
      </c>
      <c r="AN50">
        <v>220</v>
      </c>
      <c r="AO50">
        <v>240</v>
      </c>
      <c r="AP50">
        <v>335</v>
      </c>
      <c r="AQ50">
        <v>230</v>
      </c>
      <c r="AR50">
        <v>220</v>
      </c>
      <c r="AS50">
        <v>450</v>
      </c>
      <c r="AT50">
        <v>340</v>
      </c>
      <c r="AU50">
        <v>435</v>
      </c>
      <c r="AV50">
        <v>200</v>
      </c>
      <c r="AW50">
        <v>195</v>
      </c>
      <c r="AX50">
        <v>185</v>
      </c>
      <c r="AY50">
        <v>155</v>
      </c>
      <c r="AZ50">
        <v>230</v>
      </c>
      <c r="BA50">
        <v>180</v>
      </c>
      <c r="BB50">
        <v>165</v>
      </c>
      <c r="BC50">
        <v>190</v>
      </c>
      <c r="BD50">
        <v>170</v>
      </c>
      <c r="BE50">
        <v>200</v>
      </c>
      <c r="BF50">
        <v>220</v>
      </c>
      <c r="BG50">
        <v>165</v>
      </c>
      <c r="BH50">
        <v>200</v>
      </c>
    </row>
    <row r="51" spans="1:60" x14ac:dyDescent="0.25">
      <c r="A51" s="3"/>
      <c r="B51" s="2">
        <v>37408</v>
      </c>
      <c r="C51">
        <v>240</v>
      </c>
      <c r="D51">
        <v>420</v>
      </c>
      <c r="E51">
        <v>372.5</v>
      </c>
      <c r="F51">
        <v>370</v>
      </c>
      <c r="G51">
        <v>427.5</v>
      </c>
      <c r="H51">
        <v>440</v>
      </c>
      <c r="I51">
        <v>320</v>
      </c>
      <c r="J51">
        <v>650</v>
      </c>
      <c r="K51">
        <v>600</v>
      </c>
      <c r="L51">
        <v>450</v>
      </c>
      <c r="M51">
        <v>420</v>
      </c>
      <c r="N51">
        <v>605</v>
      </c>
      <c r="O51">
        <v>700</v>
      </c>
      <c r="P51">
        <v>290</v>
      </c>
      <c r="Q51">
        <v>250</v>
      </c>
      <c r="R51">
        <v>250</v>
      </c>
      <c r="S51">
        <v>330</v>
      </c>
      <c r="T51">
        <v>280</v>
      </c>
      <c r="U51">
        <v>360</v>
      </c>
      <c r="V51">
        <v>480</v>
      </c>
      <c r="W51">
        <v>290</v>
      </c>
      <c r="X51">
        <v>320</v>
      </c>
      <c r="Y51">
        <v>460</v>
      </c>
      <c r="Z51">
        <v>520</v>
      </c>
      <c r="AA51">
        <v>260</v>
      </c>
      <c r="AB51">
        <v>300</v>
      </c>
      <c r="AC51">
        <v>350</v>
      </c>
      <c r="AD51">
        <v>295</v>
      </c>
      <c r="AE51">
        <v>500</v>
      </c>
      <c r="AF51">
        <v>230</v>
      </c>
      <c r="AG51">
        <v>300</v>
      </c>
      <c r="AH51">
        <v>220</v>
      </c>
      <c r="AI51">
        <v>210</v>
      </c>
      <c r="AJ51">
        <v>235</v>
      </c>
      <c r="AK51">
        <v>200</v>
      </c>
      <c r="AL51">
        <v>220</v>
      </c>
      <c r="AM51">
        <v>230</v>
      </c>
      <c r="AN51">
        <v>230</v>
      </c>
      <c r="AO51">
        <v>240</v>
      </c>
      <c r="AP51">
        <v>340</v>
      </c>
      <c r="AQ51">
        <v>235</v>
      </c>
      <c r="AR51">
        <v>220</v>
      </c>
      <c r="AS51">
        <v>450</v>
      </c>
      <c r="AT51">
        <v>330</v>
      </c>
      <c r="AU51">
        <v>450</v>
      </c>
      <c r="AV51">
        <v>210</v>
      </c>
      <c r="AW51">
        <v>200</v>
      </c>
      <c r="AX51">
        <v>190</v>
      </c>
      <c r="AY51">
        <v>160</v>
      </c>
      <c r="AZ51">
        <v>240</v>
      </c>
      <c r="BA51">
        <v>190</v>
      </c>
      <c r="BB51">
        <v>180</v>
      </c>
      <c r="BC51">
        <v>192.5</v>
      </c>
      <c r="BD51">
        <v>180</v>
      </c>
      <c r="BE51">
        <v>210</v>
      </c>
      <c r="BF51">
        <v>220</v>
      </c>
      <c r="BG51">
        <v>170</v>
      </c>
      <c r="BH51">
        <v>210</v>
      </c>
    </row>
    <row r="52" spans="1:60" x14ac:dyDescent="0.25">
      <c r="A52" s="3"/>
      <c r="B52" s="2">
        <v>37500</v>
      </c>
      <c r="C52">
        <v>240</v>
      </c>
      <c r="D52">
        <v>420</v>
      </c>
      <c r="E52">
        <v>337.5</v>
      </c>
      <c r="F52">
        <v>370</v>
      </c>
      <c r="G52">
        <v>460</v>
      </c>
      <c r="H52">
        <v>425</v>
      </c>
      <c r="I52">
        <v>350</v>
      </c>
      <c r="J52">
        <v>620</v>
      </c>
      <c r="K52">
        <v>600</v>
      </c>
      <c r="L52">
        <v>450</v>
      </c>
      <c r="M52">
        <v>400</v>
      </c>
      <c r="N52">
        <v>550</v>
      </c>
      <c r="O52">
        <v>650</v>
      </c>
      <c r="P52">
        <v>295</v>
      </c>
      <c r="Q52">
        <v>250</v>
      </c>
      <c r="R52">
        <v>250</v>
      </c>
      <c r="S52">
        <v>340</v>
      </c>
      <c r="T52">
        <v>275</v>
      </c>
      <c r="U52">
        <v>375</v>
      </c>
      <c r="V52">
        <v>435</v>
      </c>
      <c r="W52">
        <v>290</v>
      </c>
      <c r="X52">
        <v>310</v>
      </c>
      <c r="Y52">
        <v>470</v>
      </c>
      <c r="Z52">
        <v>500</v>
      </c>
      <c r="AA52">
        <v>255</v>
      </c>
      <c r="AB52">
        <v>300</v>
      </c>
      <c r="AC52">
        <v>340</v>
      </c>
      <c r="AD52">
        <v>300</v>
      </c>
      <c r="AE52">
        <v>462.5</v>
      </c>
      <c r="AF52">
        <v>230</v>
      </c>
      <c r="AG52">
        <v>300</v>
      </c>
      <c r="AH52">
        <v>220</v>
      </c>
      <c r="AI52">
        <v>210</v>
      </c>
      <c r="AJ52">
        <v>240</v>
      </c>
      <c r="AK52">
        <v>200</v>
      </c>
      <c r="AL52">
        <v>220</v>
      </c>
      <c r="AM52">
        <v>230</v>
      </c>
      <c r="AN52">
        <v>230</v>
      </c>
      <c r="AO52">
        <v>240</v>
      </c>
      <c r="AP52">
        <v>335</v>
      </c>
      <c r="AQ52">
        <v>235</v>
      </c>
      <c r="AR52">
        <v>220</v>
      </c>
      <c r="AS52">
        <v>432.5</v>
      </c>
      <c r="AT52">
        <v>330</v>
      </c>
      <c r="AU52">
        <v>420</v>
      </c>
      <c r="AV52">
        <v>210</v>
      </c>
      <c r="AW52">
        <v>197.5</v>
      </c>
      <c r="AX52">
        <v>195</v>
      </c>
      <c r="AY52">
        <v>160</v>
      </c>
      <c r="AZ52">
        <v>235</v>
      </c>
      <c r="BA52">
        <v>190</v>
      </c>
      <c r="BB52">
        <v>175</v>
      </c>
      <c r="BC52">
        <v>200</v>
      </c>
      <c r="BD52">
        <v>180</v>
      </c>
      <c r="BE52">
        <v>210</v>
      </c>
      <c r="BF52">
        <v>230</v>
      </c>
      <c r="BG52">
        <v>175</v>
      </c>
      <c r="BH52">
        <v>210</v>
      </c>
    </row>
    <row r="53" spans="1:60" x14ac:dyDescent="0.25">
      <c r="A53" s="3"/>
      <c r="B53" s="2">
        <v>37591</v>
      </c>
      <c r="C53">
        <v>245</v>
      </c>
      <c r="D53">
        <v>420</v>
      </c>
      <c r="E53">
        <v>380</v>
      </c>
      <c r="F53">
        <v>362.5</v>
      </c>
      <c r="G53">
        <v>450</v>
      </c>
      <c r="H53">
        <v>430</v>
      </c>
      <c r="I53">
        <v>330</v>
      </c>
      <c r="J53">
        <v>537.5</v>
      </c>
      <c r="K53">
        <v>550</v>
      </c>
      <c r="L53">
        <v>420</v>
      </c>
      <c r="M53">
        <v>430</v>
      </c>
      <c r="N53">
        <v>590</v>
      </c>
      <c r="O53">
        <v>740</v>
      </c>
      <c r="P53">
        <v>295</v>
      </c>
      <c r="Q53">
        <v>240</v>
      </c>
      <c r="R53">
        <v>250</v>
      </c>
      <c r="S53">
        <v>327.5</v>
      </c>
      <c r="T53">
        <v>280</v>
      </c>
      <c r="U53">
        <v>380</v>
      </c>
      <c r="V53" t="s">
        <v>21</v>
      </c>
      <c r="W53">
        <v>300</v>
      </c>
      <c r="X53">
        <v>300</v>
      </c>
      <c r="Y53">
        <v>422.5</v>
      </c>
      <c r="Z53">
        <v>550</v>
      </c>
      <c r="AA53">
        <v>260</v>
      </c>
      <c r="AB53">
        <v>300</v>
      </c>
      <c r="AC53">
        <v>350</v>
      </c>
      <c r="AD53">
        <v>320</v>
      </c>
      <c r="AE53">
        <v>480</v>
      </c>
      <c r="AF53">
        <v>230</v>
      </c>
      <c r="AG53">
        <v>300</v>
      </c>
      <c r="AH53">
        <v>220</v>
      </c>
      <c r="AI53">
        <v>220</v>
      </c>
      <c r="AJ53">
        <v>240</v>
      </c>
      <c r="AK53">
        <v>210</v>
      </c>
      <c r="AL53">
        <v>220</v>
      </c>
      <c r="AM53">
        <v>235</v>
      </c>
      <c r="AN53">
        <v>230</v>
      </c>
      <c r="AO53">
        <v>240</v>
      </c>
      <c r="AP53">
        <v>330</v>
      </c>
      <c r="AQ53">
        <v>235</v>
      </c>
      <c r="AR53">
        <v>225</v>
      </c>
      <c r="AS53">
        <v>450</v>
      </c>
      <c r="AT53">
        <v>340</v>
      </c>
      <c r="AU53">
        <v>450</v>
      </c>
      <c r="AV53">
        <v>210</v>
      </c>
      <c r="AW53">
        <v>200</v>
      </c>
      <c r="AX53">
        <v>200</v>
      </c>
      <c r="AY53">
        <v>165</v>
      </c>
      <c r="AZ53">
        <v>250</v>
      </c>
      <c r="BA53">
        <v>195</v>
      </c>
      <c r="BB53">
        <v>175</v>
      </c>
      <c r="BC53">
        <v>200</v>
      </c>
      <c r="BD53">
        <v>180</v>
      </c>
      <c r="BE53">
        <v>220</v>
      </c>
      <c r="BF53">
        <v>230</v>
      </c>
      <c r="BG53">
        <v>180</v>
      </c>
      <c r="BH53">
        <v>220</v>
      </c>
    </row>
    <row r="54" spans="1:60" x14ac:dyDescent="0.25">
      <c r="A54" s="3"/>
      <c r="B54" s="2">
        <v>37681</v>
      </c>
      <c r="C54">
        <v>245</v>
      </c>
      <c r="D54">
        <v>435</v>
      </c>
      <c r="E54">
        <v>330</v>
      </c>
      <c r="F54">
        <v>370</v>
      </c>
      <c r="G54">
        <v>440</v>
      </c>
      <c r="H54">
        <v>435</v>
      </c>
      <c r="I54">
        <v>350</v>
      </c>
      <c r="J54">
        <v>715</v>
      </c>
      <c r="K54">
        <v>640</v>
      </c>
      <c r="L54">
        <v>460</v>
      </c>
      <c r="M54">
        <v>422.5</v>
      </c>
      <c r="N54">
        <v>622.5</v>
      </c>
      <c r="O54">
        <v>775</v>
      </c>
      <c r="P54">
        <v>300</v>
      </c>
      <c r="Q54">
        <v>250</v>
      </c>
      <c r="R54">
        <v>250</v>
      </c>
      <c r="S54">
        <v>322.5</v>
      </c>
      <c r="T54">
        <v>290</v>
      </c>
      <c r="U54">
        <v>382.5</v>
      </c>
      <c r="V54">
        <v>495</v>
      </c>
      <c r="W54">
        <v>300</v>
      </c>
      <c r="X54">
        <v>300</v>
      </c>
      <c r="Y54">
        <v>450</v>
      </c>
      <c r="Z54">
        <v>570</v>
      </c>
      <c r="AA54">
        <v>260</v>
      </c>
      <c r="AB54">
        <v>300</v>
      </c>
      <c r="AC54">
        <v>340</v>
      </c>
      <c r="AD54">
        <v>320</v>
      </c>
      <c r="AE54">
        <v>500</v>
      </c>
      <c r="AF54">
        <v>230</v>
      </c>
      <c r="AG54">
        <v>295</v>
      </c>
      <c r="AH54">
        <v>220</v>
      </c>
      <c r="AI54">
        <v>220</v>
      </c>
      <c r="AJ54">
        <v>245</v>
      </c>
      <c r="AK54">
        <v>210</v>
      </c>
      <c r="AL54">
        <v>220</v>
      </c>
      <c r="AM54">
        <v>235</v>
      </c>
      <c r="AN54">
        <v>225</v>
      </c>
      <c r="AO54">
        <v>240</v>
      </c>
      <c r="AP54">
        <v>330</v>
      </c>
      <c r="AQ54">
        <v>240</v>
      </c>
      <c r="AR54">
        <v>220</v>
      </c>
      <c r="AS54">
        <v>450</v>
      </c>
      <c r="AT54">
        <v>340</v>
      </c>
      <c r="AU54">
        <v>440</v>
      </c>
      <c r="AV54">
        <v>210</v>
      </c>
      <c r="AW54">
        <v>205</v>
      </c>
      <c r="AX54">
        <v>205</v>
      </c>
      <c r="AY54">
        <v>165</v>
      </c>
      <c r="AZ54">
        <v>252.5</v>
      </c>
      <c r="BA54">
        <v>200</v>
      </c>
      <c r="BB54">
        <v>180</v>
      </c>
      <c r="BC54">
        <v>210</v>
      </c>
      <c r="BD54">
        <v>195</v>
      </c>
      <c r="BE54">
        <v>220</v>
      </c>
      <c r="BF54">
        <v>240</v>
      </c>
      <c r="BG54">
        <v>180</v>
      </c>
      <c r="BH54">
        <v>220</v>
      </c>
    </row>
    <row r="55" spans="1:60" x14ac:dyDescent="0.25">
      <c r="A55" s="3"/>
      <c r="B55" s="2">
        <v>37773</v>
      </c>
      <c r="C55">
        <v>250</v>
      </c>
      <c r="D55">
        <v>450</v>
      </c>
      <c r="E55">
        <v>340</v>
      </c>
      <c r="F55">
        <v>397.5</v>
      </c>
      <c r="G55">
        <v>480</v>
      </c>
      <c r="H55">
        <v>465</v>
      </c>
      <c r="I55">
        <v>350</v>
      </c>
      <c r="J55">
        <v>600</v>
      </c>
      <c r="K55">
        <v>600</v>
      </c>
      <c r="L55">
        <v>465</v>
      </c>
      <c r="M55">
        <v>407.5</v>
      </c>
      <c r="N55">
        <v>650</v>
      </c>
      <c r="O55">
        <v>655</v>
      </c>
      <c r="P55">
        <v>300</v>
      </c>
      <c r="Q55">
        <v>250</v>
      </c>
      <c r="R55">
        <v>250</v>
      </c>
      <c r="S55">
        <v>330</v>
      </c>
      <c r="T55">
        <v>287.5</v>
      </c>
      <c r="U55">
        <v>360</v>
      </c>
      <c r="V55">
        <v>560</v>
      </c>
      <c r="W55">
        <v>287.5</v>
      </c>
      <c r="X55">
        <v>332.5</v>
      </c>
      <c r="Y55">
        <v>460</v>
      </c>
      <c r="Z55">
        <v>550</v>
      </c>
      <c r="AA55">
        <v>250</v>
      </c>
      <c r="AB55">
        <v>310</v>
      </c>
      <c r="AC55">
        <v>350</v>
      </c>
      <c r="AD55">
        <v>300</v>
      </c>
      <c r="AE55">
        <v>494.5</v>
      </c>
      <c r="AF55">
        <v>230</v>
      </c>
      <c r="AG55">
        <v>300</v>
      </c>
      <c r="AH55">
        <v>220</v>
      </c>
      <c r="AI55">
        <v>220</v>
      </c>
      <c r="AJ55">
        <v>245</v>
      </c>
      <c r="AK55">
        <v>210</v>
      </c>
      <c r="AL55">
        <v>220</v>
      </c>
      <c r="AM55">
        <v>240</v>
      </c>
      <c r="AN55">
        <v>235</v>
      </c>
      <c r="AO55">
        <v>240</v>
      </c>
      <c r="AP55">
        <v>350</v>
      </c>
      <c r="AQ55">
        <v>240</v>
      </c>
      <c r="AR55">
        <v>225</v>
      </c>
      <c r="AS55">
        <v>460</v>
      </c>
      <c r="AT55">
        <v>340</v>
      </c>
      <c r="AU55">
        <v>427.5</v>
      </c>
      <c r="AV55">
        <v>220</v>
      </c>
      <c r="AW55">
        <v>210</v>
      </c>
      <c r="AX55">
        <v>210</v>
      </c>
      <c r="AY55">
        <v>170</v>
      </c>
      <c r="AZ55">
        <v>250</v>
      </c>
      <c r="BA55">
        <v>200</v>
      </c>
      <c r="BB55">
        <v>190</v>
      </c>
      <c r="BC55">
        <v>220</v>
      </c>
      <c r="BD55">
        <v>200</v>
      </c>
      <c r="BE55">
        <v>230</v>
      </c>
      <c r="BF55">
        <v>240</v>
      </c>
      <c r="BG55">
        <v>180</v>
      </c>
      <c r="BH55">
        <v>220</v>
      </c>
    </row>
    <row r="56" spans="1:60" x14ac:dyDescent="0.25">
      <c r="A56" s="3"/>
      <c r="B56" s="2">
        <v>37865</v>
      </c>
      <c r="C56">
        <v>250</v>
      </c>
      <c r="D56">
        <v>420</v>
      </c>
      <c r="E56">
        <v>360</v>
      </c>
      <c r="F56">
        <v>380</v>
      </c>
      <c r="G56">
        <v>450</v>
      </c>
      <c r="H56">
        <v>430</v>
      </c>
      <c r="I56">
        <v>350</v>
      </c>
      <c r="J56">
        <v>500</v>
      </c>
      <c r="K56">
        <v>570</v>
      </c>
      <c r="L56">
        <v>450</v>
      </c>
      <c r="M56">
        <v>480</v>
      </c>
      <c r="N56">
        <v>522.5</v>
      </c>
      <c r="O56">
        <v>692.5</v>
      </c>
      <c r="P56">
        <v>300</v>
      </c>
      <c r="Q56">
        <v>250</v>
      </c>
      <c r="R56">
        <v>260</v>
      </c>
      <c r="S56">
        <v>350</v>
      </c>
      <c r="T56">
        <v>280</v>
      </c>
      <c r="U56">
        <v>372.5</v>
      </c>
      <c r="V56">
        <v>480</v>
      </c>
      <c r="W56">
        <v>300</v>
      </c>
      <c r="X56">
        <v>325</v>
      </c>
      <c r="Y56">
        <v>450</v>
      </c>
      <c r="Z56">
        <v>500</v>
      </c>
      <c r="AA56">
        <v>255</v>
      </c>
      <c r="AB56">
        <v>310</v>
      </c>
      <c r="AC56">
        <v>350</v>
      </c>
      <c r="AD56">
        <v>330</v>
      </c>
      <c r="AE56">
        <v>505</v>
      </c>
      <c r="AF56">
        <v>230</v>
      </c>
      <c r="AG56">
        <v>300</v>
      </c>
      <c r="AH56">
        <v>220</v>
      </c>
      <c r="AI56">
        <v>220</v>
      </c>
      <c r="AJ56">
        <v>247.5</v>
      </c>
      <c r="AK56">
        <v>210</v>
      </c>
      <c r="AL56">
        <v>220</v>
      </c>
      <c r="AM56">
        <v>240</v>
      </c>
      <c r="AN56">
        <v>230</v>
      </c>
      <c r="AO56">
        <v>240</v>
      </c>
      <c r="AP56">
        <v>345</v>
      </c>
      <c r="AQ56">
        <v>240</v>
      </c>
      <c r="AR56">
        <v>225</v>
      </c>
      <c r="AS56">
        <v>450</v>
      </c>
      <c r="AT56">
        <v>340</v>
      </c>
      <c r="AU56">
        <v>430</v>
      </c>
      <c r="AV56">
        <v>217.5</v>
      </c>
      <c r="AW56">
        <v>210</v>
      </c>
      <c r="AX56">
        <v>210</v>
      </c>
      <c r="AY56">
        <v>175</v>
      </c>
      <c r="AZ56">
        <v>250</v>
      </c>
      <c r="BA56">
        <v>210</v>
      </c>
      <c r="BB56">
        <v>200</v>
      </c>
      <c r="BC56">
        <v>220</v>
      </c>
      <c r="BD56">
        <v>200</v>
      </c>
      <c r="BE56">
        <v>230</v>
      </c>
      <c r="BF56">
        <v>240</v>
      </c>
      <c r="BG56">
        <v>190</v>
      </c>
      <c r="BH56">
        <v>220</v>
      </c>
    </row>
    <row r="57" spans="1:60" x14ac:dyDescent="0.25">
      <c r="A57" s="3"/>
      <c r="B57" s="2">
        <v>37956</v>
      </c>
      <c r="C57">
        <v>250</v>
      </c>
      <c r="D57">
        <v>440</v>
      </c>
      <c r="E57">
        <v>350</v>
      </c>
      <c r="F57">
        <v>400</v>
      </c>
      <c r="G57">
        <v>437.5</v>
      </c>
      <c r="H57">
        <v>412.5</v>
      </c>
      <c r="I57">
        <v>350</v>
      </c>
      <c r="J57">
        <v>787.5</v>
      </c>
      <c r="K57">
        <v>600</v>
      </c>
      <c r="L57">
        <v>475</v>
      </c>
      <c r="M57">
        <v>440</v>
      </c>
      <c r="N57">
        <v>600.75</v>
      </c>
      <c r="O57">
        <v>625</v>
      </c>
      <c r="P57">
        <v>300</v>
      </c>
      <c r="Q57">
        <v>250</v>
      </c>
      <c r="R57">
        <v>250</v>
      </c>
      <c r="S57">
        <v>340</v>
      </c>
      <c r="T57">
        <v>285</v>
      </c>
      <c r="U57">
        <v>382.5</v>
      </c>
      <c r="V57">
        <v>450</v>
      </c>
      <c r="W57">
        <v>300</v>
      </c>
      <c r="X57">
        <v>320</v>
      </c>
      <c r="Y57">
        <v>460</v>
      </c>
      <c r="Z57">
        <v>550</v>
      </c>
      <c r="AA57">
        <v>257.5</v>
      </c>
      <c r="AB57">
        <v>310</v>
      </c>
      <c r="AC57">
        <v>350</v>
      </c>
      <c r="AD57">
        <v>340</v>
      </c>
      <c r="AE57">
        <v>495</v>
      </c>
      <c r="AF57">
        <v>230</v>
      </c>
      <c r="AG57">
        <v>300</v>
      </c>
      <c r="AH57">
        <v>220</v>
      </c>
      <c r="AI57">
        <v>220</v>
      </c>
      <c r="AJ57">
        <v>250</v>
      </c>
      <c r="AK57">
        <v>220</v>
      </c>
      <c r="AL57">
        <v>220</v>
      </c>
      <c r="AM57">
        <v>250</v>
      </c>
      <c r="AN57">
        <v>230</v>
      </c>
      <c r="AO57">
        <v>250</v>
      </c>
      <c r="AP57">
        <v>342.5</v>
      </c>
      <c r="AQ57">
        <v>250</v>
      </c>
      <c r="AR57">
        <v>230</v>
      </c>
      <c r="AS57">
        <v>450</v>
      </c>
      <c r="AT57">
        <v>350</v>
      </c>
      <c r="AU57">
        <v>450</v>
      </c>
      <c r="AV57">
        <v>215</v>
      </c>
      <c r="AW57">
        <v>210</v>
      </c>
      <c r="AX57">
        <v>220</v>
      </c>
      <c r="AY57">
        <v>175</v>
      </c>
      <c r="AZ57">
        <v>260</v>
      </c>
      <c r="BA57">
        <v>210</v>
      </c>
      <c r="BB57">
        <v>200</v>
      </c>
      <c r="BC57">
        <v>225</v>
      </c>
      <c r="BD57">
        <v>210</v>
      </c>
      <c r="BE57">
        <v>230</v>
      </c>
      <c r="BF57">
        <v>240</v>
      </c>
      <c r="BG57">
        <v>190</v>
      </c>
      <c r="BH57">
        <v>225</v>
      </c>
    </row>
    <row r="58" spans="1:60" x14ac:dyDescent="0.25">
      <c r="A58" s="3"/>
      <c r="B58" s="2">
        <v>38047</v>
      </c>
      <c r="C58">
        <v>250</v>
      </c>
      <c r="D58">
        <v>440</v>
      </c>
      <c r="E58">
        <v>370</v>
      </c>
      <c r="F58">
        <v>360</v>
      </c>
      <c r="G58">
        <v>470</v>
      </c>
      <c r="H58">
        <v>455</v>
      </c>
      <c r="I58">
        <v>360</v>
      </c>
      <c r="J58">
        <v>640</v>
      </c>
      <c r="K58">
        <v>610</v>
      </c>
      <c r="L58">
        <v>465</v>
      </c>
      <c r="M58">
        <v>460</v>
      </c>
      <c r="N58">
        <v>640</v>
      </c>
      <c r="O58">
        <v>650</v>
      </c>
      <c r="P58">
        <v>310</v>
      </c>
      <c r="Q58">
        <v>250</v>
      </c>
      <c r="R58">
        <v>250</v>
      </c>
      <c r="S58">
        <v>350</v>
      </c>
      <c r="T58">
        <v>300</v>
      </c>
      <c r="U58">
        <v>370</v>
      </c>
      <c r="V58">
        <v>500</v>
      </c>
      <c r="W58">
        <v>312.5</v>
      </c>
      <c r="X58">
        <v>315</v>
      </c>
      <c r="Y58">
        <v>460</v>
      </c>
      <c r="Z58">
        <v>530</v>
      </c>
      <c r="AA58">
        <v>260</v>
      </c>
      <c r="AB58">
        <v>320</v>
      </c>
      <c r="AC58">
        <v>350</v>
      </c>
      <c r="AD58">
        <v>320</v>
      </c>
      <c r="AE58">
        <v>520</v>
      </c>
      <c r="AF58">
        <v>235</v>
      </c>
      <c r="AG58">
        <v>300</v>
      </c>
      <c r="AH58">
        <v>220</v>
      </c>
      <c r="AI58">
        <v>217.5</v>
      </c>
      <c r="AJ58">
        <v>250</v>
      </c>
      <c r="AK58">
        <v>220</v>
      </c>
      <c r="AL58">
        <v>220</v>
      </c>
      <c r="AM58">
        <v>245</v>
      </c>
      <c r="AN58">
        <v>240</v>
      </c>
      <c r="AO58">
        <v>250</v>
      </c>
      <c r="AP58">
        <v>350</v>
      </c>
      <c r="AQ58">
        <v>240</v>
      </c>
      <c r="AR58">
        <v>227.5</v>
      </c>
      <c r="AS58">
        <v>460</v>
      </c>
      <c r="AT58">
        <v>350</v>
      </c>
      <c r="AU58">
        <v>450</v>
      </c>
      <c r="AV58">
        <v>220</v>
      </c>
      <c r="AW58">
        <v>210</v>
      </c>
      <c r="AX58">
        <v>220</v>
      </c>
      <c r="AY58">
        <v>180</v>
      </c>
      <c r="AZ58">
        <v>250</v>
      </c>
      <c r="BA58">
        <v>220</v>
      </c>
      <c r="BB58">
        <v>200</v>
      </c>
      <c r="BC58">
        <v>230</v>
      </c>
      <c r="BD58">
        <v>205</v>
      </c>
      <c r="BE58">
        <v>230</v>
      </c>
      <c r="BF58">
        <v>250</v>
      </c>
      <c r="BG58">
        <v>190</v>
      </c>
      <c r="BH58">
        <v>230</v>
      </c>
    </row>
    <row r="59" spans="1:60" x14ac:dyDescent="0.25">
      <c r="A59" s="3"/>
      <c r="B59" s="2">
        <v>38139</v>
      </c>
      <c r="C59">
        <v>250</v>
      </c>
      <c r="D59">
        <v>450</v>
      </c>
      <c r="E59">
        <v>355</v>
      </c>
      <c r="F59">
        <v>372.5</v>
      </c>
      <c r="G59">
        <v>480</v>
      </c>
      <c r="H59">
        <v>450</v>
      </c>
      <c r="I59">
        <v>360</v>
      </c>
      <c r="J59">
        <v>775</v>
      </c>
      <c r="K59">
        <v>600</v>
      </c>
      <c r="L59">
        <v>472.5</v>
      </c>
      <c r="M59">
        <v>405</v>
      </c>
      <c r="N59">
        <v>590</v>
      </c>
      <c r="O59">
        <v>660</v>
      </c>
      <c r="P59">
        <v>300</v>
      </c>
      <c r="Q59">
        <v>245</v>
      </c>
      <c r="R59">
        <v>260</v>
      </c>
      <c r="S59">
        <v>355</v>
      </c>
      <c r="T59">
        <v>300</v>
      </c>
      <c r="U59">
        <v>382.5</v>
      </c>
      <c r="V59">
        <v>442.5</v>
      </c>
      <c r="W59">
        <v>300</v>
      </c>
      <c r="X59">
        <v>340</v>
      </c>
      <c r="Y59">
        <v>440</v>
      </c>
      <c r="Z59">
        <v>605</v>
      </c>
      <c r="AA59">
        <v>260</v>
      </c>
      <c r="AB59">
        <v>310</v>
      </c>
      <c r="AC59">
        <v>350</v>
      </c>
      <c r="AD59">
        <v>337.5</v>
      </c>
      <c r="AE59">
        <v>530</v>
      </c>
      <c r="AF59">
        <v>240</v>
      </c>
      <c r="AG59">
        <v>300</v>
      </c>
      <c r="AH59">
        <v>220</v>
      </c>
      <c r="AI59">
        <v>217.5</v>
      </c>
      <c r="AJ59">
        <v>250</v>
      </c>
      <c r="AK59">
        <v>220</v>
      </c>
      <c r="AL59">
        <v>220</v>
      </c>
      <c r="AM59">
        <v>250</v>
      </c>
      <c r="AN59">
        <v>240</v>
      </c>
      <c r="AO59">
        <v>250</v>
      </c>
      <c r="AP59">
        <v>347.5</v>
      </c>
      <c r="AQ59">
        <v>240</v>
      </c>
      <c r="AR59">
        <v>230</v>
      </c>
      <c r="AS59">
        <v>480</v>
      </c>
      <c r="AT59">
        <v>345</v>
      </c>
      <c r="AU59">
        <v>450</v>
      </c>
      <c r="AV59">
        <v>215</v>
      </c>
      <c r="AW59">
        <v>220</v>
      </c>
      <c r="AX59">
        <v>220</v>
      </c>
      <c r="AY59">
        <v>180</v>
      </c>
      <c r="AZ59">
        <v>260</v>
      </c>
      <c r="BA59">
        <v>220</v>
      </c>
      <c r="BB59">
        <v>210</v>
      </c>
      <c r="BC59">
        <v>230</v>
      </c>
      <c r="BD59">
        <v>200</v>
      </c>
      <c r="BE59">
        <v>230</v>
      </c>
      <c r="BF59">
        <v>245</v>
      </c>
      <c r="BG59">
        <v>195</v>
      </c>
      <c r="BH59">
        <v>230</v>
      </c>
    </row>
    <row r="60" spans="1:60" x14ac:dyDescent="0.25">
      <c r="A60" s="3"/>
      <c r="B60" s="2">
        <v>38231</v>
      </c>
      <c r="C60">
        <v>250</v>
      </c>
      <c r="D60">
        <v>470</v>
      </c>
      <c r="E60">
        <v>380</v>
      </c>
      <c r="F60">
        <v>375</v>
      </c>
      <c r="G60">
        <v>460</v>
      </c>
      <c r="H60">
        <v>470</v>
      </c>
      <c r="I60">
        <v>365</v>
      </c>
      <c r="J60">
        <v>750</v>
      </c>
      <c r="K60">
        <v>600</v>
      </c>
      <c r="L60">
        <v>460</v>
      </c>
      <c r="M60">
        <v>450</v>
      </c>
      <c r="N60">
        <v>645</v>
      </c>
      <c r="O60">
        <v>700</v>
      </c>
      <c r="P60">
        <v>300</v>
      </c>
      <c r="Q60">
        <v>250</v>
      </c>
      <c r="R60">
        <v>260</v>
      </c>
      <c r="S60">
        <v>355</v>
      </c>
      <c r="T60">
        <v>290</v>
      </c>
      <c r="U60">
        <v>420</v>
      </c>
      <c r="V60" t="s">
        <v>21</v>
      </c>
      <c r="W60">
        <v>300</v>
      </c>
      <c r="X60">
        <v>320</v>
      </c>
      <c r="Y60">
        <v>455</v>
      </c>
      <c r="Z60">
        <v>572.5</v>
      </c>
      <c r="AA60">
        <v>257.5</v>
      </c>
      <c r="AB60">
        <v>315</v>
      </c>
      <c r="AC60">
        <v>355</v>
      </c>
      <c r="AD60">
        <v>320</v>
      </c>
      <c r="AE60">
        <v>500</v>
      </c>
      <c r="AF60">
        <v>240</v>
      </c>
      <c r="AG60">
        <v>300</v>
      </c>
      <c r="AH60">
        <v>225</v>
      </c>
      <c r="AI60">
        <v>220</v>
      </c>
      <c r="AJ60">
        <v>255</v>
      </c>
      <c r="AK60">
        <v>220</v>
      </c>
      <c r="AL60">
        <v>225</v>
      </c>
      <c r="AM60">
        <v>250</v>
      </c>
      <c r="AN60">
        <v>235</v>
      </c>
      <c r="AO60">
        <v>247.5</v>
      </c>
      <c r="AP60">
        <v>340</v>
      </c>
      <c r="AQ60">
        <v>240</v>
      </c>
      <c r="AR60">
        <v>230</v>
      </c>
      <c r="AS60">
        <v>485</v>
      </c>
      <c r="AT60">
        <v>350</v>
      </c>
      <c r="AU60">
        <v>460</v>
      </c>
      <c r="AV60">
        <v>230</v>
      </c>
      <c r="AW60">
        <v>220</v>
      </c>
      <c r="AX60">
        <v>225</v>
      </c>
      <c r="AY60">
        <v>185</v>
      </c>
      <c r="AZ60">
        <v>260</v>
      </c>
      <c r="BA60">
        <v>225</v>
      </c>
      <c r="BB60">
        <v>210</v>
      </c>
      <c r="BC60">
        <v>230</v>
      </c>
      <c r="BD60">
        <v>220</v>
      </c>
      <c r="BE60">
        <v>235</v>
      </c>
      <c r="BF60">
        <v>250</v>
      </c>
      <c r="BG60">
        <v>195</v>
      </c>
      <c r="BH60">
        <v>230</v>
      </c>
    </row>
    <row r="61" spans="1:60" x14ac:dyDescent="0.25">
      <c r="A61" s="3"/>
      <c r="B61" s="2">
        <v>38322</v>
      </c>
      <c r="C61">
        <v>250</v>
      </c>
      <c r="D61">
        <v>450</v>
      </c>
      <c r="E61">
        <v>395</v>
      </c>
      <c r="F61">
        <v>390</v>
      </c>
      <c r="G61">
        <v>420</v>
      </c>
      <c r="H61">
        <v>440</v>
      </c>
      <c r="I61">
        <v>350</v>
      </c>
      <c r="J61">
        <v>600</v>
      </c>
      <c r="K61">
        <v>600</v>
      </c>
      <c r="L61">
        <v>480</v>
      </c>
      <c r="M61">
        <v>440</v>
      </c>
      <c r="N61">
        <v>625</v>
      </c>
      <c r="O61">
        <v>865</v>
      </c>
      <c r="P61">
        <v>310</v>
      </c>
      <c r="Q61">
        <v>250</v>
      </c>
      <c r="R61">
        <v>255</v>
      </c>
      <c r="S61">
        <v>340</v>
      </c>
      <c r="T61">
        <v>299.5</v>
      </c>
      <c r="U61">
        <v>390</v>
      </c>
      <c r="V61" t="s">
        <v>21</v>
      </c>
      <c r="W61">
        <v>305</v>
      </c>
      <c r="X61">
        <v>335</v>
      </c>
      <c r="Y61">
        <v>455</v>
      </c>
      <c r="Z61">
        <v>542.5</v>
      </c>
      <c r="AA61">
        <v>265</v>
      </c>
      <c r="AB61">
        <v>340</v>
      </c>
      <c r="AC61">
        <v>350</v>
      </c>
      <c r="AD61">
        <v>330</v>
      </c>
      <c r="AE61">
        <v>495</v>
      </c>
      <c r="AF61">
        <v>240</v>
      </c>
      <c r="AG61">
        <v>300</v>
      </c>
      <c r="AH61">
        <v>230</v>
      </c>
      <c r="AI61">
        <v>220</v>
      </c>
      <c r="AJ61">
        <v>250</v>
      </c>
      <c r="AK61">
        <v>220</v>
      </c>
      <c r="AL61">
        <v>230</v>
      </c>
      <c r="AM61">
        <v>250</v>
      </c>
      <c r="AN61">
        <v>235</v>
      </c>
      <c r="AO61">
        <v>250</v>
      </c>
      <c r="AP61">
        <v>350</v>
      </c>
      <c r="AQ61">
        <v>245</v>
      </c>
      <c r="AR61">
        <v>230</v>
      </c>
      <c r="AS61">
        <v>485</v>
      </c>
      <c r="AT61">
        <v>350</v>
      </c>
      <c r="AU61">
        <v>460</v>
      </c>
      <c r="AV61">
        <v>220</v>
      </c>
      <c r="AW61">
        <v>220</v>
      </c>
      <c r="AX61">
        <v>225</v>
      </c>
      <c r="AY61">
        <v>175</v>
      </c>
      <c r="AZ61">
        <v>250</v>
      </c>
      <c r="BA61">
        <v>225</v>
      </c>
      <c r="BB61">
        <v>217.5</v>
      </c>
      <c r="BC61">
        <v>240</v>
      </c>
      <c r="BD61">
        <v>210</v>
      </c>
      <c r="BE61">
        <v>230</v>
      </c>
      <c r="BF61">
        <v>240</v>
      </c>
      <c r="BG61">
        <v>200</v>
      </c>
      <c r="BH61">
        <v>230</v>
      </c>
    </row>
    <row r="62" spans="1:60" x14ac:dyDescent="0.25">
      <c r="A62" s="3"/>
      <c r="B62" s="2">
        <v>38412</v>
      </c>
      <c r="C62">
        <v>260</v>
      </c>
      <c r="D62">
        <v>450</v>
      </c>
      <c r="E62">
        <v>380</v>
      </c>
      <c r="F62">
        <v>390</v>
      </c>
      <c r="G62">
        <v>460</v>
      </c>
      <c r="H62">
        <v>450</v>
      </c>
      <c r="I62">
        <v>380</v>
      </c>
      <c r="J62">
        <v>730</v>
      </c>
      <c r="K62">
        <v>587.5</v>
      </c>
      <c r="L62">
        <v>460</v>
      </c>
      <c r="M62">
        <v>475</v>
      </c>
      <c r="N62">
        <v>600</v>
      </c>
      <c r="O62">
        <v>740</v>
      </c>
      <c r="P62">
        <v>320</v>
      </c>
      <c r="Q62">
        <v>250</v>
      </c>
      <c r="R62">
        <v>260</v>
      </c>
      <c r="S62">
        <v>350</v>
      </c>
      <c r="T62">
        <v>300</v>
      </c>
      <c r="U62">
        <v>400</v>
      </c>
      <c r="V62">
        <v>510</v>
      </c>
      <c r="W62">
        <v>310</v>
      </c>
      <c r="X62">
        <v>350</v>
      </c>
      <c r="Y62">
        <v>440</v>
      </c>
      <c r="Z62">
        <v>650</v>
      </c>
      <c r="AA62">
        <v>270</v>
      </c>
      <c r="AB62">
        <v>330</v>
      </c>
      <c r="AC62">
        <v>350</v>
      </c>
      <c r="AD62">
        <v>325</v>
      </c>
      <c r="AE62">
        <v>540</v>
      </c>
      <c r="AF62">
        <v>240</v>
      </c>
      <c r="AG62">
        <v>310</v>
      </c>
      <c r="AH62">
        <v>230</v>
      </c>
      <c r="AI62">
        <v>220</v>
      </c>
      <c r="AJ62">
        <v>260</v>
      </c>
      <c r="AK62">
        <v>220</v>
      </c>
      <c r="AL62">
        <v>230</v>
      </c>
      <c r="AM62">
        <v>257.5</v>
      </c>
      <c r="AN62">
        <v>240</v>
      </c>
      <c r="AO62">
        <v>250</v>
      </c>
      <c r="AP62">
        <v>340</v>
      </c>
      <c r="AQ62">
        <v>245</v>
      </c>
      <c r="AR62">
        <v>230</v>
      </c>
      <c r="AS62">
        <v>500</v>
      </c>
      <c r="AT62">
        <v>350</v>
      </c>
      <c r="AU62">
        <v>450</v>
      </c>
      <c r="AV62">
        <v>220</v>
      </c>
      <c r="AW62">
        <v>220</v>
      </c>
      <c r="AX62">
        <v>230</v>
      </c>
      <c r="AY62">
        <v>180</v>
      </c>
      <c r="AZ62">
        <v>260</v>
      </c>
      <c r="BA62">
        <v>230</v>
      </c>
      <c r="BB62">
        <v>220</v>
      </c>
      <c r="BC62">
        <v>250</v>
      </c>
      <c r="BD62">
        <v>220</v>
      </c>
      <c r="BE62">
        <v>240</v>
      </c>
      <c r="BF62">
        <v>250</v>
      </c>
      <c r="BG62">
        <v>200</v>
      </c>
      <c r="BH62">
        <v>230</v>
      </c>
    </row>
    <row r="63" spans="1:60" x14ac:dyDescent="0.25">
      <c r="A63" s="3"/>
      <c r="B63" s="2">
        <v>38504</v>
      </c>
      <c r="C63">
        <v>260</v>
      </c>
      <c r="D63">
        <v>460</v>
      </c>
      <c r="E63">
        <v>390</v>
      </c>
      <c r="F63">
        <v>387.5</v>
      </c>
      <c r="G63">
        <v>525</v>
      </c>
      <c r="H63">
        <v>480</v>
      </c>
      <c r="I63">
        <v>375</v>
      </c>
      <c r="J63">
        <v>745</v>
      </c>
      <c r="K63">
        <v>640</v>
      </c>
      <c r="L63">
        <v>485</v>
      </c>
      <c r="M63">
        <v>450</v>
      </c>
      <c r="N63">
        <v>610</v>
      </c>
      <c r="O63">
        <v>825</v>
      </c>
      <c r="P63">
        <v>310</v>
      </c>
      <c r="Q63">
        <v>260</v>
      </c>
      <c r="R63">
        <v>260</v>
      </c>
      <c r="S63">
        <v>350</v>
      </c>
      <c r="T63">
        <v>300</v>
      </c>
      <c r="U63">
        <v>387.5</v>
      </c>
      <c r="V63" t="s">
        <v>21</v>
      </c>
      <c r="W63">
        <v>300</v>
      </c>
      <c r="X63">
        <v>345</v>
      </c>
      <c r="Y63">
        <v>475</v>
      </c>
      <c r="Z63">
        <v>595</v>
      </c>
      <c r="AA63">
        <v>260</v>
      </c>
      <c r="AB63">
        <v>340</v>
      </c>
      <c r="AC63">
        <v>360</v>
      </c>
      <c r="AD63">
        <v>320</v>
      </c>
      <c r="AE63">
        <v>530</v>
      </c>
      <c r="AF63">
        <v>240</v>
      </c>
      <c r="AG63">
        <v>310</v>
      </c>
      <c r="AH63">
        <v>225</v>
      </c>
      <c r="AI63">
        <v>225</v>
      </c>
      <c r="AJ63">
        <v>252.5</v>
      </c>
      <c r="AK63">
        <v>220</v>
      </c>
      <c r="AL63">
        <v>235</v>
      </c>
      <c r="AM63">
        <v>250</v>
      </c>
      <c r="AN63">
        <v>250</v>
      </c>
      <c r="AO63">
        <v>250</v>
      </c>
      <c r="AP63">
        <v>350</v>
      </c>
      <c r="AQ63">
        <v>255</v>
      </c>
      <c r="AR63">
        <v>232.5</v>
      </c>
      <c r="AS63">
        <v>500</v>
      </c>
      <c r="AT63">
        <v>360</v>
      </c>
      <c r="AU63">
        <v>470</v>
      </c>
      <c r="AV63">
        <v>230</v>
      </c>
      <c r="AW63">
        <v>225</v>
      </c>
      <c r="AX63">
        <v>230</v>
      </c>
      <c r="AY63">
        <v>187.5</v>
      </c>
      <c r="AZ63">
        <v>270</v>
      </c>
      <c r="BA63">
        <v>230</v>
      </c>
      <c r="BB63">
        <v>220</v>
      </c>
      <c r="BC63">
        <v>245</v>
      </c>
      <c r="BD63">
        <v>220</v>
      </c>
      <c r="BE63">
        <v>235</v>
      </c>
      <c r="BF63">
        <v>250</v>
      </c>
      <c r="BG63">
        <v>200</v>
      </c>
      <c r="BH63">
        <v>230</v>
      </c>
    </row>
    <row r="64" spans="1:60" x14ac:dyDescent="0.25">
      <c r="A64" s="3"/>
      <c r="B64" s="2">
        <v>38596</v>
      </c>
      <c r="C64">
        <v>260</v>
      </c>
      <c r="D64">
        <v>470</v>
      </c>
      <c r="E64">
        <v>360</v>
      </c>
      <c r="F64">
        <v>380</v>
      </c>
      <c r="G64">
        <v>500</v>
      </c>
      <c r="H64">
        <v>470</v>
      </c>
      <c r="I64">
        <v>360</v>
      </c>
      <c r="J64">
        <v>690</v>
      </c>
      <c r="K64">
        <v>690</v>
      </c>
      <c r="L64">
        <v>500</v>
      </c>
      <c r="M64">
        <v>430</v>
      </c>
      <c r="N64">
        <v>572.5</v>
      </c>
      <c r="O64">
        <v>650</v>
      </c>
      <c r="P64">
        <v>320</v>
      </c>
      <c r="Q64">
        <v>257.5</v>
      </c>
      <c r="R64">
        <v>270</v>
      </c>
      <c r="S64">
        <v>380</v>
      </c>
      <c r="T64">
        <v>300</v>
      </c>
      <c r="U64">
        <v>400</v>
      </c>
      <c r="V64" t="s">
        <v>21</v>
      </c>
      <c r="W64">
        <v>320</v>
      </c>
      <c r="X64">
        <v>340</v>
      </c>
      <c r="Y64">
        <v>480</v>
      </c>
      <c r="Z64">
        <v>607.5</v>
      </c>
      <c r="AA64">
        <v>265</v>
      </c>
      <c r="AB64">
        <v>330</v>
      </c>
      <c r="AC64">
        <v>365</v>
      </c>
      <c r="AD64">
        <v>320</v>
      </c>
      <c r="AE64">
        <v>492.5</v>
      </c>
      <c r="AF64">
        <v>245</v>
      </c>
      <c r="AG64">
        <v>312.5</v>
      </c>
      <c r="AH64">
        <v>230</v>
      </c>
      <c r="AI64">
        <v>220</v>
      </c>
      <c r="AJ64">
        <v>260</v>
      </c>
      <c r="AK64">
        <v>220</v>
      </c>
      <c r="AL64">
        <v>240</v>
      </c>
      <c r="AM64">
        <v>250</v>
      </c>
      <c r="AN64">
        <v>250</v>
      </c>
      <c r="AO64">
        <v>260</v>
      </c>
      <c r="AP64">
        <v>350</v>
      </c>
      <c r="AQ64">
        <v>250</v>
      </c>
      <c r="AR64">
        <v>240</v>
      </c>
      <c r="AS64">
        <v>520</v>
      </c>
      <c r="AT64">
        <v>350</v>
      </c>
      <c r="AU64">
        <v>477.5</v>
      </c>
      <c r="AV64">
        <v>230</v>
      </c>
      <c r="AW64">
        <v>220</v>
      </c>
      <c r="AX64">
        <v>230</v>
      </c>
      <c r="AY64">
        <v>190</v>
      </c>
      <c r="AZ64">
        <v>260</v>
      </c>
      <c r="BA64">
        <v>240</v>
      </c>
      <c r="BB64">
        <v>220</v>
      </c>
      <c r="BC64">
        <v>240</v>
      </c>
      <c r="BD64">
        <v>225</v>
      </c>
      <c r="BE64">
        <v>240</v>
      </c>
      <c r="BF64">
        <v>250</v>
      </c>
      <c r="BG64">
        <v>200</v>
      </c>
      <c r="BH64">
        <v>235</v>
      </c>
    </row>
    <row r="65" spans="1:60" x14ac:dyDescent="0.25">
      <c r="A65" s="3"/>
      <c r="B65" s="2">
        <v>38687</v>
      </c>
      <c r="C65">
        <v>260</v>
      </c>
      <c r="D65">
        <v>475</v>
      </c>
      <c r="E65">
        <v>385</v>
      </c>
      <c r="F65">
        <v>390</v>
      </c>
      <c r="G65">
        <v>515</v>
      </c>
      <c r="H65">
        <v>460</v>
      </c>
      <c r="I65">
        <v>390</v>
      </c>
      <c r="J65">
        <v>775</v>
      </c>
      <c r="K65">
        <v>675</v>
      </c>
      <c r="L65">
        <v>482.5</v>
      </c>
      <c r="M65">
        <v>430</v>
      </c>
      <c r="N65">
        <v>700</v>
      </c>
      <c r="O65">
        <v>687.5</v>
      </c>
      <c r="P65">
        <v>320</v>
      </c>
      <c r="Q65">
        <v>270</v>
      </c>
      <c r="R65">
        <v>265</v>
      </c>
      <c r="S65">
        <v>360</v>
      </c>
      <c r="T65">
        <v>300</v>
      </c>
      <c r="U65">
        <v>420</v>
      </c>
      <c r="V65">
        <v>450</v>
      </c>
      <c r="W65">
        <v>310</v>
      </c>
      <c r="X65">
        <v>330</v>
      </c>
      <c r="Y65">
        <v>480</v>
      </c>
      <c r="Z65">
        <v>637.5</v>
      </c>
      <c r="AA65">
        <v>272.5</v>
      </c>
      <c r="AB65">
        <v>325</v>
      </c>
      <c r="AC65">
        <v>360</v>
      </c>
      <c r="AD65">
        <v>370</v>
      </c>
      <c r="AE65">
        <v>527.5</v>
      </c>
      <c r="AF65">
        <v>250</v>
      </c>
      <c r="AG65">
        <v>320</v>
      </c>
      <c r="AH65">
        <v>235</v>
      </c>
      <c r="AI65">
        <v>230</v>
      </c>
      <c r="AJ65">
        <v>260</v>
      </c>
      <c r="AK65">
        <v>220</v>
      </c>
      <c r="AL65">
        <v>240</v>
      </c>
      <c r="AM65">
        <v>255</v>
      </c>
      <c r="AN65">
        <v>245</v>
      </c>
      <c r="AO65">
        <v>250</v>
      </c>
      <c r="AP65">
        <v>350</v>
      </c>
      <c r="AQ65">
        <v>255</v>
      </c>
      <c r="AR65">
        <v>245</v>
      </c>
      <c r="AS65">
        <v>490</v>
      </c>
      <c r="AT65">
        <v>360</v>
      </c>
      <c r="AU65">
        <v>480</v>
      </c>
      <c r="AV65">
        <v>230</v>
      </c>
      <c r="AW65">
        <v>230</v>
      </c>
      <c r="AX65">
        <v>240</v>
      </c>
      <c r="AY65">
        <v>190</v>
      </c>
      <c r="AZ65">
        <v>260</v>
      </c>
      <c r="BA65">
        <v>235</v>
      </c>
      <c r="BB65">
        <v>230</v>
      </c>
      <c r="BC65">
        <v>250</v>
      </c>
      <c r="BD65">
        <v>220</v>
      </c>
      <c r="BE65">
        <v>240</v>
      </c>
      <c r="BF65">
        <v>250</v>
      </c>
      <c r="BG65">
        <v>200</v>
      </c>
      <c r="BH65">
        <v>240</v>
      </c>
    </row>
    <row r="66" spans="1:60" x14ac:dyDescent="0.25">
      <c r="A66" s="3"/>
      <c r="B66" s="2">
        <v>38777</v>
      </c>
      <c r="C66">
        <v>265</v>
      </c>
      <c r="D66">
        <v>475</v>
      </c>
      <c r="E66">
        <v>385</v>
      </c>
      <c r="F66">
        <v>390</v>
      </c>
      <c r="G66">
        <v>497.5</v>
      </c>
      <c r="H66">
        <v>480</v>
      </c>
      <c r="I66">
        <v>392.5</v>
      </c>
      <c r="J66">
        <v>767.5</v>
      </c>
      <c r="K66">
        <v>650</v>
      </c>
      <c r="L66">
        <v>470</v>
      </c>
      <c r="M66">
        <v>470</v>
      </c>
      <c r="N66">
        <v>720</v>
      </c>
      <c r="O66">
        <v>950</v>
      </c>
      <c r="P66">
        <v>320</v>
      </c>
      <c r="Q66">
        <v>270</v>
      </c>
      <c r="R66">
        <v>270</v>
      </c>
      <c r="S66">
        <v>360</v>
      </c>
      <c r="T66">
        <v>310</v>
      </c>
      <c r="U66">
        <v>400</v>
      </c>
      <c r="V66" t="s">
        <v>21</v>
      </c>
      <c r="W66">
        <v>320</v>
      </c>
      <c r="X66">
        <v>360</v>
      </c>
      <c r="Y66">
        <v>520</v>
      </c>
      <c r="Z66">
        <v>600</v>
      </c>
      <c r="AA66">
        <v>280</v>
      </c>
      <c r="AB66">
        <v>337.5</v>
      </c>
      <c r="AC66">
        <v>360</v>
      </c>
      <c r="AD66">
        <v>350</v>
      </c>
      <c r="AE66">
        <v>535</v>
      </c>
      <c r="AF66">
        <v>250</v>
      </c>
      <c r="AG66">
        <v>320</v>
      </c>
      <c r="AH66">
        <v>240</v>
      </c>
      <c r="AI66">
        <v>230</v>
      </c>
      <c r="AJ66">
        <v>260</v>
      </c>
      <c r="AK66">
        <v>220</v>
      </c>
      <c r="AL66">
        <v>240</v>
      </c>
      <c r="AM66">
        <v>260</v>
      </c>
      <c r="AN66">
        <v>250</v>
      </c>
      <c r="AO66">
        <v>260</v>
      </c>
      <c r="AP66">
        <v>350</v>
      </c>
      <c r="AQ66">
        <v>260</v>
      </c>
      <c r="AR66">
        <v>240</v>
      </c>
      <c r="AS66">
        <v>500</v>
      </c>
      <c r="AT66">
        <v>360</v>
      </c>
      <c r="AU66">
        <v>480</v>
      </c>
      <c r="AV66">
        <v>225</v>
      </c>
      <c r="AW66">
        <v>230</v>
      </c>
      <c r="AX66">
        <v>240</v>
      </c>
      <c r="AY66">
        <v>195</v>
      </c>
      <c r="AZ66">
        <v>270</v>
      </c>
      <c r="BA66">
        <v>240</v>
      </c>
      <c r="BB66">
        <v>230</v>
      </c>
      <c r="BC66">
        <v>250</v>
      </c>
      <c r="BD66">
        <v>225</v>
      </c>
      <c r="BE66">
        <v>250</v>
      </c>
      <c r="BF66">
        <v>260</v>
      </c>
      <c r="BG66">
        <v>210</v>
      </c>
      <c r="BH66">
        <v>240</v>
      </c>
    </row>
    <row r="67" spans="1:60" x14ac:dyDescent="0.25">
      <c r="A67" s="3"/>
      <c r="B67" s="2">
        <v>38869</v>
      </c>
      <c r="C67">
        <v>265</v>
      </c>
      <c r="D67">
        <v>500</v>
      </c>
      <c r="E67">
        <v>385</v>
      </c>
      <c r="F67">
        <v>420</v>
      </c>
      <c r="G67">
        <v>500</v>
      </c>
      <c r="H67">
        <v>500</v>
      </c>
      <c r="I67">
        <v>395</v>
      </c>
      <c r="J67" t="s">
        <v>21</v>
      </c>
      <c r="K67">
        <v>662.5</v>
      </c>
      <c r="L67">
        <v>542.5</v>
      </c>
      <c r="M67">
        <v>490</v>
      </c>
      <c r="N67">
        <v>690</v>
      </c>
      <c r="O67">
        <v>650</v>
      </c>
      <c r="P67">
        <v>330</v>
      </c>
      <c r="Q67">
        <v>272.5</v>
      </c>
      <c r="R67">
        <v>270</v>
      </c>
      <c r="S67">
        <v>360</v>
      </c>
      <c r="T67">
        <v>310</v>
      </c>
      <c r="U67">
        <v>400</v>
      </c>
      <c r="V67" t="s">
        <v>21</v>
      </c>
      <c r="W67">
        <v>330</v>
      </c>
      <c r="X67">
        <v>360</v>
      </c>
      <c r="Y67">
        <v>480</v>
      </c>
      <c r="Z67">
        <v>600</v>
      </c>
      <c r="AA67">
        <v>280</v>
      </c>
      <c r="AB67">
        <v>340</v>
      </c>
      <c r="AC67">
        <v>380</v>
      </c>
      <c r="AD67">
        <v>350</v>
      </c>
      <c r="AE67">
        <v>550</v>
      </c>
      <c r="AF67">
        <v>250</v>
      </c>
      <c r="AG67">
        <v>330</v>
      </c>
      <c r="AH67">
        <v>235</v>
      </c>
      <c r="AI67">
        <v>230</v>
      </c>
      <c r="AJ67">
        <v>260</v>
      </c>
      <c r="AK67">
        <v>220</v>
      </c>
      <c r="AL67">
        <v>245</v>
      </c>
      <c r="AM67">
        <v>265</v>
      </c>
      <c r="AN67">
        <v>250</v>
      </c>
      <c r="AO67">
        <v>260</v>
      </c>
      <c r="AP67">
        <v>360</v>
      </c>
      <c r="AQ67">
        <v>257.5</v>
      </c>
      <c r="AR67">
        <v>245</v>
      </c>
      <c r="AS67">
        <v>540</v>
      </c>
      <c r="AT67">
        <v>365</v>
      </c>
      <c r="AU67">
        <v>490</v>
      </c>
      <c r="AV67">
        <v>230</v>
      </c>
      <c r="AW67">
        <v>230</v>
      </c>
      <c r="AX67">
        <v>240</v>
      </c>
      <c r="AY67">
        <v>190</v>
      </c>
      <c r="AZ67">
        <v>270</v>
      </c>
      <c r="BA67">
        <v>240</v>
      </c>
      <c r="BB67">
        <v>230</v>
      </c>
      <c r="BC67">
        <v>260</v>
      </c>
      <c r="BD67">
        <v>225</v>
      </c>
      <c r="BE67">
        <v>240</v>
      </c>
      <c r="BF67">
        <v>260</v>
      </c>
      <c r="BG67">
        <v>210</v>
      </c>
      <c r="BH67">
        <v>240</v>
      </c>
    </row>
    <row r="68" spans="1:60" x14ac:dyDescent="0.25">
      <c r="A68" s="3"/>
      <c r="B68" s="2">
        <v>38961</v>
      </c>
      <c r="C68">
        <v>270</v>
      </c>
      <c r="D68">
        <v>492.5</v>
      </c>
      <c r="E68">
        <v>400</v>
      </c>
      <c r="F68">
        <v>430</v>
      </c>
      <c r="G68">
        <v>500</v>
      </c>
      <c r="H68">
        <v>500</v>
      </c>
      <c r="I68">
        <v>400</v>
      </c>
      <c r="J68">
        <v>690</v>
      </c>
      <c r="K68">
        <v>750</v>
      </c>
      <c r="L68">
        <v>480</v>
      </c>
      <c r="M68">
        <v>500</v>
      </c>
      <c r="N68">
        <v>692.5</v>
      </c>
      <c r="O68">
        <v>680</v>
      </c>
      <c r="P68">
        <v>340</v>
      </c>
      <c r="Q68">
        <v>280</v>
      </c>
      <c r="R68">
        <v>280</v>
      </c>
      <c r="S68">
        <v>355</v>
      </c>
      <c r="T68">
        <v>330</v>
      </c>
      <c r="U68">
        <v>415</v>
      </c>
      <c r="V68" t="s">
        <v>21</v>
      </c>
      <c r="W68">
        <v>330</v>
      </c>
      <c r="X68">
        <v>365</v>
      </c>
      <c r="Y68">
        <v>500</v>
      </c>
      <c r="Z68">
        <v>700</v>
      </c>
      <c r="AA68">
        <v>290</v>
      </c>
      <c r="AB68">
        <v>350</v>
      </c>
      <c r="AC68">
        <v>380</v>
      </c>
      <c r="AD68">
        <v>360</v>
      </c>
      <c r="AE68">
        <v>547.5</v>
      </c>
      <c r="AF68">
        <v>250</v>
      </c>
      <c r="AG68">
        <v>340</v>
      </c>
      <c r="AH68">
        <v>240</v>
      </c>
      <c r="AI68">
        <v>240</v>
      </c>
      <c r="AJ68">
        <v>270</v>
      </c>
      <c r="AK68">
        <v>235</v>
      </c>
      <c r="AL68">
        <v>250</v>
      </c>
      <c r="AM68">
        <v>265</v>
      </c>
      <c r="AN68">
        <v>250</v>
      </c>
      <c r="AO68">
        <v>270</v>
      </c>
      <c r="AP68">
        <v>360</v>
      </c>
      <c r="AQ68">
        <v>265</v>
      </c>
      <c r="AR68">
        <v>250</v>
      </c>
      <c r="AS68">
        <v>525</v>
      </c>
      <c r="AT68">
        <v>370</v>
      </c>
      <c r="AU68">
        <v>500</v>
      </c>
      <c r="AV68">
        <v>240</v>
      </c>
      <c r="AW68">
        <v>230</v>
      </c>
      <c r="AX68">
        <v>243.5</v>
      </c>
      <c r="AY68">
        <v>195</v>
      </c>
      <c r="AZ68">
        <v>275</v>
      </c>
      <c r="BA68">
        <v>250</v>
      </c>
      <c r="BB68">
        <v>230</v>
      </c>
      <c r="BC68">
        <v>260</v>
      </c>
      <c r="BD68">
        <v>230</v>
      </c>
      <c r="BE68">
        <v>245</v>
      </c>
      <c r="BF68">
        <v>265</v>
      </c>
      <c r="BG68">
        <v>210</v>
      </c>
      <c r="BH68">
        <v>245</v>
      </c>
    </row>
    <row r="69" spans="1:60" x14ac:dyDescent="0.25">
      <c r="A69" s="3"/>
      <c r="B69" s="2">
        <v>39052</v>
      </c>
      <c r="C69">
        <v>275</v>
      </c>
      <c r="D69">
        <v>510</v>
      </c>
      <c r="E69">
        <v>397.5</v>
      </c>
      <c r="F69">
        <v>400</v>
      </c>
      <c r="G69">
        <v>600</v>
      </c>
      <c r="H69">
        <v>520</v>
      </c>
      <c r="I69">
        <v>410</v>
      </c>
      <c r="J69">
        <v>760</v>
      </c>
      <c r="K69">
        <v>650</v>
      </c>
      <c r="L69">
        <v>500</v>
      </c>
      <c r="M69">
        <v>510</v>
      </c>
      <c r="N69">
        <v>775</v>
      </c>
      <c r="O69">
        <v>875</v>
      </c>
      <c r="P69">
        <v>345</v>
      </c>
      <c r="Q69">
        <v>290</v>
      </c>
      <c r="R69">
        <v>280</v>
      </c>
      <c r="S69">
        <v>372.5</v>
      </c>
      <c r="T69">
        <v>320</v>
      </c>
      <c r="U69">
        <v>400</v>
      </c>
      <c r="V69">
        <v>450</v>
      </c>
      <c r="W69">
        <v>350</v>
      </c>
      <c r="X69">
        <v>360</v>
      </c>
      <c r="Y69">
        <v>500</v>
      </c>
      <c r="Z69">
        <v>700</v>
      </c>
      <c r="AA69">
        <v>290</v>
      </c>
      <c r="AB69">
        <v>350</v>
      </c>
      <c r="AC69">
        <v>400</v>
      </c>
      <c r="AD69">
        <v>360</v>
      </c>
      <c r="AE69">
        <v>600</v>
      </c>
      <c r="AF69">
        <v>260</v>
      </c>
      <c r="AG69">
        <v>332.5</v>
      </c>
      <c r="AH69">
        <v>250</v>
      </c>
      <c r="AI69">
        <v>235</v>
      </c>
      <c r="AJ69">
        <v>270</v>
      </c>
      <c r="AK69">
        <v>230</v>
      </c>
      <c r="AL69">
        <v>250</v>
      </c>
      <c r="AM69">
        <v>260</v>
      </c>
      <c r="AN69">
        <v>250</v>
      </c>
      <c r="AO69">
        <v>270</v>
      </c>
      <c r="AP69">
        <v>360</v>
      </c>
      <c r="AQ69">
        <v>270</v>
      </c>
      <c r="AR69">
        <v>250</v>
      </c>
      <c r="AS69">
        <v>550</v>
      </c>
      <c r="AT69">
        <v>380</v>
      </c>
      <c r="AU69">
        <v>525</v>
      </c>
      <c r="AV69">
        <v>230</v>
      </c>
      <c r="AW69">
        <v>230</v>
      </c>
      <c r="AX69">
        <v>250</v>
      </c>
      <c r="AY69">
        <v>200</v>
      </c>
      <c r="AZ69">
        <v>275</v>
      </c>
      <c r="BA69">
        <v>250</v>
      </c>
      <c r="BB69">
        <v>235</v>
      </c>
      <c r="BC69">
        <v>270</v>
      </c>
      <c r="BD69">
        <v>237.5</v>
      </c>
      <c r="BE69">
        <v>250</v>
      </c>
      <c r="BF69">
        <v>260</v>
      </c>
      <c r="BG69">
        <v>220</v>
      </c>
      <c r="BH69">
        <v>250</v>
      </c>
    </row>
    <row r="70" spans="1:60" x14ac:dyDescent="0.25">
      <c r="A70" s="3"/>
      <c r="B70" s="2">
        <v>39142</v>
      </c>
      <c r="C70">
        <v>280</v>
      </c>
      <c r="D70">
        <v>525</v>
      </c>
      <c r="E70">
        <v>430</v>
      </c>
      <c r="F70">
        <v>465</v>
      </c>
      <c r="G70">
        <v>555</v>
      </c>
      <c r="H70">
        <v>512.5</v>
      </c>
      <c r="I70">
        <v>450</v>
      </c>
      <c r="J70">
        <v>820</v>
      </c>
      <c r="K70">
        <v>650</v>
      </c>
      <c r="L70">
        <v>500</v>
      </c>
      <c r="M70">
        <v>495</v>
      </c>
      <c r="N70">
        <v>780</v>
      </c>
      <c r="O70">
        <v>920</v>
      </c>
      <c r="P70">
        <v>350</v>
      </c>
      <c r="Q70">
        <v>290</v>
      </c>
      <c r="R70">
        <v>290</v>
      </c>
      <c r="S70">
        <v>380</v>
      </c>
      <c r="T70">
        <v>330</v>
      </c>
      <c r="U70">
        <v>450</v>
      </c>
      <c r="V70" t="s">
        <v>21</v>
      </c>
      <c r="W70">
        <v>350</v>
      </c>
      <c r="X70">
        <v>350</v>
      </c>
      <c r="Y70">
        <v>500</v>
      </c>
      <c r="Z70">
        <v>750</v>
      </c>
      <c r="AA70">
        <v>300</v>
      </c>
      <c r="AB70">
        <v>370</v>
      </c>
      <c r="AC70">
        <v>380</v>
      </c>
      <c r="AD70">
        <v>400</v>
      </c>
      <c r="AE70">
        <v>575</v>
      </c>
      <c r="AF70">
        <v>260</v>
      </c>
      <c r="AG70">
        <v>350</v>
      </c>
      <c r="AH70">
        <v>250</v>
      </c>
      <c r="AI70">
        <v>240</v>
      </c>
      <c r="AJ70">
        <v>270</v>
      </c>
      <c r="AK70">
        <v>235</v>
      </c>
      <c r="AL70">
        <v>260</v>
      </c>
      <c r="AM70">
        <v>270</v>
      </c>
      <c r="AN70">
        <v>260</v>
      </c>
      <c r="AO70">
        <v>280</v>
      </c>
      <c r="AP70">
        <v>380</v>
      </c>
      <c r="AQ70">
        <v>275</v>
      </c>
      <c r="AR70">
        <v>250</v>
      </c>
      <c r="AS70">
        <v>535</v>
      </c>
      <c r="AT70">
        <v>400</v>
      </c>
      <c r="AU70">
        <v>520</v>
      </c>
      <c r="AV70">
        <v>240</v>
      </c>
      <c r="AW70">
        <v>240</v>
      </c>
      <c r="AX70">
        <v>250</v>
      </c>
      <c r="AY70">
        <v>200</v>
      </c>
      <c r="AZ70">
        <v>280</v>
      </c>
      <c r="BA70">
        <v>250</v>
      </c>
      <c r="BB70">
        <v>235</v>
      </c>
      <c r="BC70">
        <v>280</v>
      </c>
      <c r="BD70">
        <v>240</v>
      </c>
      <c r="BE70">
        <v>250</v>
      </c>
      <c r="BF70">
        <v>270</v>
      </c>
      <c r="BG70">
        <v>220</v>
      </c>
      <c r="BH70">
        <v>250</v>
      </c>
    </row>
    <row r="71" spans="1:60" x14ac:dyDescent="0.25">
      <c r="A71" s="3"/>
      <c r="B71" s="2">
        <v>39234</v>
      </c>
      <c r="C71">
        <v>280</v>
      </c>
      <c r="D71">
        <v>540</v>
      </c>
      <c r="E71">
        <v>465</v>
      </c>
      <c r="F71">
        <v>450</v>
      </c>
      <c r="G71">
        <v>580</v>
      </c>
      <c r="H71">
        <v>520</v>
      </c>
      <c r="I71">
        <v>440</v>
      </c>
      <c r="J71" t="s">
        <v>21</v>
      </c>
      <c r="K71">
        <v>710</v>
      </c>
      <c r="L71">
        <v>550</v>
      </c>
      <c r="M71">
        <v>537.5</v>
      </c>
      <c r="N71">
        <v>660</v>
      </c>
      <c r="O71">
        <v>1000</v>
      </c>
      <c r="P71">
        <v>360</v>
      </c>
      <c r="Q71">
        <v>290</v>
      </c>
      <c r="R71">
        <v>300</v>
      </c>
      <c r="S71">
        <v>375</v>
      </c>
      <c r="T71">
        <v>350</v>
      </c>
      <c r="U71">
        <v>440</v>
      </c>
      <c r="V71" t="s">
        <v>21</v>
      </c>
      <c r="W71">
        <v>350</v>
      </c>
      <c r="X71">
        <v>400</v>
      </c>
      <c r="Y71">
        <v>530</v>
      </c>
      <c r="Z71">
        <v>750</v>
      </c>
      <c r="AA71">
        <v>310</v>
      </c>
      <c r="AB71">
        <v>382.5</v>
      </c>
      <c r="AC71">
        <v>400</v>
      </c>
      <c r="AD71">
        <v>400</v>
      </c>
      <c r="AE71">
        <v>650</v>
      </c>
      <c r="AF71">
        <v>265</v>
      </c>
      <c r="AG71">
        <v>350</v>
      </c>
      <c r="AH71">
        <v>255</v>
      </c>
      <c r="AI71">
        <v>245</v>
      </c>
      <c r="AJ71">
        <v>280</v>
      </c>
      <c r="AK71">
        <v>250</v>
      </c>
      <c r="AL71">
        <v>260</v>
      </c>
      <c r="AM71">
        <v>270</v>
      </c>
      <c r="AN71">
        <v>265</v>
      </c>
      <c r="AO71">
        <v>290</v>
      </c>
      <c r="AP71">
        <v>390</v>
      </c>
      <c r="AQ71">
        <v>280</v>
      </c>
      <c r="AR71">
        <v>260</v>
      </c>
      <c r="AS71">
        <v>575</v>
      </c>
      <c r="AT71">
        <v>405</v>
      </c>
      <c r="AU71">
        <v>550</v>
      </c>
      <c r="AV71">
        <v>240</v>
      </c>
      <c r="AW71">
        <v>240</v>
      </c>
      <c r="AX71">
        <v>260</v>
      </c>
      <c r="AY71">
        <v>210</v>
      </c>
      <c r="AZ71">
        <v>290</v>
      </c>
      <c r="BA71">
        <v>260</v>
      </c>
      <c r="BB71">
        <v>240</v>
      </c>
      <c r="BC71">
        <v>280</v>
      </c>
      <c r="BD71">
        <v>250</v>
      </c>
      <c r="BE71">
        <v>260</v>
      </c>
      <c r="BF71">
        <v>280</v>
      </c>
      <c r="BG71">
        <v>220</v>
      </c>
      <c r="BH71">
        <v>255</v>
      </c>
    </row>
    <row r="72" spans="1:60" x14ac:dyDescent="0.25">
      <c r="A72" s="3"/>
      <c r="B72" s="2">
        <v>39326</v>
      </c>
      <c r="C72">
        <v>295</v>
      </c>
      <c r="D72">
        <v>567.5</v>
      </c>
      <c r="E72">
        <v>450</v>
      </c>
      <c r="F72">
        <v>465</v>
      </c>
      <c r="G72">
        <v>585</v>
      </c>
      <c r="H72">
        <v>595</v>
      </c>
      <c r="I72">
        <v>460</v>
      </c>
      <c r="J72">
        <v>710</v>
      </c>
      <c r="K72">
        <v>650</v>
      </c>
      <c r="L72">
        <v>577.5</v>
      </c>
      <c r="M72">
        <v>550</v>
      </c>
      <c r="N72">
        <v>740</v>
      </c>
      <c r="O72">
        <v>825</v>
      </c>
      <c r="P72">
        <v>365</v>
      </c>
      <c r="Q72">
        <v>310</v>
      </c>
      <c r="R72">
        <v>320</v>
      </c>
      <c r="S72">
        <v>407.5</v>
      </c>
      <c r="T72">
        <v>350</v>
      </c>
      <c r="U72">
        <v>450</v>
      </c>
      <c r="V72" t="s">
        <v>21</v>
      </c>
      <c r="W72">
        <v>360</v>
      </c>
      <c r="X72">
        <v>380</v>
      </c>
      <c r="Y72">
        <v>537.5</v>
      </c>
      <c r="Z72">
        <v>650</v>
      </c>
      <c r="AA72">
        <v>320</v>
      </c>
      <c r="AB72">
        <v>390</v>
      </c>
      <c r="AC72">
        <v>400</v>
      </c>
      <c r="AD72">
        <v>390</v>
      </c>
      <c r="AE72">
        <v>630</v>
      </c>
      <c r="AF72">
        <v>270</v>
      </c>
      <c r="AG72">
        <v>360</v>
      </c>
      <c r="AH72">
        <v>260</v>
      </c>
      <c r="AI72">
        <v>250</v>
      </c>
      <c r="AJ72">
        <v>300</v>
      </c>
      <c r="AK72">
        <v>250</v>
      </c>
      <c r="AL72">
        <v>260</v>
      </c>
      <c r="AM72">
        <v>280</v>
      </c>
      <c r="AN72">
        <v>265</v>
      </c>
      <c r="AO72">
        <v>290</v>
      </c>
      <c r="AP72">
        <v>390</v>
      </c>
      <c r="AQ72">
        <v>282.5</v>
      </c>
      <c r="AR72">
        <v>260</v>
      </c>
      <c r="AS72">
        <v>550</v>
      </c>
      <c r="AT72">
        <v>410</v>
      </c>
      <c r="AU72">
        <v>550</v>
      </c>
      <c r="AV72">
        <v>250</v>
      </c>
      <c r="AW72">
        <v>240</v>
      </c>
      <c r="AX72">
        <v>260</v>
      </c>
      <c r="AY72">
        <v>205</v>
      </c>
      <c r="AZ72">
        <v>290</v>
      </c>
      <c r="BA72">
        <v>265</v>
      </c>
      <c r="BB72">
        <v>240</v>
      </c>
      <c r="BC72">
        <v>280</v>
      </c>
      <c r="BD72">
        <v>230</v>
      </c>
      <c r="BE72">
        <v>260</v>
      </c>
      <c r="BF72">
        <v>280</v>
      </c>
      <c r="BG72">
        <v>220</v>
      </c>
      <c r="BH72">
        <v>260</v>
      </c>
    </row>
    <row r="73" spans="1:60" x14ac:dyDescent="0.25">
      <c r="A73" s="3"/>
      <c r="B73" s="2">
        <v>39417</v>
      </c>
      <c r="C73">
        <v>310</v>
      </c>
      <c r="D73">
        <v>560</v>
      </c>
      <c r="E73">
        <v>450</v>
      </c>
      <c r="F73">
        <v>500</v>
      </c>
      <c r="G73">
        <v>545</v>
      </c>
      <c r="H73">
        <v>572.5</v>
      </c>
      <c r="I73">
        <v>480</v>
      </c>
      <c r="J73">
        <v>740</v>
      </c>
      <c r="K73">
        <v>730</v>
      </c>
      <c r="L73">
        <v>567.5</v>
      </c>
      <c r="M73">
        <v>550</v>
      </c>
      <c r="N73">
        <v>750</v>
      </c>
      <c r="O73">
        <v>987.5</v>
      </c>
      <c r="P73">
        <v>390</v>
      </c>
      <c r="Q73">
        <v>325</v>
      </c>
      <c r="R73">
        <v>320</v>
      </c>
      <c r="S73">
        <v>415</v>
      </c>
      <c r="T73">
        <v>380</v>
      </c>
      <c r="U73">
        <v>500</v>
      </c>
      <c r="V73" t="s">
        <v>21</v>
      </c>
      <c r="W73">
        <v>370</v>
      </c>
      <c r="X73">
        <v>400</v>
      </c>
      <c r="Y73">
        <v>550</v>
      </c>
      <c r="Z73">
        <v>717.5</v>
      </c>
      <c r="AA73">
        <v>340</v>
      </c>
      <c r="AB73">
        <v>410</v>
      </c>
      <c r="AC73">
        <v>420</v>
      </c>
      <c r="AD73">
        <v>450</v>
      </c>
      <c r="AE73">
        <v>630</v>
      </c>
      <c r="AF73">
        <v>280</v>
      </c>
      <c r="AG73">
        <v>375</v>
      </c>
      <c r="AH73">
        <v>275</v>
      </c>
      <c r="AI73">
        <v>250</v>
      </c>
      <c r="AJ73">
        <v>300</v>
      </c>
      <c r="AK73">
        <v>250</v>
      </c>
      <c r="AL73">
        <v>280</v>
      </c>
      <c r="AM73">
        <v>290</v>
      </c>
      <c r="AN73">
        <v>275</v>
      </c>
      <c r="AO73">
        <v>310</v>
      </c>
      <c r="AP73">
        <v>410</v>
      </c>
      <c r="AQ73">
        <v>300</v>
      </c>
      <c r="AR73">
        <v>270</v>
      </c>
      <c r="AS73">
        <v>580</v>
      </c>
      <c r="AT73">
        <v>430</v>
      </c>
      <c r="AU73">
        <v>560</v>
      </c>
      <c r="AV73">
        <v>265</v>
      </c>
      <c r="AW73">
        <v>250</v>
      </c>
      <c r="AX73">
        <v>270</v>
      </c>
      <c r="AY73">
        <v>220</v>
      </c>
      <c r="AZ73">
        <v>295</v>
      </c>
      <c r="BA73">
        <v>275</v>
      </c>
      <c r="BB73">
        <v>252.5</v>
      </c>
      <c r="BC73">
        <v>295</v>
      </c>
      <c r="BD73">
        <v>242.5</v>
      </c>
      <c r="BE73">
        <v>260</v>
      </c>
      <c r="BF73">
        <v>280</v>
      </c>
      <c r="BG73">
        <v>230</v>
      </c>
      <c r="BH73">
        <v>270</v>
      </c>
    </row>
    <row r="74" spans="1:60" x14ac:dyDescent="0.25">
      <c r="A74" s="3"/>
      <c r="B74" s="2">
        <v>39508</v>
      </c>
      <c r="C74">
        <v>320</v>
      </c>
      <c r="D74">
        <v>600</v>
      </c>
      <c r="E74">
        <v>520</v>
      </c>
      <c r="F74">
        <v>525</v>
      </c>
      <c r="G74">
        <v>550</v>
      </c>
      <c r="H74">
        <v>630</v>
      </c>
      <c r="I74">
        <v>500</v>
      </c>
      <c r="J74" t="s">
        <v>21</v>
      </c>
      <c r="K74">
        <v>750</v>
      </c>
      <c r="L74">
        <v>600</v>
      </c>
      <c r="M74">
        <v>655</v>
      </c>
      <c r="N74">
        <v>850</v>
      </c>
      <c r="O74">
        <v>930</v>
      </c>
      <c r="P74">
        <v>400</v>
      </c>
      <c r="Q74">
        <v>325</v>
      </c>
      <c r="R74">
        <v>340</v>
      </c>
      <c r="S74">
        <v>445</v>
      </c>
      <c r="T74">
        <v>380</v>
      </c>
      <c r="U74">
        <v>500</v>
      </c>
      <c r="V74">
        <v>590</v>
      </c>
      <c r="W74">
        <v>400</v>
      </c>
      <c r="X74">
        <v>430</v>
      </c>
      <c r="Y74">
        <v>615</v>
      </c>
      <c r="Z74">
        <v>700</v>
      </c>
      <c r="AA74">
        <v>340</v>
      </c>
      <c r="AB74">
        <v>415</v>
      </c>
      <c r="AC74">
        <v>450</v>
      </c>
      <c r="AD74">
        <v>480</v>
      </c>
      <c r="AE74">
        <v>690</v>
      </c>
      <c r="AF74">
        <v>290</v>
      </c>
      <c r="AG74">
        <v>390</v>
      </c>
      <c r="AH74">
        <v>280</v>
      </c>
      <c r="AI74">
        <v>260</v>
      </c>
      <c r="AJ74">
        <v>300</v>
      </c>
      <c r="AK74">
        <v>267.5</v>
      </c>
      <c r="AL74">
        <v>280</v>
      </c>
      <c r="AM74">
        <v>290</v>
      </c>
      <c r="AN74">
        <v>290</v>
      </c>
      <c r="AO74">
        <v>320</v>
      </c>
      <c r="AP74">
        <v>425</v>
      </c>
      <c r="AQ74">
        <v>300</v>
      </c>
      <c r="AR74">
        <v>270</v>
      </c>
      <c r="AS74">
        <v>630</v>
      </c>
      <c r="AT74">
        <v>430</v>
      </c>
      <c r="AU74">
        <v>600</v>
      </c>
      <c r="AV74">
        <v>260</v>
      </c>
      <c r="AW74">
        <v>250</v>
      </c>
      <c r="AX74">
        <v>280</v>
      </c>
      <c r="AY74">
        <v>220</v>
      </c>
      <c r="AZ74">
        <v>310</v>
      </c>
      <c r="BA74">
        <v>280</v>
      </c>
      <c r="BB74">
        <v>260</v>
      </c>
      <c r="BC74">
        <v>300</v>
      </c>
      <c r="BD74">
        <v>250</v>
      </c>
      <c r="BE74">
        <v>280</v>
      </c>
      <c r="BF74">
        <v>300</v>
      </c>
      <c r="BG74">
        <v>235</v>
      </c>
      <c r="BH74">
        <v>270</v>
      </c>
    </row>
    <row r="75" spans="1:60" x14ac:dyDescent="0.25">
      <c r="A75" s="3"/>
      <c r="B75" s="2">
        <v>39600</v>
      </c>
      <c r="C75">
        <v>330</v>
      </c>
      <c r="D75">
        <v>637.5</v>
      </c>
      <c r="E75">
        <v>540</v>
      </c>
      <c r="F75">
        <v>550</v>
      </c>
      <c r="G75">
        <v>700</v>
      </c>
      <c r="H75">
        <v>650</v>
      </c>
      <c r="I75">
        <v>550</v>
      </c>
      <c r="J75">
        <v>770</v>
      </c>
      <c r="K75">
        <v>805</v>
      </c>
      <c r="L75">
        <v>700</v>
      </c>
      <c r="M75">
        <v>635</v>
      </c>
      <c r="N75">
        <v>995</v>
      </c>
      <c r="O75">
        <v>1160</v>
      </c>
      <c r="P75">
        <v>410</v>
      </c>
      <c r="Q75">
        <v>360</v>
      </c>
      <c r="R75">
        <v>350</v>
      </c>
      <c r="S75">
        <v>450</v>
      </c>
      <c r="T75">
        <v>410</v>
      </c>
      <c r="U75">
        <v>500</v>
      </c>
      <c r="V75">
        <v>675</v>
      </c>
      <c r="W75">
        <v>410</v>
      </c>
      <c r="X75">
        <v>450</v>
      </c>
      <c r="Y75">
        <v>600</v>
      </c>
      <c r="Z75">
        <v>710</v>
      </c>
      <c r="AA75">
        <v>360</v>
      </c>
      <c r="AB75">
        <v>460</v>
      </c>
      <c r="AC75">
        <v>450</v>
      </c>
      <c r="AD75">
        <v>450</v>
      </c>
      <c r="AE75">
        <v>697.5</v>
      </c>
      <c r="AF75">
        <v>300</v>
      </c>
      <c r="AG75">
        <v>420</v>
      </c>
      <c r="AH75">
        <v>300</v>
      </c>
      <c r="AI75">
        <v>267.5</v>
      </c>
      <c r="AJ75">
        <v>310</v>
      </c>
      <c r="AK75">
        <v>270</v>
      </c>
      <c r="AL75">
        <v>300</v>
      </c>
      <c r="AM75">
        <v>300</v>
      </c>
      <c r="AN75">
        <v>287.5</v>
      </c>
      <c r="AO75">
        <v>330</v>
      </c>
      <c r="AP75">
        <v>460</v>
      </c>
      <c r="AQ75">
        <v>320</v>
      </c>
      <c r="AR75">
        <v>280</v>
      </c>
      <c r="AS75">
        <v>600</v>
      </c>
      <c r="AT75">
        <v>450</v>
      </c>
      <c r="AU75">
        <v>600</v>
      </c>
      <c r="AV75">
        <v>275</v>
      </c>
      <c r="AW75">
        <v>260</v>
      </c>
      <c r="AX75">
        <v>290</v>
      </c>
      <c r="AY75">
        <v>230</v>
      </c>
      <c r="AZ75">
        <v>310</v>
      </c>
      <c r="BA75">
        <v>290</v>
      </c>
      <c r="BB75">
        <v>265</v>
      </c>
      <c r="BC75">
        <v>310</v>
      </c>
      <c r="BD75">
        <v>260</v>
      </c>
      <c r="BE75">
        <v>282.5</v>
      </c>
      <c r="BF75">
        <v>300</v>
      </c>
      <c r="BG75">
        <v>240</v>
      </c>
      <c r="BH75">
        <v>280</v>
      </c>
    </row>
    <row r="76" spans="1:60" x14ac:dyDescent="0.25">
      <c r="A76" s="3"/>
      <c r="B76" s="2">
        <v>39692</v>
      </c>
      <c r="C76">
        <v>347.5</v>
      </c>
      <c r="D76">
        <v>630</v>
      </c>
      <c r="E76">
        <v>520</v>
      </c>
      <c r="F76">
        <v>497.5</v>
      </c>
      <c r="G76">
        <v>620</v>
      </c>
      <c r="H76">
        <v>650</v>
      </c>
      <c r="I76">
        <v>535</v>
      </c>
      <c r="J76">
        <v>925</v>
      </c>
      <c r="K76">
        <v>700</v>
      </c>
      <c r="L76">
        <v>625</v>
      </c>
      <c r="M76">
        <v>630</v>
      </c>
      <c r="N76">
        <v>920</v>
      </c>
      <c r="O76">
        <v>900</v>
      </c>
      <c r="P76">
        <v>430</v>
      </c>
      <c r="Q76">
        <v>380</v>
      </c>
      <c r="R76">
        <v>360</v>
      </c>
      <c r="S76">
        <v>470</v>
      </c>
      <c r="T76">
        <v>450</v>
      </c>
      <c r="U76">
        <v>550</v>
      </c>
      <c r="V76">
        <v>600</v>
      </c>
      <c r="W76">
        <v>420</v>
      </c>
      <c r="X76">
        <v>460</v>
      </c>
      <c r="Y76">
        <v>597.5</v>
      </c>
      <c r="Z76">
        <v>785</v>
      </c>
      <c r="AA76">
        <v>360</v>
      </c>
      <c r="AB76">
        <v>470</v>
      </c>
      <c r="AC76">
        <v>475</v>
      </c>
      <c r="AD76">
        <v>460</v>
      </c>
      <c r="AE76">
        <v>690</v>
      </c>
      <c r="AF76">
        <v>310</v>
      </c>
      <c r="AG76">
        <v>420</v>
      </c>
      <c r="AH76">
        <v>300</v>
      </c>
      <c r="AI76">
        <v>267.5</v>
      </c>
      <c r="AJ76">
        <v>330</v>
      </c>
      <c r="AK76">
        <v>280</v>
      </c>
      <c r="AL76">
        <v>320</v>
      </c>
      <c r="AM76">
        <v>300</v>
      </c>
      <c r="AN76">
        <v>300</v>
      </c>
      <c r="AO76">
        <v>350</v>
      </c>
      <c r="AP76">
        <v>450</v>
      </c>
      <c r="AQ76">
        <v>340</v>
      </c>
      <c r="AR76">
        <v>300</v>
      </c>
      <c r="AS76">
        <v>600</v>
      </c>
      <c r="AT76">
        <v>460</v>
      </c>
      <c r="AU76">
        <v>620</v>
      </c>
      <c r="AV76">
        <v>270</v>
      </c>
      <c r="AW76">
        <v>265</v>
      </c>
      <c r="AX76">
        <v>285</v>
      </c>
      <c r="AY76">
        <v>230</v>
      </c>
      <c r="AZ76">
        <v>300</v>
      </c>
      <c r="BA76">
        <v>290</v>
      </c>
      <c r="BB76">
        <v>270</v>
      </c>
      <c r="BC76">
        <v>310</v>
      </c>
      <c r="BD76">
        <v>260</v>
      </c>
      <c r="BE76">
        <v>290</v>
      </c>
      <c r="BF76">
        <v>300</v>
      </c>
      <c r="BG76">
        <v>240</v>
      </c>
      <c r="BH76">
        <v>285</v>
      </c>
    </row>
    <row r="77" spans="1:60" x14ac:dyDescent="0.25">
      <c r="A77" s="3"/>
      <c r="B77" s="2">
        <v>39783</v>
      </c>
      <c r="C77">
        <v>350</v>
      </c>
      <c r="D77">
        <v>630</v>
      </c>
      <c r="E77">
        <v>500</v>
      </c>
      <c r="F77">
        <v>550</v>
      </c>
      <c r="G77">
        <v>695</v>
      </c>
      <c r="H77">
        <v>620</v>
      </c>
      <c r="I77">
        <v>550</v>
      </c>
      <c r="J77">
        <v>995</v>
      </c>
      <c r="K77">
        <v>850</v>
      </c>
      <c r="L77">
        <v>650</v>
      </c>
      <c r="M77">
        <v>650</v>
      </c>
      <c r="N77">
        <v>850</v>
      </c>
      <c r="O77">
        <v>1000</v>
      </c>
      <c r="P77">
        <v>425</v>
      </c>
      <c r="Q77">
        <v>370</v>
      </c>
      <c r="R77">
        <v>360</v>
      </c>
      <c r="S77">
        <v>465</v>
      </c>
      <c r="T77">
        <v>430</v>
      </c>
      <c r="U77">
        <v>550</v>
      </c>
      <c r="V77">
        <v>695</v>
      </c>
      <c r="W77">
        <v>420</v>
      </c>
      <c r="X77">
        <v>450</v>
      </c>
      <c r="Y77">
        <v>610</v>
      </c>
      <c r="Z77">
        <v>700</v>
      </c>
      <c r="AA77">
        <v>380</v>
      </c>
      <c r="AB77">
        <v>450</v>
      </c>
      <c r="AC77">
        <v>475</v>
      </c>
      <c r="AD77">
        <v>490</v>
      </c>
      <c r="AE77">
        <v>680</v>
      </c>
      <c r="AF77">
        <v>315</v>
      </c>
      <c r="AG77">
        <v>425</v>
      </c>
      <c r="AH77">
        <v>310</v>
      </c>
      <c r="AI77">
        <v>280</v>
      </c>
      <c r="AJ77">
        <v>330</v>
      </c>
      <c r="AK77">
        <v>290</v>
      </c>
      <c r="AL77">
        <v>330</v>
      </c>
      <c r="AM77">
        <v>310</v>
      </c>
      <c r="AN77">
        <v>300</v>
      </c>
      <c r="AO77">
        <v>350</v>
      </c>
      <c r="AP77">
        <v>440</v>
      </c>
      <c r="AQ77">
        <v>330</v>
      </c>
      <c r="AR77">
        <v>300</v>
      </c>
      <c r="AS77">
        <v>620</v>
      </c>
      <c r="AT77">
        <v>470</v>
      </c>
      <c r="AU77">
        <v>627.5</v>
      </c>
      <c r="AV77">
        <v>280</v>
      </c>
      <c r="AW77">
        <v>270</v>
      </c>
      <c r="AX77">
        <v>290</v>
      </c>
      <c r="AY77">
        <v>240</v>
      </c>
      <c r="AZ77">
        <v>330</v>
      </c>
      <c r="BA77">
        <v>290</v>
      </c>
      <c r="BB77">
        <v>275</v>
      </c>
      <c r="BC77">
        <v>311</v>
      </c>
      <c r="BD77">
        <v>270</v>
      </c>
      <c r="BE77">
        <v>300</v>
      </c>
      <c r="BF77">
        <v>302.5</v>
      </c>
      <c r="BG77">
        <v>245</v>
      </c>
      <c r="BH77">
        <v>290</v>
      </c>
    </row>
    <row r="78" spans="1:60" x14ac:dyDescent="0.25">
      <c r="A78" s="3"/>
      <c r="B78" s="2">
        <v>39873</v>
      </c>
      <c r="C78">
        <v>350</v>
      </c>
      <c r="D78">
        <v>650</v>
      </c>
      <c r="E78">
        <v>480</v>
      </c>
      <c r="F78">
        <v>540</v>
      </c>
      <c r="G78">
        <v>675</v>
      </c>
      <c r="H78">
        <v>675</v>
      </c>
      <c r="I78">
        <v>550</v>
      </c>
      <c r="J78">
        <v>1000</v>
      </c>
      <c r="K78">
        <v>810</v>
      </c>
      <c r="L78">
        <v>650</v>
      </c>
      <c r="M78">
        <v>645</v>
      </c>
      <c r="N78">
        <v>850</v>
      </c>
      <c r="O78">
        <v>990</v>
      </c>
      <c r="P78">
        <v>440</v>
      </c>
      <c r="Q78">
        <v>380</v>
      </c>
      <c r="R78">
        <v>377.5</v>
      </c>
      <c r="S78">
        <v>442.5</v>
      </c>
      <c r="T78">
        <v>440</v>
      </c>
      <c r="U78">
        <v>532.5</v>
      </c>
      <c r="V78">
        <v>627.5</v>
      </c>
      <c r="W78">
        <v>440</v>
      </c>
      <c r="X78">
        <v>457.5</v>
      </c>
      <c r="Y78">
        <v>600</v>
      </c>
      <c r="Z78">
        <v>817.5</v>
      </c>
      <c r="AA78">
        <v>375</v>
      </c>
      <c r="AB78">
        <v>450</v>
      </c>
      <c r="AC78">
        <v>480</v>
      </c>
      <c r="AD78">
        <v>450</v>
      </c>
      <c r="AE78">
        <v>700</v>
      </c>
      <c r="AF78">
        <v>320</v>
      </c>
      <c r="AG78">
        <v>420</v>
      </c>
      <c r="AH78">
        <v>310</v>
      </c>
      <c r="AI78">
        <v>280</v>
      </c>
      <c r="AJ78">
        <v>340</v>
      </c>
      <c r="AK78">
        <v>300</v>
      </c>
      <c r="AL78">
        <v>340</v>
      </c>
      <c r="AM78">
        <v>315</v>
      </c>
      <c r="AN78">
        <v>310</v>
      </c>
      <c r="AO78">
        <v>360</v>
      </c>
      <c r="AP78">
        <v>450</v>
      </c>
      <c r="AQ78">
        <v>350</v>
      </c>
      <c r="AR78">
        <v>300</v>
      </c>
      <c r="AS78">
        <v>605</v>
      </c>
      <c r="AT78">
        <v>460</v>
      </c>
      <c r="AU78">
        <v>637.5</v>
      </c>
      <c r="AV78">
        <v>280</v>
      </c>
      <c r="AW78">
        <v>270</v>
      </c>
      <c r="AX78">
        <v>300</v>
      </c>
      <c r="AY78">
        <v>250</v>
      </c>
      <c r="AZ78">
        <v>330</v>
      </c>
      <c r="BA78">
        <v>300</v>
      </c>
      <c r="BB78">
        <v>280</v>
      </c>
      <c r="BC78">
        <v>320</v>
      </c>
      <c r="BD78">
        <v>270</v>
      </c>
      <c r="BE78">
        <v>300</v>
      </c>
      <c r="BF78">
        <v>300</v>
      </c>
      <c r="BG78">
        <v>245</v>
      </c>
      <c r="BH78">
        <v>290</v>
      </c>
    </row>
    <row r="79" spans="1:60" x14ac:dyDescent="0.25">
      <c r="A79" s="3"/>
      <c r="B79" s="2">
        <v>39965</v>
      </c>
      <c r="C79">
        <v>350</v>
      </c>
      <c r="D79">
        <v>645</v>
      </c>
      <c r="E79">
        <v>537.5</v>
      </c>
      <c r="F79">
        <v>522.5</v>
      </c>
      <c r="G79">
        <v>700</v>
      </c>
      <c r="H79">
        <v>615</v>
      </c>
      <c r="I79">
        <v>550</v>
      </c>
      <c r="J79" t="s">
        <v>21</v>
      </c>
      <c r="K79">
        <v>750</v>
      </c>
      <c r="L79">
        <v>690</v>
      </c>
      <c r="M79">
        <v>650</v>
      </c>
      <c r="N79">
        <v>837.5</v>
      </c>
      <c r="O79">
        <v>900</v>
      </c>
      <c r="P79">
        <v>430</v>
      </c>
      <c r="Q79">
        <v>380</v>
      </c>
      <c r="R79">
        <v>380</v>
      </c>
      <c r="S79">
        <v>500</v>
      </c>
      <c r="T79">
        <v>440</v>
      </c>
      <c r="U79">
        <v>550</v>
      </c>
      <c r="V79">
        <v>725</v>
      </c>
      <c r="W79">
        <v>450</v>
      </c>
      <c r="X79">
        <v>490</v>
      </c>
      <c r="Y79">
        <v>620</v>
      </c>
      <c r="Z79">
        <v>800</v>
      </c>
      <c r="AA79">
        <v>380</v>
      </c>
      <c r="AB79">
        <v>450</v>
      </c>
      <c r="AC79">
        <v>480</v>
      </c>
      <c r="AD79">
        <v>475</v>
      </c>
      <c r="AE79">
        <v>680</v>
      </c>
      <c r="AF79">
        <v>320</v>
      </c>
      <c r="AG79">
        <v>430</v>
      </c>
      <c r="AH79">
        <v>320</v>
      </c>
      <c r="AI79">
        <v>290</v>
      </c>
      <c r="AJ79">
        <v>340</v>
      </c>
      <c r="AK79">
        <v>300</v>
      </c>
      <c r="AL79">
        <v>340</v>
      </c>
      <c r="AM79">
        <v>320</v>
      </c>
      <c r="AN79">
        <v>320</v>
      </c>
      <c r="AO79">
        <v>360</v>
      </c>
      <c r="AP79">
        <v>450</v>
      </c>
      <c r="AQ79">
        <v>350</v>
      </c>
      <c r="AR79">
        <v>310</v>
      </c>
      <c r="AS79">
        <v>600</v>
      </c>
      <c r="AT79">
        <v>480</v>
      </c>
      <c r="AU79">
        <v>620</v>
      </c>
      <c r="AV79">
        <v>285</v>
      </c>
      <c r="AW79">
        <v>280</v>
      </c>
      <c r="AX79">
        <v>300</v>
      </c>
      <c r="AY79">
        <v>250</v>
      </c>
      <c r="AZ79">
        <v>330</v>
      </c>
      <c r="BA79">
        <v>300</v>
      </c>
      <c r="BB79">
        <v>285</v>
      </c>
      <c r="BC79">
        <v>330</v>
      </c>
      <c r="BD79">
        <v>265</v>
      </c>
      <c r="BE79">
        <v>310</v>
      </c>
      <c r="BF79">
        <v>320</v>
      </c>
      <c r="BG79">
        <v>250</v>
      </c>
      <c r="BH79">
        <v>300</v>
      </c>
    </row>
    <row r="80" spans="1:60" x14ac:dyDescent="0.25">
      <c r="A80" s="3"/>
      <c r="B80" s="2">
        <v>40057</v>
      </c>
      <c r="C80">
        <v>360</v>
      </c>
      <c r="D80">
        <v>630</v>
      </c>
      <c r="E80">
        <v>545</v>
      </c>
      <c r="F80">
        <v>550</v>
      </c>
      <c r="G80">
        <v>600</v>
      </c>
      <c r="H80">
        <v>600</v>
      </c>
      <c r="I80">
        <v>520</v>
      </c>
      <c r="J80">
        <v>935</v>
      </c>
      <c r="K80">
        <v>750</v>
      </c>
      <c r="L80">
        <v>650</v>
      </c>
      <c r="M80">
        <v>665</v>
      </c>
      <c r="N80">
        <v>775</v>
      </c>
      <c r="O80">
        <v>1025</v>
      </c>
      <c r="P80">
        <v>450</v>
      </c>
      <c r="Q80">
        <v>395</v>
      </c>
      <c r="R80">
        <v>380</v>
      </c>
      <c r="S80">
        <v>500</v>
      </c>
      <c r="T80">
        <v>450</v>
      </c>
      <c r="U80">
        <v>550</v>
      </c>
      <c r="V80">
        <v>665</v>
      </c>
      <c r="W80">
        <v>432.5</v>
      </c>
      <c r="X80">
        <v>450</v>
      </c>
      <c r="Y80">
        <v>625</v>
      </c>
      <c r="Z80">
        <v>850</v>
      </c>
      <c r="AA80">
        <v>390</v>
      </c>
      <c r="AB80">
        <v>450</v>
      </c>
      <c r="AC80">
        <v>475</v>
      </c>
      <c r="AD80">
        <v>460</v>
      </c>
      <c r="AE80">
        <v>650</v>
      </c>
      <c r="AF80">
        <v>330</v>
      </c>
      <c r="AG80">
        <v>430</v>
      </c>
      <c r="AH80">
        <v>330</v>
      </c>
      <c r="AI80">
        <v>290</v>
      </c>
      <c r="AJ80">
        <v>350</v>
      </c>
      <c r="AK80">
        <v>300</v>
      </c>
      <c r="AL80">
        <v>350</v>
      </c>
      <c r="AM80">
        <v>325</v>
      </c>
      <c r="AN80">
        <v>320</v>
      </c>
      <c r="AO80">
        <v>365</v>
      </c>
      <c r="AP80">
        <v>450</v>
      </c>
      <c r="AQ80">
        <v>350</v>
      </c>
      <c r="AR80">
        <v>320</v>
      </c>
      <c r="AS80">
        <v>620</v>
      </c>
      <c r="AT80">
        <v>470</v>
      </c>
      <c r="AU80">
        <v>600</v>
      </c>
      <c r="AV80">
        <v>300</v>
      </c>
      <c r="AW80">
        <v>280</v>
      </c>
      <c r="AX80">
        <v>300</v>
      </c>
      <c r="AY80">
        <v>250</v>
      </c>
      <c r="AZ80">
        <v>332.5</v>
      </c>
      <c r="BA80">
        <v>300</v>
      </c>
      <c r="BB80">
        <v>290</v>
      </c>
      <c r="BC80">
        <v>320</v>
      </c>
      <c r="BD80">
        <v>280</v>
      </c>
      <c r="BE80">
        <v>320</v>
      </c>
      <c r="BF80">
        <v>320</v>
      </c>
      <c r="BG80">
        <v>250</v>
      </c>
      <c r="BH80">
        <v>300</v>
      </c>
    </row>
    <row r="81" spans="1:60" x14ac:dyDescent="0.25">
      <c r="A81" s="3"/>
      <c r="B81" s="2">
        <v>40148</v>
      </c>
      <c r="C81">
        <v>370</v>
      </c>
      <c r="D81">
        <v>660</v>
      </c>
      <c r="E81">
        <v>520</v>
      </c>
      <c r="F81">
        <v>560</v>
      </c>
      <c r="G81">
        <v>715</v>
      </c>
      <c r="H81">
        <v>650</v>
      </c>
      <c r="I81">
        <v>550</v>
      </c>
      <c r="J81" t="s">
        <v>21</v>
      </c>
      <c r="K81">
        <v>775</v>
      </c>
      <c r="L81">
        <v>700</v>
      </c>
      <c r="M81">
        <v>680</v>
      </c>
      <c r="N81">
        <v>850</v>
      </c>
      <c r="O81">
        <v>1100</v>
      </c>
      <c r="P81">
        <v>450</v>
      </c>
      <c r="Q81">
        <v>400</v>
      </c>
      <c r="R81">
        <v>390</v>
      </c>
      <c r="S81">
        <v>465</v>
      </c>
      <c r="T81">
        <v>450</v>
      </c>
      <c r="U81">
        <v>570</v>
      </c>
      <c r="V81">
        <v>557.5</v>
      </c>
      <c r="W81">
        <v>435</v>
      </c>
      <c r="X81">
        <v>480</v>
      </c>
      <c r="Y81">
        <v>600</v>
      </c>
      <c r="Z81">
        <v>820</v>
      </c>
      <c r="AA81">
        <v>390</v>
      </c>
      <c r="AB81">
        <v>490</v>
      </c>
      <c r="AC81">
        <v>495</v>
      </c>
      <c r="AD81">
        <v>540</v>
      </c>
      <c r="AE81">
        <v>700</v>
      </c>
      <c r="AF81">
        <v>340</v>
      </c>
      <c r="AG81">
        <v>450</v>
      </c>
      <c r="AH81">
        <v>340</v>
      </c>
      <c r="AI81">
        <v>297.5</v>
      </c>
      <c r="AJ81">
        <v>360</v>
      </c>
      <c r="AK81">
        <v>320</v>
      </c>
      <c r="AL81">
        <v>350</v>
      </c>
      <c r="AM81">
        <v>330</v>
      </c>
      <c r="AN81">
        <v>330</v>
      </c>
      <c r="AO81">
        <v>380</v>
      </c>
      <c r="AP81">
        <v>480</v>
      </c>
      <c r="AQ81">
        <v>370</v>
      </c>
      <c r="AR81">
        <v>320</v>
      </c>
      <c r="AS81">
        <v>650</v>
      </c>
      <c r="AT81">
        <v>500</v>
      </c>
      <c r="AU81">
        <v>650</v>
      </c>
      <c r="AV81">
        <v>290</v>
      </c>
      <c r="AW81">
        <v>285</v>
      </c>
      <c r="AX81">
        <v>310</v>
      </c>
      <c r="AY81">
        <v>260</v>
      </c>
      <c r="AZ81">
        <v>340</v>
      </c>
      <c r="BA81">
        <v>320</v>
      </c>
      <c r="BB81">
        <v>290</v>
      </c>
      <c r="BC81">
        <v>340</v>
      </c>
      <c r="BD81">
        <v>285</v>
      </c>
      <c r="BE81">
        <v>310</v>
      </c>
      <c r="BF81">
        <v>330</v>
      </c>
      <c r="BG81">
        <v>250</v>
      </c>
      <c r="BH81">
        <v>310</v>
      </c>
    </row>
    <row r="82" spans="1:60" x14ac:dyDescent="0.25">
      <c r="A82" s="3"/>
      <c r="B82" s="2">
        <v>40238</v>
      </c>
      <c r="C82">
        <v>380</v>
      </c>
      <c r="D82">
        <v>660</v>
      </c>
      <c r="E82">
        <v>512.5</v>
      </c>
      <c r="F82">
        <v>575</v>
      </c>
      <c r="G82">
        <v>650</v>
      </c>
      <c r="H82">
        <v>700</v>
      </c>
      <c r="I82">
        <v>550</v>
      </c>
      <c r="J82">
        <v>1075</v>
      </c>
      <c r="K82">
        <v>782.5</v>
      </c>
      <c r="L82">
        <v>650</v>
      </c>
      <c r="M82">
        <v>700</v>
      </c>
      <c r="N82">
        <v>1100</v>
      </c>
      <c r="O82">
        <v>1000</v>
      </c>
      <c r="P82">
        <v>460</v>
      </c>
      <c r="Q82">
        <v>400</v>
      </c>
      <c r="R82">
        <v>400</v>
      </c>
      <c r="S82">
        <v>520</v>
      </c>
      <c r="T82">
        <v>440</v>
      </c>
      <c r="U82">
        <v>590</v>
      </c>
      <c r="V82">
        <v>575</v>
      </c>
      <c r="W82">
        <v>450</v>
      </c>
      <c r="X82">
        <v>500</v>
      </c>
      <c r="Y82">
        <v>650</v>
      </c>
      <c r="Z82">
        <v>972.5</v>
      </c>
      <c r="AA82">
        <v>400</v>
      </c>
      <c r="AB82">
        <v>500</v>
      </c>
      <c r="AC82">
        <v>502.5</v>
      </c>
      <c r="AD82">
        <v>475</v>
      </c>
      <c r="AE82">
        <v>720</v>
      </c>
      <c r="AF82">
        <v>350</v>
      </c>
      <c r="AG82">
        <v>440</v>
      </c>
      <c r="AH82">
        <v>340</v>
      </c>
      <c r="AI82">
        <v>300</v>
      </c>
      <c r="AJ82">
        <v>380</v>
      </c>
      <c r="AK82">
        <v>320</v>
      </c>
      <c r="AL82">
        <v>360</v>
      </c>
      <c r="AM82">
        <v>340</v>
      </c>
      <c r="AN82">
        <v>340</v>
      </c>
      <c r="AO82">
        <v>380</v>
      </c>
      <c r="AP82">
        <v>480</v>
      </c>
      <c r="AQ82">
        <v>380</v>
      </c>
      <c r="AR82">
        <v>330</v>
      </c>
      <c r="AS82">
        <v>680</v>
      </c>
      <c r="AT82">
        <v>520</v>
      </c>
      <c r="AU82">
        <v>650</v>
      </c>
      <c r="AV82">
        <v>300</v>
      </c>
      <c r="AW82">
        <v>290</v>
      </c>
      <c r="AX82">
        <v>320</v>
      </c>
      <c r="AY82">
        <v>260</v>
      </c>
      <c r="AZ82">
        <v>350</v>
      </c>
      <c r="BA82">
        <v>330</v>
      </c>
      <c r="BB82">
        <v>290</v>
      </c>
      <c r="BC82">
        <v>350</v>
      </c>
      <c r="BD82">
        <v>290</v>
      </c>
      <c r="BE82">
        <v>330</v>
      </c>
      <c r="BF82">
        <v>350</v>
      </c>
      <c r="BG82">
        <v>260</v>
      </c>
      <c r="BH82">
        <v>320</v>
      </c>
    </row>
    <row r="83" spans="1:60" x14ac:dyDescent="0.25">
      <c r="A83" s="3"/>
      <c r="B83" s="2">
        <v>40330</v>
      </c>
      <c r="C83">
        <v>380</v>
      </c>
      <c r="D83">
        <v>700</v>
      </c>
      <c r="E83">
        <v>530</v>
      </c>
      <c r="F83">
        <v>580</v>
      </c>
      <c r="G83">
        <v>700</v>
      </c>
      <c r="H83">
        <v>680</v>
      </c>
      <c r="I83">
        <v>620</v>
      </c>
      <c r="J83" t="s">
        <v>21</v>
      </c>
      <c r="K83">
        <v>950</v>
      </c>
      <c r="L83">
        <v>700</v>
      </c>
      <c r="M83">
        <v>720</v>
      </c>
      <c r="N83">
        <v>925</v>
      </c>
      <c r="O83">
        <v>1100</v>
      </c>
      <c r="P83">
        <v>470</v>
      </c>
      <c r="Q83">
        <v>410</v>
      </c>
      <c r="R83">
        <v>400</v>
      </c>
      <c r="S83">
        <v>520</v>
      </c>
      <c r="T83">
        <v>480</v>
      </c>
      <c r="U83">
        <v>615</v>
      </c>
      <c r="V83" t="s">
        <v>21</v>
      </c>
      <c r="W83">
        <v>472.5</v>
      </c>
      <c r="X83">
        <v>520</v>
      </c>
      <c r="Y83">
        <v>675</v>
      </c>
      <c r="Z83">
        <v>800</v>
      </c>
      <c r="AA83">
        <v>420</v>
      </c>
      <c r="AB83">
        <v>500</v>
      </c>
      <c r="AC83">
        <v>550</v>
      </c>
      <c r="AD83">
        <v>520</v>
      </c>
      <c r="AE83">
        <v>800</v>
      </c>
      <c r="AF83">
        <v>350</v>
      </c>
      <c r="AG83">
        <v>470</v>
      </c>
      <c r="AH83">
        <v>350</v>
      </c>
      <c r="AI83">
        <v>320</v>
      </c>
      <c r="AJ83">
        <v>370</v>
      </c>
      <c r="AK83">
        <v>330</v>
      </c>
      <c r="AL83">
        <v>380</v>
      </c>
      <c r="AM83">
        <v>350</v>
      </c>
      <c r="AN83">
        <v>350</v>
      </c>
      <c r="AO83">
        <v>400</v>
      </c>
      <c r="AP83">
        <v>500</v>
      </c>
      <c r="AQ83">
        <v>382.5</v>
      </c>
      <c r="AR83">
        <v>335</v>
      </c>
      <c r="AS83">
        <v>660</v>
      </c>
      <c r="AT83">
        <v>520</v>
      </c>
      <c r="AU83">
        <v>675</v>
      </c>
      <c r="AV83">
        <v>300</v>
      </c>
      <c r="AW83">
        <v>300</v>
      </c>
      <c r="AX83">
        <v>320</v>
      </c>
      <c r="AY83">
        <v>270</v>
      </c>
      <c r="AZ83">
        <v>365</v>
      </c>
      <c r="BA83">
        <v>320</v>
      </c>
      <c r="BB83">
        <v>300</v>
      </c>
      <c r="BC83">
        <v>350</v>
      </c>
      <c r="BD83">
        <v>300</v>
      </c>
      <c r="BE83">
        <v>325</v>
      </c>
      <c r="BF83">
        <v>345</v>
      </c>
      <c r="BG83">
        <v>260</v>
      </c>
      <c r="BH83">
        <v>320</v>
      </c>
    </row>
    <row r="84" spans="1:60" x14ac:dyDescent="0.25">
      <c r="A84" s="3"/>
      <c r="B84" s="2">
        <v>40422</v>
      </c>
      <c r="C84">
        <v>390</v>
      </c>
      <c r="D84">
        <v>700</v>
      </c>
      <c r="E84">
        <v>592.5</v>
      </c>
      <c r="F84">
        <v>560</v>
      </c>
      <c r="G84">
        <v>710</v>
      </c>
      <c r="H84">
        <v>710</v>
      </c>
      <c r="I84">
        <v>600</v>
      </c>
      <c r="J84">
        <v>1050</v>
      </c>
      <c r="K84">
        <v>812.5</v>
      </c>
      <c r="L84">
        <v>700</v>
      </c>
      <c r="M84">
        <v>700</v>
      </c>
      <c r="N84">
        <v>900</v>
      </c>
      <c r="O84">
        <v>1192.5</v>
      </c>
      <c r="P84">
        <v>480</v>
      </c>
      <c r="Q84">
        <v>420</v>
      </c>
      <c r="R84">
        <v>415</v>
      </c>
      <c r="S84">
        <v>520</v>
      </c>
      <c r="T84">
        <v>472.5</v>
      </c>
      <c r="U84">
        <v>600</v>
      </c>
      <c r="V84">
        <v>625</v>
      </c>
      <c r="W84">
        <v>470</v>
      </c>
      <c r="X84">
        <v>520</v>
      </c>
      <c r="Y84">
        <v>645</v>
      </c>
      <c r="Z84">
        <v>837.5</v>
      </c>
      <c r="AA84">
        <v>420</v>
      </c>
      <c r="AB84">
        <v>500</v>
      </c>
      <c r="AC84">
        <v>500</v>
      </c>
      <c r="AD84">
        <v>520</v>
      </c>
      <c r="AE84">
        <v>767.5</v>
      </c>
      <c r="AF84">
        <v>360</v>
      </c>
      <c r="AG84">
        <v>480</v>
      </c>
      <c r="AH84">
        <v>350</v>
      </c>
      <c r="AI84">
        <v>320</v>
      </c>
      <c r="AJ84">
        <v>375</v>
      </c>
      <c r="AK84">
        <v>340</v>
      </c>
      <c r="AL84">
        <v>380</v>
      </c>
      <c r="AM84">
        <v>340</v>
      </c>
      <c r="AN84">
        <v>350</v>
      </c>
      <c r="AO84">
        <v>400</v>
      </c>
      <c r="AP84">
        <v>500</v>
      </c>
      <c r="AQ84">
        <v>385</v>
      </c>
      <c r="AR84">
        <v>350</v>
      </c>
      <c r="AS84">
        <v>695</v>
      </c>
      <c r="AT84">
        <v>510</v>
      </c>
      <c r="AU84">
        <v>665</v>
      </c>
      <c r="AV84">
        <v>330</v>
      </c>
      <c r="AW84">
        <v>300</v>
      </c>
      <c r="AX84">
        <v>330</v>
      </c>
      <c r="AY84">
        <v>280</v>
      </c>
      <c r="AZ84">
        <v>360</v>
      </c>
      <c r="BA84">
        <v>325</v>
      </c>
      <c r="BB84">
        <v>320</v>
      </c>
      <c r="BC84">
        <v>350</v>
      </c>
      <c r="BD84">
        <v>300</v>
      </c>
      <c r="BE84">
        <v>340</v>
      </c>
      <c r="BF84">
        <v>350</v>
      </c>
      <c r="BG84">
        <v>270</v>
      </c>
      <c r="BH84">
        <v>330</v>
      </c>
    </row>
    <row r="85" spans="1:60" x14ac:dyDescent="0.25">
      <c r="A85" s="3"/>
      <c r="B85" s="2">
        <v>40513</v>
      </c>
      <c r="C85">
        <v>400</v>
      </c>
      <c r="D85">
        <v>730</v>
      </c>
      <c r="E85">
        <v>625</v>
      </c>
      <c r="F85">
        <v>630</v>
      </c>
      <c r="G85">
        <v>750</v>
      </c>
      <c r="H85">
        <v>730</v>
      </c>
      <c r="I85">
        <v>590</v>
      </c>
      <c r="J85">
        <v>1250</v>
      </c>
      <c r="K85">
        <v>830</v>
      </c>
      <c r="L85">
        <v>780</v>
      </c>
      <c r="M85">
        <v>700</v>
      </c>
      <c r="N85">
        <v>940</v>
      </c>
      <c r="O85">
        <v>962.5</v>
      </c>
      <c r="P85">
        <v>490</v>
      </c>
      <c r="Q85">
        <v>440</v>
      </c>
      <c r="R85">
        <v>420</v>
      </c>
      <c r="S85">
        <v>520</v>
      </c>
      <c r="T85">
        <v>480</v>
      </c>
      <c r="U85">
        <v>600</v>
      </c>
      <c r="V85" t="s">
        <v>21</v>
      </c>
      <c r="W85">
        <v>480</v>
      </c>
      <c r="X85">
        <v>505</v>
      </c>
      <c r="Y85">
        <v>710</v>
      </c>
      <c r="Z85">
        <v>900</v>
      </c>
      <c r="AA85">
        <v>420</v>
      </c>
      <c r="AB85">
        <v>510</v>
      </c>
      <c r="AC85">
        <v>550</v>
      </c>
      <c r="AD85">
        <v>550</v>
      </c>
      <c r="AE85">
        <v>720</v>
      </c>
      <c r="AF85">
        <v>370</v>
      </c>
      <c r="AG85">
        <v>460</v>
      </c>
      <c r="AH85">
        <v>360</v>
      </c>
      <c r="AI85">
        <v>330</v>
      </c>
      <c r="AJ85">
        <v>380</v>
      </c>
      <c r="AK85">
        <v>350</v>
      </c>
      <c r="AL85">
        <v>380</v>
      </c>
      <c r="AM85">
        <v>350</v>
      </c>
      <c r="AN85">
        <v>360</v>
      </c>
      <c r="AO85">
        <v>400</v>
      </c>
      <c r="AP85">
        <v>500</v>
      </c>
      <c r="AQ85">
        <v>395</v>
      </c>
      <c r="AR85">
        <v>350</v>
      </c>
      <c r="AS85">
        <v>750</v>
      </c>
      <c r="AT85">
        <v>532.5</v>
      </c>
      <c r="AU85">
        <v>672.5</v>
      </c>
      <c r="AV85">
        <v>327.5</v>
      </c>
      <c r="AW85">
        <v>310</v>
      </c>
      <c r="AX85">
        <v>335</v>
      </c>
      <c r="AY85">
        <v>295</v>
      </c>
      <c r="AZ85">
        <v>410</v>
      </c>
      <c r="BA85">
        <v>330</v>
      </c>
      <c r="BB85">
        <v>320</v>
      </c>
      <c r="BC85">
        <v>360</v>
      </c>
      <c r="BD85">
        <v>300</v>
      </c>
      <c r="BE85">
        <v>340</v>
      </c>
      <c r="BF85">
        <v>360</v>
      </c>
      <c r="BG85">
        <v>270</v>
      </c>
      <c r="BH85">
        <v>340</v>
      </c>
    </row>
    <row r="86" spans="1:60" x14ac:dyDescent="0.25">
      <c r="A86" s="3"/>
      <c r="B86" s="2">
        <v>40603</v>
      </c>
      <c r="C86">
        <v>400</v>
      </c>
      <c r="D86">
        <v>720</v>
      </c>
      <c r="E86">
        <v>620</v>
      </c>
      <c r="F86">
        <v>625</v>
      </c>
      <c r="G86" t="s">
        <v>21</v>
      </c>
      <c r="H86">
        <v>720</v>
      </c>
      <c r="I86">
        <v>650</v>
      </c>
      <c r="J86">
        <v>1020</v>
      </c>
      <c r="K86">
        <v>850</v>
      </c>
      <c r="L86">
        <v>750</v>
      </c>
      <c r="M86">
        <v>700</v>
      </c>
      <c r="N86">
        <v>1000</v>
      </c>
      <c r="O86">
        <v>1200</v>
      </c>
      <c r="P86">
        <v>500</v>
      </c>
      <c r="Q86">
        <v>450</v>
      </c>
      <c r="R86">
        <v>420</v>
      </c>
      <c r="S86">
        <v>565</v>
      </c>
      <c r="T86">
        <v>500</v>
      </c>
      <c r="U86">
        <v>620</v>
      </c>
      <c r="V86" t="s">
        <v>21</v>
      </c>
      <c r="W86">
        <v>500</v>
      </c>
      <c r="X86">
        <v>530</v>
      </c>
      <c r="Y86">
        <v>697.5</v>
      </c>
      <c r="Z86">
        <v>920</v>
      </c>
      <c r="AA86">
        <v>420</v>
      </c>
      <c r="AB86">
        <v>550</v>
      </c>
      <c r="AC86">
        <v>535</v>
      </c>
      <c r="AD86">
        <v>550</v>
      </c>
      <c r="AE86">
        <v>750</v>
      </c>
      <c r="AF86">
        <v>370</v>
      </c>
      <c r="AG86">
        <v>480</v>
      </c>
      <c r="AH86">
        <v>365</v>
      </c>
      <c r="AI86">
        <v>340</v>
      </c>
      <c r="AJ86">
        <v>390</v>
      </c>
      <c r="AK86">
        <v>350</v>
      </c>
      <c r="AL86">
        <v>390</v>
      </c>
      <c r="AM86">
        <v>360</v>
      </c>
      <c r="AN86">
        <v>350</v>
      </c>
      <c r="AO86">
        <v>400</v>
      </c>
      <c r="AP86">
        <v>520</v>
      </c>
      <c r="AQ86">
        <v>392.5</v>
      </c>
      <c r="AR86">
        <v>360</v>
      </c>
      <c r="AS86">
        <v>745</v>
      </c>
      <c r="AT86">
        <v>550</v>
      </c>
      <c r="AU86">
        <v>700</v>
      </c>
      <c r="AV86">
        <v>340</v>
      </c>
      <c r="AW86">
        <v>310</v>
      </c>
      <c r="AX86">
        <v>350</v>
      </c>
      <c r="AY86">
        <v>300</v>
      </c>
      <c r="AZ86">
        <v>380</v>
      </c>
      <c r="BA86">
        <v>340</v>
      </c>
      <c r="BB86">
        <v>327.5</v>
      </c>
      <c r="BC86">
        <v>361</v>
      </c>
      <c r="BD86">
        <v>310</v>
      </c>
      <c r="BE86">
        <v>350</v>
      </c>
      <c r="BF86">
        <v>370</v>
      </c>
      <c r="BG86">
        <v>275</v>
      </c>
      <c r="BH86">
        <v>340</v>
      </c>
    </row>
    <row r="87" spans="1:60" x14ac:dyDescent="0.25">
      <c r="A87" s="3"/>
      <c r="B87" s="2">
        <v>40695</v>
      </c>
      <c r="C87">
        <v>400</v>
      </c>
      <c r="D87">
        <v>750</v>
      </c>
      <c r="E87">
        <v>660</v>
      </c>
      <c r="F87">
        <v>610</v>
      </c>
      <c r="G87">
        <v>695</v>
      </c>
      <c r="H87">
        <v>750</v>
      </c>
      <c r="I87">
        <v>650</v>
      </c>
      <c r="J87">
        <v>990</v>
      </c>
      <c r="K87">
        <v>825</v>
      </c>
      <c r="L87">
        <v>750</v>
      </c>
      <c r="M87">
        <v>750</v>
      </c>
      <c r="N87">
        <v>945</v>
      </c>
      <c r="O87">
        <v>1150</v>
      </c>
      <c r="P87">
        <v>485</v>
      </c>
      <c r="Q87">
        <v>430</v>
      </c>
      <c r="R87">
        <v>430</v>
      </c>
      <c r="S87">
        <v>550</v>
      </c>
      <c r="T87">
        <v>500</v>
      </c>
      <c r="U87">
        <v>650</v>
      </c>
      <c r="V87" t="s">
        <v>21</v>
      </c>
      <c r="W87">
        <v>480</v>
      </c>
      <c r="X87">
        <v>550</v>
      </c>
      <c r="Y87">
        <v>700</v>
      </c>
      <c r="Z87">
        <v>800</v>
      </c>
      <c r="AA87">
        <v>440</v>
      </c>
      <c r="AB87">
        <v>540</v>
      </c>
      <c r="AC87">
        <v>560</v>
      </c>
      <c r="AD87">
        <v>455</v>
      </c>
      <c r="AE87">
        <v>750</v>
      </c>
      <c r="AF87">
        <v>375</v>
      </c>
      <c r="AG87">
        <v>500</v>
      </c>
      <c r="AH87">
        <v>360</v>
      </c>
      <c r="AI87">
        <v>340</v>
      </c>
      <c r="AJ87">
        <v>395</v>
      </c>
      <c r="AK87">
        <v>350</v>
      </c>
      <c r="AL87">
        <v>390</v>
      </c>
      <c r="AM87">
        <v>360</v>
      </c>
      <c r="AN87">
        <v>370</v>
      </c>
      <c r="AO87">
        <v>410</v>
      </c>
      <c r="AP87">
        <v>520</v>
      </c>
      <c r="AQ87">
        <v>400</v>
      </c>
      <c r="AR87">
        <v>360</v>
      </c>
      <c r="AS87">
        <v>740</v>
      </c>
      <c r="AT87">
        <v>550</v>
      </c>
      <c r="AU87">
        <v>720</v>
      </c>
      <c r="AV87">
        <v>350</v>
      </c>
      <c r="AW87">
        <v>320</v>
      </c>
      <c r="AX87">
        <v>350</v>
      </c>
      <c r="AY87">
        <v>300</v>
      </c>
      <c r="AZ87">
        <v>390</v>
      </c>
      <c r="BA87">
        <v>350</v>
      </c>
      <c r="BB87">
        <v>330</v>
      </c>
      <c r="BC87">
        <v>370</v>
      </c>
      <c r="BD87">
        <v>320</v>
      </c>
      <c r="BE87">
        <v>350</v>
      </c>
      <c r="BF87">
        <v>375</v>
      </c>
      <c r="BG87">
        <v>280</v>
      </c>
      <c r="BH87">
        <v>350</v>
      </c>
    </row>
    <row r="88" spans="1:60" x14ac:dyDescent="0.25">
      <c r="A88" s="3"/>
      <c r="B88" s="2">
        <v>40787</v>
      </c>
      <c r="C88">
        <v>400</v>
      </c>
      <c r="D88">
        <v>750</v>
      </c>
      <c r="E88">
        <v>660</v>
      </c>
      <c r="F88">
        <v>650</v>
      </c>
      <c r="G88">
        <v>750</v>
      </c>
      <c r="H88">
        <v>800</v>
      </c>
      <c r="I88">
        <v>645</v>
      </c>
      <c r="J88">
        <v>1125</v>
      </c>
      <c r="K88">
        <v>787.5</v>
      </c>
      <c r="L88">
        <v>800</v>
      </c>
      <c r="M88">
        <v>750</v>
      </c>
      <c r="N88">
        <v>980</v>
      </c>
      <c r="O88">
        <v>950</v>
      </c>
      <c r="P88">
        <v>500</v>
      </c>
      <c r="Q88">
        <v>450</v>
      </c>
      <c r="R88">
        <v>440</v>
      </c>
      <c r="S88">
        <v>567.5</v>
      </c>
      <c r="T88">
        <v>500</v>
      </c>
      <c r="U88">
        <v>655</v>
      </c>
      <c r="V88">
        <v>745</v>
      </c>
      <c r="W88">
        <v>490</v>
      </c>
      <c r="X88">
        <v>510</v>
      </c>
      <c r="Y88">
        <v>720</v>
      </c>
      <c r="Z88">
        <v>895</v>
      </c>
      <c r="AA88">
        <v>450</v>
      </c>
      <c r="AB88">
        <v>550</v>
      </c>
      <c r="AC88">
        <v>550</v>
      </c>
      <c r="AD88">
        <v>520</v>
      </c>
      <c r="AE88">
        <v>750</v>
      </c>
      <c r="AF88">
        <v>380</v>
      </c>
      <c r="AG88">
        <v>492.5</v>
      </c>
      <c r="AH88">
        <v>365</v>
      </c>
      <c r="AI88">
        <v>342.5</v>
      </c>
      <c r="AJ88">
        <v>397.5</v>
      </c>
      <c r="AK88">
        <v>350</v>
      </c>
      <c r="AL88">
        <v>400</v>
      </c>
      <c r="AM88">
        <v>360</v>
      </c>
      <c r="AN88">
        <v>370</v>
      </c>
      <c r="AO88">
        <v>420</v>
      </c>
      <c r="AP88">
        <v>530</v>
      </c>
      <c r="AQ88">
        <v>420</v>
      </c>
      <c r="AR88">
        <v>360</v>
      </c>
      <c r="AS88">
        <v>700</v>
      </c>
      <c r="AT88">
        <v>550</v>
      </c>
      <c r="AU88">
        <v>700</v>
      </c>
      <c r="AV88">
        <v>320</v>
      </c>
      <c r="AW88">
        <v>320</v>
      </c>
      <c r="AX88">
        <v>350</v>
      </c>
      <c r="AY88">
        <v>300</v>
      </c>
      <c r="AZ88">
        <v>390</v>
      </c>
      <c r="BA88">
        <v>345</v>
      </c>
      <c r="BB88">
        <v>330</v>
      </c>
      <c r="BC88">
        <v>380</v>
      </c>
      <c r="BD88">
        <v>320</v>
      </c>
      <c r="BE88">
        <v>350</v>
      </c>
      <c r="BF88">
        <v>380</v>
      </c>
      <c r="BG88">
        <v>280</v>
      </c>
      <c r="BH88">
        <v>350</v>
      </c>
    </row>
    <row r="89" spans="1:60" x14ac:dyDescent="0.25">
      <c r="A89" s="3"/>
      <c r="B89" s="2">
        <v>40878</v>
      </c>
      <c r="C89">
        <v>420</v>
      </c>
      <c r="D89">
        <v>750</v>
      </c>
      <c r="E89">
        <v>630</v>
      </c>
      <c r="F89">
        <v>655</v>
      </c>
      <c r="G89">
        <v>725</v>
      </c>
      <c r="H89">
        <v>727.5</v>
      </c>
      <c r="I89">
        <v>650</v>
      </c>
      <c r="J89">
        <v>975</v>
      </c>
      <c r="K89">
        <v>925</v>
      </c>
      <c r="L89">
        <v>757.5</v>
      </c>
      <c r="M89">
        <v>757.5</v>
      </c>
      <c r="N89">
        <v>1050</v>
      </c>
      <c r="O89">
        <v>1000</v>
      </c>
      <c r="P89">
        <v>500</v>
      </c>
      <c r="Q89">
        <v>450</v>
      </c>
      <c r="R89">
        <v>440</v>
      </c>
      <c r="S89" t="s">
        <v>21</v>
      </c>
      <c r="T89">
        <v>510</v>
      </c>
      <c r="U89">
        <v>650</v>
      </c>
      <c r="V89" t="s">
        <v>21</v>
      </c>
      <c r="W89">
        <v>520</v>
      </c>
      <c r="X89">
        <v>555</v>
      </c>
      <c r="Y89">
        <v>700</v>
      </c>
      <c r="Z89">
        <v>1000</v>
      </c>
      <c r="AA89">
        <v>450</v>
      </c>
      <c r="AB89">
        <v>550</v>
      </c>
      <c r="AC89">
        <v>560</v>
      </c>
      <c r="AD89">
        <v>520</v>
      </c>
      <c r="AE89">
        <v>835</v>
      </c>
      <c r="AF89">
        <v>380</v>
      </c>
      <c r="AG89">
        <v>500</v>
      </c>
      <c r="AH89">
        <v>380</v>
      </c>
      <c r="AI89">
        <v>350</v>
      </c>
      <c r="AJ89">
        <v>400</v>
      </c>
      <c r="AK89">
        <v>360</v>
      </c>
      <c r="AL89">
        <v>380</v>
      </c>
      <c r="AM89">
        <v>380</v>
      </c>
      <c r="AN89">
        <v>380</v>
      </c>
      <c r="AO89">
        <v>420</v>
      </c>
      <c r="AP89">
        <v>540</v>
      </c>
      <c r="AQ89">
        <v>420</v>
      </c>
      <c r="AR89">
        <v>370</v>
      </c>
      <c r="AS89">
        <v>755</v>
      </c>
      <c r="AT89">
        <v>560</v>
      </c>
      <c r="AU89">
        <v>740</v>
      </c>
      <c r="AV89">
        <v>340</v>
      </c>
      <c r="AW89">
        <v>322.5</v>
      </c>
      <c r="AX89">
        <v>350</v>
      </c>
      <c r="AY89">
        <v>310</v>
      </c>
      <c r="AZ89">
        <v>395</v>
      </c>
      <c r="BA89">
        <v>350</v>
      </c>
      <c r="BB89">
        <v>335</v>
      </c>
      <c r="BC89">
        <v>377.5</v>
      </c>
      <c r="BD89">
        <v>340</v>
      </c>
      <c r="BE89">
        <v>360</v>
      </c>
      <c r="BF89">
        <v>380</v>
      </c>
      <c r="BG89">
        <v>290</v>
      </c>
      <c r="BH89">
        <v>350</v>
      </c>
    </row>
    <row r="90" spans="1:60" x14ac:dyDescent="0.25">
      <c r="A90" s="3"/>
      <c r="B90" s="2">
        <v>40969</v>
      </c>
      <c r="C90">
        <v>420</v>
      </c>
      <c r="D90">
        <v>750</v>
      </c>
      <c r="E90">
        <v>630</v>
      </c>
      <c r="F90">
        <v>680</v>
      </c>
      <c r="G90">
        <v>720</v>
      </c>
      <c r="H90">
        <v>760</v>
      </c>
      <c r="I90">
        <v>650</v>
      </c>
      <c r="J90">
        <v>1035</v>
      </c>
      <c r="K90">
        <v>912.5</v>
      </c>
      <c r="L90">
        <v>785</v>
      </c>
      <c r="M90">
        <v>797.5</v>
      </c>
      <c r="N90">
        <v>1075</v>
      </c>
      <c r="O90">
        <v>1050</v>
      </c>
      <c r="P90">
        <v>500</v>
      </c>
      <c r="Q90">
        <v>445</v>
      </c>
      <c r="R90">
        <v>450</v>
      </c>
      <c r="S90">
        <v>565</v>
      </c>
      <c r="T90">
        <v>500</v>
      </c>
      <c r="U90">
        <v>650</v>
      </c>
      <c r="V90" t="s">
        <v>21</v>
      </c>
      <c r="W90">
        <v>499</v>
      </c>
      <c r="X90">
        <v>500</v>
      </c>
      <c r="Y90">
        <v>680</v>
      </c>
      <c r="Z90">
        <v>900</v>
      </c>
      <c r="AA90">
        <v>450</v>
      </c>
      <c r="AB90">
        <v>525</v>
      </c>
      <c r="AC90">
        <v>565</v>
      </c>
      <c r="AD90">
        <v>540</v>
      </c>
      <c r="AE90">
        <v>795</v>
      </c>
      <c r="AF90">
        <v>385</v>
      </c>
      <c r="AG90">
        <v>497.5</v>
      </c>
      <c r="AH90">
        <v>375</v>
      </c>
      <c r="AI90">
        <v>350</v>
      </c>
      <c r="AJ90">
        <v>405</v>
      </c>
      <c r="AK90">
        <v>360</v>
      </c>
      <c r="AL90">
        <v>400</v>
      </c>
      <c r="AM90">
        <v>370</v>
      </c>
      <c r="AN90">
        <v>370</v>
      </c>
      <c r="AO90">
        <v>420</v>
      </c>
      <c r="AP90">
        <v>550</v>
      </c>
      <c r="AQ90">
        <v>420</v>
      </c>
      <c r="AR90">
        <v>370</v>
      </c>
      <c r="AS90">
        <v>700</v>
      </c>
      <c r="AT90">
        <v>550</v>
      </c>
      <c r="AU90">
        <v>700</v>
      </c>
      <c r="AV90">
        <v>350</v>
      </c>
      <c r="AW90">
        <v>330</v>
      </c>
      <c r="AX90">
        <v>360</v>
      </c>
      <c r="AY90">
        <v>300</v>
      </c>
      <c r="AZ90">
        <v>410</v>
      </c>
      <c r="BA90">
        <v>360</v>
      </c>
      <c r="BB90">
        <v>340</v>
      </c>
      <c r="BC90">
        <v>383</v>
      </c>
      <c r="BD90">
        <v>330</v>
      </c>
      <c r="BE90">
        <v>370</v>
      </c>
      <c r="BF90">
        <v>385</v>
      </c>
      <c r="BG90">
        <v>290</v>
      </c>
      <c r="BH90">
        <v>350</v>
      </c>
    </row>
    <row r="91" spans="1:60" x14ac:dyDescent="0.25">
      <c r="A91" s="3"/>
      <c r="B91" s="2">
        <v>41061</v>
      </c>
      <c r="C91">
        <v>420</v>
      </c>
      <c r="D91">
        <v>750</v>
      </c>
      <c r="E91">
        <v>660</v>
      </c>
      <c r="F91">
        <v>580</v>
      </c>
      <c r="G91" t="s">
        <v>21</v>
      </c>
      <c r="H91">
        <v>780</v>
      </c>
      <c r="I91">
        <v>680</v>
      </c>
      <c r="J91">
        <v>1000</v>
      </c>
      <c r="K91">
        <v>850</v>
      </c>
      <c r="L91">
        <v>777.5</v>
      </c>
      <c r="M91">
        <v>760</v>
      </c>
      <c r="N91">
        <v>1020</v>
      </c>
      <c r="O91">
        <v>995</v>
      </c>
      <c r="P91">
        <v>510</v>
      </c>
      <c r="Q91">
        <v>440</v>
      </c>
      <c r="R91">
        <v>450</v>
      </c>
      <c r="S91">
        <v>567.5</v>
      </c>
      <c r="T91">
        <v>500</v>
      </c>
      <c r="U91">
        <v>670</v>
      </c>
      <c r="V91" t="s">
        <v>21</v>
      </c>
      <c r="W91">
        <v>515</v>
      </c>
      <c r="X91">
        <v>560</v>
      </c>
      <c r="Y91">
        <v>750</v>
      </c>
      <c r="Z91">
        <v>872.5</v>
      </c>
      <c r="AA91">
        <v>450</v>
      </c>
      <c r="AB91">
        <v>550</v>
      </c>
      <c r="AC91">
        <v>580</v>
      </c>
      <c r="AD91">
        <v>545</v>
      </c>
      <c r="AE91">
        <v>780</v>
      </c>
      <c r="AF91">
        <v>385</v>
      </c>
      <c r="AG91">
        <v>510</v>
      </c>
      <c r="AH91">
        <v>375</v>
      </c>
      <c r="AI91">
        <v>350</v>
      </c>
      <c r="AJ91">
        <v>407.5</v>
      </c>
      <c r="AK91">
        <v>360</v>
      </c>
      <c r="AL91">
        <v>400</v>
      </c>
      <c r="AM91">
        <v>380</v>
      </c>
      <c r="AN91">
        <v>380</v>
      </c>
      <c r="AO91">
        <v>430</v>
      </c>
      <c r="AP91">
        <v>540</v>
      </c>
      <c r="AQ91">
        <v>410</v>
      </c>
      <c r="AR91">
        <v>370</v>
      </c>
      <c r="AS91">
        <v>750</v>
      </c>
      <c r="AT91">
        <v>570</v>
      </c>
      <c r="AU91">
        <v>750</v>
      </c>
      <c r="AV91">
        <v>350</v>
      </c>
      <c r="AW91">
        <v>340</v>
      </c>
      <c r="AX91">
        <v>360</v>
      </c>
      <c r="AY91">
        <v>320</v>
      </c>
      <c r="AZ91">
        <v>395</v>
      </c>
      <c r="BA91">
        <v>360</v>
      </c>
      <c r="BB91">
        <v>340</v>
      </c>
      <c r="BC91">
        <v>390</v>
      </c>
      <c r="BD91">
        <v>340</v>
      </c>
      <c r="BE91">
        <v>375</v>
      </c>
      <c r="BF91">
        <v>390</v>
      </c>
      <c r="BG91">
        <v>290</v>
      </c>
      <c r="BH91">
        <v>350</v>
      </c>
    </row>
    <row r="92" spans="1:60" x14ac:dyDescent="0.25">
      <c r="A92" s="3"/>
      <c r="B92" s="2">
        <v>41153</v>
      </c>
      <c r="C92">
        <v>420</v>
      </c>
      <c r="D92">
        <v>770</v>
      </c>
      <c r="E92">
        <v>680</v>
      </c>
      <c r="F92">
        <v>650</v>
      </c>
      <c r="G92">
        <v>850</v>
      </c>
      <c r="H92">
        <v>750</v>
      </c>
      <c r="I92">
        <v>690</v>
      </c>
      <c r="J92" t="s">
        <v>21</v>
      </c>
      <c r="K92">
        <v>950</v>
      </c>
      <c r="L92">
        <v>800</v>
      </c>
      <c r="M92">
        <v>830</v>
      </c>
      <c r="N92">
        <v>1100</v>
      </c>
      <c r="O92">
        <v>950</v>
      </c>
      <c r="P92">
        <v>515</v>
      </c>
      <c r="Q92">
        <v>480</v>
      </c>
      <c r="R92">
        <v>450</v>
      </c>
      <c r="S92">
        <v>595</v>
      </c>
      <c r="T92">
        <v>510</v>
      </c>
      <c r="U92">
        <v>650</v>
      </c>
      <c r="V92">
        <v>790</v>
      </c>
      <c r="W92">
        <v>505</v>
      </c>
      <c r="X92">
        <v>530</v>
      </c>
      <c r="Y92">
        <v>725</v>
      </c>
      <c r="Z92">
        <v>925</v>
      </c>
      <c r="AA92">
        <v>450</v>
      </c>
      <c r="AB92">
        <v>540</v>
      </c>
      <c r="AC92">
        <v>550</v>
      </c>
      <c r="AD92">
        <v>600</v>
      </c>
      <c r="AE92">
        <v>800</v>
      </c>
      <c r="AF92">
        <v>390</v>
      </c>
      <c r="AG92">
        <v>510</v>
      </c>
      <c r="AH92">
        <v>380</v>
      </c>
      <c r="AI92">
        <v>350</v>
      </c>
      <c r="AJ92">
        <v>420</v>
      </c>
      <c r="AK92">
        <v>360</v>
      </c>
      <c r="AL92">
        <v>400</v>
      </c>
      <c r="AM92">
        <v>380</v>
      </c>
      <c r="AN92">
        <v>380</v>
      </c>
      <c r="AO92">
        <v>430</v>
      </c>
      <c r="AP92">
        <v>550</v>
      </c>
      <c r="AQ92">
        <v>400</v>
      </c>
      <c r="AR92">
        <v>380</v>
      </c>
      <c r="AS92">
        <v>747.5</v>
      </c>
      <c r="AT92">
        <v>560</v>
      </c>
      <c r="AU92">
        <v>725</v>
      </c>
      <c r="AV92">
        <v>375</v>
      </c>
      <c r="AW92">
        <v>340</v>
      </c>
      <c r="AX92">
        <v>370</v>
      </c>
      <c r="AY92">
        <v>330</v>
      </c>
      <c r="AZ92">
        <v>395</v>
      </c>
      <c r="BA92">
        <v>375</v>
      </c>
      <c r="BB92">
        <v>350</v>
      </c>
      <c r="BC92">
        <v>390</v>
      </c>
      <c r="BD92">
        <v>340</v>
      </c>
      <c r="BE92">
        <v>370</v>
      </c>
      <c r="BF92">
        <v>380</v>
      </c>
      <c r="BG92">
        <v>290</v>
      </c>
      <c r="BH92">
        <v>360</v>
      </c>
    </row>
    <row r="93" spans="1:60" x14ac:dyDescent="0.25">
      <c r="A93" s="3"/>
      <c r="B93" s="2">
        <v>41244</v>
      </c>
      <c r="C93">
        <v>420</v>
      </c>
      <c r="D93">
        <v>750</v>
      </c>
      <c r="E93">
        <v>600</v>
      </c>
      <c r="F93">
        <v>650</v>
      </c>
      <c r="G93">
        <v>737.5</v>
      </c>
      <c r="H93">
        <v>750</v>
      </c>
      <c r="I93">
        <v>665</v>
      </c>
      <c r="J93">
        <v>1025</v>
      </c>
      <c r="K93">
        <v>1000</v>
      </c>
      <c r="L93">
        <v>770</v>
      </c>
      <c r="M93">
        <v>780</v>
      </c>
      <c r="N93">
        <v>975</v>
      </c>
      <c r="O93">
        <v>1100</v>
      </c>
      <c r="P93">
        <v>520</v>
      </c>
      <c r="Q93">
        <v>450</v>
      </c>
      <c r="R93">
        <v>457.5</v>
      </c>
      <c r="S93">
        <v>600</v>
      </c>
      <c r="T93">
        <v>500</v>
      </c>
      <c r="U93">
        <v>640</v>
      </c>
      <c r="V93">
        <v>775</v>
      </c>
      <c r="W93">
        <v>530</v>
      </c>
      <c r="X93">
        <v>550</v>
      </c>
      <c r="Y93">
        <v>700</v>
      </c>
      <c r="Z93">
        <v>965</v>
      </c>
      <c r="AA93">
        <v>450</v>
      </c>
      <c r="AB93">
        <v>560</v>
      </c>
      <c r="AC93">
        <v>570</v>
      </c>
      <c r="AD93">
        <v>550</v>
      </c>
      <c r="AE93">
        <v>850</v>
      </c>
      <c r="AF93">
        <v>390</v>
      </c>
      <c r="AG93">
        <v>500</v>
      </c>
      <c r="AH93">
        <v>380</v>
      </c>
      <c r="AI93">
        <v>362.5</v>
      </c>
      <c r="AJ93">
        <v>412.5</v>
      </c>
      <c r="AK93">
        <v>370</v>
      </c>
      <c r="AL93">
        <v>400</v>
      </c>
      <c r="AM93">
        <v>380</v>
      </c>
      <c r="AN93">
        <v>390</v>
      </c>
      <c r="AO93">
        <v>430</v>
      </c>
      <c r="AP93">
        <v>550</v>
      </c>
      <c r="AQ93">
        <v>410</v>
      </c>
      <c r="AR93">
        <v>375</v>
      </c>
      <c r="AS93">
        <v>755</v>
      </c>
      <c r="AT93">
        <v>572.5</v>
      </c>
      <c r="AU93">
        <v>737.5</v>
      </c>
      <c r="AV93">
        <v>362.5</v>
      </c>
      <c r="AW93">
        <v>330</v>
      </c>
      <c r="AX93">
        <v>370</v>
      </c>
      <c r="AY93">
        <v>330</v>
      </c>
      <c r="AZ93">
        <v>430</v>
      </c>
      <c r="BA93">
        <v>370</v>
      </c>
      <c r="BB93">
        <v>350</v>
      </c>
      <c r="BC93">
        <v>400</v>
      </c>
      <c r="BD93">
        <v>340</v>
      </c>
      <c r="BE93">
        <v>375</v>
      </c>
      <c r="BF93">
        <v>380</v>
      </c>
      <c r="BG93">
        <v>295</v>
      </c>
      <c r="BH93">
        <v>360</v>
      </c>
    </row>
    <row r="94" spans="1:60" x14ac:dyDescent="0.25">
      <c r="A94" s="3"/>
      <c r="B94" s="2">
        <v>41334</v>
      </c>
      <c r="C94">
        <v>430</v>
      </c>
      <c r="D94">
        <v>790</v>
      </c>
      <c r="E94">
        <v>650</v>
      </c>
      <c r="F94">
        <v>700</v>
      </c>
      <c r="G94">
        <v>805</v>
      </c>
      <c r="H94">
        <v>757.5</v>
      </c>
      <c r="I94">
        <v>682.5</v>
      </c>
      <c r="J94">
        <v>1200</v>
      </c>
      <c r="K94">
        <v>995</v>
      </c>
      <c r="L94">
        <v>825</v>
      </c>
      <c r="M94">
        <v>800</v>
      </c>
      <c r="N94">
        <v>1080</v>
      </c>
      <c r="O94" t="s">
        <v>21</v>
      </c>
      <c r="P94">
        <v>520</v>
      </c>
      <c r="Q94">
        <v>470</v>
      </c>
      <c r="R94">
        <v>460</v>
      </c>
      <c r="S94">
        <v>600</v>
      </c>
      <c r="T94">
        <v>545</v>
      </c>
      <c r="U94">
        <v>680</v>
      </c>
      <c r="V94" t="s">
        <v>21</v>
      </c>
      <c r="W94">
        <v>520</v>
      </c>
      <c r="X94">
        <v>540</v>
      </c>
      <c r="Y94">
        <v>710</v>
      </c>
      <c r="Z94">
        <v>940</v>
      </c>
      <c r="AA94">
        <v>450</v>
      </c>
      <c r="AB94">
        <v>555</v>
      </c>
      <c r="AC94">
        <v>560</v>
      </c>
      <c r="AD94">
        <v>550</v>
      </c>
      <c r="AE94">
        <v>797.5</v>
      </c>
      <c r="AF94">
        <v>400</v>
      </c>
      <c r="AG94">
        <v>500</v>
      </c>
      <c r="AH94">
        <v>380</v>
      </c>
      <c r="AI94">
        <v>360</v>
      </c>
      <c r="AJ94">
        <v>412.5</v>
      </c>
      <c r="AK94">
        <v>370</v>
      </c>
      <c r="AL94">
        <v>400</v>
      </c>
      <c r="AM94">
        <v>390</v>
      </c>
      <c r="AN94">
        <v>380</v>
      </c>
      <c r="AO94">
        <v>432.5</v>
      </c>
      <c r="AP94">
        <v>550</v>
      </c>
      <c r="AQ94">
        <v>430</v>
      </c>
      <c r="AR94">
        <v>380</v>
      </c>
      <c r="AS94">
        <v>770</v>
      </c>
      <c r="AT94">
        <v>580</v>
      </c>
      <c r="AU94">
        <v>760</v>
      </c>
      <c r="AV94">
        <v>380</v>
      </c>
      <c r="AW94">
        <v>350</v>
      </c>
      <c r="AX94">
        <v>370</v>
      </c>
      <c r="AY94">
        <v>320</v>
      </c>
      <c r="AZ94">
        <v>430</v>
      </c>
      <c r="BA94">
        <v>370</v>
      </c>
      <c r="BB94">
        <v>350</v>
      </c>
      <c r="BC94">
        <v>400</v>
      </c>
      <c r="BD94">
        <v>350</v>
      </c>
      <c r="BE94">
        <v>385</v>
      </c>
      <c r="BF94">
        <v>400</v>
      </c>
      <c r="BG94">
        <v>300</v>
      </c>
      <c r="BH94">
        <v>365</v>
      </c>
    </row>
    <row r="95" spans="1:60" x14ac:dyDescent="0.25">
      <c r="A95" s="3"/>
      <c r="B95" s="2">
        <v>41426</v>
      </c>
      <c r="C95">
        <v>420</v>
      </c>
      <c r="D95">
        <v>780</v>
      </c>
      <c r="E95">
        <v>635</v>
      </c>
      <c r="F95">
        <v>682.5</v>
      </c>
      <c r="G95">
        <v>750</v>
      </c>
      <c r="H95">
        <v>770</v>
      </c>
      <c r="I95">
        <v>720</v>
      </c>
      <c r="J95">
        <v>1050</v>
      </c>
      <c r="K95">
        <v>910</v>
      </c>
      <c r="L95">
        <v>820</v>
      </c>
      <c r="M95">
        <v>787.45</v>
      </c>
      <c r="N95">
        <v>1075</v>
      </c>
      <c r="O95" t="s">
        <v>21</v>
      </c>
      <c r="P95">
        <v>520</v>
      </c>
      <c r="Q95">
        <v>480</v>
      </c>
      <c r="R95">
        <v>460</v>
      </c>
      <c r="S95">
        <v>560</v>
      </c>
      <c r="T95">
        <v>525</v>
      </c>
      <c r="U95">
        <v>722.5</v>
      </c>
      <c r="V95" t="s">
        <v>21</v>
      </c>
      <c r="W95">
        <v>520</v>
      </c>
      <c r="X95">
        <v>555</v>
      </c>
      <c r="Y95">
        <v>750</v>
      </c>
      <c r="Z95">
        <v>945</v>
      </c>
      <c r="AA95">
        <v>450</v>
      </c>
      <c r="AB95">
        <v>560</v>
      </c>
      <c r="AC95">
        <v>570</v>
      </c>
      <c r="AD95">
        <v>620</v>
      </c>
      <c r="AE95">
        <v>810</v>
      </c>
      <c r="AF95">
        <v>400</v>
      </c>
      <c r="AG95">
        <v>505</v>
      </c>
      <c r="AH95">
        <v>380</v>
      </c>
      <c r="AI95">
        <v>360</v>
      </c>
      <c r="AJ95">
        <v>430</v>
      </c>
      <c r="AK95">
        <v>370</v>
      </c>
      <c r="AL95">
        <v>410</v>
      </c>
      <c r="AM95">
        <v>390</v>
      </c>
      <c r="AN95">
        <v>397.5</v>
      </c>
      <c r="AO95">
        <v>435</v>
      </c>
      <c r="AP95">
        <v>580</v>
      </c>
      <c r="AQ95">
        <v>420</v>
      </c>
      <c r="AR95">
        <v>380</v>
      </c>
      <c r="AS95">
        <v>750</v>
      </c>
      <c r="AT95">
        <v>550</v>
      </c>
      <c r="AU95">
        <v>750</v>
      </c>
      <c r="AV95">
        <v>370</v>
      </c>
      <c r="AW95">
        <v>350</v>
      </c>
      <c r="AX95">
        <v>370</v>
      </c>
      <c r="AY95">
        <v>320</v>
      </c>
      <c r="AZ95">
        <v>432.5</v>
      </c>
      <c r="BA95">
        <v>370</v>
      </c>
      <c r="BB95">
        <v>350</v>
      </c>
      <c r="BC95">
        <v>400</v>
      </c>
      <c r="BD95">
        <v>345</v>
      </c>
      <c r="BE95">
        <v>380</v>
      </c>
      <c r="BF95">
        <v>390</v>
      </c>
      <c r="BG95">
        <v>300</v>
      </c>
      <c r="BH95">
        <v>360</v>
      </c>
    </row>
    <row r="96" spans="1:60" x14ac:dyDescent="0.25">
      <c r="A96" s="3"/>
      <c r="B96" s="2">
        <v>41518</v>
      </c>
      <c r="C96">
        <v>430</v>
      </c>
      <c r="D96">
        <v>790</v>
      </c>
      <c r="E96">
        <v>650</v>
      </c>
      <c r="F96">
        <v>700</v>
      </c>
      <c r="G96">
        <v>825</v>
      </c>
      <c r="H96">
        <v>825</v>
      </c>
      <c r="I96">
        <v>710</v>
      </c>
      <c r="J96" t="s">
        <v>21</v>
      </c>
      <c r="K96">
        <v>850</v>
      </c>
      <c r="L96">
        <v>800</v>
      </c>
      <c r="M96">
        <v>850</v>
      </c>
      <c r="N96">
        <v>1000</v>
      </c>
      <c r="O96">
        <v>1100</v>
      </c>
      <c r="P96">
        <v>530</v>
      </c>
      <c r="Q96">
        <v>480</v>
      </c>
      <c r="R96">
        <v>465</v>
      </c>
      <c r="S96">
        <v>567.5</v>
      </c>
      <c r="T96">
        <v>522.5</v>
      </c>
      <c r="U96">
        <v>690</v>
      </c>
      <c r="V96">
        <v>920</v>
      </c>
      <c r="W96">
        <v>530</v>
      </c>
      <c r="X96">
        <v>510</v>
      </c>
      <c r="Y96">
        <v>750</v>
      </c>
      <c r="Z96">
        <v>1050</v>
      </c>
      <c r="AA96">
        <v>460</v>
      </c>
      <c r="AB96">
        <v>550</v>
      </c>
      <c r="AC96">
        <v>620</v>
      </c>
      <c r="AD96">
        <v>600</v>
      </c>
      <c r="AE96">
        <v>845</v>
      </c>
      <c r="AF96">
        <v>400</v>
      </c>
      <c r="AG96">
        <v>520</v>
      </c>
      <c r="AH96">
        <v>390</v>
      </c>
      <c r="AI96">
        <v>370</v>
      </c>
      <c r="AJ96">
        <v>420</v>
      </c>
      <c r="AK96">
        <v>370</v>
      </c>
      <c r="AL96">
        <v>420</v>
      </c>
      <c r="AM96">
        <v>395</v>
      </c>
      <c r="AN96">
        <v>380</v>
      </c>
      <c r="AO96">
        <v>450</v>
      </c>
      <c r="AP96">
        <v>570</v>
      </c>
      <c r="AQ96">
        <v>420</v>
      </c>
      <c r="AR96">
        <v>380</v>
      </c>
      <c r="AS96">
        <v>750</v>
      </c>
      <c r="AT96">
        <v>580</v>
      </c>
      <c r="AU96">
        <v>750</v>
      </c>
      <c r="AV96">
        <v>370</v>
      </c>
      <c r="AW96">
        <v>350</v>
      </c>
      <c r="AX96">
        <v>365</v>
      </c>
      <c r="AY96">
        <v>305</v>
      </c>
      <c r="AZ96">
        <v>417.5</v>
      </c>
      <c r="BA96">
        <v>370</v>
      </c>
      <c r="BB96">
        <v>342.5</v>
      </c>
      <c r="BC96">
        <v>400</v>
      </c>
      <c r="BD96">
        <v>340</v>
      </c>
      <c r="BE96">
        <v>380</v>
      </c>
      <c r="BF96">
        <v>400</v>
      </c>
      <c r="BG96">
        <v>300</v>
      </c>
      <c r="BH96">
        <v>360</v>
      </c>
    </row>
    <row r="97" spans="1:60" x14ac:dyDescent="0.25">
      <c r="A97" s="3"/>
      <c r="B97" s="2">
        <v>41609</v>
      </c>
      <c r="C97">
        <v>440</v>
      </c>
      <c r="D97">
        <v>795</v>
      </c>
      <c r="E97">
        <v>700</v>
      </c>
      <c r="F97">
        <v>677.5</v>
      </c>
      <c r="G97">
        <v>850</v>
      </c>
      <c r="H97">
        <v>775</v>
      </c>
      <c r="I97">
        <v>730</v>
      </c>
      <c r="J97">
        <v>1212.5</v>
      </c>
      <c r="K97">
        <v>950</v>
      </c>
      <c r="L97">
        <v>800</v>
      </c>
      <c r="M97">
        <v>872.5</v>
      </c>
      <c r="N97">
        <v>1090</v>
      </c>
      <c r="O97">
        <v>1225</v>
      </c>
      <c r="P97">
        <v>550</v>
      </c>
      <c r="Q97">
        <v>490</v>
      </c>
      <c r="R97">
        <v>470</v>
      </c>
      <c r="S97">
        <v>550</v>
      </c>
      <c r="T97">
        <v>550</v>
      </c>
      <c r="U97">
        <v>700</v>
      </c>
      <c r="V97">
        <v>825</v>
      </c>
      <c r="W97">
        <v>550</v>
      </c>
      <c r="X97">
        <v>575</v>
      </c>
      <c r="Y97">
        <v>730</v>
      </c>
      <c r="Z97">
        <v>972.5</v>
      </c>
      <c r="AA97">
        <v>470</v>
      </c>
      <c r="AB97">
        <v>580</v>
      </c>
      <c r="AC97">
        <v>600</v>
      </c>
      <c r="AD97">
        <v>540</v>
      </c>
      <c r="AE97">
        <v>850</v>
      </c>
      <c r="AF97">
        <v>400</v>
      </c>
      <c r="AG97">
        <v>525</v>
      </c>
      <c r="AH97">
        <v>400</v>
      </c>
      <c r="AI97">
        <v>380</v>
      </c>
      <c r="AJ97">
        <v>430</v>
      </c>
      <c r="AK97">
        <v>380</v>
      </c>
      <c r="AL97">
        <v>425</v>
      </c>
      <c r="AM97">
        <v>395</v>
      </c>
      <c r="AN97">
        <v>400</v>
      </c>
      <c r="AO97">
        <v>450</v>
      </c>
      <c r="AP97">
        <v>555.20000000000005</v>
      </c>
      <c r="AQ97">
        <v>430</v>
      </c>
      <c r="AR97">
        <v>380</v>
      </c>
      <c r="AS97">
        <v>800</v>
      </c>
      <c r="AT97">
        <v>575</v>
      </c>
      <c r="AU97">
        <v>770</v>
      </c>
      <c r="AV97">
        <v>380</v>
      </c>
      <c r="AW97">
        <v>350</v>
      </c>
      <c r="AX97">
        <v>370</v>
      </c>
      <c r="AY97">
        <v>300</v>
      </c>
      <c r="AZ97">
        <v>422.5</v>
      </c>
      <c r="BA97">
        <v>380</v>
      </c>
      <c r="BB97">
        <v>330</v>
      </c>
      <c r="BC97">
        <v>400</v>
      </c>
      <c r="BD97">
        <v>350</v>
      </c>
      <c r="BE97">
        <v>380</v>
      </c>
      <c r="BF97">
        <v>400</v>
      </c>
      <c r="BG97">
        <v>300</v>
      </c>
      <c r="BH97">
        <v>370</v>
      </c>
    </row>
    <row r="98" spans="1:60" x14ac:dyDescent="0.25">
      <c r="A98" s="3"/>
      <c r="B98" s="2">
        <v>41699</v>
      </c>
      <c r="C98">
        <v>450</v>
      </c>
      <c r="D98">
        <v>800</v>
      </c>
      <c r="E98">
        <v>690</v>
      </c>
      <c r="F98">
        <v>695</v>
      </c>
      <c r="G98">
        <v>825</v>
      </c>
      <c r="H98">
        <v>800</v>
      </c>
      <c r="I98">
        <v>700</v>
      </c>
      <c r="J98">
        <v>1125</v>
      </c>
      <c r="K98">
        <v>972.5</v>
      </c>
      <c r="L98">
        <v>845</v>
      </c>
      <c r="M98">
        <v>849.9</v>
      </c>
      <c r="N98">
        <v>1250</v>
      </c>
      <c r="O98" t="s">
        <v>21</v>
      </c>
      <c r="P98">
        <v>550</v>
      </c>
      <c r="Q98">
        <v>500</v>
      </c>
      <c r="R98">
        <v>480</v>
      </c>
      <c r="S98">
        <v>647.5</v>
      </c>
      <c r="T98">
        <v>530</v>
      </c>
      <c r="U98">
        <v>672.5</v>
      </c>
      <c r="V98" t="s">
        <v>21</v>
      </c>
      <c r="W98">
        <v>550</v>
      </c>
      <c r="X98">
        <v>587.5</v>
      </c>
      <c r="Y98">
        <v>780</v>
      </c>
      <c r="Z98">
        <v>910</v>
      </c>
      <c r="AA98">
        <v>465</v>
      </c>
      <c r="AB98">
        <v>575</v>
      </c>
      <c r="AC98">
        <v>582.5</v>
      </c>
      <c r="AD98">
        <v>505</v>
      </c>
      <c r="AE98">
        <v>875</v>
      </c>
      <c r="AF98">
        <v>410</v>
      </c>
      <c r="AG98">
        <v>550</v>
      </c>
      <c r="AH98">
        <v>395</v>
      </c>
      <c r="AI98">
        <v>380</v>
      </c>
      <c r="AJ98">
        <v>425</v>
      </c>
      <c r="AK98">
        <v>380</v>
      </c>
      <c r="AL98">
        <v>425</v>
      </c>
      <c r="AM98">
        <v>410</v>
      </c>
      <c r="AN98">
        <v>400</v>
      </c>
      <c r="AO98">
        <v>447.5</v>
      </c>
      <c r="AP98">
        <v>570</v>
      </c>
      <c r="AQ98">
        <v>440</v>
      </c>
      <c r="AR98">
        <v>400</v>
      </c>
      <c r="AS98">
        <v>817.5</v>
      </c>
      <c r="AT98">
        <v>603</v>
      </c>
      <c r="AU98">
        <v>780</v>
      </c>
      <c r="AV98">
        <v>380</v>
      </c>
      <c r="AW98">
        <v>350</v>
      </c>
      <c r="AX98">
        <v>375</v>
      </c>
      <c r="AY98">
        <v>300</v>
      </c>
      <c r="AZ98">
        <v>457.5</v>
      </c>
      <c r="BA98">
        <v>370</v>
      </c>
      <c r="BB98">
        <v>340</v>
      </c>
      <c r="BC98">
        <v>410</v>
      </c>
      <c r="BD98">
        <v>350</v>
      </c>
      <c r="BE98">
        <v>380</v>
      </c>
      <c r="BF98">
        <v>410</v>
      </c>
      <c r="BG98">
        <v>300</v>
      </c>
      <c r="BH98">
        <v>370</v>
      </c>
    </row>
    <row r="99" spans="1:60" x14ac:dyDescent="0.25">
      <c r="A99" s="3"/>
      <c r="B99" s="2">
        <v>41791</v>
      </c>
      <c r="C99">
        <v>450</v>
      </c>
      <c r="D99">
        <v>840</v>
      </c>
      <c r="E99">
        <v>650</v>
      </c>
      <c r="F99">
        <v>710</v>
      </c>
      <c r="G99">
        <v>905</v>
      </c>
      <c r="H99">
        <v>850</v>
      </c>
      <c r="I99">
        <v>747.5</v>
      </c>
      <c r="J99" t="s">
        <v>21</v>
      </c>
      <c r="K99">
        <v>1095</v>
      </c>
      <c r="L99">
        <v>850</v>
      </c>
      <c r="M99">
        <v>800</v>
      </c>
      <c r="N99">
        <v>1050</v>
      </c>
      <c r="O99">
        <v>1050</v>
      </c>
      <c r="P99">
        <v>540</v>
      </c>
      <c r="Q99">
        <v>482.5</v>
      </c>
      <c r="R99">
        <v>480</v>
      </c>
      <c r="S99">
        <v>605</v>
      </c>
      <c r="T99">
        <v>550</v>
      </c>
      <c r="U99">
        <v>700</v>
      </c>
      <c r="V99" t="s">
        <v>21</v>
      </c>
      <c r="W99">
        <v>550</v>
      </c>
      <c r="X99">
        <v>570</v>
      </c>
      <c r="Y99">
        <v>787.5</v>
      </c>
      <c r="Z99">
        <v>950</v>
      </c>
      <c r="AA99">
        <v>467.5</v>
      </c>
      <c r="AB99">
        <v>590</v>
      </c>
      <c r="AC99">
        <v>600</v>
      </c>
      <c r="AD99">
        <v>560</v>
      </c>
      <c r="AE99">
        <v>887.5</v>
      </c>
      <c r="AF99">
        <v>420</v>
      </c>
      <c r="AG99">
        <v>550</v>
      </c>
      <c r="AH99">
        <v>400</v>
      </c>
      <c r="AI99">
        <v>400</v>
      </c>
      <c r="AJ99">
        <v>430</v>
      </c>
      <c r="AK99">
        <v>390</v>
      </c>
      <c r="AL99">
        <v>430</v>
      </c>
      <c r="AM99">
        <v>400</v>
      </c>
      <c r="AN99">
        <v>420</v>
      </c>
      <c r="AO99">
        <v>450</v>
      </c>
      <c r="AP99">
        <v>590</v>
      </c>
      <c r="AQ99">
        <v>445</v>
      </c>
      <c r="AR99">
        <v>395</v>
      </c>
      <c r="AS99">
        <v>805</v>
      </c>
      <c r="AT99">
        <v>600</v>
      </c>
      <c r="AU99">
        <v>797.5</v>
      </c>
      <c r="AV99">
        <v>380</v>
      </c>
      <c r="AW99">
        <v>360</v>
      </c>
      <c r="AX99">
        <v>370</v>
      </c>
      <c r="AY99">
        <v>300</v>
      </c>
      <c r="AZ99">
        <v>450</v>
      </c>
      <c r="BA99">
        <v>380</v>
      </c>
      <c r="BB99">
        <v>340</v>
      </c>
      <c r="BC99">
        <v>400</v>
      </c>
      <c r="BD99">
        <v>350</v>
      </c>
      <c r="BE99">
        <v>395</v>
      </c>
      <c r="BF99">
        <v>400</v>
      </c>
      <c r="BG99">
        <v>300</v>
      </c>
      <c r="BH99">
        <v>375</v>
      </c>
    </row>
    <row r="100" spans="1:60" x14ac:dyDescent="0.25">
      <c r="A100" s="3"/>
      <c r="B100" s="2">
        <v>41883</v>
      </c>
      <c r="C100">
        <v>450</v>
      </c>
      <c r="D100">
        <v>815</v>
      </c>
      <c r="E100">
        <v>700</v>
      </c>
      <c r="F100">
        <v>672.5</v>
      </c>
      <c r="G100">
        <v>860</v>
      </c>
      <c r="H100">
        <v>815</v>
      </c>
      <c r="I100">
        <v>737.5</v>
      </c>
      <c r="J100">
        <v>1150</v>
      </c>
      <c r="K100">
        <v>865</v>
      </c>
      <c r="L100">
        <v>815</v>
      </c>
      <c r="M100">
        <v>750</v>
      </c>
      <c r="N100">
        <v>1130</v>
      </c>
      <c r="O100">
        <v>1100</v>
      </c>
      <c r="P100">
        <v>550</v>
      </c>
      <c r="Q100">
        <v>480</v>
      </c>
      <c r="R100">
        <v>480</v>
      </c>
      <c r="S100" t="s">
        <v>21</v>
      </c>
      <c r="T100">
        <v>540</v>
      </c>
      <c r="U100">
        <v>695</v>
      </c>
      <c r="V100" t="s">
        <v>21</v>
      </c>
      <c r="W100">
        <v>530</v>
      </c>
      <c r="X100">
        <v>590</v>
      </c>
      <c r="Y100">
        <v>787.5</v>
      </c>
      <c r="Z100">
        <v>975</v>
      </c>
      <c r="AA100">
        <v>480</v>
      </c>
      <c r="AB100">
        <v>600</v>
      </c>
      <c r="AC100">
        <v>620</v>
      </c>
      <c r="AD100">
        <v>590</v>
      </c>
      <c r="AE100">
        <v>895</v>
      </c>
      <c r="AF100">
        <v>420</v>
      </c>
      <c r="AG100">
        <v>550</v>
      </c>
      <c r="AH100">
        <v>400</v>
      </c>
      <c r="AI100">
        <v>380</v>
      </c>
      <c r="AJ100">
        <v>440</v>
      </c>
      <c r="AK100">
        <v>390</v>
      </c>
      <c r="AL100">
        <v>430</v>
      </c>
      <c r="AM100">
        <v>400</v>
      </c>
      <c r="AN100">
        <v>420</v>
      </c>
      <c r="AO100">
        <v>450</v>
      </c>
      <c r="AP100">
        <v>577.5</v>
      </c>
      <c r="AQ100">
        <v>450</v>
      </c>
      <c r="AR100">
        <v>400</v>
      </c>
      <c r="AS100">
        <v>812.5</v>
      </c>
      <c r="AT100">
        <v>600</v>
      </c>
      <c r="AU100">
        <v>800</v>
      </c>
      <c r="AV100">
        <v>375</v>
      </c>
      <c r="AW100">
        <v>370</v>
      </c>
      <c r="AX100">
        <v>370</v>
      </c>
      <c r="AY100">
        <v>300</v>
      </c>
      <c r="AZ100">
        <v>440</v>
      </c>
      <c r="BA100">
        <v>380</v>
      </c>
      <c r="BB100">
        <v>330</v>
      </c>
      <c r="BC100">
        <v>400</v>
      </c>
      <c r="BD100">
        <v>350</v>
      </c>
      <c r="BE100">
        <v>390</v>
      </c>
      <c r="BF100">
        <v>400</v>
      </c>
      <c r="BG100">
        <v>300</v>
      </c>
      <c r="BH100">
        <v>380</v>
      </c>
    </row>
    <row r="101" spans="1:60" x14ac:dyDescent="0.25">
      <c r="A101" s="3"/>
      <c r="B101" s="2">
        <v>41974</v>
      </c>
      <c r="C101">
        <v>450</v>
      </c>
      <c r="D101">
        <v>822.5</v>
      </c>
      <c r="E101">
        <v>650</v>
      </c>
      <c r="F101">
        <v>685</v>
      </c>
      <c r="G101">
        <v>815</v>
      </c>
      <c r="H101">
        <v>827.5</v>
      </c>
      <c r="I101">
        <v>739</v>
      </c>
      <c r="J101">
        <v>962.5</v>
      </c>
      <c r="K101">
        <v>1025</v>
      </c>
      <c r="L101">
        <v>800</v>
      </c>
      <c r="M101">
        <v>950</v>
      </c>
      <c r="N101">
        <v>1125</v>
      </c>
      <c r="O101">
        <v>1117.5999999999999</v>
      </c>
      <c r="P101">
        <v>550</v>
      </c>
      <c r="Q101">
        <v>495</v>
      </c>
      <c r="R101">
        <v>490</v>
      </c>
      <c r="S101">
        <v>620</v>
      </c>
      <c r="T101">
        <v>550</v>
      </c>
      <c r="U101">
        <v>710</v>
      </c>
      <c r="V101" t="s">
        <v>21</v>
      </c>
      <c r="W101">
        <v>560</v>
      </c>
      <c r="X101">
        <v>575</v>
      </c>
      <c r="Y101">
        <v>800</v>
      </c>
      <c r="Z101">
        <v>1100</v>
      </c>
      <c r="AA101">
        <v>480</v>
      </c>
      <c r="AB101">
        <v>600</v>
      </c>
      <c r="AC101">
        <v>600</v>
      </c>
      <c r="AD101">
        <v>600</v>
      </c>
      <c r="AE101">
        <v>872.5</v>
      </c>
      <c r="AF101">
        <v>420</v>
      </c>
      <c r="AG101">
        <v>550</v>
      </c>
      <c r="AH101">
        <v>410</v>
      </c>
      <c r="AI101">
        <v>395</v>
      </c>
      <c r="AJ101">
        <v>432.5</v>
      </c>
      <c r="AK101">
        <v>390</v>
      </c>
      <c r="AL101">
        <v>440</v>
      </c>
      <c r="AM101">
        <v>410</v>
      </c>
      <c r="AN101">
        <v>430</v>
      </c>
      <c r="AO101">
        <v>460</v>
      </c>
      <c r="AP101">
        <v>581.5</v>
      </c>
      <c r="AQ101">
        <v>450</v>
      </c>
      <c r="AR101">
        <v>400</v>
      </c>
      <c r="AS101">
        <v>850</v>
      </c>
      <c r="AT101">
        <v>620</v>
      </c>
      <c r="AU101">
        <v>835</v>
      </c>
      <c r="AV101">
        <v>370</v>
      </c>
      <c r="AW101">
        <v>370</v>
      </c>
      <c r="AX101">
        <v>370</v>
      </c>
      <c r="AY101">
        <v>300</v>
      </c>
      <c r="AZ101">
        <v>475</v>
      </c>
      <c r="BA101">
        <v>380</v>
      </c>
      <c r="BB101">
        <v>330</v>
      </c>
      <c r="BC101">
        <v>400</v>
      </c>
      <c r="BD101">
        <v>350</v>
      </c>
      <c r="BE101">
        <v>397.5</v>
      </c>
      <c r="BF101">
        <v>420</v>
      </c>
      <c r="BG101">
        <v>300</v>
      </c>
      <c r="BH101">
        <v>380</v>
      </c>
    </row>
    <row r="102" spans="1:60" x14ac:dyDescent="0.25">
      <c r="A102" s="3"/>
      <c r="B102" s="2">
        <v>42064</v>
      </c>
      <c r="C102">
        <v>450</v>
      </c>
      <c r="D102">
        <v>845</v>
      </c>
      <c r="E102">
        <v>710</v>
      </c>
      <c r="F102">
        <v>725</v>
      </c>
      <c r="G102">
        <v>880</v>
      </c>
      <c r="H102">
        <v>830</v>
      </c>
      <c r="I102">
        <v>775</v>
      </c>
      <c r="J102" t="s">
        <v>21</v>
      </c>
      <c r="K102">
        <v>1100</v>
      </c>
      <c r="L102">
        <v>867.5</v>
      </c>
      <c r="M102">
        <v>880</v>
      </c>
      <c r="N102">
        <v>1050</v>
      </c>
      <c r="O102">
        <v>1150</v>
      </c>
      <c r="P102">
        <v>550</v>
      </c>
      <c r="Q102">
        <v>507.5</v>
      </c>
      <c r="R102">
        <v>500</v>
      </c>
      <c r="S102">
        <v>600</v>
      </c>
      <c r="T102">
        <v>550</v>
      </c>
      <c r="U102">
        <v>720</v>
      </c>
      <c r="V102" t="s">
        <v>21</v>
      </c>
      <c r="W102">
        <v>545</v>
      </c>
      <c r="X102">
        <v>582.5</v>
      </c>
      <c r="Y102">
        <v>780</v>
      </c>
      <c r="Z102">
        <v>1097.5</v>
      </c>
      <c r="AA102">
        <v>490</v>
      </c>
      <c r="AB102">
        <v>600</v>
      </c>
      <c r="AC102">
        <v>650</v>
      </c>
      <c r="AD102">
        <v>590</v>
      </c>
      <c r="AE102">
        <v>860</v>
      </c>
      <c r="AF102">
        <v>425</v>
      </c>
      <c r="AG102">
        <v>550</v>
      </c>
      <c r="AH102">
        <v>410</v>
      </c>
      <c r="AI102">
        <v>400</v>
      </c>
      <c r="AJ102">
        <v>432.5</v>
      </c>
      <c r="AK102">
        <v>395</v>
      </c>
      <c r="AL102">
        <v>430</v>
      </c>
      <c r="AM102">
        <v>420</v>
      </c>
      <c r="AN102">
        <v>422.5</v>
      </c>
      <c r="AO102">
        <v>460</v>
      </c>
      <c r="AP102">
        <v>600</v>
      </c>
      <c r="AQ102">
        <v>450</v>
      </c>
      <c r="AR102">
        <v>410</v>
      </c>
      <c r="AS102">
        <v>817.5</v>
      </c>
      <c r="AT102">
        <v>600</v>
      </c>
      <c r="AU102">
        <v>800</v>
      </c>
      <c r="AV102">
        <v>380</v>
      </c>
      <c r="AW102">
        <v>370</v>
      </c>
      <c r="AX102">
        <v>380</v>
      </c>
      <c r="AY102">
        <v>300</v>
      </c>
      <c r="AZ102">
        <v>470</v>
      </c>
      <c r="BA102">
        <v>380</v>
      </c>
      <c r="BB102">
        <v>330</v>
      </c>
      <c r="BC102">
        <v>400</v>
      </c>
      <c r="BD102">
        <v>350</v>
      </c>
      <c r="BE102">
        <v>410</v>
      </c>
      <c r="BF102">
        <v>420</v>
      </c>
      <c r="BG102">
        <v>310</v>
      </c>
      <c r="BH102">
        <v>380</v>
      </c>
    </row>
    <row r="103" spans="1:60" x14ac:dyDescent="0.25">
      <c r="A103" s="3"/>
      <c r="B103" s="2">
        <v>42156</v>
      </c>
      <c r="C103">
        <v>460</v>
      </c>
      <c r="D103">
        <v>850</v>
      </c>
      <c r="E103">
        <v>715</v>
      </c>
      <c r="F103">
        <v>735</v>
      </c>
      <c r="G103">
        <v>875</v>
      </c>
      <c r="H103">
        <v>850</v>
      </c>
      <c r="I103">
        <v>750</v>
      </c>
      <c r="J103" t="s">
        <v>21</v>
      </c>
      <c r="K103">
        <v>1100</v>
      </c>
      <c r="L103">
        <v>870</v>
      </c>
      <c r="M103">
        <v>880</v>
      </c>
      <c r="N103">
        <v>1100</v>
      </c>
      <c r="O103">
        <v>1100</v>
      </c>
      <c r="P103">
        <v>550</v>
      </c>
      <c r="Q103">
        <v>500</v>
      </c>
      <c r="R103">
        <v>495</v>
      </c>
      <c r="S103">
        <v>605</v>
      </c>
      <c r="T103">
        <v>550</v>
      </c>
      <c r="U103">
        <v>750</v>
      </c>
      <c r="V103" t="s">
        <v>21</v>
      </c>
      <c r="W103">
        <v>570</v>
      </c>
      <c r="X103">
        <v>580</v>
      </c>
      <c r="Y103">
        <v>810</v>
      </c>
      <c r="Z103">
        <v>1000</v>
      </c>
      <c r="AA103">
        <v>495</v>
      </c>
      <c r="AB103">
        <v>600</v>
      </c>
      <c r="AC103">
        <v>620</v>
      </c>
      <c r="AD103">
        <v>620</v>
      </c>
      <c r="AE103">
        <v>930</v>
      </c>
      <c r="AF103">
        <v>430</v>
      </c>
      <c r="AG103">
        <v>550</v>
      </c>
      <c r="AH103">
        <v>410</v>
      </c>
      <c r="AI103">
        <v>400</v>
      </c>
      <c r="AJ103">
        <v>442.5</v>
      </c>
      <c r="AK103">
        <v>400</v>
      </c>
      <c r="AL103">
        <v>440</v>
      </c>
      <c r="AM103">
        <v>445</v>
      </c>
      <c r="AN103">
        <v>425</v>
      </c>
      <c r="AO103">
        <v>460</v>
      </c>
      <c r="AP103">
        <v>600</v>
      </c>
      <c r="AQ103">
        <v>450</v>
      </c>
      <c r="AR103">
        <v>410</v>
      </c>
      <c r="AS103">
        <v>820</v>
      </c>
      <c r="AT103">
        <v>630</v>
      </c>
      <c r="AU103">
        <v>795</v>
      </c>
      <c r="AV103">
        <v>405</v>
      </c>
      <c r="AW103">
        <v>380</v>
      </c>
      <c r="AX103">
        <v>380</v>
      </c>
      <c r="AY103">
        <v>300</v>
      </c>
      <c r="AZ103">
        <v>450</v>
      </c>
      <c r="BA103">
        <v>380</v>
      </c>
      <c r="BB103">
        <v>340</v>
      </c>
      <c r="BC103">
        <v>400</v>
      </c>
      <c r="BD103">
        <v>350</v>
      </c>
      <c r="BE103">
        <v>412.5</v>
      </c>
      <c r="BF103">
        <v>440</v>
      </c>
      <c r="BG103">
        <v>310</v>
      </c>
      <c r="BH103">
        <v>385</v>
      </c>
    </row>
    <row r="104" spans="1:60" x14ac:dyDescent="0.25">
      <c r="A104" s="3"/>
      <c r="B104" s="2">
        <v>42248</v>
      </c>
      <c r="C104">
        <v>460</v>
      </c>
      <c r="D104">
        <v>850</v>
      </c>
      <c r="E104">
        <v>740</v>
      </c>
      <c r="F104">
        <v>700</v>
      </c>
      <c r="G104">
        <v>915</v>
      </c>
      <c r="H104">
        <v>892.5</v>
      </c>
      <c r="I104">
        <v>750</v>
      </c>
      <c r="J104">
        <v>1197.5</v>
      </c>
      <c r="K104">
        <v>1200</v>
      </c>
      <c r="L104">
        <v>850</v>
      </c>
      <c r="M104">
        <v>875</v>
      </c>
      <c r="N104">
        <v>1235</v>
      </c>
      <c r="O104">
        <v>1450</v>
      </c>
      <c r="P104">
        <v>560</v>
      </c>
      <c r="Q104">
        <v>500</v>
      </c>
      <c r="R104">
        <v>500</v>
      </c>
      <c r="S104">
        <v>600</v>
      </c>
      <c r="T104">
        <v>560</v>
      </c>
      <c r="U104">
        <v>750</v>
      </c>
      <c r="V104">
        <v>900</v>
      </c>
      <c r="W104">
        <v>560</v>
      </c>
      <c r="X104">
        <v>620</v>
      </c>
      <c r="Y104">
        <v>860</v>
      </c>
      <c r="Z104">
        <v>980</v>
      </c>
      <c r="AA104">
        <v>500</v>
      </c>
      <c r="AB104">
        <v>600</v>
      </c>
      <c r="AC104">
        <v>630</v>
      </c>
      <c r="AD104">
        <v>560</v>
      </c>
      <c r="AE104">
        <v>950</v>
      </c>
      <c r="AF104">
        <v>430</v>
      </c>
      <c r="AG104">
        <v>550</v>
      </c>
      <c r="AH104">
        <v>420</v>
      </c>
      <c r="AI104">
        <v>420</v>
      </c>
      <c r="AJ104">
        <v>450</v>
      </c>
      <c r="AK104">
        <v>400</v>
      </c>
      <c r="AL104">
        <v>450</v>
      </c>
      <c r="AM104">
        <v>430</v>
      </c>
      <c r="AN104">
        <v>440</v>
      </c>
      <c r="AO104">
        <v>470</v>
      </c>
      <c r="AP104">
        <v>600</v>
      </c>
      <c r="AQ104">
        <v>460</v>
      </c>
      <c r="AR104">
        <v>420</v>
      </c>
      <c r="AS104">
        <v>850</v>
      </c>
      <c r="AT104">
        <v>620</v>
      </c>
      <c r="AU104">
        <v>845</v>
      </c>
      <c r="AV104">
        <v>400</v>
      </c>
      <c r="AW104">
        <v>380</v>
      </c>
      <c r="AX104">
        <v>380</v>
      </c>
      <c r="AY104">
        <v>300</v>
      </c>
      <c r="AZ104">
        <v>450</v>
      </c>
      <c r="BA104">
        <v>385</v>
      </c>
      <c r="BB104">
        <v>340</v>
      </c>
      <c r="BC104">
        <v>400</v>
      </c>
      <c r="BD104">
        <v>350</v>
      </c>
      <c r="BE104">
        <v>400</v>
      </c>
      <c r="BF104">
        <v>440</v>
      </c>
      <c r="BG104">
        <v>310</v>
      </c>
      <c r="BH104">
        <v>395</v>
      </c>
    </row>
    <row r="105" spans="1:60" x14ac:dyDescent="0.25">
      <c r="A105" s="3"/>
      <c r="B105" s="2">
        <v>42339</v>
      </c>
      <c r="C105">
        <v>460</v>
      </c>
      <c r="D105">
        <v>850</v>
      </c>
      <c r="E105">
        <v>750</v>
      </c>
      <c r="F105">
        <v>690</v>
      </c>
      <c r="G105">
        <v>850</v>
      </c>
      <c r="H105">
        <v>875</v>
      </c>
      <c r="I105">
        <v>800</v>
      </c>
      <c r="J105">
        <v>1050</v>
      </c>
      <c r="K105">
        <v>1100</v>
      </c>
      <c r="L105">
        <v>890</v>
      </c>
      <c r="M105">
        <v>870</v>
      </c>
      <c r="N105">
        <v>1100</v>
      </c>
      <c r="O105">
        <v>1100</v>
      </c>
      <c r="P105">
        <v>570</v>
      </c>
      <c r="Q105">
        <v>500</v>
      </c>
      <c r="R105">
        <v>490</v>
      </c>
      <c r="S105">
        <v>650</v>
      </c>
      <c r="T105">
        <v>567.5</v>
      </c>
      <c r="U105">
        <v>750</v>
      </c>
      <c r="V105" t="s">
        <v>21</v>
      </c>
      <c r="W105">
        <v>550</v>
      </c>
      <c r="X105">
        <v>600</v>
      </c>
      <c r="Y105">
        <v>827.5</v>
      </c>
      <c r="Z105">
        <v>1225</v>
      </c>
      <c r="AA105">
        <v>495</v>
      </c>
      <c r="AB105">
        <v>615</v>
      </c>
      <c r="AC105">
        <v>650</v>
      </c>
      <c r="AD105">
        <v>665</v>
      </c>
      <c r="AE105">
        <v>955</v>
      </c>
      <c r="AF105">
        <v>440</v>
      </c>
      <c r="AG105">
        <v>580</v>
      </c>
      <c r="AH105">
        <v>425</v>
      </c>
      <c r="AI105">
        <v>420</v>
      </c>
      <c r="AJ105">
        <v>450</v>
      </c>
      <c r="AK105">
        <v>400</v>
      </c>
      <c r="AL105">
        <v>450</v>
      </c>
      <c r="AM105">
        <v>450</v>
      </c>
      <c r="AN105">
        <v>450</v>
      </c>
      <c r="AO105">
        <v>485</v>
      </c>
      <c r="AP105">
        <v>600</v>
      </c>
      <c r="AQ105">
        <v>460</v>
      </c>
      <c r="AR105">
        <v>420</v>
      </c>
      <c r="AS105">
        <v>875</v>
      </c>
      <c r="AT105">
        <v>620</v>
      </c>
      <c r="AU105">
        <v>850</v>
      </c>
      <c r="AV105">
        <v>420</v>
      </c>
      <c r="AW105">
        <v>390</v>
      </c>
      <c r="AX105">
        <v>390</v>
      </c>
      <c r="AY105">
        <v>300</v>
      </c>
      <c r="AZ105">
        <v>465</v>
      </c>
      <c r="BA105">
        <v>390</v>
      </c>
      <c r="BB105">
        <v>350</v>
      </c>
      <c r="BC105">
        <v>400</v>
      </c>
      <c r="BD105">
        <v>360</v>
      </c>
      <c r="BE105">
        <v>420</v>
      </c>
      <c r="BF105">
        <v>450</v>
      </c>
      <c r="BG105">
        <v>310</v>
      </c>
      <c r="BH105">
        <v>400</v>
      </c>
    </row>
    <row r="106" spans="1:60" x14ac:dyDescent="0.25">
      <c r="A106" s="3"/>
      <c r="B106" s="2">
        <v>42430</v>
      </c>
      <c r="C106">
        <v>480</v>
      </c>
      <c r="D106">
        <v>875</v>
      </c>
      <c r="E106">
        <v>750</v>
      </c>
      <c r="F106">
        <v>750</v>
      </c>
      <c r="G106">
        <v>900</v>
      </c>
      <c r="H106">
        <v>900</v>
      </c>
      <c r="I106">
        <v>825</v>
      </c>
      <c r="J106" t="s">
        <v>21</v>
      </c>
      <c r="K106">
        <v>1102.5</v>
      </c>
      <c r="L106">
        <v>890</v>
      </c>
      <c r="M106">
        <v>910</v>
      </c>
      <c r="N106">
        <v>1275</v>
      </c>
      <c r="O106">
        <v>1350</v>
      </c>
      <c r="P106">
        <v>570</v>
      </c>
      <c r="Q106">
        <v>490</v>
      </c>
      <c r="R106">
        <v>480</v>
      </c>
      <c r="S106">
        <v>650</v>
      </c>
      <c r="T106">
        <v>570</v>
      </c>
      <c r="U106">
        <v>750</v>
      </c>
      <c r="V106" t="s">
        <v>21</v>
      </c>
      <c r="W106">
        <v>582.5</v>
      </c>
      <c r="X106">
        <v>620</v>
      </c>
      <c r="Y106">
        <v>850</v>
      </c>
      <c r="Z106">
        <v>1000</v>
      </c>
      <c r="AA106">
        <v>500</v>
      </c>
      <c r="AB106">
        <v>600</v>
      </c>
      <c r="AC106">
        <v>650</v>
      </c>
      <c r="AD106">
        <v>535</v>
      </c>
      <c r="AE106">
        <v>987.5</v>
      </c>
      <c r="AF106">
        <v>450</v>
      </c>
      <c r="AG106">
        <v>560</v>
      </c>
      <c r="AH106">
        <v>420</v>
      </c>
      <c r="AI106">
        <v>420</v>
      </c>
      <c r="AJ106">
        <v>450</v>
      </c>
      <c r="AK106">
        <v>410</v>
      </c>
      <c r="AL106">
        <v>450</v>
      </c>
      <c r="AM106">
        <v>450</v>
      </c>
      <c r="AN106">
        <v>450</v>
      </c>
      <c r="AO106">
        <v>470</v>
      </c>
      <c r="AP106">
        <v>605</v>
      </c>
      <c r="AQ106">
        <v>475</v>
      </c>
      <c r="AR106">
        <v>420</v>
      </c>
      <c r="AS106">
        <v>900</v>
      </c>
      <c r="AT106">
        <v>630</v>
      </c>
      <c r="AU106">
        <v>840</v>
      </c>
      <c r="AV106">
        <v>410</v>
      </c>
      <c r="AW106">
        <v>390</v>
      </c>
      <c r="AX106">
        <v>397.5</v>
      </c>
      <c r="AY106">
        <v>300</v>
      </c>
      <c r="AZ106">
        <v>480</v>
      </c>
      <c r="BA106">
        <v>385</v>
      </c>
      <c r="BB106">
        <v>340</v>
      </c>
      <c r="BC106">
        <v>410</v>
      </c>
      <c r="BD106">
        <v>360</v>
      </c>
      <c r="BE106">
        <v>440</v>
      </c>
      <c r="BF106">
        <v>450</v>
      </c>
      <c r="BG106">
        <v>320</v>
      </c>
      <c r="BH106">
        <v>400</v>
      </c>
    </row>
    <row r="107" spans="1:60" x14ac:dyDescent="0.25">
      <c r="A107" s="3"/>
      <c r="B107" s="2">
        <v>42522</v>
      </c>
      <c r="C107">
        <v>470</v>
      </c>
      <c r="D107">
        <v>900</v>
      </c>
      <c r="E107">
        <v>750</v>
      </c>
      <c r="F107">
        <v>750</v>
      </c>
      <c r="G107">
        <v>890</v>
      </c>
      <c r="H107">
        <v>930</v>
      </c>
      <c r="I107">
        <v>810</v>
      </c>
      <c r="J107" t="s">
        <v>21</v>
      </c>
      <c r="K107">
        <v>990</v>
      </c>
      <c r="L107">
        <v>937.5</v>
      </c>
      <c r="M107">
        <v>900</v>
      </c>
      <c r="N107">
        <v>1150</v>
      </c>
      <c r="O107">
        <v>1300</v>
      </c>
      <c r="P107">
        <v>580</v>
      </c>
      <c r="Q107">
        <v>500</v>
      </c>
      <c r="R107">
        <v>500</v>
      </c>
      <c r="S107">
        <v>650</v>
      </c>
      <c r="T107">
        <v>582.5</v>
      </c>
      <c r="U107">
        <v>777.5</v>
      </c>
      <c r="V107" t="s">
        <v>21</v>
      </c>
      <c r="W107">
        <v>560</v>
      </c>
      <c r="X107">
        <v>650</v>
      </c>
      <c r="Y107">
        <v>800</v>
      </c>
      <c r="Z107">
        <v>1150</v>
      </c>
      <c r="AA107">
        <v>500</v>
      </c>
      <c r="AB107">
        <v>630</v>
      </c>
      <c r="AC107">
        <v>650</v>
      </c>
      <c r="AD107">
        <v>580</v>
      </c>
      <c r="AE107">
        <v>895</v>
      </c>
      <c r="AF107">
        <v>440</v>
      </c>
      <c r="AG107">
        <v>580</v>
      </c>
      <c r="AH107">
        <v>420</v>
      </c>
      <c r="AI107">
        <v>420</v>
      </c>
      <c r="AJ107">
        <v>450</v>
      </c>
      <c r="AK107">
        <v>400</v>
      </c>
      <c r="AL107">
        <v>450</v>
      </c>
      <c r="AM107">
        <v>450</v>
      </c>
      <c r="AN107">
        <v>430</v>
      </c>
      <c r="AO107">
        <v>470</v>
      </c>
      <c r="AP107">
        <v>600</v>
      </c>
      <c r="AQ107">
        <v>450</v>
      </c>
      <c r="AR107">
        <v>420</v>
      </c>
      <c r="AS107">
        <v>825</v>
      </c>
      <c r="AT107">
        <v>650</v>
      </c>
      <c r="AU107">
        <v>830</v>
      </c>
      <c r="AV107">
        <v>420</v>
      </c>
      <c r="AW107">
        <v>400</v>
      </c>
      <c r="AX107">
        <v>390</v>
      </c>
      <c r="AY107">
        <v>300</v>
      </c>
      <c r="AZ107">
        <v>490</v>
      </c>
      <c r="BA107">
        <v>380</v>
      </c>
      <c r="BB107">
        <v>340</v>
      </c>
      <c r="BC107">
        <v>400</v>
      </c>
      <c r="BD107">
        <v>360</v>
      </c>
      <c r="BE107">
        <v>440</v>
      </c>
      <c r="BF107">
        <v>450</v>
      </c>
      <c r="BG107">
        <v>315</v>
      </c>
      <c r="BH107">
        <v>400</v>
      </c>
    </row>
    <row r="108" spans="1:60" x14ac:dyDescent="0.25">
      <c r="A108" s="3"/>
      <c r="B108" s="2">
        <v>42614</v>
      </c>
      <c r="C108">
        <v>470</v>
      </c>
      <c r="D108">
        <v>895</v>
      </c>
      <c r="E108">
        <v>759.5</v>
      </c>
      <c r="F108">
        <v>750</v>
      </c>
      <c r="G108">
        <v>885</v>
      </c>
      <c r="H108">
        <v>895</v>
      </c>
      <c r="I108">
        <v>800</v>
      </c>
      <c r="J108" t="s">
        <v>21</v>
      </c>
      <c r="K108">
        <v>1125</v>
      </c>
      <c r="L108">
        <v>950</v>
      </c>
      <c r="M108">
        <v>945</v>
      </c>
      <c r="N108">
        <v>1180</v>
      </c>
      <c r="O108">
        <v>1300</v>
      </c>
      <c r="P108">
        <v>580</v>
      </c>
      <c r="Q108">
        <v>550</v>
      </c>
      <c r="R108">
        <v>500</v>
      </c>
      <c r="S108">
        <v>635</v>
      </c>
      <c r="T108">
        <v>565</v>
      </c>
      <c r="U108">
        <v>750</v>
      </c>
      <c r="V108" t="s">
        <v>21</v>
      </c>
      <c r="W108">
        <v>590</v>
      </c>
      <c r="X108">
        <v>565</v>
      </c>
      <c r="Y108">
        <v>795</v>
      </c>
      <c r="Z108">
        <v>1050</v>
      </c>
      <c r="AA108">
        <v>500</v>
      </c>
      <c r="AB108">
        <v>630</v>
      </c>
      <c r="AC108">
        <v>650</v>
      </c>
      <c r="AD108">
        <v>570</v>
      </c>
      <c r="AE108">
        <v>1000</v>
      </c>
      <c r="AF108">
        <v>440</v>
      </c>
      <c r="AG108">
        <v>590</v>
      </c>
      <c r="AH108">
        <v>430</v>
      </c>
      <c r="AI108">
        <v>420</v>
      </c>
      <c r="AJ108">
        <v>460</v>
      </c>
      <c r="AK108">
        <v>410</v>
      </c>
      <c r="AL108">
        <v>450</v>
      </c>
      <c r="AM108">
        <v>440</v>
      </c>
      <c r="AN108">
        <v>440</v>
      </c>
      <c r="AO108">
        <v>480</v>
      </c>
      <c r="AP108">
        <v>617.5</v>
      </c>
      <c r="AQ108">
        <v>460</v>
      </c>
      <c r="AR108">
        <v>420</v>
      </c>
      <c r="AS108">
        <v>860</v>
      </c>
      <c r="AT108">
        <v>650</v>
      </c>
      <c r="AU108">
        <v>825</v>
      </c>
      <c r="AV108">
        <v>420</v>
      </c>
      <c r="AW108">
        <v>390</v>
      </c>
      <c r="AX108">
        <v>400</v>
      </c>
      <c r="AY108">
        <v>310</v>
      </c>
      <c r="AZ108">
        <v>480</v>
      </c>
      <c r="BA108">
        <v>385</v>
      </c>
      <c r="BB108">
        <v>340</v>
      </c>
      <c r="BC108">
        <v>420</v>
      </c>
      <c r="BD108">
        <v>360</v>
      </c>
      <c r="BE108">
        <v>440</v>
      </c>
      <c r="BF108">
        <v>470</v>
      </c>
      <c r="BG108">
        <v>320</v>
      </c>
      <c r="BH108">
        <v>400</v>
      </c>
    </row>
    <row r="109" spans="1:60" x14ac:dyDescent="0.25">
      <c r="A109" s="3"/>
      <c r="B109" s="2">
        <v>42705</v>
      </c>
      <c r="C109">
        <v>480</v>
      </c>
      <c r="D109">
        <v>900</v>
      </c>
      <c r="E109">
        <v>750</v>
      </c>
      <c r="F109">
        <v>797.5</v>
      </c>
      <c r="G109">
        <v>800</v>
      </c>
      <c r="H109">
        <v>870</v>
      </c>
      <c r="I109">
        <v>815</v>
      </c>
      <c r="J109">
        <v>1350</v>
      </c>
      <c r="K109">
        <v>1100</v>
      </c>
      <c r="L109">
        <v>950</v>
      </c>
      <c r="M109">
        <v>925</v>
      </c>
      <c r="N109">
        <v>1262.5</v>
      </c>
      <c r="O109">
        <v>1307.5</v>
      </c>
      <c r="P109">
        <v>590</v>
      </c>
      <c r="Q109">
        <v>550</v>
      </c>
      <c r="R109">
        <v>517.5</v>
      </c>
      <c r="S109">
        <v>630</v>
      </c>
      <c r="T109">
        <v>580</v>
      </c>
      <c r="U109">
        <v>750</v>
      </c>
      <c r="V109" t="s">
        <v>21</v>
      </c>
      <c r="W109">
        <v>590</v>
      </c>
      <c r="X109">
        <v>650</v>
      </c>
      <c r="Y109">
        <v>850</v>
      </c>
      <c r="Z109">
        <v>1125</v>
      </c>
      <c r="AA109">
        <v>500</v>
      </c>
      <c r="AB109">
        <v>635</v>
      </c>
      <c r="AC109">
        <v>650</v>
      </c>
      <c r="AD109">
        <v>640</v>
      </c>
      <c r="AE109">
        <v>920</v>
      </c>
      <c r="AF109">
        <v>450</v>
      </c>
      <c r="AG109">
        <v>587.5</v>
      </c>
      <c r="AH109">
        <v>430</v>
      </c>
      <c r="AI109">
        <v>420</v>
      </c>
      <c r="AJ109">
        <v>465</v>
      </c>
      <c r="AK109">
        <v>410</v>
      </c>
      <c r="AL109">
        <v>450</v>
      </c>
      <c r="AM109">
        <v>450</v>
      </c>
      <c r="AN109">
        <v>450</v>
      </c>
      <c r="AO109">
        <v>490</v>
      </c>
      <c r="AP109">
        <v>630</v>
      </c>
      <c r="AQ109">
        <v>470</v>
      </c>
      <c r="AR109">
        <v>420</v>
      </c>
      <c r="AS109">
        <v>860</v>
      </c>
      <c r="AT109">
        <v>650</v>
      </c>
      <c r="AU109">
        <v>850</v>
      </c>
      <c r="AV109">
        <v>420</v>
      </c>
      <c r="AW109">
        <v>390</v>
      </c>
      <c r="AX109">
        <v>400</v>
      </c>
      <c r="AY109">
        <v>310</v>
      </c>
      <c r="AZ109">
        <v>480</v>
      </c>
      <c r="BA109">
        <v>385</v>
      </c>
      <c r="BB109">
        <v>350</v>
      </c>
      <c r="BC109">
        <v>420</v>
      </c>
      <c r="BD109">
        <v>370</v>
      </c>
      <c r="BE109">
        <v>455</v>
      </c>
      <c r="BF109">
        <v>470</v>
      </c>
      <c r="BG109">
        <v>320</v>
      </c>
      <c r="BH109">
        <v>405</v>
      </c>
    </row>
    <row r="110" spans="1:60" x14ac:dyDescent="0.25">
      <c r="A110" s="3"/>
      <c r="B110" s="2">
        <v>42795</v>
      </c>
      <c r="C110">
        <v>490</v>
      </c>
      <c r="D110">
        <v>900</v>
      </c>
      <c r="E110">
        <v>775</v>
      </c>
      <c r="F110">
        <v>770</v>
      </c>
      <c r="G110">
        <v>892.5</v>
      </c>
      <c r="H110">
        <v>950</v>
      </c>
      <c r="I110">
        <v>850</v>
      </c>
      <c r="J110" t="s">
        <v>21</v>
      </c>
      <c r="K110">
        <v>1075</v>
      </c>
      <c r="L110">
        <v>882.5</v>
      </c>
      <c r="M110">
        <v>960</v>
      </c>
      <c r="N110">
        <v>1200</v>
      </c>
      <c r="O110">
        <v>1200</v>
      </c>
      <c r="P110">
        <v>595</v>
      </c>
      <c r="Q110">
        <v>520</v>
      </c>
      <c r="R110">
        <v>520</v>
      </c>
      <c r="S110">
        <v>650</v>
      </c>
      <c r="T110">
        <v>600</v>
      </c>
      <c r="U110">
        <v>750</v>
      </c>
      <c r="V110" t="s">
        <v>21</v>
      </c>
      <c r="W110">
        <v>580</v>
      </c>
      <c r="X110">
        <v>635</v>
      </c>
      <c r="Y110">
        <v>810</v>
      </c>
      <c r="Z110">
        <v>1350</v>
      </c>
      <c r="AA110">
        <v>500</v>
      </c>
      <c r="AB110">
        <v>640</v>
      </c>
      <c r="AC110">
        <v>665</v>
      </c>
      <c r="AD110">
        <v>620</v>
      </c>
      <c r="AE110">
        <v>950</v>
      </c>
      <c r="AF110">
        <v>450</v>
      </c>
      <c r="AG110">
        <v>592.5</v>
      </c>
      <c r="AH110">
        <v>440</v>
      </c>
      <c r="AI110">
        <v>450</v>
      </c>
      <c r="AJ110">
        <v>460</v>
      </c>
      <c r="AK110">
        <v>410</v>
      </c>
      <c r="AL110">
        <v>460</v>
      </c>
      <c r="AM110">
        <v>450</v>
      </c>
      <c r="AN110">
        <v>450</v>
      </c>
      <c r="AO110">
        <v>480</v>
      </c>
      <c r="AP110">
        <v>635</v>
      </c>
      <c r="AQ110">
        <v>480</v>
      </c>
      <c r="AR110">
        <v>430</v>
      </c>
      <c r="AS110">
        <v>900</v>
      </c>
      <c r="AT110">
        <v>640</v>
      </c>
      <c r="AU110">
        <v>855</v>
      </c>
      <c r="AV110">
        <v>430</v>
      </c>
      <c r="AW110">
        <v>400</v>
      </c>
      <c r="AX110">
        <v>420</v>
      </c>
      <c r="AY110">
        <v>320</v>
      </c>
      <c r="AZ110">
        <v>500</v>
      </c>
      <c r="BA110">
        <v>400</v>
      </c>
      <c r="BB110">
        <v>350</v>
      </c>
      <c r="BC110">
        <v>430</v>
      </c>
      <c r="BD110">
        <v>380</v>
      </c>
      <c r="BE110">
        <v>440</v>
      </c>
      <c r="BF110">
        <v>480</v>
      </c>
      <c r="BG110">
        <v>330</v>
      </c>
      <c r="BH110">
        <v>410</v>
      </c>
    </row>
    <row r="111" spans="1:60" x14ac:dyDescent="0.25">
      <c r="A111" s="3"/>
      <c r="B111" s="2">
        <v>42887</v>
      </c>
      <c r="C111">
        <v>485</v>
      </c>
      <c r="D111">
        <v>950</v>
      </c>
      <c r="E111">
        <v>785</v>
      </c>
      <c r="F111">
        <v>850</v>
      </c>
      <c r="G111">
        <v>950</v>
      </c>
      <c r="H111">
        <v>930</v>
      </c>
      <c r="I111">
        <v>850</v>
      </c>
      <c r="J111">
        <v>1400</v>
      </c>
      <c r="K111">
        <v>1100</v>
      </c>
      <c r="L111">
        <v>900</v>
      </c>
      <c r="M111">
        <v>1000</v>
      </c>
      <c r="N111">
        <v>1200</v>
      </c>
      <c r="O111">
        <v>1350</v>
      </c>
      <c r="P111">
        <v>610</v>
      </c>
      <c r="Q111">
        <v>555</v>
      </c>
      <c r="R111">
        <v>520</v>
      </c>
      <c r="S111" t="s">
        <v>21</v>
      </c>
      <c r="T111">
        <v>610</v>
      </c>
      <c r="U111">
        <v>800</v>
      </c>
      <c r="V111">
        <v>1000</v>
      </c>
      <c r="W111">
        <v>592.5</v>
      </c>
      <c r="X111">
        <v>650</v>
      </c>
      <c r="Y111">
        <v>870</v>
      </c>
      <c r="Z111">
        <v>1250</v>
      </c>
      <c r="AA111">
        <v>520</v>
      </c>
      <c r="AB111">
        <v>670</v>
      </c>
      <c r="AC111">
        <v>670</v>
      </c>
      <c r="AD111">
        <v>657.5</v>
      </c>
      <c r="AE111">
        <v>935</v>
      </c>
      <c r="AF111">
        <v>450</v>
      </c>
      <c r="AG111">
        <v>590</v>
      </c>
      <c r="AH111">
        <v>440</v>
      </c>
      <c r="AI111">
        <v>440</v>
      </c>
      <c r="AJ111">
        <v>460</v>
      </c>
      <c r="AK111">
        <v>420</v>
      </c>
      <c r="AL111">
        <v>470</v>
      </c>
      <c r="AM111">
        <v>460</v>
      </c>
      <c r="AN111">
        <v>450</v>
      </c>
      <c r="AO111">
        <v>500</v>
      </c>
      <c r="AP111">
        <v>650</v>
      </c>
      <c r="AQ111">
        <v>480</v>
      </c>
      <c r="AR111">
        <v>430</v>
      </c>
      <c r="AS111">
        <v>900</v>
      </c>
      <c r="AT111">
        <v>650</v>
      </c>
      <c r="AU111">
        <v>850</v>
      </c>
      <c r="AV111">
        <v>430</v>
      </c>
      <c r="AW111">
        <v>400</v>
      </c>
      <c r="AX111">
        <v>410</v>
      </c>
      <c r="AY111">
        <v>330</v>
      </c>
      <c r="AZ111">
        <v>520</v>
      </c>
      <c r="BA111">
        <v>400</v>
      </c>
      <c r="BB111">
        <v>360</v>
      </c>
      <c r="BC111">
        <v>425</v>
      </c>
      <c r="BD111">
        <v>370</v>
      </c>
      <c r="BE111">
        <v>460</v>
      </c>
      <c r="BF111">
        <v>490</v>
      </c>
      <c r="BG111">
        <v>330</v>
      </c>
      <c r="BH111">
        <v>420</v>
      </c>
    </row>
    <row r="112" spans="1:60" x14ac:dyDescent="0.25">
      <c r="B112" s="1">
        <v>42979</v>
      </c>
      <c r="C112" s="5">
        <v>490</v>
      </c>
      <c r="D112" s="6">
        <v>950</v>
      </c>
      <c r="G112">
        <v>865</v>
      </c>
      <c r="J112">
        <v>1250</v>
      </c>
      <c r="K112">
        <v>1170</v>
      </c>
      <c r="L112">
        <v>1000</v>
      </c>
      <c r="M112">
        <v>930</v>
      </c>
      <c r="N112">
        <v>1100</v>
      </c>
      <c r="O112">
        <v>1215</v>
      </c>
      <c r="P112" s="6">
        <v>600</v>
      </c>
      <c r="S112">
        <v>700</v>
      </c>
      <c r="U112">
        <v>750</v>
      </c>
      <c r="V112">
        <v>937.5</v>
      </c>
      <c r="Y112">
        <v>850</v>
      </c>
      <c r="AA112">
        <v>550</v>
      </c>
      <c r="AC112">
        <v>680</v>
      </c>
      <c r="AD112">
        <v>650</v>
      </c>
      <c r="AE112">
        <v>980</v>
      </c>
      <c r="AF112" s="6">
        <v>450</v>
      </c>
      <c r="AG112">
        <v>595</v>
      </c>
      <c r="AH112">
        <v>445</v>
      </c>
      <c r="AI112">
        <v>450</v>
      </c>
      <c r="AJ112">
        <v>455</v>
      </c>
      <c r="AK112">
        <v>410</v>
      </c>
      <c r="AL112">
        <v>470</v>
      </c>
      <c r="AN112">
        <v>450</v>
      </c>
      <c r="AP112">
        <v>650</v>
      </c>
      <c r="AQ112">
        <v>480</v>
      </c>
      <c r="AR112">
        <v>425</v>
      </c>
      <c r="AT112">
        <v>650</v>
      </c>
      <c r="AV112">
        <v>410</v>
      </c>
      <c r="AY112">
        <v>330</v>
      </c>
      <c r="AZ112">
        <v>515</v>
      </c>
      <c r="BA112">
        <v>400</v>
      </c>
      <c r="BB112">
        <v>360</v>
      </c>
      <c r="BC112">
        <v>430</v>
      </c>
      <c r="BD112">
        <v>380</v>
      </c>
      <c r="BE112">
        <v>450</v>
      </c>
      <c r="BF112">
        <v>480</v>
      </c>
    </row>
    <row r="113" spans="2:58" x14ac:dyDescent="0.25">
      <c r="B113" s="2">
        <v>43070</v>
      </c>
      <c r="C113" s="5">
        <v>500</v>
      </c>
      <c r="D113" s="6">
        <v>995</v>
      </c>
      <c r="G113">
        <v>900</v>
      </c>
      <c r="J113">
        <v>1450</v>
      </c>
      <c r="K113">
        <v>1100</v>
      </c>
      <c r="L113">
        <v>1050</v>
      </c>
      <c r="M113">
        <v>1050</v>
      </c>
      <c r="N113">
        <v>1100</v>
      </c>
      <c r="O113">
        <v>1350</v>
      </c>
      <c r="P113" s="6">
        <v>600</v>
      </c>
      <c r="S113">
        <v>697.5</v>
      </c>
      <c r="U113">
        <v>785</v>
      </c>
      <c r="V113">
        <v>910</v>
      </c>
      <c r="Y113">
        <v>850</v>
      </c>
      <c r="AA113">
        <v>550</v>
      </c>
      <c r="AC113">
        <v>655</v>
      </c>
      <c r="AD113">
        <v>635</v>
      </c>
      <c r="AE113">
        <v>1000</v>
      </c>
      <c r="AF113" s="6">
        <v>450</v>
      </c>
      <c r="AG113">
        <v>600</v>
      </c>
      <c r="AH113">
        <v>450</v>
      </c>
      <c r="AI113">
        <v>440</v>
      </c>
      <c r="AJ113">
        <v>460</v>
      </c>
      <c r="AK113">
        <v>420</v>
      </c>
      <c r="AL113">
        <v>460</v>
      </c>
      <c r="AN113">
        <v>440</v>
      </c>
      <c r="AP113">
        <v>640</v>
      </c>
      <c r="AQ113">
        <v>480</v>
      </c>
      <c r="AR113">
        <v>430</v>
      </c>
      <c r="AT113">
        <v>650</v>
      </c>
      <c r="AV113">
        <v>420</v>
      </c>
      <c r="AY113">
        <v>340</v>
      </c>
      <c r="AZ113">
        <v>500</v>
      </c>
      <c r="BA113">
        <v>400</v>
      </c>
      <c r="BB113">
        <v>360</v>
      </c>
      <c r="BC113">
        <v>440</v>
      </c>
      <c r="BD113">
        <v>380</v>
      </c>
      <c r="BE113">
        <v>465</v>
      </c>
      <c r="BF113">
        <v>490</v>
      </c>
    </row>
    <row r="114" spans="2:58" x14ac:dyDescent="0.25">
      <c r="B114" s="2">
        <v>43160</v>
      </c>
      <c r="C114" s="5">
        <v>500</v>
      </c>
      <c r="D114" s="6">
        <v>957.5</v>
      </c>
      <c r="G114">
        <v>877.5</v>
      </c>
      <c r="J114">
        <v>1500</v>
      </c>
      <c r="K114">
        <v>1100</v>
      </c>
      <c r="L114">
        <v>900</v>
      </c>
      <c r="M114">
        <v>1050</v>
      </c>
      <c r="N114">
        <v>1250</v>
      </c>
      <c r="O114">
        <v>1310</v>
      </c>
      <c r="P114" s="6">
        <v>580</v>
      </c>
      <c r="S114">
        <v>670</v>
      </c>
      <c r="U114">
        <v>750</v>
      </c>
      <c r="V114">
        <v>805</v>
      </c>
      <c r="Y114">
        <v>850</v>
      </c>
      <c r="AA114">
        <v>520</v>
      </c>
      <c r="AC114">
        <v>680</v>
      </c>
      <c r="AD114">
        <v>600</v>
      </c>
      <c r="AE114">
        <v>950</v>
      </c>
      <c r="AF114" s="6">
        <v>455</v>
      </c>
      <c r="AG114">
        <v>600</v>
      </c>
      <c r="AH114">
        <v>450</v>
      </c>
      <c r="AI114">
        <v>450</v>
      </c>
      <c r="AJ114">
        <v>460</v>
      </c>
      <c r="AK114">
        <v>420</v>
      </c>
      <c r="AL114">
        <v>470</v>
      </c>
      <c r="AN114">
        <v>450</v>
      </c>
      <c r="AP114">
        <v>650</v>
      </c>
      <c r="AQ114">
        <v>480</v>
      </c>
      <c r="AR114">
        <v>430</v>
      </c>
      <c r="AT114">
        <v>650</v>
      </c>
      <c r="AV114">
        <v>425</v>
      </c>
      <c r="AY114">
        <v>340</v>
      </c>
      <c r="AZ114">
        <v>550</v>
      </c>
      <c r="BA114">
        <v>410</v>
      </c>
      <c r="BB114">
        <v>360</v>
      </c>
      <c r="BC114">
        <v>450</v>
      </c>
      <c r="BD114">
        <v>380</v>
      </c>
      <c r="BE114">
        <v>460</v>
      </c>
      <c r="BF114">
        <v>490</v>
      </c>
    </row>
    <row r="115" spans="2:58" x14ac:dyDescent="0.25">
      <c r="B115" s="2">
        <v>43252</v>
      </c>
      <c r="C115" s="5">
        <v>495</v>
      </c>
      <c r="D115" s="6">
        <v>950</v>
      </c>
      <c r="G115">
        <v>925</v>
      </c>
      <c r="J115">
        <v>1300</v>
      </c>
      <c r="K115">
        <v>1050</v>
      </c>
      <c r="L115">
        <v>935</v>
      </c>
      <c r="M115">
        <v>1050</v>
      </c>
      <c r="N115">
        <v>1287.5</v>
      </c>
      <c r="O115">
        <v>1262.5</v>
      </c>
      <c r="P115" s="6">
        <v>600</v>
      </c>
      <c r="S115">
        <v>685</v>
      </c>
      <c r="U115">
        <v>767.5</v>
      </c>
      <c r="V115">
        <v>805</v>
      </c>
      <c r="Y115">
        <v>800</v>
      </c>
      <c r="AA115">
        <v>550</v>
      </c>
      <c r="AC115">
        <v>660</v>
      </c>
      <c r="AD115">
        <v>650</v>
      </c>
      <c r="AE115">
        <v>950</v>
      </c>
      <c r="AF115" s="6">
        <v>450</v>
      </c>
      <c r="AG115">
        <v>600</v>
      </c>
      <c r="AH115">
        <v>440</v>
      </c>
      <c r="AI115">
        <v>450</v>
      </c>
      <c r="AJ115">
        <v>460</v>
      </c>
      <c r="AK115">
        <v>420</v>
      </c>
      <c r="AL115">
        <v>450</v>
      </c>
      <c r="AN115">
        <v>450</v>
      </c>
      <c r="AP115">
        <v>640</v>
      </c>
      <c r="AQ115">
        <v>480</v>
      </c>
      <c r="AR115">
        <v>430</v>
      </c>
      <c r="AT115">
        <v>650</v>
      </c>
      <c r="AV115">
        <v>420</v>
      </c>
      <c r="AY115">
        <v>340</v>
      </c>
      <c r="AZ115">
        <v>520</v>
      </c>
      <c r="BA115">
        <v>410</v>
      </c>
      <c r="BB115">
        <v>370</v>
      </c>
      <c r="BC115">
        <v>440</v>
      </c>
      <c r="BD115">
        <v>380</v>
      </c>
      <c r="BE115">
        <v>460</v>
      </c>
      <c r="BF115">
        <v>495</v>
      </c>
    </row>
    <row r="116" spans="2:58" x14ac:dyDescent="0.25">
      <c r="B116" s="1">
        <v>43344</v>
      </c>
      <c r="C116" s="5">
        <v>500</v>
      </c>
      <c r="D116" s="6">
        <v>950</v>
      </c>
      <c r="G116">
        <v>910</v>
      </c>
      <c r="J116">
        <v>1200</v>
      </c>
      <c r="K116">
        <v>1100</v>
      </c>
      <c r="L116">
        <v>920</v>
      </c>
      <c r="M116">
        <v>960</v>
      </c>
      <c r="N116">
        <v>1200</v>
      </c>
      <c r="O116">
        <v>1150</v>
      </c>
      <c r="P116" s="6">
        <v>600</v>
      </c>
      <c r="S116">
        <v>650</v>
      </c>
      <c r="U116">
        <v>795</v>
      </c>
      <c r="V116">
        <v>1025</v>
      </c>
      <c r="Y116">
        <v>830</v>
      </c>
      <c r="AA116">
        <v>522.5</v>
      </c>
      <c r="AC116">
        <v>650</v>
      </c>
      <c r="AD116">
        <v>650</v>
      </c>
      <c r="AE116">
        <v>900</v>
      </c>
      <c r="AF116" s="6">
        <v>450</v>
      </c>
      <c r="AG116">
        <v>565</v>
      </c>
      <c r="AH116">
        <v>430</v>
      </c>
      <c r="AI116">
        <v>450</v>
      </c>
      <c r="AJ116">
        <v>460</v>
      </c>
      <c r="AK116">
        <v>420</v>
      </c>
      <c r="AL116">
        <v>460</v>
      </c>
      <c r="AN116">
        <v>430</v>
      </c>
      <c r="AP116">
        <v>610</v>
      </c>
      <c r="AQ116">
        <v>470</v>
      </c>
      <c r="AR116">
        <v>420</v>
      </c>
      <c r="AT116">
        <v>660</v>
      </c>
      <c r="AV116">
        <v>415</v>
      </c>
      <c r="AY116">
        <v>350</v>
      </c>
      <c r="AZ116">
        <v>510</v>
      </c>
      <c r="BA116">
        <v>409</v>
      </c>
      <c r="BB116">
        <v>370</v>
      </c>
      <c r="BC116">
        <v>435</v>
      </c>
      <c r="BD116">
        <v>387.5</v>
      </c>
      <c r="BE116">
        <v>460</v>
      </c>
      <c r="BF116">
        <v>480</v>
      </c>
    </row>
    <row r="117" spans="2:58" x14ac:dyDescent="0.25">
      <c r="B117" s="2">
        <v>43435</v>
      </c>
      <c r="C117" s="5">
        <v>500</v>
      </c>
      <c r="D117" s="6">
        <v>925</v>
      </c>
      <c r="G117">
        <v>855</v>
      </c>
      <c r="J117">
        <v>1400</v>
      </c>
      <c r="K117">
        <v>1098</v>
      </c>
      <c r="L117">
        <v>950</v>
      </c>
      <c r="M117">
        <v>950</v>
      </c>
      <c r="N117">
        <v>1200</v>
      </c>
      <c r="O117">
        <v>1300</v>
      </c>
      <c r="P117" s="6">
        <v>585</v>
      </c>
      <c r="S117">
        <v>695</v>
      </c>
      <c r="U117">
        <v>815</v>
      </c>
      <c r="V117">
        <v>850</v>
      </c>
      <c r="Y117">
        <v>815</v>
      </c>
      <c r="AA117">
        <v>533</v>
      </c>
      <c r="AC117">
        <v>650</v>
      </c>
      <c r="AD117">
        <v>645</v>
      </c>
      <c r="AE117">
        <v>950</v>
      </c>
      <c r="AF117" s="6">
        <v>450</v>
      </c>
      <c r="AG117">
        <v>580</v>
      </c>
      <c r="AH117">
        <v>430</v>
      </c>
      <c r="AI117">
        <v>450</v>
      </c>
      <c r="AJ117">
        <v>450</v>
      </c>
      <c r="AK117">
        <v>420</v>
      </c>
      <c r="AL117">
        <v>460</v>
      </c>
      <c r="AN117">
        <v>450</v>
      </c>
      <c r="AP117">
        <v>600</v>
      </c>
      <c r="AQ117">
        <v>470</v>
      </c>
      <c r="AR117">
        <v>420</v>
      </c>
      <c r="AT117">
        <v>650</v>
      </c>
      <c r="AV117">
        <v>410</v>
      </c>
      <c r="AY117">
        <v>350</v>
      </c>
      <c r="AZ117">
        <v>505</v>
      </c>
      <c r="BA117">
        <v>420</v>
      </c>
      <c r="BB117">
        <v>380</v>
      </c>
      <c r="BC117">
        <v>445</v>
      </c>
      <c r="BD117">
        <v>400</v>
      </c>
      <c r="BE117">
        <v>450</v>
      </c>
      <c r="BF117">
        <v>480</v>
      </c>
    </row>
    <row r="118" spans="2:58" x14ac:dyDescent="0.25">
      <c r="B118" s="2">
        <v>43525</v>
      </c>
      <c r="C118" s="5">
        <v>495</v>
      </c>
      <c r="D118" s="6">
        <v>950</v>
      </c>
      <c r="G118">
        <v>875</v>
      </c>
      <c r="J118">
        <v>1295</v>
      </c>
      <c r="K118">
        <v>1075</v>
      </c>
      <c r="L118">
        <v>900</v>
      </c>
      <c r="M118">
        <v>950</v>
      </c>
      <c r="N118">
        <v>1200</v>
      </c>
      <c r="O118">
        <v>1400</v>
      </c>
      <c r="P118" s="6">
        <v>580</v>
      </c>
      <c r="S118">
        <v>695</v>
      </c>
      <c r="U118">
        <v>750</v>
      </c>
      <c r="V118">
        <v>940</v>
      </c>
      <c r="Y118">
        <v>780</v>
      </c>
      <c r="AA118">
        <v>510</v>
      </c>
      <c r="AC118">
        <v>650</v>
      </c>
      <c r="AD118">
        <v>645</v>
      </c>
      <c r="AE118">
        <v>925</v>
      </c>
      <c r="AF118" s="6">
        <v>450</v>
      </c>
      <c r="AG118">
        <v>550</v>
      </c>
      <c r="AH118">
        <v>430</v>
      </c>
      <c r="AI118">
        <v>450</v>
      </c>
      <c r="AJ118">
        <v>460</v>
      </c>
      <c r="AK118">
        <v>410</v>
      </c>
      <c r="AL118">
        <v>450</v>
      </c>
      <c r="AN118">
        <v>430</v>
      </c>
      <c r="AP118">
        <v>600</v>
      </c>
      <c r="AQ118">
        <v>480</v>
      </c>
      <c r="AR118">
        <v>420</v>
      </c>
      <c r="AT118">
        <v>650</v>
      </c>
      <c r="AV118">
        <v>420</v>
      </c>
      <c r="AY118">
        <v>350</v>
      </c>
      <c r="AZ118">
        <v>520</v>
      </c>
      <c r="BA118">
        <v>430</v>
      </c>
      <c r="BB118">
        <v>370</v>
      </c>
      <c r="BC118">
        <v>460</v>
      </c>
      <c r="BD118">
        <v>390</v>
      </c>
      <c r="BE118">
        <v>460</v>
      </c>
      <c r="BF118">
        <v>493</v>
      </c>
    </row>
    <row r="119" spans="2:58" x14ac:dyDescent="0.25">
      <c r="B119" s="2">
        <v>43617</v>
      </c>
      <c r="C119" s="5">
        <v>480</v>
      </c>
      <c r="D119" s="6">
        <v>950</v>
      </c>
      <c r="G119">
        <v>900</v>
      </c>
      <c r="J119">
        <v>1200</v>
      </c>
      <c r="K119">
        <v>1100</v>
      </c>
      <c r="L119">
        <v>900</v>
      </c>
      <c r="M119">
        <v>974</v>
      </c>
      <c r="N119">
        <v>1250</v>
      </c>
      <c r="O119">
        <v>1250</v>
      </c>
      <c r="P119" s="6">
        <v>560</v>
      </c>
      <c r="S119">
        <v>650</v>
      </c>
      <c r="U119">
        <v>750</v>
      </c>
      <c r="V119">
        <v>950</v>
      </c>
      <c r="Y119">
        <v>800</v>
      </c>
      <c r="AA119">
        <v>520</v>
      </c>
      <c r="AC119">
        <v>630</v>
      </c>
      <c r="AD119">
        <v>615</v>
      </c>
      <c r="AE119">
        <v>863</v>
      </c>
      <c r="AF119" s="6">
        <v>445</v>
      </c>
      <c r="AG119">
        <v>570</v>
      </c>
      <c r="AH119">
        <v>420</v>
      </c>
      <c r="AI119">
        <v>430</v>
      </c>
      <c r="AJ119">
        <v>450</v>
      </c>
      <c r="AK119">
        <v>400</v>
      </c>
      <c r="AL119">
        <v>460</v>
      </c>
      <c r="AN119">
        <v>425</v>
      </c>
      <c r="AP119">
        <v>600</v>
      </c>
      <c r="AQ119">
        <v>460</v>
      </c>
      <c r="AR119">
        <v>415</v>
      </c>
      <c r="AT119">
        <v>640</v>
      </c>
      <c r="AV119">
        <v>430</v>
      </c>
      <c r="AY119">
        <v>350</v>
      </c>
      <c r="AZ119">
        <v>520</v>
      </c>
      <c r="BA119">
        <v>420</v>
      </c>
      <c r="BB119">
        <v>380</v>
      </c>
      <c r="BC119">
        <v>450</v>
      </c>
      <c r="BD119">
        <v>400</v>
      </c>
      <c r="BE119">
        <v>470</v>
      </c>
      <c r="BF119">
        <v>480</v>
      </c>
    </row>
    <row r="120" spans="2:58" x14ac:dyDescent="0.25">
      <c r="B120" s="1">
        <v>43709</v>
      </c>
      <c r="C120" s="5">
        <v>485</v>
      </c>
      <c r="D120" s="6">
        <v>900</v>
      </c>
      <c r="G120">
        <v>883</v>
      </c>
      <c r="J120">
        <v>1300</v>
      </c>
      <c r="K120">
        <v>1000</v>
      </c>
      <c r="L120">
        <v>900</v>
      </c>
      <c r="M120">
        <v>950</v>
      </c>
      <c r="N120">
        <v>1150</v>
      </c>
      <c r="O120">
        <v>1250</v>
      </c>
      <c r="P120" s="6">
        <v>570</v>
      </c>
      <c r="S120">
        <v>600</v>
      </c>
      <c r="U120">
        <v>750</v>
      </c>
      <c r="V120">
        <v>950</v>
      </c>
      <c r="Y120">
        <v>750</v>
      </c>
      <c r="AA120">
        <v>520</v>
      </c>
      <c r="AC120">
        <v>630</v>
      </c>
      <c r="AD120">
        <v>580</v>
      </c>
      <c r="AE120">
        <v>885</v>
      </c>
      <c r="AF120" s="6">
        <v>440</v>
      </c>
      <c r="AG120">
        <v>560</v>
      </c>
      <c r="AH120">
        <v>420</v>
      </c>
      <c r="AI120">
        <v>430</v>
      </c>
      <c r="AJ120">
        <v>450</v>
      </c>
      <c r="AK120">
        <v>400</v>
      </c>
      <c r="AL120">
        <v>460</v>
      </c>
      <c r="AN120">
        <v>430</v>
      </c>
      <c r="AP120">
        <v>615</v>
      </c>
      <c r="AQ120">
        <v>465</v>
      </c>
      <c r="AR120">
        <v>410</v>
      </c>
      <c r="AT120">
        <v>645</v>
      </c>
      <c r="AV120">
        <v>400</v>
      </c>
      <c r="AY120">
        <v>350</v>
      </c>
      <c r="AZ120">
        <v>525</v>
      </c>
      <c r="BA120">
        <v>420</v>
      </c>
      <c r="BB120">
        <v>390</v>
      </c>
      <c r="BC120">
        <v>450</v>
      </c>
      <c r="BD120">
        <v>395</v>
      </c>
      <c r="BE120">
        <v>450</v>
      </c>
      <c r="BF120">
        <v>490</v>
      </c>
    </row>
    <row r="121" spans="2:58" x14ac:dyDescent="0.25">
      <c r="B121" s="2">
        <v>43800</v>
      </c>
      <c r="C121" s="5">
        <v>490</v>
      </c>
      <c r="D121" s="6">
        <v>925</v>
      </c>
      <c r="G121">
        <v>850</v>
      </c>
      <c r="J121">
        <v>1655</v>
      </c>
      <c r="K121">
        <v>1000</v>
      </c>
      <c r="L121">
        <v>950</v>
      </c>
      <c r="M121">
        <v>920</v>
      </c>
      <c r="N121">
        <v>1225</v>
      </c>
      <c r="O121">
        <v>1348</v>
      </c>
      <c r="P121" s="6">
        <v>560</v>
      </c>
      <c r="S121">
        <v>650</v>
      </c>
      <c r="U121">
        <v>750</v>
      </c>
      <c r="V121">
        <v>860</v>
      </c>
      <c r="Y121">
        <v>850</v>
      </c>
      <c r="AA121">
        <v>500</v>
      </c>
      <c r="AC121">
        <v>620</v>
      </c>
      <c r="AD121">
        <v>630</v>
      </c>
      <c r="AE121">
        <v>950</v>
      </c>
      <c r="AF121" s="6">
        <v>450</v>
      </c>
      <c r="AG121">
        <v>563</v>
      </c>
      <c r="AH121">
        <v>420</v>
      </c>
      <c r="AI121">
        <v>440</v>
      </c>
      <c r="AJ121">
        <v>450</v>
      </c>
      <c r="AK121">
        <v>400</v>
      </c>
      <c r="AL121">
        <v>460</v>
      </c>
      <c r="AN121">
        <v>420</v>
      </c>
      <c r="AP121">
        <v>590</v>
      </c>
      <c r="AQ121">
        <v>460</v>
      </c>
      <c r="AR121">
        <v>410</v>
      </c>
      <c r="AT121">
        <v>650</v>
      </c>
      <c r="AV121">
        <v>430</v>
      </c>
      <c r="AY121">
        <v>350</v>
      </c>
      <c r="AZ121">
        <v>520</v>
      </c>
      <c r="BA121">
        <v>430</v>
      </c>
      <c r="BB121">
        <v>385</v>
      </c>
      <c r="BC121">
        <v>460</v>
      </c>
      <c r="BD121">
        <v>390</v>
      </c>
      <c r="BE121">
        <v>460</v>
      </c>
      <c r="BF121">
        <v>480</v>
      </c>
    </row>
    <row r="122" spans="2:58" x14ac:dyDescent="0.25">
      <c r="B122" s="2">
        <v>43891</v>
      </c>
      <c r="C122" s="5">
        <v>490</v>
      </c>
      <c r="D122" s="6">
        <v>950</v>
      </c>
      <c r="G122">
        <v>900</v>
      </c>
      <c r="J122">
        <v>1200</v>
      </c>
      <c r="K122">
        <v>1050</v>
      </c>
      <c r="L122">
        <v>920</v>
      </c>
      <c r="M122">
        <v>995</v>
      </c>
      <c r="N122">
        <v>1250</v>
      </c>
      <c r="O122">
        <v>1375</v>
      </c>
      <c r="P122" s="6">
        <v>570</v>
      </c>
      <c r="S122">
        <v>673</v>
      </c>
      <c r="U122">
        <v>775</v>
      </c>
      <c r="V122">
        <v>860</v>
      </c>
      <c r="Y122">
        <v>800</v>
      </c>
      <c r="AA122">
        <v>520</v>
      </c>
      <c r="AC122">
        <v>650</v>
      </c>
      <c r="AD122">
        <v>580</v>
      </c>
      <c r="AE122">
        <v>950</v>
      </c>
      <c r="AF122" s="6">
        <v>450</v>
      </c>
      <c r="AG122">
        <v>580</v>
      </c>
      <c r="AH122">
        <v>420</v>
      </c>
      <c r="AI122">
        <v>445</v>
      </c>
      <c r="AJ122">
        <v>460</v>
      </c>
      <c r="AK122">
        <v>400</v>
      </c>
      <c r="AL122">
        <v>470</v>
      </c>
      <c r="AN122">
        <v>430</v>
      </c>
      <c r="AP122">
        <v>600</v>
      </c>
      <c r="AQ122">
        <v>475</v>
      </c>
      <c r="AR122">
        <v>410</v>
      </c>
      <c r="AT122">
        <v>650</v>
      </c>
      <c r="AV122">
        <v>415</v>
      </c>
      <c r="AY122">
        <v>360</v>
      </c>
      <c r="AZ122">
        <v>550</v>
      </c>
      <c r="BA122">
        <v>430</v>
      </c>
      <c r="BB122">
        <v>390</v>
      </c>
      <c r="BC122">
        <v>473</v>
      </c>
      <c r="BD122">
        <v>400</v>
      </c>
      <c r="BE122">
        <v>460</v>
      </c>
      <c r="BF122">
        <v>500</v>
      </c>
    </row>
    <row r="123" spans="2:58" x14ac:dyDescent="0.25">
      <c r="B123" s="2">
        <v>43983</v>
      </c>
      <c r="C123" s="5">
        <v>480</v>
      </c>
      <c r="D123" s="6">
        <v>865</v>
      </c>
      <c r="G123">
        <v>850</v>
      </c>
      <c r="J123">
        <v>1175</v>
      </c>
      <c r="K123">
        <v>1050</v>
      </c>
      <c r="L123">
        <v>850</v>
      </c>
      <c r="M123">
        <v>850</v>
      </c>
      <c r="N123">
        <v>1115</v>
      </c>
      <c r="O123">
        <v>1120</v>
      </c>
      <c r="P123" s="6">
        <v>550</v>
      </c>
      <c r="S123">
        <v>600</v>
      </c>
      <c r="U123">
        <v>725</v>
      </c>
      <c r="V123">
        <v>860</v>
      </c>
      <c r="Y123">
        <v>785</v>
      </c>
      <c r="AA123">
        <v>500</v>
      </c>
      <c r="AC123">
        <v>600</v>
      </c>
      <c r="AD123">
        <v>550</v>
      </c>
      <c r="AE123">
        <v>850</v>
      </c>
      <c r="AF123" s="6">
        <v>440</v>
      </c>
      <c r="AG123">
        <v>560</v>
      </c>
      <c r="AH123">
        <v>410</v>
      </c>
      <c r="AI123">
        <v>450</v>
      </c>
      <c r="AJ123">
        <v>460</v>
      </c>
      <c r="AK123">
        <v>400</v>
      </c>
      <c r="AL123">
        <v>450</v>
      </c>
      <c r="AN123">
        <v>423</v>
      </c>
      <c r="AP123">
        <v>595</v>
      </c>
      <c r="AQ123">
        <v>470</v>
      </c>
      <c r="AR123">
        <v>400</v>
      </c>
      <c r="AT123">
        <v>640</v>
      </c>
      <c r="AV123">
        <v>423</v>
      </c>
      <c r="AY123">
        <v>350</v>
      </c>
      <c r="AZ123">
        <v>550</v>
      </c>
      <c r="BA123">
        <v>420</v>
      </c>
      <c r="BB123">
        <v>390</v>
      </c>
      <c r="BC123">
        <v>458</v>
      </c>
      <c r="BD123">
        <v>400</v>
      </c>
      <c r="BE123">
        <v>465</v>
      </c>
      <c r="BF123">
        <v>480</v>
      </c>
    </row>
    <row r="124" spans="2:58" x14ac:dyDescent="0.25">
      <c r="B124" s="1">
        <v>44075</v>
      </c>
      <c r="C124" s="5">
        <v>500</v>
      </c>
      <c r="D124" s="6">
        <v>890</v>
      </c>
      <c r="G124">
        <v>888</v>
      </c>
      <c r="J124">
        <v>1200</v>
      </c>
      <c r="K124">
        <v>950</v>
      </c>
      <c r="L124">
        <v>900</v>
      </c>
      <c r="M124">
        <v>873</v>
      </c>
      <c r="N124">
        <v>1150</v>
      </c>
      <c r="O124">
        <v>1200</v>
      </c>
      <c r="P124" s="6">
        <v>568</v>
      </c>
      <c r="S124">
        <v>620</v>
      </c>
      <c r="U124">
        <v>750</v>
      </c>
      <c r="V124">
        <v>750</v>
      </c>
      <c r="Y124">
        <v>800</v>
      </c>
      <c r="AA124">
        <v>530</v>
      </c>
      <c r="AC124">
        <v>620</v>
      </c>
      <c r="AD124">
        <v>600</v>
      </c>
      <c r="AE124">
        <v>890</v>
      </c>
      <c r="AF124" s="6">
        <v>450</v>
      </c>
      <c r="AG124">
        <v>570</v>
      </c>
      <c r="AH124">
        <v>420</v>
      </c>
      <c r="AI124">
        <v>460</v>
      </c>
      <c r="AJ124">
        <v>470</v>
      </c>
      <c r="AK124">
        <v>420</v>
      </c>
      <c r="AL124">
        <v>450</v>
      </c>
      <c r="AN124">
        <v>450</v>
      </c>
      <c r="AP124">
        <v>600</v>
      </c>
      <c r="AQ124">
        <v>470</v>
      </c>
      <c r="AR124">
        <v>420</v>
      </c>
      <c r="AT124">
        <v>660</v>
      </c>
      <c r="AV124">
        <v>430</v>
      </c>
      <c r="AY124">
        <v>370</v>
      </c>
      <c r="AZ124">
        <v>570</v>
      </c>
      <c r="BA124">
        <v>440</v>
      </c>
      <c r="BB124">
        <v>400</v>
      </c>
      <c r="BC124">
        <v>475</v>
      </c>
      <c r="BD124">
        <v>413</v>
      </c>
      <c r="BE124">
        <v>475</v>
      </c>
      <c r="BF124">
        <v>490</v>
      </c>
    </row>
    <row r="125" spans="2:58" x14ac:dyDescent="0.25">
      <c r="B125" s="2">
        <v>44166</v>
      </c>
      <c r="C125" s="5">
        <v>510</v>
      </c>
      <c r="D125" s="6">
        <v>875</v>
      </c>
      <c r="G125">
        <v>935</v>
      </c>
      <c r="J125">
        <v>1025</v>
      </c>
      <c r="K125">
        <v>995</v>
      </c>
      <c r="L125">
        <v>850</v>
      </c>
      <c r="M125">
        <v>850</v>
      </c>
      <c r="N125">
        <v>1273</v>
      </c>
      <c r="O125">
        <v>1325</v>
      </c>
      <c r="P125" s="6">
        <v>550</v>
      </c>
      <c r="S125">
        <v>600</v>
      </c>
      <c r="U125">
        <v>755</v>
      </c>
      <c r="V125">
        <v>750</v>
      </c>
      <c r="Y125">
        <v>790</v>
      </c>
      <c r="AA125">
        <v>510</v>
      </c>
      <c r="AC125">
        <v>630</v>
      </c>
      <c r="AD125">
        <v>585</v>
      </c>
      <c r="AE125">
        <v>900</v>
      </c>
      <c r="AF125" s="6">
        <v>460</v>
      </c>
      <c r="AG125">
        <v>580</v>
      </c>
      <c r="AH125">
        <v>430</v>
      </c>
      <c r="AI125">
        <v>470</v>
      </c>
      <c r="AJ125">
        <v>480</v>
      </c>
      <c r="AK125">
        <v>420</v>
      </c>
      <c r="AL125">
        <v>450</v>
      </c>
      <c r="AN125">
        <v>460</v>
      </c>
      <c r="AP125">
        <v>620</v>
      </c>
      <c r="AQ125">
        <v>500</v>
      </c>
      <c r="AR125">
        <v>430</v>
      </c>
      <c r="AT125">
        <v>670</v>
      </c>
      <c r="AV125">
        <v>430</v>
      </c>
      <c r="AY125">
        <v>375</v>
      </c>
      <c r="AZ125">
        <v>575</v>
      </c>
      <c r="BA125">
        <v>450</v>
      </c>
      <c r="BB125">
        <v>420</v>
      </c>
      <c r="BC125">
        <v>500</v>
      </c>
      <c r="BD125">
        <v>418</v>
      </c>
      <c r="BE125">
        <v>500</v>
      </c>
      <c r="BF125">
        <v>500</v>
      </c>
    </row>
    <row r="126" spans="2:58" x14ac:dyDescent="0.25">
      <c r="B126" s="2">
        <v>44256</v>
      </c>
      <c r="C126" s="5">
        <v>525</v>
      </c>
      <c r="D126" s="6">
        <v>900</v>
      </c>
      <c r="G126">
        <v>835</v>
      </c>
      <c r="J126">
        <v>1300</v>
      </c>
      <c r="K126">
        <v>1090</v>
      </c>
      <c r="L126">
        <v>860</v>
      </c>
      <c r="M126">
        <v>900</v>
      </c>
      <c r="N126">
        <v>1250</v>
      </c>
      <c r="O126">
        <v>1250</v>
      </c>
      <c r="P126" s="6">
        <v>580</v>
      </c>
      <c r="S126">
        <v>650</v>
      </c>
      <c r="U126">
        <v>768</v>
      </c>
      <c r="V126">
        <v>813</v>
      </c>
      <c r="Y126">
        <v>850</v>
      </c>
      <c r="AA126">
        <v>530</v>
      </c>
      <c r="AC126">
        <v>600</v>
      </c>
      <c r="AD126">
        <v>690</v>
      </c>
      <c r="AE126">
        <v>900</v>
      </c>
      <c r="AF126" s="6">
        <v>470</v>
      </c>
      <c r="AG126">
        <v>600</v>
      </c>
      <c r="AH126">
        <v>430</v>
      </c>
      <c r="AI126">
        <v>480</v>
      </c>
      <c r="AJ126">
        <v>483</v>
      </c>
      <c r="AK126">
        <v>420</v>
      </c>
      <c r="AL126">
        <v>465</v>
      </c>
      <c r="AN126">
        <v>460</v>
      </c>
      <c r="AP126">
        <v>640</v>
      </c>
      <c r="AQ126">
        <v>490</v>
      </c>
      <c r="AR126">
        <v>430</v>
      </c>
      <c r="AT126">
        <v>700</v>
      </c>
      <c r="AV126">
        <v>450</v>
      </c>
      <c r="AY126">
        <v>380</v>
      </c>
      <c r="AZ126">
        <v>620</v>
      </c>
      <c r="BA126">
        <v>470</v>
      </c>
      <c r="BB126">
        <v>430</v>
      </c>
      <c r="BC126">
        <v>520</v>
      </c>
      <c r="BD126">
        <v>450</v>
      </c>
      <c r="BE126">
        <v>490</v>
      </c>
      <c r="BF126">
        <v>525</v>
      </c>
    </row>
    <row r="127" spans="2:58" x14ac:dyDescent="0.25">
      <c r="B127" s="2">
        <v>44348</v>
      </c>
      <c r="C127" s="5">
        <v>520</v>
      </c>
      <c r="D127" s="6">
        <v>900</v>
      </c>
      <c r="G127">
        <v>775</v>
      </c>
      <c r="J127">
        <v>1290</v>
      </c>
      <c r="K127">
        <v>1175</v>
      </c>
      <c r="L127">
        <v>938</v>
      </c>
      <c r="M127">
        <v>920</v>
      </c>
      <c r="N127">
        <v>1200</v>
      </c>
      <c r="O127">
        <v>1325</v>
      </c>
      <c r="P127" s="6">
        <v>580</v>
      </c>
      <c r="S127">
        <v>600</v>
      </c>
      <c r="U127">
        <v>750</v>
      </c>
      <c r="V127">
        <v>813</v>
      </c>
      <c r="Y127">
        <v>850</v>
      </c>
      <c r="AA127">
        <v>550</v>
      </c>
      <c r="AC127">
        <v>650</v>
      </c>
      <c r="AD127">
        <v>600</v>
      </c>
      <c r="AE127">
        <v>900</v>
      </c>
      <c r="AF127" s="6">
        <v>475</v>
      </c>
      <c r="AG127">
        <v>600</v>
      </c>
      <c r="AH127">
        <v>440</v>
      </c>
      <c r="AI127">
        <v>480</v>
      </c>
      <c r="AJ127">
        <v>500</v>
      </c>
      <c r="AK127">
        <v>430</v>
      </c>
      <c r="AL127">
        <v>490</v>
      </c>
      <c r="AN127">
        <v>460</v>
      </c>
      <c r="AP127">
        <v>645</v>
      </c>
      <c r="AQ127">
        <v>480</v>
      </c>
      <c r="AR127">
        <v>450</v>
      </c>
      <c r="AT127">
        <v>700</v>
      </c>
      <c r="AV127">
        <v>450</v>
      </c>
      <c r="AY127">
        <v>400</v>
      </c>
      <c r="AZ127">
        <v>620</v>
      </c>
      <c r="BA127">
        <v>480</v>
      </c>
      <c r="BB127">
        <v>440</v>
      </c>
      <c r="BC127">
        <v>525</v>
      </c>
      <c r="BD127">
        <v>440</v>
      </c>
      <c r="BE127">
        <v>520</v>
      </c>
      <c r="BF127">
        <v>520</v>
      </c>
    </row>
    <row r="128" spans="2:58" x14ac:dyDescent="0.25">
      <c r="B128" s="1">
        <v>44440</v>
      </c>
      <c r="C128" s="5">
        <v>535</v>
      </c>
      <c r="D128" s="6">
        <v>900</v>
      </c>
      <c r="G128">
        <v>795</v>
      </c>
      <c r="J128">
        <v>1450</v>
      </c>
      <c r="K128">
        <v>1100</v>
      </c>
      <c r="L128">
        <v>900</v>
      </c>
      <c r="M128">
        <v>900</v>
      </c>
      <c r="N128">
        <v>1300</v>
      </c>
      <c r="O128">
        <v>1250</v>
      </c>
      <c r="P128" s="6">
        <v>600</v>
      </c>
      <c r="S128">
        <v>640</v>
      </c>
      <c r="U128">
        <v>770</v>
      </c>
      <c r="V128">
        <v>813</v>
      </c>
      <c r="Y128">
        <v>858</v>
      </c>
      <c r="AA128">
        <v>540</v>
      </c>
      <c r="AC128">
        <v>680</v>
      </c>
      <c r="AD128">
        <v>650</v>
      </c>
      <c r="AE128">
        <v>950</v>
      </c>
      <c r="AF128" s="6">
        <v>480</v>
      </c>
      <c r="AG128">
        <v>620</v>
      </c>
      <c r="AH128">
        <v>450</v>
      </c>
      <c r="AI128">
        <v>500</v>
      </c>
      <c r="AJ128">
        <v>500</v>
      </c>
      <c r="AK128">
        <v>440</v>
      </c>
      <c r="AL128">
        <v>480</v>
      </c>
      <c r="AN128">
        <v>480</v>
      </c>
      <c r="AP128">
        <v>650</v>
      </c>
      <c r="AQ128">
        <v>500</v>
      </c>
      <c r="AR128">
        <v>450</v>
      </c>
      <c r="AT128">
        <v>750</v>
      </c>
      <c r="AV128">
        <v>470</v>
      </c>
      <c r="AY128">
        <v>420</v>
      </c>
      <c r="AZ128">
        <v>598</v>
      </c>
      <c r="BA128">
        <v>500</v>
      </c>
      <c r="BB128">
        <v>450</v>
      </c>
      <c r="BC128">
        <v>540</v>
      </c>
      <c r="BD128">
        <v>465</v>
      </c>
      <c r="BE128">
        <v>530</v>
      </c>
      <c r="BF128">
        <v>540</v>
      </c>
    </row>
    <row r="129" spans="2:58" x14ac:dyDescent="0.25">
      <c r="B129" s="2">
        <v>44531</v>
      </c>
      <c r="C129" s="5">
        <v>550</v>
      </c>
      <c r="D129" s="6">
        <v>930</v>
      </c>
      <c r="G129">
        <v>850</v>
      </c>
      <c r="J129">
        <v>1425</v>
      </c>
      <c r="K129">
        <v>1100</v>
      </c>
      <c r="L129">
        <v>900</v>
      </c>
      <c r="M129">
        <v>900</v>
      </c>
      <c r="N129">
        <v>1350</v>
      </c>
      <c r="O129">
        <v>1400</v>
      </c>
      <c r="P129" s="6">
        <v>595</v>
      </c>
      <c r="S129">
        <v>665</v>
      </c>
      <c r="U129">
        <v>875</v>
      </c>
      <c r="V129">
        <v>1000</v>
      </c>
      <c r="Y129">
        <v>850</v>
      </c>
      <c r="AA129">
        <v>550</v>
      </c>
      <c r="AC129">
        <v>650</v>
      </c>
      <c r="AD129">
        <v>580</v>
      </c>
      <c r="AE129">
        <v>963</v>
      </c>
      <c r="AF129" s="6">
        <v>500</v>
      </c>
      <c r="AG129">
        <v>650</v>
      </c>
      <c r="AH129">
        <v>450</v>
      </c>
      <c r="AI129">
        <v>520</v>
      </c>
      <c r="AJ129">
        <v>520</v>
      </c>
      <c r="AK129">
        <v>450</v>
      </c>
      <c r="AL129">
        <v>485</v>
      </c>
      <c r="AN129">
        <v>500</v>
      </c>
      <c r="AP129">
        <v>680</v>
      </c>
      <c r="AQ129">
        <v>500</v>
      </c>
      <c r="AR129">
        <v>460</v>
      </c>
      <c r="AT129">
        <v>750</v>
      </c>
      <c r="AV129">
        <v>465</v>
      </c>
      <c r="AY129">
        <v>420</v>
      </c>
      <c r="AZ129">
        <v>610</v>
      </c>
      <c r="BA129">
        <v>500</v>
      </c>
      <c r="BB129">
        <v>450</v>
      </c>
      <c r="BC129">
        <v>550</v>
      </c>
      <c r="BD129">
        <v>480</v>
      </c>
      <c r="BE129">
        <v>550</v>
      </c>
      <c r="BF129">
        <v>565</v>
      </c>
    </row>
    <row r="130" spans="2:58" x14ac:dyDescent="0.25">
      <c r="B130" s="2">
        <v>44621</v>
      </c>
      <c r="C130" s="5">
        <v>550</v>
      </c>
      <c r="D130" s="6">
        <v>950</v>
      </c>
      <c r="G130">
        <v>905</v>
      </c>
      <c r="J130">
        <v>1450</v>
      </c>
      <c r="K130">
        <v>1200</v>
      </c>
      <c r="L130">
        <v>975</v>
      </c>
      <c r="M130">
        <v>960</v>
      </c>
      <c r="N130">
        <v>1425</v>
      </c>
      <c r="O130">
        <v>1400</v>
      </c>
      <c r="P130" s="6">
        <v>600</v>
      </c>
      <c r="S130">
        <v>735</v>
      </c>
      <c r="U130">
        <v>800</v>
      </c>
      <c r="V130">
        <v>903</v>
      </c>
      <c r="Y130">
        <v>950</v>
      </c>
      <c r="AA130">
        <v>550</v>
      </c>
      <c r="AC130">
        <v>680</v>
      </c>
      <c r="AD130">
        <v>650</v>
      </c>
      <c r="AE130">
        <v>973</v>
      </c>
      <c r="AF130" s="6">
        <v>500</v>
      </c>
      <c r="AG130">
        <v>630</v>
      </c>
      <c r="AH130">
        <v>460</v>
      </c>
      <c r="AI130">
        <v>520</v>
      </c>
      <c r="AJ130">
        <v>535</v>
      </c>
      <c r="AK130">
        <v>450</v>
      </c>
      <c r="AL130">
        <v>490</v>
      </c>
      <c r="AN130">
        <v>500</v>
      </c>
      <c r="AP130">
        <v>680</v>
      </c>
      <c r="AQ130">
        <v>505</v>
      </c>
      <c r="AR130">
        <v>470</v>
      </c>
      <c r="AT130">
        <v>750</v>
      </c>
      <c r="AV130">
        <v>470</v>
      </c>
      <c r="AY130">
        <v>450</v>
      </c>
      <c r="AZ130">
        <v>625</v>
      </c>
      <c r="BA130">
        <v>520</v>
      </c>
      <c r="BB130">
        <v>473</v>
      </c>
      <c r="BC130">
        <v>580</v>
      </c>
      <c r="BD130">
        <v>500</v>
      </c>
      <c r="BE130">
        <v>550</v>
      </c>
      <c r="BF130">
        <v>600</v>
      </c>
    </row>
    <row r="131" spans="2:58" x14ac:dyDescent="0.25">
      <c r="B131" s="2">
        <v>44713</v>
      </c>
      <c r="C131" s="5">
        <v>570</v>
      </c>
      <c r="D131" s="6">
        <v>990</v>
      </c>
      <c r="G131">
        <v>975</v>
      </c>
      <c r="J131">
        <v>1450</v>
      </c>
      <c r="K131">
        <v>1200</v>
      </c>
      <c r="L131">
        <v>1013</v>
      </c>
      <c r="M131">
        <v>950</v>
      </c>
      <c r="N131">
        <v>1350</v>
      </c>
      <c r="O131">
        <v>1350</v>
      </c>
      <c r="P131" s="6">
        <v>630</v>
      </c>
      <c r="S131">
        <v>700</v>
      </c>
      <c r="U131">
        <v>850</v>
      </c>
      <c r="V131">
        <v>903</v>
      </c>
      <c r="Y131">
        <v>950</v>
      </c>
      <c r="AA131">
        <v>599</v>
      </c>
      <c r="AC131">
        <v>690</v>
      </c>
      <c r="AD131">
        <v>680</v>
      </c>
      <c r="AE131">
        <v>1050</v>
      </c>
      <c r="AF131" s="6">
        <v>525</v>
      </c>
      <c r="AG131">
        <v>650</v>
      </c>
      <c r="AH131">
        <v>480</v>
      </c>
      <c r="AI131">
        <v>550</v>
      </c>
      <c r="AJ131">
        <v>550</v>
      </c>
      <c r="AK131">
        <v>470</v>
      </c>
      <c r="AL131">
        <v>500</v>
      </c>
      <c r="AN131">
        <v>520</v>
      </c>
      <c r="AP131">
        <v>700</v>
      </c>
      <c r="AQ131">
        <v>530</v>
      </c>
      <c r="AR131">
        <v>490</v>
      </c>
      <c r="AT131">
        <v>790</v>
      </c>
      <c r="AV131">
        <v>488</v>
      </c>
      <c r="AY131">
        <v>440</v>
      </c>
      <c r="AZ131">
        <v>650</v>
      </c>
      <c r="BA131">
        <v>550</v>
      </c>
      <c r="BB131">
        <v>490</v>
      </c>
      <c r="BC131">
        <v>575</v>
      </c>
      <c r="BD131">
        <v>520</v>
      </c>
      <c r="BE131">
        <v>575</v>
      </c>
      <c r="BF131">
        <v>600</v>
      </c>
    </row>
    <row r="132" spans="2:58" x14ac:dyDescent="0.25">
      <c r="B132" s="1">
        <v>44805</v>
      </c>
      <c r="C132" s="5">
        <v>600</v>
      </c>
      <c r="D132" s="6">
        <v>1000</v>
      </c>
      <c r="G132">
        <v>960</v>
      </c>
      <c r="J132">
        <v>1250</v>
      </c>
      <c r="K132">
        <v>1180</v>
      </c>
      <c r="L132">
        <v>1100</v>
      </c>
      <c r="M132">
        <v>1025</v>
      </c>
      <c r="N132">
        <v>1300</v>
      </c>
      <c r="O132">
        <v>1425</v>
      </c>
      <c r="P132" s="6">
        <v>650</v>
      </c>
      <c r="S132">
        <v>740</v>
      </c>
      <c r="U132">
        <v>850</v>
      </c>
      <c r="V132">
        <v>903</v>
      </c>
      <c r="Y132">
        <v>915</v>
      </c>
      <c r="AA132">
        <v>600</v>
      </c>
      <c r="AC132">
        <v>770</v>
      </c>
      <c r="AD132">
        <v>678</v>
      </c>
      <c r="AE132">
        <v>950</v>
      </c>
      <c r="AF132" s="6">
        <v>540</v>
      </c>
      <c r="AG132">
        <v>675</v>
      </c>
      <c r="AH132">
        <v>500</v>
      </c>
      <c r="AI132">
        <v>550</v>
      </c>
      <c r="AJ132">
        <v>560</v>
      </c>
      <c r="AK132">
        <v>470</v>
      </c>
      <c r="AL132">
        <v>500</v>
      </c>
      <c r="AN132">
        <v>520</v>
      </c>
      <c r="AP132">
        <v>705</v>
      </c>
      <c r="AQ132">
        <v>530</v>
      </c>
      <c r="AR132">
        <v>500</v>
      </c>
      <c r="AT132">
        <v>800</v>
      </c>
      <c r="AV132">
        <v>510</v>
      </c>
      <c r="AY132">
        <v>460</v>
      </c>
      <c r="AZ132">
        <v>640</v>
      </c>
      <c r="BA132">
        <v>550</v>
      </c>
      <c r="BB132">
        <v>500</v>
      </c>
      <c r="BC132">
        <v>590</v>
      </c>
      <c r="BD132">
        <v>520</v>
      </c>
      <c r="BE132">
        <v>580</v>
      </c>
      <c r="BF132">
        <v>600</v>
      </c>
    </row>
    <row r="133" spans="2:58" x14ac:dyDescent="0.25">
      <c r="B133" s="2">
        <v>44896</v>
      </c>
      <c r="C133" s="5">
        <v>600</v>
      </c>
      <c r="D133" s="6">
        <v>1093</v>
      </c>
      <c r="G133">
        <v>925</v>
      </c>
      <c r="J133">
        <v>1350</v>
      </c>
      <c r="K133">
        <v>1200</v>
      </c>
      <c r="L133">
        <v>1100</v>
      </c>
      <c r="M133">
        <v>1095</v>
      </c>
      <c r="N133">
        <v>1415</v>
      </c>
      <c r="O133">
        <v>1300</v>
      </c>
      <c r="P133" s="6">
        <v>650</v>
      </c>
      <c r="S133">
        <v>700</v>
      </c>
      <c r="U133">
        <v>900</v>
      </c>
      <c r="V133">
        <v>903</v>
      </c>
      <c r="Y133">
        <v>950</v>
      </c>
      <c r="AA133">
        <v>600</v>
      </c>
      <c r="AC133">
        <v>710</v>
      </c>
      <c r="AD133">
        <v>645</v>
      </c>
      <c r="AE133">
        <v>1050</v>
      </c>
      <c r="AF133" s="6">
        <v>550</v>
      </c>
      <c r="AG133">
        <v>680</v>
      </c>
      <c r="AH133">
        <v>500</v>
      </c>
      <c r="AI133">
        <v>550</v>
      </c>
      <c r="AJ133">
        <v>570</v>
      </c>
      <c r="AK133">
        <v>500</v>
      </c>
      <c r="AL133">
        <v>550</v>
      </c>
      <c r="AN133">
        <v>550</v>
      </c>
      <c r="AP133">
        <v>720</v>
      </c>
      <c r="AQ133">
        <v>550</v>
      </c>
      <c r="AR133">
        <v>500</v>
      </c>
      <c r="AT133">
        <v>800</v>
      </c>
      <c r="AV133">
        <v>550</v>
      </c>
      <c r="AY133">
        <v>480</v>
      </c>
      <c r="AZ133">
        <v>675</v>
      </c>
      <c r="BA133">
        <v>550</v>
      </c>
      <c r="BB133">
        <v>500</v>
      </c>
      <c r="BC133">
        <v>600</v>
      </c>
      <c r="BD133">
        <v>530</v>
      </c>
      <c r="BE133">
        <v>600</v>
      </c>
      <c r="BF133">
        <v>620</v>
      </c>
    </row>
    <row r="134" spans="2:58" x14ac:dyDescent="0.25">
      <c r="B134" s="2">
        <v>44986</v>
      </c>
      <c r="C134" s="5">
        <v>610</v>
      </c>
      <c r="D134" s="6">
        <v>1150</v>
      </c>
      <c r="G134">
        <v>1000</v>
      </c>
      <c r="J134">
        <v>1600</v>
      </c>
      <c r="K134">
        <v>1150</v>
      </c>
      <c r="L134">
        <v>1250</v>
      </c>
      <c r="M134">
        <v>1150</v>
      </c>
      <c r="N134">
        <v>1633</v>
      </c>
      <c r="O134">
        <v>1665</v>
      </c>
      <c r="P134" s="6">
        <v>680</v>
      </c>
      <c r="S134">
        <v>778</v>
      </c>
      <c r="U134">
        <v>900</v>
      </c>
      <c r="V134">
        <v>903</v>
      </c>
      <c r="Y134">
        <v>975</v>
      </c>
      <c r="AA134">
        <v>630</v>
      </c>
      <c r="AC134">
        <v>750</v>
      </c>
      <c r="AD134">
        <v>750</v>
      </c>
      <c r="AE134">
        <v>1005</v>
      </c>
      <c r="AF134" s="6">
        <v>550</v>
      </c>
      <c r="AG134">
        <v>700</v>
      </c>
      <c r="AH134">
        <v>520</v>
      </c>
      <c r="AI134">
        <v>550</v>
      </c>
      <c r="AJ134">
        <v>590</v>
      </c>
      <c r="AK134">
        <v>500</v>
      </c>
      <c r="AL134">
        <v>550</v>
      </c>
      <c r="AN134">
        <v>540</v>
      </c>
      <c r="AP134">
        <v>720</v>
      </c>
      <c r="AQ134">
        <v>560</v>
      </c>
      <c r="AR134">
        <v>500</v>
      </c>
      <c r="AT134">
        <v>800</v>
      </c>
      <c r="AV134">
        <v>550</v>
      </c>
      <c r="AY134">
        <v>480</v>
      </c>
      <c r="AZ134">
        <v>680</v>
      </c>
      <c r="BA134">
        <v>565</v>
      </c>
      <c r="BB134">
        <v>525</v>
      </c>
      <c r="BC134">
        <v>615</v>
      </c>
      <c r="BD134">
        <v>550</v>
      </c>
      <c r="BE134">
        <v>600</v>
      </c>
      <c r="BF134">
        <v>630</v>
      </c>
    </row>
    <row r="135" spans="2:58" x14ac:dyDescent="0.25">
      <c r="B135" s="2">
        <v>45078</v>
      </c>
      <c r="C135" s="5">
        <v>620</v>
      </c>
      <c r="D135" s="6">
        <v>1195</v>
      </c>
      <c r="G135">
        <v>968</v>
      </c>
      <c r="J135">
        <v>1400</v>
      </c>
      <c r="K135">
        <v>1250</v>
      </c>
      <c r="L135">
        <v>1250</v>
      </c>
      <c r="M135">
        <v>1150</v>
      </c>
      <c r="N135">
        <v>1500</v>
      </c>
      <c r="O135">
        <v>1600</v>
      </c>
      <c r="P135" s="6">
        <v>730</v>
      </c>
      <c r="S135">
        <v>878</v>
      </c>
      <c r="U135">
        <v>950</v>
      </c>
      <c r="V135">
        <v>1100</v>
      </c>
      <c r="Y135">
        <v>920</v>
      </c>
      <c r="AA135">
        <v>660</v>
      </c>
      <c r="AC135">
        <v>780</v>
      </c>
      <c r="AD135">
        <v>850</v>
      </c>
      <c r="AE135">
        <v>1100</v>
      </c>
      <c r="AF135" s="6">
        <v>565</v>
      </c>
      <c r="AG135">
        <v>730</v>
      </c>
      <c r="AH135">
        <v>550</v>
      </c>
      <c r="AI135">
        <v>540</v>
      </c>
      <c r="AJ135">
        <v>600</v>
      </c>
      <c r="AK135">
        <v>520</v>
      </c>
      <c r="AL135">
        <v>555</v>
      </c>
      <c r="AN135">
        <v>550</v>
      </c>
      <c r="AP135">
        <v>750</v>
      </c>
      <c r="AQ135">
        <v>590</v>
      </c>
      <c r="AR135">
        <v>530</v>
      </c>
      <c r="AT135">
        <v>820</v>
      </c>
      <c r="AV135">
        <v>520</v>
      </c>
      <c r="AY135">
        <v>485</v>
      </c>
      <c r="AZ135">
        <v>650</v>
      </c>
      <c r="BA135">
        <v>560</v>
      </c>
      <c r="BB135">
        <v>520</v>
      </c>
      <c r="BC135">
        <v>605</v>
      </c>
      <c r="BD135">
        <v>550</v>
      </c>
      <c r="BE135">
        <v>615</v>
      </c>
      <c r="BF135">
        <v>610</v>
      </c>
    </row>
    <row r="136" spans="2:58" x14ac:dyDescent="0.25">
      <c r="B136" s="1">
        <v>45170</v>
      </c>
      <c r="C136" s="5">
        <v>650</v>
      </c>
      <c r="D136" s="6">
        <v>1150</v>
      </c>
      <c r="G136">
        <v>998</v>
      </c>
      <c r="J136">
        <v>1525</v>
      </c>
      <c r="K136">
        <v>1200</v>
      </c>
      <c r="L136">
        <v>1250</v>
      </c>
      <c r="M136">
        <v>1115</v>
      </c>
      <c r="N136">
        <v>1400</v>
      </c>
      <c r="O136">
        <v>1500</v>
      </c>
      <c r="P136" s="6">
        <v>750</v>
      </c>
      <c r="S136">
        <v>850</v>
      </c>
      <c r="U136">
        <v>955</v>
      </c>
      <c r="V136">
        <v>1000</v>
      </c>
      <c r="Y136">
        <v>1000</v>
      </c>
      <c r="AA136">
        <v>700</v>
      </c>
      <c r="AC136">
        <v>795</v>
      </c>
      <c r="AD136">
        <v>813</v>
      </c>
      <c r="AE136">
        <v>1065</v>
      </c>
      <c r="AF136" s="6">
        <v>590</v>
      </c>
      <c r="AG136">
        <v>750</v>
      </c>
      <c r="AH136">
        <v>570</v>
      </c>
      <c r="AI136">
        <v>550</v>
      </c>
      <c r="AJ136">
        <v>600</v>
      </c>
      <c r="AK136">
        <v>550</v>
      </c>
      <c r="AL136">
        <v>600</v>
      </c>
      <c r="AN136">
        <v>550</v>
      </c>
      <c r="AP136">
        <v>750</v>
      </c>
      <c r="AQ136">
        <v>610</v>
      </c>
      <c r="AR136">
        <v>550</v>
      </c>
      <c r="AT136">
        <v>800</v>
      </c>
      <c r="AV136">
        <v>550</v>
      </c>
      <c r="AY136">
        <v>490</v>
      </c>
      <c r="AZ136">
        <v>650</v>
      </c>
      <c r="BA136">
        <v>580</v>
      </c>
      <c r="BB136">
        <v>510</v>
      </c>
      <c r="BC136">
        <v>610</v>
      </c>
      <c r="BD136">
        <v>550</v>
      </c>
      <c r="BE136">
        <v>600</v>
      </c>
      <c r="BF136">
        <v>650</v>
      </c>
    </row>
    <row r="137" spans="2:58" x14ac:dyDescent="0.25">
      <c r="B137" s="2">
        <v>45261</v>
      </c>
      <c r="C137" s="5">
        <v>650</v>
      </c>
      <c r="D137" s="6">
        <v>1250</v>
      </c>
      <c r="G137">
        <v>1075</v>
      </c>
      <c r="J137">
        <v>1550</v>
      </c>
      <c r="K137">
        <v>1350</v>
      </c>
      <c r="L137">
        <v>1350</v>
      </c>
      <c r="M137">
        <v>1200</v>
      </c>
      <c r="N137">
        <v>1600</v>
      </c>
      <c r="O137">
        <v>1625</v>
      </c>
      <c r="P137" s="6">
        <v>770</v>
      </c>
      <c r="S137">
        <v>890</v>
      </c>
      <c r="U137">
        <v>923</v>
      </c>
      <c r="V137">
        <v>1138</v>
      </c>
      <c r="Y137">
        <v>990</v>
      </c>
      <c r="AA137">
        <v>720</v>
      </c>
      <c r="AC137">
        <v>800</v>
      </c>
      <c r="AD137">
        <v>790</v>
      </c>
      <c r="AE137">
        <v>1150</v>
      </c>
      <c r="AF137" s="6">
        <v>600</v>
      </c>
      <c r="AG137">
        <v>750</v>
      </c>
      <c r="AH137">
        <v>585</v>
      </c>
      <c r="AI137">
        <v>560</v>
      </c>
      <c r="AJ137">
        <v>620</v>
      </c>
      <c r="AK137">
        <v>550</v>
      </c>
      <c r="AL137">
        <v>610</v>
      </c>
      <c r="AN137">
        <v>585</v>
      </c>
      <c r="AP137">
        <v>790</v>
      </c>
      <c r="AQ137">
        <v>650</v>
      </c>
      <c r="AR137">
        <v>550</v>
      </c>
      <c r="AT137">
        <v>850</v>
      </c>
      <c r="AV137">
        <v>560</v>
      </c>
      <c r="AY137">
        <v>500</v>
      </c>
      <c r="AZ137">
        <v>700</v>
      </c>
      <c r="BA137">
        <v>580</v>
      </c>
      <c r="BB137">
        <v>530</v>
      </c>
      <c r="BC137">
        <v>650</v>
      </c>
      <c r="BD137">
        <v>550</v>
      </c>
      <c r="BE137">
        <v>600</v>
      </c>
      <c r="BF137">
        <v>640</v>
      </c>
    </row>
    <row r="138" spans="2:58" x14ac:dyDescent="0.25">
      <c r="B138" s="2">
        <v>45352</v>
      </c>
      <c r="C138" s="5">
        <v>680</v>
      </c>
      <c r="D138" s="6">
        <v>1250</v>
      </c>
      <c r="G138">
        <v>1073</v>
      </c>
      <c r="J138">
        <v>1525</v>
      </c>
      <c r="K138">
        <v>1300</v>
      </c>
      <c r="L138">
        <v>1388</v>
      </c>
      <c r="M138">
        <v>1300</v>
      </c>
      <c r="N138">
        <v>1700</v>
      </c>
      <c r="O138">
        <v>1625</v>
      </c>
      <c r="P138" s="6">
        <v>783</v>
      </c>
      <c r="S138">
        <v>900</v>
      </c>
      <c r="U138">
        <v>950</v>
      </c>
      <c r="V138">
        <v>1230</v>
      </c>
      <c r="Y138">
        <v>1050</v>
      </c>
      <c r="AA138">
        <v>720</v>
      </c>
      <c r="AC138">
        <v>850</v>
      </c>
      <c r="AD138">
        <v>850</v>
      </c>
      <c r="AE138">
        <v>1200</v>
      </c>
      <c r="AF138" s="6">
        <v>600</v>
      </c>
      <c r="AG138">
        <v>755</v>
      </c>
      <c r="AH138">
        <v>600</v>
      </c>
      <c r="AI138">
        <v>590</v>
      </c>
      <c r="AJ138">
        <v>650</v>
      </c>
      <c r="AK138">
        <v>550</v>
      </c>
      <c r="AL138">
        <v>620</v>
      </c>
      <c r="AN138">
        <v>593</v>
      </c>
      <c r="AP138">
        <v>800</v>
      </c>
      <c r="AQ138">
        <v>650</v>
      </c>
      <c r="AR138">
        <v>580</v>
      </c>
      <c r="AT138">
        <v>860</v>
      </c>
      <c r="AV138">
        <v>530</v>
      </c>
      <c r="AY138">
        <v>505</v>
      </c>
      <c r="AZ138">
        <v>745</v>
      </c>
      <c r="BA138">
        <v>600</v>
      </c>
      <c r="BB138">
        <v>533</v>
      </c>
      <c r="BC138">
        <v>650</v>
      </c>
      <c r="BD138">
        <v>555</v>
      </c>
      <c r="BE138">
        <v>645</v>
      </c>
      <c r="BF138">
        <v>650</v>
      </c>
    </row>
    <row r="139" spans="2:58" x14ac:dyDescent="0.25">
      <c r="B139" s="2">
        <v>45444</v>
      </c>
      <c r="C139" s="5">
        <v>680</v>
      </c>
      <c r="D139" s="6">
        <v>1200</v>
      </c>
      <c r="G139">
        <v>1200</v>
      </c>
      <c r="J139">
        <v>1558</v>
      </c>
      <c r="K139">
        <v>1300</v>
      </c>
      <c r="L139">
        <v>1250</v>
      </c>
      <c r="M139">
        <v>1250</v>
      </c>
      <c r="N139">
        <v>1650</v>
      </c>
      <c r="O139">
        <v>1660</v>
      </c>
      <c r="P139" s="6">
        <v>800</v>
      </c>
      <c r="S139">
        <v>900</v>
      </c>
      <c r="U139">
        <v>1000</v>
      </c>
      <c r="V139">
        <v>1230</v>
      </c>
      <c r="Y139">
        <v>1050</v>
      </c>
      <c r="AA139">
        <v>730</v>
      </c>
      <c r="AC139">
        <v>850</v>
      </c>
      <c r="AD139">
        <v>890</v>
      </c>
      <c r="AE139">
        <v>1200</v>
      </c>
      <c r="AF139" s="6">
        <v>625</v>
      </c>
      <c r="AG139">
        <v>775</v>
      </c>
      <c r="AH139">
        <v>600</v>
      </c>
      <c r="AI139">
        <v>600</v>
      </c>
      <c r="AJ139">
        <v>650</v>
      </c>
      <c r="AK139">
        <v>580</v>
      </c>
      <c r="AL139">
        <v>650</v>
      </c>
      <c r="AN139">
        <v>595</v>
      </c>
      <c r="AP139">
        <v>850</v>
      </c>
      <c r="AQ139">
        <v>650</v>
      </c>
      <c r="AR139">
        <v>600</v>
      </c>
      <c r="AT139">
        <v>895</v>
      </c>
      <c r="AV139">
        <v>580</v>
      </c>
      <c r="AY139">
        <v>520</v>
      </c>
      <c r="AZ139">
        <v>703</v>
      </c>
      <c r="BA139">
        <v>600</v>
      </c>
      <c r="BB139">
        <v>570</v>
      </c>
      <c r="BC139">
        <v>650</v>
      </c>
      <c r="BD139">
        <v>580</v>
      </c>
      <c r="BE139">
        <v>650</v>
      </c>
      <c r="BF139">
        <v>675</v>
      </c>
    </row>
    <row r="140" spans="2:58" x14ac:dyDescent="0.25">
      <c r="B140" s="1">
        <v>45536</v>
      </c>
      <c r="C140" s="5">
        <v>700</v>
      </c>
      <c r="D140" s="6">
        <v>1200</v>
      </c>
      <c r="G140">
        <v>1000</v>
      </c>
      <c r="J140">
        <v>1675</v>
      </c>
      <c r="K140">
        <v>1300</v>
      </c>
      <c r="L140">
        <v>1250</v>
      </c>
      <c r="M140">
        <v>1200</v>
      </c>
      <c r="N140">
        <v>1550</v>
      </c>
      <c r="O140">
        <v>1600</v>
      </c>
      <c r="P140" s="6">
        <v>800</v>
      </c>
      <c r="S140">
        <v>850</v>
      </c>
      <c r="U140">
        <v>960</v>
      </c>
      <c r="V140">
        <v>1230</v>
      </c>
      <c r="Y140">
        <v>1000</v>
      </c>
      <c r="AA140">
        <v>730</v>
      </c>
      <c r="AC140">
        <v>850</v>
      </c>
      <c r="AD140">
        <v>820</v>
      </c>
      <c r="AE140">
        <v>1190</v>
      </c>
      <c r="AF140" s="6">
        <v>650</v>
      </c>
      <c r="AG140">
        <v>780</v>
      </c>
      <c r="AH140">
        <v>630</v>
      </c>
      <c r="AI140">
        <v>620</v>
      </c>
      <c r="AJ140">
        <v>660</v>
      </c>
      <c r="AK140">
        <v>600</v>
      </c>
      <c r="AL140">
        <v>650</v>
      </c>
      <c r="AN140">
        <v>620</v>
      </c>
      <c r="AP140">
        <v>815</v>
      </c>
      <c r="AQ140">
        <v>650</v>
      </c>
      <c r="AR140">
        <v>600</v>
      </c>
      <c r="AT140">
        <v>850</v>
      </c>
      <c r="AV140">
        <v>580</v>
      </c>
      <c r="AY140">
        <v>520</v>
      </c>
      <c r="AZ140">
        <v>705</v>
      </c>
      <c r="BA140">
        <v>620</v>
      </c>
      <c r="BB140">
        <v>580</v>
      </c>
      <c r="BC140">
        <v>650</v>
      </c>
      <c r="BD140">
        <v>560</v>
      </c>
      <c r="BE140">
        <v>650</v>
      </c>
      <c r="BF140">
        <v>675</v>
      </c>
    </row>
    <row r="141" spans="2:58" x14ac:dyDescent="0.25">
      <c r="B141" s="2">
        <v>45627</v>
      </c>
      <c r="C141" s="5">
        <v>700</v>
      </c>
      <c r="D141" s="6">
        <v>1250</v>
      </c>
      <c r="G141">
        <v>1100</v>
      </c>
      <c r="J141">
        <v>1350</v>
      </c>
      <c r="K141">
        <v>1300</v>
      </c>
      <c r="L141">
        <v>1350</v>
      </c>
      <c r="M141">
        <v>1225</v>
      </c>
      <c r="N141">
        <v>1600</v>
      </c>
      <c r="O141">
        <v>1825</v>
      </c>
      <c r="P141" s="6">
        <v>795</v>
      </c>
      <c r="S141">
        <v>850</v>
      </c>
      <c r="U141">
        <v>990</v>
      </c>
      <c r="V141">
        <v>1100</v>
      </c>
      <c r="Y141">
        <v>1095</v>
      </c>
      <c r="AA141">
        <v>710</v>
      </c>
      <c r="AC141">
        <v>818</v>
      </c>
      <c r="AD141">
        <v>880</v>
      </c>
      <c r="AE141">
        <v>1100</v>
      </c>
      <c r="AF141" s="6">
        <v>650</v>
      </c>
      <c r="AG141">
        <v>800</v>
      </c>
      <c r="AH141">
        <v>630</v>
      </c>
      <c r="AI141">
        <v>630</v>
      </c>
      <c r="AJ141">
        <v>650</v>
      </c>
      <c r="AK141">
        <v>600</v>
      </c>
      <c r="AL141">
        <v>650</v>
      </c>
      <c r="AN141">
        <v>630</v>
      </c>
      <c r="AP141">
        <v>820</v>
      </c>
      <c r="AQ141">
        <v>680</v>
      </c>
      <c r="AR141">
        <v>600</v>
      </c>
      <c r="AT141">
        <v>873</v>
      </c>
      <c r="AV141">
        <v>570</v>
      </c>
      <c r="AY141">
        <v>550</v>
      </c>
      <c r="AZ141">
        <v>780</v>
      </c>
      <c r="BA141">
        <v>630</v>
      </c>
      <c r="BB141">
        <v>580</v>
      </c>
      <c r="BC141">
        <v>700</v>
      </c>
      <c r="BD141">
        <v>580</v>
      </c>
      <c r="BE141">
        <v>665</v>
      </c>
      <c r="BF141">
        <v>680</v>
      </c>
    </row>
    <row r="142" spans="2:58" x14ac:dyDescent="0.25">
      <c r="B142" s="2">
        <v>45717</v>
      </c>
      <c r="C142" s="5">
        <v>700</v>
      </c>
      <c r="D142" s="6">
        <v>1250</v>
      </c>
      <c r="G142">
        <v>1000</v>
      </c>
      <c r="J142">
        <v>1975</v>
      </c>
      <c r="K142">
        <v>1300</v>
      </c>
      <c r="L142">
        <v>1300</v>
      </c>
      <c r="M142">
        <v>1300</v>
      </c>
      <c r="N142">
        <v>1560</v>
      </c>
      <c r="O142">
        <v>1700</v>
      </c>
      <c r="P142" s="6">
        <v>800</v>
      </c>
      <c r="S142">
        <v>850</v>
      </c>
      <c r="U142">
        <v>970</v>
      </c>
      <c r="V142">
        <v>1060</v>
      </c>
      <c r="Y142">
        <v>1000</v>
      </c>
      <c r="AA142">
        <v>720</v>
      </c>
      <c r="AC142">
        <v>850</v>
      </c>
      <c r="AD142">
        <v>890</v>
      </c>
      <c r="AE142">
        <v>1200</v>
      </c>
      <c r="AF142" s="6">
        <v>650</v>
      </c>
      <c r="AG142">
        <v>780</v>
      </c>
      <c r="AH142">
        <v>630</v>
      </c>
      <c r="AI142">
        <v>630</v>
      </c>
      <c r="AJ142">
        <v>660</v>
      </c>
      <c r="AK142">
        <v>600</v>
      </c>
      <c r="AL142">
        <v>650</v>
      </c>
      <c r="AN142">
        <v>630</v>
      </c>
      <c r="AP142">
        <v>820</v>
      </c>
      <c r="AQ142">
        <v>680</v>
      </c>
      <c r="AR142">
        <v>600</v>
      </c>
      <c r="AT142">
        <v>898</v>
      </c>
      <c r="AV142">
        <v>575</v>
      </c>
      <c r="AY142">
        <v>550</v>
      </c>
      <c r="AZ142">
        <v>700</v>
      </c>
      <c r="BA142">
        <v>650</v>
      </c>
      <c r="BB142">
        <v>600</v>
      </c>
      <c r="BC142">
        <v>700</v>
      </c>
      <c r="BD142">
        <v>590</v>
      </c>
      <c r="BE142">
        <v>670</v>
      </c>
      <c r="BF142">
        <v>690</v>
      </c>
    </row>
    <row r="143" spans="2:58" x14ac:dyDescent="0.25">
      <c r="B143" s="2">
        <v>45809</v>
      </c>
      <c r="C143" s="5">
        <v>700</v>
      </c>
      <c r="D143" s="6">
        <v>1270</v>
      </c>
      <c r="G143">
        <v>1245</v>
      </c>
      <c r="J143">
        <v>1820</v>
      </c>
      <c r="K143">
        <v>1400</v>
      </c>
      <c r="L143">
        <v>1280</v>
      </c>
      <c r="M143">
        <v>1275</v>
      </c>
      <c r="N143">
        <v>1600</v>
      </c>
      <c r="O143">
        <v>1600</v>
      </c>
      <c r="P143" s="6">
        <v>800</v>
      </c>
      <c r="S143">
        <v>950</v>
      </c>
      <c r="U143">
        <v>1025</v>
      </c>
      <c r="V143">
        <v>1050</v>
      </c>
      <c r="Y143">
        <v>1150</v>
      </c>
      <c r="AA143">
        <v>730</v>
      </c>
      <c r="AC143">
        <v>870</v>
      </c>
      <c r="AD143">
        <v>850</v>
      </c>
      <c r="AE143">
        <v>1230</v>
      </c>
      <c r="AF143" s="6">
        <v>650</v>
      </c>
      <c r="AG143">
        <v>800</v>
      </c>
      <c r="AH143">
        <v>630</v>
      </c>
      <c r="AI143">
        <v>640</v>
      </c>
      <c r="AJ143">
        <v>680</v>
      </c>
      <c r="AK143">
        <v>620</v>
      </c>
      <c r="AL143">
        <v>680</v>
      </c>
      <c r="AN143">
        <v>650</v>
      </c>
      <c r="AP143">
        <v>830</v>
      </c>
      <c r="AQ143">
        <v>680</v>
      </c>
      <c r="AR143">
        <v>620</v>
      </c>
      <c r="AT143">
        <v>950</v>
      </c>
      <c r="AV143">
        <v>580</v>
      </c>
      <c r="AY143">
        <v>550</v>
      </c>
      <c r="AZ143">
        <v>750</v>
      </c>
      <c r="BA143">
        <v>650</v>
      </c>
      <c r="BB143">
        <v>600</v>
      </c>
      <c r="BC143">
        <v>700</v>
      </c>
      <c r="BD143">
        <v>590</v>
      </c>
      <c r="BE143">
        <v>690</v>
      </c>
      <c r="BF143">
        <v>690</v>
      </c>
    </row>
    <row r="144" spans="2:58" x14ac:dyDescent="0.25">
      <c r="B144" s="1">
        <v>45901</v>
      </c>
      <c r="C144" s="5">
        <v>700</v>
      </c>
      <c r="D144" s="6">
        <v>1250</v>
      </c>
      <c r="G144">
        <v>1250</v>
      </c>
      <c r="J144">
        <v>1750</v>
      </c>
      <c r="K144">
        <v>1308</v>
      </c>
      <c r="L144">
        <v>1300</v>
      </c>
      <c r="M144">
        <v>1200</v>
      </c>
      <c r="N144">
        <v>1750</v>
      </c>
      <c r="O144">
        <v>1700</v>
      </c>
      <c r="P144" s="6">
        <v>800</v>
      </c>
      <c r="S144">
        <v>950</v>
      </c>
      <c r="U144">
        <v>1063</v>
      </c>
      <c r="V144">
        <v>1090</v>
      </c>
      <c r="Y144">
        <v>1100</v>
      </c>
      <c r="AA144">
        <v>750</v>
      </c>
      <c r="AC144">
        <v>888</v>
      </c>
      <c r="AD144">
        <v>900</v>
      </c>
      <c r="AE144">
        <v>1275</v>
      </c>
      <c r="AF144" s="6">
        <v>650</v>
      </c>
      <c r="AG144">
        <v>795</v>
      </c>
      <c r="AH144">
        <v>650</v>
      </c>
      <c r="AI144">
        <v>640</v>
      </c>
      <c r="AJ144">
        <v>680</v>
      </c>
      <c r="AK144">
        <v>620</v>
      </c>
      <c r="AL144">
        <v>650</v>
      </c>
      <c r="AN144">
        <v>650</v>
      </c>
      <c r="AP144">
        <v>825</v>
      </c>
      <c r="AQ144">
        <v>693</v>
      </c>
      <c r="AR144">
        <v>625</v>
      </c>
      <c r="AT144">
        <v>920</v>
      </c>
      <c r="AV144">
        <v>600</v>
      </c>
      <c r="AY144">
        <v>550</v>
      </c>
      <c r="AZ144">
        <v>760</v>
      </c>
      <c r="BA144">
        <v>650</v>
      </c>
      <c r="BB144">
        <v>600</v>
      </c>
      <c r="BC144">
        <v>715</v>
      </c>
      <c r="BD144">
        <v>605</v>
      </c>
      <c r="BE144">
        <v>690</v>
      </c>
      <c r="BF144">
        <v>700</v>
      </c>
    </row>
    <row r="145" spans="2:58" x14ac:dyDescent="0.25">
      <c r="B145" s="2">
        <v>45992</v>
      </c>
      <c r="C145" s="5">
        <v>720</v>
      </c>
      <c r="D145" s="6">
        <v>1300</v>
      </c>
      <c r="G145">
        <v>1100</v>
      </c>
      <c r="J145">
        <v>1990</v>
      </c>
      <c r="K145">
        <v>1380</v>
      </c>
      <c r="L145">
        <v>1450</v>
      </c>
      <c r="M145">
        <v>1350</v>
      </c>
      <c r="N145">
        <v>1800</v>
      </c>
      <c r="O145">
        <v>1700</v>
      </c>
      <c r="P145" s="6">
        <v>820</v>
      </c>
      <c r="S145">
        <v>950</v>
      </c>
      <c r="U145">
        <v>1100</v>
      </c>
      <c r="V145">
        <v>1090</v>
      </c>
      <c r="Y145">
        <v>1160</v>
      </c>
      <c r="AA145">
        <v>750</v>
      </c>
      <c r="AC145">
        <v>900</v>
      </c>
      <c r="AD145">
        <v>880</v>
      </c>
      <c r="AE145">
        <v>1250</v>
      </c>
      <c r="AF145" s="6">
        <v>670</v>
      </c>
      <c r="AG145">
        <v>823</v>
      </c>
      <c r="AH145">
        <v>640</v>
      </c>
      <c r="AI145">
        <v>650</v>
      </c>
      <c r="AJ145">
        <v>695</v>
      </c>
      <c r="AK145">
        <v>630</v>
      </c>
      <c r="AL145">
        <v>680</v>
      </c>
      <c r="AN145">
        <v>650</v>
      </c>
      <c r="AP145">
        <v>880</v>
      </c>
      <c r="AQ145">
        <v>700</v>
      </c>
      <c r="AR145">
        <v>648</v>
      </c>
      <c r="AT145">
        <v>950</v>
      </c>
      <c r="AV145">
        <v>620</v>
      </c>
      <c r="AY145">
        <v>570</v>
      </c>
      <c r="AZ145">
        <v>800</v>
      </c>
      <c r="BA145">
        <v>690</v>
      </c>
      <c r="BB145">
        <v>620</v>
      </c>
      <c r="BC145">
        <v>730</v>
      </c>
      <c r="BD145">
        <v>610</v>
      </c>
      <c r="BE145">
        <v>700</v>
      </c>
      <c r="BF145">
        <v>705</v>
      </c>
    </row>
  </sheetData>
  <autoFilter ref="A1:BH111" xr:uid="{57ABFE4F-8ED8-46E2-A3E7-D09420486E88}"/>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E5FF-33B3-45DE-90C0-718532EAC6FD}">
  <sheetPr>
    <tabColor theme="7"/>
  </sheetPr>
  <dimension ref="A1"/>
  <sheetViews>
    <sheetView workbookViewId="0">
      <selection activeCell="W36" sqref="W36"/>
    </sheetView>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C0EE6-7B05-44DA-868E-8BA12C1D6F68}">
  <sheetPr>
    <tabColor theme="7"/>
  </sheetPr>
  <dimension ref="A1:BI106"/>
  <sheetViews>
    <sheetView workbookViewId="0">
      <pane xSplit="1" ySplit="10" topLeftCell="B11" activePane="bottomRight" state="frozen"/>
      <selection pane="topRight" activeCell="B1" sqref="B1"/>
      <selection pane="bottomLeft" activeCell="A11" sqref="A11"/>
      <selection pane="bottomRight" activeCell="H15" sqref="H15"/>
    </sheetView>
  </sheetViews>
  <sheetFormatPr defaultColWidth="14.7109375" defaultRowHeight="11.25" x14ac:dyDescent="0.2"/>
  <cols>
    <col min="1" max="16384" width="14.7109375" style="43"/>
  </cols>
  <sheetData>
    <row r="1" spans="1:61" s="39" customFormat="1" ht="99.95" customHeight="1" x14ac:dyDescent="0.2">
      <c r="B1" s="40" t="s">
        <v>565</v>
      </c>
      <c r="C1" s="40" t="s">
        <v>566</v>
      </c>
      <c r="D1" s="40" t="s">
        <v>567</v>
      </c>
      <c r="E1" s="40" t="s">
        <v>568</v>
      </c>
      <c r="F1" s="40" t="s">
        <v>569</v>
      </c>
      <c r="G1" s="40" t="s">
        <v>570</v>
      </c>
      <c r="H1" s="40" t="s">
        <v>571</v>
      </c>
      <c r="I1" s="40" t="s">
        <v>572</v>
      </c>
      <c r="J1" s="40" t="s">
        <v>573</v>
      </c>
      <c r="K1" s="40" t="s">
        <v>574</v>
      </c>
      <c r="L1" s="40" t="s">
        <v>575</v>
      </c>
      <c r="M1" s="40" t="s">
        <v>576</v>
      </c>
      <c r="N1" s="40" t="s">
        <v>577</v>
      </c>
      <c r="O1" s="40" t="s">
        <v>578</v>
      </c>
      <c r="P1" s="40" t="s">
        <v>579</v>
      </c>
      <c r="Q1" s="40" t="s">
        <v>580</v>
      </c>
      <c r="R1" s="40" t="s">
        <v>581</v>
      </c>
      <c r="S1" s="40" t="s">
        <v>582</v>
      </c>
      <c r="T1" s="40" t="s">
        <v>583</v>
      </c>
      <c r="U1" s="40" t="s">
        <v>584</v>
      </c>
      <c r="V1" s="40" t="s">
        <v>585</v>
      </c>
      <c r="W1" s="40" t="s">
        <v>586</v>
      </c>
      <c r="X1" s="40" t="s">
        <v>587</v>
      </c>
      <c r="Y1" s="40" t="s">
        <v>588</v>
      </c>
      <c r="Z1" s="40" t="s">
        <v>589</v>
      </c>
      <c r="AA1" s="40" t="s">
        <v>590</v>
      </c>
      <c r="AB1" s="40" t="s">
        <v>591</v>
      </c>
      <c r="AC1" s="40" t="s">
        <v>592</v>
      </c>
      <c r="AD1" s="40" t="s">
        <v>593</v>
      </c>
      <c r="AE1" s="40" t="s">
        <v>594</v>
      </c>
      <c r="AF1" s="40" t="s">
        <v>595</v>
      </c>
      <c r="AG1" s="40" t="s">
        <v>596</v>
      </c>
      <c r="AH1" s="40" t="s">
        <v>597</v>
      </c>
      <c r="AI1" s="40" t="s">
        <v>598</v>
      </c>
      <c r="AJ1" s="40" t="s">
        <v>599</v>
      </c>
      <c r="AK1" s="40" t="s">
        <v>600</v>
      </c>
      <c r="AL1" s="40" t="s">
        <v>601</v>
      </c>
      <c r="AM1" s="40" t="s">
        <v>602</v>
      </c>
      <c r="AN1" s="40" t="s">
        <v>603</v>
      </c>
      <c r="AO1" s="40" t="s">
        <v>604</v>
      </c>
      <c r="AP1" s="40" t="s">
        <v>605</v>
      </c>
      <c r="AQ1" s="40" t="s">
        <v>606</v>
      </c>
      <c r="AR1" s="40" t="s">
        <v>607</v>
      </c>
      <c r="AS1" s="40" t="s">
        <v>608</v>
      </c>
      <c r="AT1" s="40" t="s">
        <v>609</v>
      </c>
      <c r="AU1" s="40" t="s">
        <v>610</v>
      </c>
      <c r="AV1" s="40" t="s">
        <v>611</v>
      </c>
      <c r="AW1" s="40" t="s">
        <v>612</v>
      </c>
      <c r="AX1" s="40" t="s">
        <v>613</v>
      </c>
      <c r="AY1" s="40" t="s">
        <v>614</v>
      </c>
      <c r="AZ1" s="40" t="s">
        <v>615</v>
      </c>
      <c r="BA1" s="40" t="s">
        <v>616</v>
      </c>
      <c r="BB1" s="40" t="s">
        <v>617</v>
      </c>
      <c r="BC1" s="40" t="s">
        <v>618</v>
      </c>
      <c r="BD1" s="40" t="s">
        <v>619</v>
      </c>
      <c r="BE1" s="40" t="s">
        <v>620</v>
      </c>
      <c r="BF1" s="40" t="s">
        <v>621</v>
      </c>
      <c r="BG1" s="40" t="s">
        <v>622</v>
      </c>
      <c r="BH1" s="40" t="s">
        <v>623</v>
      </c>
      <c r="BI1" s="40" t="s">
        <v>624</v>
      </c>
    </row>
    <row r="2" spans="1:61" x14ac:dyDescent="0.2">
      <c r="A2" s="41" t="s">
        <v>625</v>
      </c>
      <c r="B2" s="42" t="s">
        <v>626</v>
      </c>
      <c r="C2" s="42" t="s">
        <v>626</v>
      </c>
      <c r="D2" s="42" t="s">
        <v>626</v>
      </c>
      <c r="E2" s="42" t="s">
        <v>626</v>
      </c>
      <c r="F2" s="42" t="s">
        <v>626</v>
      </c>
      <c r="G2" s="42" t="s">
        <v>626</v>
      </c>
      <c r="H2" s="42" t="s">
        <v>626</v>
      </c>
      <c r="I2" s="42" t="s">
        <v>626</v>
      </c>
      <c r="J2" s="42" t="s">
        <v>626</v>
      </c>
      <c r="K2" s="42" t="s">
        <v>626</v>
      </c>
      <c r="L2" s="42" t="s">
        <v>626</v>
      </c>
      <c r="M2" s="42" t="s">
        <v>626</v>
      </c>
      <c r="N2" s="42" t="s">
        <v>626</v>
      </c>
      <c r="O2" s="42" t="s">
        <v>626</v>
      </c>
      <c r="P2" s="42" t="s">
        <v>626</v>
      </c>
      <c r="Q2" s="42" t="s">
        <v>626</v>
      </c>
      <c r="R2" s="42" t="s">
        <v>626</v>
      </c>
      <c r="S2" s="42" t="s">
        <v>626</v>
      </c>
      <c r="T2" s="42" t="s">
        <v>626</v>
      </c>
      <c r="U2" s="42" t="s">
        <v>626</v>
      </c>
      <c r="V2" s="42" t="s">
        <v>626</v>
      </c>
      <c r="W2" s="42" t="s">
        <v>626</v>
      </c>
      <c r="X2" s="42" t="s">
        <v>626</v>
      </c>
      <c r="Y2" s="42" t="s">
        <v>626</v>
      </c>
      <c r="Z2" s="42" t="s">
        <v>626</v>
      </c>
      <c r="AA2" s="42" t="s">
        <v>626</v>
      </c>
      <c r="AB2" s="42" t="s">
        <v>626</v>
      </c>
      <c r="AC2" s="42" t="s">
        <v>626</v>
      </c>
      <c r="AD2" s="42" t="s">
        <v>626</v>
      </c>
      <c r="AE2" s="42" t="s">
        <v>626</v>
      </c>
      <c r="AF2" s="42" t="s">
        <v>627</v>
      </c>
      <c r="AG2" s="42" t="s">
        <v>627</v>
      </c>
      <c r="AH2" s="42" t="s">
        <v>627</v>
      </c>
      <c r="AI2" s="42" t="s">
        <v>627</v>
      </c>
      <c r="AJ2" s="42" t="s">
        <v>627</v>
      </c>
      <c r="AK2" s="42" t="s">
        <v>627</v>
      </c>
      <c r="AL2" s="42" t="s">
        <v>627</v>
      </c>
      <c r="AM2" s="42" t="s">
        <v>627</v>
      </c>
      <c r="AN2" s="42" t="s">
        <v>627</v>
      </c>
      <c r="AO2" s="42" t="s">
        <v>627</v>
      </c>
      <c r="AP2" s="42" t="s">
        <v>627</v>
      </c>
      <c r="AQ2" s="42" t="s">
        <v>627</v>
      </c>
      <c r="AR2" s="42" t="s">
        <v>627</v>
      </c>
      <c r="AS2" s="42" t="s">
        <v>627</v>
      </c>
      <c r="AT2" s="42" t="s">
        <v>627</v>
      </c>
      <c r="AU2" s="42" t="s">
        <v>627</v>
      </c>
      <c r="AV2" s="42" t="s">
        <v>627</v>
      </c>
      <c r="AW2" s="42" t="s">
        <v>627</v>
      </c>
      <c r="AX2" s="42" t="s">
        <v>627</v>
      </c>
      <c r="AY2" s="42" t="s">
        <v>627</v>
      </c>
      <c r="AZ2" s="42" t="s">
        <v>627</v>
      </c>
      <c r="BA2" s="42" t="s">
        <v>627</v>
      </c>
      <c r="BB2" s="42" t="s">
        <v>627</v>
      </c>
      <c r="BC2" s="42" t="s">
        <v>627</v>
      </c>
      <c r="BD2" s="42" t="s">
        <v>627</v>
      </c>
      <c r="BE2" s="42" t="s">
        <v>627</v>
      </c>
      <c r="BF2" s="42" t="s">
        <v>627</v>
      </c>
      <c r="BG2" s="42" t="s">
        <v>627</v>
      </c>
      <c r="BH2" s="42" t="s">
        <v>627</v>
      </c>
      <c r="BI2" s="42" t="s">
        <v>627</v>
      </c>
    </row>
    <row r="3" spans="1:61" x14ac:dyDescent="0.2">
      <c r="A3" s="41" t="s">
        <v>628</v>
      </c>
      <c r="B3" s="42" t="s">
        <v>100</v>
      </c>
      <c r="C3" s="42" t="s">
        <v>100</v>
      </c>
      <c r="D3" s="42" t="s">
        <v>100</v>
      </c>
      <c r="E3" s="42" t="s">
        <v>100</v>
      </c>
      <c r="F3" s="42" t="s">
        <v>100</v>
      </c>
      <c r="G3" s="42" t="s">
        <v>100</v>
      </c>
      <c r="H3" s="42" t="s">
        <v>100</v>
      </c>
      <c r="I3" s="42" t="s">
        <v>100</v>
      </c>
      <c r="J3" s="42" t="s">
        <v>100</v>
      </c>
      <c r="K3" s="42" t="s">
        <v>100</v>
      </c>
      <c r="L3" s="42" t="s">
        <v>100</v>
      </c>
      <c r="M3" s="42" t="s">
        <v>100</v>
      </c>
      <c r="N3" s="42" t="s">
        <v>100</v>
      </c>
      <c r="O3" s="42" t="s">
        <v>100</v>
      </c>
      <c r="P3" s="42" t="s">
        <v>100</v>
      </c>
      <c r="Q3" s="42" t="s">
        <v>100</v>
      </c>
      <c r="R3" s="42" t="s">
        <v>100</v>
      </c>
      <c r="S3" s="42" t="s">
        <v>100</v>
      </c>
      <c r="T3" s="42" t="s">
        <v>100</v>
      </c>
      <c r="U3" s="42" t="s">
        <v>100</v>
      </c>
      <c r="V3" s="42" t="s">
        <v>100</v>
      </c>
      <c r="W3" s="42" t="s">
        <v>100</v>
      </c>
      <c r="X3" s="42" t="s">
        <v>100</v>
      </c>
      <c r="Y3" s="42" t="s">
        <v>100</v>
      </c>
      <c r="Z3" s="42" t="s">
        <v>100</v>
      </c>
      <c r="AA3" s="42" t="s">
        <v>100</v>
      </c>
      <c r="AB3" s="42" t="s">
        <v>100</v>
      </c>
      <c r="AC3" s="42" t="s">
        <v>100</v>
      </c>
      <c r="AD3" s="42" t="s">
        <v>100</v>
      </c>
      <c r="AE3" s="42" t="s">
        <v>100</v>
      </c>
      <c r="AF3" s="42" t="s">
        <v>100</v>
      </c>
      <c r="AG3" s="42" t="s">
        <v>100</v>
      </c>
      <c r="AH3" s="42" t="s">
        <v>100</v>
      </c>
      <c r="AI3" s="42" t="s">
        <v>100</v>
      </c>
      <c r="AJ3" s="42" t="s">
        <v>100</v>
      </c>
      <c r="AK3" s="42" t="s">
        <v>100</v>
      </c>
      <c r="AL3" s="42" t="s">
        <v>100</v>
      </c>
      <c r="AM3" s="42" t="s">
        <v>100</v>
      </c>
      <c r="AN3" s="42" t="s">
        <v>100</v>
      </c>
      <c r="AO3" s="42" t="s">
        <v>100</v>
      </c>
      <c r="AP3" s="42" t="s">
        <v>100</v>
      </c>
      <c r="AQ3" s="42" t="s">
        <v>100</v>
      </c>
      <c r="AR3" s="42" t="s">
        <v>100</v>
      </c>
      <c r="AS3" s="42" t="s">
        <v>100</v>
      </c>
      <c r="AT3" s="42" t="s">
        <v>100</v>
      </c>
      <c r="AU3" s="42" t="s">
        <v>100</v>
      </c>
      <c r="AV3" s="42" t="s">
        <v>100</v>
      </c>
      <c r="AW3" s="42" t="s">
        <v>100</v>
      </c>
      <c r="AX3" s="42" t="s">
        <v>100</v>
      </c>
      <c r="AY3" s="42" t="s">
        <v>100</v>
      </c>
      <c r="AZ3" s="42" t="s">
        <v>100</v>
      </c>
      <c r="BA3" s="42" t="s">
        <v>100</v>
      </c>
      <c r="BB3" s="42" t="s">
        <v>100</v>
      </c>
      <c r="BC3" s="42" t="s">
        <v>100</v>
      </c>
      <c r="BD3" s="42" t="s">
        <v>100</v>
      </c>
      <c r="BE3" s="42" t="s">
        <v>100</v>
      </c>
      <c r="BF3" s="42" t="s">
        <v>100</v>
      </c>
      <c r="BG3" s="42" t="s">
        <v>100</v>
      </c>
      <c r="BH3" s="42" t="s">
        <v>100</v>
      </c>
      <c r="BI3" s="42" t="s">
        <v>100</v>
      </c>
    </row>
    <row r="4" spans="1:61" x14ac:dyDescent="0.2">
      <c r="A4" s="41" t="s">
        <v>629</v>
      </c>
      <c r="B4" s="42" t="s">
        <v>630</v>
      </c>
      <c r="C4" s="42" t="s">
        <v>630</v>
      </c>
      <c r="D4" s="42" t="s">
        <v>630</v>
      </c>
      <c r="E4" s="42" t="s">
        <v>630</v>
      </c>
      <c r="F4" s="42" t="s">
        <v>630</v>
      </c>
      <c r="G4" s="42" t="s">
        <v>630</v>
      </c>
      <c r="H4" s="42" t="s">
        <v>630</v>
      </c>
      <c r="I4" s="42" t="s">
        <v>630</v>
      </c>
      <c r="J4" s="42" t="s">
        <v>630</v>
      </c>
      <c r="K4" s="42" t="s">
        <v>630</v>
      </c>
      <c r="L4" s="42" t="s">
        <v>630</v>
      </c>
      <c r="M4" s="42" t="s">
        <v>630</v>
      </c>
      <c r="N4" s="42" t="s">
        <v>630</v>
      </c>
      <c r="O4" s="42" t="s">
        <v>630</v>
      </c>
      <c r="P4" s="42" t="s">
        <v>630</v>
      </c>
      <c r="Q4" s="42" t="s">
        <v>630</v>
      </c>
      <c r="R4" s="42" t="s">
        <v>630</v>
      </c>
      <c r="S4" s="42" t="s">
        <v>630</v>
      </c>
      <c r="T4" s="42" t="s">
        <v>630</v>
      </c>
      <c r="U4" s="42" t="s">
        <v>630</v>
      </c>
      <c r="V4" s="42" t="s">
        <v>630</v>
      </c>
      <c r="W4" s="42" t="s">
        <v>630</v>
      </c>
      <c r="X4" s="42" t="s">
        <v>630</v>
      </c>
      <c r="Y4" s="42" t="s">
        <v>630</v>
      </c>
      <c r="Z4" s="42" t="s">
        <v>630</v>
      </c>
      <c r="AA4" s="42" t="s">
        <v>630</v>
      </c>
      <c r="AB4" s="42" t="s">
        <v>630</v>
      </c>
      <c r="AC4" s="42" t="s">
        <v>630</v>
      </c>
      <c r="AD4" s="42" t="s">
        <v>630</v>
      </c>
      <c r="AE4" s="42" t="s">
        <v>630</v>
      </c>
      <c r="AF4" s="42" t="s">
        <v>630</v>
      </c>
      <c r="AG4" s="42" t="s">
        <v>630</v>
      </c>
      <c r="AH4" s="42" t="s">
        <v>630</v>
      </c>
      <c r="AI4" s="42" t="s">
        <v>630</v>
      </c>
      <c r="AJ4" s="42" t="s">
        <v>630</v>
      </c>
      <c r="AK4" s="42" t="s">
        <v>630</v>
      </c>
      <c r="AL4" s="42" t="s">
        <v>630</v>
      </c>
      <c r="AM4" s="42" t="s">
        <v>630</v>
      </c>
      <c r="AN4" s="42" t="s">
        <v>630</v>
      </c>
      <c r="AO4" s="42" t="s">
        <v>630</v>
      </c>
      <c r="AP4" s="42" t="s">
        <v>630</v>
      </c>
      <c r="AQ4" s="42" t="s">
        <v>630</v>
      </c>
      <c r="AR4" s="42" t="s">
        <v>630</v>
      </c>
      <c r="AS4" s="42" t="s">
        <v>630</v>
      </c>
      <c r="AT4" s="42" t="s">
        <v>630</v>
      </c>
      <c r="AU4" s="42" t="s">
        <v>630</v>
      </c>
      <c r="AV4" s="42" t="s">
        <v>630</v>
      </c>
      <c r="AW4" s="42" t="s">
        <v>630</v>
      </c>
      <c r="AX4" s="42" t="s">
        <v>630</v>
      </c>
      <c r="AY4" s="42" t="s">
        <v>630</v>
      </c>
      <c r="AZ4" s="42" t="s">
        <v>630</v>
      </c>
      <c r="BA4" s="42" t="s">
        <v>630</v>
      </c>
      <c r="BB4" s="42" t="s">
        <v>630</v>
      </c>
      <c r="BC4" s="42" t="s">
        <v>630</v>
      </c>
      <c r="BD4" s="42" t="s">
        <v>630</v>
      </c>
      <c r="BE4" s="42" t="s">
        <v>630</v>
      </c>
      <c r="BF4" s="42" t="s">
        <v>630</v>
      </c>
      <c r="BG4" s="42" t="s">
        <v>630</v>
      </c>
      <c r="BH4" s="42" t="s">
        <v>630</v>
      </c>
      <c r="BI4" s="42" t="s">
        <v>630</v>
      </c>
    </row>
    <row r="5" spans="1:61" x14ac:dyDescent="0.2">
      <c r="A5" s="41" t="s">
        <v>97</v>
      </c>
      <c r="B5" s="42" t="s">
        <v>631</v>
      </c>
      <c r="C5" s="42" t="s">
        <v>631</v>
      </c>
      <c r="D5" s="42" t="s">
        <v>631</v>
      </c>
      <c r="E5" s="42" t="s">
        <v>631</v>
      </c>
      <c r="F5" s="42" t="s">
        <v>631</v>
      </c>
      <c r="G5" s="42" t="s">
        <v>631</v>
      </c>
      <c r="H5" s="42" t="s">
        <v>631</v>
      </c>
      <c r="I5" s="42" t="s">
        <v>631</v>
      </c>
      <c r="J5" s="42" t="s">
        <v>631</v>
      </c>
      <c r="K5" s="42" t="s">
        <v>631</v>
      </c>
      <c r="L5" s="42" t="s">
        <v>631</v>
      </c>
      <c r="M5" s="42" t="s">
        <v>631</v>
      </c>
      <c r="N5" s="42" t="s">
        <v>631</v>
      </c>
      <c r="O5" s="42" t="s">
        <v>631</v>
      </c>
      <c r="P5" s="42" t="s">
        <v>631</v>
      </c>
      <c r="Q5" s="42" t="s">
        <v>631</v>
      </c>
      <c r="R5" s="42" t="s">
        <v>631</v>
      </c>
      <c r="S5" s="42" t="s">
        <v>631</v>
      </c>
      <c r="T5" s="42" t="s">
        <v>631</v>
      </c>
      <c r="U5" s="42" t="s">
        <v>631</v>
      </c>
      <c r="V5" s="42" t="s">
        <v>631</v>
      </c>
      <c r="W5" s="42" t="s">
        <v>631</v>
      </c>
      <c r="X5" s="42" t="s">
        <v>631</v>
      </c>
      <c r="Y5" s="42" t="s">
        <v>631</v>
      </c>
      <c r="Z5" s="42" t="s">
        <v>631</v>
      </c>
      <c r="AA5" s="42" t="s">
        <v>631</v>
      </c>
      <c r="AB5" s="42" t="s">
        <v>631</v>
      </c>
      <c r="AC5" s="42" t="s">
        <v>631</v>
      </c>
      <c r="AD5" s="42" t="s">
        <v>631</v>
      </c>
      <c r="AE5" s="42" t="s">
        <v>631</v>
      </c>
      <c r="AF5" s="42" t="s">
        <v>631</v>
      </c>
      <c r="AG5" s="42" t="s">
        <v>631</v>
      </c>
      <c r="AH5" s="42" t="s">
        <v>631</v>
      </c>
      <c r="AI5" s="42" t="s">
        <v>631</v>
      </c>
      <c r="AJ5" s="42" t="s">
        <v>631</v>
      </c>
      <c r="AK5" s="42" t="s">
        <v>631</v>
      </c>
      <c r="AL5" s="42" t="s">
        <v>631</v>
      </c>
      <c r="AM5" s="42" t="s">
        <v>631</v>
      </c>
      <c r="AN5" s="42" t="s">
        <v>631</v>
      </c>
      <c r="AO5" s="42" t="s">
        <v>631</v>
      </c>
      <c r="AP5" s="42" t="s">
        <v>631</v>
      </c>
      <c r="AQ5" s="42" t="s">
        <v>631</v>
      </c>
      <c r="AR5" s="42" t="s">
        <v>631</v>
      </c>
      <c r="AS5" s="42" t="s">
        <v>631</v>
      </c>
      <c r="AT5" s="42" t="s">
        <v>631</v>
      </c>
      <c r="AU5" s="42" t="s">
        <v>631</v>
      </c>
      <c r="AV5" s="42" t="s">
        <v>631</v>
      </c>
      <c r="AW5" s="42" t="s">
        <v>631</v>
      </c>
      <c r="AX5" s="42" t="s">
        <v>631</v>
      </c>
      <c r="AY5" s="42" t="s">
        <v>631</v>
      </c>
      <c r="AZ5" s="42" t="s">
        <v>631</v>
      </c>
      <c r="BA5" s="42" t="s">
        <v>631</v>
      </c>
      <c r="BB5" s="42" t="s">
        <v>631</v>
      </c>
      <c r="BC5" s="42" t="s">
        <v>631</v>
      </c>
      <c r="BD5" s="42" t="s">
        <v>631</v>
      </c>
      <c r="BE5" s="42" t="s">
        <v>631</v>
      </c>
      <c r="BF5" s="42" t="s">
        <v>631</v>
      </c>
      <c r="BG5" s="42" t="s">
        <v>631</v>
      </c>
      <c r="BH5" s="42" t="s">
        <v>631</v>
      </c>
      <c r="BI5" s="42" t="s">
        <v>631</v>
      </c>
    </row>
    <row r="6" spans="1:61" x14ac:dyDescent="0.2">
      <c r="A6" s="41" t="s">
        <v>632</v>
      </c>
      <c r="B6" s="43">
        <v>3</v>
      </c>
      <c r="C6" s="43">
        <v>3</v>
      </c>
      <c r="D6" s="43">
        <v>3</v>
      </c>
      <c r="E6" s="43">
        <v>3</v>
      </c>
      <c r="F6" s="43">
        <v>3</v>
      </c>
      <c r="G6" s="43">
        <v>3</v>
      </c>
      <c r="H6" s="43">
        <v>3</v>
      </c>
      <c r="I6" s="43">
        <v>3</v>
      </c>
      <c r="J6" s="43">
        <v>3</v>
      </c>
      <c r="K6" s="43">
        <v>3</v>
      </c>
      <c r="L6" s="43">
        <v>3</v>
      </c>
      <c r="M6" s="43">
        <v>3</v>
      </c>
      <c r="N6" s="43">
        <v>3</v>
      </c>
      <c r="O6" s="43">
        <v>3</v>
      </c>
      <c r="P6" s="43">
        <v>3</v>
      </c>
      <c r="Q6" s="43">
        <v>3</v>
      </c>
      <c r="R6" s="43">
        <v>3</v>
      </c>
      <c r="S6" s="43">
        <v>3</v>
      </c>
      <c r="T6" s="43">
        <v>3</v>
      </c>
      <c r="U6" s="43">
        <v>3</v>
      </c>
      <c r="V6" s="43">
        <v>3</v>
      </c>
      <c r="W6" s="43">
        <v>3</v>
      </c>
      <c r="X6" s="43">
        <v>3</v>
      </c>
      <c r="Y6" s="43">
        <v>3</v>
      </c>
      <c r="Z6" s="43">
        <v>3</v>
      </c>
      <c r="AA6" s="43">
        <v>3</v>
      </c>
      <c r="AB6" s="43">
        <v>3</v>
      </c>
      <c r="AC6" s="43">
        <v>3</v>
      </c>
      <c r="AD6" s="43">
        <v>3</v>
      </c>
      <c r="AE6" s="43">
        <v>3</v>
      </c>
      <c r="AF6" s="43">
        <v>3</v>
      </c>
      <c r="AG6" s="43">
        <v>3</v>
      </c>
      <c r="AH6" s="43">
        <v>3</v>
      </c>
      <c r="AI6" s="43">
        <v>3</v>
      </c>
      <c r="AJ6" s="43">
        <v>3</v>
      </c>
      <c r="AK6" s="43">
        <v>3</v>
      </c>
      <c r="AL6" s="43">
        <v>3</v>
      </c>
      <c r="AM6" s="43">
        <v>3</v>
      </c>
      <c r="AN6" s="43">
        <v>3</v>
      </c>
      <c r="AO6" s="43">
        <v>3</v>
      </c>
      <c r="AP6" s="43">
        <v>3</v>
      </c>
      <c r="AQ6" s="43">
        <v>3</v>
      </c>
      <c r="AR6" s="43">
        <v>3</v>
      </c>
      <c r="AS6" s="43">
        <v>3</v>
      </c>
      <c r="AT6" s="43">
        <v>3</v>
      </c>
      <c r="AU6" s="43">
        <v>3</v>
      </c>
      <c r="AV6" s="43">
        <v>3</v>
      </c>
      <c r="AW6" s="43">
        <v>3</v>
      </c>
      <c r="AX6" s="43">
        <v>3</v>
      </c>
      <c r="AY6" s="43">
        <v>3</v>
      </c>
      <c r="AZ6" s="43">
        <v>3</v>
      </c>
      <c r="BA6" s="43">
        <v>3</v>
      </c>
      <c r="BB6" s="43">
        <v>3</v>
      </c>
      <c r="BC6" s="43">
        <v>3</v>
      </c>
      <c r="BD6" s="43">
        <v>3</v>
      </c>
      <c r="BE6" s="43">
        <v>3</v>
      </c>
      <c r="BF6" s="43">
        <v>3</v>
      </c>
      <c r="BG6" s="43">
        <v>3</v>
      </c>
      <c r="BH6" s="43">
        <v>3</v>
      </c>
      <c r="BI6" s="43">
        <v>3</v>
      </c>
    </row>
    <row r="7" spans="1:61" s="45" customFormat="1" x14ac:dyDescent="0.2">
      <c r="A7" s="44" t="s">
        <v>633</v>
      </c>
      <c r="B7" s="45">
        <v>37316</v>
      </c>
      <c r="C7" s="45">
        <v>37865</v>
      </c>
      <c r="D7" s="45">
        <v>37316</v>
      </c>
      <c r="E7" s="45">
        <v>37865</v>
      </c>
      <c r="F7" s="45">
        <v>37316</v>
      </c>
      <c r="G7" s="45">
        <v>37865</v>
      </c>
      <c r="H7" s="45">
        <v>37316</v>
      </c>
      <c r="I7" s="45">
        <v>37865</v>
      </c>
      <c r="J7" s="45">
        <v>37316</v>
      </c>
      <c r="K7" s="45">
        <v>37865</v>
      </c>
      <c r="L7" s="45">
        <v>37316</v>
      </c>
      <c r="M7" s="45">
        <v>37865</v>
      </c>
      <c r="N7" s="45">
        <v>37316</v>
      </c>
      <c r="O7" s="45">
        <v>37865</v>
      </c>
      <c r="P7" s="45">
        <v>37316</v>
      </c>
      <c r="Q7" s="45">
        <v>37865</v>
      </c>
      <c r="R7" s="45">
        <v>37865</v>
      </c>
      <c r="S7" s="45">
        <v>37865</v>
      </c>
      <c r="T7" s="45">
        <v>37865</v>
      </c>
      <c r="U7" s="45">
        <v>37865</v>
      </c>
      <c r="V7" s="45">
        <v>37865</v>
      </c>
      <c r="W7" s="45">
        <v>37865</v>
      </c>
      <c r="X7" s="45">
        <v>37865</v>
      </c>
      <c r="Y7" s="45">
        <v>37865</v>
      </c>
      <c r="Z7" s="45">
        <v>37865</v>
      </c>
      <c r="AA7" s="45">
        <v>37865</v>
      </c>
      <c r="AB7" s="45">
        <v>37865</v>
      </c>
      <c r="AC7" s="45">
        <v>37865</v>
      </c>
      <c r="AD7" s="45">
        <v>37865</v>
      </c>
      <c r="AE7" s="45">
        <v>37865</v>
      </c>
      <c r="AF7" s="45">
        <v>37316</v>
      </c>
      <c r="AG7" s="45">
        <v>37865</v>
      </c>
      <c r="AH7" s="45">
        <v>37316</v>
      </c>
      <c r="AI7" s="45">
        <v>37865</v>
      </c>
      <c r="AJ7" s="45">
        <v>37316</v>
      </c>
      <c r="AK7" s="45">
        <v>37865</v>
      </c>
      <c r="AL7" s="45">
        <v>37316</v>
      </c>
      <c r="AM7" s="45">
        <v>37865</v>
      </c>
      <c r="AN7" s="45">
        <v>37316</v>
      </c>
      <c r="AO7" s="45">
        <v>37865</v>
      </c>
      <c r="AP7" s="45">
        <v>37316</v>
      </c>
      <c r="AQ7" s="45">
        <v>37865</v>
      </c>
      <c r="AR7" s="45">
        <v>37316</v>
      </c>
      <c r="AS7" s="45">
        <v>37865</v>
      </c>
      <c r="AT7" s="45">
        <v>37316</v>
      </c>
      <c r="AU7" s="45">
        <v>37865</v>
      </c>
      <c r="AV7" s="45">
        <v>37865</v>
      </c>
      <c r="AW7" s="45">
        <v>37865</v>
      </c>
      <c r="AX7" s="45">
        <v>37865</v>
      </c>
      <c r="AY7" s="45">
        <v>37865</v>
      </c>
      <c r="AZ7" s="45">
        <v>37865</v>
      </c>
      <c r="BA7" s="45">
        <v>37865</v>
      </c>
      <c r="BB7" s="45">
        <v>37865</v>
      </c>
      <c r="BC7" s="45">
        <v>37865</v>
      </c>
      <c r="BD7" s="45">
        <v>37865</v>
      </c>
      <c r="BE7" s="45">
        <v>37865</v>
      </c>
      <c r="BF7" s="45">
        <v>37865</v>
      </c>
      <c r="BG7" s="45">
        <v>37865</v>
      </c>
      <c r="BH7" s="45">
        <v>37865</v>
      </c>
      <c r="BI7" s="45">
        <v>37865</v>
      </c>
    </row>
    <row r="8" spans="1:61" s="45" customFormat="1" x14ac:dyDescent="0.2">
      <c r="A8" s="44" t="s">
        <v>634</v>
      </c>
      <c r="B8" s="45">
        <v>45992</v>
      </c>
      <c r="C8" s="45">
        <v>45992</v>
      </c>
      <c r="D8" s="45">
        <v>45992</v>
      </c>
      <c r="E8" s="45">
        <v>45992</v>
      </c>
      <c r="F8" s="45">
        <v>45992</v>
      </c>
      <c r="G8" s="45">
        <v>45992</v>
      </c>
      <c r="H8" s="45">
        <v>45992</v>
      </c>
      <c r="I8" s="45">
        <v>45992</v>
      </c>
      <c r="J8" s="45">
        <v>45992</v>
      </c>
      <c r="K8" s="45">
        <v>45992</v>
      </c>
      <c r="L8" s="45">
        <v>45992</v>
      </c>
      <c r="M8" s="45">
        <v>45992</v>
      </c>
      <c r="N8" s="45">
        <v>45992</v>
      </c>
      <c r="O8" s="45">
        <v>45992</v>
      </c>
      <c r="P8" s="45">
        <v>45992</v>
      </c>
      <c r="Q8" s="45">
        <v>45992</v>
      </c>
      <c r="R8" s="45">
        <v>45992</v>
      </c>
      <c r="S8" s="45">
        <v>45992</v>
      </c>
      <c r="T8" s="45">
        <v>45992</v>
      </c>
      <c r="U8" s="45">
        <v>45992</v>
      </c>
      <c r="V8" s="45">
        <v>45992</v>
      </c>
      <c r="W8" s="45">
        <v>45992</v>
      </c>
      <c r="X8" s="45">
        <v>45992</v>
      </c>
      <c r="Y8" s="45">
        <v>45992</v>
      </c>
      <c r="Z8" s="45">
        <v>45992</v>
      </c>
      <c r="AA8" s="45">
        <v>45992</v>
      </c>
      <c r="AB8" s="45">
        <v>45992</v>
      </c>
      <c r="AC8" s="45">
        <v>45992</v>
      </c>
      <c r="AD8" s="45">
        <v>45992</v>
      </c>
      <c r="AE8" s="45">
        <v>45992</v>
      </c>
      <c r="AF8" s="45">
        <v>45992</v>
      </c>
      <c r="AG8" s="45">
        <v>45992</v>
      </c>
      <c r="AH8" s="45">
        <v>45992</v>
      </c>
      <c r="AI8" s="45">
        <v>45992</v>
      </c>
      <c r="AJ8" s="45">
        <v>45992</v>
      </c>
      <c r="AK8" s="45">
        <v>45992</v>
      </c>
      <c r="AL8" s="45">
        <v>45992</v>
      </c>
      <c r="AM8" s="45">
        <v>45992</v>
      </c>
      <c r="AN8" s="45">
        <v>45992</v>
      </c>
      <c r="AO8" s="45">
        <v>45992</v>
      </c>
      <c r="AP8" s="45">
        <v>45992</v>
      </c>
      <c r="AQ8" s="45">
        <v>45992</v>
      </c>
      <c r="AR8" s="45">
        <v>45992</v>
      </c>
      <c r="AS8" s="45">
        <v>45992</v>
      </c>
      <c r="AT8" s="45">
        <v>45992</v>
      </c>
      <c r="AU8" s="45">
        <v>45992</v>
      </c>
      <c r="AV8" s="45">
        <v>45992</v>
      </c>
      <c r="AW8" s="45">
        <v>45992</v>
      </c>
      <c r="AX8" s="45">
        <v>45992</v>
      </c>
      <c r="AY8" s="45">
        <v>45992</v>
      </c>
      <c r="AZ8" s="45">
        <v>45992</v>
      </c>
      <c r="BA8" s="45">
        <v>45992</v>
      </c>
      <c r="BB8" s="45">
        <v>45992</v>
      </c>
      <c r="BC8" s="45">
        <v>45992</v>
      </c>
      <c r="BD8" s="45">
        <v>45992</v>
      </c>
      <c r="BE8" s="45">
        <v>45992</v>
      </c>
      <c r="BF8" s="45">
        <v>45992</v>
      </c>
      <c r="BG8" s="45">
        <v>45992</v>
      </c>
      <c r="BH8" s="45">
        <v>45992</v>
      </c>
      <c r="BI8" s="45">
        <v>45992</v>
      </c>
    </row>
    <row r="9" spans="1:61" x14ac:dyDescent="0.2">
      <c r="A9" s="41" t="s">
        <v>635</v>
      </c>
      <c r="B9" s="43">
        <v>96</v>
      </c>
      <c r="C9" s="43">
        <v>90</v>
      </c>
      <c r="D9" s="43">
        <v>96</v>
      </c>
      <c r="E9" s="43">
        <v>90</v>
      </c>
      <c r="F9" s="43">
        <v>96</v>
      </c>
      <c r="G9" s="43">
        <v>90</v>
      </c>
      <c r="H9" s="43">
        <v>96</v>
      </c>
      <c r="I9" s="43">
        <v>90</v>
      </c>
      <c r="J9" s="43">
        <v>96</v>
      </c>
      <c r="K9" s="43">
        <v>90</v>
      </c>
      <c r="L9" s="43">
        <v>96</v>
      </c>
      <c r="M9" s="43">
        <v>90</v>
      </c>
      <c r="N9" s="43">
        <v>96</v>
      </c>
      <c r="O9" s="43">
        <v>90</v>
      </c>
      <c r="P9" s="43">
        <v>96</v>
      </c>
      <c r="Q9" s="43">
        <v>90</v>
      </c>
      <c r="R9" s="43">
        <v>90</v>
      </c>
      <c r="S9" s="43">
        <v>90</v>
      </c>
      <c r="T9" s="43">
        <v>90</v>
      </c>
      <c r="U9" s="43">
        <v>90</v>
      </c>
      <c r="V9" s="43">
        <v>90</v>
      </c>
      <c r="W9" s="43">
        <v>90</v>
      </c>
      <c r="X9" s="43">
        <v>90</v>
      </c>
      <c r="Y9" s="43">
        <v>90</v>
      </c>
      <c r="Z9" s="43">
        <v>90</v>
      </c>
      <c r="AA9" s="43">
        <v>90</v>
      </c>
      <c r="AB9" s="43">
        <v>90</v>
      </c>
      <c r="AC9" s="43">
        <v>90</v>
      </c>
      <c r="AD9" s="43">
        <v>90</v>
      </c>
      <c r="AE9" s="43">
        <v>90</v>
      </c>
      <c r="AF9" s="43">
        <v>96</v>
      </c>
      <c r="AG9" s="43">
        <v>90</v>
      </c>
      <c r="AH9" s="43">
        <v>96</v>
      </c>
      <c r="AI9" s="43">
        <v>90</v>
      </c>
      <c r="AJ9" s="43">
        <v>96</v>
      </c>
      <c r="AK9" s="43">
        <v>90</v>
      </c>
      <c r="AL9" s="43">
        <v>96</v>
      </c>
      <c r="AM9" s="43">
        <v>90</v>
      </c>
      <c r="AN9" s="43">
        <v>96</v>
      </c>
      <c r="AO9" s="43">
        <v>90</v>
      </c>
      <c r="AP9" s="43">
        <v>96</v>
      </c>
      <c r="AQ9" s="43">
        <v>90</v>
      </c>
      <c r="AR9" s="43">
        <v>96</v>
      </c>
      <c r="AS9" s="43">
        <v>90</v>
      </c>
      <c r="AT9" s="43">
        <v>96</v>
      </c>
      <c r="AU9" s="43">
        <v>90</v>
      </c>
      <c r="AV9" s="43">
        <v>90</v>
      </c>
      <c r="AW9" s="43">
        <v>90</v>
      </c>
      <c r="AX9" s="43">
        <v>90</v>
      </c>
      <c r="AY9" s="43">
        <v>90</v>
      </c>
      <c r="AZ9" s="43">
        <v>90</v>
      </c>
      <c r="BA9" s="43">
        <v>90</v>
      </c>
      <c r="BB9" s="43">
        <v>90</v>
      </c>
      <c r="BC9" s="43">
        <v>90</v>
      </c>
      <c r="BD9" s="43">
        <v>90</v>
      </c>
      <c r="BE9" s="43">
        <v>90</v>
      </c>
      <c r="BF9" s="43">
        <v>90</v>
      </c>
      <c r="BG9" s="43">
        <v>90</v>
      </c>
      <c r="BH9" s="43">
        <v>90</v>
      </c>
      <c r="BI9" s="43">
        <v>90</v>
      </c>
    </row>
    <row r="10" spans="1:61" x14ac:dyDescent="0.2">
      <c r="A10" s="41" t="s">
        <v>106</v>
      </c>
      <c r="B10" s="42" t="s">
        <v>636</v>
      </c>
      <c r="C10" s="42" t="s">
        <v>637</v>
      </c>
      <c r="D10" s="42" t="s">
        <v>638</v>
      </c>
      <c r="E10" s="42" t="s">
        <v>639</v>
      </c>
      <c r="F10" s="42" t="s">
        <v>640</v>
      </c>
      <c r="G10" s="42" t="s">
        <v>641</v>
      </c>
      <c r="H10" s="42" t="s">
        <v>642</v>
      </c>
      <c r="I10" s="42" t="s">
        <v>643</v>
      </c>
      <c r="J10" s="42" t="s">
        <v>644</v>
      </c>
      <c r="K10" s="42" t="s">
        <v>645</v>
      </c>
      <c r="L10" s="42" t="s">
        <v>646</v>
      </c>
      <c r="M10" s="42" t="s">
        <v>647</v>
      </c>
      <c r="N10" s="42" t="s">
        <v>648</v>
      </c>
      <c r="O10" s="42" t="s">
        <v>649</v>
      </c>
      <c r="P10" s="42" t="s">
        <v>650</v>
      </c>
      <c r="Q10" s="42" t="s">
        <v>651</v>
      </c>
      <c r="R10" s="42" t="s">
        <v>652</v>
      </c>
      <c r="S10" s="42" t="s">
        <v>653</v>
      </c>
      <c r="T10" s="42" t="s">
        <v>654</v>
      </c>
      <c r="U10" s="42" t="s">
        <v>655</v>
      </c>
      <c r="V10" s="42" t="s">
        <v>656</v>
      </c>
      <c r="W10" s="42" t="s">
        <v>657</v>
      </c>
      <c r="X10" s="42" t="s">
        <v>658</v>
      </c>
      <c r="Y10" s="42" t="s">
        <v>659</v>
      </c>
      <c r="Z10" s="42" t="s">
        <v>660</v>
      </c>
      <c r="AA10" s="42" t="s">
        <v>661</v>
      </c>
      <c r="AB10" s="42" t="s">
        <v>662</v>
      </c>
      <c r="AC10" s="42" t="s">
        <v>663</v>
      </c>
      <c r="AD10" s="42" t="s">
        <v>664</v>
      </c>
      <c r="AE10" s="42" t="s">
        <v>665</v>
      </c>
      <c r="AF10" s="42" t="s">
        <v>666</v>
      </c>
      <c r="AG10" s="42" t="s">
        <v>667</v>
      </c>
      <c r="AH10" s="42" t="s">
        <v>668</v>
      </c>
      <c r="AI10" s="42" t="s">
        <v>669</v>
      </c>
      <c r="AJ10" s="42" t="s">
        <v>670</v>
      </c>
      <c r="AK10" s="42" t="s">
        <v>671</v>
      </c>
      <c r="AL10" s="42" t="s">
        <v>672</v>
      </c>
      <c r="AM10" s="42" t="s">
        <v>673</v>
      </c>
      <c r="AN10" s="42" t="s">
        <v>674</v>
      </c>
      <c r="AO10" s="42" t="s">
        <v>675</v>
      </c>
      <c r="AP10" s="42" t="s">
        <v>676</v>
      </c>
      <c r="AQ10" s="42" t="s">
        <v>677</v>
      </c>
      <c r="AR10" s="42" t="s">
        <v>678</v>
      </c>
      <c r="AS10" s="42" t="s">
        <v>679</v>
      </c>
      <c r="AT10" s="42" t="s">
        <v>680</v>
      </c>
      <c r="AU10" s="42" t="s">
        <v>681</v>
      </c>
      <c r="AV10" s="42" t="s">
        <v>682</v>
      </c>
      <c r="AW10" s="42" t="s">
        <v>683</v>
      </c>
      <c r="AX10" s="42" t="s">
        <v>684</v>
      </c>
      <c r="AY10" s="42" t="s">
        <v>685</v>
      </c>
      <c r="AZ10" s="42" t="s">
        <v>686</v>
      </c>
      <c r="BA10" s="42" t="s">
        <v>687</v>
      </c>
      <c r="BB10" s="42" t="s">
        <v>688</v>
      </c>
      <c r="BC10" s="42" t="s">
        <v>689</v>
      </c>
      <c r="BD10" s="42" t="s">
        <v>690</v>
      </c>
      <c r="BE10" s="42" t="s">
        <v>691</v>
      </c>
      <c r="BF10" s="42" t="s">
        <v>692</v>
      </c>
      <c r="BG10" s="42" t="s">
        <v>693</v>
      </c>
      <c r="BH10" s="42" t="s">
        <v>694</v>
      </c>
      <c r="BI10" s="42" t="s">
        <v>695</v>
      </c>
    </row>
    <row r="11" spans="1:61" x14ac:dyDescent="0.2">
      <c r="A11" s="46">
        <v>37316</v>
      </c>
      <c r="B11" s="47">
        <v>365</v>
      </c>
      <c r="D11" s="47">
        <v>241</v>
      </c>
      <c r="F11" s="47">
        <v>185</v>
      </c>
      <c r="H11" s="47">
        <v>166</v>
      </c>
      <c r="J11" s="47">
        <v>190</v>
      </c>
      <c r="L11" s="47">
        <v>123.3</v>
      </c>
      <c r="N11" s="47">
        <v>190</v>
      </c>
      <c r="P11" s="47">
        <v>245</v>
      </c>
      <c r="AF11" s="48">
        <v>13078</v>
      </c>
      <c r="AH11" s="48">
        <v>16024</v>
      </c>
      <c r="AJ11" s="48">
        <v>11042</v>
      </c>
      <c r="AL11" s="48">
        <v>5534</v>
      </c>
      <c r="AN11" s="48">
        <v>8929</v>
      </c>
      <c r="AP11" s="48">
        <v>1482</v>
      </c>
      <c r="AR11" s="48">
        <v>432</v>
      </c>
      <c r="AT11" s="48">
        <v>1553</v>
      </c>
    </row>
    <row r="12" spans="1:61" x14ac:dyDescent="0.2">
      <c r="A12" s="46">
        <v>37408</v>
      </c>
      <c r="B12" s="47">
        <v>393.5</v>
      </c>
      <c r="D12" s="47">
        <v>260</v>
      </c>
      <c r="F12" s="47">
        <v>182.6</v>
      </c>
      <c r="H12" s="47">
        <v>175</v>
      </c>
      <c r="J12" s="47">
        <v>190</v>
      </c>
      <c r="L12" s="47">
        <v>117</v>
      </c>
      <c r="N12" s="47">
        <v>188.3</v>
      </c>
      <c r="P12" s="47">
        <v>258</v>
      </c>
      <c r="AF12" s="48">
        <v>15569</v>
      </c>
      <c r="AH12" s="48">
        <v>17304</v>
      </c>
      <c r="AJ12" s="48">
        <v>11948</v>
      </c>
      <c r="AL12" s="48">
        <v>5574</v>
      </c>
      <c r="AN12" s="48">
        <v>8286</v>
      </c>
      <c r="AP12" s="48">
        <v>1475</v>
      </c>
      <c r="AR12" s="48">
        <v>472</v>
      </c>
      <c r="AT12" s="48">
        <v>1773</v>
      </c>
    </row>
    <row r="13" spans="1:61" x14ac:dyDescent="0.2">
      <c r="A13" s="46">
        <v>37500</v>
      </c>
      <c r="B13" s="47">
        <v>413</v>
      </c>
      <c r="D13" s="47">
        <v>265</v>
      </c>
      <c r="F13" s="47">
        <v>198</v>
      </c>
      <c r="H13" s="47">
        <v>181</v>
      </c>
      <c r="J13" s="47">
        <v>195</v>
      </c>
      <c r="L13" s="47">
        <v>124</v>
      </c>
      <c r="N13" s="47">
        <v>190</v>
      </c>
      <c r="P13" s="47">
        <v>275</v>
      </c>
      <c r="AF13" s="48">
        <v>16761</v>
      </c>
      <c r="AH13" s="48">
        <v>15888</v>
      </c>
      <c r="AJ13" s="48">
        <v>11772</v>
      </c>
      <c r="AL13" s="48">
        <v>4983</v>
      </c>
      <c r="AN13" s="48">
        <v>7340</v>
      </c>
      <c r="AP13" s="48">
        <v>1491</v>
      </c>
      <c r="AR13" s="48">
        <v>512</v>
      </c>
      <c r="AT13" s="48">
        <v>1411</v>
      </c>
    </row>
    <row r="14" spans="1:61" x14ac:dyDescent="0.2">
      <c r="A14" s="46">
        <v>37591</v>
      </c>
      <c r="B14" s="47">
        <v>444</v>
      </c>
      <c r="D14" s="47">
        <v>280</v>
      </c>
      <c r="F14" s="47">
        <v>208</v>
      </c>
      <c r="H14" s="47">
        <v>195</v>
      </c>
      <c r="J14" s="47">
        <v>206</v>
      </c>
      <c r="L14" s="47">
        <v>128</v>
      </c>
      <c r="N14" s="47">
        <v>195</v>
      </c>
      <c r="P14" s="47">
        <v>291</v>
      </c>
      <c r="AF14" s="48">
        <v>15447</v>
      </c>
      <c r="AH14" s="48">
        <v>16320</v>
      </c>
      <c r="AJ14" s="48">
        <v>11552</v>
      </c>
      <c r="AL14" s="48">
        <v>5139</v>
      </c>
      <c r="AN14" s="48">
        <v>7673</v>
      </c>
      <c r="AP14" s="48">
        <v>1474</v>
      </c>
      <c r="AR14" s="48">
        <v>469</v>
      </c>
      <c r="AT14" s="48">
        <v>1504</v>
      </c>
    </row>
    <row r="15" spans="1:61" x14ac:dyDescent="0.2">
      <c r="A15" s="46">
        <v>37681</v>
      </c>
      <c r="B15" s="47">
        <v>434.5</v>
      </c>
      <c r="D15" s="47">
        <v>270</v>
      </c>
      <c r="F15" s="47">
        <v>225</v>
      </c>
      <c r="H15" s="47">
        <v>209.4</v>
      </c>
      <c r="J15" s="47">
        <v>216</v>
      </c>
      <c r="L15" s="47">
        <v>145</v>
      </c>
      <c r="N15" s="47">
        <v>198</v>
      </c>
      <c r="P15" s="47">
        <v>300</v>
      </c>
      <c r="AF15" s="48">
        <v>13734</v>
      </c>
      <c r="AH15" s="48">
        <v>14699</v>
      </c>
      <c r="AJ15" s="48">
        <v>13572</v>
      </c>
      <c r="AL15" s="48">
        <v>5229</v>
      </c>
      <c r="AN15" s="48">
        <v>9446</v>
      </c>
      <c r="AP15" s="48">
        <v>1607</v>
      </c>
      <c r="AR15" s="48">
        <v>497</v>
      </c>
      <c r="AT15" s="48">
        <v>1386</v>
      </c>
    </row>
    <row r="16" spans="1:61" x14ac:dyDescent="0.2">
      <c r="A16" s="46">
        <v>37773</v>
      </c>
      <c r="B16" s="47">
        <v>460</v>
      </c>
      <c r="D16" s="47">
        <v>287.5</v>
      </c>
      <c r="F16" s="47">
        <v>240</v>
      </c>
      <c r="H16" s="47">
        <v>220.5</v>
      </c>
      <c r="J16" s="47">
        <v>225</v>
      </c>
      <c r="L16" s="47">
        <v>149</v>
      </c>
      <c r="N16" s="47">
        <v>200.5</v>
      </c>
      <c r="P16" s="47">
        <v>334.5</v>
      </c>
      <c r="AF16" s="48">
        <v>16415</v>
      </c>
      <c r="AH16" s="48">
        <v>16655</v>
      </c>
      <c r="AJ16" s="48">
        <v>13095</v>
      </c>
      <c r="AL16" s="48">
        <v>5317</v>
      </c>
      <c r="AN16" s="48">
        <v>9902</v>
      </c>
      <c r="AP16" s="48">
        <v>1561</v>
      </c>
      <c r="AR16" s="48">
        <v>562</v>
      </c>
      <c r="AT16" s="48">
        <v>1617</v>
      </c>
    </row>
    <row r="17" spans="1:61" x14ac:dyDescent="0.2">
      <c r="A17" s="46">
        <v>37865</v>
      </c>
      <c r="B17" s="47">
        <v>480</v>
      </c>
      <c r="C17" s="47">
        <v>247.3</v>
      </c>
      <c r="D17" s="47">
        <v>295</v>
      </c>
      <c r="E17" s="47">
        <v>176</v>
      </c>
      <c r="F17" s="47">
        <v>269</v>
      </c>
      <c r="G17" s="47">
        <v>197</v>
      </c>
      <c r="H17" s="47">
        <v>235</v>
      </c>
      <c r="I17" s="47">
        <v>150</v>
      </c>
      <c r="J17" s="47">
        <v>236</v>
      </c>
      <c r="K17" s="47">
        <v>160</v>
      </c>
      <c r="L17" s="47">
        <v>165</v>
      </c>
      <c r="M17" s="47">
        <v>125</v>
      </c>
      <c r="N17" s="47">
        <v>214</v>
      </c>
      <c r="O17" s="47">
        <v>195</v>
      </c>
      <c r="P17" s="47">
        <v>360</v>
      </c>
      <c r="Q17" s="47">
        <v>371</v>
      </c>
      <c r="R17" s="47">
        <v>240</v>
      </c>
      <c r="S17" s="47">
        <v>276</v>
      </c>
      <c r="T17" s="47">
        <v>160</v>
      </c>
      <c r="U17" s="47">
        <v>221</v>
      </c>
      <c r="V17" s="47">
        <v>230</v>
      </c>
      <c r="W17" s="47">
        <v>182.5</v>
      </c>
      <c r="X17" s="47">
        <v>82</v>
      </c>
      <c r="Y17" s="47">
        <v>195</v>
      </c>
      <c r="Z17" s="47">
        <v>135.5</v>
      </c>
      <c r="AA17" s="47">
        <v>165</v>
      </c>
      <c r="AB17" s="47">
        <v>130</v>
      </c>
      <c r="AC17" s="47">
        <v>130</v>
      </c>
      <c r="AD17" s="47">
        <v>136</v>
      </c>
      <c r="AE17" s="47">
        <v>290</v>
      </c>
      <c r="AF17" s="48">
        <v>17027</v>
      </c>
      <c r="AG17" s="48">
        <v>15816</v>
      </c>
      <c r="AH17" s="48">
        <v>17317</v>
      </c>
      <c r="AI17" s="48">
        <v>9910</v>
      </c>
      <c r="AJ17" s="48">
        <v>14494</v>
      </c>
      <c r="AK17" s="48">
        <v>17000</v>
      </c>
      <c r="AL17" s="48">
        <v>4831</v>
      </c>
      <c r="AM17" s="48">
        <v>2254</v>
      </c>
      <c r="AN17" s="48">
        <v>8247</v>
      </c>
      <c r="AO17" s="48">
        <v>3277</v>
      </c>
      <c r="AP17" s="48">
        <v>1594</v>
      </c>
      <c r="AQ17" s="48">
        <v>2968</v>
      </c>
      <c r="AR17" s="48">
        <v>642</v>
      </c>
      <c r="AS17" s="48">
        <v>191</v>
      </c>
      <c r="AT17" s="48">
        <v>1437</v>
      </c>
      <c r="AU17" s="48">
        <v>13969</v>
      </c>
      <c r="AV17" s="48">
        <v>3383</v>
      </c>
      <c r="AW17" s="48">
        <v>8010</v>
      </c>
      <c r="AX17" s="48">
        <v>1163</v>
      </c>
      <c r="AY17" s="48">
        <v>5754</v>
      </c>
      <c r="AZ17" s="48">
        <v>9466</v>
      </c>
      <c r="BA17" s="48">
        <v>1935</v>
      </c>
      <c r="BB17" s="48">
        <v>301</v>
      </c>
      <c r="BC17" s="48">
        <v>2927</v>
      </c>
      <c r="BD17" s="48">
        <v>497</v>
      </c>
      <c r="BE17" s="48">
        <v>477</v>
      </c>
      <c r="BF17" s="48">
        <v>319</v>
      </c>
      <c r="BG17" s="48">
        <v>367</v>
      </c>
      <c r="BH17" s="48">
        <v>86</v>
      </c>
      <c r="BI17" s="48">
        <v>1023</v>
      </c>
    </row>
    <row r="18" spans="1:61" x14ac:dyDescent="0.2">
      <c r="A18" s="46">
        <v>37956</v>
      </c>
      <c r="B18" s="47">
        <v>520</v>
      </c>
      <c r="C18" s="47">
        <v>255</v>
      </c>
      <c r="D18" s="47">
        <v>320</v>
      </c>
      <c r="E18" s="47">
        <v>185</v>
      </c>
      <c r="F18" s="47">
        <v>296.39999999999998</v>
      </c>
      <c r="G18" s="47">
        <v>205</v>
      </c>
      <c r="H18" s="47">
        <v>247.5</v>
      </c>
      <c r="I18" s="47">
        <v>162</v>
      </c>
      <c r="J18" s="47">
        <v>250</v>
      </c>
      <c r="K18" s="47">
        <v>164</v>
      </c>
      <c r="L18" s="47">
        <v>182.3</v>
      </c>
      <c r="M18" s="47">
        <v>139.30000000000001</v>
      </c>
      <c r="N18" s="47">
        <v>226</v>
      </c>
      <c r="O18" s="47">
        <v>204.5</v>
      </c>
      <c r="P18" s="47">
        <v>375</v>
      </c>
      <c r="Q18" s="47">
        <v>387</v>
      </c>
      <c r="R18" s="47">
        <v>250</v>
      </c>
      <c r="S18" s="47">
        <v>285</v>
      </c>
      <c r="T18" s="47">
        <v>170</v>
      </c>
      <c r="U18" s="47">
        <v>241.6</v>
      </c>
      <c r="V18" s="47">
        <v>240</v>
      </c>
      <c r="W18" s="47">
        <v>191</v>
      </c>
      <c r="X18" s="47">
        <v>85</v>
      </c>
      <c r="Y18" s="47">
        <v>198</v>
      </c>
      <c r="Z18" s="47">
        <v>138</v>
      </c>
      <c r="AA18" s="47">
        <v>175</v>
      </c>
      <c r="AB18" s="47">
        <v>120</v>
      </c>
      <c r="AC18" s="47">
        <v>135.5</v>
      </c>
      <c r="AD18" s="47">
        <v>129</v>
      </c>
      <c r="AE18" s="47">
        <v>300</v>
      </c>
      <c r="AF18" s="48">
        <v>11847</v>
      </c>
      <c r="AG18" s="48">
        <v>13175</v>
      </c>
      <c r="AH18" s="48">
        <v>14573</v>
      </c>
      <c r="AI18" s="48">
        <v>8962</v>
      </c>
      <c r="AJ18" s="48">
        <v>9212</v>
      </c>
      <c r="AK18" s="48">
        <v>15007</v>
      </c>
      <c r="AL18" s="48">
        <v>4597</v>
      </c>
      <c r="AM18" s="48">
        <v>2101</v>
      </c>
      <c r="AN18" s="48">
        <v>6893</v>
      </c>
      <c r="AO18" s="48">
        <v>2985</v>
      </c>
      <c r="AP18" s="48">
        <v>1258</v>
      </c>
      <c r="AQ18" s="48">
        <v>2050</v>
      </c>
      <c r="AR18" s="48">
        <v>630</v>
      </c>
      <c r="AS18" s="48">
        <v>194</v>
      </c>
      <c r="AT18" s="48">
        <v>1232</v>
      </c>
      <c r="AU18" s="48">
        <v>9830</v>
      </c>
      <c r="AV18" s="48">
        <v>2730</v>
      </c>
      <c r="AW18" s="48">
        <v>6753</v>
      </c>
      <c r="AX18" s="48">
        <v>1101</v>
      </c>
      <c r="AY18" s="48">
        <v>3663</v>
      </c>
      <c r="AZ18" s="48">
        <v>6382</v>
      </c>
      <c r="BA18" s="48">
        <v>1684</v>
      </c>
      <c r="BB18" s="48">
        <v>297</v>
      </c>
      <c r="BC18" s="48">
        <v>2517</v>
      </c>
      <c r="BD18" s="48">
        <v>461</v>
      </c>
      <c r="BE18" s="48">
        <v>329</v>
      </c>
      <c r="BF18" s="48">
        <v>293</v>
      </c>
      <c r="BG18" s="48">
        <v>372</v>
      </c>
      <c r="BH18" s="48">
        <v>95</v>
      </c>
      <c r="BI18" s="48">
        <v>921</v>
      </c>
    </row>
    <row r="19" spans="1:61" x14ac:dyDescent="0.2">
      <c r="A19" s="46">
        <v>38047</v>
      </c>
      <c r="B19" s="47">
        <v>523</v>
      </c>
      <c r="C19" s="47">
        <v>265</v>
      </c>
      <c r="D19" s="47">
        <v>305</v>
      </c>
      <c r="E19" s="47">
        <v>190</v>
      </c>
      <c r="F19" s="47">
        <v>302.7</v>
      </c>
      <c r="G19" s="47">
        <v>224</v>
      </c>
      <c r="H19" s="47">
        <v>250</v>
      </c>
      <c r="I19" s="47">
        <v>166.6</v>
      </c>
      <c r="J19" s="47">
        <v>255</v>
      </c>
      <c r="K19" s="47">
        <v>178</v>
      </c>
      <c r="L19" s="47">
        <v>200</v>
      </c>
      <c r="M19" s="47">
        <v>156</v>
      </c>
      <c r="N19" s="47">
        <v>239.5</v>
      </c>
      <c r="O19" s="47">
        <v>217.8</v>
      </c>
      <c r="P19" s="47">
        <v>375</v>
      </c>
      <c r="Q19" s="47">
        <v>380</v>
      </c>
      <c r="R19" s="47">
        <v>269</v>
      </c>
      <c r="S19" s="47">
        <v>272.5</v>
      </c>
      <c r="T19" s="47">
        <v>173</v>
      </c>
      <c r="U19" s="47">
        <v>249</v>
      </c>
      <c r="V19" s="47">
        <v>257</v>
      </c>
      <c r="W19" s="47">
        <v>193.5</v>
      </c>
      <c r="X19" s="47">
        <v>82.9</v>
      </c>
      <c r="Y19" s="47">
        <v>208</v>
      </c>
      <c r="Z19" s="47">
        <v>139</v>
      </c>
      <c r="AA19" s="47">
        <v>192</v>
      </c>
      <c r="AB19" s="47">
        <v>145</v>
      </c>
      <c r="AC19" s="47">
        <v>147.1</v>
      </c>
      <c r="AD19" s="47">
        <v>150</v>
      </c>
      <c r="AE19" s="47">
        <v>295</v>
      </c>
      <c r="AF19" s="48">
        <v>10210</v>
      </c>
      <c r="AG19" s="48">
        <v>11193</v>
      </c>
      <c r="AH19" s="48">
        <v>12802</v>
      </c>
      <c r="AI19" s="48">
        <v>8553</v>
      </c>
      <c r="AJ19" s="48">
        <v>9169</v>
      </c>
      <c r="AK19" s="48">
        <v>14930</v>
      </c>
      <c r="AL19" s="48">
        <v>4648</v>
      </c>
      <c r="AM19" s="48">
        <v>2198</v>
      </c>
      <c r="AN19" s="48">
        <v>7688</v>
      </c>
      <c r="AO19" s="48">
        <v>3296</v>
      </c>
      <c r="AP19" s="48">
        <v>1262</v>
      </c>
      <c r="AQ19" s="48">
        <v>2047</v>
      </c>
      <c r="AR19" s="48">
        <v>542</v>
      </c>
      <c r="AS19" s="48">
        <v>182</v>
      </c>
      <c r="AT19" s="48">
        <v>1031</v>
      </c>
      <c r="AU19" s="48">
        <v>7610</v>
      </c>
      <c r="AV19" s="48">
        <v>2369</v>
      </c>
      <c r="AW19" s="48">
        <v>5546</v>
      </c>
      <c r="AX19" s="48">
        <v>1125</v>
      </c>
      <c r="AY19" s="48">
        <v>3160</v>
      </c>
      <c r="AZ19" s="48">
        <v>5802</v>
      </c>
      <c r="BA19" s="48">
        <v>1770</v>
      </c>
      <c r="BB19" s="48">
        <v>294</v>
      </c>
      <c r="BC19" s="48">
        <v>2811</v>
      </c>
      <c r="BD19" s="48">
        <v>455</v>
      </c>
      <c r="BE19" s="48">
        <v>407</v>
      </c>
      <c r="BF19" s="48">
        <v>278</v>
      </c>
      <c r="BG19" s="48">
        <v>272</v>
      </c>
      <c r="BH19" s="48">
        <v>77</v>
      </c>
      <c r="BI19" s="48">
        <v>789</v>
      </c>
    </row>
    <row r="20" spans="1:61" x14ac:dyDescent="0.2">
      <c r="A20" s="46">
        <v>38139</v>
      </c>
      <c r="B20" s="47">
        <v>498</v>
      </c>
      <c r="C20" s="47">
        <v>270</v>
      </c>
      <c r="D20" s="47">
        <v>307.5</v>
      </c>
      <c r="E20" s="47">
        <v>195</v>
      </c>
      <c r="F20" s="47">
        <v>305</v>
      </c>
      <c r="G20" s="47">
        <v>235</v>
      </c>
      <c r="H20" s="47">
        <v>257.5</v>
      </c>
      <c r="I20" s="47">
        <v>169</v>
      </c>
      <c r="J20" s="47">
        <v>262</v>
      </c>
      <c r="K20" s="47">
        <v>178</v>
      </c>
      <c r="L20" s="47">
        <v>225</v>
      </c>
      <c r="M20" s="47">
        <v>156</v>
      </c>
      <c r="N20" s="47">
        <v>248.8</v>
      </c>
      <c r="O20" s="47">
        <v>215</v>
      </c>
      <c r="P20" s="47">
        <v>375</v>
      </c>
      <c r="Q20" s="47">
        <v>380</v>
      </c>
      <c r="R20" s="47">
        <v>265</v>
      </c>
      <c r="S20" s="47">
        <v>280</v>
      </c>
      <c r="T20" s="47">
        <v>172</v>
      </c>
      <c r="U20" s="47">
        <v>249</v>
      </c>
      <c r="V20" s="47">
        <v>264</v>
      </c>
      <c r="W20" s="47">
        <v>200</v>
      </c>
      <c r="X20" s="47">
        <v>81.5</v>
      </c>
      <c r="Y20" s="47">
        <v>215</v>
      </c>
      <c r="Z20" s="47">
        <v>148.5</v>
      </c>
      <c r="AA20" s="47">
        <v>192.8</v>
      </c>
      <c r="AB20" s="47">
        <v>149</v>
      </c>
      <c r="AC20" s="47">
        <v>152</v>
      </c>
      <c r="AD20" s="47">
        <v>130</v>
      </c>
      <c r="AE20" s="47">
        <v>300</v>
      </c>
      <c r="AF20" s="48">
        <v>11922</v>
      </c>
      <c r="AG20" s="48">
        <v>11226</v>
      </c>
      <c r="AH20" s="48">
        <v>13623</v>
      </c>
      <c r="AI20" s="48">
        <v>8079</v>
      </c>
      <c r="AJ20" s="48">
        <v>8421</v>
      </c>
      <c r="AK20" s="48">
        <v>13054</v>
      </c>
      <c r="AL20" s="48">
        <v>4499</v>
      </c>
      <c r="AM20" s="48">
        <v>2074</v>
      </c>
      <c r="AN20" s="48">
        <v>6773</v>
      </c>
      <c r="AO20" s="48">
        <v>2869</v>
      </c>
      <c r="AP20" s="48">
        <v>1094</v>
      </c>
      <c r="AQ20" s="48">
        <v>1654</v>
      </c>
      <c r="AR20" s="48">
        <v>536</v>
      </c>
      <c r="AS20" s="48">
        <v>207</v>
      </c>
      <c r="AT20" s="48">
        <v>1145</v>
      </c>
      <c r="AU20" s="48">
        <v>10106</v>
      </c>
      <c r="AV20" s="48">
        <v>2331</v>
      </c>
      <c r="AW20" s="48">
        <v>6178</v>
      </c>
      <c r="AX20" s="48">
        <v>1027</v>
      </c>
      <c r="AY20" s="48">
        <v>2924</v>
      </c>
      <c r="AZ20" s="48">
        <v>4890</v>
      </c>
      <c r="BA20" s="48">
        <v>1694</v>
      </c>
      <c r="BB20" s="48">
        <v>297</v>
      </c>
      <c r="BC20" s="48">
        <v>2262</v>
      </c>
      <c r="BD20" s="48">
        <v>406</v>
      </c>
      <c r="BE20" s="48">
        <v>336</v>
      </c>
      <c r="BF20" s="48">
        <v>235</v>
      </c>
      <c r="BG20" s="48">
        <v>341</v>
      </c>
      <c r="BH20" s="48">
        <v>69</v>
      </c>
      <c r="BI20" s="48">
        <v>655</v>
      </c>
    </row>
    <row r="21" spans="1:61" x14ac:dyDescent="0.2">
      <c r="A21" s="46">
        <v>38231</v>
      </c>
      <c r="B21" s="47">
        <v>500</v>
      </c>
      <c r="C21" s="47">
        <v>275</v>
      </c>
      <c r="D21" s="47">
        <v>302</v>
      </c>
      <c r="E21" s="47">
        <v>195</v>
      </c>
      <c r="F21" s="47">
        <v>305</v>
      </c>
      <c r="G21" s="47">
        <v>244</v>
      </c>
      <c r="H21" s="47">
        <v>261</v>
      </c>
      <c r="I21" s="47">
        <v>175</v>
      </c>
      <c r="J21" s="47">
        <v>259</v>
      </c>
      <c r="K21" s="47">
        <v>185</v>
      </c>
      <c r="L21" s="47">
        <v>230</v>
      </c>
      <c r="M21" s="47">
        <v>160</v>
      </c>
      <c r="N21" s="47">
        <v>245</v>
      </c>
      <c r="O21" s="47">
        <v>227.5</v>
      </c>
      <c r="P21" s="47">
        <v>352.5</v>
      </c>
      <c r="Q21" s="47">
        <v>380</v>
      </c>
      <c r="R21" s="47">
        <v>260</v>
      </c>
      <c r="S21" s="47">
        <v>276</v>
      </c>
      <c r="T21" s="47">
        <v>175</v>
      </c>
      <c r="U21" s="47">
        <v>264</v>
      </c>
      <c r="V21" s="47">
        <v>269</v>
      </c>
      <c r="W21" s="47">
        <v>220</v>
      </c>
      <c r="X21" s="47">
        <v>90.8</v>
      </c>
      <c r="Y21" s="47">
        <v>215</v>
      </c>
      <c r="Z21" s="47">
        <v>156</v>
      </c>
      <c r="AA21" s="47">
        <v>195</v>
      </c>
      <c r="AB21" s="47">
        <v>155</v>
      </c>
      <c r="AC21" s="47">
        <v>156.5</v>
      </c>
      <c r="AD21" s="47">
        <v>170.3</v>
      </c>
      <c r="AE21" s="47">
        <v>280</v>
      </c>
      <c r="AF21" s="48">
        <v>10240</v>
      </c>
      <c r="AG21" s="48">
        <v>9570</v>
      </c>
      <c r="AH21" s="48">
        <v>13974</v>
      </c>
      <c r="AI21" s="48">
        <v>8461</v>
      </c>
      <c r="AJ21" s="48">
        <v>8546</v>
      </c>
      <c r="AK21" s="48">
        <v>13264</v>
      </c>
      <c r="AL21" s="48">
        <v>4462</v>
      </c>
      <c r="AM21" s="48">
        <v>2016</v>
      </c>
      <c r="AN21" s="48">
        <v>8522</v>
      </c>
      <c r="AO21" s="48">
        <v>3517</v>
      </c>
      <c r="AP21" s="48">
        <v>976</v>
      </c>
      <c r="AQ21" s="48">
        <v>1601</v>
      </c>
      <c r="AR21" s="48">
        <v>586</v>
      </c>
      <c r="AS21" s="48">
        <v>214</v>
      </c>
      <c r="AT21" s="48">
        <v>843</v>
      </c>
      <c r="AU21" s="48">
        <v>8179</v>
      </c>
      <c r="AV21" s="48">
        <v>1758</v>
      </c>
      <c r="AW21" s="48">
        <v>6658</v>
      </c>
      <c r="AX21" s="48">
        <v>1156</v>
      </c>
      <c r="AY21" s="48">
        <v>3188</v>
      </c>
      <c r="AZ21" s="48">
        <v>5176</v>
      </c>
      <c r="BA21" s="48">
        <v>1990</v>
      </c>
      <c r="BB21" s="48">
        <v>272</v>
      </c>
      <c r="BC21" s="48">
        <v>3193</v>
      </c>
      <c r="BD21" s="48">
        <v>454</v>
      </c>
      <c r="BE21" s="48">
        <v>287</v>
      </c>
      <c r="BF21" s="48">
        <v>215</v>
      </c>
      <c r="BG21" s="48">
        <v>387</v>
      </c>
      <c r="BH21" s="48">
        <v>86</v>
      </c>
      <c r="BI21" s="48">
        <v>727</v>
      </c>
    </row>
    <row r="22" spans="1:61" x14ac:dyDescent="0.2">
      <c r="A22" s="46">
        <v>38322</v>
      </c>
      <c r="B22" s="47">
        <v>515</v>
      </c>
      <c r="C22" s="47">
        <v>278</v>
      </c>
      <c r="D22" s="47">
        <v>321</v>
      </c>
      <c r="E22" s="47">
        <v>205</v>
      </c>
      <c r="F22" s="47">
        <v>310</v>
      </c>
      <c r="G22" s="47">
        <v>255</v>
      </c>
      <c r="H22" s="47">
        <v>270</v>
      </c>
      <c r="I22" s="47">
        <v>182</v>
      </c>
      <c r="J22" s="47">
        <v>280</v>
      </c>
      <c r="K22" s="47">
        <v>199.8</v>
      </c>
      <c r="L22" s="47">
        <v>237.3</v>
      </c>
      <c r="M22" s="47">
        <v>166.5</v>
      </c>
      <c r="N22" s="47">
        <v>259</v>
      </c>
      <c r="O22" s="47">
        <v>227</v>
      </c>
      <c r="P22" s="47">
        <v>372</v>
      </c>
      <c r="Q22" s="47">
        <v>390</v>
      </c>
      <c r="R22" s="47">
        <v>265</v>
      </c>
      <c r="S22" s="47">
        <v>281</v>
      </c>
      <c r="T22" s="47">
        <v>180</v>
      </c>
      <c r="U22" s="47">
        <v>267</v>
      </c>
      <c r="V22" s="47">
        <v>278</v>
      </c>
      <c r="W22" s="47">
        <v>220</v>
      </c>
      <c r="X22" s="47">
        <v>112</v>
      </c>
      <c r="Y22" s="47">
        <v>229</v>
      </c>
      <c r="Z22" s="47">
        <v>165</v>
      </c>
      <c r="AA22" s="47">
        <v>200</v>
      </c>
      <c r="AB22" s="47">
        <v>158</v>
      </c>
      <c r="AC22" s="47">
        <v>171</v>
      </c>
      <c r="AD22" s="47">
        <v>175</v>
      </c>
      <c r="AE22" s="47">
        <v>289</v>
      </c>
      <c r="AF22" s="48">
        <v>10843</v>
      </c>
      <c r="AG22" s="48">
        <v>10303</v>
      </c>
      <c r="AH22" s="48">
        <v>14959</v>
      </c>
      <c r="AI22" s="48">
        <v>8369</v>
      </c>
      <c r="AJ22" s="48">
        <v>8295</v>
      </c>
      <c r="AK22" s="48">
        <v>13349</v>
      </c>
      <c r="AL22" s="48">
        <v>4588</v>
      </c>
      <c r="AM22" s="48">
        <v>2066</v>
      </c>
      <c r="AN22" s="48">
        <v>7680</v>
      </c>
      <c r="AO22" s="48">
        <v>3352</v>
      </c>
      <c r="AP22" s="48">
        <v>1000</v>
      </c>
      <c r="AQ22" s="48">
        <v>1518</v>
      </c>
      <c r="AR22" s="48">
        <v>573</v>
      </c>
      <c r="AS22" s="48">
        <v>233</v>
      </c>
      <c r="AT22" s="48">
        <v>1168</v>
      </c>
      <c r="AU22" s="48">
        <v>8506</v>
      </c>
      <c r="AV22" s="48">
        <v>2006</v>
      </c>
      <c r="AW22" s="48">
        <v>7071</v>
      </c>
      <c r="AX22" s="48">
        <v>1123</v>
      </c>
      <c r="AY22" s="48">
        <v>3031</v>
      </c>
      <c r="AZ22" s="48">
        <v>5136</v>
      </c>
      <c r="BA22" s="48">
        <v>1693</v>
      </c>
      <c r="BB22" s="48">
        <v>241</v>
      </c>
      <c r="BC22" s="48">
        <v>2887</v>
      </c>
      <c r="BD22" s="48">
        <v>433</v>
      </c>
      <c r="BE22" s="48">
        <v>267</v>
      </c>
      <c r="BF22" s="48">
        <v>159</v>
      </c>
      <c r="BG22" s="48">
        <v>337</v>
      </c>
      <c r="BH22" s="48">
        <v>93</v>
      </c>
      <c r="BI22" s="48">
        <v>770</v>
      </c>
    </row>
    <row r="23" spans="1:61" x14ac:dyDescent="0.2">
      <c r="A23" s="46">
        <v>38412</v>
      </c>
      <c r="B23" s="47">
        <v>486</v>
      </c>
      <c r="C23" s="47">
        <v>280</v>
      </c>
      <c r="D23" s="47">
        <v>310</v>
      </c>
      <c r="E23" s="47">
        <v>210</v>
      </c>
      <c r="F23" s="47">
        <v>312</v>
      </c>
      <c r="G23" s="47">
        <v>270</v>
      </c>
      <c r="H23" s="47">
        <v>270</v>
      </c>
      <c r="I23" s="47">
        <v>187</v>
      </c>
      <c r="J23" s="47">
        <v>290</v>
      </c>
      <c r="K23" s="47">
        <v>225</v>
      </c>
      <c r="L23" s="47">
        <v>240</v>
      </c>
      <c r="M23" s="47">
        <v>179</v>
      </c>
      <c r="N23" s="47">
        <v>275</v>
      </c>
      <c r="O23" s="47">
        <v>231</v>
      </c>
      <c r="P23" s="47">
        <v>374.7</v>
      </c>
      <c r="Q23" s="47">
        <v>385</v>
      </c>
      <c r="R23" s="47">
        <v>270</v>
      </c>
      <c r="S23" s="47">
        <v>285</v>
      </c>
      <c r="T23" s="47">
        <v>190</v>
      </c>
      <c r="U23" s="47">
        <v>257</v>
      </c>
      <c r="V23" s="47">
        <v>282.5</v>
      </c>
      <c r="W23" s="47">
        <v>212</v>
      </c>
      <c r="X23" s="47">
        <v>125</v>
      </c>
      <c r="Y23" s="47">
        <v>235</v>
      </c>
      <c r="Z23" s="47">
        <v>183</v>
      </c>
      <c r="AA23" s="47">
        <v>220</v>
      </c>
      <c r="AB23" s="47">
        <v>166</v>
      </c>
      <c r="AC23" s="47">
        <v>175</v>
      </c>
      <c r="AD23" s="47">
        <v>170.5</v>
      </c>
      <c r="AE23" s="47">
        <v>304.5</v>
      </c>
      <c r="AF23" s="48">
        <v>8967</v>
      </c>
      <c r="AG23" s="48">
        <v>9110</v>
      </c>
      <c r="AH23" s="48">
        <v>13292</v>
      </c>
      <c r="AI23" s="48">
        <v>8020</v>
      </c>
      <c r="AJ23" s="48">
        <v>8731</v>
      </c>
      <c r="AK23" s="48">
        <v>13591</v>
      </c>
      <c r="AL23" s="48">
        <v>4412</v>
      </c>
      <c r="AM23" s="48">
        <v>2045</v>
      </c>
      <c r="AN23" s="48">
        <v>8619</v>
      </c>
      <c r="AO23" s="48">
        <v>3851</v>
      </c>
      <c r="AP23" s="48">
        <v>875</v>
      </c>
      <c r="AQ23" s="48">
        <v>1514</v>
      </c>
      <c r="AR23" s="48">
        <v>596</v>
      </c>
      <c r="AS23" s="48">
        <v>199</v>
      </c>
      <c r="AT23" s="48">
        <v>1002</v>
      </c>
      <c r="AU23" s="48">
        <v>6743</v>
      </c>
      <c r="AV23" s="48">
        <v>1862</v>
      </c>
      <c r="AW23" s="48">
        <v>6617</v>
      </c>
      <c r="AX23" s="48">
        <v>1188</v>
      </c>
      <c r="AY23" s="48">
        <v>2761</v>
      </c>
      <c r="AZ23" s="48">
        <v>5073</v>
      </c>
      <c r="BA23" s="48">
        <v>1785</v>
      </c>
      <c r="BB23" s="48">
        <v>216</v>
      </c>
      <c r="BC23" s="48">
        <v>3289</v>
      </c>
      <c r="BD23" s="48">
        <v>457</v>
      </c>
      <c r="BE23" s="48">
        <v>239</v>
      </c>
      <c r="BF23" s="48">
        <v>217</v>
      </c>
      <c r="BG23" s="48">
        <v>374</v>
      </c>
      <c r="BH23" s="48">
        <v>102</v>
      </c>
      <c r="BI23" s="48">
        <v>705</v>
      </c>
    </row>
    <row r="24" spans="1:61" x14ac:dyDescent="0.2">
      <c r="A24" s="46">
        <v>38504</v>
      </c>
      <c r="B24" s="47">
        <v>500</v>
      </c>
      <c r="C24" s="47">
        <v>280</v>
      </c>
      <c r="D24" s="47">
        <v>320</v>
      </c>
      <c r="E24" s="47">
        <v>205</v>
      </c>
      <c r="F24" s="47">
        <v>312</v>
      </c>
      <c r="G24" s="47">
        <v>280</v>
      </c>
      <c r="H24" s="47">
        <v>271</v>
      </c>
      <c r="I24" s="47">
        <v>192</v>
      </c>
      <c r="J24" s="47">
        <v>300</v>
      </c>
      <c r="K24" s="47">
        <v>230</v>
      </c>
      <c r="L24" s="47">
        <v>250</v>
      </c>
      <c r="M24" s="47">
        <v>178.3</v>
      </c>
      <c r="N24" s="47">
        <v>280</v>
      </c>
      <c r="O24" s="47">
        <v>230</v>
      </c>
      <c r="P24" s="47">
        <v>373.5</v>
      </c>
      <c r="Q24" s="47">
        <v>387</v>
      </c>
      <c r="R24" s="47">
        <v>262</v>
      </c>
      <c r="S24" s="47">
        <v>287</v>
      </c>
      <c r="T24" s="47">
        <v>190</v>
      </c>
      <c r="U24" s="47">
        <v>265</v>
      </c>
      <c r="V24" s="47">
        <v>282</v>
      </c>
      <c r="W24" s="47">
        <v>216.5</v>
      </c>
      <c r="X24" s="47">
        <v>124.8</v>
      </c>
      <c r="Y24" s="47">
        <v>247.5</v>
      </c>
      <c r="Z24" s="47">
        <v>175</v>
      </c>
      <c r="AA24" s="47">
        <v>233.5</v>
      </c>
      <c r="AB24" s="47">
        <v>170</v>
      </c>
      <c r="AC24" s="47">
        <v>207</v>
      </c>
      <c r="AD24" s="47">
        <v>180</v>
      </c>
      <c r="AE24" s="47">
        <v>307.8</v>
      </c>
      <c r="AF24" s="48">
        <v>10272</v>
      </c>
      <c r="AG24" s="48">
        <v>9338</v>
      </c>
      <c r="AH24" s="48">
        <v>15115</v>
      </c>
      <c r="AI24" s="48">
        <v>8235</v>
      </c>
      <c r="AJ24" s="48">
        <v>8287</v>
      </c>
      <c r="AK24" s="48">
        <v>12026</v>
      </c>
      <c r="AL24" s="48">
        <v>4424</v>
      </c>
      <c r="AM24" s="48">
        <v>1907</v>
      </c>
      <c r="AN24" s="48">
        <v>8604</v>
      </c>
      <c r="AO24" s="48">
        <v>3416</v>
      </c>
      <c r="AP24" s="48">
        <v>852</v>
      </c>
      <c r="AQ24" s="48">
        <v>1256</v>
      </c>
      <c r="AR24" s="48">
        <v>567</v>
      </c>
      <c r="AS24" s="48">
        <v>194</v>
      </c>
      <c r="AT24" s="48">
        <v>1071</v>
      </c>
      <c r="AU24" s="48">
        <v>8076</v>
      </c>
      <c r="AV24" s="48">
        <v>1745</v>
      </c>
      <c r="AW24" s="48">
        <v>7434</v>
      </c>
      <c r="AX24" s="48">
        <v>1078</v>
      </c>
      <c r="AY24" s="48">
        <v>2789</v>
      </c>
      <c r="AZ24" s="48">
        <v>4502</v>
      </c>
      <c r="BA24" s="48">
        <v>1665</v>
      </c>
      <c r="BB24" s="48">
        <v>238</v>
      </c>
      <c r="BC24" s="48">
        <v>3194</v>
      </c>
      <c r="BD24" s="48">
        <v>429</v>
      </c>
      <c r="BE24" s="48">
        <v>242</v>
      </c>
      <c r="BF24" s="48">
        <v>163</v>
      </c>
      <c r="BG24" s="48">
        <v>322</v>
      </c>
      <c r="BH24" s="48">
        <v>82</v>
      </c>
      <c r="BI24" s="48">
        <v>832</v>
      </c>
    </row>
    <row r="25" spans="1:61" x14ac:dyDescent="0.2">
      <c r="A25" s="46">
        <v>38596</v>
      </c>
      <c r="B25" s="47">
        <v>490</v>
      </c>
      <c r="C25" s="47">
        <v>280</v>
      </c>
      <c r="D25" s="47">
        <v>320</v>
      </c>
      <c r="E25" s="47">
        <v>210</v>
      </c>
      <c r="F25" s="47">
        <v>314.89999999999998</v>
      </c>
      <c r="G25" s="47">
        <v>285</v>
      </c>
      <c r="H25" s="47">
        <v>275</v>
      </c>
      <c r="I25" s="47">
        <v>189.3</v>
      </c>
      <c r="J25" s="47">
        <v>315</v>
      </c>
      <c r="K25" s="47">
        <v>245</v>
      </c>
      <c r="L25" s="47">
        <v>245</v>
      </c>
      <c r="M25" s="47">
        <v>180</v>
      </c>
      <c r="N25" s="47">
        <v>295</v>
      </c>
      <c r="O25" s="47">
        <v>232</v>
      </c>
      <c r="P25" s="47">
        <v>365</v>
      </c>
      <c r="Q25" s="47">
        <v>380</v>
      </c>
      <c r="R25" s="47">
        <v>268</v>
      </c>
      <c r="S25" s="47">
        <v>286</v>
      </c>
      <c r="T25" s="47">
        <v>191.3</v>
      </c>
      <c r="U25" s="47">
        <v>271.7</v>
      </c>
      <c r="V25" s="47">
        <v>282</v>
      </c>
      <c r="W25" s="47">
        <v>225.3</v>
      </c>
      <c r="X25" s="47">
        <v>131</v>
      </c>
      <c r="Y25" s="47">
        <v>255</v>
      </c>
      <c r="Z25" s="47">
        <v>190</v>
      </c>
      <c r="AA25" s="47">
        <v>200</v>
      </c>
      <c r="AB25" s="47">
        <v>175</v>
      </c>
      <c r="AC25" s="47">
        <v>195</v>
      </c>
      <c r="AD25" s="47">
        <v>188.5</v>
      </c>
      <c r="AE25" s="47">
        <v>305</v>
      </c>
      <c r="AF25" s="48">
        <v>10834</v>
      </c>
      <c r="AG25" s="48">
        <v>9838</v>
      </c>
      <c r="AH25" s="48">
        <v>14188</v>
      </c>
      <c r="AI25" s="48">
        <v>7820</v>
      </c>
      <c r="AJ25" s="48">
        <v>8955</v>
      </c>
      <c r="AK25" s="48">
        <v>12954</v>
      </c>
      <c r="AL25" s="48">
        <v>4516</v>
      </c>
      <c r="AM25" s="48">
        <v>1950</v>
      </c>
      <c r="AN25" s="48">
        <v>8947</v>
      </c>
      <c r="AO25" s="48">
        <v>3655</v>
      </c>
      <c r="AP25" s="48">
        <v>980</v>
      </c>
      <c r="AQ25" s="48">
        <v>1536</v>
      </c>
      <c r="AR25" s="48">
        <v>586</v>
      </c>
      <c r="AS25" s="48">
        <v>232</v>
      </c>
      <c r="AT25" s="48">
        <v>1037</v>
      </c>
      <c r="AU25" s="48">
        <v>8566</v>
      </c>
      <c r="AV25" s="48">
        <v>2055</v>
      </c>
      <c r="AW25" s="48">
        <v>7295</v>
      </c>
      <c r="AX25" s="48">
        <v>1043</v>
      </c>
      <c r="AY25" s="48">
        <v>2842</v>
      </c>
      <c r="AZ25" s="48">
        <v>4991</v>
      </c>
      <c r="BA25" s="48">
        <v>1704</v>
      </c>
      <c r="BB25" s="48">
        <v>251</v>
      </c>
      <c r="BC25" s="48">
        <v>3396</v>
      </c>
      <c r="BD25" s="48">
        <v>495</v>
      </c>
      <c r="BE25" s="48">
        <v>297</v>
      </c>
      <c r="BF25" s="48">
        <v>174</v>
      </c>
      <c r="BG25" s="48">
        <v>361</v>
      </c>
      <c r="BH25" s="48">
        <v>84</v>
      </c>
      <c r="BI25" s="48">
        <v>778</v>
      </c>
    </row>
    <row r="26" spans="1:61" x14ac:dyDescent="0.2">
      <c r="A26" s="46">
        <v>38687</v>
      </c>
      <c r="B26" s="47">
        <v>500</v>
      </c>
      <c r="C26" s="47">
        <v>285</v>
      </c>
      <c r="D26" s="47">
        <v>332</v>
      </c>
      <c r="E26" s="47">
        <v>220</v>
      </c>
      <c r="F26" s="47">
        <v>320</v>
      </c>
      <c r="G26" s="47">
        <v>290</v>
      </c>
      <c r="H26" s="47">
        <v>280</v>
      </c>
      <c r="I26" s="47">
        <v>199</v>
      </c>
      <c r="J26" s="47">
        <v>340</v>
      </c>
      <c r="K26" s="47">
        <v>265</v>
      </c>
      <c r="L26" s="47">
        <v>252.5</v>
      </c>
      <c r="M26" s="47">
        <v>192</v>
      </c>
      <c r="N26" s="47">
        <v>320</v>
      </c>
      <c r="O26" s="47">
        <v>246</v>
      </c>
      <c r="P26" s="47">
        <v>387</v>
      </c>
      <c r="Q26" s="47">
        <v>383</v>
      </c>
      <c r="R26" s="47">
        <v>270</v>
      </c>
      <c r="S26" s="47">
        <v>290</v>
      </c>
      <c r="T26" s="47">
        <v>195</v>
      </c>
      <c r="U26" s="47">
        <v>280</v>
      </c>
      <c r="V26" s="47">
        <v>290</v>
      </c>
      <c r="W26" s="47">
        <v>228.8</v>
      </c>
      <c r="X26" s="47">
        <v>145</v>
      </c>
      <c r="Y26" s="47">
        <v>276</v>
      </c>
      <c r="Z26" s="47">
        <v>220</v>
      </c>
      <c r="AA26" s="47">
        <v>215</v>
      </c>
      <c r="AB26" s="47">
        <v>165</v>
      </c>
      <c r="AC26" s="47">
        <v>225</v>
      </c>
      <c r="AD26" s="47">
        <v>197.8</v>
      </c>
      <c r="AE26" s="47">
        <v>308</v>
      </c>
      <c r="AF26" s="48">
        <v>9786</v>
      </c>
      <c r="AG26" s="48">
        <v>10586</v>
      </c>
      <c r="AH26" s="48">
        <v>15709</v>
      </c>
      <c r="AI26" s="48">
        <v>8773</v>
      </c>
      <c r="AJ26" s="48">
        <v>8485</v>
      </c>
      <c r="AK26" s="48">
        <v>12749</v>
      </c>
      <c r="AL26" s="48">
        <v>4512</v>
      </c>
      <c r="AM26" s="48">
        <v>2032</v>
      </c>
      <c r="AN26" s="48">
        <v>9147</v>
      </c>
      <c r="AO26" s="48">
        <v>3715</v>
      </c>
      <c r="AP26" s="48">
        <v>1020</v>
      </c>
      <c r="AQ26" s="48">
        <v>1500</v>
      </c>
      <c r="AR26" s="48">
        <v>566</v>
      </c>
      <c r="AS26" s="48">
        <v>253</v>
      </c>
      <c r="AT26" s="48">
        <v>1205</v>
      </c>
      <c r="AU26" s="48">
        <v>7810</v>
      </c>
      <c r="AV26" s="48">
        <v>2081</v>
      </c>
      <c r="AW26" s="48">
        <v>7369</v>
      </c>
      <c r="AX26" s="48">
        <v>1126</v>
      </c>
      <c r="AY26" s="48">
        <v>2706</v>
      </c>
      <c r="AZ26" s="48">
        <v>4559</v>
      </c>
      <c r="BA26" s="48">
        <v>1840</v>
      </c>
      <c r="BB26" s="48">
        <v>281</v>
      </c>
      <c r="BC26" s="48">
        <v>3304</v>
      </c>
      <c r="BD26" s="48">
        <v>492</v>
      </c>
      <c r="BE26" s="48">
        <v>301</v>
      </c>
      <c r="BF26" s="48">
        <v>207</v>
      </c>
      <c r="BG26" s="48">
        <v>399</v>
      </c>
      <c r="BH26" s="48">
        <v>82</v>
      </c>
      <c r="BI26" s="48">
        <v>845</v>
      </c>
    </row>
    <row r="27" spans="1:61" x14ac:dyDescent="0.2">
      <c r="A27" s="46">
        <v>38777</v>
      </c>
      <c r="B27" s="47">
        <v>470</v>
      </c>
      <c r="C27" s="47">
        <v>290</v>
      </c>
      <c r="D27" s="47">
        <v>330</v>
      </c>
      <c r="E27" s="47">
        <v>224</v>
      </c>
      <c r="F27" s="47">
        <v>325</v>
      </c>
      <c r="G27" s="47">
        <v>309</v>
      </c>
      <c r="H27" s="47">
        <v>280</v>
      </c>
      <c r="I27" s="47">
        <v>210</v>
      </c>
      <c r="J27" s="47">
        <v>370</v>
      </c>
      <c r="K27" s="47">
        <v>295</v>
      </c>
      <c r="L27" s="47">
        <v>260</v>
      </c>
      <c r="M27" s="47">
        <v>192</v>
      </c>
      <c r="N27" s="47">
        <v>341.5</v>
      </c>
      <c r="O27" s="47">
        <v>215</v>
      </c>
      <c r="P27" s="47">
        <v>385</v>
      </c>
      <c r="Q27" s="47">
        <v>375</v>
      </c>
      <c r="R27" s="47">
        <v>280</v>
      </c>
      <c r="S27" s="47">
        <v>299.5</v>
      </c>
      <c r="T27" s="47">
        <v>200</v>
      </c>
      <c r="U27" s="47">
        <v>280</v>
      </c>
      <c r="V27" s="47">
        <v>292.60000000000002</v>
      </c>
      <c r="W27" s="47">
        <v>225</v>
      </c>
      <c r="X27" s="47">
        <v>151.30000000000001</v>
      </c>
      <c r="Y27" s="47">
        <v>292</v>
      </c>
      <c r="Z27" s="47">
        <v>235</v>
      </c>
      <c r="AA27" s="47">
        <v>225</v>
      </c>
      <c r="AB27" s="47">
        <v>170</v>
      </c>
      <c r="AC27" s="47">
        <v>235</v>
      </c>
      <c r="AD27" s="47">
        <v>170</v>
      </c>
      <c r="AE27" s="47">
        <v>310</v>
      </c>
      <c r="AF27" s="48">
        <v>10484</v>
      </c>
      <c r="AG27" s="48">
        <v>10290</v>
      </c>
      <c r="AH27" s="48">
        <v>12882</v>
      </c>
      <c r="AI27" s="48">
        <v>7811</v>
      </c>
      <c r="AJ27" s="48">
        <v>10005</v>
      </c>
      <c r="AK27" s="48">
        <v>14329</v>
      </c>
      <c r="AL27" s="48">
        <v>4842</v>
      </c>
      <c r="AM27" s="48">
        <v>2199</v>
      </c>
      <c r="AN27" s="48">
        <v>10203</v>
      </c>
      <c r="AO27" s="48">
        <v>4111</v>
      </c>
      <c r="AP27" s="48">
        <v>1243</v>
      </c>
      <c r="AQ27" s="48">
        <v>1848</v>
      </c>
      <c r="AR27" s="48">
        <v>554</v>
      </c>
      <c r="AS27" s="48">
        <v>271</v>
      </c>
      <c r="AT27" s="48">
        <v>1141</v>
      </c>
      <c r="AU27" s="48">
        <v>7690</v>
      </c>
      <c r="AV27" s="48">
        <v>2185</v>
      </c>
      <c r="AW27" s="48">
        <v>6237</v>
      </c>
      <c r="AX27" s="48">
        <v>1164</v>
      </c>
      <c r="AY27" s="48">
        <v>3157</v>
      </c>
      <c r="AZ27" s="48">
        <v>5372</v>
      </c>
      <c r="BA27" s="48">
        <v>1778</v>
      </c>
      <c r="BB27" s="48">
        <v>300</v>
      </c>
      <c r="BC27" s="48">
        <v>3499</v>
      </c>
      <c r="BD27" s="48">
        <v>455</v>
      </c>
      <c r="BE27" s="48">
        <v>365</v>
      </c>
      <c r="BF27" s="48">
        <v>203</v>
      </c>
      <c r="BG27" s="48">
        <v>354</v>
      </c>
      <c r="BH27" s="48">
        <v>103</v>
      </c>
      <c r="BI27" s="48">
        <v>793</v>
      </c>
    </row>
    <row r="28" spans="1:61" x14ac:dyDescent="0.2">
      <c r="A28" s="46">
        <v>38869</v>
      </c>
      <c r="B28" s="47">
        <v>495</v>
      </c>
      <c r="C28" s="47">
        <v>290</v>
      </c>
      <c r="D28" s="47">
        <v>345</v>
      </c>
      <c r="E28" s="47">
        <v>220</v>
      </c>
      <c r="F28" s="47">
        <v>330</v>
      </c>
      <c r="G28" s="47">
        <v>312.5</v>
      </c>
      <c r="H28" s="47">
        <v>286</v>
      </c>
      <c r="I28" s="47">
        <v>210</v>
      </c>
      <c r="J28" s="47">
        <v>415</v>
      </c>
      <c r="K28" s="47">
        <v>324</v>
      </c>
      <c r="L28" s="47">
        <v>270</v>
      </c>
      <c r="M28" s="47">
        <v>200</v>
      </c>
      <c r="N28" s="47">
        <v>349.5</v>
      </c>
      <c r="O28" s="47">
        <v>240</v>
      </c>
      <c r="P28" s="47">
        <v>399.5</v>
      </c>
      <c r="Q28" s="47">
        <v>390</v>
      </c>
      <c r="R28" s="47">
        <v>277.5</v>
      </c>
      <c r="S28" s="47">
        <v>306.60000000000002</v>
      </c>
      <c r="T28" s="47">
        <v>197.8</v>
      </c>
      <c r="U28" s="47">
        <v>295</v>
      </c>
      <c r="V28" s="47">
        <v>295</v>
      </c>
      <c r="W28" s="47">
        <v>235</v>
      </c>
      <c r="X28" s="47">
        <v>145</v>
      </c>
      <c r="Y28" s="47">
        <v>332.5</v>
      </c>
      <c r="Z28" s="47">
        <v>230</v>
      </c>
      <c r="AA28" s="47">
        <v>229</v>
      </c>
      <c r="AB28" s="47">
        <v>178.5</v>
      </c>
      <c r="AC28" s="47">
        <v>245</v>
      </c>
      <c r="AD28" s="47">
        <v>198</v>
      </c>
      <c r="AE28" s="47">
        <v>325</v>
      </c>
      <c r="AF28" s="48">
        <v>11867</v>
      </c>
      <c r="AG28" s="48">
        <v>10371</v>
      </c>
      <c r="AH28" s="48">
        <v>14022</v>
      </c>
      <c r="AI28" s="48">
        <v>7700</v>
      </c>
      <c r="AJ28" s="48">
        <v>9189</v>
      </c>
      <c r="AK28" s="48">
        <v>13152</v>
      </c>
      <c r="AL28" s="48">
        <v>4928</v>
      </c>
      <c r="AM28" s="48">
        <v>2111</v>
      </c>
      <c r="AN28" s="48">
        <v>8864</v>
      </c>
      <c r="AO28" s="48">
        <v>3574</v>
      </c>
      <c r="AP28" s="48">
        <v>1124</v>
      </c>
      <c r="AQ28" s="48">
        <v>1569</v>
      </c>
      <c r="AR28" s="48">
        <v>514</v>
      </c>
      <c r="AS28" s="48">
        <v>229</v>
      </c>
      <c r="AT28" s="48">
        <v>1294</v>
      </c>
      <c r="AU28" s="48">
        <v>9547</v>
      </c>
      <c r="AV28" s="48">
        <v>2233</v>
      </c>
      <c r="AW28" s="48">
        <v>7092</v>
      </c>
      <c r="AX28" s="48">
        <v>1072</v>
      </c>
      <c r="AY28" s="48">
        <v>3246</v>
      </c>
      <c r="AZ28" s="48">
        <v>4764</v>
      </c>
      <c r="BA28" s="48">
        <v>1988</v>
      </c>
      <c r="BB28" s="48">
        <v>236</v>
      </c>
      <c r="BC28" s="48">
        <v>2903</v>
      </c>
      <c r="BD28" s="48">
        <v>478</v>
      </c>
      <c r="BE28" s="48">
        <v>317</v>
      </c>
      <c r="BF28" s="48">
        <v>226</v>
      </c>
      <c r="BG28" s="48">
        <v>324</v>
      </c>
      <c r="BH28" s="48">
        <v>77</v>
      </c>
      <c r="BI28" s="48">
        <v>1006</v>
      </c>
    </row>
    <row r="29" spans="1:61" x14ac:dyDescent="0.2">
      <c r="A29" s="46">
        <v>38961</v>
      </c>
      <c r="B29" s="47">
        <v>482</v>
      </c>
      <c r="C29" s="47">
        <v>285</v>
      </c>
      <c r="D29" s="47">
        <v>346</v>
      </c>
      <c r="E29" s="47">
        <v>222</v>
      </c>
      <c r="F29" s="47">
        <v>335</v>
      </c>
      <c r="G29" s="47">
        <v>318.39999999999998</v>
      </c>
      <c r="H29" s="47">
        <v>290</v>
      </c>
      <c r="I29" s="47">
        <v>200</v>
      </c>
      <c r="J29" s="47">
        <v>450</v>
      </c>
      <c r="K29" s="47">
        <v>335</v>
      </c>
      <c r="L29" s="47">
        <v>270</v>
      </c>
      <c r="M29" s="47">
        <v>195</v>
      </c>
      <c r="N29" s="47">
        <v>360</v>
      </c>
      <c r="O29" s="47">
        <v>247.5</v>
      </c>
      <c r="P29" s="47">
        <v>413</v>
      </c>
      <c r="Q29" s="47">
        <v>380</v>
      </c>
      <c r="R29" s="47">
        <v>275</v>
      </c>
      <c r="S29" s="47">
        <v>315</v>
      </c>
      <c r="T29" s="47">
        <v>191</v>
      </c>
      <c r="U29" s="47">
        <v>292</v>
      </c>
      <c r="V29" s="47">
        <v>300</v>
      </c>
      <c r="W29" s="47">
        <v>240</v>
      </c>
      <c r="X29" s="47">
        <v>131</v>
      </c>
      <c r="Y29" s="47">
        <v>350</v>
      </c>
      <c r="Z29" s="47">
        <v>260</v>
      </c>
      <c r="AA29" s="47">
        <v>230</v>
      </c>
      <c r="AB29" s="47">
        <v>180.8</v>
      </c>
      <c r="AC29" s="47">
        <v>246.5</v>
      </c>
      <c r="AD29" s="47">
        <v>213.5</v>
      </c>
      <c r="AE29" s="47">
        <v>312</v>
      </c>
      <c r="AF29" s="48">
        <v>11078</v>
      </c>
      <c r="AG29" s="48">
        <v>10226</v>
      </c>
      <c r="AH29" s="48">
        <v>14401</v>
      </c>
      <c r="AI29" s="48">
        <v>7954</v>
      </c>
      <c r="AJ29" s="48">
        <v>9954</v>
      </c>
      <c r="AK29" s="48">
        <v>14102</v>
      </c>
      <c r="AL29" s="48">
        <v>4774</v>
      </c>
      <c r="AM29" s="48">
        <v>2103</v>
      </c>
      <c r="AN29" s="48">
        <v>7184</v>
      </c>
      <c r="AO29" s="48">
        <v>3070</v>
      </c>
      <c r="AP29" s="48">
        <v>956</v>
      </c>
      <c r="AQ29" s="48">
        <v>1619</v>
      </c>
      <c r="AR29" s="48">
        <v>535</v>
      </c>
      <c r="AS29" s="48">
        <v>200</v>
      </c>
      <c r="AT29" s="48">
        <v>1136</v>
      </c>
      <c r="AU29" s="48">
        <v>8849</v>
      </c>
      <c r="AV29" s="48">
        <v>2229</v>
      </c>
      <c r="AW29" s="48">
        <v>7461</v>
      </c>
      <c r="AX29" s="48">
        <v>1136</v>
      </c>
      <c r="AY29" s="48">
        <v>3397</v>
      </c>
      <c r="AZ29" s="48">
        <v>5049</v>
      </c>
      <c r="BA29" s="48">
        <v>2011</v>
      </c>
      <c r="BB29" s="48">
        <v>238</v>
      </c>
      <c r="BC29" s="48">
        <v>2810</v>
      </c>
      <c r="BD29" s="48">
        <v>442</v>
      </c>
      <c r="BE29" s="48">
        <v>337</v>
      </c>
      <c r="BF29" s="48">
        <v>240</v>
      </c>
      <c r="BG29" s="48">
        <v>340</v>
      </c>
      <c r="BH29" s="48">
        <v>91</v>
      </c>
      <c r="BI29" s="48">
        <v>915</v>
      </c>
    </row>
    <row r="30" spans="1:61" x14ac:dyDescent="0.2">
      <c r="A30" s="46">
        <v>39052</v>
      </c>
      <c r="B30" s="47">
        <v>500</v>
      </c>
      <c r="C30" s="47">
        <v>290</v>
      </c>
      <c r="D30" s="47">
        <v>360</v>
      </c>
      <c r="E30" s="47">
        <v>230</v>
      </c>
      <c r="F30" s="47">
        <v>343.5</v>
      </c>
      <c r="G30" s="47">
        <v>330</v>
      </c>
      <c r="H30" s="47">
        <v>300</v>
      </c>
      <c r="I30" s="47">
        <v>215</v>
      </c>
      <c r="J30" s="47">
        <v>470</v>
      </c>
      <c r="K30" s="47">
        <v>350</v>
      </c>
      <c r="L30" s="47">
        <v>278</v>
      </c>
      <c r="M30" s="47">
        <v>199</v>
      </c>
      <c r="N30" s="47">
        <v>380</v>
      </c>
      <c r="O30" s="47">
        <v>260</v>
      </c>
      <c r="P30" s="47">
        <v>420.8</v>
      </c>
      <c r="Q30" s="47">
        <v>393.1</v>
      </c>
      <c r="R30" s="47">
        <v>277</v>
      </c>
      <c r="S30" s="47">
        <v>315</v>
      </c>
      <c r="T30" s="47">
        <v>192</v>
      </c>
      <c r="U30" s="47">
        <v>298</v>
      </c>
      <c r="V30" s="47">
        <v>310</v>
      </c>
      <c r="W30" s="47">
        <v>246</v>
      </c>
      <c r="X30" s="47">
        <v>150</v>
      </c>
      <c r="Y30" s="47">
        <v>362.5</v>
      </c>
      <c r="Z30" s="47">
        <v>297</v>
      </c>
      <c r="AA30" s="47">
        <v>231</v>
      </c>
      <c r="AB30" s="47">
        <v>185.5</v>
      </c>
      <c r="AC30" s="47">
        <v>260</v>
      </c>
      <c r="AD30" s="47">
        <v>198</v>
      </c>
      <c r="AE30" s="47">
        <v>317.5</v>
      </c>
      <c r="AF30" s="48">
        <v>11450</v>
      </c>
      <c r="AG30" s="48">
        <v>10374</v>
      </c>
      <c r="AH30" s="48">
        <v>15088</v>
      </c>
      <c r="AI30" s="48">
        <v>7533</v>
      </c>
      <c r="AJ30" s="48">
        <v>9627</v>
      </c>
      <c r="AK30" s="48">
        <v>13529</v>
      </c>
      <c r="AL30" s="48">
        <v>4955</v>
      </c>
      <c r="AM30" s="48">
        <v>2235</v>
      </c>
      <c r="AN30" s="48">
        <v>5860</v>
      </c>
      <c r="AO30" s="48">
        <v>2513</v>
      </c>
      <c r="AP30" s="48">
        <v>971</v>
      </c>
      <c r="AQ30" s="48">
        <v>1556</v>
      </c>
      <c r="AR30" s="48">
        <v>495</v>
      </c>
      <c r="AS30" s="48">
        <v>204</v>
      </c>
      <c r="AT30" s="48">
        <v>1318</v>
      </c>
      <c r="AU30" s="48">
        <v>8884</v>
      </c>
      <c r="AV30" s="48">
        <v>2166</v>
      </c>
      <c r="AW30" s="48">
        <v>7587</v>
      </c>
      <c r="AX30" s="48">
        <v>1107</v>
      </c>
      <c r="AY30" s="48">
        <v>3314</v>
      </c>
      <c r="AZ30" s="48">
        <v>5026</v>
      </c>
      <c r="BA30" s="48">
        <v>1886</v>
      </c>
      <c r="BB30" s="48">
        <v>259</v>
      </c>
      <c r="BC30" s="48">
        <v>2226</v>
      </c>
      <c r="BD30" s="48">
        <v>362</v>
      </c>
      <c r="BE30" s="48">
        <v>318</v>
      </c>
      <c r="BF30" s="48">
        <v>236</v>
      </c>
      <c r="BG30" s="48">
        <v>306</v>
      </c>
      <c r="BH30" s="48">
        <v>71</v>
      </c>
      <c r="BI30" s="48">
        <v>945</v>
      </c>
    </row>
    <row r="31" spans="1:61" x14ac:dyDescent="0.2">
      <c r="A31" s="46">
        <v>39142</v>
      </c>
      <c r="B31" s="47">
        <v>480</v>
      </c>
      <c r="C31" s="47">
        <v>300</v>
      </c>
      <c r="D31" s="47">
        <v>345</v>
      </c>
      <c r="E31" s="47">
        <v>230</v>
      </c>
      <c r="F31" s="47">
        <v>352</v>
      </c>
      <c r="G31" s="47">
        <v>347</v>
      </c>
      <c r="H31" s="47">
        <v>305</v>
      </c>
      <c r="I31" s="47">
        <v>223</v>
      </c>
      <c r="J31" s="47">
        <v>475</v>
      </c>
      <c r="K31" s="47">
        <v>370</v>
      </c>
      <c r="L31" s="47">
        <v>280</v>
      </c>
      <c r="M31" s="47">
        <v>210</v>
      </c>
      <c r="N31" s="47">
        <v>389.5</v>
      </c>
      <c r="O31" s="47">
        <v>250</v>
      </c>
      <c r="P31" s="47">
        <v>430</v>
      </c>
      <c r="Q31" s="47">
        <v>380</v>
      </c>
      <c r="R31" s="47">
        <v>270</v>
      </c>
      <c r="S31" s="47">
        <v>320</v>
      </c>
      <c r="T31" s="47">
        <v>200</v>
      </c>
      <c r="U31" s="47">
        <v>305</v>
      </c>
      <c r="V31" s="47">
        <v>320</v>
      </c>
      <c r="W31" s="47">
        <v>245</v>
      </c>
      <c r="X31" s="47">
        <v>150</v>
      </c>
      <c r="Y31" s="47">
        <v>370</v>
      </c>
      <c r="Z31" s="47">
        <v>285</v>
      </c>
      <c r="AA31" s="47">
        <v>240</v>
      </c>
      <c r="AB31" s="47">
        <v>184</v>
      </c>
      <c r="AC31" s="47">
        <v>280</v>
      </c>
      <c r="AD31" s="47">
        <v>232.8</v>
      </c>
      <c r="AE31" s="47">
        <v>325</v>
      </c>
      <c r="AF31" s="48">
        <v>11641</v>
      </c>
      <c r="AG31" s="48">
        <v>10605</v>
      </c>
      <c r="AH31" s="48">
        <v>15291</v>
      </c>
      <c r="AI31" s="48">
        <v>8528</v>
      </c>
      <c r="AJ31" s="48">
        <v>12341</v>
      </c>
      <c r="AK31" s="48">
        <v>15869</v>
      </c>
      <c r="AL31" s="48">
        <v>5396</v>
      </c>
      <c r="AM31" s="48">
        <v>2363</v>
      </c>
      <c r="AN31" s="48">
        <v>6548</v>
      </c>
      <c r="AO31" s="48">
        <v>2693</v>
      </c>
      <c r="AP31" s="48">
        <v>1210</v>
      </c>
      <c r="AQ31" s="48">
        <v>1775</v>
      </c>
      <c r="AR31" s="48">
        <v>496</v>
      </c>
      <c r="AS31" s="48">
        <v>183</v>
      </c>
      <c r="AT31" s="48">
        <v>1308</v>
      </c>
      <c r="AU31" s="48">
        <v>9065</v>
      </c>
      <c r="AV31" s="48">
        <v>2339</v>
      </c>
      <c r="AW31" s="48">
        <v>8296</v>
      </c>
      <c r="AX31" s="48">
        <v>1267</v>
      </c>
      <c r="AY31" s="48">
        <v>4020</v>
      </c>
      <c r="AZ31" s="48">
        <v>6339</v>
      </c>
      <c r="BA31" s="48">
        <v>2135</v>
      </c>
      <c r="BB31" s="48">
        <v>303</v>
      </c>
      <c r="BC31" s="48">
        <v>2428</v>
      </c>
      <c r="BD31" s="48">
        <v>362</v>
      </c>
      <c r="BE31" s="48">
        <v>406</v>
      </c>
      <c r="BF31" s="48">
        <v>285</v>
      </c>
      <c r="BG31" s="48">
        <v>406</v>
      </c>
      <c r="BH31" s="48">
        <v>86</v>
      </c>
      <c r="BI31" s="48">
        <v>1076</v>
      </c>
    </row>
    <row r="32" spans="1:61" x14ac:dyDescent="0.2">
      <c r="A32" s="46">
        <v>39234</v>
      </c>
      <c r="B32" s="47">
        <v>512.29999999999995</v>
      </c>
      <c r="C32" s="47">
        <v>300</v>
      </c>
      <c r="D32" s="47">
        <v>362</v>
      </c>
      <c r="E32" s="47">
        <v>230</v>
      </c>
      <c r="F32" s="47">
        <v>375</v>
      </c>
      <c r="G32" s="47">
        <v>365</v>
      </c>
      <c r="H32" s="47">
        <v>315</v>
      </c>
      <c r="I32" s="47">
        <v>223.3</v>
      </c>
      <c r="J32" s="47">
        <v>465</v>
      </c>
      <c r="K32" s="47">
        <v>374</v>
      </c>
      <c r="L32" s="47">
        <v>291.5</v>
      </c>
      <c r="M32" s="47">
        <v>220</v>
      </c>
      <c r="N32" s="47">
        <v>395</v>
      </c>
      <c r="O32" s="47">
        <v>278.8</v>
      </c>
      <c r="P32" s="47">
        <v>445</v>
      </c>
      <c r="Q32" s="47">
        <v>395</v>
      </c>
      <c r="R32" s="47">
        <v>280</v>
      </c>
      <c r="S32" s="47">
        <v>340</v>
      </c>
      <c r="T32" s="47">
        <v>201</v>
      </c>
      <c r="U32" s="47">
        <v>325</v>
      </c>
      <c r="V32" s="47">
        <v>327</v>
      </c>
      <c r="W32" s="47">
        <v>265</v>
      </c>
      <c r="X32" s="47">
        <v>156</v>
      </c>
      <c r="Y32" s="47">
        <v>370</v>
      </c>
      <c r="Z32" s="47">
        <v>299</v>
      </c>
      <c r="AA32" s="47">
        <v>240</v>
      </c>
      <c r="AB32" s="47">
        <v>191</v>
      </c>
      <c r="AC32" s="47">
        <v>302.5</v>
      </c>
      <c r="AD32" s="47">
        <v>213</v>
      </c>
      <c r="AE32" s="47">
        <v>355</v>
      </c>
      <c r="AF32" s="48">
        <v>13978</v>
      </c>
      <c r="AG32" s="48">
        <v>11810</v>
      </c>
      <c r="AH32" s="48">
        <v>17528</v>
      </c>
      <c r="AI32" s="48">
        <v>8752</v>
      </c>
      <c r="AJ32" s="48">
        <v>11698</v>
      </c>
      <c r="AK32" s="48">
        <v>14731</v>
      </c>
      <c r="AL32" s="48">
        <v>5762</v>
      </c>
      <c r="AM32" s="48">
        <v>2464</v>
      </c>
      <c r="AN32" s="48">
        <v>6139</v>
      </c>
      <c r="AO32" s="48">
        <v>2753</v>
      </c>
      <c r="AP32" s="48">
        <v>1195</v>
      </c>
      <c r="AQ32" s="48">
        <v>1665</v>
      </c>
      <c r="AR32" s="48">
        <v>450</v>
      </c>
      <c r="AS32" s="48">
        <v>172</v>
      </c>
      <c r="AT32" s="48">
        <v>1260</v>
      </c>
      <c r="AU32" s="48">
        <v>11923</v>
      </c>
      <c r="AV32" s="48">
        <v>2541</v>
      </c>
      <c r="AW32" s="48">
        <v>10408</v>
      </c>
      <c r="AX32" s="48">
        <v>1188</v>
      </c>
      <c r="AY32" s="48">
        <v>4227</v>
      </c>
      <c r="AZ32" s="48">
        <v>6132</v>
      </c>
      <c r="BA32" s="48">
        <v>2196</v>
      </c>
      <c r="BB32" s="48">
        <v>348</v>
      </c>
      <c r="BC32" s="48">
        <v>2206</v>
      </c>
      <c r="BD32" s="48">
        <v>339</v>
      </c>
      <c r="BE32" s="48">
        <v>394</v>
      </c>
      <c r="BF32" s="48">
        <v>253</v>
      </c>
      <c r="BG32" s="48">
        <v>450</v>
      </c>
      <c r="BH32" s="48">
        <v>85</v>
      </c>
      <c r="BI32" s="48">
        <v>1136</v>
      </c>
    </row>
    <row r="33" spans="1:61" x14ac:dyDescent="0.2">
      <c r="A33" s="46">
        <v>39326</v>
      </c>
      <c r="B33" s="47">
        <v>514</v>
      </c>
      <c r="C33" s="47">
        <v>300</v>
      </c>
      <c r="D33" s="47">
        <v>370</v>
      </c>
      <c r="E33" s="47">
        <v>233.5</v>
      </c>
      <c r="F33" s="47">
        <v>390</v>
      </c>
      <c r="G33" s="47">
        <v>376</v>
      </c>
      <c r="H33" s="47">
        <v>335</v>
      </c>
      <c r="I33" s="47">
        <v>228</v>
      </c>
      <c r="J33" s="47">
        <v>475</v>
      </c>
      <c r="K33" s="47">
        <v>376.4</v>
      </c>
      <c r="L33" s="47">
        <v>285</v>
      </c>
      <c r="M33" s="47">
        <v>220</v>
      </c>
      <c r="N33" s="47">
        <v>400</v>
      </c>
      <c r="O33" s="47">
        <v>270</v>
      </c>
      <c r="P33" s="47">
        <v>460</v>
      </c>
      <c r="Q33" s="47">
        <v>400</v>
      </c>
      <c r="R33" s="47">
        <v>275</v>
      </c>
      <c r="S33" s="47">
        <v>345</v>
      </c>
      <c r="T33" s="47">
        <v>205</v>
      </c>
      <c r="U33" s="47">
        <v>340</v>
      </c>
      <c r="V33" s="47">
        <v>330</v>
      </c>
      <c r="W33" s="47">
        <v>285</v>
      </c>
      <c r="X33" s="47">
        <v>166.6</v>
      </c>
      <c r="Y33" s="47">
        <v>376</v>
      </c>
      <c r="Z33" s="47">
        <v>307.3</v>
      </c>
      <c r="AA33" s="47">
        <v>250</v>
      </c>
      <c r="AB33" s="47">
        <v>190</v>
      </c>
      <c r="AC33" s="47">
        <v>310</v>
      </c>
      <c r="AD33" s="47">
        <v>219</v>
      </c>
      <c r="AE33" s="47">
        <v>365</v>
      </c>
      <c r="AF33" s="48">
        <v>13014</v>
      </c>
      <c r="AG33" s="48">
        <v>11531</v>
      </c>
      <c r="AH33" s="48">
        <v>17375</v>
      </c>
      <c r="AI33" s="48">
        <v>8675</v>
      </c>
      <c r="AJ33" s="48">
        <v>11840</v>
      </c>
      <c r="AK33" s="48">
        <v>15139</v>
      </c>
      <c r="AL33" s="48">
        <v>5457</v>
      </c>
      <c r="AM33" s="48">
        <v>2394</v>
      </c>
      <c r="AN33" s="48">
        <v>6151</v>
      </c>
      <c r="AO33" s="48">
        <v>2813</v>
      </c>
      <c r="AP33" s="48">
        <v>1062</v>
      </c>
      <c r="AQ33" s="48">
        <v>1738</v>
      </c>
      <c r="AR33" s="48">
        <v>464</v>
      </c>
      <c r="AS33" s="48">
        <v>211</v>
      </c>
      <c r="AT33" s="48">
        <v>1259</v>
      </c>
      <c r="AU33" s="48">
        <v>11817</v>
      </c>
      <c r="AV33" s="48">
        <v>2552</v>
      </c>
      <c r="AW33" s="48">
        <v>11507</v>
      </c>
      <c r="AX33" s="48">
        <v>1369</v>
      </c>
      <c r="AY33" s="48">
        <v>4321</v>
      </c>
      <c r="AZ33" s="48">
        <v>6512</v>
      </c>
      <c r="BA33" s="48">
        <v>2136</v>
      </c>
      <c r="BB33" s="48">
        <v>324</v>
      </c>
      <c r="BC33" s="48">
        <v>2041</v>
      </c>
      <c r="BD33" s="48">
        <v>426</v>
      </c>
      <c r="BE33" s="48">
        <v>414</v>
      </c>
      <c r="BF33" s="48">
        <v>301</v>
      </c>
      <c r="BG33" s="48">
        <v>452</v>
      </c>
      <c r="BH33" s="48">
        <v>95</v>
      </c>
      <c r="BI33" s="48">
        <v>959</v>
      </c>
    </row>
    <row r="34" spans="1:61" x14ac:dyDescent="0.2">
      <c r="A34" s="46">
        <v>39417</v>
      </c>
      <c r="B34" s="47">
        <v>540</v>
      </c>
      <c r="C34" s="47">
        <v>310</v>
      </c>
      <c r="D34" s="47">
        <v>410</v>
      </c>
      <c r="E34" s="47">
        <v>245</v>
      </c>
      <c r="F34" s="47">
        <v>415</v>
      </c>
      <c r="G34" s="47">
        <v>380</v>
      </c>
      <c r="H34" s="47">
        <v>358</v>
      </c>
      <c r="I34" s="47">
        <v>245</v>
      </c>
      <c r="J34" s="47">
        <v>480</v>
      </c>
      <c r="K34" s="47">
        <v>379.5</v>
      </c>
      <c r="L34" s="47">
        <v>310</v>
      </c>
      <c r="M34" s="47">
        <v>230</v>
      </c>
      <c r="N34" s="47">
        <v>418.5</v>
      </c>
      <c r="O34" s="47">
        <v>289</v>
      </c>
      <c r="P34" s="47">
        <v>468</v>
      </c>
      <c r="Q34" s="47">
        <v>410</v>
      </c>
      <c r="R34" s="47">
        <v>292</v>
      </c>
      <c r="S34" s="47">
        <v>365</v>
      </c>
      <c r="T34" s="47">
        <v>210</v>
      </c>
      <c r="U34" s="47">
        <v>357</v>
      </c>
      <c r="V34" s="47">
        <v>348</v>
      </c>
      <c r="W34" s="47">
        <v>290</v>
      </c>
      <c r="X34" s="47">
        <v>169.5</v>
      </c>
      <c r="Y34" s="47">
        <v>385</v>
      </c>
      <c r="Z34" s="47">
        <v>319.5</v>
      </c>
      <c r="AA34" s="47">
        <v>260</v>
      </c>
      <c r="AB34" s="47">
        <v>196.3</v>
      </c>
      <c r="AC34" s="47">
        <v>307.5</v>
      </c>
      <c r="AD34" s="47">
        <v>210</v>
      </c>
      <c r="AE34" s="47">
        <v>365</v>
      </c>
      <c r="AF34" s="48">
        <v>12960</v>
      </c>
      <c r="AG34" s="48">
        <v>11322</v>
      </c>
      <c r="AH34" s="48">
        <v>18143</v>
      </c>
      <c r="AI34" s="48">
        <v>8973</v>
      </c>
      <c r="AJ34" s="48">
        <v>10406</v>
      </c>
      <c r="AK34" s="48">
        <v>13608</v>
      </c>
      <c r="AL34" s="48">
        <v>5334</v>
      </c>
      <c r="AM34" s="48">
        <v>2373</v>
      </c>
      <c r="AN34" s="48">
        <v>6314</v>
      </c>
      <c r="AO34" s="48">
        <v>2500</v>
      </c>
      <c r="AP34" s="48">
        <v>1096</v>
      </c>
      <c r="AQ34" s="48">
        <v>1669</v>
      </c>
      <c r="AR34" s="48">
        <v>411</v>
      </c>
      <c r="AS34" s="48">
        <v>187</v>
      </c>
      <c r="AT34" s="48">
        <v>1380</v>
      </c>
      <c r="AU34" s="48">
        <v>11523</v>
      </c>
      <c r="AV34" s="48">
        <v>2470</v>
      </c>
      <c r="AW34" s="48">
        <v>11227</v>
      </c>
      <c r="AX34" s="48">
        <v>1372</v>
      </c>
      <c r="AY34" s="48">
        <v>3686</v>
      </c>
      <c r="AZ34" s="48">
        <v>5485</v>
      </c>
      <c r="BA34" s="48">
        <v>2029</v>
      </c>
      <c r="BB34" s="48">
        <v>330</v>
      </c>
      <c r="BC34" s="48">
        <v>2106</v>
      </c>
      <c r="BD34" s="48">
        <v>320</v>
      </c>
      <c r="BE34" s="48">
        <v>311</v>
      </c>
      <c r="BF34" s="48">
        <v>252</v>
      </c>
      <c r="BG34" s="48">
        <v>375</v>
      </c>
      <c r="BH34" s="48">
        <v>73</v>
      </c>
      <c r="BI34" s="48">
        <v>1022</v>
      </c>
    </row>
    <row r="35" spans="1:61" x14ac:dyDescent="0.2">
      <c r="A35" s="46">
        <v>39508</v>
      </c>
      <c r="B35" s="47">
        <v>495</v>
      </c>
      <c r="C35" s="47">
        <v>308</v>
      </c>
      <c r="D35" s="47">
        <v>385</v>
      </c>
      <c r="E35" s="47">
        <v>243.5</v>
      </c>
      <c r="F35" s="47">
        <v>425</v>
      </c>
      <c r="G35" s="47">
        <v>380</v>
      </c>
      <c r="H35" s="47">
        <v>360</v>
      </c>
      <c r="I35" s="47">
        <v>250</v>
      </c>
      <c r="J35" s="47">
        <v>470</v>
      </c>
      <c r="K35" s="47">
        <v>390</v>
      </c>
      <c r="L35" s="47">
        <v>308.5</v>
      </c>
      <c r="M35" s="47">
        <v>239.5</v>
      </c>
      <c r="N35" s="47">
        <v>420</v>
      </c>
      <c r="O35" s="47">
        <v>285</v>
      </c>
      <c r="P35" s="47">
        <v>470</v>
      </c>
      <c r="Q35" s="47">
        <v>397.5</v>
      </c>
      <c r="R35" s="47">
        <v>288.3</v>
      </c>
      <c r="S35" s="47">
        <v>360</v>
      </c>
      <c r="T35" s="47">
        <v>229</v>
      </c>
      <c r="U35" s="47">
        <v>360</v>
      </c>
      <c r="V35" s="47">
        <v>355</v>
      </c>
      <c r="W35" s="47">
        <v>295</v>
      </c>
      <c r="X35" s="47">
        <v>175</v>
      </c>
      <c r="Y35" s="47">
        <v>380</v>
      </c>
      <c r="Z35" s="47">
        <v>320</v>
      </c>
      <c r="AA35" s="47">
        <v>245</v>
      </c>
      <c r="AB35" s="47">
        <v>200</v>
      </c>
      <c r="AC35" s="47">
        <v>306.3</v>
      </c>
      <c r="AD35" s="47">
        <v>225</v>
      </c>
      <c r="AE35" s="47">
        <v>370</v>
      </c>
      <c r="AF35" s="48">
        <v>9631</v>
      </c>
      <c r="AG35" s="48">
        <v>9338</v>
      </c>
      <c r="AH35" s="48">
        <v>13154</v>
      </c>
      <c r="AI35" s="48">
        <v>7639</v>
      </c>
      <c r="AJ35" s="48">
        <v>8405</v>
      </c>
      <c r="AK35" s="48">
        <v>10820</v>
      </c>
      <c r="AL35" s="48">
        <v>4567</v>
      </c>
      <c r="AM35" s="48">
        <v>2156</v>
      </c>
      <c r="AN35" s="48">
        <v>5487</v>
      </c>
      <c r="AO35" s="48">
        <v>2139</v>
      </c>
      <c r="AP35" s="48">
        <v>939</v>
      </c>
      <c r="AQ35" s="48">
        <v>1488</v>
      </c>
      <c r="AR35" s="48">
        <v>357</v>
      </c>
      <c r="AS35" s="48">
        <v>174</v>
      </c>
      <c r="AT35" s="48">
        <v>960</v>
      </c>
      <c r="AU35" s="48">
        <v>8753</v>
      </c>
      <c r="AV35" s="48">
        <v>2166</v>
      </c>
      <c r="AW35" s="48">
        <v>7886</v>
      </c>
      <c r="AX35" s="48">
        <v>1159</v>
      </c>
      <c r="AY35" s="48">
        <v>2691</v>
      </c>
      <c r="AZ35" s="48">
        <v>4622</v>
      </c>
      <c r="BA35" s="48">
        <v>1834</v>
      </c>
      <c r="BB35" s="48">
        <v>307</v>
      </c>
      <c r="BC35" s="48">
        <v>1901</v>
      </c>
      <c r="BD35" s="48">
        <v>308</v>
      </c>
      <c r="BE35" s="48">
        <v>325</v>
      </c>
      <c r="BF35" s="48">
        <v>223</v>
      </c>
      <c r="BG35" s="48">
        <v>348</v>
      </c>
      <c r="BH35" s="48">
        <v>87</v>
      </c>
      <c r="BI35" s="48">
        <v>776</v>
      </c>
    </row>
    <row r="36" spans="1:61" x14ac:dyDescent="0.2">
      <c r="A36" s="46">
        <v>39600</v>
      </c>
      <c r="B36" s="47">
        <v>517</v>
      </c>
      <c r="C36" s="47">
        <v>305</v>
      </c>
      <c r="D36" s="47">
        <v>400</v>
      </c>
      <c r="E36" s="47">
        <v>239</v>
      </c>
      <c r="F36" s="47">
        <v>425</v>
      </c>
      <c r="G36" s="47">
        <v>380</v>
      </c>
      <c r="H36" s="47">
        <v>365</v>
      </c>
      <c r="I36" s="47">
        <v>240</v>
      </c>
      <c r="J36" s="47">
        <v>455</v>
      </c>
      <c r="K36" s="47">
        <v>360</v>
      </c>
      <c r="L36" s="47">
        <v>305</v>
      </c>
      <c r="M36" s="47">
        <v>230</v>
      </c>
      <c r="N36" s="47">
        <v>422.3</v>
      </c>
      <c r="O36" s="47">
        <v>285</v>
      </c>
      <c r="P36" s="47">
        <v>474</v>
      </c>
      <c r="Q36" s="47">
        <v>395</v>
      </c>
      <c r="R36" s="47">
        <v>272.3</v>
      </c>
      <c r="S36" s="47">
        <v>360</v>
      </c>
      <c r="T36" s="47">
        <v>210</v>
      </c>
      <c r="U36" s="47">
        <v>367</v>
      </c>
      <c r="V36" s="47">
        <v>355</v>
      </c>
      <c r="W36" s="47">
        <v>290</v>
      </c>
      <c r="X36" s="47">
        <v>173.8</v>
      </c>
      <c r="Y36" s="47">
        <v>372.3</v>
      </c>
      <c r="Z36" s="47">
        <v>313</v>
      </c>
      <c r="AA36" s="47">
        <v>257</v>
      </c>
      <c r="AB36" s="47">
        <v>205</v>
      </c>
      <c r="AC36" s="47">
        <v>310</v>
      </c>
      <c r="AD36" s="47">
        <v>222.5</v>
      </c>
      <c r="AE36" s="47">
        <v>352</v>
      </c>
      <c r="AF36" s="48">
        <v>10618</v>
      </c>
      <c r="AG36" s="48">
        <v>8501</v>
      </c>
      <c r="AH36" s="48">
        <v>14039</v>
      </c>
      <c r="AI36" s="48">
        <v>7134</v>
      </c>
      <c r="AJ36" s="48">
        <v>6616</v>
      </c>
      <c r="AK36" s="48">
        <v>7770</v>
      </c>
      <c r="AL36" s="48">
        <v>4437</v>
      </c>
      <c r="AM36" s="48">
        <v>1703</v>
      </c>
      <c r="AN36" s="48">
        <v>4356</v>
      </c>
      <c r="AO36" s="48">
        <v>1738</v>
      </c>
      <c r="AP36" s="48">
        <v>811</v>
      </c>
      <c r="AQ36" s="48">
        <v>1369</v>
      </c>
      <c r="AR36" s="48">
        <v>388</v>
      </c>
      <c r="AS36" s="48">
        <v>175</v>
      </c>
      <c r="AT36" s="48">
        <v>1021</v>
      </c>
      <c r="AU36" s="48">
        <v>9971</v>
      </c>
      <c r="AV36" s="48">
        <v>1842</v>
      </c>
      <c r="AW36" s="48">
        <v>8465</v>
      </c>
      <c r="AX36" s="48">
        <v>1082</v>
      </c>
      <c r="AY36" s="48">
        <v>2198</v>
      </c>
      <c r="AZ36" s="48">
        <v>3266</v>
      </c>
      <c r="BA36" s="48">
        <v>1662</v>
      </c>
      <c r="BB36" s="48">
        <v>202</v>
      </c>
      <c r="BC36" s="48">
        <v>1478</v>
      </c>
      <c r="BD36" s="48">
        <v>240</v>
      </c>
      <c r="BE36" s="48">
        <v>267</v>
      </c>
      <c r="BF36" s="48">
        <v>172</v>
      </c>
      <c r="BG36" s="48">
        <v>296</v>
      </c>
      <c r="BH36" s="48">
        <v>80</v>
      </c>
      <c r="BI36" s="48">
        <v>965</v>
      </c>
    </row>
    <row r="37" spans="1:61" x14ac:dyDescent="0.2">
      <c r="A37" s="46">
        <v>39692</v>
      </c>
      <c r="B37" s="47">
        <v>482</v>
      </c>
      <c r="C37" s="47">
        <v>297.5</v>
      </c>
      <c r="D37" s="47">
        <v>385</v>
      </c>
      <c r="E37" s="47">
        <v>235</v>
      </c>
      <c r="F37" s="47">
        <v>410</v>
      </c>
      <c r="G37" s="47">
        <v>365</v>
      </c>
      <c r="H37" s="47">
        <v>360</v>
      </c>
      <c r="I37" s="47">
        <v>245</v>
      </c>
      <c r="J37" s="47">
        <v>440</v>
      </c>
      <c r="K37" s="47">
        <v>365</v>
      </c>
      <c r="L37" s="47">
        <v>292.5</v>
      </c>
      <c r="M37" s="47">
        <v>235</v>
      </c>
      <c r="N37" s="47">
        <v>430</v>
      </c>
      <c r="O37" s="47">
        <v>285</v>
      </c>
      <c r="P37" s="47">
        <v>447</v>
      </c>
      <c r="Q37" s="47">
        <v>385</v>
      </c>
      <c r="R37" s="47">
        <v>280</v>
      </c>
      <c r="S37" s="47">
        <v>365</v>
      </c>
      <c r="T37" s="47">
        <v>198</v>
      </c>
      <c r="U37" s="47">
        <v>350</v>
      </c>
      <c r="V37" s="47">
        <v>340</v>
      </c>
      <c r="W37" s="47">
        <v>315.10000000000002</v>
      </c>
      <c r="X37" s="47">
        <v>190</v>
      </c>
      <c r="Y37" s="47">
        <v>360</v>
      </c>
      <c r="Z37" s="47">
        <v>300</v>
      </c>
      <c r="AA37" s="47">
        <v>240</v>
      </c>
      <c r="AB37" s="47">
        <v>200</v>
      </c>
      <c r="AC37" s="47">
        <v>348</v>
      </c>
      <c r="AD37" s="47">
        <v>220</v>
      </c>
      <c r="AE37" s="47">
        <v>365</v>
      </c>
      <c r="AF37" s="48">
        <v>10653</v>
      </c>
      <c r="AG37" s="48">
        <v>8156</v>
      </c>
      <c r="AH37" s="48">
        <v>13119</v>
      </c>
      <c r="AI37" s="48">
        <v>6418</v>
      </c>
      <c r="AJ37" s="48">
        <v>7103</v>
      </c>
      <c r="AK37" s="48">
        <v>9421</v>
      </c>
      <c r="AL37" s="48">
        <v>4166</v>
      </c>
      <c r="AM37" s="48">
        <v>1542</v>
      </c>
      <c r="AN37" s="48">
        <v>5020</v>
      </c>
      <c r="AO37" s="48">
        <v>1929</v>
      </c>
      <c r="AP37" s="48">
        <v>782</v>
      </c>
      <c r="AQ37" s="48">
        <v>1220</v>
      </c>
      <c r="AR37" s="48">
        <v>439</v>
      </c>
      <c r="AS37" s="48">
        <v>162</v>
      </c>
      <c r="AT37" s="48">
        <v>1000</v>
      </c>
      <c r="AU37" s="48">
        <v>9828</v>
      </c>
      <c r="AV37" s="48">
        <v>1761</v>
      </c>
      <c r="AW37" s="48">
        <v>7748</v>
      </c>
      <c r="AX37" s="48">
        <v>1003</v>
      </c>
      <c r="AY37" s="48">
        <v>2450</v>
      </c>
      <c r="AZ37" s="48">
        <v>3392</v>
      </c>
      <c r="BA37" s="48">
        <v>1788</v>
      </c>
      <c r="BB37" s="48">
        <v>181</v>
      </c>
      <c r="BC37" s="48">
        <v>1643</v>
      </c>
      <c r="BD37" s="48">
        <v>259</v>
      </c>
      <c r="BE37" s="48">
        <v>251</v>
      </c>
      <c r="BF37" s="48">
        <v>185</v>
      </c>
      <c r="BG37" s="48">
        <v>367</v>
      </c>
      <c r="BH37" s="48">
        <v>72</v>
      </c>
      <c r="BI37" s="48">
        <v>758</v>
      </c>
    </row>
    <row r="38" spans="1:61" x14ac:dyDescent="0.2">
      <c r="A38" s="46">
        <v>39783</v>
      </c>
      <c r="B38" s="47">
        <v>468</v>
      </c>
      <c r="C38" s="47">
        <v>290</v>
      </c>
      <c r="D38" s="47">
        <v>385</v>
      </c>
      <c r="E38" s="47">
        <v>236</v>
      </c>
      <c r="F38" s="47">
        <v>399</v>
      </c>
      <c r="G38" s="47">
        <v>365</v>
      </c>
      <c r="H38" s="47">
        <v>355</v>
      </c>
      <c r="I38" s="47">
        <v>245</v>
      </c>
      <c r="J38" s="47">
        <v>425</v>
      </c>
      <c r="K38" s="47">
        <v>351</v>
      </c>
      <c r="L38" s="47">
        <v>300</v>
      </c>
      <c r="M38" s="47">
        <v>225</v>
      </c>
      <c r="N38" s="47">
        <v>445</v>
      </c>
      <c r="O38" s="47">
        <v>296.8</v>
      </c>
      <c r="P38" s="47">
        <v>450</v>
      </c>
      <c r="Q38" s="47">
        <v>373</v>
      </c>
      <c r="R38" s="47">
        <v>280</v>
      </c>
      <c r="S38" s="47">
        <v>350</v>
      </c>
      <c r="T38" s="47">
        <v>195</v>
      </c>
      <c r="U38" s="47">
        <v>350</v>
      </c>
      <c r="V38" s="47">
        <v>316</v>
      </c>
      <c r="W38" s="47">
        <v>300.8</v>
      </c>
      <c r="X38" s="47">
        <v>202</v>
      </c>
      <c r="Y38" s="47">
        <v>350</v>
      </c>
      <c r="Z38" s="47">
        <v>300</v>
      </c>
      <c r="AA38" s="47">
        <v>245</v>
      </c>
      <c r="AB38" s="47">
        <v>200</v>
      </c>
      <c r="AC38" s="47">
        <v>329</v>
      </c>
      <c r="AD38" s="47">
        <v>240</v>
      </c>
      <c r="AE38" s="47">
        <v>360.5</v>
      </c>
      <c r="AF38" s="48">
        <v>11240</v>
      </c>
      <c r="AG38" s="48">
        <v>8893</v>
      </c>
      <c r="AH38" s="48">
        <v>13092</v>
      </c>
      <c r="AI38" s="48">
        <v>6793</v>
      </c>
      <c r="AJ38" s="48">
        <v>6938</v>
      </c>
      <c r="AK38" s="48">
        <v>9240</v>
      </c>
      <c r="AL38" s="48">
        <v>4225</v>
      </c>
      <c r="AM38" s="48">
        <v>1670</v>
      </c>
      <c r="AN38" s="48">
        <v>4254</v>
      </c>
      <c r="AO38" s="48">
        <v>1707</v>
      </c>
      <c r="AP38" s="48">
        <v>860</v>
      </c>
      <c r="AQ38" s="48">
        <v>1353</v>
      </c>
      <c r="AR38" s="48">
        <v>459</v>
      </c>
      <c r="AS38" s="48">
        <v>169</v>
      </c>
      <c r="AT38" s="48">
        <v>988</v>
      </c>
      <c r="AU38" s="48">
        <v>10127</v>
      </c>
      <c r="AV38" s="48">
        <v>1907</v>
      </c>
      <c r="AW38" s="48">
        <v>7470</v>
      </c>
      <c r="AX38" s="48">
        <v>1029</v>
      </c>
      <c r="AY38" s="48">
        <v>2463</v>
      </c>
      <c r="AZ38" s="48">
        <v>3233</v>
      </c>
      <c r="BA38" s="48">
        <v>1720</v>
      </c>
      <c r="BB38" s="48">
        <v>228</v>
      </c>
      <c r="BC38" s="48">
        <v>1406</v>
      </c>
      <c r="BD38" s="48">
        <v>217</v>
      </c>
      <c r="BE38" s="48">
        <v>320</v>
      </c>
      <c r="BF38" s="48">
        <v>215</v>
      </c>
      <c r="BG38" s="48">
        <v>328</v>
      </c>
      <c r="BH38" s="48">
        <v>71</v>
      </c>
      <c r="BI38" s="48">
        <v>715</v>
      </c>
    </row>
    <row r="39" spans="1:61" x14ac:dyDescent="0.2">
      <c r="A39" s="46">
        <v>39873</v>
      </c>
      <c r="B39" s="47">
        <v>448</v>
      </c>
      <c r="C39" s="47">
        <v>300</v>
      </c>
      <c r="D39" s="47">
        <v>375</v>
      </c>
      <c r="E39" s="47">
        <v>238</v>
      </c>
      <c r="F39" s="47">
        <v>400</v>
      </c>
      <c r="G39" s="47">
        <v>370</v>
      </c>
      <c r="H39" s="47">
        <v>353.5</v>
      </c>
      <c r="I39" s="47">
        <v>248</v>
      </c>
      <c r="J39" s="47">
        <v>439</v>
      </c>
      <c r="K39" s="47">
        <v>360</v>
      </c>
      <c r="L39" s="47">
        <v>296.5</v>
      </c>
      <c r="M39" s="47">
        <v>235</v>
      </c>
      <c r="N39" s="47">
        <v>455</v>
      </c>
      <c r="O39" s="47">
        <v>321</v>
      </c>
      <c r="P39" s="47">
        <v>459.5</v>
      </c>
      <c r="Q39" s="47">
        <v>380</v>
      </c>
      <c r="R39" s="47">
        <v>270.5</v>
      </c>
      <c r="S39" s="47">
        <v>348</v>
      </c>
      <c r="T39" s="47">
        <v>210</v>
      </c>
      <c r="U39" s="47">
        <v>349.8</v>
      </c>
      <c r="V39" s="47">
        <v>324</v>
      </c>
      <c r="W39" s="47">
        <v>300</v>
      </c>
      <c r="X39" s="47">
        <v>175</v>
      </c>
      <c r="Y39" s="47">
        <v>350</v>
      </c>
      <c r="Z39" s="47">
        <v>315</v>
      </c>
      <c r="AA39" s="47">
        <v>255</v>
      </c>
      <c r="AB39" s="47">
        <v>213</v>
      </c>
      <c r="AC39" s="47">
        <v>370</v>
      </c>
      <c r="AD39" s="47">
        <v>249</v>
      </c>
      <c r="AE39" s="47">
        <v>372.5</v>
      </c>
      <c r="AF39" s="48">
        <v>12259</v>
      </c>
      <c r="AG39" s="48">
        <v>10211</v>
      </c>
      <c r="AH39" s="48">
        <v>13091</v>
      </c>
      <c r="AI39" s="48">
        <v>7329</v>
      </c>
      <c r="AJ39" s="48">
        <v>9329</v>
      </c>
      <c r="AK39" s="48">
        <v>11278</v>
      </c>
      <c r="AL39" s="48">
        <v>4585</v>
      </c>
      <c r="AM39" s="48">
        <v>2048</v>
      </c>
      <c r="AN39" s="48">
        <v>5916</v>
      </c>
      <c r="AO39" s="48">
        <v>2164</v>
      </c>
      <c r="AP39" s="48">
        <v>1100</v>
      </c>
      <c r="AQ39" s="48">
        <v>1634</v>
      </c>
      <c r="AR39" s="48">
        <v>425</v>
      </c>
      <c r="AS39" s="48">
        <v>198</v>
      </c>
      <c r="AT39" s="48">
        <v>1122</v>
      </c>
      <c r="AU39" s="48">
        <v>11641</v>
      </c>
      <c r="AV39" s="48">
        <v>2324</v>
      </c>
      <c r="AW39" s="48">
        <v>7684</v>
      </c>
      <c r="AX39" s="48">
        <v>1270</v>
      </c>
      <c r="AY39" s="48">
        <v>3162</v>
      </c>
      <c r="AZ39" s="48">
        <v>4165</v>
      </c>
      <c r="BA39" s="48">
        <v>1865</v>
      </c>
      <c r="BB39" s="48">
        <v>223</v>
      </c>
      <c r="BC39" s="48">
        <v>1989</v>
      </c>
      <c r="BD39" s="48">
        <v>288</v>
      </c>
      <c r="BE39" s="48">
        <v>436</v>
      </c>
      <c r="BF39" s="48">
        <v>312</v>
      </c>
      <c r="BG39" s="48">
        <v>421</v>
      </c>
      <c r="BH39" s="48">
        <v>87</v>
      </c>
      <c r="BI39" s="48">
        <v>849</v>
      </c>
    </row>
    <row r="40" spans="1:61" x14ac:dyDescent="0.2">
      <c r="A40" s="46">
        <v>39965</v>
      </c>
      <c r="B40" s="47">
        <v>490</v>
      </c>
      <c r="C40" s="47">
        <v>300</v>
      </c>
      <c r="D40" s="47">
        <v>400</v>
      </c>
      <c r="E40" s="47">
        <v>245</v>
      </c>
      <c r="F40" s="47">
        <v>420</v>
      </c>
      <c r="G40" s="47">
        <v>372.8</v>
      </c>
      <c r="H40" s="47">
        <v>363</v>
      </c>
      <c r="I40" s="47">
        <v>245</v>
      </c>
      <c r="J40" s="47">
        <v>455</v>
      </c>
      <c r="K40" s="47">
        <v>370</v>
      </c>
      <c r="L40" s="47">
        <v>310</v>
      </c>
      <c r="M40" s="47">
        <v>240</v>
      </c>
      <c r="N40" s="47">
        <v>465</v>
      </c>
      <c r="O40" s="47">
        <v>335</v>
      </c>
      <c r="P40" s="47">
        <v>455</v>
      </c>
      <c r="Q40" s="47">
        <v>398</v>
      </c>
      <c r="R40" s="47">
        <v>280</v>
      </c>
      <c r="S40" s="47">
        <v>379.5</v>
      </c>
      <c r="T40" s="47">
        <v>217.8</v>
      </c>
      <c r="U40" s="47">
        <v>365</v>
      </c>
      <c r="V40" s="47">
        <v>330</v>
      </c>
      <c r="W40" s="47">
        <v>310</v>
      </c>
      <c r="X40" s="47">
        <v>174.5</v>
      </c>
      <c r="Y40" s="47">
        <v>380</v>
      </c>
      <c r="Z40" s="47">
        <v>325</v>
      </c>
      <c r="AA40" s="47">
        <v>260</v>
      </c>
      <c r="AB40" s="47">
        <v>220</v>
      </c>
      <c r="AC40" s="47">
        <v>360</v>
      </c>
      <c r="AD40" s="47">
        <v>300</v>
      </c>
      <c r="AE40" s="47">
        <v>375</v>
      </c>
      <c r="AF40" s="48">
        <v>14318</v>
      </c>
      <c r="AG40" s="48">
        <v>9672</v>
      </c>
      <c r="AH40" s="48">
        <v>15315</v>
      </c>
      <c r="AI40" s="48">
        <v>8359</v>
      </c>
      <c r="AJ40" s="48">
        <v>8806</v>
      </c>
      <c r="AK40" s="48">
        <v>9924</v>
      </c>
      <c r="AL40" s="48">
        <v>4877</v>
      </c>
      <c r="AM40" s="48">
        <v>1885</v>
      </c>
      <c r="AN40" s="48">
        <v>7148</v>
      </c>
      <c r="AO40" s="48">
        <v>2136</v>
      </c>
      <c r="AP40" s="48">
        <v>1001</v>
      </c>
      <c r="AQ40" s="48">
        <v>1609</v>
      </c>
      <c r="AR40" s="48">
        <v>469</v>
      </c>
      <c r="AS40" s="48">
        <v>174</v>
      </c>
      <c r="AT40" s="48">
        <v>1319</v>
      </c>
      <c r="AU40" s="48">
        <v>13995</v>
      </c>
      <c r="AV40" s="48">
        <v>2296</v>
      </c>
      <c r="AW40" s="48">
        <v>9685</v>
      </c>
      <c r="AX40" s="48">
        <v>1402</v>
      </c>
      <c r="AY40" s="48">
        <v>3246</v>
      </c>
      <c r="AZ40" s="48">
        <v>3966</v>
      </c>
      <c r="BA40" s="48">
        <v>1898</v>
      </c>
      <c r="BB40" s="48">
        <v>262</v>
      </c>
      <c r="BC40" s="48">
        <v>2376</v>
      </c>
      <c r="BD40" s="48">
        <v>278</v>
      </c>
      <c r="BE40" s="48">
        <v>348</v>
      </c>
      <c r="BF40" s="48">
        <v>272</v>
      </c>
      <c r="BG40" s="48">
        <v>441</v>
      </c>
      <c r="BH40" s="48">
        <v>91</v>
      </c>
      <c r="BI40" s="48">
        <v>1165</v>
      </c>
    </row>
    <row r="41" spans="1:61" x14ac:dyDescent="0.2">
      <c r="A41" s="46">
        <v>40057</v>
      </c>
      <c r="B41" s="47">
        <v>500</v>
      </c>
      <c r="C41" s="47">
        <v>310</v>
      </c>
      <c r="D41" s="47">
        <v>422</v>
      </c>
      <c r="E41" s="47">
        <v>250</v>
      </c>
      <c r="F41" s="47">
        <v>430</v>
      </c>
      <c r="G41" s="47">
        <v>380</v>
      </c>
      <c r="H41" s="47">
        <v>370</v>
      </c>
      <c r="I41" s="47">
        <v>260</v>
      </c>
      <c r="J41" s="47">
        <v>473</v>
      </c>
      <c r="K41" s="47">
        <v>375</v>
      </c>
      <c r="L41" s="47">
        <v>310.10000000000002</v>
      </c>
      <c r="M41" s="47">
        <v>245</v>
      </c>
      <c r="N41" s="47">
        <v>490</v>
      </c>
      <c r="O41" s="47">
        <v>345</v>
      </c>
      <c r="P41" s="47">
        <v>456</v>
      </c>
      <c r="Q41" s="47">
        <v>423</v>
      </c>
      <c r="R41" s="47">
        <v>289</v>
      </c>
      <c r="S41" s="47">
        <v>392</v>
      </c>
      <c r="T41" s="47">
        <v>221</v>
      </c>
      <c r="U41" s="47">
        <v>370</v>
      </c>
      <c r="V41" s="47">
        <v>345</v>
      </c>
      <c r="W41" s="47">
        <v>310</v>
      </c>
      <c r="X41" s="47">
        <v>170</v>
      </c>
      <c r="Y41" s="47">
        <v>390</v>
      </c>
      <c r="Z41" s="47">
        <v>331</v>
      </c>
      <c r="AA41" s="47">
        <v>270</v>
      </c>
      <c r="AB41" s="47">
        <v>220</v>
      </c>
      <c r="AC41" s="47">
        <v>377</v>
      </c>
      <c r="AD41" s="47">
        <v>307.5</v>
      </c>
      <c r="AE41" s="47">
        <v>378</v>
      </c>
      <c r="AF41" s="48">
        <v>14816</v>
      </c>
      <c r="AG41" s="48">
        <v>12211</v>
      </c>
      <c r="AH41" s="48">
        <v>16313</v>
      </c>
      <c r="AI41" s="48">
        <v>8296</v>
      </c>
      <c r="AJ41" s="48">
        <v>9068</v>
      </c>
      <c r="AK41" s="48">
        <v>10999</v>
      </c>
      <c r="AL41" s="48">
        <v>4473</v>
      </c>
      <c r="AM41" s="48">
        <v>1922</v>
      </c>
      <c r="AN41" s="48">
        <v>7701</v>
      </c>
      <c r="AO41" s="48">
        <v>2348</v>
      </c>
      <c r="AP41" s="48">
        <v>1033</v>
      </c>
      <c r="AQ41" s="48">
        <v>1528</v>
      </c>
      <c r="AR41" s="48">
        <v>436</v>
      </c>
      <c r="AS41" s="48">
        <v>199</v>
      </c>
      <c r="AT41" s="48">
        <v>1381</v>
      </c>
      <c r="AU41" s="48">
        <v>16289</v>
      </c>
      <c r="AV41" s="48">
        <v>2959</v>
      </c>
      <c r="AW41" s="48">
        <v>11517</v>
      </c>
      <c r="AX41" s="48">
        <v>1499</v>
      </c>
      <c r="AY41" s="48">
        <v>3820</v>
      </c>
      <c r="AZ41" s="48">
        <v>4622</v>
      </c>
      <c r="BA41" s="48">
        <v>1818</v>
      </c>
      <c r="BB41" s="48">
        <v>253</v>
      </c>
      <c r="BC41" s="48">
        <v>2842</v>
      </c>
      <c r="BD41" s="48">
        <v>390</v>
      </c>
      <c r="BE41" s="48">
        <v>418</v>
      </c>
      <c r="BF41" s="48">
        <v>288</v>
      </c>
      <c r="BG41" s="48">
        <v>463</v>
      </c>
      <c r="BH41" s="48">
        <v>90</v>
      </c>
      <c r="BI41" s="48">
        <v>1347</v>
      </c>
    </row>
    <row r="42" spans="1:61" x14ac:dyDescent="0.2">
      <c r="A42" s="46">
        <v>40148</v>
      </c>
      <c r="B42" s="47">
        <v>595</v>
      </c>
      <c r="C42" s="47">
        <v>340</v>
      </c>
      <c r="D42" s="47">
        <v>477.5</v>
      </c>
      <c r="E42" s="47">
        <v>266.5</v>
      </c>
      <c r="F42" s="47">
        <v>455</v>
      </c>
      <c r="G42" s="47">
        <v>395</v>
      </c>
      <c r="H42" s="47">
        <v>398.8</v>
      </c>
      <c r="I42" s="47">
        <v>267</v>
      </c>
      <c r="J42" s="47">
        <v>505</v>
      </c>
      <c r="K42" s="47">
        <v>400</v>
      </c>
      <c r="L42" s="47">
        <v>350</v>
      </c>
      <c r="M42" s="47">
        <v>252.3</v>
      </c>
      <c r="N42" s="47">
        <v>520</v>
      </c>
      <c r="O42" s="47">
        <v>368</v>
      </c>
      <c r="P42" s="47">
        <v>509</v>
      </c>
      <c r="Q42" s="47">
        <v>450</v>
      </c>
      <c r="R42" s="47">
        <v>310</v>
      </c>
      <c r="S42" s="47">
        <v>421</v>
      </c>
      <c r="T42" s="47">
        <v>232</v>
      </c>
      <c r="U42" s="47">
        <v>381</v>
      </c>
      <c r="V42" s="47">
        <v>356.1</v>
      </c>
      <c r="W42" s="47">
        <v>326.8</v>
      </c>
      <c r="X42" s="47">
        <v>196</v>
      </c>
      <c r="Y42" s="47">
        <v>415</v>
      </c>
      <c r="Z42" s="47">
        <v>339</v>
      </c>
      <c r="AA42" s="47">
        <v>285</v>
      </c>
      <c r="AB42" s="47">
        <v>220</v>
      </c>
      <c r="AC42" s="47">
        <v>400</v>
      </c>
      <c r="AD42" s="47">
        <v>332.5</v>
      </c>
      <c r="AE42" s="47">
        <v>402.5</v>
      </c>
      <c r="AF42" s="48">
        <v>12786</v>
      </c>
      <c r="AG42" s="48">
        <v>10119</v>
      </c>
      <c r="AH42" s="48">
        <v>16586</v>
      </c>
      <c r="AI42" s="48">
        <v>7422</v>
      </c>
      <c r="AJ42" s="48">
        <v>7844</v>
      </c>
      <c r="AK42" s="48">
        <v>9791</v>
      </c>
      <c r="AL42" s="48">
        <v>4234</v>
      </c>
      <c r="AM42" s="48">
        <v>1718</v>
      </c>
      <c r="AN42" s="48">
        <v>6635</v>
      </c>
      <c r="AO42" s="48">
        <v>2017</v>
      </c>
      <c r="AP42" s="48">
        <v>921</v>
      </c>
      <c r="AQ42" s="48">
        <v>1286</v>
      </c>
      <c r="AR42" s="48">
        <v>363</v>
      </c>
      <c r="AS42" s="48">
        <v>157</v>
      </c>
      <c r="AT42" s="48">
        <v>1297</v>
      </c>
      <c r="AU42" s="48">
        <v>11800</v>
      </c>
      <c r="AV42" s="48">
        <v>2643</v>
      </c>
      <c r="AW42" s="48">
        <v>9724</v>
      </c>
      <c r="AX42" s="48">
        <v>1298</v>
      </c>
      <c r="AY42" s="48">
        <v>3206</v>
      </c>
      <c r="AZ42" s="48">
        <v>3772</v>
      </c>
      <c r="BA42" s="48">
        <v>1770</v>
      </c>
      <c r="BB42" s="48">
        <v>229</v>
      </c>
      <c r="BC42" s="48">
        <v>2383</v>
      </c>
      <c r="BD42" s="48">
        <v>375</v>
      </c>
      <c r="BE42" s="48">
        <v>335</v>
      </c>
      <c r="BF42" s="48">
        <v>230</v>
      </c>
      <c r="BG42" s="48">
        <v>316</v>
      </c>
      <c r="BH42" s="48">
        <v>60</v>
      </c>
      <c r="BI42" s="48">
        <v>1043</v>
      </c>
    </row>
    <row r="43" spans="1:61" x14ac:dyDescent="0.2">
      <c r="A43" s="46">
        <v>40238</v>
      </c>
      <c r="B43" s="47">
        <v>583</v>
      </c>
      <c r="C43" s="47">
        <v>340</v>
      </c>
      <c r="D43" s="47">
        <v>468</v>
      </c>
      <c r="E43" s="47">
        <v>275</v>
      </c>
      <c r="F43" s="47">
        <v>460</v>
      </c>
      <c r="G43" s="47">
        <v>400</v>
      </c>
      <c r="H43" s="47">
        <v>402</v>
      </c>
      <c r="I43" s="47">
        <v>280</v>
      </c>
      <c r="J43" s="47">
        <v>518</v>
      </c>
      <c r="K43" s="47">
        <v>410</v>
      </c>
      <c r="L43" s="47">
        <v>350.5</v>
      </c>
      <c r="M43" s="47">
        <v>262</v>
      </c>
      <c r="N43" s="47">
        <v>529</v>
      </c>
      <c r="O43" s="47">
        <v>364</v>
      </c>
      <c r="P43" s="47">
        <v>530</v>
      </c>
      <c r="Q43" s="47">
        <v>450</v>
      </c>
      <c r="R43" s="47">
        <v>306</v>
      </c>
      <c r="S43" s="47">
        <v>424</v>
      </c>
      <c r="T43" s="47">
        <v>235</v>
      </c>
      <c r="U43" s="47">
        <v>385</v>
      </c>
      <c r="V43" s="47">
        <v>360</v>
      </c>
      <c r="W43" s="47">
        <v>333</v>
      </c>
      <c r="X43" s="47">
        <v>199.5</v>
      </c>
      <c r="Y43" s="47">
        <v>420</v>
      </c>
      <c r="Z43" s="47">
        <v>347.5</v>
      </c>
      <c r="AA43" s="47">
        <v>278.5</v>
      </c>
      <c r="AB43" s="47">
        <v>226.5</v>
      </c>
      <c r="AC43" s="47">
        <v>430.2</v>
      </c>
      <c r="AD43" s="47">
        <v>335</v>
      </c>
      <c r="AE43" s="47">
        <v>410</v>
      </c>
      <c r="AF43" s="48">
        <v>11091</v>
      </c>
      <c r="AG43" s="48">
        <v>8729</v>
      </c>
      <c r="AH43" s="48">
        <v>14148</v>
      </c>
      <c r="AI43" s="48">
        <v>7161</v>
      </c>
      <c r="AJ43" s="48">
        <v>7640</v>
      </c>
      <c r="AK43" s="48">
        <v>9304</v>
      </c>
      <c r="AL43" s="48">
        <v>3993</v>
      </c>
      <c r="AM43" s="48">
        <v>1681</v>
      </c>
      <c r="AN43" s="48">
        <v>6401</v>
      </c>
      <c r="AO43" s="48">
        <v>2010</v>
      </c>
      <c r="AP43" s="48">
        <v>976</v>
      </c>
      <c r="AQ43" s="48">
        <v>1333</v>
      </c>
      <c r="AR43" s="48">
        <v>339</v>
      </c>
      <c r="AS43" s="48">
        <v>86</v>
      </c>
      <c r="AT43" s="48">
        <v>971</v>
      </c>
      <c r="AU43" s="48">
        <v>9925</v>
      </c>
      <c r="AV43" s="48">
        <v>2093</v>
      </c>
      <c r="AW43" s="48">
        <v>9015</v>
      </c>
      <c r="AX43" s="48">
        <v>1271</v>
      </c>
      <c r="AY43" s="48">
        <v>2960</v>
      </c>
      <c r="AZ43" s="48">
        <v>3793</v>
      </c>
      <c r="BA43" s="48">
        <v>1605</v>
      </c>
      <c r="BB43" s="48">
        <v>191</v>
      </c>
      <c r="BC43" s="48">
        <v>2496</v>
      </c>
      <c r="BD43" s="48">
        <v>328</v>
      </c>
      <c r="BE43" s="48">
        <v>296</v>
      </c>
      <c r="BF43" s="48">
        <v>211</v>
      </c>
      <c r="BG43" s="48">
        <v>285</v>
      </c>
      <c r="BH43" s="48">
        <v>23</v>
      </c>
      <c r="BI43" s="48">
        <v>878</v>
      </c>
    </row>
    <row r="44" spans="1:61" x14ac:dyDescent="0.2">
      <c r="A44" s="46">
        <v>40330</v>
      </c>
      <c r="B44" s="47">
        <v>612.5</v>
      </c>
      <c r="C44" s="47">
        <v>340</v>
      </c>
      <c r="D44" s="47">
        <v>500</v>
      </c>
      <c r="E44" s="47">
        <v>278.2</v>
      </c>
      <c r="F44" s="47">
        <v>465</v>
      </c>
      <c r="G44" s="47">
        <v>395</v>
      </c>
      <c r="H44" s="47">
        <v>410</v>
      </c>
      <c r="I44" s="47">
        <v>278</v>
      </c>
      <c r="J44" s="47">
        <v>510</v>
      </c>
      <c r="K44" s="47">
        <v>385</v>
      </c>
      <c r="L44" s="47">
        <v>343.8</v>
      </c>
      <c r="M44" s="47">
        <v>257</v>
      </c>
      <c r="N44" s="47">
        <v>530</v>
      </c>
      <c r="O44" s="47">
        <v>395</v>
      </c>
      <c r="P44" s="47">
        <v>516.20000000000005</v>
      </c>
      <c r="Q44" s="47">
        <v>480</v>
      </c>
      <c r="R44" s="47">
        <v>305</v>
      </c>
      <c r="S44" s="47">
        <v>450</v>
      </c>
      <c r="T44" s="47">
        <v>229.8</v>
      </c>
      <c r="U44" s="47">
        <v>392.5</v>
      </c>
      <c r="V44" s="47">
        <v>355</v>
      </c>
      <c r="W44" s="47">
        <v>337.5</v>
      </c>
      <c r="X44" s="47">
        <v>172.5</v>
      </c>
      <c r="Y44" s="47">
        <v>417</v>
      </c>
      <c r="Z44" s="47">
        <v>348.5</v>
      </c>
      <c r="AA44" s="47">
        <v>280</v>
      </c>
      <c r="AB44" s="47">
        <v>235</v>
      </c>
      <c r="AC44" s="47">
        <v>430</v>
      </c>
      <c r="AD44" s="47">
        <v>320</v>
      </c>
      <c r="AE44" s="47">
        <v>413.5</v>
      </c>
      <c r="AF44" s="48">
        <v>12610</v>
      </c>
      <c r="AG44" s="48">
        <v>9551</v>
      </c>
      <c r="AH44" s="48">
        <v>15641</v>
      </c>
      <c r="AI44" s="48">
        <v>7249</v>
      </c>
      <c r="AJ44" s="48">
        <v>6869</v>
      </c>
      <c r="AK44" s="48">
        <v>8203</v>
      </c>
      <c r="AL44" s="48">
        <v>4197</v>
      </c>
      <c r="AM44" s="48">
        <v>1461</v>
      </c>
      <c r="AN44" s="48">
        <v>5064</v>
      </c>
      <c r="AO44" s="48">
        <v>1468</v>
      </c>
      <c r="AP44" s="48">
        <v>841</v>
      </c>
      <c r="AQ44" s="48">
        <v>1214</v>
      </c>
      <c r="AR44" s="48">
        <v>310</v>
      </c>
      <c r="AS44" s="48">
        <v>122</v>
      </c>
      <c r="AT44" s="48">
        <v>1234</v>
      </c>
      <c r="AU44" s="48">
        <v>12183</v>
      </c>
      <c r="AV44" s="48">
        <v>2379</v>
      </c>
      <c r="AW44" s="48">
        <v>9884</v>
      </c>
      <c r="AX44" s="48">
        <v>1206</v>
      </c>
      <c r="AY44" s="48">
        <v>2823</v>
      </c>
      <c r="AZ44" s="48">
        <v>3224</v>
      </c>
      <c r="BA44" s="48">
        <v>1665</v>
      </c>
      <c r="BB44" s="48">
        <v>150</v>
      </c>
      <c r="BC44" s="48">
        <v>1815</v>
      </c>
      <c r="BD44" s="48">
        <v>196</v>
      </c>
      <c r="BE44" s="48">
        <v>279</v>
      </c>
      <c r="BF44" s="48">
        <v>180</v>
      </c>
      <c r="BG44" s="48">
        <v>296</v>
      </c>
      <c r="BH44" s="48">
        <v>71</v>
      </c>
      <c r="BI44" s="48">
        <v>1509</v>
      </c>
    </row>
    <row r="45" spans="1:61" x14ac:dyDescent="0.2">
      <c r="A45" s="46">
        <v>40422</v>
      </c>
      <c r="B45" s="47">
        <v>598</v>
      </c>
      <c r="C45" s="47">
        <v>340</v>
      </c>
      <c r="D45" s="47">
        <v>488.3</v>
      </c>
      <c r="E45" s="47">
        <v>280</v>
      </c>
      <c r="F45" s="47">
        <v>460</v>
      </c>
      <c r="G45" s="47">
        <v>388</v>
      </c>
      <c r="H45" s="47">
        <v>400</v>
      </c>
      <c r="I45" s="47">
        <v>275</v>
      </c>
      <c r="J45" s="47">
        <v>500</v>
      </c>
      <c r="K45" s="47">
        <v>380</v>
      </c>
      <c r="L45" s="47">
        <v>340</v>
      </c>
      <c r="M45" s="47">
        <v>260</v>
      </c>
      <c r="N45" s="47">
        <v>535</v>
      </c>
      <c r="O45" s="47">
        <v>421.5</v>
      </c>
      <c r="P45" s="47">
        <v>530</v>
      </c>
      <c r="Q45" s="47">
        <v>477</v>
      </c>
      <c r="R45" s="47">
        <v>300</v>
      </c>
      <c r="S45" s="47">
        <v>445</v>
      </c>
      <c r="T45" s="47">
        <v>235</v>
      </c>
      <c r="U45" s="47">
        <v>383.8</v>
      </c>
      <c r="V45" s="47">
        <v>347.5</v>
      </c>
      <c r="W45" s="47">
        <v>330.5</v>
      </c>
      <c r="X45" s="47">
        <v>200</v>
      </c>
      <c r="Y45" s="47">
        <v>410</v>
      </c>
      <c r="Z45" s="47">
        <v>329</v>
      </c>
      <c r="AA45" s="47">
        <v>287.5</v>
      </c>
      <c r="AB45" s="47">
        <v>235</v>
      </c>
      <c r="AC45" s="47">
        <v>400</v>
      </c>
      <c r="AD45" s="47">
        <v>307.3</v>
      </c>
      <c r="AE45" s="47">
        <v>425</v>
      </c>
      <c r="AF45" s="48">
        <v>11334</v>
      </c>
      <c r="AG45" s="48">
        <v>9204</v>
      </c>
      <c r="AH45" s="48">
        <v>13632</v>
      </c>
      <c r="AI45" s="48">
        <v>6607</v>
      </c>
      <c r="AJ45" s="48">
        <v>6930</v>
      </c>
      <c r="AK45" s="48">
        <v>8490</v>
      </c>
      <c r="AL45" s="48">
        <v>4128</v>
      </c>
      <c r="AM45" s="48">
        <v>1513</v>
      </c>
      <c r="AN45" s="48">
        <v>5131</v>
      </c>
      <c r="AO45" s="48">
        <v>1561</v>
      </c>
      <c r="AP45" s="48">
        <v>840</v>
      </c>
      <c r="AQ45" s="48">
        <v>1176</v>
      </c>
      <c r="AR45" s="48">
        <v>278</v>
      </c>
      <c r="AS45" s="48">
        <v>159</v>
      </c>
      <c r="AT45" s="48">
        <v>1042</v>
      </c>
      <c r="AU45" s="48">
        <v>11407</v>
      </c>
      <c r="AV45" s="48">
        <v>2169</v>
      </c>
      <c r="AW45" s="48">
        <v>9544</v>
      </c>
      <c r="AX45" s="48">
        <v>1164</v>
      </c>
      <c r="AY45" s="48">
        <v>2618</v>
      </c>
      <c r="AZ45" s="48">
        <v>2951</v>
      </c>
      <c r="BA45" s="48">
        <v>1615</v>
      </c>
      <c r="BB45" s="48">
        <v>190</v>
      </c>
      <c r="BC45" s="48">
        <v>1810</v>
      </c>
      <c r="BD45" s="48">
        <v>207</v>
      </c>
      <c r="BE45" s="48">
        <v>276</v>
      </c>
      <c r="BF45" s="48">
        <v>241</v>
      </c>
      <c r="BG45" s="48">
        <v>276</v>
      </c>
      <c r="BH45" s="48">
        <v>64</v>
      </c>
      <c r="BI45" s="48">
        <v>955</v>
      </c>
    </row>
    <row r="46" spans="1:61" x14ac:dyDescent="0.2">
      <c r="A46" s="46">
        <v>40513</v>
      </c>
      <c r="B46" s="47">
        <v>620</v>
      </c>
      <c r="C46" s="47">
        <v>340</v>
      </c>
      <c r="D46" s="47">
        <v>520</v>
      </c>
      <c r="E46" s="47">
        <v>292.5</v>
      </c>
      <c r="F46" s="47">
        <v>460</v>
      </c>
      <c r="G46" s="47">
        <v>387.5</v>
      </c>
      <c r="H46" s="47">
        <v>410</v>
      </c>
      <c r="I46" s="47">
        <v>277.3</v>
      </c>
      <c r="J46" s="47">
        <v>500</v>
      </c>
      <c r="K46" s="47">
        <v>385</v>
      </c>
      <c r="L46" s="47">
        <v>345</v>
      </c>
      <c r="M46" s="47">
        <v>260</v>
      </c>
      <c r="N46" s="47">
        <v>545</v>
      </c>
      <c r="O46" s="47">
        <v>435</v>
      </c>
      <c r="P46" s="47">
        <v>534.5</v>
      </c>
      <c r="Q46" s="47">
        <v>487.6</v>
      </c>
      <c r="R46" s="47">
        <v>305</v>
      </c>
      <c r="S46" s="47">
        <v>460</v>
      </c>
      <c r="T46" s="47">
        <v>255</v>
      </c>
      <c r="U46" s="47">
        <v>385</v>
      </c>
      <c r="V46" s="47">
        <v>347.5</v>
      </c>
      <c r="W46" s="47">
        <v>335</v>
      </c>
      <c r="X46" s="47">
        <v>185</v>
      </c>
      <c r="Y46" s="47">
        <v>410</v>
      </c>
      <c r="Z46" s="47">
        <v>335</v>
      </c>
      <c r="AA46" s="47">
        <v>288</v>
      </c>
      <c r="AB46" s="47">
        <v>230</v>
      </c>
      <c r="AC46" s="47">
        <v>420.5</v>
      </c>
      <c r="AD46" s="47">
        <v>350</v>
      </c>
      <c r="AE46" s="47">
        <v>424.9</v>
      </c>
      <c r="AF46" s="48">
        <v>11704</v>
      </c>
      <c r="AG46" s="48">
        <v>9206</v>
      </c>
      <c r="AH46" s="48">
        <v>13141</v>
      </c>
      <c r="AI46" s="48">
        <v>5922</v>
      </c>
      <c r="AJ46" s="48">
        <v>6385</v>
      </c>
      <c r="AK46" s="48">
        <v>8115</v>
      </c>
      <c r="AL46" s="48">
        <v>4009</v>
      </c>
      <c r="AM46" s="48">
        <v>1410</v>
      </c>
      <c r="AN46" s="48">
        <v>4959</v>
      </c>
      <c r="AO46" s="48">
        <v>1585</v>
      </c>
      <c r="AP46" s="48">
        <v>837</v>
      </c>
      <c r="AQ46" s="48">
        <v>1184</v>
      </c>
      <c r="AR46" s="48">
        <v>277</v>
      </c>
      <c r="AS46" s="48">
        <v>139</v>
      </c>
      <c r="AT46" s="48">
        <v>1324</v>
      </c>
      <c r="AU46" s="48">
        <v>10797</v>
      </c>
      <c r="AV46" s="48">
        <v>2162</v>
      </c>
      <c r="AW46" s="48">
        <v>7410</v>
      </c>
      <c r="AX46" s="48">
        <v>876</v>
      </c>
      <c r="AY46" s="48">
        <v>2348</v>
      </c>
      <c r="AZ46" s="48">
        <v>2787</v>
      </c>
      <c r="BA46" s="48">
        <v>1554</v>
      </c>
      <c r="BB46" s="48">
        <v>161</v>
      </c>
      <c r="BC46" s="48">
        <v>1856</v>
      </c>
      <c r="BD46" s="48">
        <v>193</v>
      </c>
      <c r="BE46" s="48">
        <v>315</v>
      </c>
      <c r="BF46" s="48">
        <v>177</v>
      </c>
      <c r="BG46" s="48">
        <v>221</v>
      </c>
      <c r="BH46" s="48">
        <v>64</v>
      </c>
      <c r="BI46" s="48">
        <v>1108</v>
      </c>
    </row>
    <row r="47" spans="1:61" x14ac:dyDescent="0.2">
      <c r="A47" s="46">
        <v>40603</v>
      </c>
      <c r="B47" s="47">
        <v>575</v>
      </c>
      <c r="C47" s="47">
        <v>345</v>
      </c>
      <c r="D47" s="47">
        <v>485</v>
      </c>
      <c r="E47" s="47">
        <v>293</v>
      </c>
      <c r="F47" s="47">
        <v>450</v>
      </c>
      <c r="G47" s="47">
        <v>392.8</v>
      </c>
      <c r="H47" s="47">
        <v>400</v>
      </c>
      <c r="I47" s="47">
        <v>270</v>
      </c>
      <c r="J47" s="47">
        <v>500</v>
      </c>
      <c r="K47" s="47">
        <v>385.3</v>
      </c>
      <c r="L47" s="47">
        <v>338</v>
      </c>
      <c r="M47" s="47">
        <v>263.89999999999998</v>
      </c>
      <c r="N47" s="47">
        <v>510</v>
      </c>
      <c r="O47" s="47">
        <v>430</v>
      </c>
      <c r="P47" s="47">
        <v>530</v>
      </c>
      <c r="Q47" s="47">
        <v>479</v>
      </c>
      <c r="R47" s="47">
        <v>299</v>
      </c>
      <c r="S47" s="47">
        <v>445</v>
      </c>
      <c r="T47" s="47">
        <v>250</v>
      </c>
      <c r="U47" s="47">
        <v>379</v>
      </c>
      <c r="V47" s="47">
        <v>340</v>
      </c>
      <c r="W47" s="47">
        <v>339</v>
      </c>
      <c r="X47" s="47">
        <v>210</v>
      </c>
      <c r="Y47" s="47">
        <v>405</v>
      </c>
      <c r="Z47" s="47">
        <v>310</v>
      </c>
      <c r="AA47" s="47">
        <v>291.5</v>
      </c>
      <c r="AB47" s="47">
        <v>235</v>
      </c>
      <c r="AC47" s="47">
        <v>415</v>
      </c>
      <c r="AD47" s="47">
        <v>335</v>
      </c>
      <c r="AE47" s="47">
        <v>415</v>
      </c>
      <c r="AF47" s="48">
        <v>9917</v>
      </c>
      <c r="AG47" s="48">
        <v>8195</v>
      </c>
      <c r="AH47" s="48">
        <v>10767</v>
      </c>
      <c r="AI47" s="48">
        <v>5715</v>
      </c>
      <c r="AJ47" s="48">
        <v>5874</v>
      </c>
      <c r="AK47" s="48">
        <v>7438</v>
      </c>
      <c r="AL47" s="48">
        <v>3719</v>
      </c>
      <c r="AM47" s="48">
        <v>1437</v>
      </c>
      <c r="AN47" s="48">
        <v>5661</v>
      </c>
      <c r="AO47" s="48">
        <v>1670</v>
      </c>
      <c r="AP47" s="48">
        <v>849</v>
      </c>
      <c r="AQ47" s="48">
        <v>1236</v>
      </c>
      <c r="AR47" s="48">
        <v>270</v>
      </c>
      <c r="AS47" s="48">
        <v>123</v>
      </c>
      <c r="AT47" s="48">
        <v>1001</v>
      </c>
      <c r="AU47" s="48">
        <v>9188</v>
      </c>
      <c r="AV47" s="48">
        <v>1847</v>
      </c>
      <c r="AW47" s="48">
        <v>5680</v>
      </c>
      <c r="AX47" s="48">
        <v>764</v>
      </c>
      <c r="AY47" s="48">
        <v>2039</v>
      </c>
      <c r="AZ47" s="48">
        <v>2556</v>
      </c>
      <c r="BA47" s="48">
        <v>1519</v>
      </c>
      <c r="BB47" s="48">
        <v>154</v>
      </c>
      <c r="BC47" s="48">
        <v>1968</v>
      </c>
      <c r="BD47" s="48">
        <v>200</v>
      </c>
      <c r="BE47" s="48">
        <v>294</v>
      </c>
      <c r="BF47" s="48">
        <v>191</v>
      </c>
      <c r="BG47" s="48">
        <v>191</v>
      </c>
      <c r="BH47" s="48">
        <v>51</v>
      </c>
      <c r="BI47" s="48">
        <v>1103</v>
      </c>
    </row>
    <row r="48" spans="1:61" x14ac:dyDescent="0.2">
      <c r="A48" s="46">
        <v>40695</v>
      </c>
      <c r="B48" s="47">
        <v>592</v>
      </c>
      <c r="C48" s="47">
        <v>342</v>
      </c>
      <c r="D48" s="47">
        <v>502.5</v>
      </c>
      <c r="E48" s="47">
        <v>295</v>
      </c>
      <c r="F48" s="47">
        <v>442</v>
      </c>
      <c r="G48" s="47">
        <v>383</v>
      </c>
      <c r="H48" s="47">
        <v>395</v>
      </c>
      <c r="I48" s="47">
        <v>275</v>
      </c>
      <c r="J48" s="47">
        <v>485</v>
      </c>
      <c r="K48" s="47">
        <v>380</v>
      </c>
      <c r="L48" s="47">
        <v>330</v>
      </c>
      <c r="M48" s="47">
        <v>250</v>
      </c>
      <c r="N48" s="47">
        <v>500</v>
      </c>
      <c r="O48" s="47">
        <v>400</v>
      </c>
      <c r="P48" s="47">
        <v>533</v>
      </c>
      <c r="Q48" s="47">
        <v>485</v>
      </c>
      <c r="R48" s="47">
        <v>297.3</v>
      </c>
      <c r="S48" s="47">
        <v>450</v>
      </c>
      <c r="T48" s="47">
        <v>248.3</v>
      </c>
      <c r="U48" s="47">
        <v>382.5</v>
      </c>
      <c r="V48" s="47">
        <v>335</v>
      </c>
      <c r="W48" s="47">
        <v>328.5</v>
      </c>
      <c r="X48" s="47">
        <v>176.5</v>
      </c>
      <c r="Y48" s="47">
        <v>405</v>
      </c>
      <c r="Z48" s="47">
        <v>335</v>
      </c>
      <c r="AA48" s="47">
        <v>294</v>
      </c>
      <c r="AB48" s="47">
        <v>232.5</v>
      </c>
      <c r="AC48" s="47">
        <v>415</v>
      </c>
      <c r="AD48" s="47">
        <v>315</v>
      </c>
      <c r="AE48" s="47">
        <v>415</v>
      </c>
      <c r="AF48" s="48">
        <v>11165</v>
      </c>
      <c r="AG48" s="48">
        <v>8791</v>
      </c>
      <c r="AH48" s="48">
        <v>12686</v>
      </c>
      <c r="AI48" s="48">
        <v>6235</v>
      </c>
      <c r="AJ48" s="48">
        <v>5954</v>
      </c>
      <c r="AK48" s="48">
        <v>7524</v>
      </c>
      <c r="AL48" s="48">
        <v>3667</v>
      </c>
      <c r="AM48" s="48">
        <v>1329</v>
      </c>
      <c r="AN48" s="48">
        <v>5145</v>
      </c>
      <c r="AO48" s="48">
        <v>1695</v>
      </c>
      <c r="AP48" s="48">
        <v>708</v>
      </c>
      <c r="AQ48" s="48">
        <v>1062</v>
      </c>
      <c r="AR48" s="48">
        <v>315</v>
      </c>
      <c r="AS48" s="48">
        <v>130</v>
      </c>
      <c r="AT48" s="48">
        <v>1187</v>
      </c>
      <c r="AU48" s="48">
        <v>10384</v>
      </c>
      <c r="AV48" s="48">
        <v>1986</v>
      </c>
      <c r="AW48" s="48">
        <v>7118</v>
      </c>
      <c r="AX48" s="48">
        <v>846</v>
      </c>
      <c r="AY48" s="48">
        <v>2064</v>
      </c>
      <c r="AZ48" s="48">
        <v>2539</v>
      </c>
      <c r="BA48" s="48">
        <v>1522</v>
      </c>
      <c r="BB48" s="48">
        <v>162</v>
      </c>
      <c r="BC48" s="48">
        <v>1861</v>
      </c>
      <c r="BD48" s="48">
        <v>217</v>
      </c>
      <c r="BE48" s="48">
        <v>278</v>
      </c>
      <c r="BF48" s="48">
        <v>187</v>
      </c>
      <c r="BG48" s="48">
        <v>241</v>
      </c>
      <c r="BH48" s="48">
        <v>49</v>
      </c>
      <c r="BI48" s="48">
        <v>1146</v>
      </c>
    </row>
    <row r="49" spans="1:61" x14ac:dyDescent="0.2">
      <c r="A49" s="46">
        <v>40787</v>
      </c>
      <c r="B49" s="47">
        <v>567</v>
      </c>
      <c r="C49" s="47">
        <v>335</v>
      </c>
      <c r="D49" s="47">
        <v>487</v>
      </c>
      <c r="E49" s="47">
        <v>286.5</v>
      </c>
      <c r="F49" s="47">
        <v>433</v>
      </c>
      <c r="G49" s="47">
        <v>380</v>
      </c>
      <c r="H49" s="47">
        <v>390</v>
      </c>
      <c r="I49" s="47">
        <v>260</v>
      </c>
      <c r="J49" s="47">
        <v>470</v>
      </c>
      <c r="K49" s="47">
        <v>375</v>
      </c>
      <c r="L49" s="47">
        <v>335</v>
      </c>
      <c r="M49" s="47">
        <v>250</v>
      </c>
      <c r="N49" s="47">
        <v>497</v>
      </c>
      <c r="O49" s="47">
        <v>397</v>
      </c>
      <c r="P49" s="47">
        <v>490</v>
      </c>
      <c r="Q49" s="47">
        <v>480</v>
      </c>
      <c r="R49" s="47">
        <v>290</v>
      </c>
      <c r="S49" s="47">
        <v>437.5</v>
      </c>
      <c r="T49" s="47">
        <v>235</v>
      </c>
      <c r="U49" s="47">
        <v>370</v>
      </c>
      <c r="V49" s="47">
        <v>325.8</v>
      </c>
      <c r="W49" s="47">
        <v>320</v>
      </c>
      <c r="X49" s="47">
        <v>190</v>
      </c>
      <c r="Y49" s="47">
        <v>395</v>
      </c>
      <c r="Z49" s="47">
        <v>315</v>
      </c>
      <c r="AA49" s="47">
        <v>272.5</v>
      </c>
      <c r="AB49" s="47">
        <v>228.5</v>
      </c>
      <c r="AC49" s="47">
        <v>398</v>
      </c>
      <c r="AD49" s="47">
        <v>360.5</v>
      </c>
      <c r="AE49" s="47">
        <v>425</v>
      </c>
      <c r="AF49" s="48">
        <v>11397</v>
      </c>
      <c r="AG49" s="48">
        <v>8934</v>
      </c>
      <c r="AH49" s="48">
        <v>11960</v>
      </c>
      <c r="AI49" s="48">
        <v>5617</v>
      </c>
      <c r="AJ49" s="48">
        <v>6615</v>
      </c>
      <c r="AK49" s="48">
        <v>8598</v>
      </c>
      <c r="AL49" s="48">
        <v>3566</v>
      </c>
      <c r="AM49" s="48">
        <v>1317</v>
      </c>
      <c r="AN49" s="48">
        <v>5454</v>
      </c>
      <c r="AO49" s="48">
        <v>1661</v>
      </c>
      <c r="AP49" s="48">
        <v>680</v>
      </c>
      <c r="AQ49" s="48">
        <v>1025</v>
      </c>
      <c r="AR49" s="48">
        <v>335</v>
      </c>
      <c r="AS49" s="48">
        <v>123</v>
      </c>
      <c r="AT49" s="48">
        <v>1201</v>
      </c>
      <c r="AU49" s="48">
        <v>10565</v>
      </c>
      <c r="AV49" s="48">
        <v>1928</v>
      </c>
      <c r="AW49" s="48">
        <v>6375</v>
      </c>
      <c r="AX49" s="48">
        <v>805</v>
      </c>
      <c r="AY49" s="48">
        <v>2397</v>
      </c>
      <c r="AZ49" s="48">
        <v>2823</v>
      </c>
      <c r="BA49" s="48">
        <v>1371</v>
      </c>
      <c r="BB49" s="48">
        <v>153</v>
      </c>
      <c r="BC49" s="48">
        <v>1767</v>
      </c>
      <c r="BD49" s="48">
        <v>193</v>
      </c>
      <c r="BE49" s="48">
        <v>217</v>
      </c>
      <c r="BF49" s="48">
        <v>189</v>
      </c>
      <c r="BG49" s="48">
        <v>208</v>
      </c>
      <c r="BH49" s="48">
        <v>36</v>
      </c>
      <c r="BI49" s="48">
        <v>871</v>
      </c>
    </row>
    <row r="50" spans="1:61" x14ac:dyDescent="0.2">
      <c r="A50" s="46">
        <v>40878</v>
      </c>
      <c r="B50" s="47">
        <v>533</v>
      </c>
      <c r="C50" s="47">
        <v>330</v>
      </c>
      <c r="D50" s="47">
        <v>495</v>
      </c>
      <c r="E50" s="47">
        <v>290.5</v>
      </c>
      <c r="F50" s="47">
        <v>430</v>
      </c>
      <c r="G50" s="47">
        <v>380</v>
      </c>
      <c r="H50" s="47">
        <v>385</v>
      </c>
      <c r="I50" s="47">
        <v>270</v>
      </c>
      <c r="J50" s="47">
        <v>480</v>
      </c>
      <c r="K50" s="47">
        <v>372.5</v>
      </c>
      <c r="L50" s="47">
        <v>337.5</v>
      </c>
      <c r="M50" s="47">
        <v>250</v>
      </c>
      <c r="N50" s="47">
        <v>515</v>
      </c>
      <c r="O50" s="47">
        <v>410</v>
      </c>
      <c r="P50" s="47">
        <v>500</v>
      </c>
      <c r="Q50" s="47">
        <v>460</v>
      </c>
      <c r="R50" s="47">
        <v>297</v>
      </c>
      <c r="S50" s="47">
        <v>432.5</v>
      </c>
      <c r="T50" s="47">
        <v>245.3</v>
      </c>
      <c r="U50" s="47">
        <v>380</v>
      </c>
      <c r="V50" s="47">
        <v>327.10000000000002</v>
      </c>
      <c r="W50" s="47">
        <v>327.3</v>
      </c>
      <c r="X50" s="47">
        <v>176</v>
      </c>
      <c r="Y50" s="47">
        <v>400</v>
      </c>
      <c r="Z50" s="47">
        <v>328.3</v>
      </c>
      <c r="AA50" s="47">
        <v>275</v>
      </c>
      <c r="AB50" s="47">
        <v>240</v>
      </c>
      <c r="AC50" s="47">
        <v>399.5</v>
      </c>
      <c r="AD50" s="47">
        <v>336.5</v>
      </c>
      <c r="AE50" s="47">
        <v>415</v>
      </c>
      <c r="AF50" s="48">
        <v>13950</v>
      </c>
      <c r="AG50" s="48">
        <v>11050</v>
      </c>
      <c r="AH50" s="48">
        <v>12819</v>
      </c>
      <c r="AI50" s="48">
        <v>6335</v>
      </c>
      <c r="AJ50" s="48">
        <v>6447</v>
      </c>
      <c r="AK50" s="48">
        <v>8498</v>
      </c>
      <c r="AL50" s="48">
        <v>3566</v>
      </c>
      <c r="AM50" s="48">
        <v>1346</v>
      </c>
      <c r="AN50" s="48">
        <v>5784</v>
      </c>
      <c r="AO50" s="48">
        <v>1801</v>
      </c>
      <c r="AP50" s="48">
        <v>769</v>
      </c>
      <c r="AQ50" s="48">
        <v>959</v>
      </c>
      <c r="AR50" s="48">
        <v>425</v>
      </c>
      <c r="AS50" s="48">
        <v>122</v>
      </c>
      <c r="AT50" s="48">
        <v>1214</v>
      </c>
      <c r="AU50" s="48">
        <v>13108</v>
      </c>
      <c r="AV50" s="48">
        <v>2240</v>
      </c>
      <c r="AW50" s="48">
        <v>6840</v>
      </c>
      <c r="AX50" s="48">
        <v>834</v>
      </c>
      <c r="AY50" s="48">
        <v>2619</v>
      </c>
      <c r="AZ50" s="48">
        <v>2964</v>
      </c>
      <c r="BA50" s="48">
        <v>1276</v>
      </c>
      <c r="BB50" s="48">
        <v>170</v>
      </c>
      <c r="BC50" s="48">
        <v>1989</v>
      </c>
      <c r="BD50" s="48">
        <v>240</v>
      </c>
      <c r="BE50" s="48">
        <v>177</v>
      </c>
      <c r="BF50" s="48">
        <v>142</v>
      </c>
      <c r="BG50" s="48">
        <v>266</v>
      </c>
      <c r="BH50" s="48">
        <v>49</v>
      </c>
      <c r="BI50" s="48">
        <v>896</v>
      </c>
    </row>
    <row r="51" spans="1:61" x14ac:dyDescent="0.2">
      <c r="A51" s="46">
        <v>40969</v>
      </c>
      <c r="B51" s="47">
        <v>607.5</v>
      </c>
      <c r="C51" s="47">
        <v>345</v>
      </c>
      <c r="D51" s="47">
        <v>478</v>
      </c>
      <c r="E51" s="47">
        <v>297.5</v>
      </c>
      <c r="F51" s="47">
        <v>430</v>
      </c>
      <c r="G51" s="47">
        <v>380</v>
      </c>
      <c r="H51" s="47">
        <v>382</v>
      </c>
      <c r="I51" s="47">
        <v>270</v>
      </c>
      <c r="J51" s="47">
        <v>489.5</v>
      </c>
      <c r="K51" s="47">
        <v>385</v>
      </c>
      <c r="L51" s="47">
        <v>343</v>
      </c>
      <c r="M51" s="47">
        <v>250</v>
      </c>
      <c r="N51" s="47">
        <v>525</v>
      </c>
      <c r="O51" s="47">
        <v>395</v>
      </c>
      <c r="P51" s="47">
        <v>512.5</v>
      </c>
      <c r="Q51" s="47">
        <v>500</v>
      </c>
      <c r="R51" s="47">
        <v>298.5</v>
      </c>
      <c r="S51" s="47">
        <v>430</v>
      </c>
      <c r="T51" s="47">
        <v>245</v>
      </c>
      <c r="U51" s="47">
        <v>376</v>
      </c>
      <c r="V51" s="47">
        <v>330</v>
      </c>
      <c r="W51" s="47">
        <v>317</v>
      </c>
      <c r="X51" s="47">
        <v>180</v>
      </c>
      <c r="Y51" s="47">
        <v>406</v>
      </c>
      <c r="Z51" s="47">
        <v>325</v>
      </c>
      <c r="AA51" s="47">
        <v>268.8</v>
      </c>
      <c r="AB51" s="47">
        <v>228</v>
      </c>
      <c r="AC51" s="47">
        <v>420</v>
      </c>
      <c r="AD51" s="47">
        <v>310</v>
      </c>
      <c r="AE51" s="47">
        <v>415</v>
      </c>
      <c r="AF51" s="48">
        <v>9593</v>
      </c>
      <c r="AG51" s="48">
        <v>7811</v>
      </c>
      <c r="AH51" s="48">
        <v>11757</v>
      </c>
      <c r="AI51" s="48">
        <v>5919</v>
      </c>
      <c r="AJ51" s="48">
        <v>6811</v>
      </c>
      <c r="AK51" s="48">
        <v>9341</v>
      </c>
      <c r="AL51" s="48">
        <v>3681</v>
      </c>
      <c r="AM51" s="48">
        <v>1415</v>
      </c>
      <c r="AN51" s="48">
        <v>5995</v>
      </c>
      <c r="AO51" s="48">
        <v>1973</v>
      </c>
      <c r="AP51" s="48">
        <v>751</v>
      </c>
      <c r="AQ51" s="48">
        <v>1087</v>
      </c>
      <c r="AR51" s="48">
        <v>458</v>
      </c>
      <c r="AS51" s="48">
        <v>134</v>
      </c>
      <c r="AT51" s="48">
        <v>1099</v>
      </c>
      <c r="AU51" s="48">
        <v>7821</v>
      </c>
      <c r="AV51" s="48">
        <v>1878</v>
      </c>
      <c r="AW51" s="48">
        <v>5399</v>
      </c>
      <c r="AX51" s="48">
        <v>758</v>
      </c>
      <c r="AY51" s="48">
        <v>2858</v>
      </c>
      <c r="AZ51" s="48">
        <v>3103</v>
      </c>
      <c r="BA51" s="48">
        <v>1279</v>
      </c>
      <c r="BB51" s="48">
        <v>180</v>
      </c>
      <c r="BC51" s="48">
        <v>2143</v>
      </c>
      <c r="BD51" s="48">
        <v>203</v>
      </c>
      <c r="BE51" s="48">
        <v>242</v>
      </c>
      <c r="BF51" s="48">
        <v>155</v>
      </c>
      <c r="BG51" s="48">
        <v>323</v>
      </c>
      <c r="BH51" s="48">
        <v>52</v>
      </c>
      <c r="BI51" s="48">
        <v>816</v>
      </c>
    </row>
    <row r="52" spans="1:61" x14ac:dyDescent="0.2">
      <c r="A52" s="46">
        <v>41061</v>
      </c>
      <c r="B52" s="47">
        <v>600</v>
      </c>
      <c r="C52" s="47">
        <v>346</v>
      </c>
      <c r="D52" s="47">
        <v>485</v>
      </c>
      <c r="E52" s="47">
        <v>285</v>
      </c>
      <c r="F52" s="47">
        <v>435</v>
      </c>
      <c r="G52" s="47">
        <v>375</v>
      </c>
      <c r="H52" s="47">
        <v>385</v>
      </c>
      <c r="I52" s="47">
        <v>270</v>
      </c>
      <c r="J52" s="47">
        <v>499</v>
      </c>
      <c r="K52" s="47">
        <v>375</v>
      </c>
      <c r="L52" s="47">
        <v>327.5</v>
      </c>
      <c r="M52" s="47">
        <v>247</v>
      </c>
      <c r="N52" s="47">
        <v>543.5</v>
      </c>
      <c r="O52" s="47">
        <v>392.5</v>
      </c>
      <c r="P52" s="47">
        <v>482.5</v>
      </c>
      <c r="Q52" s="47">
        <v>510</v>
      </c>
      <c r="R52" s="47">
        <v>306.5</v>
      </c>
      <c r="S52" s="47">
        <v>430</v>
      </c>
      <c r="T52" s="47">
        <v>245</v>
      </c>
      <c r="U52" s="47">
        <v>381</v>
      </c>
      <c r="V52" s="47">
        <v>330</v>
      </c>
      <c r="W52" s="47">
        <v>315</v>
      </c>
      <c r="X52" s="47">
        <v>179</v>
      </c>
      <c r="Y52" s="47">
        <v>400</v>
      </c>
      <c r="Z52" s="47">
        <v>326.8</v>
      </c>
      <c r="AA52" s="47">
        <v>275</v>
      </c>
      <c r="AB52" s="47">
        <v>222.5</v>
      </c>
      <c r="AC52" s="47">
        <v>435</v>
      </c>
      <c r="AD52" s="47">
        <v>364.5</v>
      </c>
      <c r="AE52" s="47">
        <v>416.8</v>
      </c>
      <c r="AF52" s="48">
        <v>10923</v>
      </c>
      <c r="AG52" s="48">
        <v>8663</v>
      </c>
      <c r="AH52" s="48">
        <v>12839</v>
      </c>
      <c r="AI52" s="48">
        <v>6050</v>
      </c>
      <c r="AJ52" s="48">
        <v>6179</v>
      </c>
      <c r="AK52" s="48">
        <v>7755</v>
      </c>
      <c r="AL52" s="48">
        <v>3671</v>
      </c>
      <c r="AM52" s="48">
        <v>1283</v>
      </c>
      <c r="AN52" s="48">
        <v>5528</v>
      </c>
      <c r="AO52" s="48">
        <v>1652</v>
      </c>
      <c r="AP52" s="48">
        <v>682</v>
      </c>
      <c r="AQ52" s="48">
        <v>1010</v>
      </c>
      <c r="AR52" s="48">
        <v>388</v>
      </c>
      <c r="AS52" s="48">
        <v>112</v>
      </c>
      <c r="AT52" s="48">
        <v>1235</v>
      </c>
      <c r="AU52" s="48">
        <v>10331</v>
      </c>
      <c r="AV52" s="48">
        <v>1968</v>
      </c>
      <c r="AW52" s="48">
        <v>6314</v>
      </c>
      <c r="AX52" s="48">
        <v>768</v>
      </c>
      <c r="AY52" s="48">
        <v>2684</v>
      </c>
      <c r="AZ52" s="48">
        <v>2885</v>
      </c>
      <c r="BA52" s="48">
        <v>1254</v>
      </c>
      <c r="BB52" s="48">
        <v>165</v>
      </c>
      <c r="BC52" s="48">
        <v>1968</v>
      </c>
      <c r="BD52" s="48">
        <v>172</v>
      </c>
      <c r="BE52" s="48">
        <v>211</v>
      </c>
      <c r="BF52" s="48">
        <v>134</v>
      </c>
      <c r="BG52" s="48">
        <v>327</v>
      </c>
      <c r="BH52" s="48">
        <v>52</v>
      </c>
      <c r="BI52" s="48">
        <v>854</v>
      </c>
    </row>
    <row r="53" spans="1:61" x14ac:dyDescent="0.2">
      <c r="A53" s="46">
        <v>41153</v>
      </c>
      <c r="B53" s="47">
        <v>585</v>
      </c>
      <c r="C53" s="47">
        <v>335</v>
      </c>
      <c r="D53" s="47">
        <v>480</v>
      </c>
      <c r="E53" s="47">
        <v>290</v>
      </c>
      <c r="F53" s="47">
        <v>435</v>
      </c>
      <c r="G53" s="47">
        <v>380</v>
      </c>
      <c r="H53" s="47">
        <v>386</v>
      </c>
      <c r="I53" s="47">
        <v>265</v>
      </c>
      <c r="J53" s="47">
        <v>495</v>
      </c>
      <c r="K53" s="47">
        <v>380</v>
      </c>
      <c r="L53" s="47">
        <v>315</v>
      </c>
      <c r="M53" s="47">
        <v>249</v>
      </c>
      <c r="N53" s="47">
        <v>540</v>
      </c>
      <c r="O53" s="47">
        <v>385.5</v>
      </c>
      <c r="P53" s="47">
        <v>490</v>
      </c>
      <c r="Q53" s="47">
        <v>487</v>
      </c>
      <c r="R53" s="47">
        <v>290</v>
      </c>
      <c r="S53" s="47">
        <v>425</v>
      </c>
      <c r="T53" s="47">
        <v>235</v>
      </c>
      <c r="U53" s="47">
        <v>387.5</v>
      </c>
      <c r="V53" s="47">
        <v>315</v>
      </c>
      <c r="W53" s="47">
        <v>325</v>
      </c>
      <c r="X53" s="47">
        <v>156</v>
      </c>
      <c r="Y53" s="47">
        <v>400</v>
      </c>
      <c r="Z53" s="47">
        <v>322.5</v>
      </c>
      <c r="AA53" s="47">
        <v>275</v>
      </c>
      <c r="AB53" s="47">
        <v>225</v>
      </c>
      <c r="AC53" s="47">
        <v>410</v>
      </c>
      <c r="AD53" s="47">
        <v>315</v>
      </c>
      <c r="AE53" s="47">
        <v>411</v>
      </c>
      <c r="AF53" s="48">
        <v>11449</v>
      </c>
      <c r="AG53" s="48">
        <v>9665</v>
      </c>
      <c r="AH53" s="48">
        <v>12194</v>
      </c>
      <c r="AI53" s="48">
        <v>5676</v>
      </c>
      <c r="AJ53" s="48">
        <v>7809</v>
      </c>
      <c r="AK53" s="48">
        <v>9941</v>
      </c>
      <c r="AL53" s="48">
        <v>3641</v>
      </c>
      <c r="AM53" s="48">
        <v>1249</v>
      </c>
      <c r="AN53" s="48">
        <v>6091</v>
      </c>
      <c r="AO53" s="48">
        <v>1816</v>
      </c>
      <c r="AP53" s="48">
        <v>674</v>
      </c>
      <c r="AQ53" s="48">
        <v>1055</v>
      </c>
      <c r="AR53" s="48">
        <v>432</v>
      </c>
      <c r="AS53" s="48">
        <v>142</v>
      </c>
      <c r="AT53" s="48">
        <v>1125</v>
      </c>
      <c r="AU53" s="48">
        <v>9633</v>
      </c>
      <c r="AV53" s="48">
        <v>2102</v>
      </c>
      <c r="AW53" s="48">
        <v>6167</v>
      </c>
      <c r="AX53" s="48">
        <v>702</v>
      </c>
      <c r="AY53" s="48">
        <v>3008</v>
      </c>
      <c r="AZ53" s="48">
        <v>3320</v>
      </c>
      <c r="BA53" s="48">
        <v>1306</v>
      </c>
      <c r="BB53" s="48">
        <v>150</v>
      </c>
      <c r="BC53" s="48">
        <v>2201</v>
      </c>
      <c r="BD53" s="48">
        <v>218</v>
      </c>
      <c r="BE53" s="48">
        <v>260</v>
      </c>
      <c r="BF53" s="48">
        <v>187</v>
      </c>
      <c r="BG53" s="48">
        <v>422</v>
      </c>
      <c r="BH53" s="48">
        <v>55</v>
      </c>
      <c r="BI53" s="48">
        <v>885</v>
      </c>
    </row>
    <row r="54" spans="1:61" x14ac:dyDescent="0.2">
      <c r="A54" s="46">
        <v>41244</v>
      </c>
      <c r="B54" s="47">
        <v>640</v>
      </c>
      <c r="C54" s="47">
        <v>360</v>
      </c>
      <c r="D54" s="47">
        <v>508</v>
      </c>
      <c r="E54" s="47">
        <v>291.5</v>
      </c>
      <c r="F54" s="47">
        <v>440</v>
      </c>
      <c r="G54" s="47">
        <v>380</v>
      </c>
      <c r="H54" s="47">
        <v>395</v>
      </c>
      <c r="I54" s="47">
        <v>250</v>
      </c>
      <c r="J54" s="47">
        <v>510</v>
      </c>
      <c r="K54" s="47">
        <v>370</v>
      </c>
      <c r="L54" s="47">
        <v>331.3</v>
      </c>
      <c r="M54" s="47">
        <v>252.3</v>
      </c>
      <c r="N54" s="47">
        <v>561</v>
      </c>
      <c r="O54" s="47">
        <v>428</v>
      </c>
      <c r="P54" s="47">
        <v>519</v>
      </c>
      <c r="Q54" s="47">
        <v>525</v>
      </c>
      <c r="R54" s="47">
        <v>308.5</v>
      </c>
      <c r="S54" s="47">
        <v>440</v>
      </c>
      <c r="T54" s="47">
        <v>240</v>
      </c>
      <c r="U54" s="47">
        <v>385</v>
      </c>
      <c r="V54" s="47">
        <v>322.3</v>
      </c>
      <c r="W54" s="47">
        <v>325</v>
      </c>
      <c r="X54" s="47">
        <v>170</v>
      </c>
      <c r="Y54" s="47">
        <v>410</v>
      </c>
      <c r="Z54" s="47">
        <v>310</v>
      </c>
      <c r="AA54" s="47">
        <v>294</v>
      </c>
      <c r="AB54" s="47">
        <v>220</v>
      </c>
      <c r="AC54" s="47">
        <v>410.5</v>
      </c>
      <c r="AD54" s="47">
        <v>300</v>
      </c>
      <c r="AE54" s="47">
        <v>415.5</v>
      </c>
      <c r="AF54" s="48">
        <v>12333</v>
      </c>
      <c r="AG54" s="48">
        <v>8885</v>
      </c>
      <c r="AH54" s="48">
        <v>14223</v>
      </c>
      <c r="AI54" s="48">
        <v>6231</v>
      </c>
      <c r="AJ54" s="48">
        <v>7515</v>
      </c>
      <c r="AK54" s="48">
        <v>8806</v>
      </c>
      <c r="AL54" s="48">
        <v>3874</v>
      </c>
      <c r="AM54" s="48">
        <v>1345</v>
      </c>
      <c r="AN54" s="48">
        <v>6471</v>
      </c>
      <c r="AO54" s="48">
        <v>1515</v>
      </c>
      <c r="AP54" s="48">
        <v>790</v>
      </c>
      <c r="AQ54" s="48">
        <v>1086</v>
      </c>
      <c r="AR54" s="48">
        <v>424</v>
      </c>
      <c r="AS54" s="48">
        <v>167</v>
      </c>
      <c r="AT54" s="48">
        <v>1243</v>
      </c>
      <c r="AU54" s="48">
        <v>10716</v>
      </c>
      <c r="AV54" s="48">
        <v>2064</v>
      </c>
      <c r="AW54" s="48">
        <v>6785</v>
      </c>
      <c r="AX54" s="48">
        <v>787</v>
      </c>
      <c r="AY54" s="48">
        <v>2897</v>
      </c>
      <c r="AZ54" s="48">
        <v>3244</v>
      </c>
      <c r="BA54" s="48">
        <v>1400</v>
      </c>
      <c r="BB54" s="48">
        <v>147</v>
      </c>
      <c r="BC54" s="48">
        <v>2173</v>
      </c>
      <c r="BD54" s="48">
        <v>225</v>
      </c>
      <c r="BE54" s="48">
        <v>206</v>
      </c>
      <c r="BF54" s="48">
        <v>179</v>
      </c>
      <c r="BG54" s="48">
        <v>352</v>
      </c>
      <c r="BH54" s="48">
        <v>54</v>
      </c>
      <c r="BI54" s="48">
        <v>871</v>
      </c>
    </row>
    <row r="55" spans="1:61" x14ac:dyDescent="0.2">
      <c r="A55" s="46">
        <v>41334</v>
      </c>
      <c r="B55" s="47">
        <v>615</v>
      </c>
      <c r="C55" s="47">
        <v>357.5</v>
      </c>
      <c r="D55" s="47">
        <v>486</v>
      </c>
      <c r="E55" s="47">
        <v>298</v>
      </c>
      <c r="F55" s="47">
        <v>440</v>
      </c>
      <c r="G55" s="47">
        <v>390</v>
      </c>
      <c r="H55" s="47">
        <v>395</v>
      </c>
      <c r="I55" s="47">
        <v>247.5</v>
      </c>
      <c r="J55" s="47">
        <v>520</v>
      </c>
      <c r="K55" s="47">
        <v>380.5</v>
      </c>
      <c r="L55" s="47">
        <v>340</v>
      </c>
      <c r="M55" s="47">
        <v>250</v>
      </c>
      <c r="N55" s="47">
        <v>530</v>
      </c>
      <c r="O55" s="47">
        <v>415</v>
      </c>
      <c r="P55" s="47">
        <v>505</v>
      </c>
      <c r="Q55" s="47">
        <v>520</v>
      </c>
      <c r="R55" s="47">
        <v>300</v>
      </c>
      <c r="S55" s="47">
        <v>435</v>
      </c>
      <c r="T55" s="47">
        <v>235</v>
      </c>
      <c r="U55" s="47">
        <v>392</v>
      </c>
      <c r="V55" s="47">
        <v>327.8</v>
      </c>
      <c r="W55" s="47">
        <v>325</v>
      </c>
      <c r="X55" s="47">
        <v>185</v>
      </c>
      <c r="Y55" s="47">
        <v>430</v>
      </c>
      <c r="Z55" s="47">
        <v>315</v>
      </c>
      <c r="AA55" s="47">
        <v>276.8</v>
      </c>
      <c r="AB55" s="47">
        <v>227</v>
      </c>
      <c r="AC55" s="47">
        <v>445</v>
      </c>
      <c r="AD55" s="47">
        <v>331.3</v>
      </c>
      <c r="AE55" s="47">
        <v>410</v>
      </c>
      <c r="AF55" s="48">
        <v>10971</v>
      </c>
      <c r="AG55" s="48">
        <v>8665</v>
      </c>
      <c r="AH55" s="48">
        <v>12584</v>
      </c>
      <c r="AI55" s="48">
        <v>6050</v>
      </c>
      <c r="AJ55" s="48">
        <v>7588</v>
      </c>
      <c r="AK55" s="48">
        <v>8835</v>
      </c>
      <c r="AL55" s="48">
        <v>3851</v>
      </c>
      <c r="AM55" s="48">
        <v>1281</v>
      </c>
      <c r="AN55" s="48">
        <v>7931</v>
      </c>
      <c r="AO55" s="48">
        <v>1692</v>
      </c>
      <c r="AP55" s="48">
        <v>814</v>
      </c>
      <c r="AQ55" s="48">
        <v>1112</v>
      </c>
      <c r="AR55" s="48">
        <v>449</v>
      </c>
      <c r="AS55" s="48">
        <v>125</v>
      </c>
      <c r="AT55" s="48">
        <v>1123</v>
      </c>
      <c r="AU55" s="48">
        <v>10022</v>
      </c>
      <c r="AV55" s="48">
        <v>2088</v>
      </c>
      <c r="AW55" s="48">
        <v>5978</v>
      </c>
      <c r="AX55" s="48">
        <v>761</v>
      </c>
      <c r="AY55" s="48">
        <v>2888</v>
      </c>
      <c r="AZ55" s="48">
        <v>3408</v>
      </c>
      <c r="BA55" s="48">
        <v>1514</v>
      </c>
      <c r="BB55" s="48">
        <v>164</v>
      </c>
      <c r="BC55" s="48">
        <v>2537</v>
      </c>
      <c r="BD55" s="48">
        <v>279</v>
      </c>
      <c r="BE55" s="48">
        <v>272</v>
      </c>
      <c r="BF55" s="48">
        <v>191</v>
      </c>
      <c r="BG55" s="48">
        <v>346</v>
      </c>
      <c r="BH55" s="48">
        <v>56</v>
      </c>
      <c r="BI55" s="48">
        <v>760</v>
      </c>
    </row>
    <row r="56" spans="1:61" x14ac:dyDescent="0.2">
      <c r="A56" s="46">
        <v>41426</v>
      </c>
      <c r="B56" s="47">
        <v>650</v>
      </c>
      <c r="C56" s="47">
        <v>355</v>
      </c>
      <c r="D56" s="47">
        <v>500</v>
      </c>
      <c r="E56" s="47">
        <v>282.5</v>
      </c>
      <c r="F56" s="47">
        <v>445</v>
      </c>
      <c r="G56" s="47">
        <v>385.5</v>
      </c>
      <c r="H56" s="47">
        <v>395</v>
      </c>
      <c r="I56" s="47">
        <v>255</v>
      </c>
      <c r="J56" s="47">
        <v>529</v>
      </c>
      <c r="K56" s="47">
        <v>380</v>
      </c>
      <c r="L56" s="47">
        <v>330</v>
      </c>
      <c r="M56" s="47">
        <v>255</v>
      </c>
      <c r="N56" s="47">
        <v>540</v>
      </c>
      <c r="O56" s="47">
        <v>388</v>
      </c>
      <c r="P56" s="47">
        <v>510</v>
      </c>
      <c r="Q56" s="47">
        <v>530</v>
      </c>
      <c r="R56" s="47">
        <v>305</v>
      </c>
      <c r="S56" s="47">
        <v>442</v>
      </c>
      <c r="T56" s="47">
        <v>245</v>
      </c>
      <c r="U56" s="47">
        <v>395</v>
      </c>
      <c r="V56" s="47">
        <v>325</v>
      </c>
      <c r="W56" s="47">
        <v>330</v>
      </c>
      <c r="X56" s="47">
        <v>160.80000000000001</v>
      </c>
      <c r="Y56" s="47">
        <v>426</v>
      </c>
      <c r="Z56" s="47">
        <v>310</v>
      </c>
      <c r="AA56" s="47">
        <v>285</v>
      </c>
      <c r="AB56" s="47">
        <v>219</v>
      </c>
      <c r="AC56" s="47">
        <v>450</v>
      </c>
      <c r="AD56" s="47">
        <v>320</v>
      </c>
      <c r="AE56" s="47">
        <v>412.5</v>
      </c>
      <c r="AF56" s="48">
        <v>13403</v>
      </c>
      <c r="AG56" s="48">
        <v>9680</v>
      </c>
      <c r="AH56" s="48">
        <v>15568</v>
      </c>
      <c r="AI56" s="48">
        <v>6827</v>
      </c>
      <c r="AJ56" s="48">
        <v>8342</v>
      </c>
      <c r="AK56" s="48">
        <v>9303</v>
      </c>
      <c r="AL56" s="48">
        <v>4314</v>
      </c>
      <c r="AM56" s="48">
        <v>1329</v>
      </c>
      <c r="AN56" s="48">
        <v>7971</v>
      </c>
      <c r="AO56" s="48">
        <v>1656</v>
      </c>
      <c r="AP56" s="48">
        <v>817</v>
      </c>
      <c r="AQ56" s="48">
        <v>1145</v>
      </c>
      <c r="AR56" s="48">
        <v>436</v>
      </c>
      <c r="AS56" s="48">
        <v>146</v>
      </c>
      <c r="AT56" s="48">
        <v>1337</v>
      </c>
      <c r="AU56" s="48">
        <v>11976</v>
      </c>
      <c r="AV56" s="48">
        <v>2415</v>
      </c>
      <c r="AW56" s="48">
        <v>7411</v>
      </c>
      <c r="AX56" s="48">
        <v>763</v>
      </c>
      <c r="AY56" s="48">
        <v>3296</v>
      </c>
      <c r="AZ56" s="48">
        <v>3481</v>
      </c>
      <c r="BA56" s="48">
        <v>1533</v>
      </c>
      <c r="BB56" s="48">
        <v>138</v>
      </c>
      <c r="BC56" s="48">
        <v>2540</v>
      </c>
      <c r="BD56" s="48">
        <v>258</v>
      </c>
      <c r="BE56" s="48">
        <v>285</v>
      </c>
      <c r="BF56" s="48">
        <v>191</v>
      </c>
      <c r="BG56" s="48">
        <v>329</v>
      </c>
      <c r="BH56" s="48">
        <v>62</v>
      </c>
      <c r="BI56" s="48">
        <v>876</v>
      </c>
    </row>
    <row r="57" spans="1:61" x14ac:dyDescent="0.2">
      <c r="A57" s="46">
        <v>41518</v>
      </c>
      <c r="B57" s="47">
        <v>670</v>
      </c>
      <c r="C57" s="47">
        <v>350</v>
      </c>
      <c r="D57" s="47">
        <v>520</v>
      </c>
      <c r="E57" s="47">
        <v>298</v>
      </c>
      <c r="F57" s="47">
        <v>449</v>
      </c>
      <c r="G57" s="47">
        <v>386.3</v>
      </c>
      <c r="H57" s="47">
        <v>395</v>
      </c>
      <c r="I57" s="47">
        <v>253</v>
      </c>
      <c r="J57" s="47">
        <v>520</v>
      </c>
      <c r="K57" s="47">
        <v>375</v>
      </c>
      <c r="L57" s="47">
        <v>325</v>
      </c>
      <c r="M57" s="47">
        <v>249.5</v>
      </c>
      <c r="N57" s="47">
        <v>570</v>
      </c>
      <c r="O57" s="47">
        <v>389.9</v>
      </c>
      <c r="P57" s="47">
        <v>505</v>
      </c>
      <c r="Q57" s="47">
        <v>550</v>
      </c>
      <c r="R57" s="47">
        <v>315</v>
      </c>
      <c r="S57" s="47">
        <v>445</v>
      </c>
      <c r="T57" s="47">
        <v>234.9</v>
      </c>
      <c r="U57" s="47">
        <v>395</v>
      </c>
      <c r="V57" s="47">
        <v>327</v>
      </c>
      <c r="W57" s="47">
        <v>324</v>
      </c>
      <c r="X57" s="47">
        <v>180</v>
      </c>
      <c r="Y57" s="47">
        <v>430</v>
      </c>
      <c r="Z57" s="47">
        <v>314.5</v>
      </c>
      <c r="AA57" s="47">
        <v>266</v>
      </c>
      <c r="AB57" s="47">
        <v>216.5</v>
      </c>
      <c r="AC57" s="47">
        <v>459.8</v>
      </c>
      <c r="AD57" s="47">
        <v>305</v>
      </c>
      <c r="AE57" s="47">
        <v>415</v>
      </c>
      <c r="AF57" s="48">
        <v>13981</v>
      </c>
      <c r="AG57" s="48">
        <v>10071</v>
      </c>
      <c r="AH57" s="48">
        <v>14532</v>
      </c>
      <c r="AI57" s="48">
        <v>5958</v>
      </c>
      <c r="AJ57" s="48">
        <v>9131</v>
      </c>
      <c r="AK57" s="48">
        <v>9830</v>
      </c>
      <c r="AL57" s="48">
        <v>4194</v>
      </c>
      <c r="AM57" s="48">
        <v>1359</v>
      </c>
      <c r="AN57" s="48">
        <v>7945</v>
      </c>
      <c r="AO57" s="48">
        <v>1659</v>
      </c>
      <c r="AP57" s="48">
        <v>857</v>
      </c>
      <c r="AQ57" s="48">
        <v>1230</v>
      </c>
      <c r="AR57" s="48">
        <v>450</v>
      </c>
      <c r="AS57" s="48">
        <v>157</v>
      </c>
      <c r="AT57" s="48">
        <v>1290</v>
      </c>
      <c r="AU57" s="48">
        <v>13263</v>
      </c>
      <c r="AV57" s="48">
        <v>2496</v>
      </c>
      <c r="AW57" s="48">
        <v>6987</v>
      </c>
      <c r="AX57" s="48">
        <v>743</v>
      </c>
      <c r="AY57" s="48">
        <v>3583</v>
      </c>
      <c r="AZ57" s="48">
        <v>3816</v>
      </c>
      <c r="BA57" s="48">
        <v>1507</v>
      </c>
      <c r="BB57" s="48">
        <v>160</v>
      </c>
      <c r="BC57" s="48">
        <v>2579</v>
      </c>
      <c r="BD57" s="48">
        <v>256</v>
      </c>
      <c r="BE57" s="48">
        <v>270</v>
      </c>
      <c r="BF57" s="48">
        <v>214</v>
      </c>
      <c r="BG57" s="48">
        <v>358</v>
      </c>
      <c r="BH57" s="48">
        <v>47</v>
      </c>
      <c r="BI57" s="48">
        <v>895</v>
      </c>
    </row>
    <row r="58" spans="1:61" x14ac:dyDescent="0.2">
      <c r="A58" s="46">
        <v>41609</v>
      </c>
      <c r="B58" s="47">
        <v>745</v>
      </c>
      <c r="C58" s="47">
        <v>370</v>
      </c>
      <c r="D58" s="47">
        <v>561</v>
      </c>
      <c r="E58" s="47">
        <v>308</v>
      </c>
      <c r="F58" s="47">
        <v>465</v>
      </c>
      <c r="G58" s="47">
        <v>395</v>
      </c>
      <c r="H58" s="47">
        <v>412</v>
      </c>
      <c r="I58" s="47">
        <v>268.3</v>
      </c>
      <c r="J58" s="47">
        <v>552</v>
      </c>
      <c r="K58" s="47">
        <v>385</v>
      </c>
      <c r="L58" s="47">
        <v>350</v>
      </c>
      <c r="M58" s="47">
        <v>250</v>
      </c>
      <c r="N58" s="47">
        <v>579</v>
      </c>
      <c r="O58" s="47">
        <v>424</v>
      </c>
      <c r="P58" s="47">
        <v>503.3</v>
      </c>
      <c r="Q58" s="47">
        <v>565</v>
      </c>
      <c r="R58" s="47">
        <v>320</v>
      </c>
      <c r="S58" s="47">
        <v>467</v>
      </c>
      <c r="T58" s="47">
        <v>245</v>
      </c>
      <c r="U58" s="47">
        <v>400</v>
      </c>
      <c r="V58" s="47">
        <v>331</v>
      </c>
      <c r="W58" s="47">
        <v>330</v>
      </c>
      <c r="X58" s="47">
        <v>196</v>
      </c>
      <c r="Y58" s="47">
        <v>450</v>
      </c>
      <c r="Z58" s="47">
        <v>320</v>
      </c>
      <c r="AA58" s="47">
        <v>295</v>
      </c>
      <c r="AB58" s="47">
        <v>220</v>
      </c>
      <c r="AC58" s="47">
        <v>481</v>
      </c>
      <c r="AD58" s="47">
        <v>370</v>
      </c>
      <c r="AE58" s="47">
        <v>420.5</v>
      </c>
      <c r="AF58" s="48">
        <v>15556</v>
      </c>
      <c r="AG58" s="48">
        <v>10805</v>
      </c>
      <c r="AH58" s="48">
        <v>17118</v>
      </c>
      <c r="AI58" s="48">
        <v>6849</v>
      </c>
      <c r="AJ58" s="48">
        <v>9466</v>
      </c>
      <c r="AK58" s="48">
        <v>10332</v>
      </c>
      <c r="AL58" s="48">
        <v>4476</v>
      </c>
      <c r="AM58" s="48">
        <v>1448</v>
      </c>
      <c r="AN58" s="48">
        <v>8020</v>
      </c>
      <c r="AO58" s="48">
        <v>1728</v>
      </c>
      <c r="AP58" s="48">
        <v>829</v>
      </c>
      <c r="AQ58" s="48">
        <v>1168</v>
      </c>
      <c r="AR58" s="48">
        <v>441</v>
      </c>
      <c r="AS58" s="48">
        <v>135</v>
      </c>
      <c r="AT58" s="48">
        <v>1353</v>
      </c>
      <c r="AU58" s="48">
        <v>12353</v>
      </c>
      <c r="AV58" s="48">
        <v>2774</v>
      </c>
      <c r="AW58" s="48">
        <v>7967</v>
      </c>
      <c r="AX58" s="48">
        <v>845</v>
      </c>
      <c r="AY58" s="48">
        <v>3647</v>
      </c>
      <c r="AZ58" s="48">
        <v>4027</v>
      </c>
      <c r="BA58" s="48">
        <v>1581</v>
      </c>
      <c r="BB58" s="48">
        <v>167</v>
      </c>
      <c r="BC58" s="48">
        <v>2592</v>
      </c>
      <c r="BD58" s="48">
        <v>242</v>
      </c>
      <c r="BE58" s="48">
        <v>295</v>
      </c>
      <c r="BF58" s="48">
        <v>167</v>
      </c>
      <c r="BG58" s="48">
        <v>351</v>
      </c>
      <c r="BH58" s="48">
        <v>63</v>
      </c>
      <c r="BI58" s="48">
        <v>808</v>
      </c>
    </row>
    <row r="59" spans="1:61" x14ac:dyDescent="0.2">
      <c r="A59" s="46">
        <v>41699</v>
      </c>
      <c r="B59" s="47">
        <v>680</v>
      </c>
      <c r="C59" s="47">
        <v>362</v>
      </c>
      <c r="D59" s="47">
        <v>504</v>
      </c>
      <c r="E59" s="47">
        <v>290</v>
      </c>
      <c r="F59" s="47">
        <v>448</v>
      </c>
      <c r="G59" s="47">
        <v>390</v>
      </c>
      <c r="H59" s="47">
        <v>407</v>
      </c>
      <c r="I59" s="47">
        <v>265</v>
      </c>
      <c r="J59" s="47">
        <v>530.5</v>
      </c>
      <c r="K59" s="47">
        <v>379</v>
      </c>
      <c r="L59" s="47">
        <v>360</v>
      </c>
      <c r="M59" s="47">
        <v>247</v>
      </c>
      <c r="N59" s="47">
        <v>595</v>
      </c>
      <c r="O59" s="47">
        <v>412.5</v>
      </c>
      <c r="P59" s="47">
        <v>553.70000000000005</v>
      </c>
      <c r="Q59" s="47">
        <v>591.5</v>
      </c>
      <c r="R59" s="47">
        <v>330</v>
      </c>
      <c r="S59" s="47">
        <v>475.5</v>
      </c>
      <c r="T59" s="47">
        <v>250</v>
      </c>
      <c r="U59" s="47">
        <v>405</v>
      </c>
      <c r="V59" s="47">
        <v>338</v>
      </c>
      <c r="W59" s="47">
        <v>326</v>
      </c>
      <c r="X59" s="47">
        <v>178.5</v>
      </c>
      <c r="Y59" s="47">
        <v>445</v>
      </c>
      <c r="Z59" s="47">
        <v>325</v>
      </c>
      <c r="AA59" s="47">
        <v>275</v>
      </c>
      <c r="AB59" s="47">
        <v>230</v>
      </c>
      <c r="AC59" s="47">
        <v>496.1</v>
      </c>
      <c r="AD59" s="47">
        <v>337</v>
      </c>
      <c r="AE59" s="47">
        <v>410</v>
      </c>
      <c r="AF59" s="48">
        <v>13416</v>
      </c>
      <c r="AG59" s="48">
        <v>10484</v>
      </c>
      <c r="AH59" s="48">
        <v>12426</v>
      </c>
      <c r="AI59" s="48">
        <v>5090</v>
      </c>
      <c r="AJ59" s="48">
        <v>9595</v>
      </c>
      <c r="AK59" s="48">
        <v>9890</v>
      </c>
      <c r="AL59" s="48">
        <v>4253</v>
      </c>
      <c r="AM59" s="48">
        <v>1552</v>
      </c>
      <c r="AN59" s="48">
        <v>8222</v>
      </c>
      <c r="AO59" s="48">
        <v>1679</v>
      </c>
      <c r="AP59" s="48">
        <v>935</v>
      </c>
      <c r="AQ59" s="48">
        <v>1307</v>
      </c>
      <c r="AR59" s="48">
        <v>372</v>
      </c>
      <c r="AS59" s="48">
        <v>119</v>
      </c>
      <c r="AT59" s="48">
        <v>982</v>
      </c>
      <c r="AU59" s="48">
        <v>12721</v>
      </c>
      <c r="AV59" s="48">
        <v>2564</v>
      </c>
      <c r="AW59" s="48">
        <v>10203</v>
      </c>
      <c r="AX59" s="48">
        <v>922</v>
      </c>
      <c r="AY59" s="48">
        <v>4557</v>
      </c>
      <c r="AZ59" s="48">
        <v>4857</v>
      </c>
      <c r="BA59" s="48">
        <v>1514</v>
      </c>
      <c r="BB59" s="48">
        <v>188</v>
      </c>
      <c r="BC59" s="48">
        <v>3026</v>
      </c>
      <c r="BD59" s="48">
        <v>261</v>
      </c>
      <c r="BE59" s="48">
        <v>313</v>
      </c>
      <c r="BF59" s="48">
        <v>209</v>
      </c>
      <c r="BG59" s="48">
        <v>329</v>
      </c>
      <c r="BH59" s="48">
        <v>56</v>
      </c>
      <c r="BI59" s="48">
        <v>759</v>
      </c>
    </row>
    <row r="60" spans="1:61" x14ac:dyDescent="0.2">
      <c r="A60" s="46">
        <v>41791</v>
      </c>
      <c r="B60" s="47">
        <v>728</v>
      </c>
      <c r="C60" s="47">
        <v>368</v>
      </c>
      <c r="D60" s="47">
        <v>528.9</v>
      </c>
      <c r="E60" s="47">
        <v>286</v>
      </c>
      <c r="F60" s="47">
        <v>459</v>
      </c>
      <c r="G60" s="47">
        <v>390</v>
      </c>
      <c r="H60" s="47">
        <v>405</v>
      </c>
      <c r="I60" s="47">
        <v>250</v>
      </c>
      <c r="J60" s="47">
        <v>525</v>
      </c>
      <c r="K60" s="47">
        <v>366</v>
      </c>
      <c r="L60" s="47">
        <v>340</v>
      </c>
      <c r="M60" s="47">
        <v>236.3</v>
      </c>
      <c r="N60" s="47">
        <v>557.5</v>
      </c>
      <c r="O60" s="47">
        <v>420</v>
      </c>
      <c r="P60" s="47">
        <v>550</v>
      </c>
      <c r="Q60" s="47">
        <v>610</v>
      </c>
      <c r="R60" s="47">
        <v>330</v>
      </c>
      <c r="S60" s="47">
        <v>479</v>
      </c>
      <c r="T60" s="47">
        <v>245</v>
      </c>
      <c r="U60" s="47">
        <v>414</v>
      </c>
      <c r="V60" s="47">
        <v>345</v>
      </c>
      <c r="W60" s="47">
        <v>345</v>
      </c>
      <c r="X60" s="47">
        <v>190</v>
      </c>
      <c r="Y60" s="47">
        <v>452</v>
      </c>
      <c r="Z60" s="47">
        <v>322</v>
      </c>
      <c r="AA60" s="47">
        <v>282</v>
      </c>
      <c r="AB60" s="47">
        <v>226.3</v>
      </c>
      <c r="AC60" s="47">
        <v>465</v>
      </c>
      <c r="AD60" s="47">
        <v>335</v>
      </c>
      <c r="AE60" s="47">
        <v>410</v>
      </c>
      <c r="AF60" s="48">
        <v>15183</v>
      </c>
      <c r="AG60" s="48">
        <v>10900</v>
      </c>
      <c r="AH60" s="48">
        <v>14354</v>
      </c>
      <c r="AI60" s="48">
        <v>5249</v>
      </c>
      <c r="AJ60" s="48">
        <v>9212</v>
      </c>
      <c r="AK60" s="48">
        <v>8732</v>
      </c>
      <c r="AL60" s="48">
        <v>4230</v>
      </c>
      <c r="AM60" s="48">
        <v>1433</v>
      </c>
      <c r="AN60" s="48">
        <v>7635</v>
      </c>
      <c r="AO60" s="48">
        <v>1577</v>
      </c>
      <c r="AP60" s="48">
        <v>931</v>
      </c>
      <c r="AQ60" s="48">
        <v>1388</v>
      </c>
      <c r="AR60" s="48">
        <v>452</v>
      </c>
      <c r="AS60" s="48">
        <v>113</v>
      </c>
      <c r="AT60" s="48">
        <v>1044</v>
      </c>
      <c r="AU60" s="48">
        <v>14466</v>
      </c>
      <c r="AV60" s="48">
        <v>2551</v>
      </c>
      <c r="AW60" s="48">
        <v>12328</v>
      </c>
      <c r="AX60" s="48">
        <v>913</v>
      </c>
      <c r="AY60" s="48">
        <v>4788</v>
      </c>
      <c r="AZ60" s="48">
        <v>4573</v>
      </c>
      <c r="BA60" s="48">
        <v>1665</v>
      </c>
      <c r="BB60" s="48">
        <v>153</v>
      </c>
      <c r="BC60" s="48">
        <v>2908</v>
      </c>
      <c r="BD60" s="48">
        <v>242</v>
      </c>
      <c r="BE60" s="48">
        <v>314</v>
      </c>
      <c r="BF60" s="48">
        <v>230</v>
      </c>
      <c r="BG60" s="48">
        <v>375</v>
      </c>
      <c r="BH60" s="48">
        <v>40</v>
      </c>
      <c r="BI60" s="48">
        <v>931</v>
      </c>
    </row>
    <row r="61" spans="1:61" x14ac:dyDescent="0.2">
      <c r="A61" s="46">
        <v>41883</v>
      </c>
      <c r="B61" s="47">
        <v>730</v>
      </c>
      <c r="C61" s="47">
        <v>368.6</v>
      </c>
      <c r="D61" s="47">
        <v>505</v>
      </c>
      <c r="E61" s="47">
        <v>280</v>
      </c>
      <c r="F61" s="47">
        <v>451</v>
      </c>
      <c r="G61" s="47">
        <v>390</v>
      </c>
      <c r="H61" s="47">
        <v>410</v>
      </c>
      <c r="I61" s="47">
        <v>255</v>
      </c>
      <c r="J61" s="47">
        <v>530</v>
      </c>
      <c r="K61" s="47">
        <v>370</v>
      </c>
      <c r="L61" s="47">
        <v>345</v>
      </c>
      <c r="M61" s="47">
        <v>262.5</v>
      </c>
      <c r="N61" s="47">
        <v>570</v>
      </c>
      <c r="O61" s="47">
        <v>439</v>
      </c>
      <c r="P61" s="47">
        <v>554</v>
      </c>
      <c r="Q61" s="47">
        <v>620</v>
      </c>
      <c r="R61" s="47">
        <v>326</v>
      </c>
      <c r="S61" s="47">
        <v>478.5</v>
      </c>
      <c r="T61" s="47">
        <v>245</v>
      </c>
      <c r="U61" s="47">
        <v>420</v>
      </c>
      <c r="V61" s="47">
        <v>330</v>
      </c>
      <c r="W61" s="47">
        <v>342.5</v>
      </c>
      <c r="X61" s="47">
        <v>190</v>
      </c>
      <c r="Y61" s="47">
        <v>442</v>
      </c>
      <c r="Z61" s="47">
        <v>325</v>
      </c>
      <c r="AA61" s="47">
        <v>267.5</v>
      </c>
      <c r="AB61" s="47">
        <v>235</v>
      </c>
      <c r="AC61" s="47">
        <v>485</v>
      </c>
      <c r="AD61" s="47">
        <v>377.5</v>
      </c>
      <c r="AE61" s="47">
        <v>410</v>
      </c>
      <c r="AF61" s="48">
        <v>14759</v>
      </c>
      <c r="AG61" s="48">
        <v>11019</v>
      </c>
      <c r="AH61" s="48">
        <v>14032</v>
      </c>
      <c r="AI61" s="48">
        <v>5109</v>
      </c>
      <c r="AJ61" s="48">
        <v>9747</v>
      </c>
      <c r="AK61" s="48">
        <v>9528</v>
      </c>
      <c r="AL61" s="48">
        <v>4096</v>
      </c>
      <c r="AM61" s="48">
        <v>1386</v>
      </c>
      <c r="AN61" s="48">
        <v>7304</v>
      </c>
      <c r="AO61" s="48">
        <v>1592</v>
      </c>
      <c r="AP61" s="48">
        <v>786</v>
      </c>
      <c r="AQ61" s="48">
        <v>1171</v>
      </c>
      <c r="AR61" s="48">
        <v>414</v>
      </c>
      <c r="AS61" s="48">
        <v>152</v>
      </c>
      <c r="AT61" s="48">
        <v>960</v>
      </c>
      <c r="AU61" s="48">
        <v>13328</v>
      </c>
      <c r="AV61" s="48">
        <v>2403</v>
      </c>
      <c r="AW61" s="48">
        <v>11956</v>
      </c>
      <c r="AX61" s="48">
        <v>934</v>
      </c>
      <c r="AY61" s="48">
        <v>4979</v>
      </c>
      <c r="AZ61" s="48">
        <v>4859</v>
      </c>
      <c r="BA61" s="48">
        <v>1744</v>
      </c>
      <c r="BB61" s="48">
        <v>177</v>
      </c>
      <c r="BC61" s="48">
        <v>2798</v>
      </c>
      <c r="BD61" s="48">
        <v>277</v>
      </c>
      <c r="BE61" s="48">
        <v>270</v>
      </c>
      <c r="BF61" s="48">
        <v>236</v>
      </c>
      <c r="BG61" s="48">
        <v>397</v>
      </c>
      <c r="BH61" s="48">
        <v>58</v>
      </c>
      <c r="BI61" s="48">
        <v>887</v>
      </c>
    </row>
    <row r="62" spans="1:61" x14ac:dyDescent="0.2">
      <c r="A62" s="46">
        <v>41974</v>
      </c>
      <c r="B62" s="47">
        <v>816</v>
      </c>
      <c r="C62" s="47">
        <v>380</v>
      </c>
      <c r="D62" s="47">
        <v>552.5</v>
      </c>
      <c r="E62" s="47">
        <v>298</v>
      </c>
      <c r="F62" s="47">
        <v>467</v>
      </c>
      <c r="G62" s="47">
        <v>405</v>
      </c>
      <c r="H62" s="47">
        <v>425</v>
      </c>
      <c r="I62" s="47">
        <v>275</v>
      </c>
      <c r="J62" s="47">
        <v>531</v>
      </c>
      <c r="K62" s="47">
        <v>380</v>
      </c>
      <c r="L62" s="47">
        <v>356.5</v>
      </c>
      <c r="M62" s="47">
        <v>253.5</v>
      </c>
      <c r="N62" s="47">
        <v>581</v>
      </c>
      <c r="O62" s="47">
        <v>420</v>
      </c>
      <c r="P62" s="47">
        <v>570</v>
      </c>
      <c r="Q62" s="47">
        <v>650</v>
      </c>
      <c r="R62" s="47">
        <v>333</v>
      </c>
      <c r="S62" s="47">
        <v>490</v>
      </c>
      <c r="T62" s="47">
        <v>250</v>
      </c>
      <c r="U62" s="47">
        <v>420</v>
      </c>
      <c r="V62" s="47">
        <v>340</v>
      </c>
      <c r="W62" s="47">
        <v>345</v>
      </c>
      <c r="X62" s="47">
        <v>180.1</v>
      </c>
      <c r="Y62" s="47">
        <v>445</v>
      </c>
      <c r="Z62" s="47">
        <v>320</v>
      </c>
      <c r="AA62" s="47">
        <v>279.5</v>
      </c>
      <c r="AB62" s="47">
        <v>235</v>
      </c>
      <c r="AC62" s="47">
        <v>465</v>
      </c>
      <c r="AD62" s="47">
        <v>339.5</v>
      </c>
      <c r="AE62" s="47">
        <v>422</v>
      </c>
      <c r="AF62" s="48">
        <v>16311</v>
      </c>
      <c r="AG62" s="48">
        <v>11864</v>
      </c>
      <c r="AH62" s="48">
        <v>16407</v>
      </c>
      <c r="AI62" s="48">
        <v>5323</v>
      </c>
      <c r="AJ62" s="48">
        <v>9365</v>
      </c>
      <c r="AK62" s="48">
        <v>9246</v>
      </c>
      <c r="AL62" s="48">
        <v>4502</v>
      </c>
      <c r="AM62" s="48">
        <v>1442</v>
      </c>
      <c r="AN62" s="48">
        <v>6864</v>
      </c>
      <c r="AO62" s="48">
        <v>1530</v>
      </c>
      <c r="AP62" s="48">
        <v>940</v>
      </c>
      <c r="AQ62" s="48">
        <v>1264</v>
      </c>
      <c r="AR62" s="48">
        <v>352</v>
      </c>
      <c r="AS62" s="48">
        <v>141</v>
      </c>
      <c r="AT62" s="48">
        <v>1216</v>
      </c>
      <c r="AU62" s="48">
        <v>14730</v>
      </c>
      <c r="AV62" s="48">
        <v>2638</v>
      </c>
      <c r="AW62" s="48">
        <v>11872</v>
      </c>
      <c r="AX62" s="48">
        <v>971</v>
      </c>
      <c r="AY62" s="48">
        <v>4576</v>
      </c>
      <c r="AZ62" s="48">
        <v>4571</v>
      </c>
      <c r="BA62" s="48">
        <v>1608</v>
      </c>
      <c r="BB62" s="48">
        <v>136</v>
      </c>
      <c r="BC62" s="48">
        <v>2459</v>
      </c>
      <c r="BD62" s="48">
        <v>233</v>
      </c>
      <c r="BE62" s="48">
        <v>320</v>
      </c>
      <c r="BF62" s="48">
        <v>214</v>
      </c>
      <c r="BG62" s="48">
        <v>394</v>
      </c>
      <c r="BH62" s="48">
        <v>68</v>
      </c>
      <c r="BI62" s="48">
        <v>1027</v>
      </c>
    </row>
    <row r="63" spans="1:61" x14ac:dyDescent="0.2">
      <c r="A63" s="46">
        <v>42064</v>
      </c>
      <c r="B63" s="47">
        <v>792.5</v>
      </c>
      <c r="C63" s="47">
        <v>390</v>
      </c>
      <c r="D63" s="47">
        <v>525</v>
      </c>
      <c r="E63" s="47">
        <v>299</v>
      </c>
      <c r="F63" s="47">
        <v>462.8</v>
      </c>
      <c r="G63" s="47">
        <v>410</v>
      </c>
      <c r="H63" s="47">
        <v>415.5</v>
      </c>
      <c r="I63" s="47">
        <v>265</v>
      </c>
      <c r="J63" s="47">
        <v>536.5</v>
      </c>
      <c r="K63" s="47">
        <v>370</v>
      </c>
      <c r="L63" s="47">
        <v>360</v>
      </c>
      <c r="M63" s="47">
        <v>255</v>
      </c>
      <c r="N63" s="47">
        <v>570</v>
      </c>
      <c r="O63" s="47">
        <v>430</v>
      </c>
      <c r="P63" s="47">
        <v>585</v>
      </c>
      <c r="Q63" s="47">
        <v>657</v>
      </c>
      <c r="R63" s="47">
        <v>340</v>
      </c>
      <c r="S63" s="47">
        <v>480.8</v>
      </c>
      <c r="T63" s="47">
        <v>250</v>
      </c>
      <c r="U63" s="47">
        <v>420</v>
      </c>
      <c r="V63" s="47">
        <v>350</v>
      </c>
      <c r="W63" s="47">
        <v>345</v>
      </c>
      <c r="X63" s="47">
        <v>185</v>
      </c>
      <c r="Y63" s="47">
        <v>440</v>
      </c>
      <c r="Z63" s="47">
        <v>325</v>
      </c>
      <c r="AA63" s="47">
        <v>285</v>
      </c>
      <c r="AB63" s="47">
        <v>220.5</v>
      </c>
      <c r="AC63" s="47">
        <v>485</v>
      </c>
      <c r="AD63" s="47">
        <v>375</v>
      </c>
      <c r="AE63" s="47">
        <v>420</v>
      </c>
      <c r="AF63" s="48">
        <v>13518</v>
      </c>
      <c r="AG63" s="48">
        <v>10929</v>
      </c>
      <c r="AH63" s="48">
        <v>13871</v>
      </c>
      <c r="AI63" s="48">
        <v>5504</v>
      </c>
      <c r="AJ63" s="48">
        <v>9498</v>
      </c>
      <c r="AK63" s="48">
        <v>9421</v>
      </c>
      <c r="AL63" s="48">
        <v>4383</v>
      </c>
      <c r="AM63" s="48">
        <v>1555</v>
      </c>
      <c r="AN63" s="48">
        <v>6830</v>
      </c>
      <c r="AO63" s="48">
        <v>1590</v>
      </c>
      <c r="AP63" s="48">
        <v>945</v>
      </c>
      <c r="AQ63" s="48">
        <v>1439</v>
      </c>
      <c r="AR63" s="48">
        <v>306</v>
      </c>
      <c r="AS63" s="48">
        <v>89</v>
      </c>
      <c r="AT63" s="48">
        <v>1013</v>
      </c>
      <c r="AU63" s="48">
        <v>12507</v>
      </c>
      <c r="AV63" s="48">
        <v>2663</v>
      </c>
      <c r="AW63" s="48">
        <v>10877</v>
      </c>
      <c r="AX63" s="48">
        <v>1016</v>
      </c>
      <c r="AY63" s="48">
        <v>4537</v>
      </c>
      <c r="AZ63" s="48">
        <v>5268</v>
      </c>
      <c r="BA63" s="48">
        <v>1692</v>
      </c>
      <c r="BB63" s="48">
        <v>205</v>
      </c>
      <c r="BC63" s="48">
        <v>2654</v>
      </c>
      <c r="BD63" s="48">
        <v>230</v>
      </c>
      <c r="BE63" s="48">
        <v>303</v>
      </c>
      <c r="BF63" s="48">
        <v>225</v>
      </c>
      <c r="BG63" s="48">
        <v>316</v>
      </c>
      <c r="BH63" s="48">
        <v>43</v>
      </c>
      <c r="BI63" s="48">
        <v>924</v>
      </c>
    </row>
    <row r="64" spans="1:61" x14ac:dyDescent="0.2">
      <c r="A64" s="46">
        <v>42156</v>
      </c>
      <c r="B64" s="47">
        <v>860</v>
      </c>
      <c r="C64" s="47">
        <v>395</v>
      </c>
      <c r="D64" s="47">
        <v>561</v>
      </c>
      <c r="E64" s="47">
        <v>295</v>
      </c>
      <c r="F64" s="47">
        <v>465</v>
      </c>
      <c r="G64" s="47">
        <v>410.3</v>
      </c>
      <c r="H64" s="47">
        <v>420</v>
      </c>
      <c r="I64" s="47">
        <v>260</v>
      </c>
      <c r="J64" s="47">
        <v>537</v>
      </c>
      <c r="K64" s="47">
        <v>355</v>
      </c>
      <c r="L64" s="47">
        <v>350</v>
      </c>
      <c r="M64" s="47">
        <v>252.5</v>
      </c>
      <c r="N64" s="47">
        <v>595</v>
      </c>
      <c r="O64" s="47">
        <v>450</v>
      </c>
      <c r="P64" s="47">
        <v>580</v>
      </c>
      <c r="Q64" s="47">
        <v>705</v>
      </c>
      <c r="R64" s="47">
        <v>350</v>
      </c>
      <c r="S64" s="47">
        <v>515</v>
      </c>
      <c r="T64" s="47">
        <v>255</v>
      </c>
      <c r="U64" s="47">
        <v>425</v>
      </c>
      <c r="V64" s="47">
        <v>350</v>
      </c>
      <c r="W64" s="47">
        <v>345</v>
      </c>
      <c r="X64" s="47">
        <v>210</v>
      </c>
      <c r="Y64" s="47">
        <v>434.5</v>
      </c>
      <c r="Z64" s="47">
        <v>315</v>
      </c>
      <c r="AA64" s="47">
        <v>286</v>
      </c>
      <c r="AB64" s="47">
        <v>232</v>
      </c>
      <c r="AC64" s="47">
        <v>450</v>
      </c>
      <c r="AD64" s="47">
        <v>321.5</v>
      </c>
      <c r="AE64" s="47">
        <v>425</v>
      </c>
      <c r="AF64" s="48">
        <v>14472</v>
      </c>
      <c r="AG64" s="48">
        <v>12124</v>
      </c>
      <c r="AH64" s="48">
        <v>16787</v>
      </c>
      <c r="AI64" s="48">
        <v>5577</v>
      </c>
      <c r="AJ64" s="48">
        <v>10231</v>
      </c>
      <c r="AK64" s="48">
        <v>9420</v>
      </c>
      <c r="AL64" s="48">
        <v>4489</v>
      </c>
      <c r="AM64" s="48">
        <v>1411</v>
      </c>
      <c r="AN64" s="48">
        <v>6336</v>
      </c>
      <c r="AO64" s="48">
        <v>1398</v>
      </c>
      <c r="AP64" s="48">
        <v>924</v>
      </c>
      <c r="AQ64" s="48">
        <v>1425</v>
      </c>
      <c r="AR64" s="48">
        <v>291</v>
      </c>
      <c r="AS64" s="48">
        <v>64</v>
      </c>
      <c r="AT64" s="48">
        <v>1071</v>
      </c>
      <c r="AU64" s="48">
        <v>15127</v>
      </c>
      <c r="AV64" s="48">
        <v>2996</v>
      </c>
      <c r="AW64" s="48">
        <v>15487</v>
      </c>
      <c r="AX64" s="48">
        <v>1002</v>
      </c>
      <c r="AY64" s="48">
        <v>5159</v>
      </c>
      <c r="AZ64" s="48">
        <v>5251</v>
      </c>
      <c r="BA64" s="48">
        <v>1952</v>
      </c>
      <c r="BB64" s="48">
        <v>155</v>
      </c>
      <c r="BC64" s="48">
        <v>2295</v>
      </c>
      <c r="BD64" s="48">
        <v>198</v>
      </c>
      <c r="BE64" s="48">
        <v>335</v>
      </c>
      <c r="BF64" s="48">
        <v>247</v>
      </c>
      <c r="BG64" s="48">
        <v>287</v>
      </c>
      <c r="BH64" s="48">
        <v>34</v>
      </c>
      <c r="BI64" s="48">
        <v>1076</v>
      </c>
    </row>
    <row r="65" spans="1:61" x14ac:dyDescent="0.2">
      <c r="A65" s="46">
        <v>42248</v>
      </c>
      <c r="B65" s="47">
        <v>888.2</v>
      </c>
      <c r="C65" s="47">
        <v>410</v>
      </c>
      <c r="D65" s="47">
        <v>580</v>
      </c>
      <c r="E65" s="47">
        <v>295.60000000000002</v>
      </c>
      <c r="F65" s="47">
        <v>475</v>
      </c>
      <c r="G65" s="47">
        <v>415</v>
      </c>
      <c r="H65" s="47">
        <v>427.5</v>
      </c>
      <c r="I65" s="47">
        <v>260</v>
      </c>
      <c r="J65" s="47">
        <v>520</v>
      </c>
      <c r="K65" s="47">
        <v>350</v>
      </c>
      <c r="L65" s="47">
        <v>340</v>
      </c>
      <c r="M65" s="47">
        <v>257.5</v>
      </c>
      <c r="N65" s="47">
        <v>580</v>
      </c>
      <c r="O65" s="47">
        <v>455</v>
      </c>
      <c r="P65" s="47">
        <v>587.5</v>
      </c>
      <c r="Q65" s="47">
        <v>710</v>
      </c>
      <c r="R65" s="47">
        <v>360</v>
      </c>
      <c r="S65" s="47">
        <v>500</v>
      </c>
      <c r="T65" s="47">
        <v>256</v>
      </c>
      <c r="U65" s="47">
        <v>425</v>
      </c>
      <c r="V65" s="47">
        <v>350.8</v>
      </c>
      <c r="W65" s="47">
        <v>344.5</v>
      </c>
      <c r="X65" s="47">
        <v>190</v>
      </c>
      <c r="Y65" s="47">
        <v>425</v>
      </c>
      <c r="Z65" s="47">
        <v>330</v>
      </c>
      <c r="AA65" s="47">
        <v>296</v>
      </c>
      <c r="AB65" s="47">
        <v>235</v>
      </c>
      <c r="AC65" s="47">
        <v>475</v>
      </c>
      <c r="AD65" s="47">
        <v>305</v>
      </c>
      <c r="AE65" s="47">
        <v>415</v>
      </c>
      <c r="AF65" s="48">
        <v>15306</v>
      </c>
      <c r="AG65" s="48">
        <v>12705</v>
      </c>
      <c r="AH65" s="48">
        <v>16128</v>
      </c>
      <c r="AI65" s="48">
        <v>5548</v>
      </c>
      <c r="AJ65" s="48">
        <v>10729</v>
      </c>
      <c r="AK65" s="48">
        <v>9968</v>
      </c>
      <c r="AL65" s="48">
        <v>4381</v>
      </c>
      <c r="AM65" s="48">
        <v>1286</v>
      </c>
      <c r="AN65" s="48">
        <v>5539</v>
      </c>
      <c r="AO65" s="48">
        <v>1336</v>
      </c>
      <c r="AP65" s="48">
        <v>885</v>
      </c>
      <c r="AQ65" s="48">
        <v>1403</v>
      </c>
      <c r="AR65" s="48">
        <v>248</v>
      </c>
      <c r="AS65" s="48">
        <v>93</v>
      </c>
      <c r="AT65" s="48">
        <v>1048</v>
      </c>
      <c r="AU65" s="48">
        <v>14807</v>
      </c>
      <c r="AV65" s="48">
        <v>3107</v>
      </c>
      <c r="AW65" s="48">
        <v>11607</v>
      </c>
      <c r="AX65" s="48">
        <v>1003</v>
      </c>
      <c r="AY65" s="48">
        <v>5201</v>
      </c>
      <c r="AZ65" s="48">
        <v>5402</v>
      </c>
      <c r="BA65" s="48">
        <v>1698</v>
      </c>
      <c r="BB65" s="48">
        <v>141</v>
      </c>
      <c r="BC65" s="48">
        <v>1953</v>
      </c>
      <c r="BD65" s="48">
        <v>182</v>
      </c>
      <c r="BE65" s="48">
        <v>298</v>
      </c>
      <c r="BF65" s="48">
        <v>224</v>
      </c>
      <c r="BG65" s="48">
        <v>263</v>
      </c>
      <c r="BH65" s="48">
        <v>29</v>
      </c>
      <c r="BI65" s="48">
        <v>1081</v>
      </c>
    </row>
    <row r="66" spans="1:61" x14ac:dyDescent="0.2">
      <c r="A66" s="46">
        <v>42339</v>
      </c>
      <c r="B66" s="47">
        <v>915</v>
      </c>
      <c r="C66" s="47">
        <v>412</v>
      </c>
      <c r="D66" s="47">
        <v>612.29999999999995</v>
      </c>
      <c r="E66" s="47">
        <v>310</v>
      </c>
      <c r="F66" s="47">
        <v>490</v>
      </c>
      <c r="G66" s="47">
        <v>420</v>
      </c>
      <c r="H66" s="47">
        <v>436</v>
      </c>
      <c r="I66" s="47">
        <v>273.5</v>
      </c>
      <c r="J66" s="47">
        <v>525</v>
      </c>
      <c r="K66" s="47">
        <v>350</v>
      </c>
      <c r="L66" s="47">
        <v>370</v>
      </c>
      <c r="M66" s="47">
        <v>265</v>
      </c>
      <c r="N66" s="47">
        <v>575</v>
      </c>
      <c r="O66" s="47">
        <v>412.5</v>
      </c>
      <c r="P66" s="47">
        <v>615</v>
      </c>
      <c r="Q66" s="47">
        <v>723</v>
      </c>
      <c r="R66" s="47">
        <v>362</v>
      </c>
      <c r="S66" s="47">
        <v>505</v>
      </c>
      <c r="T66" s="47">
        <v>265</v>
      </c>
      <c r="U66" s="47">
        <v>420</v>
      </c>
      <c r="V66" s="47">
        <v>360</v>
      </c>
      <c r="W66" s="47">
        <v>345</v>
      </c>
      <c r="X66" s="47">
        <v>182</v>
      </c>
      <c r="Y66" s="47">
        <v>430</v>
      </c>
      <c r="Z66" s="47">
        <v>295</v>
      </c>
      <c r="AA66" s="47">
        <v>292</v>
      </c>
      <c r="AB66" s="47">
        <v>235</v>
      </c>
      <c r="AC66" s="47">
        <v>460</v>
      </c>
      <c r="AD66" s="47">
        <v>265</v>
      </c>
      <c r="AE66" s="47">
        <v>419.9</v>
      </c>
      <c r="AF66" s="48">
        <v>13527</v>
      </c>
      <c r="AG66" s="48">
        <v>12739</v>
      </c>
      <c r="AH66" s="48">
        <v>16165</v>
      </c>
      <c r="AI66" s="48">
        <v>5631</v>
      </c>
      <c r="AJ66" s="48">
        <v>9829</v>
      </c>
      <c r="AK66" s="48">
        <v>8826</v>
      </c>
      <c r="AL66" s="48">
        <v>4422</v>
      </c>
      <c r="AM66" s="48">
        <v>1403</v>
      </c>
      <c r="AN66" s="48">
        <v>5627</v>
      </c>
      <c r="AO66" s="48">
        <v>1404</v>
      </c>
      <c r="AP66" s="48">
        <v>960</v>
      </c>
      <c r="AQ66" s="48">
        <v>1430</v>
      </c>
      <c r="AR66" s="48">
        <v>244</v>
      </c>
      <c r="AS66" s="48">
        <v>82</v>
      </c>
      <c r="AT66" s="48">
        <v>1262</v>
      </c>
      <c r="AU66" s="48">
        <v>11733</v>
      </c>
      <c r="AV66" s="48">
        <v>2877</v>
      </c>
      <c r="AW66" s="48">
        <v>11064</v>
      </c>
      <c r="AX66" s="48">
        <v>982</v>
      </c>
      <c r="AY66" s="48">
        <v>4358</v>
      </c>
      <c r="AZ66" s="48">
        <v>4908</v>
      </c>
      <c r="BA66" s="48">
        <v>1733</v>
      </c>
      <c r="BB66" s="48">
        <v>123</v>
      </c>
      <c r="BC66" s="48">
        <v>2066</v>
      </c>
      <c r="BD66" s="48">
        <v>175</v>
      </c>
      <c r="BE66" s="48">
        <v>311</v>
      </c>
      <c r="BF66" s="48">
        <v>244</v>
      </c>
      <c r="BG66" s="48">
        <v>311</v>
      </c>
      <c r="BH66" s="48">
        <v>53</v>
      </c>
      <c r="BI66" s="48">
        <v>1154</v>
      </c>
    </row>
    <row r="67" spans="1:61" x14ac:dyDescent="0.2">
      <c r="A67" s="46">
        <v>42430</v>
      </c>
      <c r="B67" s="47">
        <v>850</v>
      </c>
      <c r="C67" s="47">
        <v>415</v>
      </c>
      <c r="D67" s="47">
        <v>568</v>
      </c>
      <c r="E67" s="47">
        <v>311</v>
      </c>
      <c r="F67" s="47">
        <v>483.5</v>
      </c>
      <c r="G67" s="47">
        <v>425</v>
      </c>
      <c r="H67" s="47">
        <v>436</v>
      </c>
      <c r="I67" s="47">
        <v>275</v>
      </c>
      <c r="J67" s="47">
        <v>518</v>
      </c>
      <c r="K67" s="47">
        <v>360.5</v>
      </c>
      <c r="L67" s="47">
        <v>360</v>
      </c>
      <c r="M67" s="47">
        <v>264</v>
      </c>
      <c r="N67" s="47">
        <v>570</v>
      </c>
      <c r="O67" s="47">
        <v>472.5</v>
      </c>
      <c r="P67" s="47">
        <v>590</v>
      </c>
      <c r="Q67" s="47">
        <v>706.5</v>
      </c>
      <c r="R67" s="47">
        <v>365</v>
      </c>
      <c r="S67" s="47">
        <v>490</v>
      </c>
      <c r="T67" s="47">
        <v>270</v>
      </c>
      <c r="U67" s="47">
        <v>415</v>
      </c>
      <c r="V67" s="47">
        <v>363</v>
      </c>
      <c r="W67" s="47">
        <v>345</v>
      </c>
      <c r="X67" s="47">
        <v>187</v>
      </c>
      <c r="Y67" s="47">
        <v>430</v>
      </c>
      <c r="Z67" s="47">
        <v>327.5</v>
      </c>
      <c r="AA67" s="47">
        <v>295.8</v>
      </c>
      <c r="AB67" s="47">
        <v>215</v>
      </c>
      <c r="AC67" s="47">
        <v>469.6</v>
      </c>
      <c r="AD67" s="47">
        <v>310</v>
      </c>
      <c r="AE67" s="47">
        <v>425</v>
      </c>
      <c r="AF67" s="48">
        <v>10527</v>
      </c>
      <c r="AG67" s="48">
        <v>10689</v>
      </c>
      <c r="AH67" s="48">
        <v>11654</v>
      </c>
      <c r="AI67" s="48">
        <v>5188</v>
      </c>
      <c r="AJ67" s="48">
        <v>9405</v>
      </c>
      <c r="AK67" s="48">
        <v>8786</v>
      </c>
      <c r="AL67" s="48">
        <v>4143</v>
      </c>
      <c r="AM67" s="48">
        <v>1354</v>
      </c>
      <c r="AN67" s="48">
        <v>5857</v>
      </c>
      <c r="AO67" s="48">
        <v>1448</v>
      </c>
      <c r="AP67" s="48">
        <v>925</v>
      </c>
      <c r="AQ67" s="48">
        <v>1423</v>
      </c>
      <c r="AR67" s="48">
        <v>226</v>
      </c>
      <c r="AS67" s="48">
        <v>60</v>
      </c>
      <c r="AT67" s="48">
        <v>883</v>
      </c>
      <c r="AU67" s="48">
        <v>8920</v>
      </c>
      <c r="AV67" s="48">
        <v>2485</v>
      </c>
      <c r="AW67" s="48">
        <v>8187</v>
      </c>
      <c r="AX67" s="48">
        <v>912</v>
      </c>
      <c r="AY67" s="48">
        <v>3801</v>
      </c>
      <c r="AZ67" s="48">
        <v>4832</v>
      </c>
      <c r="BA67" s="48">
        <v>1682</v>
      </c>
      <c r="BB67" s="48">
        <v>155</v>
      </c>
      <c r="BC67" s="48">
        <v>1968</v>
      </c>
      <c r="BD67" s="48">
        <v>196</v>
      </c>
      <c r="BE67" s="48">
        <v>320</v>
      </c>
      <c r="BF67" s="48">
        <v>225</v>
      </c>
      <c r="BG67" s="48">
        <v>205</v>
      </c>
      <c r="BH67" s="48">
        <v>57</v>
      </c>
      <c r="BI67" s="48">
        <v>837</v>
      </c>
    </row>
    <row r="68" spans="1:61" x14ac:dyDescent="0.2">
      <c r="A68" s="46">
        <v>42522</v>
      </c>
      <c r="B68" s="47">
        <v>895</v>
      </c>
      <c r="C68" s="47">
        <v>425</v>
      </c>
      <c r="D68" s="47">
        <v>610</v>
      </c>
      <c r="E68" s="47">
        <v>305</v>
      </c>
      <c r="F68" s="47">
        <v>495</v>
      </c>
      <c r="G68" s="47">
        <v>425</v>
      </c>
      <c r="H68" s="47">
        <v>440</v>
      </c>
      <c r="I68" s="47">
        <v>265</v>
      </c>
      <c r="J68" s="47">
        <v>520</v>
      </c>
      <c r="K68" s="47">
        <v>330</v>
      </c>
      <c r="L68" s="47">
        <v>365</v>
      </c>
      <c r="M68" s="47">
        <v>253</v>
      </c>
      <c r="N68" s="47">
        <v>548</v>
      </c>
      <c r="O68" s="47">
        <v>426</v>
      </c>
      <c r="P68" s="47">
        <v>623</v>
      </c>
      <c r="Q68" s="47">
        <v>720</v>
      </c>
      <c r="R68" s="47">
        <v>370</v>
      </c>
      <c r="S68" s="47">
        <v>505</v>
      </c>
      <c r="T68" s="47">
        <v>260.8</v>
      </c>
      <c r="U68" s="47">
        <v>413</v>
      </c>
      <c r="V68" s="47">
        <v>365</v>
      </c>
      <c r="W68" s="47">
        <v>367</v>
      </c>
      <c r="X68" s="47">
        <v>202.5</v>
      </c>
      <c r="Y68" s="47">
        <v>410</v>
      </c>
      <c r="Z68" s="47">
        <v>300</v>
      </c>
      <c r="AA68" s="47">
        <v>307.5</v>
      </c>
      <c r="AB68" s="47">
        <v>220</v>
      </c>
      <c r="AC68" s="47">
        <v>437.5</v>
      </c>
      <c r="AD68" s="47">
        <v>320</v>
      </c>
      <c r="AE68" s="47">
        <v>435</v>
      </c>
      <c r="AF68" s="48">
        <v>12638</v>
      </c>
      <c r="AG68" s="48">
        <v>12279</v>
      </c>
      <c r="AH68" s="48">
        <v>15066</v>
      </c>
      <c r="AI68" s="48">
        <v>5561</v>
      </c>
      <c r="AJ68" s="48">
        <v>9625</v>
      </c>
      <c r="AK68" s="48">
        <v>8869</v>
      </c>
      <c r="AL68" s="48">
        <v>4226</v>
      </c>
      <c r="AM68" s="48">
        <v>1381</v>
      </c>
      <c r="AN68" s="48">
        <v>5969</v>
      </c>
      <c r="AO68" s="48">
        <v>1469</v>
      </c>
      <c r="AP68" s="48">
        <v>922</v>
      </c>
      <c r="AQ68" s="48">
        <v>1427</v>
      </c>
      <c r="AR68" s="48">
        <v>247</v>
      </c>
      <c r="AS68" s="48">
        <v>60</v>
      </c>
      <c r="AT68" s="48">
        <v>1060</v>
      </c>
      <c r="AU68" s="48">
        <v>10590</v>
      </c>
      <c r="AV68" s="48">
        <v>2827</v>
      </c>
      <c r="AW68" s="48">
        <v>10671</v>
      </c>
      <c r="AX68" s="48">
        <v>890</v>
      </c>
      <c r="AY68" s="48">
        <v>3584</v>
      </c>
      <c r="AZ68" s="48">
        <v>4758</v>
      </c>
      <c r="BA68" s="48">
        <v>2008</v>
      </c>
      <c r="BB68" s="48">
        <v>155</v>
      </c>
      <c r="BC68" s="48">
        <v>1982</v>
      </c>
      <c r="BD68" s="48">
        <v>199</v>
      </c>
      <c r="BE68" s="48">
        <v>334</v>
      </c>
      <c r="BF68" s="48">
        <v>227</v>
      </c>
      <c r="BG68" s="48">
        <v>230</v>
      </c>
      <c r="BH68" s="48">
        <v>61</v>
      </c>
      <c r="BI68" s="48">
        <v>1163</v>
      </c>
    </row>
    <row r="69" spans="1:61" x14ac:dyDescent="0.2">
      <c r="A69" s="46">
        <v>42614</v>
      </c>
      <c r="B69" s="47">
        <v>900</v>
      </c>
      <c r="C69" s="47">
        <v>430.5</v>
      </c>
      <c r="D69" s="47">
        <v>605</v>
      </c>
      <c r="E69" s="47">
        <v>310</v>
      </c>
      <c r="F69" s="47">
        <v>500</v>
      </c>
      <c r="G69" s="47">
        <v>435</v>
      </c>
      <c r="H69" s="47">
        <v>445</v>
      </c>
      <c r="I69" s="47">
        <v>270</v>
      </c>
      <c r="J69" s="47">
        <v>510</v>
      </c>
      <c r="K69" s="47">
        <v>327.8</v>
      </c>
      <c r="L69" s="47">
        <v>370</v>
      </c>
      <c r="M69" s="47">
        <v>255</v>
      </c>
      <c r="N69" s="47">
        <v>520</v>
      </c>
      <c r="O69" s="47">
        <v>353.5</v>
      </c>
      <c r="P69" s="47">
        <v>615.79999999999995</v>
      </c>
      <c r="Q69" s="47">
        <v>710</v>
      </c>
      <c r="R69" s="47">
        <v>375</v>
      </c>
      <c r="S69" s="47">
        <v>496</v>
      </c>
      <c r="T69" s="47">
        <v>260</v>
      </c>
      <c r="U69" s="47">
        <v>420</v>
      </c>
      <c r="V69" s="47">
        <v>370</v>
      </c>
      <c r="W69" s="47">
        <v>365</v>
      </c>
      <c r="X69" s="47">
        <v>195</v>
      </c>
      <c r="Y69" s="47">
        <v>425</v>
      </c>
      <c r="Z69" s="47">
        <v>270</v>
      </c>
      <c r="AA69" s="47">
        <v>290</v>
      </c>
      <c r="AB69" s="47">
        <v>235</v>
      </c>
      <c r="AC69" s="47">
        <v>342.5</v>
      </c>
      <c r="AD69" s="47">
        <v>300</v>
      </c>
      <c r="AE69" s="47">
        <v>428.5</v>
      </c>
      <c r="AF69" s="48">
        <v>12351</v>
      </c>
      <c r="AG69" s="48">
        <v>12063</v>
      </c>
      <c r="AH69" s="48">
        <v>14109</v>
      </c>
      <c r="AI69" s="48">
        <v>5627</v>
      </c>
      <c r="AJ69" s="48">
        <v>9588</v>
      </c>
      <c r="AK69" s="48">
        <v>9136</v>
      </c>
      <c r="AL69" s="48">
        <v>4023</v>
      </c>
      <c r="AM69" s="48">
        <v>1284</v>
      </c>
      <c r="AN69" s="48">
        <v>5628</v>
      </c>
      <c r="AO69" s="48">
        <v>1532</v>
      </c>
      <c r="AP69" s="48">
        <v>859</v>
      </c>
      <c r="AQ69" s="48">
        <v>1384</v>
      </c>
      <c r="AR69" s="48">
        <v>261</v>
      </c>
      <c r="AS69" s="48">
        <v>92</v>
      </c>
      <c r="AT69" s="48">
        <v>994</v>
      </c>
      <c r="AU69" s="48">
        <v>10672</v>
      </c>
      <c r="AV69" s="48">
        <v>2914</v>
      </c>
      <c r="AW69" s="48">
        <v>9634</v>
      </c>
      <c r="AX69" s="48">
        <v>1016</v>
      </c>
      <c r="AY69" s="48">
        <v>3480</v>
      </c>
      <c r="AZ69" s="48">
        <v>4793</v>
      </c>
      <c r="BA69" s="48">
        <v>1608</v>
      </c>
      <c r="BB69" s="48">
        <v>119</v>
      </c>
      <c r="BC69" s="48">
        <v>1896</v>
      </c>
      <c r="BD69" s="48">
        <v>213</v>
      </c>
      <c r="BE69" s="48">
        <v>296</v>
      </c>
      <c r="BF69" s="48">
        <v>235</v>
      </c>
      <c r="BG69" s="48">
        <v>294</v>
      </c>
      <c r="BH69" s="48">
        <v>53</v>
      </c>
      <c r="BI69" s="48">
        <v>1064</v>
      </c>
    </row>
    <row r="70" spans="1:61" x14ac:dyDescent="0.2">
      <c r="A70" s="46">
        <v>42705</v>
      </c>
      <c r="B70" s="47">
        <v>985.5</v>
      </c>
      <c r="C70" s="47">
        <v>445</v>
      </c>
      <c r="D70" s="47">
        <v>675</v>
      </c>
      <c r="E70" s="47">
        <v>320.8</v>
      </c>
      <c r="F70" s="47">
        <v>515</v>
      </c>
      <c r="G70" s="47">
        <v>439</v>
      </c>
      <c r="H70" s="47">
        <v>447</v>
      </c>
      <c r="I70" s="47">
        <v>280</v>
      </c>
      <c r="J70" s="47">
        <v>525</v>
      </c>
      <c r="K70" s="47">
        <v>345</v>
      </c>
      <c r="L70" s="47">
        <v>392</v>
      </c>
      <c r="M70" s="47">
        <v>274.5</v>
      </c>
      <c r="N70" s="47">
        <v>522</v>
      </c>
      <c r="O70" s="47">
        <v>454.5</v>
      </c>
      <c r="P70" s="47">
        <v>636</v>
      </c>
      <c r="Q70" s="47">
        <v>735</v>
      </c>
      <c r="R70" s="47">
        <v>385</v>
      </c>
      <c r="S70" s="47">
        <v>501.9</v>
      </c>
      <c r="T70" s="47">
        <v>276</v>
      </c>
      <c r="U70" s="47">
        <v>410</v>
      </c>
      <c r="V70" s="47">
        <v>375</v>
      </c>
      <c r="W70" s="47">
        <v>365</v>
      </c>
      <c r="X70" s="47">
        <v>205</v>
      </c>
      <c r="Y70" s="47">
        <v>410</v>
      </c>
      <c r="Z70" s="47">
        <v>288</v>
      </c>
      <c r="AA70" s="47">
        <v>305</v>
      </c>
      <c r="AB70" s="47">
        <v>240</v>
      </c>
      <c r="AC70" s="47">
        <v>381.1</v>
      </c>
      <c r="AD70" s="47">
        <v>326.3</v>
      </c>
      <c r="AE70" s="47">
        <v>430</v>
      </c>
      <c r="AF70" s="48">
        <v>13846</v>
      </c>
      <c r="AG70" s="48">
        <v>13398</v>
      </c>
      <c r="AH70" s="48">
        <v>16565</v>
      </c>
      <c r="AI70" s="48">
        <v>6270</v>
      </c>
      <c r="AJ70" s="48">
        <v>9476</v>
      </c>
      <c r="AK70" s="48">
        <v>9204</v>
      </c>
      <c r="AL70" s="48">
        <v>4515</v>
      </c>
      <c r="AM70" s="48">
        <v>1419</v>
      </c>
      <c r="AN70" s="48">
        <v>5609</v>
      </c>
      <c r="AO70" s="48">
        <v>1490</v>
      </c>
      <c r="AP70" s="48">
        <v>1063</v>
      </c>
      <c r="AQ70" s="48">
        <v>1645</v>
      </c>
      <c r="AR70" s="48">
        <v>259</v>
      </c>
      <c r="AS70" s="48">
        <v>82</v>
      </c>
      <c r="AT70" s="48">
        <v>1239</v>
      </c>
      <c r="AU70" s="48">
        <v>11420</v>
      </c>
      <c r="AV70" s="48">
        <v>3107</v>
      </c>
      <c r="AW70" s="48">
        <v>10814</v>
      </c>
      <c r="AX70" s="48">
        <v>1128</v>
      </c>
      <c r="AY70" s="48">
        <v>3088</v>
      </c>
      <c r="AZ70" s="48">
        <v>4520</v>
      </c>
      <c r="BA70" s="48">
        <v>1639</v>
      </c>
      <c r="BB70" s="48">
        <v>120</v>
      </c>
      <c r="BC70" s="48">
        <v>1914</v>
      </c>
      <c r="BD70" s="48">
        <v>227</v>
      </c>
      <c r="BE70" s="48">
        <v>362</v>
      </c>
      <c r="BF70" s="48">
        <v>247</v>
      </c>
      <c r="BG70" s="48">
        <v>188</v>
      </c>
      <c r="BH70" s="48">
        <v>48</v>
      </c>
      <c r="BI70" s="48">
        <v>1319</v>
      </c>
    </row>
    <row r="71" spans="1:61" x14ac:dyDescent="0.2">
      <c r="A71" s="46">
        <v>42795</v>
      </c>
      <c r="B71" s="47">
        <v>930</v>
      </c>
      <c r="C71" s="47">
        <v>455</v>
      </c>
      <c r="D71" s="47">
        <v>657.5</v>
      </c>
      <c r="E71" s="47">
        <v>328</v>
      </c>
      <c r="F71" s="47">
        <v>510</v>
      </c>
      <c r="G71" s="47">
        <v>440</v>
      </c>
      <c r="H71" s="47">
        <v>451.3</v>
      </c>
      <c r="I71" s="47">
        <v>285</v>
      </c>
      <c r="J71" s="47">
        <v>510</v>
      </c>
      <c r="K71" s="47">
        <v>350</v>
      </c>
      <c r="L71" s="47">
        <v>389.5</v>
      </c>
      <c r="M71" s="47">
        <v>263</v>
      </c>
      <c r="N71" s="47">
        <v>530</v>
      </c>
      <c r="O71" s="47">
        <v>430.1</v>
      </c>
      <c r="P71" s="47">
        <v>654.5</v>
      </c>
      <c r="Q71" s="47">
        <v>730</v>
      </c>
      <c r="R71" s="47">
        <v>395</v>
      </c>
      <c r="S71" s="47">
        <v>520</v>
      </c>
      <c r="T71" s="47">
        <v>272.5</v>
      </c>
      <c r="U71" s="47">
        <v>405</v>
      </c>
      <c r="V71" s="47">
        <v>389</v>
      </c>
      <c r="W71" s="47">
        <v>365</v>
      </c>
      <c r="X71" s="47">
        <v>180</v>
      </c>
      <c r="Y71" s="47">
        <v>415</v>
      </c>
      <c r="Z71" s="47">
        <v>311.5</v>
      </c>
      <c r="AA71" s="47">
        <v>315</v>
      </c>
      <c r="AB71" s="47">
        <v>249</v>
      </c>
      <c r="AC71" s="47">
        <v>375</v>
      </c>
      <c r="AD71" s="47">
        <v>319</v>
      </c>
      <c r="AE71" s="47">
        <v>429.9</v>
      </c>
      <c r="AF71" s="48">
        <v>11314</v>
      </c>
      <c r="AG71" s="48">
        <v>11995</v>
      </c>
      <c r="AH71" s="48">
        <v>13358</v>
      </c>
      <c r="AI71" s="48">
        <v>6070</v>
      </c>
      <c r="AJ71" s="48">
        <v>9089</v>
      </c>
      <c r="AK71" s="48">
        <v>9025</v>
      </c>
      <c r="AL71" s="48">
        <v>4256</v>
      </c>
      <c r="AM71" s="48">
        <v>1479</v>
      </c>
      <c r="AN71" s="48">
        <v>6206</v>
      </c>
      <c r="AO71" s="48">
        <v>1642</v>
      </c>
      <c r="AP71" s="48">
        <v>1113</v>
      </c>
      <c r="AQ71" s="48">
        <v>1861</v>
      </c>
      <c r="AR71" s="48">
        <v>245</v>
      </c>
      <c r="AS71" s="48">
        <v>97</v>
      </c>
      <c r="AT71" s="48">
        <v>1006</v>
      </c>
      <c r="AU71" s="48">
        <v>10118</v>
      </c>
      <c r="AV71" s="48">
        <v>2916</v>
      </c>
      <c r="AW71" s="48">
        <v>9116</v>
      </c>
      <c r="AX71" s="48">
        <v>1091</v>
      </c>
      <c r="AY71" s="48">
        <v>3133</v>
      </c>
      <c r="AZ71" s="48">
        <v>4830</v>
      </c>
      <c r="BA71" s="48">
        <v>1644</v>
      </c>
      <c r="BB71" s="48">
        <v>117</v>
      </c>
      <c r="BC71" s="48">
        <v>2174</v>
      </c>
      <c r="BD71" s="48">
        <v>272</v>
      </c>
      <c r="BE71" s="48">
        <v>415</v>
      </c>
      <c r="BF71" s="48">
        <v>267</v>
      </c>
      <c r="BG71" s="48">
        <v>189</v>
      </c>
      <c r="BH71" s="48">
        <v>37</v>
      </c>
      <c r="BI71" s="48">
        <v>1065</v>
      </c>
    </row>
    <row r="72" spans="1:61" x14ac:dyDescent="0.2">
      <c r="A72" s="46">
        <v>42887</v>
      </c>
      <c r="B72" s="47">
        <v>1050</v>
      </c>
      <c r="C72" s="47">
        <v>460</v>
      </c>
      <c r="D72" s="47">
        <v>720</v>
      </c>
      <c r="E72" s="47">
        <v>332</v>
      </c>
      <c r="F72" s="47">
        <v>518</v>
      </c>
      <c r="G72" s="47">
        <v>449</v>
      </c>
      <c r="H72" s="47">
        <v>450</v>
      </c>
      <c r="I72" s="47">
        <v>270</v>
      </c>
      <c r="J72" s="47">
        <v>506</v>
      </c>
      <c r="K72" s="47">
        <v>327</v>
      </c>
      <c r="L72" s="47">
        <v>400</v>
      </c>
      <c r="M72" s="47">
        <v>275</v>
      </c>
      <c r="N72" s="47">
        <v>500</v>
      </c>
      <c r="O72" s="47">
        <v>423.5</v>
      </c>
      <c r="P72" s="47">
        <v>670</v>
      </c>
      <c r="Q72" s="47">
        <v>770</v>
      </c>
      <c r="R72" s="47">
        <v>424</v>
      </c>
      <c r="S72" s="47">
        <v>568.9</v>
      </c>
      <c r="T72" s="47">
        <v>262.8</v>
      </c>
      <c r="U72" s="47">
        <v>392.5</v>
      </c>
      <c r="V72" s="47">
        <v>380</v>
      </c>
      <c r="W72" s="47">
        <v>383.5</v>
      </c>
      <c r="X72" s="47">
        <v>200</v>
      </c>
      <c r="Y72" s="47">
        <v>405</v>
      </c>
      <c r="Z72" s="47">
        <v>270</v>
      </c>
      <c r="AA72" s="47">
        <v>300</v>
      </c>
      <c r="AB72" s="47">
        <v>250</v>
      </c>
      <c r="AC72" s="47">
        <v>375</v>
      </c>
      <c r="AD72" s="47">
        <v>307.5</v>
      </c>
      <c r="AE72" s="47">
        <v>445</v>
      </c>
      <c r="AF72" s="48">
        <v>12280</v>
      </c>
      <c r="AG72" s="48">
        <v>11763</v>
      </c>
      <c r="AH72" s="48">
        <v>15375</v>
      </c>
      <c r="AI72" s="48">
        <v>5862</v>
      </c>
      <c r="AJ72" s="48">
        <v>8951</v>
      </c>
      <c r="AK72" s="48">
        <v>8303</v>
      </c>
      <c r="AL72" s="48">
        <v>4221</v>
      </c>
      <c r="AM72" s="48">
        <v>1354</v>
      </c>
      <c r="AN72" s="48">
        <v>5845</v>
      </c>
      <c r="AO72" s="48">
        <v>1501</v>
      </c>
      <c r="AP72" s="48">
        <v>982</v>
      </c>
      <c r="AQ72" s="48">
        <v>1690</v>
      </c>
      <c r="AR72" s="48">
        <v>244</v>
      </c>
      <c r="AS72" s="48">
        <v>86</v>
      </c>
      <c r="AT72" s="48">
        <v>1068</v>
      </c>
      <c r="AU72" s="48">
        <v>11180</v>
      </c>
      <c r="AV72" s="48">
        <v>2848</v>
      </c>
      <c r="AW72" s="48">
        <v>12623</v>
      </c>
      <c r="AX72" s="48">
        <v>1112</v>
      </c>
      <c r="AY72" s="48">
        <v>2846</v>
      </c>
      <c r="AZ72" s="48">
        <v>4380</v>
      </c>
      <c r="BA72" s="48">
        <v>1906</v>
      </c>
      <c r="BB72" s="48">
        <v>126</v>
      </c>
      <c r="BC72" s="48">
        <v>2010</v>
      </c>
      <c r="BD72" s="48">
        <v>224</v>
      </c>
      <c r="BE72" s="48">
        <v>347</v>
      </c>
      <c r="BF72" s="48">
        <v>263</v>
      </c>
      <c r="BG72" s="48">
        <v>173</v>
      </c>
      <c r="BH72" s="48">
        <v>34</v>
      </c>
      <c r="BI72" s="48">
        <v>1144</v>
      </c>
    </row>
    <row r="73" spans="1:61" x14ac:dyDescent="0.2">
      <c r="A73" s="46">
        <v>42979</v>
      </c>
      <c r="B73" s="47">
        <v>950</v>
      </c>
      <c r="C73" s="47">
        <v>460</v>
      </c>
      <c r="D73" s="47">
        <v>692</v>
      </c>
      <c r="E73" s="47">
        <v>328</v>
      </c>
      <c r="F73" s="47">
        <v>525</v>
      </c>
      <c r="G73" s="47">
        <v>445</v>
      </c>
      <c r="H73" s="47">
        <v>451</v>
      </c>
      <c r="I73" s="47">
        <v>277.5</v>
      </c>
      <c r="J73" s="47">
        <v>500</v>
      </c>
      <c r="K73" s="47">
        <v>325</v>
      </c>
      <c r="L73" s="47">
        <v>395</v>
      </c>
      <c r="M73" s="47">
        <v>273.5</v>
      </c>
      <c r="N73" s="47">
        <v>500</v>
      </c>
      <c r="O73" s="47">
        <v>443</v>
      </c>
      <c r="P73" s="47">
        <v>667.5</v>
      </c>
      <c r="Q73" s="47">
        <v>720</v>
      </c>
      <c r="R73" s="47">
        <v>410</v>
      </c>
      <c r="S73" s="47">
        <v>540</v>
      </c>
      <c r="T73" s="47">
        <v>279</v>
      </c>
      <c r="U73" s="47">
        <v>400</v>
      </c>
      <c r="V73" s="47">
        <v>385</v>
      </c>
      <c r="W73" s="47">
        <v>375</v>
      </c>
      <c r="X73" s="47">
        <v>172</v>
      </c>
      <c r="Y73" s="47">
        <v>405</v>
      </c>
      <c r="Z73" s="47">
        <v>268</v>
      </c>
      <c r="AA73" s="47">
        <v>320</v>
      </c>
      <c r="AB73" s="47">
        <v>235</v>
      </c>
      <c r="AC73" s="47">
        <v>375</v>
      </c>
      <c r="AD73" s="47">
        <v>330</v>
      </c>
      <c r="AE73" s="47">
        <v>434.5</v>
      </c>
      <c r="AF73" s="48">
        <v>12582</v>
      </c>
      <c r="AG73" s="48">
        <v>13039</v>
      </c>
      <c r="AH73" s="48">
        <v>14913</v>
      </c>
      <c r="AI73" s="48">
        <v>6447</v>
      </c>
      <c r="AJ73" s="48">
        <v>8971</v>
      </c>
      <c r="AK73" s="48">
        <v>8916</v>
      </c>
      <c r="AL73" s="48">
        <v>4079</v>
      </c>
      <c r="AM73" s="48">
        <v>1355</v>
      </c>
      <c r="AN73" s="48">
        <v>5762</v>
      </c>
      <c r="AO73" s="48">
        <v>1535</v>
      </c>
      <c r="AP73" s="48">
        <v>917</v>
      </c>
      <c r="AQ73" s="48">
        <v>1619</v>
      </c>
      <c r="AR73" s="48">
        <v>252</v>
      </c>
      <c r="AS73" s="48">
        <v>94</v>
      </c>
      <c r="AT73" s="48">
        <v>956</v>
      </c>
      <c r="AU73" s="48">
        <v>11380</v>
      </c>
      <c r="AV73" s="48">
        <v>2826</v>
      </c>
      <c r="AW73" s="48">
        <v>10153</v>
      </c>
      <c r="AX73" s="48">
        <v>1167</v>
      </c>
      <c r="AY73" s="48">
        <v>2746</v>
      </c>
      <c r="AZ73" s="48">
        <v>4422</v>
      </c>
      <c r="BA73" s="48">
        <v>1711</v>
      </c>
      <c r="BB73" s="48">
        <v>169</v>
      </c>
      <c r="BC73" s="48">
        <v>1988</v>
      </c>
      <c r="BD73" s="48">
        <v>225</v>
      </c>
      <c r="BE73" s="48">
        <v>402</v>
      </c>
      <c r="BF73" s="48">
        <v>239</v>
      </c>
      <c r="BG73" s="48">
        <v>150</v>
      </c>
      <c r="BH73" s="48">
        <v>41</v>
      </c>
      <c r="BI73" s="48">
        <v>948</v>
      </c>
    </row>
    <row r="74" spans="1:61" x14ac:dyDescent="0.2">
      <c r="A74" s="46">
        <v>43070</v>
      </c>
      <c r="B74" s="47">
        <v>1029</v>
      </c>
      <c r="C74" s="47">
        <v>471.5</v>
      </c>
      <c r="D74" s="47">
        <v>750</v>
      </c>
      <c r="E74" s="47">
        <v>350</v>
      </c>
      <c r="F74" s="47">
        <v>535</v>
      </c>
      <c r="G74" s="47">
        <v>450</v>
      </c>
      <c r="H74" s="47">
        <v>470</v>
      </c>
      <c r="I74" s="47">
        <v>273.39999999999998</v>
      </c>
      <c r="J74" s="47">
        <v>515</v>
      </c>
      <c r="K74" s="47">
        <v>340</v>
      </c>
      <c r="L74" s="47">
        <v>421</v>
      </c>
      <c r="M74" s="47">
        <v>285</v>
      </c>
      <c r="N74" s="47">
        <v>513.79999999999995</v>
      </c>
      <c r="O74" s="47">
        <v>437.5</v>
      </c>
      <c r="P74" s="47">
        <v>690</v>
      </c>
      <c r="Q74" s="47">
        <v>741</v>
      </c>
      <c r="R74" s="47">
        <v>410</v>
      </c>
      <c r="S74" s="47">
        <v>568</v>
      </c>
      <c r="T74" s="47">
        <v>280</v>
      </c>
      <c r="U74" s="47">
        <v>391</v>
      </c>
      <c r="V74" s="47">
        <v>385</v>
      </c>
      <c r="W74" s="47">
        <v>390</v>
      </c>
      <c r="X74" s="47">
        <v>170</v>
      </c>
      <c r="Y74" s="47">
        <v>410</v>
      </c>
      <c r="Z74" s="47">
        <v>255</v>
      </c>
      <c r="AA74" s="47">
        <v>330</v>
      </c>
      <c r="AB74" s="47">
        <v>250</v>
      </c>
      <c r="AC74" s="47">
        <v>340</v>
      </c>
      <c r="AD74" s="47">
        <v>290</v>
      </c>
      <c r="AE74" s="47">
        <v>445.5</v>
      </c>
      <c r="AF74" s="48">
        <v>12012</v>
      </c>
      <c r="AG74" s="48">
        <v>13159</v>
      </c>
      <c r="AH74" s="48">
        <v>16039</v>
      </c>
      <c r="AI74" s="48">
        <v>6807</v>
      </c>
      <c r="AJ74" s="48">
        <v>9006</v>
      </c>
      <c r="AK74" s="48">
        <v>9008</v>
      </c>
      <c r="AL74" s="48">
        <v>4455</v>
      </c>
      <c r="AM74" s="48">
        <v>1431</v>
      </c>
      <c r="AN74" s="48">
        <v>6030</v>
      </c>
      <c r="AO74" s="48">
        <v>1566</v>
      </c>
      <c r="AP74" s="48">
        <v>1059</v>
      </c>
      <c r="AQ74" s="48">
        <v>1719</v>
      </c>
      <c r="AR74" s="48">
        <v>246</v>
      </c>
      <c r="AS74" s="48">
        <v>105</v>
      </c>
      <c r="AT74" s="48">
        <v>1279</v>
      </c>
      <c r="AU74" s="48">
        <v>9741</v>
      </c>
      <c r="AV74" s="48">
        <v>2844</v>
      </c>
      <c r="AW74" s="48">
        <v>10399</v>
      </c>
      <c r="AX74" s="48">
        <v>1280</v>
      </c>
      <c r="AY74" s="48">
        <v>2607</v>
      </c>
      <c r="AZ74" s="48">
        <v>4385</v>
      </c>
      <c r="BA74" s="48">
        <v>2032</v>
      </c>
      <c r="BB74" s="48">
        <v>163</v>
      </c>
      <c r="BC74" s="48">
        <v>2071</v>
      </c>
      <c r="BD74" s="48">
        <v>241</v>
      </c>
      <c r="BE74" s="48">
        <v>342</v>
      </c>
      <c r="BF74" s="48">
        <v>310</v>
      </c>
      <c r="BG74" s="48">
        <v>168</v>
      </c>
      <c r="BH74" s="48">
        <v>41</v>
      </c>
      <c r="BI74" s="48">
        <v>980</v>
      </c>
    </row>
    <row r="75" spans="1:61" x14ac:dyDescent="0.2">
      <c r="A75" s="46">
        <v>43160</v>
      </c>
      <c r="B75" s="47">
        <v>955</v>
      </c>
      <c r="C75" s="47">
        <v>480</v>
      </c>
      <c r="D75" s="47">
        <v>731</v>
      </c>
      <c r="E75" s="47">
        <v>355</v>
      </c>
      <c r="F75" s="47">
        <v>526</v>
      </c>
      <c r="G75" s="47">
        <v>449</v>
      </c>
      <c r="H75" s="47">
        <v>465</v>
      </c>
      <c r="I75" s="47">
        <v>280</v>
      </c>
      <c r="J75" s="47">
        <v>510</v>
      </c>
      <c r="K75" s="47">
        <v>338</v>
      </c>
      <c r="L75" s="47">
        <v>449</v>
      </c>
      <c r="M75" s="47">
        <v>295</v>
      </c>
      <c r="N75" s="47">
        <v>500</v>
      </c>
      <c r="O75" s="47">
        <v>445</v>
      </c>
      <c r="P75" s="47">
        <v>698.5</v>
      </c>
      <c r="Q75" s="47">
        <v>742</v>
      </c>
      <c r="R75" s="47">
        <v>415</v>
      </c>
      <c r="S75" s="47">
        <v>565</v>
      </c>
      <c r="T75" s="47">
        <v>295</v>
      </c>
      <c r="U75" s="47">
        <v>385</v>
      </c>
      <c r="V75" s="47">
        <v>390</v>
      </c>
      <c r="W75" s="47">
        <v>370</v>
      </c>
      <c r="X75" s="47">
        <v>202.5</v>
      </c>
      <c r="Y75" s="47">
        <v>400</v>
      </c>
      <c r="Z75" s="47">
        <v>255</v>
      </c>
      <c r="AA75" s="47">
        <v>338.5</v>
      </c>
      <c r="AB75" s="47">
        <v>249</v>
      </c>
      <c r="AC75" s="47">
        <v>328</v>
      </c>
      <c r="AD75" s="47">
        <v>341.5</v>
      </c>
      <c r="AE75" s="47">
        <v>436</v>
      </c>
      <c r="AF75" s="48">
        <v>9935</v>
      </c>
      <c r="AG75" s="48">
        <v>11247</v>
      </c>
      <c r="AH75" s="48">
        <v>12344</v>
      </c>
      <c r="AI75" s="48">
        <v>6751</v>
      </c>
      <c r="AJ75" s="48">
        <v>8475</v>
      </c>
      <c r="AK75" s="48">
        <v>8770</v>
      </c>
      <c r="AL75" s="48">
        <v>4097</v>
      </c>
      <c r="AM75" s="48">
        <v>1519</v>
      </c>
      <c r="AN75" s="48">
        <v>6005</v>
      </c>
      <c r="AO75" s="48">
        <v>1631</v>
      </c>
      <c r="AP75" s="48">
        <v>989</v>
      </c>
      <c r="AQ75" s="48">
        <v>1831</v>
      </c>
      <c r="AR75" s="48">
        <v>245</v>
      </c>
      <c r="AS75" s="48">
        <v>81</v>
      </c>
      <c r="AT75" s="48">
        <v>950</v>
      </c>
      <c r="AU75" s="48">
        <v>8076</v>
      </c>
      <c r="AV75" s="48">
        <v>2539</v>
      </c>
      <c r="AW75" s="48">
        <v>8689</v>
      </c>
      <c r="AX75" s="48">
        <v>1290</v>
      </c>
      <c r="AY75" s="48">
        <v>2604</v>
      </c>
      <c r="AZ75" s="48">
        <v>4356</v>
      </c>
      <c r="BA75" s="48">
        <v>1623</v>
      </c>
      <c r="BB75" s="48">
        <v>167</v>
      </c>
      <c r="BC75" s="48">
        <v>2113</v>
      </c>
      <c r="BD75" s="48">
        <v>252</v>
      </c>
      <c r="BE75" s="48">
        <v>362</v>
      </c>
      <c r="BF75" s="48">
        <v>332</v>
      </c>
      <c r="BG75" s="48">
        <v>143</v>
      </c>
      <c r="BH75" s="48">
        <v>38</v>
      </c>
      <c r="BI75" s="48">
        <v>878</v>
      </c>
    </row>
    <row r="76" spans="1:61" x14ac:dyDescent="0.2">
      <c r="A76" s="46">
        <v>43252</v>
      </c>
      <c r="B76" s="47">
        <v>973.1</v>
      </c>
      <c r="C76" s="47">
        <v>480</v>
      </c>
      <c r="D76" s="47">
        <v>750</v>
      </c>
      <c r="E76" s="47">
        <v>355</v>
      </c>
      <c r="F76" s="47">
        <v>532</v>
      </c>
      <c r="G76" s="47">
        <v>435</v>
      </c>
      <c r="H76" s="47">
        <v>468</v>
      </c>
      <c r="I76" s="47">
        <v>276</v>
      </c>
      <c r="J76" s="47">
        <v>510</v>
      </c>
      <c r="K76" s="47">
        <v>310</v>
      </c>
      <c r="L76" s="47">
        <v>457.8</v>
      </c>
      <c r="M76" s="47">
        <v>300</v>
      </c>
      <c r="N76" s="47">
        <v>506</v>
      </c>
      <c r="O76" s="47">
        <v>453.5</v>
      </c>
      <c r="P76" s="47">
        <v>690</v>
      </c>
      <c r="Q76" s="47">
        <v>730</v>
      </c>
      <c r="R76" s="47">
        <v>415</v>
      </c>
      <c r="S76" s="47">
        <v>600</v>
      </c>
      <c r="T76" s="47">
        <v>305</v>
      </c>
      <c r="U76" s="47">
        <v>385</v>
      </c>
      <c r="V76" s="47">
        <v>390.3</v>
      </c>
      <c r="W76" s="47">
        <v>380</v>
      </c>
      <c r="X76" s="47">
        <v>186</v>
      </c>
      <c r="Y76" s="47">
        <v>408</v>
      </c>
      <c r="Z76" s="47">
        <v>233.1</v>
      </c>
      <c r="AA76" s="47">
        <v>356</v>
      </c>
      <c r="AB76" s="47">
        <v>255</v>
      </c>
      <c r="AC76" s="47">
        <v>338</v>
      </c>
      <c r="AD76" s="47">
        <v>345</v>
      </c>
      <c r="AE76" s="47">
        <v>431.5</v>
      </c>
      <c r="AF76" s="48">
        <v>10879</v>
      </c>
      <c r="AG76" s="48">
        <v>11838</v>
      </c>
      <c r="AH76" s="48">
        <v>13531</v>
      </c>
      <c r="AI76" s="48">
        <v>6731</v>
      </c>
      <c r="AJ76" s="48">
        <v>8497</v>
      </c>
      <c r="AK76" s="48">
        <v>8554</v>
      </c>
      <c r="AL76" s="48">
        <v>4149</v>
      </c>
      <c r="AM76" s="48">
        <v>1421</v>
      </c>
      <c r="AN76" s="48">
        <v>5676</v>
      </c>
      <c r="AO76" s="48">
        <v>1488</v>
      </c>
      <c r="AP76" s="48">
        <v>935</v>
      </c>
      <c r="AQ76" s="48">
        <v>1796</v>
      </c>
      <c r="AR76" s="48">
        <v>236</v>
      </c>
      <c r="AS76" s="48">
        <v>81</v>
      </c>
      <c r="AT76" s="48">
        <v>1057</v>
      </c>
      <c r="AU76" s="48">
        <v>9466</v>
      </c>
      <c r="AV76" s="48">
        <v>2569</v>
      </c>
      <c r="AW76" s="48">
        <v>11413</v>
      </c>
      <c r="AX76" s="48">
        <v>1374</v>
      </c>
      <c r="AY76" s="48">
        <v>2760</v>
      </c>
      <c r="AZ76" s="48">
        <v>4250</v>
      </c>
      <c r="BA76" s="48">
        <v>1786</v>
      </c>
      <c r="BB76" s="48">
        <v>145</v>
      </c>
      <c r="BC76" s="48">
        <v>1913</v>
      </c>
      <c r="BD76" s="48">
        <v>240</v>
      </c>
      <c r="BE76" s="48">
        <v>375</v>
      </c>
      <c r="BF76" s="48">
        <v>333</v>
      </c>
      <c r="BG76" s="48">
        <v>140</v>
      </c>
      <c r="BH76" s="48">
        <v>41</v>
      </c>
      <c r="BI76" s="48">
        <v>1091</v>
      </c>
    </row>
    <row r="77" spans="1:61" x14ac:dyDescent="0.2">
      <c r="A77" s="46">
        <v>43344</v>
      </c>
      <c r="B77" s="47">
        <v>950</v>
      </c>
      <c r="C77" s="47">
        <v>475</v>
      </c>
      <c r="D77" s="47">
        <v>720</v>
      </c>
      <c r="E77" s="47">
        <v>355</v>
      </c>
      <c r="F77" s="47">
        <v>540</v>
      </c>
      <c r="G77" s="47">
        <v>440</v>
      </c>
      <c r="H77" s="47">
        <v>466.3</v>
      </c>
      <c r="I77" s="47">
        <v>280</v>
      </c>
      <c r="J77" s="47">
        <v>485</v>
      </c>
      <c r="K77" s="47">
        <v>321.5</v>
      </c>
      <c r="L77" s="47">
        <v>440.3</v>
      </c>
      <c r="M77" s="47">
        <v>293</v>
      </c>
      <c r="N77" s="47">
        <v>500</v>
      </c>
      <c r="O77" s="47">
        <v>417</v>
      </c>
      <c r="P77" s="47">
        <v>700</v>
      </c>
      <c r="Q77" s="47">
        <v>730</v>
      </c>
      <c r="R77" s="47">
        <v>429</v>
      </c>
      <c r="S77" s="47">
        <v>568</v>
      </c>
      <c r="T77" s="47">
        <v>289.8</v>
      </c>
      <c r="U77" s="47">
        <v>385</v>
      </c>
      <c r="V77" s="47">
        <v>385</v>
      </c>
      <c r="W77" s="47">
        <v>380</v>
      </c>
      <c r="X77" s="47">
        <v>190</v>
      </c>
      <c r="Y77" s="47">
        <v>395</v>
      </c>
      <c r="Z77" s="47">
        <v>240</v>
      </c>
      <c r="AA77" s="47">
        <v>358</v>
      </c>
      <c r="AB77" s="47">
        <v>265</v>
      </c>
      <c r="AC77" s="47">
        <v>335</v>
      </c>
      <c r="AD77" s="47">
        <v>357</v>
      </c>
      <c r="AE77" s="47">
        <v>445</v>
      </c>
      <c r="AF77" s="48">
        <v>9720</v>
      </c>
      <c r="AG77" s="48">
        <v>10770</v>
      </c>
      <c r="AH77" s="48">
        <v>12138</v>
      </c>
      <c r="AI77" s="48">
        <v>6219</v>
      </c>
      <c r="AJ77" s="48">
        <v>8337</v>
      </c>
      <c r="AK77" s="48">
        <v>8651</v>
      </c>
      <c r="AL77" s="48">
        <v>4014</v>
      </c>
      <c r="AM77" s="48">
        <v>1322</v>
      </c>
      <c r="AN77" s="48">
        <v>5875</v>
      </c>
      <c r="AO77" s="48">
        <v>1564</v>
      </c>
      <c r="AP77" s="48">
        <v>896</v>
      </c>
      <c r="AQ77" s="48">
        <v>1581</v>
      </c>
      <c r="AR77" s="48">
        <v>257</v>
      </c>
      <c r="AS77" s="48">
        <v>89</v>
      </c>
      <c r="AT77" s="48">
        <v>881</v>
      </c>
      <c r="AU77" s="48">
        <v>7933</v>
      </c>
      <c r="AV77" s="48">
        <v>2293</v>
      </c>
      <c r="AW77" s="48">
        <v>9080</v>
      </c>
      <c r="AX77" s="48">
        <v>1220</v>
      </c>
      <c r="AY77" s="48">
        <v>2648</v>
      </c>
      <c r="AZ77" s="48">
        <v>4201</v>
      </c>
      <c r="BA77" s="48">
        <v>1701</v>
      </c>
      <c r="BB77" s="48">
        <v>160</v>
      </c>
      <c r="BC77" s="48">
        <v>1965</v>
      </c>
      <c r="BD77" s="48">
        <v>294</v>
      </c>
      <c r="BE77" s="48">
        <v>359</v>
      </c>
      <c r="BF77" s="48">
        <v>302</v>
      </c>
      <c r="BG77" s="48">
        <v>155</v>
      </c>
      <c r="BH77" s="48">
        <v>46</v>
      </c>
      <c r="BI77" s="48">
        <v>942</v>
      </c>
    </row>
    <row r="78" spans="1:61" x14ac:dyDescent="0.2">
      <c r="A78" s="46">
        <v>43435</v>
      </c>
      <c r="B78" s="47">
        <v>940</v>
      </c>
      <c r="C78" s="47">
        <v>464.8</v>
      </c>
      <c r="D78" s="47">
        <v>735</v>
      </c>
      <c r="E78" s="47">
        <v>370</v>
      </c>
      <c r="F78" s="47">
        <v>540</v>
      </c>
      <c r="G78" s="47">
        <v>433</v>
      </c>
      <c r="H78" s="47">
        <v>480</v>
      </c>
      <c r="I78" s="47">
        <v>295</v>
      </c>
      <c r="J78" s="47">
        <v>489</v>
      </c>
      <c r="K78" s="47">
        <v>320</v>
      </c>
      <c r="L78" s="47">
        <v>465</v>
      </c>
      <c r="M78" s="47">
        <v>310</v>
      </c>
      <c r="N78" s="47">
        <v>510</v>
      </c>
      <c r="O78" s="47">
        <v>452.5</v>
      </c>
      <c r="P78" s="47">
        <v>720</v>
      </c>
      <c r="Q78" s="47">
        <v>725</v>
      </c>
      <c r="R78" s="47">
        <v>412</v>
      </c>
      <c r="S78" s="47">
        <v>565</v>
      </c>
      <c r="T78" s="47">
        <v>295</v>
      </c>
      <c r="U78" s="47">
        <v>390</v>
      </c>
      <c r="V78" s="47">
        <v>390</v>
      </c>
      <c r="W78" s="47">
        <v>371</v>
      </c>
      <c r="X78" s="47">
        <v>190</v>
      </c>
      <c r="Y78" s="47">
        <v>392</v>
      </c>
      <c r="Z78" s="47">
        <v>265</v>
      </c>
      <c r="AA78" s="47">
        <v>375</v>
      </c>
      <c r="AB78" s="47">
        <v>259.5</v>
      </c>
      <c r="AC78" s="47">
        <v>340</v>
      </c>
      <c r="AD78" s="47">
        <v>360</v>
      </c>
      <c r="AE78" s="47">
        <v>447.9</v>
      </c>
      <c r="AF78" s="48">
        <v>9621</v>
      </c>
      <c r="AG78" s="48">
        <v>11238</v>
      </c>
      <c r="AH78" s="48">
        <v>12270</v>
      </c>
      <c r="AI78" s="48">
        <v>6208</v>
      </c>
      <c r="AJ78" s="48">
        <v>7867</v>
      </c>
      <c r="AK78" s="48">
        <v>8201</v>
      </c>
      <c r="AL78" s="48">
        <v>4282</v>
      </c>
      <c r="AM78" s="48">
        <v>1378</v>
      </c>
      <c r="AN78" s="48">
        <v>5752</v>
      </c>
      <c r="AO78" s="48">
        <v>1634</v>
      </c>
      <c r="AP78" s="48">
        <v>907</v>
      </c>
      <c r="AQ78" s="48">
        <v>1593</v>
      </c>
      <c r="AR78" s="48">
        <v>249</v>
      </c>
      <c r="AS78" s="48">
        <v>78</v>
      </c>
      <c r="AT78" s="48">
        <v>1026</v>
      </c>
      <c r="AU78" s="48">
        <v>7301</v>
      </c>
      <c r="AV78" s="48">
        <v>2351</v>
      </c>
      <c r="AW78" s="48">
        <v>8497</v>
      </c>
      <c r="AX78" s="48">
        <v>1207</v>
      </c>
      <c r="AY78" s="48">
        <v>2455</v>
      </c>
      <c r="AZ78" s="48">
        <v>3749</v>
      </c>
      <c r="BA78" s="48">
        <v>1701</v>
      </c>
      <c r="BB78" s="48">
        <v>159</v>
      </c>
      <c r="BC78" s="48">
        <v>1797</v>
      </c>
      <c r="BD78" s="48">
        <v>270</v>
      </c>
      <c r="BE78" s="48">
        <v>366</v>
      </c>
      <c r="BF78" s="48">
        <v>264</v>
      </c>
      <c r="BG78" s="48">
        <v>125</v>
      </c>
      <c r="BH78" s="48">
        <v>41</v>
      </c>
      <c r="BI78" s="48">
        <v>1043</v>
      </c>
    </row>
    <row r="79" spans="1:61" x14ac:dyDescent="0.2">
      <c r="A79" s="46">
        <v>43525</v>
      </c>
      <c r="B79" s="47">
        <v>870</v>
      </c>
      <c r="C79" s="47">
        <v>462</v>
      </c>
      <c r="D79" s="47">
        <v>685</v>
      </c>
      <c r="E79" s="47">
        <v>370</v>
      </c>
      <c r="F79" s="47">
        <v>533</v>
      </c>
      <c r="G79" s="47">
        <v>434</v>
      </c>
      <c r="H79" s="47">
        <v>475</v>
      </c>
      <c r="I79" s="47">
        <v>285</v>
      </c>
      <c r="J79" s="47">
        <v>490</v>
      </c>
      <c r="K79" s="47">
        <v>330</v>
      </c>
      <c r="L79" s="47">
        <v>471.5</v>
      </c>
      <c r="M79" s="47">
        <v>310</v>
      </c>
      <c r="N79" s="47">
        <v>485</v>
      </c>
      <c r="O79" s="47">
        <v>419.5</v>
      </c>
      <c r="P79" s="47">
        <v>690</v>
      </c>
      <c r="Q79" s="47">
        <v>695</v>
      </c>
      <c r="R79" s="47">
        <v>410</v>
      </c>
      <c r="S79" s="47">
        <v>555</v>
      </c>
      <c r="T79" s="47">
        <v>292.3</v>
      </c>
      <c r="U79" s="47">
        <v>387.8</v>
      </c>
      <c r="V79" s="47">
        <v>388</v>
      </c>
      <c r="W79" s="47">
        <v>400</v>
      </c>
      <c r="X79" s="47">
        <v>185</v>
      </c>
      <c r="Y79" s="47">
        <v>387.5</v>
      </c>
      <c r="Z79" s="47">
        <v>256.5</v>
      </c>
      <c r="AA79" s="47">
        <v>390</v>
      </c>
      <c r="AB79" s="47">
        <v>280</v>
      </c>
      <c r="AC79" s="47">
        <v>292.5</v>
      </c>
      <c r="AD79" s="47">
        <v>362</v>
      </c>
      <c r="AE79" s="47">
        <v>450</v>
      </c>
      <c r="AF79" s="48">
        <v>8565</v>
      </c>
      <c r="AG79" s="48">
        <v>9599</v>
      </c>
      <c r="AH79" s="48">
        <v>10284</v>
      </c>
      <c r="AI79" s="48">
        <v>5534</v>
      </c>
      <c r="AJ79" s="48">
        <v>7380</v>
      </c>
      <c r="AK79" s="48">
        <v>7739</v>
      </c>
      <c r="AL79" s="48">
        <v>3793</v>
      </c>
      <c r="AM79" s="48">
        <v>1410</v>
      </c>
      <c r="AN79" s="48">
        <v>5717</v>
      </c>
      <c r="AO79" s="48">
        <v>1579</v>
      </c>
      <c r="AP79" s="48">
        <v>903</v>
      </c>
      <c r="AQ79" s="48">
        <v>1607</v>
      </c>
      <c r="AR79" s="48">
        <v>221</v>
      </c>
      <c r="AS79" s="48">
        <v>80</v>
      </c>
      <c r="AT79" s="48">
        <v>777</v>
      </c>
      <c r="AU79" s="48">
        <v>6344</v>
      </c>
      <c r="AV79" s="48">
        <v>2003</v>
      </c>
      <c r="AW79" s="48">
        <v>7512</v>
      </c>
      <c r="AX79" s="48">
        <v>1076</v>
      </c>
      <c r="AY79" s="48">
        <v>2346</v>
      </c>
      <c r="AZ79" s="48">
        <v>3758</v>
      </c>
      <c r="BA79" s="48">
        <v>1861</v>
      </c>
      <c r="BB79" s="48">
        <v>149</v>
      </c>
      <c r="BC79" s="48">
        <v>1849</v>
      </c>
      <c r="BD79" s="48">
        <v>230</v>
      </c>
      <c r="BE79" s="48">
        <v>341</v>
      </c>
      <c r="BF79" s="48">
        <v>289</v>
      </c>
      <c r="BG79" s="48">
        <v>120</v>
      </c>
      <c r="BH79" s="48">
        <v>46</v>
      </c>
      <c r="BI79" s="48">
        <v>739</v>
      </c>
    </row>
    <row r="80" spans="1:61" x14ac:dyDescent="0.2">
      <c r="A80" s="46">
        <v>43617</v>
      </c>
      <c r="B80" s="47">
        <v>897</v>
      </c>
      <c r="C80" s="47">
        <v>470</v>
      </c>
      <c r="D80" s="47">
        <v>700</v>
      </c>
      <c r="E80" s="47">
        <v>370</v>
      </c>
      <c r="F80" s="47">
        <v>538</v>
      </c>
      <c r="G80" s="47">
        <v>440</v>
      </c>
      <c r="H80" s="47">
        <v>478.5</v>
      </c>
      <c r="I80" s="47">
        <v>276.5</v>
      </c>
      <c r="J80" s="47">
        <v>480</v>
      </c>
      <c r="K80" s="47">
        <v>320</v>
      </c>
      <c r="L80" s="47">
        <v>490</v>
      </c>
      <c r="M80" s="47">
        <v>310</v>
      </c>
      <c r="N80" s="47">
        <v>470</v>
      </c>
      <c r="O80" s="47">
        <v>422.5</v>
      </c>
      <c r="P80" s="47">
        <v>715</v>
      </c>
      <c r="Q80" s="47">
        <v>700</v>
      </c>
      <c r="R80" s="47">
        <v>422</v>
      </c>
      <c r="S80" s="47">
        <v>560</v>
      </c>
      <c r="T80" s="47">
        <v>290</v>
      </c>
      <c r="U80" s="47">
        <v>390</v>
      </c>
      <c r="V80" s="47">
        <v>385</v>
      </c>
      <c r="W80" s="47">
        <v>390</v>
      </c>
      <c r="X80" s="47">
        <v>192</v>
      </c>
      <c r="Y80" s="47">
        <v>379</v>
      </c>
      <c r="Z80" s="47">
        <v>230</v>
      </c>
      <c r="AA80" s="47">
        <v>382.5</v>
      </c>
      <c r="AB80" s="47">
        <v>267</v>
      </c>
      <c r="AC80" s="47">
        <v>306.5</v>
      </c>
      <c r="AD80" s="47">
        <v>351</v>
      </c>
      <c r="AE80" s="47">
        <v>450</v>
      </c>
      <c r="AF80" s="48">
        <v>10397</v>
      </c>
      <c r="AG80" s="48">
        <v>10152</v>
      </c>
      <c r="AH80" s="48">
        <v>12317</v>
      </c>
      <c r="AI80" s="48">
        <v>5447</v>
      </c>
      <c r="AJ80" s="48">
        <v>7514</v>
      </c>
      <c r="AK80" s="48">
        <v>7731</v>
      </c>
      <c r="AL80" s="48">
        <v>3944</v>
      </c>
      <c r="AM80" s="48">
        <v>1310</v>
      </c>
      <c r="AN80" s="48">
        <v>5676</v>
      </c>
      <c r="AO80" s="48">
        <v>1416</v>
      </c>
      <c r="AP80" s="48">
        <v>836</v>
      </c>
      <c r="AQ80" s="48">
        <v>1435</v>
      </c>
      <c r="AR80" s="48">
        <v>223</v>
      </c>
      <c r="AS80" s="48">
        <v>78</v>
      </c>
      <c r="AT80" s="48">
        <v>979</v>
      </c>
      <c r="AU80" s="48">
        <v>8489</v>
      </c>
      <c r="AV80" s="48">
        <v>2235</v>
      </c>
      <c r="AW80" s="48">
        <v>9095</v>
      </c>
      <c r="AX80" s="48">
        <v>1132</v>
      </c>
      <c r="AY80" s="48">
        <v>2265</v>
      </c>
      <c r="AZ80" s="48">
        <v>3849</v>
      </c>
      <c r="BA80" s="48">
        <v>1843</v>
      </c>
      <c r="BB80" s="48">
        <v>127</v>
      </c>
      <c r="BC80" s="48">
        <v>1738</v>
      </c>
      <c r="BD80" s="48">
        <v>227</v>
      </c>
      <c r="BE80" s="48">
        <v>348</v>
      </c>
      <c r="BF80" s="48">
        <v>284</v>
      </c>
      <c r="BG80" s="48">
        <v>170</v>
      </c>
      <c r="BH80" s="48">
        <v>34</v>
      </c>
      <c r="BI80" s="48">
        <v>855</v>
      </c>
    </row>
    <row r="81" spans="1:61" x14ac:dyDescent="0.2">
      <c r="A81" s="46">
        <v>43709</v>
      </c>
      <c r="B81" s="47">
        <v>900</v>
      </c>
      <c r="C81" s="47">
        <v>475</v>
      </c>
      <c r="D81" s="47">
        <v>705</v>
      </c>
      <c r="E81" s="47">
        <v>375</v>
      </c>
      <c r="F81" s="47">
        <v>540</v>
      </c>
      <c r="G81" s="47">
        <v>441</v>
      </c>
      <c r="H81" s="47">
        <v>474</v>
      </c>
      <c r="I81" s="47">
        <v>287.5</v>
      </c>
      <c r="J81" s="47">
        <v>478</v>
      </c>
      <c r="K81" s="47">
        <v>310</v>
      </c>
      <c r="L81" s="47">
        <v>480</v>
      </c>
      <c r="M81" s="47">
        <v>320</v>
      </c>
      <c r="N81" s="47">
        <v>489</v>
      </c>
      <c r="O81" s="47">
        <v>410</v>
      </c>
      <c r="P81" s="47">
        <v>676</v>
      </c>
      <c r="Q81" s="47">
        <v>710</v>
      </c>
      <c r="R81" s="47">
        <v>426</v>
      </c>
      <c r="S81" s="47">
        <v>570</v>
      </c>
      <c r="T81" s="47">
        <v>305</v>
      </c>
      <c r="U81" s="47">
        <v>397.5</v>
      </c>
      <c r="V81" s="47">
        <v>393</v>
      </c>
      <c r="W81" s="47">
        <v>380</v>
      </c>
      <c r="X81" s="47">
        <v>185</v>
      </c>
      <c r="Y81" s="47">
        <v>380</v>
      </c>
      <c r="Z81" s="47">
        <v>240</v>
      </c>
      <c r="AA81" s="47">
        <v>385</v>
      </c>
      <c r="AB81" s="47">
        <v>270</v>
      </c>
      <c r="AC81" s="47">
        <v>285</v>
      </c>
      <c r="AD81" s="47">
        <v>357.5</v>
      </c>
      <c r="AE81" s="47">
        <v>456.9</v>
      </c>
      <c r="AF81" s="48">
        <v>12196</v>
      </c>
      <c r="AG81" s="48">
        <v>11377</v>
      </c>
      <c r="AH81" s="48">
        <v>12832</v>
      </c>
      <c r="AI81" s="48">
        <v>5898</v>
      </c>
      <c r="AJ81" s="48">
        <v>8520</v>
      </c>
      <c r="AK81" s="48">
        <v>9405</v>
      </c>
      <c r="AL81" s="48">
        <v>4016</v>
      </c>
      <c r="AM81" s="48">
        <v>1374</v>
      </c>
      <c r="AN81" s="48">
        <v>6013</v>
      </c>
      <c r="AO81" s="48">
        <v>1742</v>
      </c>
      <c r="AP81" s="48">
        <v>872</v>
      </c>
      <c r="AQ81" s="48">
        <v>1499</v>
      </c>
      <c r="AR81" s="48">
        <v>230</v>
      </c>
      <c r="AS81" s="48">
        <v>71</v>
      </c>
      <c r="AT81" s="48">
        <v>1207</v>
      </c>
      <c r="AU81" s="48">
        <v>10383</v>
      </c>
      <c r="AV81" s="48">
        <v>2658</v>
      </c>
      <c r="AW81" s="48">
        <v>9594</v>
      </c>
      <c r="AX81" s="48">
        <v>1221</v>
      </c>
      <c r="AY81" s="48">
        <v>2755</v>
      </c>
      <c r="AZ81" s="48">
        <v>4331</v>
      </c>
      <c r="BA81" s="48">
        <v>1751</v>
      </c>
      <c r="BB81" s="48">
        <v>169</v>
      </c>
      <c r="BC81" s="48">
        <v>1974</v>
      </c>
      <c r="BD81" s="48">
        <v>297</v>
      </c>
      <c r="BE81" s="48">
        <v>333</v>
      </c>
      <c r="BF81" s="48">
        <v>314</v>
      </c>
      <c r="BG81" s="48">
        <v>157</v>
      </c>
      <c r="BH81" s="48">
        <v>52</v>
      </c>
      <c r="BI81" s="48">
        <v>1095</v>
      </c>
    </row>
    <row r="82" spans="1:61" x14ac:dyDescent="0.2">
      <c r="A82" s="46">
        <v>43800</v>
      </c>
      <c r="B82" s="47">
        <v>985</v>
      </c>
      <c r="C82" s="47">
        <v>500</v>
      </c>
      <c r="D82" s="47">
        <v>760</v>
      </c>
      <c r="E82" s="47">
        <v>390</v>
      </c>
      <c r="F82" s="47">
        <v>550</v>
      </c>
      <c r="G82" s="47">
        <v>448</v>
      </c>
      <c r="H82" s="47">
        <v>485</v>
      </c>
      <c r="I82" s="47">
        <v>290</v>
      </c>
      <c r="J82" s="47">
        <v>495</v>
      </c>
      <c r="K82" s="47">
        <v>337.8</v>
      </c>
      <c r="L82" s="47">
        <v>517</v>
      </c>
      <c r="M82" s="47">
        <v>340</v>
      </c>
      <c r="N82" s="47">
        <v>470</v>
      </c>
      <c r="O82" s="47">
        <v>434.5</v>
      </c>
      <c r="P82" s="47">
        <v>745</v>
      </c>
      <c r="Q82" s="47">
        <v>736</v>
      </c>
      <c r="R82" s="47">
        <v>440</v>
      </c>
      <c r="S82" s="47">
        <v>600</v>
      </c>
      <c r="T82" s="47">
        <v>340</v>
      </c>
      <c r="U82" s="47">
        <v>399</v>
      </c>
      <c r="V82" s="47">
        <v>395</v>
      </c>
      <c r="W82" s="47">
        <v>385</v>
      </c>
      <c r="X82" s="47">
        <v>190</v>
      </c>
      <c r="Y82" s="47">
        <v>380</v>
      </c>
      <c r="Z82" s="47">
        <v>246.5</v>
      </c>
      <c r="AA82" s="47">
        <v>400</v>
      </c>
      <c r="AB82" s="47">
        <v>295</v>
      </c>
      <c r="AC82" s="47">
        <v>320</v>
      </c>
      <c r="AD82" s="47">
        <v>300</v>
      </c>
      <c r="AE82" s="47">
        <v>473.3</v>
      </c>
      <c r="AF82" s="48">
        <v>13545</v>
      </c>
      <c r="AG82" s="48">
        <v>12304</v>
      </c>
      <c r="AH82" s="48">
        <v>15628</v>
      </c>
      <c r="AI82" s="48">
        <v>6858</v>
      </c>
      <c r="AJ82" s="48">
        <v>8429</v>
      </c>
      <c r="AK82" s="48">
        <v>9111</v>
      </c>
      <c r="AL82" s="48">
        <v>4215</v>
      </c>
      <c r="AM82" s="48">
        <v>1578</v>
      </c>
      <c r="AN82" s="48">
        <v>6229</v>
      </c>
      <c r="AO82" s="48">
        <v>1734</v>
      </c>
      <c r="AP82" s="48">
        <v>877</v>
      </c>
      <c r="AQ82" s="48">
        <v>1616</v>
      </c>
      <c r="AR82" s="48">
        <v>239</v>
      </c>
      <c r="AS82" s="48">
        <v>76</v>
      </c>
      <c r="AT82" s="48">
        <v>1321</v>
      </c>
      <c r="AU82" s="48">
        <v>10963</v>
      </c>
      <c r="AV82" s="48">
        <v>2884</v>
      </c>
      <c r="AW82" s="48">
        <v>11399</v>
      </c>
      <c r="AX82" s="48">
        <v>1447</v>
      </c>
      <c r="AY82" s="48">
        <v>2796</v>
      </c>
      <c r="AZ82" s="48">
        <v>4481</v>
      </c>
      <c r="BA82" s="48">
        <v>1807</v>
      </c>
      <c r="BB82" s="48">
        <v>160</v>
      </c>
      <c r="BC82" s="48">
        <v>2076</v>
      </c>
      <c r="BD82" s="48">
        <v>264</v>
      </c>
      <c r="BE82" s="48">
        <v>330</v>
      </c>
      <c r="BF82" s="48">
        <v>279</v>
      </c>
      <c r="BG82" s="48">
        <v>155</v>
      </c>
      <c r="BH82" s="48">
        <v>36</v>
      </c>
      <c r="BI82" s="48">
        <v>1242</v>
      </c>
    </row>
    <row r="83" spans="1:61" x14ac:dyDescent="0.2">
      <c r="A83" s="46">
        <v>43891</v>
      </c>
      <c r="B83" s="47">
        <v>947.5</v>
      </c>
      <c r="C83" s="47">
        <v>490</v>
      </c>
      <c r="D83" s="47">
        <v>730</v>
      </c>
      <c r="E83" s="47">
        <v>390</v>
      </c>
      <c r="F83" s="47">
        <v>540</v>
      </c>
      <c r="G83" s="47">
        <v>430</v>
      </c>
      <c r="H83" s="47">
        <v>472</v>
      </c>
      <c r="I83" s="47">
        <v>290</v>
      </c>
      <c r="J83" s="47">
        <v>477.5</v>
      </c>
      <c r="K83" s="47">
        <v>337</v>
      </c>
      <c r="L83" s="47">
        <v>529</v>
      </c>
      <c r="M83" s="47">
        <v>335.5</v>
      </c>
      <c r="N83" s="47">
        <v>470</v>
      </c>
      <c r="O83" s="47">
        <v>420</v>
      </c>
      <c r="P83" s="47">
        <v>720.5</v>
      </c>
      <c r="Q83" s="47">
        <v>730</v>
      </c>
      <c r="R83" s="47">
        <v>450</v>
      </c>
      <c r="S83" s="47">
        <v>593</v>
      </c>
      <c r="T83" s="47">
        <v>340</v>
      </c>
      <c r="U83" s="47">
        <v>390</v>
      </c>
      <c r="V83" s="47">
        <v>400</v>
      </c>
      <c r="W83" s="47">
        <v>390</v>
      </c>
      <c r="X83" s="47">
        <v>197</v>
      </c>
      <c r="Y83" s="47">
        <v>380</v>
      </c>
      <c r="Z83" s="47">
        <v>233.3</v>
      </c>
      <c r="AA83" s="47">
        <v>425</v>
      </c>
      <c r="AB83" s="47">
        <v>298</v>
      </c>
      <c r="AC83" s="47">
        <v>299</v>
      </c>
      <c r="AD83" s="47">
        <v>328.5</v>
      </c>
      <c r="AE83" s="47">
        <v>460</v>
      </c>
      <c r="AF83" s="48">
        <v>10009</v>
      </c>
      <c r="AG83" s="48">
        <v>10137</v>
      </c>
      <c r="AH83" s="48">
        <v>11249</v>
      </c>
      <c r="AI83" s="48">
        <v>5978</v>
      </c>
      <c r="AJ83" s="48">
        <v>7605</v>
      </c>
      <c r="AK83" s="48">
        <v>8427</v>
      </c>
      <c r="AL83" s="48">
        <v>3625</v>
      </c>
      <c r="AM83" s="48">
        <v>1368</v>
      </c>
      <c r="AN83" s="48">
        <v>5782</v>
      </c>
      <c r="AO83" s="48">
        <v>1639</v>
      </c>
      <c r="AP83" s="48">
        <v>781</v>
      </c>
      <c r="AQ83" s="48">
        <v>1706</v>
      </c>
      <c r="AR83" s="48">
        <v>221</v>
      </c>
      <c r="AS83" s="48">
        <v>65</v>
      </c>
      <c r="AT83" s="48">
        <v>1035</v>
      </c>
      <c r="AU83" s="48">
        <v>8960</v>
      </c>
      <c r="AV83" s="48">
        <v>2565</v>
      </c>
      <c r="AW83" s="48">
        <v>8764</v>
      </c>
      <c r="AX83" s="48">
        <v>1383</v>
      </c>
      <c r="AY83" s="48">
        <v>2830</v>
      </c>
      <c r="AZ83" s="48">
        <v>4081</v>
      </c>
      <c r="BA83" s="48">
        <v>1671</v>
      </c>
      <c r="BB83" s="48">
        <v>168</v>
      </c>
      <c r="BC83" s="48">
        <v>2027</v>
      </c>
      <c r="BD83" s="48">
        <v>281</v>
      </c>
      <c r="BE83" s="48">
        <v>312</v>
      </c>
      <c r="BF83" s="48">
        <v>261</v>
      </c>
      <c r="BG83" s="48">
        <v>129</v>
      </c>
      <c r="BH83" s="48">
        <v>35</v>
      </c>
      <c r="BI83" s="48">
        <v>1015</v>
      </c>
    </row>
    <row r="84" spans="1:61" x14ac:dyDescent="0.2">
      <c r="A84" s="46">
        <v>43983</v>
      </c>
      <c r="B84" s="47">
        <v>955</v>
      </c>
      <c r="C84" s="47">
        <v>490</v>
      </c>
      <c r="D84" s="47">
        <v>720</v>
      </c>
      <c r="E84" s="47">
        <v>395</v>
      </c>
      <c r="F84" s="47">
        <v>547</v>
      </c>
      <c r="G84" s="47">
        <v>430</v>
      </c>
      <c r="H84" s="47">
        <v>487.5</v>
      </c>
      <c r="I84" s="47">
        <v>280</v>
      </c>
      <c r="J84" s="47">
        <v>475</v>
      </c>
      <c r="K84" s="47">
        <v>327</v>
      </c>
      <c r="L84" s="47">
        <v>520</v>
      </c>
      <c r="M84" s="47">
        <v>340</v>
      </c>
      <c r="N84" s="47">
        <v>465</v>
      </c>
      <c r="O84" s="47">
        <v>434.5</v>
      </c>
      <c r="P84" s="47">
        <v>720</v>
      </c>
      <c r="Q84" s="47">
        <v>730</v>
      </c>
      <c r="R84" s="47">
        <v>471</v>
      </c>
      <c r="S84" s="47">
        <v>600</v>
      </c>
      <c r="T84" s="47">
        <v>371.7</v>
      </c>
      <c r="U84" s="47">
        <v>386.5</v>
      </c>
      <c r="V84" s="47">
        <v>404</v>
      </c>
      <c r="W84" s="47">
        <v>421.3</v>
      </c>
      <c r="X84" s="47">
        <v>170</v>
      </c>
      <c r="Y84" s="47">
        <v>350</v>
      </c>
      <c r="Z84" s="47">
        <v>210</v>
      </c>
      <c r="AA84" s="47">
        <v>394.5</v>
      </c>
      <c r="AB84" s="47">
        <v>293.5</v>
      </c>
      <c r="AC84" s="47">
        <v>272</v>
      </c>
      <c r="AD84" s="47">
        <v>365</v>
      </c>
      <c r="AE84" s="47">
        <v>460</v>
      </c>
      <c r="AF84" s="48">
        <v>9532</v>
      </c>
      <c r="AG84" s="48">
        <v>9623</v>
      </c>
      <c r="AH84" s="48">
        <v>9335</v>
      </c>
      <c r="AI84" s="48">
        <v>4728</v>
      </c>
      <c r="AJ84" s="48">
        <v>6917</v>
      </c>
      <c r="AK84" s="48">
        <v>7961</v>
      </c>
      <c r="AL84" s="48">
        <v>3354</v>
      </c>
      <c r="AM84" s="48">
        <v>1250</v>
      </c>
      <c r="AN84" s="48">
        <v>5297</v>
      </c>
      <c r="AO84" s="48">
        <v>1692</v>
      </c>
      <c r="AP84" s="48">
        <v>647</v>
      </c>
      <c r="AQ84" s="48">
        <v>1095</v>
      </c>
      <c r="AR84" s="48">
        <v>209</v>
      </c>
      <c r="AS84" s="48">
        <v>68</v>
      </c>
      <c r="AT84" s="48">
        <v>1008</v>
      </c>
      <c r="AU84" s="48">
        <v>7010</v>
      </c>
      <c r="AV84" s="48">
        <v>2029</v>
      </c>
      <c r="AW84" s="48">
        <v>7441</v>
      </c>
      <c r="AX84" s="48">
        <v>1046</v>
      </c>
      <c r="AY84" s="48">
        <v>2100</v>
      </c>
      <c r="AZ84" s="48">
        <v>3065</v>
      </c>
      <c r="BA84" s="48">
        <v>1645</v>
      </c>
      <c r="BB84" s="48">
        <v>143</v>
      </c>
      <c r="BC84" s="48">
        <v>1745</v>
      </c>
      <c r="BD84" s="48">
        <v>215</v>
      </c>
      <c r="BE84" s="48">
        <v>248</v>
      </c>
      <c r="BF84" s="48">
        <v>192</v>
      </c>
      <c r="BG84" s="48">
        <v>142</v>
      </c>
      <c r="BH84" s="48">
        <v>31</v>
      </c>
      <c r="BI84" s="48">
        <v>1009</v>
      </c>
    </row>
    <row r="85" spans="1:61" x14ac:dyDescent="0.2">
      <c r="A85" s="46">
        <v>44075</v>
      </c>
      <c r="B85" s="47">
        <v>945</v>
      </c>
      <c r="C85" s="47">
        <v>510</v>
      </c>
      <c r="D85" s="47">
        <v>710</v>
      </c>
      <c r="E85" s="47">
        <v>410</v>
      </c>
      <c r="F85" s="47">
        <v>555</v>
      </c>
      <c r="G85" s="47">
        <v>449</v>
      </c>
      <c r="H85" s="47">
        <v>500</v>
      </c>
      <c r="I85" s="47">
        <v>285</v>
      </c>
      <c r="J85" s="47">
        <v>495</v>
      </c>
      <c r="K85" s="47">
        <v>365</v>
      </c>
      <c r="L85" s="47">
        <v>528.5</v>
      </c>
      <c r="M85" s="47">
        <v>350</v>
      </c>
      <c r="N85" s="47">
        <v>500</v>
      </c>
      <c r="O85" s="47">
        <v>440</v>
      </c>
      <c r="P85" s="47">
        <v>755</v>
      </c>
      <c r="Q85" s="47">
        <v>730</v>
      </c>
      <c r="R85" s="47">
        <v>475</v>
      </c>
      <c r="S85" s="47">
        <v>595</v>
      </c>
      <c r="T85" s="47">
        <v>360</v>
      </c>
      <c r="U85" s="47">
        <v>400</v>
      </c>
      <c r="V85" s="47">
        <v>412.5</v>
      </c>
      <c r="W85" s="47">
        <v>411.8</v>
      </c>
      <c r="X85" s="47">
        <v>201</v>
      </c>
      <c r="Y85" s="47">
        <v>385</v>
      </c>
      <c r="Z85" s="47">
        <v>247</v>
      </c>
      <c r="AA85" s="47">
        <v>420</v>
      </c>
      <c r="AB85" s="47">
        <v>305</v>
      </c>
      <c r="AC85" s="47">
        <v>285</v>
      </c>
      <c r="AD85" s="47">
        <v>290</v>
      </c>
      <c r="AE85" s="47">
        <v>488</v>
      </c>
      <c r="AF85" s="48">
        <v>14050</v>
      </c>
      <c r="AG85" s="48">
        <v>15136</v>
      </c>
      <c r="AH85" s="48">
        <v>7227</v>
      </c>
      <c r="AI85" s="48">
        <v>6624</v>
      </c>
      <c r="AJ85" s="48">
        <v>10023</v>
      </c>
      <c r="AK85" s="48">
        <v>12540</v>
      </c>
      <c r="AL85" s="48">
        <v>4291</v>
      </c>
      <c r="AM85" s="48">
        <v>1874</v>
      </c>
      <c r="AN85" s="48">
        <v>7847</v>
      </c>
      <c r="AO85" s="48">
        <v>2597</v>
      </c>
      <c r="AP85" s="48">
        <v>756</v>
      </c>
      <c r="AQ85" s="48">
        <v>1715</v>
      </c>
      <c r="AR85" s="48">
        <v>262</v>
      </c>
      <c r="AS85" s="48">
        <v>121</v>
      </c>
      <c r="AT85" s="48">
        <v>1424</v>
      </c>
      <c r="AU85" s="48">
        <v>10394</v>
      </c>
      <c r="AV85" s="48">
        <v>3498</v>
      </c>
      <c r="AW85" s="48">
        <v>5485</v>
      </c>
      <c r="AX85" s="48">
        <v>1511</v>
      </c>
      <c r="AY85" s="48">
        <v>3162</v>
      </c>
      <c r="AZ85" s="48">
        <v>5192</v>
      </c>
      <c r="BA85" s="48">
        <v>1984</v>
      </c>
      <c r="BB85" s="48">
        <v>204</v>
      </c>
      <c r="BC85" s="48">
        <v>2466</v>
      </c>
      <c r="BD85" s="48">
        <v>319</v>
      </c>
      <c r="BE85" s="48">
        <v>347</v>
      </c>
      <c r="BF85" s="48">
        <v>341</v>
      </c>
      <c r="BG85" s="48">
        <v>117</v>
      </c>
      <c r="BH85" s="48">
        <v>27</v>
      </c>
      <c r="BI85" s="48">
        <v>1468</v>
      </c>
    </row>
    <row r="86" spans="1:61" x14ac:dyDescent="0.2">
      <c r="A86" s="46">
        <v>44166</v>
      </c>
      <c r="B86" s="47">
        <v>999</v>
      </c>
      <c r="C86" s="47">
        <v>541</v>
      </c>
      <c r="D86" s="47">
        <v>760</v>
      </c>
      <c r="E86" s="47">
        <v>439</v>
      </c>
      <c r="F86" s="47">
        <v>575</v>
      </c>
      <c r="G86" s="47">
        <v>460</v>
      </c>
      <c r="H86" s="47">
        <v>512.5</v>
      </c>
      <c r="I86" s="47">
        <v>307.5</v>
      </c>
      <c r="J86" s="47">
        <v>528</v>
      </c>
      <c r="K86" s="47">
        <v>375</v>
      </c>
      <c r="L86" s="47">
        <v>567.70000000000005</v>
      </c>
      <c r="M86" s="47">
        <v>380</v>
      </c>
      <c r="N86" s="47">
        <v>522.5</v>
      </c>
      <c r="O86" s="47">
        <v>417.5</v>
      </c>
      <c r="P86" s="47">
        <v>785</v>
      </c>
      <c r="Q86" s="47">
        <v>743</v>
      </c>
      <c r="R86" s="47">
        <v>480</v>
      </c>
      <c r="S86" s="47">
        <v>620</v>
      </c>
      <c r="T86" s="47">
        <v>351</v>
      </c>
      <c r="U86" s="47">
        <v>415</v>
      </c>
      <c r="V86" s="47">
        <v>430</v>
      </c>
      <c r="W86" s="47">
        <v>415</v>
      </c>
      <c r="X86" s="47">
        <v>217.5</v>
      </c>
      <c r="Y86" s="47">
        <v>400</v>
      </c>
      <c r="Z86" s="47">
        <v>270</v>
      </c>
      <c r="AA86" s="47">
        <v>441</v>
      </c>
      <c r="AB86" s="47">
        <v>321</v>
      </c>
      <c r="AC86" s="47">
        <v>292.5</v>
      </c>
      <c r="AD86" s="47">
        <v>348.5</v>
      </c>
      <c r="AE86" s="47">
        <v>498</v>
      </c>
      <c r="AF86" s="48">
        <v>16275</v>
      </c>
      <c r="AG86" s="48">
        <v>16545</v>
      </c>
      <c r="AH86" s="48">
        <v>15775</v>
      </c>
      <c r="AI86" s="48">
        <v>7988</v>
      </c>
      <c r="AJ86" s="48">
        <v>10940</v>
      </c>
      <c r="AK86" s="48">
        <v>13594</v>
      </c>
      <c r="AL86" s="48">
        <v>4421</v>
      </c>
      <c r="AM86" s="48">
        <v>2035</v>
      </c>
      <c r="AN86" s="48">
        <v>8873</v>
      </c>
      <c r="AO86" s="48">
        <v>2868</v>
      </c>
      <c r="AP86" s="48">
        <v>787</v>
      </c>
      <c r="AQ86" s="48">
        <v>1693</v>
      </c>
      <c r="AR86" s="48">
        <v>306</v>
      </c>
      <c r="AS86" s="48">
        <v>118</v>
      </c>
      <c r="AT86" s="48">
        <v>1636</v>
      </c>
      <c r="AU86" s="48">
        <v>12117</v>
      </c>
      <c r="AV86" s="48">
        <v>3991</v>
      </c>
      <c r="AW86" s="48">
        <v>12583</v>
      </c>
      <c r="AX86" s="48">
        <v>1484</v>
      </c>
      <c r="AY86" s="48">
        <v>3812</v>
      </c>
      <c r="AZ86" s="48">
        <v>6244</v>
      </c>
      <c r="BA86" s="48">
        <v>1911</v>
      </c>
      <c r="BB86" s="48">
        <v>246</v>
      </c>
      <c r="BC86" s="48">
        <v>3136</v>
      </c>
      <c r="BD86" s="48">
        <v>368</v>
      </c>
      <c r="BE86" s="48">
        <v>365</v>
      </c>
      <c r="BF86" s="48">
        <v>327</v>
      </c>
      <c r="BG86" s="48">
        <v>129</v>
      </c>
      <c r="BH86" s="48">
        <v>32</v>
      </c>
      <c r="BI86" s="48">
        <v>1777</v>
      </c>
    </row>
    <row r="87" spans="1:61" x14ac:dyDescent="0.2">
      <c r="A87" s="46">
        <v>44256</v>
      </c>
      <c r="B87" s="47">
        <v>1052</v>
      </c>
      <c r="C87" s="47">
        <v>560</v>
      </c>
      <c r="D87" s="47">
        <v>800</v>
      </c>
      <c r="E87" s="47">
        <v>455</v>
      </c>
      <c r="F87" s="47">
        <v>600</v>
      </c>
      <c r="G87" s="47">
        <v>465</v>
      </c>
      <c r="H87" s="47">
        <v>523</v>
      </c>
      <c r="I87" s="47">
        <v>300</v>
      </c>
      <c r="J87" s="47">
        <v>535</v>
      </c>
      <c r="K87" s="47">
        <v>392.5</v>
      </c>
      <c r="L87" s="47">
        <v>610</v>
      </c>
      <c r="M87" s="47">
        <v>400</v>
      </c>
      <c r="N87" s="47">
        <v>535</v>
      </c>
      <c r="O87" s="47">
        <v>462</v>
      </c>
      <c r="P87" s="47">
        <v>835</v>
      </c>
      <c r="Q87" s="47">
        <v>750</v>
      </c>
      <c r="R87" s="47">
        <v>510</v>
      </c>
      <c r="S87" s="47">
        <v>630</v>
      </c>
      <c r="T87" s="47">
        <v>360</v>
      </c>
      <c r="U87" s="47">
        <v>420</v>
      </c>
      <c r="V87" s="47">
        <v>440</v>
      </c>
      <c r="W87" s="47">
        <v>420</v>
      </c>
      <c r="X87" s="47">
        <v>220</v>
      </c>
      <c r="Y87" s="47">
        <v>414</v>
      </c>
      <c r="Z87" s="47">
        <v>265</v>
      </c>
      <c r="AA87" s="47">
        <v>471.1</v>
      </c>
      <c r="AB87" s="47">
        <v>330</v>
      </c>
      <c r="AC87" s="47">
        <v>340</v>
      </c>
      <c r="AD87" s="47">
        <v>324.5</v>
      </c>
      <c r="AE87" s="47">
        <v>505</v>
      </c>
      <c r="AF87" s="48">
        <v>15288</v>
      </c>
      <c r="AG87" s="48">
        <v>15289</v>
      </c>
      <c r="AH87" s="48">
        <v>16363</v>
      </c>
      <c r="AI87" s="48">
        <v>7785</v>
      </c>
      <c r="AJ87" s="48">
        <v>11441</v>
      </c>
      <c r="AK87" s="48">
        <v>14411</v>
      </c>
      <c r="AL87" s="48">
        <v>4451</v>
      </c>
      <c r="AM87" s="48">
        <v>2154</v>
      </c>
      <c r="AN87" s="48">
        <v>9064</v>
      </c>
      <c r="AO87" s="48">
        <v>3029</v>
      </c>
      <c r="AP87" s="48">
        <v>868</v>
      </c>
      <c r="AQ87" s="48">
        <v>1825</v>
      </c>
      <c r="AR87" s="48">
        <v>335</v>
      </c>
      <c r="AS87" s="48">
        <v>122</v>
      </c>
      <c r="AT87" s="48">
        <v>1237</v>
      </c>
      <c r="AU87" s="48">
        <v>13030</v>
      </c>
      <c r="AV87" s="48">
        <v>3862</v>
      </c>
      <c r="AW87" s="48">
        <v>13276</v>
      </c>
      <c r="AX87" s="48">
        <v>1513</v>
      </c>
      <c r="AY87" s="48">
        <v>4711</v>
      </c>
      <c r="AZ87" s="48">
        <v>7539</v>
      </c>
      <c r="BA87" s="48">
        <v>2415</v>
      </c>
      <c r="BB87" s="48">
        <v>273</v>
      </c>
      <c r="BC87" s="48">
        <v>3401</v>
      </c>
      <c r="BD87" s="48">
        <v>463</v>
      </c>
      <c r="BE87" s="48">
        <v>364</v>
      </c>
      <c r="BF87" s="48">
        <v>351</v>
      </c>
      <c r="BG87" s="48">
        <v>133</v>
      </c>
      <c r="BH87" s="48">
        <v>26</v>
      </c>
      <c r="BI87" s="48">
        <v>1324</v>
      </c>
    </row>
    <row r="88" spans="1:61" x14ac:dyDescent="0.2">
      <c r="A88" s="46">
        <v>44348</v>
      </c>
      <c r="B88" s="47">
        <v>1206.4000000000001</v>
      </c>
      <c r="C88" s="47">
        <v>590</v>
      </c>
      <c r="D88" s="47">
        <v>830</v>
      </c>
      <c r="E88" s="47">
        <v>478.5</v>
      </c>
      <c r="F88" s="47">
        <v>630</v>
      </c>
      <c r="G88" s="47">
        <v>480</v>
      </c>
      <c r="H88" s="47">
        <v>550</v>
      </c>
      <c r="I88" s="47">
        <v>310</v>
      </c>
      <c r="J88" s="47">
        <v>540</v>
      </c>
      <c r="K88" s="47">
        <v>379</v>
      </c>
      <c r="L88" s="47">
        <v>630</v>
      </c>
      <c r="M88" s="47">
        <v>420</v>
      </c>
      <c r="N88" s="47">
        <v>565</v>
      </c>
      <c r="O88" s="47">
        <v>460</v>
      </c>
      <c r="P88" s="47">
        <v>905</v>
      </c>
      <c r="Q88" s="47">
        <v>785</v>
      </c>
      <c r="R88" s="47">
        <v>529</v>
      </c>
      <c r="S88" s="47">
        <v>648.20000000000005</v>
      </c>
      <c r="T88" s="47">
        <v>360</v>
      </c>
      <c r="U88" s="47">
        <v>421.3</v>
      </c>
      <c r="V88" s="47">
        <v>460</v>
      </c>
      <c r="W88" s="47">
        <v>415</v>
      </c>
      <c r="X88" s="47">
        <v>215</v>
      </c>
      <c r="Y88" s="47">
        <v>420</v>
      </c>
      <c r="Z88" s="47">
        <v>297</v>
      </c>
      <c r="AA88" s="47">
        <v>502.5</v>
      </c>
      <c r="AB88" s="47">
        <v>360</v>
      </c>
      <c r="AC88" s="47">
        <v>375</v>
      </c>
      <c r="AD88" s="47">
        <v>300</v>
      </c>
      <c r="AE88" s="47">
        <v>542</v>
      </c>
      <c r="AF88" s="48">
        <v>17458</v>
      </c>
      <c r="AG88" s="48">
        <v>15587</v>
      </c>
      <c r="AH88" s="48">
        <v>17680</v>
      </c>
      <c r="AI88" s="48">
        <v>7789</v>
      </c>
      <c r="AJ88" s="48">
        <v>11805</v>
      </c>
      <c r="AK88" s="48">
        <v>13773</v>
      </c>
      <c r="AL88" s="48">
        <v>4847</v>
      </c>
      <c r="AM88" s="48">
        <v>2067</v>
      </c>
      <c r="AN88" s="48">
        <v>8731</v>
      </c>
      <c r="AO88" s="48">
        <v>2718</v>
      </c>
      <c r="AP88" s="48">
        <v>758</v>
      </c>
      <c r="AQ88" s="48">
        <v>1570</v>
      </c>
      <c r="AR88" s="48">
        <v>402</v>
      </c>
      <c r="AS88" s="48">
        <v>127</v>
      </c>
      <c r="AT88" s="48">
        <v>1330</v>
      </c>
      <c r="AU88" s="48">
        <v>15268</v>
      </c>
      <c r="AV88" s="48">
        <v>3811</v>
      </c>
      <c r="AW88" s="48">
        <v>15762</v>
      </c>
      <c r="AX88" s="48">
        <v>1526</v>
      </c>
      <c r="AY88" s="48">
        <v>5136</v>
      </c>
      <c r="AZ88" s="48">
        <v>7169</v>
      </c>
      <c r="BA88" s="48">
        <v>2560</v>
      </c>
      <c r="BB88" s="48">
        <v>290</v>
      </c>
      <c r="BC88" s="48">
        <v>3154</v>
      </c>
      <c r="BD88" s="48">
        <v>408</v>
      </c>
      <c r="BE88" s="48">
        <v>302</v>
      </c>
      <c r="BF88" s="48">
        <v>274</v>
      </c>
      <c r="BG88" s="48">
        <v>226</v>
      </c>
      <c r="BH88" s="48">
        <v>41</v>
      </c>
      <c r="BI88" s="48">
        <v>1504</v>
      </c>
    </row>
    <row r="89" spans="1:61" x14ac:dyDescent="0.2">
      <c r="A89" s="46">
        <v>44440</v>
      </c>
      <c r="B89" s="47">
        <v>1300</v>
      </c>
      <c r="C89" s="47">
        <v>625</v>
      </c>
      <c r="D89" s="47">
        <v>840</v>
      </c>
      <c r="E89" s="47">
        <v>500</v>
      </c>
      <c r="F89" s="47">
        <v>657</v>
      </c>
      <c r="G89" s="47">
        <v>480</v>
      </c>
      <c r="H89" s="47">
        <v>580</v>
      </c>
      <c r="I89" s="47">
        <v>309</v>
      </c>
      <c r="J89" s="47">
        <v>525</v>
      </c>
      <c r="K89" s="47">
        <v>365</v>
      </c>
      <c r="L89" s="47">
        <v>700</v>
      </c>
      <c r="M89" s="47">
        <v>445</v>
      </c>
      <c r="N89" s="47">
        <v>580</v>
      </c>
      <c r="O89" s="47">
        <v>460</v>
      </c>
      <c r="P89" s="47">
        <v>940</v>
      </c>
      <c r="Q89" s="47">
        <v>800</v>
      </c>
      <c r="R89" s="47">
        <v>550</v>
      </c>
      <c r="S89" s="47">
        <v>650.79999999999995</v>
      </c>
      <c r="T89" s="47">
        <v>380</v>
      </c>
      <c r="U89" s="47">
        <v>430</v>
      </c>
      <c r="V89" s="47">
        <v>480</v>
      </c>
      <c r="W89" s="47">
        <v>425</v>
      </c>
      <c r="X89" s="47">
        <v>217.8</v>
      </c>
      <c r="Y89" s="47">
        <v>415</v>
      </c>
      <c r="Z89" s="47">
        <v>299.5</v>
      </c>
      <c r="AA89" s="47">
        <v>540</v>
      </c>
      <c r="AB89" s="47">
        <v>360</v>
      </c>
      <c r="AC89" s="47">
        <v>360</v>
      </c>
      <c r="AD89" s="47">
        <v>290</v>
      </c>
      <c r="AE89" s="47">
        <v>530</v>
      </c>
      <c r="AF89" s="48">
        <v>15132</v>
      </c>
      <c r="AG89" s="48">
        <v>16242</v>
      </c>
      <c r="AH89" s="48">
        <v>12800</v>
      </c>
      <c r="AI89" s="48">
        <v>6355</v>
      </c>
      <c r="AJ89" s="48">
        <v>13126</v>
      </c>
      <c r="AK89" s="48">
        <v>16084</v>
      </c>
      <c r="AL89" s="48">
        <v>4787</v>
      </c>
      <c r="AM89" s="48">
        <v>2150</v>
      </c>
      <c r="AN89" s="48">
        <v>7254</v>
      </c>
      <c r="AO89" s="48">
        <v>2381</v>
      </c>
      <c r="AP89" s="48">
        <v>790</v>
      </c>
      <c r="AQ89" s="48">
        <v>1607</v>
      </c>
      <c r="AR89" s="48">
        <v>424</v>
      </c>
      <c r="AS89" s="48">
        <v>147</v>
      </c>
      <c r="AT89" s="48">
        <v>1126</v>
      </c>
      <c r="AU89" s="48">
        <v>13104</v>
      </c>
      <c r="AV89" s="48">
        <v>3794</v>
      </c>
      <c r="AW89" s="48">
        <v>11300</v>
      </c>
      <c r="AX89" s="48">
        <v>1261</v>
      </c>
      <c r="AY89" s="48">
        <v>6163</v>
      </c>
      <c r="AZ89" s="48">
        <v>8092</v>
      </c>
      <c r="BA89" s="48">
        <v>2435</v>
      </c>
      <c r="BB89" s="48">
        <v>284</v>
      </c>
      <c r="BC89" s="48">
        <v>3279</v>
      </c>
      <c r="BD89" s="48">
        <v>496</v>
      </c>
      <c r="BE89" s="48">
        <v>319</v>
      </c>
      <c r="BF89" s="48">
        <v>289</v>
      </c>
      <c r="BG89" s="48">
        <v>241</v>
      </c>
      <c r="BH89" s="48">
        <v>37</v>
      </c>
      <c r="BI89" s="48">
        <v>1334</v>
      </c>
    </row>
    <row r="90" spans="1:61" x14ac:dyDescent="0.2">
      <c r="A90" s="46">
        <v>44531</v>
      </c>
      <c r="B90" s="47">
        <v>1360</v>
      </c>
      <c r="C90" s="47">
        <v>685</v>
      </c>
      <c r="D90" s="47">
        <v>940</v>
      </c>
      <c r="E90" s="47">
        <v>553</v>
      </c>
      <c r="F90" s="47">
        <v>750</v>
      </c>
      <c r="G90" s="47">
        <v>500</v>
      </c>
      <c r="H90" s="47">
        <v>630</v>
      </c>
      <c r="I90" s="47">
        <v>335</v>
      </c>
      <c r="J90" s="47">
        <v>558.79999999999995</v>
      </c>
      <c r="K90" s="47">
        <v>380</v>
      </c>
      <c r="L90" s="47">
        <v>754</v>
      </c>
      <c r="M90" s="47">
        <v>500.9</v>
      </c>
      <c r="N90" s="47">
        <v>600</v>
      </c>
      <c r="O90" s="47">
        <v>480</v>
      </c>
      <c r="P90" s="47">
        <v>1040</v>
      </c>
      <c r="Q90" s="47">
        <v>806</v>
      </c>
      <c r="R90" s="47">
        <v>590</v>
      </c>
      <c r="S90" s="47">
        <v>655</v>
      </c>
      <c r="T90" s="47">
        <v>425</v>
      </c>
      <c r="U90" s="47">
        <v>450</v>
      </c>
      <c r="V90" s="47">
        <v>501</v>
      </c>
      <c r="W90" s="47">
        <v>450</v>
      </c>
      <c r="X90" s="47">
        <v>210</v>
      </c>
      <c r="Y90" s="47">
        <v>412.8</v>
      </c>
      <c r="Z90" s="47">
        <v>295</v>
      </c>
      <c r="AA90" s="47">
        <v>570</v>
      </c>
      <c r="AB90" s="47">
        <v>410</v>
      </c>
      <c r="AC90" s="47">
        <v>382</v>
      </c>
      <c r="AD90" s="47">
        <v>300</v>
      </c>
      <c r="AE90" s="47">
        <v>590</v>
      </c>
      <c r="AF90" s="48">
        <v>17181</v>
      </c>
      <c r="AG90" s="48">
        <v>16838</v>
      </c>
      <c r="AH90" s="48">
        <v>20363</v>
      </c>
      <c r="AI90" s="48">
        <v>7892</v>
      </c>
      <c r="AJ90" s="48">
        <v>12911</v>
      </c>
      <c r="AK90" s="48">
        <v>15506</v>
      </c>
      <c r="AL90" s="48">
        <v>5386</v>
      </c>
      <c r="AM90" s="48">
        <v>2402</v>
      </c>
      <c r="AN90" s="48">
        <v>7779</v>
      </c>
      <c r="AO90" s="48">
        <v>2509</v>
      </c>
      <c r="AP90" s="48">
        <v>767</v>
      </c>
      <c r="AQ90" s="48">
        <v>1696</v>
      </c>
      <c r="AR90" s="48">
        <v>443</v>
      </c>
      <c r="AS90" s="48">
        <v>144</v>
      </c>
      <c r="AT90" s="48">
        <v>1477</v>
      </c>
      <c r="AU90" s="48">
        <v>15001</v>
      </c>
      <c r="AV90" s="48">
        <v>3850</v>
      </c>
      <c r="AW90" s="48">
        <v>15119</v>
      </c>
      <c r="AX90" s="48">
        <v>1544</v>
      </c>
      <c r="AY90" s="48">
        <v>6074</v>
      </c>
      <c r="AZ90" s="48">
        <v>7456</v>
      </c>
      <c r="BA90" s="48">
        <v>2642</v>
      </c>
      <c r="BB90" s="48">
        <v>294</v>
      </c>
      <c r="BC90" s="48">
        <v>3254</v>
      </c>
      <c r="BD90" s="48">
        <v>505</v>
      </c>
      <c r="BE90" s="48">
        <v>361</v>
      </c>
      <c r="BF90" s="48">
        <v>292</v>
      </c>
      <c r="BG90" s="48">
        <v>197</v>
      </c>
      <c r="BH90" s="48">
        <v>42</v>
      </c>
      <c r="BI90" s="48">
        <v>1565</v>
      </c>
    </row>
    <row r="91" spans="1:61" x14ac:dyDescent="0.2">
      <c r="A91" s="46">
        <v>44621</v>
      </c>
      <c r="B91" s="47">
        <v>1325</v>
      </c>
      <c r="C91" s="47">
        <v>702</v>
      </c>
      <c r="D91" s="47">
        <v>888</v>
      </c>
      <c r="E91" s="47">
        <v>580</v>
      </c>
      <c r="F91" s="47">
        <v>765</v>
      </c>
      <c r="G91" s="47">
        <v>519</v>
      </c>
      <c r="H91" s="47">
        <v>650</v>
      </c>
      <c r="I91" s="47">
        <v>335</v>
      </c>
      <c r="J91" s="47">
        <v>550</v>
      </c>
      <c r="K91" s="47">
        <v>380</v>
      </c>
      <c r="L91" s="47">
        <v>765</v>
      </c>
      <c r="M91" s="47">
        <v>530.5</v>
      </c>
      <c r="N91" s="47">
        <v>600</v>
      </c>
      <c r="O91" s="47">
        <v>460</v>
      </c>
      <c r="P91" s="47">
        <v>1080</v>
      </c>
      <c r="Q91" s="47">
        <v>780</v>
      </c>
      <c r="R91" s="47">
        <v>610</v>
      </c>
      <c r="S91" s="47">
        <v>640</v>
      </c>
      <c r="T91" s="47">
        <v>419.5</v>
      </c>
      <c r="U91" s="47">
        <v>459</v>
      </c>
      <c r="V91" s="47">
        <v>517</v>
      </c>
      <c r="W91" s="47">
        <v>454.9</v>
      </c>
      <c r="X91" s="47">
        <v>205</v>
      </c>
      <c r="Y91" s="47">
        <v>410</v>
      </c>
      <c r="Z91" s="47">
        <v>320</v>
      </c>
      <c r="AA91" s="47">
        <v>586.29999999999995</v>
      </c>
      <c r="AB91" s="47">
        <v>410</v>
      </c>
      <c r="AC91" s="47">
        <v>402</v>
      </c>
      <c r="AD91" s="47">
        <v>315</v>
      </c>
      <c r="AE91" s="47">
        <v>575</v>
      </c>
      <c r="AF91" s="48">
        <v>12080</v>
      </c>
      <c r="AG91" s="48">
        <v>12535</v>
      </c>
      <c r="AH91" s="48">
        <v>14294</v>
      </c>
      <c r="AI91" s="48">
        <v>6493</v>
      </c>
      <c r="AJ91" s="48">
        <v>10381</v>
      </c>
      <c r="AK91" s="48">
        <v>14272</v>
      </c>
      <c r="AL91" s="48">
        <v>4484</v>
      </c>
      <c r="AM91" s="48">
        <v>2250</v>
      </c>
      <c r="AN91" s="48">
        <v>7729</v>
      </c>
      <c r="AO91" s="48">
        <v>2468</v>
      </c>
      <c r="AP91" s="48">
        <v>814</v>
      </c>
      <c r="AQ91" s="48">
        <v>1590</v>
      </c>
      <c r="AR91" s="48">
        <v>419</v>
      </c>
      <c r="AS91" s="48">
        <v>132</v>
      </c>
      <c r="AT91" s="48">
        <v>827</v>
      </c>
      <c r="AU91" s="48">
        <v>11561</v>
      </c>
      <c r="AV91" s="48">
        <v>3023</v>
      </c>
      <c r="AW91" s="48">
        <v>11607</v>
      </c>
      <c r="AX91" s="48">
        <v>1193</v>
      </c>
      <c r="AY91" s="48">
        <v>5695</v>
      </c>
      <c r="AZ91" s="48">
        <v>6965</v>
      </c>
      <c r="BA91" s="48">
        <v>2359</v>
      </c>
      <c r="BB91" s="48">
        <v>338</v>
      </c>
      <c r="BC91" s="48">
        <v>3521</v>
      </c>
      <c r="BD91" s="48">
        <v>569</v>
      </c>
      <c r="BE91" s="48">
        <v>310</v>
      </c>
      <c r="BF91" s="48">
        <v>264</v>
      </c>
      <c r="BG91" s="48">
        <v>247</v>
      </c>
      <c r="BH91" s="48">
        <v>30</v>
      </c>
      <c r="BI91" s="48">
        <v>944</v>
      </c>
    </row>
    <row r="92" spans="1:61" x14ac:dyDescent="0.2">
      <c r="A92" s="46">
        <v>44713</v>
      </c>
      <c r="B92" s="47">
        <v>1350</v>
      </c>
      <c r="C92" s="47">
        <v>700</v>
      </c>
      <c r="D92" s="47">
        <v>900</v>
      </c>
      <c r="E92" s="47">
        <v>573.1</v>
      </c>
      <c r="F92" s="47">
        <v>773</v>
      </c>
      <c r="G92" s="47">
        <v>528</v>
      </c>
      <c r="H92" s="47">
        <v>663</v>
      </c>
      <c r="I92" s="47">
        <v>350</v>
      </c>
      <c r="J92" s="47">
        <v>565</v>
      </c>
      <c r="K92" s="47">
        <v>375</v>
      </c>
      <c r="L92" s="47">
        <v>765</v>
      </c>
      <c r="M92" s="47">
        <v>525</v>
      </c>
      <c r="N92" s="47">
        <v>585</v>
      </c>
      <c r="O92" s="47">
        <v>487</v>
      </c>
      <c r="P92" s="47">
        <v>1059</v>
      </c>
      <c r="Q92" s="47">
        <v>775</v>
      </c>
      <c r="R92" s="47">
        <v>600</v>
      </c>
      <c r="S92" s="47">
        <v>640</v>
      </c>
      <c r="T92" s="47">
        <v>425</v>
      </c>
      <c r="U92" s="47">
        <v>470</v>
      </c>
      <c r="V92" s="47">
        <v>540</v>
      </c>
      <c r="W92" s="47">
        <v>465</v>
      </c>
      <c r="X92" s="47">
        <v>211</v>
      </c>
      <c r="Y92" s="47">
        <v>405</v>
      </c>
      <c r="Z92" s="47">
        <v>324.5</v>
      </c>
      <c r="AA92" s="47">
        <v>575</v>
      </c>
      <c r="AB92" s="47">
        <v>420</v>
      </c>
      <c r="AC92" s="47">
        <v>400</v>
      </c>
      <c r="AD92" s="47">
        <v>320</v>
      </c>
      <c r="AE92" s="47">
        <v>600</v>
      </c>
      <c r="AF92" s="48">
        <v>11840</v>
      </c>
      <c r="AG92" s="48">
        <v>12387</v>
      </c>
      <c r="AH92" s="48">
        <v>14801</v>
      </c>
      <c r="AI92" s="48">
        <v>6074</v>
      </c>
      <c r="AJ92" s="48">
        <v>9553</v>
      </c>
      <c r="AK92" s="48">
        <v>12547</v>
      </c>
      <c r="AL92" s="48">
        <v>4727</v>
      </c>
      <c r="AM92" s="48">
        <v>2090</v>
      </c>
      <c r="AN92" s="48">
        <v>6902</v>
      </c>
      <c r="AO92" s="48">
        <v>2233</v>
      </c>
      <c r="AP92" s="48">
        <v>761</v>
      </c>
      <c r="AQ92" s="48">
        <v>1374</v>
      </c>
      <c r="AR92" s="48">
        <v>395</v>
      </c>
      <c r="AS92" s="48">
        <v>115</v>
      </c>
      <c r="AT92" s="48">
        <v>1094</v>
      </c>
      <c r="AU92" s="48">
        <v>11150</v>
      </c>
      <c r="AV92" s="48">
        <v>2705</v>
      </c>
      <c r="AW92" s="48">
        <v>12340</v>
      </c>
      <c r="AX92" s="48">
        <v>1103</v>
      </c>
      <c r="AY92" s="48">
        <v>5154</v>
      </c>
      <c r="AZ92" s="48">
        <v>6009</v>
      </c>
      <c r="BA92" s="48">
        <v>2253</v>
      </c>
      <c r="BB92" s="48">
        <v>298</v>
      </c>
      <c r="BC92" s="48">
        <v>3158</v>
      </c>
      <c r="BD92" s="48">
        <v>466</v>
      </c>
      <c r="BE92" s="48">
        <v>300</v>
      </c>
      <c r="BF92" s="48">
        <v>242</v>
      </c>
      <c r="BG92" s="48">
        <v>221</v>
      </c>
      <c r="BH92" s="48">
        <v>39</v>
      </c>
      <c r="BI92" s="48">
        <v>1189</v>
      </c>
    </row>
    <row r="93" spans="1:61" x14ac:dyDescent="0.2">
      <c r="A93" s="46">
        <v>44805</v>
      </c>
      <c r="B93" s="47">
        <v>1300</v>
      </c>
      <c r="C93" s="47">
        <v>690</v>
      </c>
      <c r="D93" s="47">
        <v>850</v>
      </c>
      <c r="E93" s="47">
        <v>560</v>
      </c>
      <c r="F93" s="47">
        <v>750</v>
      </c>
      <c r="G93" s="47">
        <v>528</v>
      </c>
      <c r="H93" s="47">
        <v>654</v>
      </c>
      <c r="I93" s="47">
        <v>345</v>
      </c>
      <c r="J93" s="47">
        <v>555</v>
      </c>
      <c r="K93" s="47">
        <v>380</v>
      </c>
      <c r="L93" s="47">
        <v>720</v>
      </c>
      <c r="M93" s="47">
        <v>510</v>
      </c>
      <c r="N93" s="47">
        <v>560</v>
      </c>
      <c r="O93" s="47">
        <v>459.5</v>
      </c>
      <c r="P93" s="47">
        <v>1000</v>
      </c>
      <c r="Q93" s="47">
        <v>750</v>
      </c>
      <c r="R93" s="47">
        <v>595</v>
      </c>
      <c r="S93" s="47">
        <v>618</v>
      </c>
      <c r="T93" s="47">
        <v>420</v>
      </c>
      <c r="U93" s="47">
        <v>470</v>
      </c>
      <c r="V93" s="47">
        <v>530</v>
      </c>
      <c r="W93" s="47">
        <v>485</v>
      </c>
      <c r="X93" s="47">
        <v>225</v>
      </c>
      <c r="Y93" s="47">
        <v>400</v>
      </c>
      <c r="Z93" s="47">
        <v>300</v>
      </c>
      <c r="AA93" s="47">
        <v>565</v>
      </c>
      <c r="AB93" s="47">
        <v>422.5</v>
      </c>
      <c r="AC93" s="47">
        <v>360</v>
      </c>
      <c r="AD93" s="47">
        <v>306.5</v>
      </c>
      <c r="AE93" s="47">
        <v>596</v>
      </c>
      <c r="AF93" s="48">
        <v>11204</v>
      </c>
      <c r="AG93" s="48">
        <v>11168</v>
      </c>
      <c r="AH93" s="48">
        <v>12427</v>
      </c>
      <c r="AI93" s="48">
        <v>5491</v>
      </c>
      <c r="AJ93" s="48">
        <v>9127</v>
      </c>
      <c r="AK93" s="48">
        <v>12461</v>
      </c>
      <c r="AL93" s="48">
        <v>4313</v>
      </c>
      <c r="AM93" s="48">
        <v>1751</v>
      </c>
      <c r="AN93" s="48">
        <v>7060</v>
      </c>
      <c r="AO93" s="48">
        <v>2200</v>
      </c>
      <c r="AP93" s="48">
        <v>628</v>
      </c>
      <c r="AQ93" s="48">
        <v>1238</v>
      </c>
      <c r="AR93" s="48">
        <v>354</v>
      </c>
      <c r="AS93" s="48">
        <v>100</v>
      </c>
      <c r="AT93" s="48">
        <v>1058</v>
      </c>
      <c r="AU93" s="48">
        <v>10432</v>
      </c>
      <c r="AV93" s="48">
        <v>2608</v>
      </c>
      <c r="AW93" s="48">
        <v>10155</v>
      </c>
      <c r="AX93" s="48">
        <v>1031</v>
      </c>
      <c r="AY93" s="48">
        <v>4934</v>
      </c>
      <c r="AZ93" s="48">
        <v>5887</v>
      </c>
      <c r="BA93" s="48">
        <v>1959</v>
      </c>
      <c r="BB93" s="48">
        <v>245</v>
      </c>
      <c r="BC93" s="48">
        <v>3003</v>
      </c>
      <c r="BD93" s="48">
        <v>487</v>
      </c>
      <c r="BE93" s="48">
        <v>261</v>
      </c>
      <c r="BF93" s="48">
        <v>260</v>
      </c>
      <c r="BG93" s="48">
        <v>218</v>
      </c>
      <c r="BH93" s="48">
        <v>20</v>
      </c>
      <c r="BI93" s="48">
        <v>1143</v>
      </c>
    </row>
    <row r="94" spans="1:61" x14ac:dyDescent="0.2">
      <c r="A94" s="46">
        <v>44896</v>
      </c>
      <c r="B94" s="47">
        <v>1300</v>
      </c>
      <c r="C94" s="47">
        <v>700</v>
      </c>
      <c r="D94" s="47">
        <v>875</v>
      </c>
      <c r="E94" s="47">
        <v>570</v>
      </c>
      <c r="F94" s="47">
        <v>750</v>
      </c>
      <c r="G94" s="47">
        <v>530</v>
      </c>
      <c r="H94" s="47">
        <v>675</v>
      </c>
      <c r="I94" s="47">
        <v>363.3</v>
      </c>
      <c r="J94" s="47">
        <v>580</v>
      </c>
      <c r="K94" s="47">
        <v>390</v>
      </c>
      <c r="L94" s="47">
        <v>731.5</v>
      </c>
      <c r="M94" s="47">
        <v>535</v>
      </c>
      <c r="N94" s="47">
        <v>590</v>
      </c>
      <c r="O94" s="47">
        <v>497</v>
      </c>
      <c r="P94" s="47">
        <v>1000</v>
      </c>
      <c r="Q94" s="47">
        <v>765</v>
      </c>
      <c r="R94" s="47">
        <v>600</v>
      </c>
      <c r="S94" s="47">
        <v>615</v>
      </c>
      <c r="T94" s="47">
        <v>415</v>
      </c>
      <c r="U94" s="47">
        <v>480</v>
      </c>
      <c r="V94" s="47">
        <v>535</v>
      </c>
      <c r="W94" s="47">
        <v>480</v>
      </c>
      <c r="X94" s="47">
        <v>220</v>
      </c>
      <c r="Y94" s="47">
        <v>400</v>
      </c>
      <c r="Z94" s="47">
        <v>313.5</v>
      </c>
      <c r="AA94" s="47">
        <v>565</v>
      </c>
      <c r="AB94" s="47">
        <v>415</v>
      </c>
      <c r="AC94" s="47">
        <v>382.5</v>
      </c>
      <c r="AD94" s="47">
        <v>320</v>
      </c>
      <c r="AE94" s="47">
        <v>600</v>
      </c>
      <c r="AF94" s="48">
        <v>10941</v>
      </c>
      <c r="AG94" s="48">
        <v>10689</v>
      </c>
      <c r="AH94" s="48">
        <v>12390</v>
      </c>
      <c r="AI94" s="48">
        <v>5286</v>
      </c>
      <c r="AJ94" s="48">
        <v>8223</v>
      </c>
      <c r="AK94" s="48">
        <v>11347</v>
      </c>
      <c r="AL94" s="48">
        <v>4046</v>
      </c>
      <c r="AM94" s="48">
        <v>1798</v>
      </c>
      <c r="AN94" s="48">
        <v>6833</v>
      </c>
      <c r="AO94" s="48">
        <v>2036</v>
      </c>
      <c r="AP94" s="48">
        <v>714</v>
      </c>
      <c r="AQ94" s="48">
        <v>1177</v>
      </c>
      <c r="AR94" s="48">
        <v>317</v>
      </c>
      <c r="AS94" s="48">
        <v>78</v>
      </c>
      <c r="AT94" s="48">
        <v>1189</v>
      </c>
      <c r="AU94" s="48">
        <v>9711</v>
      </c>
      <c r="AV94" s="48">
        <v>2398</v>
      </c>
      <c r="AW94" s="48">
        <v>9938</v>
      </c>
      <c r="AX94" s="48">
        <v>964</v>
      </c>
      <c r="AY94" s="48">
        <v>4391</v>
      </c>
      <c r="AZ94" s="48">
        <v>5042</v>
      </c>
      <c r="BA94" s="48">
        <v>1952</v>
      </c>
      <c r="BB94" s="48">
        <v>232</v>
      </c>
      <c r="BC94" s="48">
        <v>3053</v>
      </c>
      <c r="BD94" s="48">
        <v>428</v>
      </c>
      <c r="BE94" s="48">
        <v>310</v>
      </c>
      <c r="BF94" s="48">
        <v>254</v>
      </c>
      <c r="BG94" s="48">
        <v>196</v>
      </c>
      <c r="BH94" s="48">
        <v>29</v>
      </c>
      <c r="BI94" s="48">
        <v>1008</v>
      </c>
    </row>
    <row r="95" spans="1:61" x14ac:dyDescent="0.2">
      <c r="A95" s="46">
        <v>44986</v>
      </c>
      <c r="B95" s="47">
        <v>1250.0999999999999</v>
      </c>
      <c r="C95" s="47">
        <v>700</v>
      </c>
      <c r="D95" s="47">
        <v>835</v>
      </c>
      <c r="E95" s="47">
        <v>570</v>
      </c>
      <c r="F95" s="47">
        <v>757</v>
      </c>
      <c r="G95" s="47">
        <v>540</v>
      </c>
      <c r="H95" s="47">
        <v>680</v>
      </c>
      <c r="I95" s="47">
        <v>381.8</v>
      </c>
      <c r="J95" s="47">
        <v>578</v>
      </c>
      <c r="K95" s="47">
        <v>400</v>
      </c>
      <c r="L95" s="47">
        <v>705</v>
      </c>
      <c r="M95" s="47">
        <v>520</v>
      </c>
      <c r="N95" s="47">
        <v>575</v>
      </c>
      <c r="O95" s="47">
        <v>505.4</v>
      </c>
      <c r="P95" s="47">
        <v>984</v>
      </c>
      <c r="Q95" s="47">
        <v>765</v>
      </c>
      <c r="R95" s="47">
        <v>601.79999999999995</v>
      </c>
      <c r="S95" s="47">
        <v>605</v>
      </c>
      <c r="T95" s="47">
        <v>422.5</v>
      </c>
      <c r="U95" s="47">
        <v>483</v>
      </c>
      <c r="V95" s="47">
        <v>550</v>
      </c>
      <c r="W95" s="47">
        <v>489.5</v>
      </c>
      <c r="X95" s="47">
        <v>245</v>
      </c>
      <c r="Y95" s="47">
        <v>402.6</v>
      </c>
      <c r="Z95" s="47">
        <v>320</v>
      </c>
      <c r="AA95" s="47">
        <v>560</v>
      </c>
      <c r="AB95" s="47">
        <v>420</v>
      </c>
      <c r="AC95" s="47">
        <v>370</v>
      </c>
      <c r="AD95" s="47">
        <v>305</v>
      </c>
      <c r="AE95" s="47">
        <v>610</v>
      </c>
      <c r="AF95" s="48">
        <v>9819</v>
      </c>
      <c r="AG95" s="48">
        <v>9609</v>
      </c>
      <c r="AH95" s="48">
        <v>10804</v>
      </c>
      <c r="AI95" s="48">
        <v>4942</v>
      </c>
      <c r="AJ95" s="48">
        <v>8221</v>
      </c>
      <c r="AK95" s="48">
        <v>10976</v>
      </c>
      <c r="AL95" s="48">
        <v>3777</v>
      </c>
      <c r="AM95" s="48">
        <v>1703</v>
      </c>
      <c r="AN95" s="48">
        <v>7047</v>
      </c>
      <c r="AO95" s="48">
        <v>2026</v>
      </c>
      <c r="AP95" s="48">
        <v>736</v>
      </c>
      <c r="AQ95" s="48">
        <v>1265</v>
      </c>
      <c r="AR95" s="48">
        <v>254</v>
      </c>
      <c r="AS95" s="48">
        <v>78</v>
      </c>
      <c r="AT95" s="48">
        <v>920</v>
      </c>
      <c r="AU95" s="48">
        <v>9928</v>
      </c>
      <c r="AV95" s="48">
        <v>2198</v>
      </c>
      <c r="AW95" s="48">
        <v>9772</v>
      </c>
      <c r="AX95" s="48">
        <v>915</v>
      </c>
      <c r="AY95" s="48">
        <v>4695</v>
      </c>
      <c r="AZ95" s="48">
        <v>5287</v>
      </c>
      <c r="BA95" s="48">
        <v>1945</v>
      </c>
      <c r="BB95" s="48">
        <v>261</v>
      </c>
      <c r="BC95" s="48">
        <v>3480</v>
      </c>
      <c r="BD95" s="48">
        <v>467</v>
      </c>
      <c r="BE95" s="48">
        <v>277</v>
      </c>
      <c r="BF95" s="48">
        <v>254</v>
      </c>
      <c r="BG95" s="48">
        <v>166</v>
      </c>
      <c r="BH95" s="48">
        <v>20</v>
      </c>
      <c r="BI95" s="48">
        <v>865</v>
      </c>
    </row>
    <row r="96" spans="1:61" x14ac:dyDescent="0.2">
      <c r="A96" s="46">
        <v>45078</v>
      </c>
      <c r="B96" s="47">
        <v>1355</v>
      </c>
      <c r="C96" s="47">
        <v>710</v>
      </c>
      <c r="D96" s="47">
        <v>840.3</v>
      </c>
      <c r="E96" s="47">
        <v>570</v>
      </c>
      <c r="F96" s="47">
        <v>775</v>
      </c>
      <c r="G96" s="47">
        <v>560</v>
      </c>
      <c r="H96" s="47">
        <v>702</v>
      </c>
      <c r="I96" s="47">
        <v>395</v>
      </c>
      <c r="J96" s="47">
        <v>600</v>
      </c>
      <c r="K96" s="47">
        <v>400</v>
      </c>
      <c r="L96" s="47">
        <v>696.5</v>
      </c>
      <c r="M96" s="47">
        <v>535</v>
      </c>
      <c r="N96" s="47">
        <v>590</v>
      </c>
      <c r="O96" s="47">
        <v>478</v>
      </c>
      <c r="P96" s="47">
        <v>983</v>
      </c>
      <c r="Q96" s="47">
        <v>800</v>
      </c>
      <c r="R96" s="47">
        <v>608</v>
      </c>
      <c r="S96" s="47">
        <v>620</v>
      </c>
      <c r="T96" s="47">
        <v>440</v>
      </c>
      <c r="U96" s="47">
        <v>500</v>
      </c>
      <c r="V96" s="47">
        <v>562.5</v>
      </c>
      <c r="W96" s="47">
        <v>525</v>
      </c>
      <c r="X96" s="47">
        <v>256</v>
      </c>
      <c r="Y96" s="47">
        <v>410</v>
      </c>
      <c r="Z96" s="47">
        <v>323</v>
      </c>
      <c r="AA96" s="47">
        <v>557</v>
      </c>
      <c r="AB96" s="47">
        <v>460</v>
      </c>
      <c r="AC96" s="47">
        <v>387.5</v>
      </c>
      <c r="AD96" s="47">
        <v>340</v>
      </c>
      <c r="AE96" s="47">
        <v>600</v>
      </c>
      <c r="AF96" s="48">
        <v>12105</v>
      </c>
      <c r="AG96" s="48">
        <v>10773</v>
      </c>
      <c r="AH96" s="48">
        <v>12738</v>
      </c>
      <c r="AI96" s="48">
        <v>5006</v>
      </c>
      <c r="AJ96" s="48">
        <v>8803</v>
      </c>
      <c r="AK96" s="48">
        <v>11141</v>
      </c>
      <c r="AL96" s="48">
        <v>4127</v>
      </c>
      <c r="AM96" s="48">
        <v>1693</v>
      </c>
      <c r="AN96" s="48">
        <v>6765</v>
      </c>
      <c r="AO96" s="48">
        <v>1993</v>
      </c>
      <c r="AP96" s="48">
        <v>682</v>
      </c>
      <c r="AQ96" s="48">
        <v>1221</v>
      </c>
      <c r="AR96" s="48">
        <v>294</v>
      </c>
      <c r="AS96" s="48">
        <v>78</v>
      </c>
      <c r="AT96" s="48">
        <v>1006</v>
      </c>
      <c r="AU96" s="48">
        <v>12650</v>
      </c>
      <c r="AV96" s="48">
        <v>2467</v>
      </c>
      <c r="AW96" s="48">
        <v>11337</v>
      </c>
      <c r="AX96" s="48">
        <v>993</v>
      </c>
      <c r="AY96" s="48">
        <v>4740</v>
      </c>
      <c r="AZ96" s="48">
        <v>5391</v>
      </c>
      <c r="BA96" s="48">
        <v>1898</v>
      </c>
      <c r="BB96" s="48">
        <v>244</v>
      </c>
      <c r="BC96" s="48">
        <v>3537</v>
      </c>
      <c r="BD96" s="48">
        <v>460</v>
      </c>
      <c r="BE96" s="48">
        <v>350</v>
      </c>
      <c r="BF96" s="48">
        <v>263</v>
      </c>
      <c r="BG96" s="48">
        <v>197</v>
      </c>
      <c r="BH96" s="48">
        <v>15</v>
      </c>
      <c r="BI96" s="48">
        <v>1009</v>
      </c>
    </row>
    <row r="97" spans="1:61" x14ac:dyDescent="0.2">
      <c r="A97" s="46">
        <v>45170</v>
      </c>
      <c r="B97" s="47">
        <v>1370</v>
      </c>
      <c r="C97" s="47">
        <v>718</v>
      </c>
      <c r="D97" s="47">
        <v>832</v>
      </c>
      <c r="E97" s="47">
        <v>570</v>
      </c>
      <c r="F97" s="47">
        <v>800</v>
      </c>
      <c r="G97" s="47">
        <v>570</v>
      </c>
      <c r="H97" s="47">
        <v>715</v>
      </c>
      <c r="I97" s="47">
        <v>410</v>
      </c>
      <c r="J97" s="47">
        <v>600</v>
      </c>
      <c r="K97" s="47">
        <v>410</v>
      </c>
      <c r="L97" s="47">
        <v>695</v>
      </c>
      <c r="M97" s="47">
        <v>527.5</v>
      </c>
      <c r="N97" s="47">
        <v>585</v>
      </c>
      <c r="O97" s="47">
        <v>463.5</v>
      </c>
      <c r="P97" s="47">
        <v>985</v>
      </c>
      <c r="Q97" s="47">
        <v>795</v>
      </c>
      <c r="R97" s="47">
        <v>625</v>
      </c>
      <c r="S97" s="47">
        <v>625</v>
      </c>
      <c r="T97" s="47">
        <v>420</v>
      </c>
      <c r="U97" s="47">
        <v>525</v>
      </c>
      <c r="V97" s="47">
        <v>580</v>
      </c>
      <c r="W97" s="47">
        <v>520</v>
      </c>
      <c r="X97" s="47">
        <v>287</v>
      </c>
      <c r="Y97" s="47">
        <v>420</v>
      </c>
      <c r="Z97" s="47">
        <v>320</v>
      </c>
      <c r="AA97" s="47">
        <v>550</v>
      </c>
      <c r="AB97" s="47">
        <v>435</v>
      </c>
      <c r="AC97" s="47">
        <v>376</v>
      </c>
      <c r="AD97" s="47">
        <v>260</v>
      </c>
      <c r="AE97" s="47">
        <v>619</v>
      </c>
      <c r="AF97" s="48">
        <v>12993</v>
      </c>
      <c r="AG97" s="48">
        <v>11061</v>
      </c>
      <c r="AH97" s="48">
        <v>13014</v>
      </c>
      <c r="AI97" s="48">
        <v>4985</v>
      </c>
      <c r="AJ97" s="48">
        <v>9490</v>
      </c>
      <c r="AK97" s="48">
        <v>11989</v>
      </c>
      <c r="AL97" s="48">
        <v>4099</v>
      </c>
      <c r="AM97" s="48">
        <v>1684</v>
      </c>
      <c r="AN97" s="48">
        <v>7190</v>
      </c>
      <c r="AO97" s="48">
        <v>2166</v>
      </c>
      <c r="AP97" s="48">
        <v>689</v>
      </c>
      <c r="AQ97" s="48">
        <v>1123</v>
      </c>
      <c r="AR97" s="48">
        <v>339</v>
      </c>
      <c r="AS97" s="48">
        <v>94</v>
      </c>
      <c r="AT97" s="48">
        <v>953</v>
      </c>
      <c r="AU97" s="48">
        <v>13540</v>
      </c>
      <c r="AV97" s="48">
        <v>2618</v>
      </c>
      <c r="AW97" s="48">
        <v>11971</v>
      </c>
      <c r="AX97" s="48">
        <v>959</v>
      </c>
      <c r="AY97" s="48">
        <v>5478</v>
      </c>
      <c r="AZ97" s="48">
        <v>5968</v>
      </c>
      <c r="BA97" s="48">
        <v>1979</v>
      </c>
      <c r="BB97" s="48">
        <v>219</v>
      </c>
      <c r="BC97" s="48">
        <v>3609</v>
      </c>
      <c r="BD97" s="48">
        <v>477</v>
      </c>
      <c r="BE97" s="48">
        <v>289</v>
      </c>
      <c r="BF97" s="48">
        <v>245</v>
      </c>
      <c r="BG97" s="48">
        <v>195</v>
      </c>
      <c r="BH97" s="48">
        <v>25</v>
      </c>
      <c r="BI97" s="48">
        <v>948</v>
      </c>
    </row>
    <row r="98" spans="1:61" x14ac:dyDescent="0.2">
      <c r="A98" s="46">
        <v>45261</v>
      </c>
      <c r="B98" s="47">
        <v>1420</v>
      </c>
      <c r="C98" s="47">
        <v>720</v>
      </c>
      <c r="D98" s="47">
        <v>865</v>
      </c>
      <c r="E98" s="47">
        <v>580</v>
      </c>
      <c r="F98" s="47">
        <v>830</v>
      </c>
      <c r="G98" s="47">
        <v>580</v>
      </c>
      <c r="H98" s="47">
        <v>750</v>
      </c>
      <c r="I98" s="47">
        <v>430</v>
      </c>
      <c r="J98" s="47">
        <v>660</v>
      </c>
      <c r="K98" s="47">
        <v>443</v>
      </c>
      <c r="L98" s="47">
        <v>715</v>
      </c>
      <c r="M98" s="47">
        <v>525</v>
      </c>
      <c r="N98" s="47">
        <v>589.5</v>
      </c>
      <c r="O98" s="47">
        <v>466.3</v>
      </c>
      <c r="P98" s="47">
        <v>1000</v>
      </c>
      <c r="Q98" s="47">
        <v>800</v>
      </c>
      <c r="R98" s="47">
        <v>630</v>
      </c>
      <c r="S98" s="47">
        <v>632.5</v>
      </c>
      <c r="T98" s="47">
        <v>510</v>
      </c>
      <c r="U98" s="47">
        <v>548</v>
      </c>
      <c r="V98" s="47">
        <v>591.5</v>
      </c>
      <c r="W98" s="47">
        <v>565.5</v>
      </c>
      <c r="X98" s="47">
        <v>268</v>
      </c>
      <c r="Y98" s="47">
        <v>445</v>
      </c>
      <c r="Z98" s="47">
        <v>339</v>
      </c>
      <c r="AA98" s="47">
        <v>540</v>
      </c>
      <c r="AB98" s="47">
        <v>435.5</v>
      </c>
      <c r="AC98" s="47">
        <v>375</v>
      </c>
      <c r="AD98" s="47">
        <v>277.5</v>
      </c>
      <c r="AE98" s="47">
        <v>625</v>
      </c>
      <c r="AF98" s="48">
        <v>12596</v>
      </c>
      <c r="AG98" s="48">
        <v>11871</v>
      </c>
      <c r="AH98" s="48">
        <v>14235</v>
      </c>
      <c r="AI98" s="48">
        <v>5358</v>
      </c>
      <c r="AJ98" s="48">
        <v>9413</v>
      </c>
      <c r="AK98" s="48">
        <v>11718</v>
      </c>
      <c r="AL98" s="48">
        <v>4463</v>
      </c>
      <c r="AM98" s="48">
        <v>1802</v>
      </c>
      <c r="AN98" s="48">
        <v>7523</v>
      </c>
      <c r="AO98" s="48">
        <v>2261</v>
      </c>
      <c r="AP98" s="48">
        <v>738</v>
      </c>
      <c r="AQ98" s="48">
        <v>1237</v>
      </c>
      <c r="AR98" s="48">
        <v>288</v>
      </c>
      <c r="AS98" s="48">
        <v>72</v>
      </c>
      <c r="AT98" s="48">
        <v>1011</v>
      </c>
      <c r="AU98" s="48">
        <v>12681</v>
      </c>
      <c r="AV98" s="48">
        <v>2832</v>
      </c>
      <c r="AW98" s="48">
        <v>13080</v>
      </c>
      <c r="AX98" s="48">
        <v>1248</v>
      </c>
      <c r="AY98" s="48">
        <v>5034</v>
      </c>
      <c r="AZ98" s="48">
        <v>5504</v>
      </c>
      <c r="BA98" s="48">
        <v>2040</v>
      </c>
      <c r="BB98" s="48">
        <v>253</v>
      </c>
      <c r="BC98" s="48">
        <v>3852</v>
      </c>
      <c r="BD98" s="48">
        <v>481</v>
      </c>
      <c r="BE98" s="48">
        <v>277</v>
      </c>
      <c r="BF98" s="48">
        <v>255</v>
      </c>
      <c r="BG98" s="48">
        <v>191</v>
      </c>
      <c r="BH98" s="48">
        <v>18</v>
      </c>
      <c r="BI98" s="48">
        <v>909</v>
      </c>
    </row>
    <row r="99" spans="1:61" x14ac:dyDescent="0.2">
      <c r="A99" s="46">
        <v>45352</v>
      </c>
      <c r="B99" s="47">
        <v>1401</v>
      </c>
      <c r="C99" s="47">
        <v>747</v>
      </c>
      <c r="D99" s="47">
        <v>845</v>
      </c>
      <c r="E99" s="47">
        <v>575</v>
      </c>
      <c r="F99" s="47">
        <v>850.3</v>
      </c>
      <c r="G99" s="47">
        <v>605</v>
      </c>
      <c r="H99" s="47">
        <v>765</v>
      </c>
      <c r="I99" s="47">
        <v>455</v>
      </c>
      <c r="J99" s="47">
        <v>700</v>
      </c>
      <c r="K99" s="47">
        <v>450</v>
      </c>
      <c r="L99" s="47">
        <v>705</v>
      </c>
      <c r="M99" s="47">
        <v>535</v>
      </c>
      <c r="N99" s="47">
        <v>570</v>
      </c>
      <c r="O99" s="47">
        <v>425</v>
      </c>
      <c r="P99" s="47">
        <v>985</v>
      </c>
      <c r="Q99" s="47">
        <v>790</v>
      </c>
      <c r="R99" s="47">
        <v>626.79999999999995</v>
      </c>
      <c r="S99" s="47">
        <v>629</v>
      </c>
      <c r="T99" s="47">
        <v>502</v>
      </c>
      <c r="U99" s="47">
        <v>580</v>
      </c>
      <c r="V99" s="47">
        <v>625</v>
      </c>
      <c r="W99" s="47">
        <v>570</v>
      </c>
      <c r="X99" s="47">
        <v>270</v>
      </c>
      <c r="Y99" s="47">
        <v>475</v>
      </c>
      <c r="Z99" s="47">
        <v>365</v>
      </c>
      <c r="AA99" s="47">
        <v>551</v>
      </c>
      <c r="AB99" s="47">
        <v>450</v>
      </c>
      <c r="AC99" s="47">
        <v>390</v>
      </c>
      <c r="AD99" s="47">
        <v>350</v>
      </c>
      <c r="AE99" s="47">
        <v>597</v>
      </c>
      <c r="AF99" s="48">
        <v>11689</v>
      </c>
      <c r="AG99" s="48">
        <v>10887</v>
      </c>
      <c r="AH99" s="48">
        <v>13514</v>
      </c>
      <c r="AI99" s="48">
        <v>5509</v>
      </c>
      <c r="AJ99" s="48">
        <v>9068</v>
      </c>
      <c r="AK99" s="48">
        <v>11696</v>
      </c>
      <c r="AL99" s="48">
        <v>4086</v>
      </c>
      <c r="AM99" s="48">
        <v>1812</v>
      </c>
      <c r="AN99" s="48">
        <v>6998</v>
      </c>
      <c r="AO99" s="48">
        <v>2209</v>
      </c>
      <c r="AP99" s="48">
        <v>759</v>
      </c>
      <c r="AQ99" s="48">
        <v>1409</v>
      </c>
      <c r="AR99" s="48">
        <v>300</v>
      </c>
      <c r="AS99" s="48">
        <v>71</v>
      </c>
      <c r="AT99" s="48">
        <v>908</v>
      </c>
      <c r="AU99" s="48">
        <v>12554</v>
      </c>
      <c r="AV99" s="48">
        <v>2798</v>
      </c>
      <c r="AW99" s="48">
        <v>12729</v>
      </c>
      <c r="AX99" s="48">
        <v>1433</v>
      </c>
      <c r="AY99" s="48">
        <v>5133</v>
      </c>
      <c r="AZ99" s="48">
        <v>5700</v>
      </c>
      <c r="BA99" s="48">
        <v>1955</v>
      </c>
      <c r="BB99" s="48">
        <v>271</v>
      </c>
      <c r="BC99" s="48">
        <v>3913</v>
      </c>
      <c r="BD99" s="48">
        <v>528</v>
      </c>
      <c r="BE99" s="48">
        <v>295</v>
      </c>
      <c r="BF99" s="48">
        <v>277</v>
      </c>
      <c r="BG99" s="48">
        <v>174</v>
      </c>
      <c r="BH99" s="48">
        <v>27</v>
      </c>
      <c r="BI99" s="48">
        <v>958</v>
      </c>
    </row>
    <row r="100" spans="1:61" x14ac:dyDescent="0.2">
      <c r="A100" s="46">
        <v>45444</v>
      </c>
      <c r="B100" s="47">
        <v>1455</v>
      </c>
      <c r="C100" s="47">
        <v>750</v>
      </c>
      <c r="D100" s="47">
        <v>845</v>
      </c>
      <c r="E100" s="47">
        <v>570</v>
      </c>
      <c r="F100" s="47">
        <v>890</v>
      </c>
      <c r="G100" s="47">
        <v>630</v>
      </c>
      <c r="H100" s="47">
        <v>785</v>
      </c>
      <c r="I100" s="47">
        <v>450</v>
      </c>
      <c r="J100" s="47">
        <v>756</v>
      </c>
      <c r="K100" s="47">
        <v>470</v>
      </c>
      <c r="L100" s="47">
        <v>695.5</v>
      </c>
      <c r="M100" s="47">
        <v>537</v>
      </c>
      <c r="N100" s="47">
        <v>582.5</v>
      </c>
      <c r="O100" s="47">
        <v>438.8</v>
      </c>
      <c r="P100" s="47">
        <v>990</v>
      </c>
      <c r="Q100" s="47">
        <v>800</v>
      </c>
      <c r="R100" s="47">
        <v>645</v>
      </c>
      <c r="S100" s="47">
        <v>630</v>
      </c>
      <c r="T100" s="47">
        <v>440</v>
      </c>
      <c r="U100" s="47">
        <v>610</v>
      </c>
      <c r="V100" s="47">
        <v>640</v>
      </c>
      <c r="W100" s="47">
        <v>630</v>
      </c>
      <c r="X100" s="47">
        <v>265</v>
      </c>
      <c r="Y100" s="47">
        <v>510</v>
      </c>
      <c r="Z100" s="47">
        <v>380</v>
      </c>
      <c r="AA100" s="47">
        <v>555</v>
      </c>
      <c r="AB100" s="47">
        <v>445</v>
      </c>
      <c r="AC100" s="47">
        <v>356</v>
      </c>
      <c r="AD100" s="47">
        <v>323</v>
      </c>
      <c r="AE100" s="47">
        <v>630</v>
      </c>
      <c r="AF100" s="48">
        <v>13509</v>
      </c>
      <c r="AG100" s="48">
        <v>12245</v>
      </c>
      <c r="AH100" s="48">
        <v>15542</v>
      </c>
      <c r="AI100" s="48">
        <v>6018</v>
      </c>
      <c r="AJ100" s="48">
        <v>9605</v>
      </c>
      <c r="AK100" s="48">
        <v>11947</v>
      </c>
      <c r="AL100" s="48">
        <v>4519</v>
      </c>
      <c r="AM100" s="48">
        <v>1728</v>
      </c>
      <c r="AN100" s="48">
        <v>6844</v>
      </c>
      <c r="AO100" s="48">
        <v>2158</v>
      </c>
      <c r="AP100" s="48">
        <v>755</v>
      </c>
      <c r="AQ100" s="48">
        <v>1334</v>
      </c>
      <c r="AR100" s="48">
        <v>322</v>
      </c>
      <c r="AS100" s="48">
        <v>76</v>
      </c>
      <c r="AT100" s="48">
        <v>1058</v>
      </c>
      <c r="AU100" s="48">
        <v>14241</v>
      </c>
      <c r="AV100" s="48">
        <v>2833</v>
      </c>
      <c r="AW100" s="48">
        <v>14367</v>
      </c>
      <c r="AX100" s="48">
        <v>1135</v>
      </c>
      <c r="AY100" s="48">
        <v>5082</v>
      </c>
      <c r="AZ100" s="48">
        <v>5520</v>
      </c>
      <c r="BA100" s="48">
        <v>2128</v>
      </c>
      <c r="BB100" s="48">
        <v>250</v>
      </c>
      <c r="BC100" s="48">
        <v>3683</v>
      </c>
      <c r="BD100" s="48">
        <v>575</v>
      </c>
      <c r="BE100" s="48">
        <v>291</v>
      </c>
      <c r="BF100" s="48">
        <v>287</v>
      </c>
      <c r="BG100" s="48">
        <v>213</v>
      </c>
      <c r="BH100" s="48">
        <v>38</v>
      </c>
      <c r="BI100" s="48">
        <v>1041</v>
      </c>
    </row>
    <row r="101" spans="1:61" x14ac:dyDescent="0.2">
      <c r="A101" s="46">
        <v>45536</v>
      </c>
      <c r="B101" s="47">
        <v>1410</v>
      </c>
      <c r="C101" s="47">
        <v>745</v>
      </c>
      <c r="D101" s="47">
        <v>825</v>
      </c>
      <c r="E101" s="47">
        <v>560</v>
      </c>
      <c r="F101" s="47">
        <v>890</v>
      </c>
      <c r="G101" s="47">
        <v>649</v>
      </c>
      <c r="H101" s="47">
        <v>818.3</v>
      </c>
      <c r="I101" s="47">
        <v>465</v>
      </c>
      <c r="J101" s="47">
        <v>780</v>
      </c>
      <c r="K101" s="47">
        <v>495</v>
      </c>
      <c r="L101" s="47">
        <v>700</v>
      </c>
      <c r="M101" s="47">
        <v>515.1</v>
      </c>
      <c r="N101" s="47">
        <v>558.79999999999995</v>
      </c>
      <c r="O101" s="47">
        <v>422.7</v>
      </c>
      <c r="P101" s="47">
        <v>1000</v>
      </c>
      <c r="Q101" s="47">
        <v>815</v>
      </c>
      <c r="R101" s="47">
        <v>640</v>
      </c>
      <c r="S101" s="47">
        <v>618</v>
      </c>
      <c r="T101" s="47">
        <v>420</v>
      </c>
      <c r="U101" s="47">
        <v>631</v>
      </c>
      <c r="V101" s="47">
        <v>660</v>
      </c>
      <c r="W101" s="47">
        <v>610</v>
      </c>
      <c r="X101" s="47">
        <v>249.5</v>
      </c>
      <c r="Y101" s="47">
        <v>540</v>
      </c>
      <c r="Z101" s="47">
        <v>380</v>
      </c>
      <c r="AA101" s="47">
        <v>525</v>
      </c>
      <c r="AB101" s="47">
        <v>450</v>
      </c>
      <c r="AC101" s="47">
        <v>350</v>
      </c>
      <c r="AD101" s="47">
        <v>280</v>
      </c>
      <c r="AE101" s="47">
        <v>595</v>
      </c>
      <c r="AF101" s="48">
        <v>13499</v>
      </c>
      <c r="AG101" s="48">
        <v>12203</v>
      </c>
      <c r="AH101" s="48">
        <v>14718</v>
      </c>
      <c r="AI101" s="48">
        <v>5736</v>
      </c>
      <c r="AJ101" s="48">
        <v>10370</v>
      </c>
      <c r="AK101" s="48">
        <v>13134</v>
      </c>
      <c r="AL101" s="48">
        <v>4460</v>
      </c>
      <c r="AM101" s="48">
        <v>1837</v>
      </c>
      <c r="AN101" s="48">
        <v>6961</v>
      </c>
      <c r="AO101" s="48">
        <v>2338</v>
      </c>
      <c r="AP101" s="48">
        <v>778</v>
      </c>
      <c r="AQ101" s="48">
        <v>1241</v>
      </c>
      <c r="AR101" s="48">
        <v>420</v>
      </c>
      <c r="AS101" s="48">
        <v>82</v>
      </c>
      <c r="AT101" s="48">
        <v>993</v>
      </c>
      <c r="AU101" s="48">
        <v>14071</v>
      </c>
      <c r="AV101" s="48">
        <v>3072</v>
      </c>
      <c r="AW101" s="48">
        <v>13741</v>
      </c>
      <c r="AX101" s="48">
        <v>1194</v>
      </c>
      <c r="AY101" s="48">
        <v>5745</v>
      </c>
      <c r="AZ101" s="48">
        <v>6205</v>
      </c>
      <c r="BA101" s="48">
        <v>2238</v>
      </c>
      <c r="BB101" s="48">
        <v>296</v>
      </c>
      <c r="BC101" s="48">
        <v>3829</v>
      </c>
      <c r="BD101" s="48">
        <v>510</v>
      </c>
      <c r="BE101" s="48">
        <v>298</v>
      </c>
      <c r="BF101" s="48">
        <v>285</v>
      </c>
      <c r="BG101" s="48">
        <v>237</v>
      </c>
      <c r="BH101" s="48">
        <v>27</v>
      </c>
      <c r="BI101" s="48">
        <v>1014</v>
      </c>
    </row>
    <row r="102" spans="1:61" x14ac:dyDescent="0.2">
      <c r="A102" s="46">
        <v>45627</v>
      </c>
      <c r="B102" s="47">
        <v>1450</v>
      </c>
      <c r="C102" s="47">
        <v>760</v>
      </c>
      <c r="D102" s="47">
        <v>850</v>
      </c>
      <c r="E102" s="47">
        <v>560</v>
      </c>
      <c r="F102" s="47">
        <v>935</v>
      </c>
      <c r="G102" s="47">
        <v>675</v>
      </c>
      <c r="H102" s="47">
        <v>850</v>
      </c>
      <c r="I102" s="47">
        <v>500</v>
      </c>
      <c r="J102" s="47">
        <v>820</v>
      </c>
      <c r="K102" s="47">
        <v>520</v>
      </c>
      <c r="L102" s="47">
        <v>715</v>
      </c>
      <c r="M102" s="47">
        <v>550</v>
      </c>
      <c r="N102" s="47">
        <v>560</v>
      </c>
      <c r="O102" s="47">
        <v>462.5</v>
      </c>
      <c r="P102" s="47">
        <v>1000</v>
      </c>
      <c r="Q102" s="47">
        <v>820</v>
      </c>
      <c r="R102" s="47">
        <v>650</v>
      </c>
      <c r="S102" s="47">
        <v>625</v>
      </c>
      <c r="T102" s="47">
        <v>415</v>
      </c>
      <c r="U102" s="47">
        <v>655</v>
      </c>
      <c r="V102" s="47">
        <v>670</v>
      </c>
      <c r="W102" s="47">
        <v>640</v>
      </c>
      <c r="X102" s="47">
        <v>320</v>
      </c>
      <c r="Y102" s="47">
        <v>557.5</v>
      </c>
      <c r="Z102" s="47">
        <v>400</v>
      </c>
      <c r="AA102" s="47">
        <v>539.5</v>
      </c>
      <c r="AB102" s="47">
        <v>462.5</v>
      </c>
      <c r="AC102" s="47">
        <v>341</v>
      </c>
      <c r="AD102" s="47">
        <v>261.5</v>
      </c>
      <c r="AE102" s="47">
        <v>610</v>
      </c>
      <c r="AF102" s="48">
        <v>13345</v>
      </c>
      <c r="AG102" s="48">
        <v>12819</v>
      </c>
      <c r="AH102" s="48">
        <v>16886</v>
      </c>
      <c r="AI102" s="48">
        <v>6726</v>
      </c>
      <c r="AJ102" s="48">
        <v>9571</v>
      </c>
      <c r="AK102" s="48">
        <v>12365</v>
      </c>
      <c r="AL102" s="48">
        <v>4548</v>
      </c>
      <c r="AM102" s="48">
        <v>1745</v>
      </c>
      <c r="AN102" s="48">
        <v>6894</v>
      </c>
      <c r="AO102" s="48">
        <v>2169</v>
      </c>
      <c r="AP102" s="48">
        <v>800</v>
      </c>
      <c r="AQ102" s="48">
        <v>1296</v>
      </c>
      <c r="AR102" s="48">
        <v>533</v>
      </c>
      <c r="AS102" s="48">
        <v>112</v>
      </c>
      <c r="AT102" s="48">
        <v>1150</v>
      </c>
      <c r="AU102" s="48">
        <v>12148</v>
      </c>
      <c r="AV102" s="48">
        <v>2913</v>
      </c>
      <c r="AW102" s="48">
        <v>14097</v>
      </c>
      <c r="AX102" s="48">
        <v>1263</v>
      </c>
      <c r="AY102" s="48">
        <v>4795</v>
      </c>
      <c r="AZ102" s="48">
        <v>5623</v>
      </c>
      <c r="BA102" s="48">
        <v>2153</v>
      </c>
      <c r="BB102" s="48">
        <v>271</v>
      </c>
      <c r="BC102" s="48">
        <v>3600</v>
      </c>
      <c r="BD102" s="48">
        <v>495</v>
      </c>
      <c r="BE102" s="48">
        <v>314</v>
      </c>
      <c r="BF102" s="48">
        <v>300</v>
      </c>
      <c r="BG102" s="48">
        <v>232</v>
      </c>
      <c r="BH102" s="48">
        <v>29</v>
      </c>
      <c r="BI102" s="48">
        <v>1043</v>
      </c>
    </row>
    <row r="103" spans="1:61" x14ac:dyDescent="0.2">
      <c r="A103" s="46">
        <v>45717</v>
      </c>
      <c r="B103" s="47">
        <v>1450</v>
      </c>
      <c r="C103" s="47">
        <v>760</v>
      </c>
      <c r="D103" s="47">
        <v>840</v>
      </c>
      <c r="E103" s="47">
        <v>575</v>
      </c>
      <c r="F103" s="47">
        <v>947.5</v>
      </c>
      <c r="G103" s="47">
        <v>710</v>
      </c>
      <c r="H103" s="47">
        <v>853</v>
      </c>
      <c r="I103" s="47">
        <v>490</v>
      </c>
      <c r="J103" s="47">
        <v>821.5</v>
      </c>
      <c r="K103" s="47">
        <v>540</v>
      </c>
      <c r="L103" s="47">
        <v>710.5</v>
      </c>
      <c r="M103" s="47">
        <v>550</v>
      </c>
      <c r="N103" s="47">
        <v>600</v>
      </c>
      <c r="O103" s="47">
        <v>430</v>
      </c>
      <c r="P103" s="47">
        <v>975</v>
      </c>
      <c r="Q103" s="47">
        <v>820</v>
      </c>
      <c r="R103" s="47">
        <v>650</v>
      </c>
      <c r="S103" s="47">
        <v>625</v>
      </c>
      <c r="T103" s="47">
        <v>430</v>
      </c>
      <c r="U103" s="47">
        <v>685</v>
      </c>
      <c r="V103" s="47">
        <v>700</v>
      </c>
      <c r="W103" s="47">
        <v>640</v>
      </c>
      <c r="X103" s="47">
        <v>297</v>
      </c>
      <c r="Y103" s="47">
        <v>575</v>
      </c>
      <c r="Z103" s="47">
        <v>420</v>
      </c>
      <c r="AA103" s="47">
        <v>550</v>
      </c>
      <c r="AB103" s="47">
        <v>442</v>
      </c>
      <c r="AC103" s="47">
        <v>360</v>
      </c>
      <c r="AD103" s="47">
        <v>263</v>
      </c>
      <c r="AE103" s="47">
        <v>600</v>
      </c>
      <c r="AF103" s="48">
        <v>11589</v>
      </c>
      <c r="AG103" s="48">
        <v>12098</v>
      </c>
      <c r="AH103" s="48">
        <v>14613</v>
      </c>
      <c r="AI103" s="48">
        <v>6784</v>
      </c>
      <c r="AJ103" s="48">
        <v>8377</v>
      </c>
      <c r="AK103" s="48">
        <v>11497</v>
      </c>
      <c r="AL103" s="48">
        <v>4309</v>
      </c>
      <c r="AM103" s="48">
        <v>1742</v>
      </c>
      <c r="AN103" s="48">
        <v>6764</v>
      </c>
      <c r="AO103" s="48">
        <v>2114</v>
      </c>
      <c r="AP103" s="48">
        <v>875</v>
      </c>
      <c r="AQ103" s="48">
        <v>1493</v>
      </c>
      <c r="AR103" s="48">
        <v>471</v>
      </c>
      <c r="AS103" s="48">
        <v>87</v>
      </c>
      <c r="AT103" s="48">
        <v>1022</v>
      </c>
      <c r="AU103" s="48">
        <v>11423</v>
      </c>
      <c r="AV103" s="48">
        <v>3035</v>
      </c>
      <c r="AW103" s="48">
        <v>12740</v>
      </c>
      <c r="AX103" s="48">
        <v>1365</v>
      </c>
      <c r="AY103" s="48">
        <v>4545</v>
      </c>
      <c r="AZ103" s="48">
        <v>5518</v>
      </c>
      <c r="BA103" s="48">
        <v>1991</v>
      </c>
      <c r="BB103" s="48">
        <v>237</v>
      </c>
      <c r="BC103" s="48">
        <v>3444</v>
      </c>
      <c r="BD103" s="48">
        <v>440</v>
      </c>
      <c r="BE103" s="48">
        <v>354</v>
      </c>
      <c r="BF103" s="48">
        <v>274</v>
      </c>
      <c r="BG103" s="48">
        <v>238</v>
      </c>
      <c r="BH103" s="48">
        <v>29</v>
      </c>
      <c r="BI103" s="48">
        <v>1046</v>
      </c>
    </row>
    <row r="104" spans="1:61" x14ac:dyDescent="0.2">
      <c r="A104" s="46">
        <v>45809</v>
      </c>
      <c r="B104" s="47">
        <v>1520</v>
      </c>
      <c r="C104" s="47">
        <v>770</v>
      </c>
      <c r="D104" s="47">
        <v>845</v>
      </c>
      <c r="E104" s="47">
        <v>575</v>
      </c>
      <c r="F104" s="47">
        <v>970</v>
      </c>
      <c r="G104" s="47">
        <v>725</v>
      </c>
      <c r="H104" s="47">
        <v>868</v>
      </c>
      <c r="I104" s="47">
        <v>510</v>
      </c>
      <c r="J104" s="47">
        <v>850</v>
      </c>
      <c r="K104" s="47">
        <v>550</v>
      </c>
      <c r="L104" s="47">
        <v>707.5</v>
      </c>
      <c r="M104" s="47">
        <v>550</v>
      </c>
      <c r="N104" s="47">
        <v>624</v>
      </c>
      <c r="O104" s="47">
        <v>443.5</v>
      </c>
      <c r="P104" s="47">
        <v>1000</v>
      </c>
      <c r="Q104" s="47">
        <v>835</v>
      </c>
      <c r="R104" s="47">
        <v>665</v>
      </c>
      <c r="S104" s="47">
        <v>625</v>
      </c>
      <c r="T104" s="47">
        <v>435</v>
      </c>
      <c r="U104" s="47">
        <v>706</v>
      </c>
      <c r="V104" s="47">
        <v>720</v>
      </c>
      <c r="W104" s="47">
        <v>663</v>
      </c>
      <c r="X104" s="47">
        <v>330</v>
      </c>
      <c r="Y104" s="47">
        <v>600</v>
      </c>
      <c r="Z104" s="47">
        <v>410</v>
      </c>
      <c r="AA104" s="47">
        <v>555.29999999999995</v>
      </c>
      <c r="AB104" s="47">
        <v>450</v>
      </c>
      <c r="AC104" s="47">
        <v>389</v>
      </c>
      <c r="AD104" s="47">
        <v>300</v>
      </c>
      <c r="AE104" s="47">
        <v>600</v>
      </c>
      <c r="AF104" s="48">
        <v>13762</v>
      </c>
      <c r="AG104" s="48">
        <v>13082</v>
      </c>
      <c r="AH104" s="48">
        <v>17640</v>
      </c>
      <c r="AI104" s="48">
        <v>7450</v>
      </c>
      <c r="AJ104" s="48">
        <v>9518</v>
      </c>
      <c r="AK104" s="48">
        <v>11745</v>
      </c>
      <c r="AL104" s="48">
        <v>4920</v>
      </c>
      <c r="AM104" s="48">
        <v>1755</v>
      </c>
      <c r="AN104" s="48">
        <v>7402</v>
      </c>
      <c r="AO104" s="48">
        <v>2232</v>
      </c>
      <c r="AP104" s="48">
        <v>931</v>
      </c>
      <c r="AQ104" s="48">
        <v>1564</v>
      </c>
      <c r="AR104" s="48">
        <v>580</v>
      </c>
      <c r="AS104" s="48">
        <v>109</v>
      </c>
      <c r="AT104" s="48">
        <v>1135</v>
      </c>
      <c r="AU104" s="48">
        <v>13329</v>
      </c>
      <c r="AV104" s="48">
        <v>3125</v>
      </c>
      <c r="AW104" s="48">
        <v>14939</v>
      </c>
      <c r="AX104" s="48">
        <v>1387</v>
      </c>
      <c r="AY104" s="48">
        <v>4948</v>
      </c>
      <c r="AZ104" s="48">
        <v>5915</v>
      </c>
      <c r="BA104" s="48">
        <v>2318</v>
      </c>
      <c r="BB104" s="48">
        <v>226</v>
      </c>
      <c r="BC104" s="48">
        <v>3253</v>
      </c>
      <c r="BD104" s="48">
        <v>452</v>
      </c>
      <c r="BE104" s="48">
        <v>330</v>
      </c>
      <c r="BF104" s="48">
        <v>295</v>
      </c>
      <c r="BG104" s="48">
        <v>343</v>
      </c>
      <c r="BH104" s="48">
        <v>33</v>
      </c>
      <c r="BI104" s="48">
        <v>1191</v>
      </c>
    </row>
    <row r="105" spans="1:61" x14ac:dyDescent="0.2">
      <c r="A105" s="46">
        <v>45901</v>
      </c>
      <c r="B105" s="47">
        <v>1511</v>
      </c>
      <c r="C105" s="47">
        <v>780</v>
      </c>
      <c r="D105" s="47">
        <v>846.8</v>
      </c>
      <c r="E105" s="47">
        <v>590</v>
      </c>
      <c r="F105" s="47">
        <v>1020</v>
      </c>
      <c r="G105" s="47">
        <v>765</v>
      </c>
      <c r="H105" s="47">
        <v>900</v>
      </c>
      <c r="I105" s="47">
        <v>535</v>
      </c>
      <c r="J105" s="47">
        <v>871</v>
      </c>
      <c r="K105" s="47">
        <v>577.5</v>
      </c>
      <c r="L105" s="47">
        <v>715</v>
      </c>
      <c r="M105" s="47">
        <v>575</v>
      </c>
      <c r="N105" s="47">
        <v>670</v>
      </c>
      <c r="O105" s="47">
        <v>433</v>
      </c>
      <c r="P105" s="47">
        <v>1027</v>
      </c>
      <c r="Q105" s="47">
        <v>840</v>
      </c>
      <c r="R105" s="47">
        <v>675</v>
      </c>
      <c r="S105" s="47">
        <v>630</v>
      </c>
      <c r="T105" s="47">
        <v>440</v>
      </c>
      <c r="U105" s="47">
        <v>740</v>
      </c>
      <c r="V105" s="47">
        <v>740</v>
      </c>
      <c r="W105" s="47">
        <v>685.8</v>
      </c>
      <c r="X105" s="47">
        <v>365</v>
      </c>
      <c r="Y105" s="47">
        <v>625.9</v>
      </c>
      <c r="Z105" s="47">
        <v>430</v>
      </c>
      <c r="AA105" s="47">
        <v>582.5</v>
      </c>
      <c r="AB105" s="47">
        <v>455</v>
      </c>
      <c r="AC105" s="47">
        <v>405</v>
      </c>
      <c r="AD105" s="47">
        <v>310</v>
      </c>
      <c r="AE105" s="47">
        <v>612</v>
      </c>
      <c r="AF105" s="48">
        <v>14929</v>
      </c>
      <c r="AG105" s="48">
        <v>13953</v>
      </c>
      <c r="AH105" s="48">
        <v>17798</v>
      </c>
      <c r="AI105" s="48">
        <v>7875</v>
      </c>
      <c r="AJ105" s="48">
        <v>10508</v>
      </c>
      <c r="AK105" s="48">
        <v>12555</v>
      </c>
      <c r="AL105" s="48">
        <v>4871</v>
      </c>
      <c r="AM105" s="48">
        <v>1811</v>
      </c>
      <c r="AN105" s="48">
        <v>6746</v>
      </c>
      <c r="AO105" s="48">
        <v>2236</v>
      </c>
      <c r="AP105" s="48">
        <v>803</v>
      </c>
      <c r="AQ105" s="48">
        <v>1387</v>
      </c>
      <c r="AR105" s="48">
        <v>595</v>
      </c>
      <c r="AS105" s="48">
        <v>124</v>
      </c>
      <c r="AT105" s="48">
        <v>1111</v>
      </c>
      <c r="AU105" s="48">
        <v>14498</v>
      </c>
      <c r="AV105" s="48">
        <v>3493</v>
      </c>
      <c r="AW105" s="48">
        <v>15128</v>
      </c>
      <c r="AX105" s="48">
        <v>1621</v>
      </c>
      <c r="AY105" s="48">
        <v>5299</v>
      </c>
      <c r="AZ105" s="48">
        <v>6134</v>
      </c>
      <c r="BA105" s="48">
        <v>2636</v>
      </c>
      <c r="BB105" s="48">
        <v>272</v>
      </c>
      <c r="BC105" s="48">
        <v>3406</v>
      </c>
      <c r="BD105" s="48">
        <v>538</v>
      </c>
      <c r="BE105" s="48">
        <v>313</v>
      </c>
      <c r="BF105" s="48">
        <v>324</v>
      </c>
      <c r="BG105" s="48">
        <v>397</v>
      </c>
      <c r="BH105" s="48">
        <v>55</v>
      </c>
      <c r="BI105" s="48">
        <v>1154</v>
      </c>
    </row>
    <row r="106" spans="1:61" x14ac:dyDescent="0.2">
      <c r="A106" s="46">
        <v>45992</v>
      </c>
      <c r="B106" s="47">
        <v>1515</v>
      </c>
      <c r="C106" s="47">
        <v>800</v>
      </c>
      <c r="D106" s="47">
        <v>875</v>
      </c>
      <c r="E106" s="47">
        <v>610</v>
      </c>
      <c r="F106" s="47">
        <v>1100</v>
      </c>
      <c r="G106" s="47">
        <v>799.4</v>
      </c>
      <c r="H106" s="47">
        <v>950</v>
      </c>
      <c r="I106" s="47">
        <v>575</v>
      </c>
      <c r="J106" s="47">
        <v>951</v>
      </c>
      <c r="K106" s="47">
        <v>622</v>
      </c>
      <c r="L106" s="47">
        <v>749.5</v>
      </c>
      <c r="M106" s="47">
        <v>609</v>
      </c>
      <c r="N106" s="47">
        <v>711</v>
      </c>
      <c r="O106" s="47">
        <v>460</v>
      </c>
      <c r="P106" s="47">
        <v>1042.5</v>
      </c>
      <c r="Q106" s="47">
        <v>850</v>
      </c>
      <c r="R106" s="47">
        <v>700</v>
      </c>
      <c r="S106" s="47">
        <v>660</v>
      </c>
      <c r="T106" s="47">
        <v>465</v>
      </c>
      <c r="U106" s="47">
        <v>793</v>
      </c>
      <c r="V106" s="47">
        <v>786</v>
      </c>
      <c r="W106" s="47">
        <v>730</v>
      </c>
      <c r="X106" s="47">
        <v>410</v>
      </c>
      <c r="Y106" s="47">
        <v>700</v>
      </c>
      <c r="Z106" s="47">
        <v>450</v>
      </c>
      <c r="AA106" s="47">
        <v>586</v>
      </c>
      <c r="AB106" s="47">
        <v>493.5</v>
      </c>
      <c r="AC106" s="47">
        <v>433.2</v>
      </c>
      <c r="AD106" s="47">
        <v>315</v>
      </c>
      <c r="AE106" s="47">
        <v>620</v>
      </c>
      <c r="AF106" s="48">
        <v>12879</v>
      </c>
      <c r="AG106" s="48">
        <v>13851</v>
      </c>
      <c r="AH106" s="48">
        <v>15965</v>
      </c>
      <c r="AI106" s="48">
        <v>7336</v>
      </c>
      <c r="AJ106" s="48">
        <v>8493</v>
      </c>
      <c r="AK106" s="48">
        <v>10192</v>
      </c>
      <c r="AL106" s="48">
        <v>4808</v>
      </c>
      <c r="AM106" s="48">
        <v>1789</v>
      </c>
      <c r="AN106" s="48">
        <v>6193</v>
      </c>
      <c r="AO106" s="48">
        <v>1931</v>
      </c>
      <c r="AP106" s="48">
        <v>488</v>
      </c>
      <c r="AQ106" s="48">
        <v>806</v>
      </c>
      <c r="AR106" s="48">
        <v>408</v>
      </c>
      <c r="AS106" s="48">
        <v>105</v>
      </c>
      <c r="AT106" s="48">
        <v>1090</v>
      </c>
      <c r="AU106" s="48">
        <v>12725</v>
      </c>
      <c r="AV106" s="48">
        <v>3501</v>
      </c>
      <c r="AW106" s="48">
        <v>14962</v>
      </c>
      <c r="AX106" s="48">
        <v>1469</v>
      </c>
      <c r="AY106" s="48">
        <v>4273</v>
      </c>
      <c r="AZ106" s="48">
        <v>5033</v>
      </c>
      <c r="BA106" s="48">
        <v>2096</v>
      </c>
      <c r="BB106" s="48">
        <v>279</v>
      </c>
      <c r="BC106" s="48">
        <v>2960</v>
      </c>
      <c r="BD106" s="48">
        <v>498</v>
      </c>
      <c r="BE106" s="48">
        <v>209</v>
      </c>
      <c r="BF106" s="48">
        <v>188</v>
      </c>
      <c r="BG106" s="48">
        <v>289</v>
      </c>
      <c r="BH106" s="48">
        <v>39</v>
      </c>
      <c r="BI106" s="48">
        <v>1225</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0EFC7-7237-4430-B607-A7F5094CDFDA}">
  <sheetPr>
    <tabColor theme="7"/>
  </sheetPr>
  <dimension ref="A1:BI141"/>
  <sheetViews>
    <sheetView topLeftCell="A102" zoomScaleNormal="100" workbookViewId="0">
      <selection activeCell="D132" sqref="D132"/>
    </sheetView>
  </sheetViews>
  <sheetFormatPr defaultRowHeight="15" x14ac:dyDescent="0.25"/>
  <cols>
    <col min="1" max="1" width="24.28515625" customWidth="1"/>
    <col min="2" max="2" width="20" bestFit="1" customWidth="1"/>
  </cols>
  <sheetData>
    <row r="1" spans="1:61" x14ac:dyDescent="0.25">
      <c r="A1" t="s">
        <v>85</v>
      </c>
      <c r="B1" s="1" t="s">
        <v>1</v>
      </c>
      <c r="C1" t="s">
        <v>60</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22</v>
      </c>
      <c r="X1" t="s">
        <v>23</v>
      </c>
      <c r="Y1" t="s">
        <v>69</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70</v>
      </c>
      <c r="BH1" t="s">
        <v>71</v>
      </c>
      <c r="BI1" t="s">
        <v>72</v>
      </c>
    </row>
    <row r="2" spans="1:61" x14ac:dyDescent="0.25">
      <c r="A2" t="s">
        <v>73</v>
      </c>
      <c r="B2" s="2">
        <v>33298</v>
      </c>
      <c r="C2">
        <v>151</v>
      </c>
      <c r="D2">
        <v>155</v>
      </c>
      <c r="E2">
        <v>189</v>
      </c>
      <c r="F2">
        <v>194</v>
      </c>
      <c r="G2" t="s">
        <v>21</v>
      </c>
      <c r="H2" t="s">
        <v>21</v>
      </c>
      <c r="I2">
        <v>110</v>
      </c>
      <c r="J2" t="s">
        <v>21</v>
      </c>
      <c r="K2" t="s">
        <v>21</v>
      </c>
      <c r="L2" t="s">
        <v>21</v>
      </c>
      <c r="M2">
        <v>160</v>
      </c>
      <c r="N2">
        <v>239</v>
      </c>
      <c r="O2">
        <v>610</v>
      </c>
      <c r="P2">
        <v>175</v>
      </c>
      <c r="Q2">
        <v>128</v>
      </c>
      <c r="R2">
        <v>160</v>
      </c>
      <c r="S2" t="s">
        <v>21</v>
      </c>
      <c r="T2" t="s">
        <v>21</v>
      </c>
      <c r="U2">
        <v>205</v>
      </c>
      <c r="V2" t="s">
        <v>21</v>
      </c>
      <c r="W2" t="s">
        <v>21</v>
      </c>
      <c r="X2" t="s">
        <v>21</v>
      </c>
      <c r="Y2" t="s">
        <v>21</v>
      </c>
      <c r="Z2" t="s">
        <v>21</v>
      </c>
      <c r="AA2">
        <v>153</v>
      </c>
      <c r="AB2" t="s">
        <v>21</v>
      </c>
      <c r="AC2">
        <v>177</v>
      </c>
      <c r="AD2">
        <v>198</v>
      </c>
      <c r="AE2" t="s">
        <v>21</v>
      </c>
      <c r="AF2">
        <v>133</v>
      </c>
      <c r="AG2">
        <v>235</v>
      </c>
      <c r="AH2">
        <v>122</v>
      </c>
      <c r="AI2">
        <v>129</v>
      </c>
      <c r="AJ2" t="s">
        <v>21</v>
      </c>
      <c r="AK2">
        <v>105</v>
      </c>
      <c r="AL2">
        <v>128</v>
      </c>
      <c r="AM2" t="s">
        <v>21</v>
      </c>
      <c r="AN2">
        <v>127</v>
      </c>
      <c r="AO2">
        <v>140</v>
      </c>
      <c r="AP2">
        <v>237</v>
      </c>
      <c r="AQ2" t="s">
        <v>21</v>
      </c>
      <c r="AR2">
        <v>117</v>
      </c>
      <c r="AS2" t="s">
        <v>21</v>
      </c>
      <c r="AT2">
        <v>218</v>
      </c>
      <c r="AU2" t="s">
        <v>21</v>
      </c>
      <c r="AV2" t="s">
        <v>21</v>
      </c>
      <c r="AW2" t="s">
        <v>21</v>
      </c>
      <c r="AX2">
        <v>107</v>
      </c>
      <c r="AY2">
        <v>73</v>
      </c>
      <c r="AZ2" t="s">
        <v>21</v>
      </c>
      <c r="BA2">
        <v>110</v>
      </c>
      <c r="BB2">
        <v>93</v>
      </c>
      <c r="BC2">
        <v>124</v>
      </c>
      <c r="BD2">
        <v>114</v>
      </c>
      <c r="BE2" t="s">
        <v>21</v>
      </c>
      <c r="BF2" t="s">
        <v>21</v>
      </c>
      <c r="BG2">
        <v>132</v>
      </c>
      <c r="BH2">
        <v>95</v>
      </c>
      <c r="BI2">
        <v>112</v>
      </c>
    </row>
    <row r="3" spans="1:61" x14ac:dyDescent="0.25">
      <c r="A3" t="s">
        <v>75</v>
      </c>
      <c r="B3" s="2">
        <v>33390</v>
      </c>
      <c r="C3">
        <v>155</v>
      </c>
      <c r="D3">
        <v>210</v>
      </c>
      <c r="E3">
        <v>211</v>
      </c>
      <c r="F3">
        <v>185</v>
      </c>
      <c r="G3" t="s">
        <v>21</v>
      </c>
      <c r="H3">
        <v>195</v>
      </c>
      <c r="I3">
        <v>128</v>
      </c>
      <c r="J3">
        <v>258</v>
      </c>
      <c r="K3" t="s">
        <v>21</v>
      </c>
      <c r="L3">
        <v>239</v>
      </c>
      <c r="M3">
        <v>164</v>
      </c>
      <c r="N3">
        <v>307</v>
      </c>
      <c r="O3">
        <v>460</v>
      </c>
      <c r="P3">
        <v>165</v>
      </c>
      <c r="Q3">
        <v>130</v>
      </c>
      <c r="R3">
        <v>154</v>
      </c>
      <c r="S3" t="s">
        <v>21</v>
      </c>
      <c r="T3">
        <v>140</v>
      </c>
      <c r="U3">
        <v>210</v>
      </c>
      <c r="V3" t="s">
        <v>21</v>
      </c>
      <c r="W3">
        <v>185</v>
      </c>
      <c r="X3">
        <v>195</v>
      </c>
      <c r="Y3" t="s">
        <v>21</v>
      </c>
      <c r="Z3">
        <v>280</v>
      </c>
      <c r="AA3">
        <v>150</v>
      </c>
      <c r="AB3">
        <v>175</v>
      </c>
      <c r="AC3">
        <v>175</v>
      </c>
      <c r="AD3">
        <v>220</v>
      </c>
      <c r="AE3" t="s">
        <v>21</v>
      </c>
      <c r="AF3">
        <v>136</v>
      </c>
      <c r="AG3">
        <v>230</v>
      </c>
      <c r="AH3">
        <v>122</v>
      </c>
      <c r="AI3">
        <v>125</v>
      </c>
      <c r="AJ3">
        <v>119</v>
      </c>
      <c r="AK3">
        <v>104</v>
      </c>
      <c r="AL3">
        <v>132</v>
      </c>
      <c r="AM3">
        <v>135</v>
      </c>
      <c r="AN3">
        <v>129</v>
      </c>
      <c r="AO3">
        <v>140</v>
      </c>
      <c r="AP3">
        <v>240</v>
      </c>
      <c r="AQ3">
        <v>92</v>
      </c>
      <c r="AR3">
        <v>119</v>
      </c>
      <c r="AS3" t="s">
        <v>21</v>
      </c>
      <c r="AT3">
        <v>205</v>
      </c>
      <c r="AU3" t="s">
        <v>21</v>
      </c>
      <c r="AV3" t="s">
        <v>21</v>
      </c>
      <c r="AW3">
        <v>116</v>
      </c>
      <c r="AX3">
        <v>110</v>
      </c>
      <c r="AY3">
        <v>73</v>
      </c>
      <c r="AZ3">
        <v>150</v>
      </c>
      <c r="BA3">
        <v>115</v>
      </c>
      <c r="BB3">
        <v>95</v>
      </c>
      <c r="BC3">
        <v>105</v>
      </c>
      <c r="BD3">
        <v>130</v>
      </c>
      <c r="BE3">
        <v>114</v>
      </c>
      <c r="BF3">
        <v>127</v>
      </c>
      <c r="BG3">
        <v>143</v>
      </c>
      <c r="BH3">
        <v>98</v>
      </c>
      <c r="BI3">
        <v>129</v>
      </c>
    </row>
    <row r="4" spans="1:61" x14ac:dyDescent="0.25">
      <c r="B4" s="2">
        <v>33482</v>
      </c>
      <c r="C4">
        <v>160</v>
      </c>
      <c r="D4">
        <v>215</v>
      </c>
      <c r="E4">
        <v>195</v>
      </c>
      <c r="F4">
        <v>190</v>
      </c>
      <c r="G4">
        <v>291</v>
      </c>
      <c r="H4">
        <v>198</v>
      </c>
      <c r="I4">
        <v>147</v>
      </c>
      <c r="J4">
        <v>455</v>
      </c>
      <c r="K4">
        <v>300</v>
      </c>
      <c r="L4">
        <v>238</v>
      </c>
      <c r="M4">
        <v>177</v>
      </c>
      <c r="N4">
        <v>298</v>
      </c>
      <c r="O4">
        <v>400</v>
      </c>
      <c r="P4">
        <v>165</v>
      </c>
      <c r="Q4">
        <v>132</v>
      </c>
      <c r="R4">
        <v>155</v>
      </c>
      <c r="S4" t="s">
        <v>21</v>
      </c>
      <c r="T4">
        <v>145</v>
      </c>
      <c r="U4">
        <v>214</v>
      </c>
      <c r="V4">
        <v>445</v>
      </c>
      <c r="W4">
        <v>176</v>
      </c>
      <c r="X4">
        <v>204</v>
      </c>
      <c r="Y4">
        <v>409</v>
      </c>
      <c r="Z4">
        <v>343</v>
      </c>
      <c r="AA4">
        <v>152</v>
      </c>
      <c r="AB4">
        <v>165</v>
      </c>
      <c r="AC4">
        <v>180</v>
      </c>
      <c r="AD4">
        <v>186</v>
      </c>
      <c r="AE4" t="s">
        <v>21</v>
      </c>
      <c r="AF4">
        <v>140</v>
      </c>
      <c r="AG4">
        <v>230</v>
      </c>
      <c r="AH4">
        <v>122</v>
      </c>
      <c r="AI4">
        <v>128</v>
      </c>
      <c r="AJ4" t="s">
        <v>21</v>
      </c>
      <c r="AK4">
        <v>109</v>
      </c>
      <c r="AL4">
        <v>135</v>
      </c>
      <c r="AM4">
        <v>139</v>
      </c>
      <c r="AN4">
        <v>131</v>
      </c>
      <c r="AO4">
        <v>142</v>
      </c>
      <c r="AP4">
        <v>235</v>
      </c>
      <c r="AQ4">
        <v>97</v>
      </c>
      <c r="AR4">
        <v>120</v>
      </c>
      <c r="AS4" t="s">
        <v>21</v>
      </c>
      <c r="AT4">
        <v>207</v>
      </c>
      <c r="AU4" t="s">
        <v>21</v>
      </c>
      <c r="AV4" t="s">
        <v>21</v>
      </c>
      <c r="AW4">
        <v>118</v>
      </c>
      <c r="AX4">
        <v>112</v>
      </c>
      <c r="AY4">
        <v>73</v>
      </c>
      <c r="AZ4">
        <v>162</v>
      </c>
      <c r="BA4">
        <v>114</v>
      </c>
      <c r="BB4">
        <v>102</v>
      </c>
      <c r="BC4">
        <v>110</v>
      </c>
      <c r="BD4">
        <v>128</v>
      </c>
      <c r="BE4">
        <v>117</v>
      </c>
      <c r="BF4">
        <v>127</v>
      </c>
      <c r="BG4">
        <v>148</v>
      </c>
      <c r="BH4">
        <v>95</v>
      </c>
      <c r="BI4">
        <v>133</v>
      </c>
    </row>
    <row r="5" spans="1:61" x14ac:dyDescent="0.25">
      <c r="B5" s="2">
        <v>33573</v>
      </c>
      <c r="C5">
        <v>173</v>
      </c>
      <c r="D5">
        <v>245</v>
      </c>
      <c r="E5">
        <v>209</v>
      </c>
      <c r="F5">
        <v>175</v>
      </c>
      <c r="G5">
        <v>267</v>
      </c>
      <c r="H5">
        <v>201</v>
      </c>
      <c r="I5" t="s">
        <v>21</v>
      </c>
      <c r="J5">
        <v>470</v>
      </c>
      <c r="K5">
        <v>260</v>
      </c>
      <c r="L5">
        <v>253</v>
      </c>
      <c r="M5">
        <v>180</v>
      </c>
      <c r="N5">
        <v>259</v>
      </c>
      <c r="O5">
        <v>430</v>
      </c>
      <c r="P5">
        <v>180</v>
      </c>
      <c r="Q5">
        <v>136</v>
      </c>
      <c r="R5">
        <v>155</v>
      </c>
      <c r="S5" t="s">
        <v>21</v>
      </c>
      <c r="T5">
        <v>142</v>
      </c>
      <c r="U5">
        <v>233</v>
      </c>
      <c r="V5">
        <v>370</v>
      </c>
      <c r="W5">
        <v>183</v>
      </c>
      <c r="X5">
        <v>218</v>
      </c>
      <c r="Y5">
        <v>353</v>
      </c>
      <c r="Z5">
        <v>265</v>
      </c>
      <c r="AA5">
        <v>149</v>
      </c>
      <c r="AB5">
        <v>182</v>
      </c>
      <c r="AC5">
        <v>200</v>
      </c>
      <c r="AD5" t="s">
        <v>21</v>
      </c>
      <c r="AE5" t="s">
        <v>21</v>
      </c>
      <c r="AF5">
        <v>142</v>
      </c>
      <c r="AG5">
        <v>236</v>
      </c>
      <c r="AH5">
        <v>123</v>
      </c>
      <c r="AI5">
        <v>126</v>
      </c>
      <c r="AJ5" t="s">
        <v>21</v>
      </c>
      <c r="AK5">
        <v>106</v>
      </c>
      <c r="AL5">
        <v>136</v>
      </c>
      <c r="AM5">
        <v>147</v>
      </c>
      <c r="AN5">
        <v>133</v>
      </c>
      <c r="AO5">
        <v>136</v>
      </c>
      <c r="AP5">
        <v>232</v>
      </c>
      <c r="AQ5" t="s">
        <v>21</v>
      </c>
      <c r="AR5">
        <v>121</v>
      </c>
      <c r="AS5" t="s">
        <v>21</v>
      </c>
      <c r="AT5">
        <v>218</v>
      </c>
      <c r="AU5">
        <v>227</v>
      </c>
      <c r="AV5" t="s">
        <v>21</v>
      </c>
      <c r="AW5">
        <v>120</v>
      </c>
      <c r="AX5">
        <v>115</v>
      </c>
      <c r="AY5">
        <v>79</v>
      </c>
      <c r="AZ5">
        <v>158</v>
      </c>
      <c r="BA5">
        <v>118</v>
      </c>
      <c r="BB5">
        <v>105</v>
      </c>
      <c r="BC5">
        <v>110</v>
      </c>
      <c r="BD5">
        <v>135</v>
      </c>
      <c r="BE5">
        <v>115</v>
      </c>
      <c r="BF5">
        <v>131</v>
      </c>
      <c r="BG5">
        <v>155</v>
      </c>
      <c r="BH5">
        <v>95</v>
      </c>
      <c r="BI5">
        <v>132</v>
      </c>
    </row>
    <row r="6" spans="1:61" x14ac:dyDescent="0.25">
      <c r="B6" s="2">
        <v>33664</v>
      </c>
      <c r="C6">
        <v>170</v>
      </c>
      <c r="D6">
        <v>252</v>
      </c>
      <c r="E6" t="s">
        <v>21</v>
      </c>
      <c r="F6">
        <v>181</v>
      </c>
      <c r="G6">
        <v>360</v>
      </c>
      <c r="H6">
        <v>200</v>
      </c>
      <c r="I6">
        <v>130</v>
      </c>
      <c r="J6">
        <v>465</v>
      </c>
      <c r="K6">
        <v>365</v>
      </c>
      <c r="L6">
        <v>280</v>
      </c>
      <c r="M6">
        <v>180</v>
      </c>
      <c r="N6">
        <v>260</v>
      </c>
      <c r="O6">
        <v>375</v>
      </c>
      <c r="P6">
        <v>182</v>
      </c>
      <c r="Q6">
        <v>136</v>
      </c>
      <c r="R6">
        <v>158</v>
      </c>
      <c r="S6" t="s">
        <v>21</v>
      </c>
      <c r="T6">
        <v>167</v>
      </c>
      <c r="U6" t="s">
        <v>21</v>
      </c>
      <c r="V6">
        <v>493</v>
      </c>
      <c r="W6">
        <v>195</v>
      </c>
      <c r="X6">
        <v>237</v>
      </c>
      <c r="Y6">
        <v>383</v>
      </c>
      <c r="Z6">
        <v>273</v>
      </c>
      <c r="AA6">
        <v>160</v>
      </c>
      <c r="AB6">
        <v>190</v>
      </c>
      <c r="AC6">
        <v>219</v>
      </c>
      <c r="AD6" t="s">
        <v>21</v>
      </c>
      <c r="AE6" t="s">
        <v>21</v>
      </c>
      <c r="AF6">
        <v>142</v>
      </c>
      <c r="AG6">
        <v>238</v>
      </c>
      <c r="AH6">
        <v>122</v>
      </c>
      <c r="AI6">
        <v>128</v>
      </c>
      <c r="AJ6" t="s">
        <v>21</v>
      </c>
      <c r="AK6">
        <v>114</v>
      </c>
      <c r="AL6" t="s">
        <v>21</v>
      </c>
      <c r="AM6">
        <v>137</v>
      </c>
      <c r="AN6">
        <v>132</v>
      </c>
      <c r="AO6" t="s">
        <v>21</v>
      </c>
      <c r="AP6">
        <v>225</v>
      </c>
      <c r="AQ6" t="s">
        <v>21</v>
      </c>
      <c r="AR6">
        <v>124</v>
      </c>
      <c r="AS6" t="s">
        <v>21</v>
      </c>
      <c r="AT6">
        <v>220</v>
      </c>
      <c r="AU6">
        <v>248</v>
      </c>
      <c r="AV6" t="s">
        <v>21</v>
      </c>
      <c r="AW6">
        <v>120</v>
      </c>
      <c r="AX6">
        <v>115</v>
      </c>
      <c r="AY6">
        <v>75</v>
      </c>
      <c r="AZ6">
        <v>170</v>
      </c>
      <c r="BA6">
        <v>120</v>
      </c>
      <c r="BB6">
        <v>108</v>
      </c>
      <c r="BC6">
        <v>112</v>
      </c>
      <c r="BD6">
        <v>125</v>
      </c>
      <c r="BE6">
        <v>124</v>
      </c>
      <c r="BF6" t="s">
        <v>21</v>
      </c>
      <c r="BG6">
        <v>152</v>
      </c>
      <c r="BH6">
        <v>97</v>
      </c>
      <c r="BI6">
        <v>130</v>
      </c>
    </row>
    <row r="7" spans="1:61" x14ac:dyDescent="0.25">
      <c r="B7" s="2">
        <v>33756</v>
      </c>
      <c r="C7">
        <v>175</v>
      </c>
      <c r="D7">
        <v>256</v>
      </c>
      <c r="E7" t="s">
        <v>21</v>
      </c>
      <c r="F7">
        <v>187</v>
      </c>
      <c r="G7">
        <v>331</v>
      </c>
      <c r="H7">
        <v>210</v>
      </c>
      <c r="I7" t="s">
        <v>21</v>
      </c>
      <c r="J7">
        <v>538</v>
      </c>
      <c r="K7">
        <v>348</v>
      </c>
      <c r="L7">
        <v>265</v>
      </c>
      <c r="M7">
        <v>179</v>
      </c>
      <c r="N7">
        <v>315</v>
      </c>
      <c r="O7">
        <v>515</v>
      </c>
      <c r="P7">
        <v>180</v>
      </c>
      <c r="Q7">
        <v>139</v>
      </c>
      <c r="R7">
        <v>160</v>
      </c>
      <c r="S7" t="s">
        <v>21</v>
      </c>
      <c r="T7">
        <v>165</v>
      </c>
      <c r="U7" t="s">
        <v>21</v>
      </c>
      <c r="V7">
        <v>395</v>
      </c>
      <c r="W7">
        <v>191</v>
      </c>
      <c r="X7">
        <v>246</v>
      </c>
      <c r="Y7">
        <v>350</v>
      </c>
      <c r="Z7">
        <v>295</v>
      </c>
      <c r="AA7">
        <v>159</v>
      </c>
      <c r="AB7">
        <v>186</v>
      </c>
      <c r="AC7">
        <v>220</v>
      </c>
      <c r="AD7" t="s">
        <v>21</v>
      </c>
      <c r="AE7" t="s">
        <v>21</v>
      </c>
      <c r="AF7">
        <v>150</v>
      </c>
      <c r="AG7">
        <v>235</v>
      </c>
      <c r="AH7">
        <v>123</v>
      </c>
      <c r="AI7">
        <v>127</v>
      </c>
      <c r="AJ7" t="s">
        <v>21</v>
      </c>
      <c r="AK7">
        <v>115</v>
      </c>
      <c r="AL7" t="s">
        <v>21</v>
      </c>
      <c r="AM7">
        <v>143</v>
      </c>
      <c r="AN7">
        <v>136</v>
      </c>
      <c r="AO7" t="s">
        <v>21</v>
      </c>
      <c r="AP7">
        <v>237</v>
      </c>
      <c r="AQ7">
        <v>135</v>
      </c>
      <c r="AR7">
        <v>125</v>
      </c>
      <c r="AS7" t="s">
        <v>21</v>
      </c>
      <c r="AT7">
        <v>218</v>
      </c>
      <c r="AU7">
        <v>245</v>
      </c>
      <c r="AV7" t="s">
        <v>21</v>
      </c>
      <c r="AW7">
        <v>120</v>
      </c>
      <c r="AX7">
        <v>114</v>
      </c>
      <c r="AY7">
        <v>75</v>
      </c>
      <c r="AZ7">
        <v>168</v>
      </c>
      <c r="BA7">
        <v>119</v>
      </c>
      <c r="BB7">
        <v>110</v>
      </c>
      <c r="BC7">
        <v>110</v>
      </c>
      <c r="BD7">
        <v>120</v>
      </c>
      <c r="BE7">
        <v>120</v>
      </c>
      <c r="BF7" t="s">
        <v>21</v>
      </c>
      <c r="BG7">
        <v>160</v>
      </c>
      <c r="BH7">
        <v>97</v>
      </c>
      <c r="BI7">
        <v>135</v>
      </c>
    </row>
    <row r="8" spans="1:61" x14ac:dyDescent="0.25">
      <c r="B8" s="2">
        <v>33848</v>
      </c>
      <c r="C8">
        <v>175</v>
      </c>
      <c r="D8">
        <v>255</v>
      </c>
      <c r="E8">
        <v>180</v>
      </c>
      <c r="F8">
        <v>183</v>
      </c>
      <c r="G8">
        <v>316</v>
      </c>
      <c r="H8">
        <v>205</v>
      </c>
      <c r="I8">
        <v>174</v>
      </c>
      <c r="J8">
        <v>450</v>
      </c>
      <c r="K8">
        <v>335</v>
      </c>
      <c r="L8">
        <v>260</v>
      </c>
      <c r="M8">
        <v>176</v>
      </c>
      <c r="N8">
        <v>294</v>
      </c>
      <c r="O8">
        <v>410</v>
      </c>
      <c r="P8">
        <v>183</v>
      </c>
      <c r="Q8">
        <v>136</v>
      </c>
      <c r="R8">
        <v>160</v>
      </c>
      <c r="S8" t="s">
        <v>21</v>
      </c>
      <c r="T8">
        <v>165</v>
      </c>
      <c r="U8">
        <v>230</v>
      </c>
      <c r="V8">
        <v>367</v>
      </c>
      <c r="W8">
        <v>198</v>
      </c>
      <c r="X8">
        <v>240</v>
      </c>
      <c r="Y8">
        <v>380</v>
      </c>
      <c r="Z8">
        <v>323</v>
      </c>
      <c r="AA8">
        <v>157</v>
      </c>
      <c r="AB8">
        <v>180</v>
      </c>
      <c r="AC8">
        <v>210</v>
      </c>
      <c r="AD8" t="s">
        <v>21</v>
      </c>
      <c r="AE8" t="s">
        <v>21</v>
      </c>
      <c r="AF8">
        <v>148</v>
      </c>
      <c r="AG8">
        <v>243</v>
      </c>
      <c r="AH8">
        <v>122</v>
      </c>
      <c r="AI8">
        <v>127</v>
      </c>
      <c r="AJ8">
        <v>135</v>
      </c>
      <c r="AK8">
        <v>121</v>
      </c>
      <c r="AL8" t="s">
        <v>21</v>
      </c>
      <c r="AM8">
        <v>142</v>
      </c>
      <c r="AN8">
        <v>134</v>
      </c>
      <c r="AO8" t="s">
        <v>21</v>
      </c>
      <c r="AP8">
        <v>233</v>
      </c>
      <c r="AQ8">
        <v>124</v>
      </c>
      <c r="AR8">
        <v>125</v>
      </c>
      <c r="AS8" t="s">
        <v>21</v>
      </c>
      <c r="AT8">
        <v>218</v>
      </c>
      <c r="AU8">
        <v>253</v>
      </c>
      <c r="AV8">
        <v>130</v>
      </c>
      <c r="AW8">
        <v>124</v>
      </c>
      <c r="AX8">
        <v>116</v>
      </c>
      <c r="AY8">
        <v>78</v>
      </c>
      <c r="AZ8">
        <v>175</v>
      </c>
      <c r="BA8">
        <v>120</v>
      </c>
      <c r="BB8">
        <v>112</v>
      </c>
      <c r="BC8">
        <v>115</v>
      </c>
      <c r="BD8">
        <v>110</v>
      </c>
      <c r="BE8">
        <v>124</v>
      </c>
      <c r="BF8" t="s">
        <v>21</v>
      </c>
      <c r="BG8">
        <v>158</v>
      </c>
      <c r="BH8">
        <v>103</v>
      </c>
      <c r="BI8">
        <v>135</v>
      </c>
    </row>
    <row r="9" spans="1:61" x14ac:dyDescent="0.25">
      <c r="B9" s="2">
        <v>33939</v>
      </c>
      <c r="C9">
        <v>175</v>
      </c>
      <c r="D9">
        <v>255</v>
      </c>
      <c r="E9">
        <v>201</v>
      </c>
      <c r="F9">
        <v>207</v>
      </c>
      <c r="G9">
        <v>301</v>
      </c>
      <c r="H9">
        <v>203</v>
      </c>
      <c r="I9">
        <v>177</v>
      </c>
      <c r="J9">
        <v>545</v>
      </c>
      <c r="K9">
        <v>375</v>
      </c>
      <c r="L9">
        <v>301</v>
      </c>
      <c r="M9">
        <v>178</v>
      </c>
      <c r="N9">
        <v>290</v>
      </c>
      <c r="O9">
        <v>426</v>
      </c>
      <c r="P9">
        <v>197</v>
      </c>
      <c r="Q9">
        <v>141</v>
      </c>
      <c r="R9">
        <v>163</v>
      </c>
      <c r="S9">
        <v>200</v>
      </c>
      <c r="T9">
        <v>175</v>
      </c>
      <c r="U9">
        <v>258</v>
      </c>
      <c r="V9">
        <v>370</v>
      </c>
      <c r="W9">
        <v>181</v>
      </c>
      <c r="X9">
        <v>240</v>
      </c>
      <c r="Y9">
        <v>355</v>
      </c>
      <c r="Z9">
        <v>330</v>
      </c>
      <c r="AA9">
        <v>168</v>
      </c>
      <c r="AB9">
        <v>192</v>
      </c>
      <c r="AC9">
        <v>233</v>
      </c>
      <c r="AD9">
        <v>358</v>
      </c>
      <c r="AE9" t="s">
        <v>21</v>
      </c>
      <c r="AF9">
        <v>140</v>
      </c>
      <c r="AG9">
        <v>259</v>
      </c>
      <c r="AH9">
        <v>120</v>
      </c>
      <c r="AI9">
        <v>125</v>
      </c>
      <c r="AJ9">
        <v>120</v>
      </c>
      <c r="AK9">
        <v>120</v>
      </c>
      <c r="AL9" t="s">
        <v>21</v>
      </c>
      <c r="AM9">
        <v>150</v>
      </c>
      <c r="AN9">
        <v>140</v>
      </c>
      <c r="AO9" t="s">
        <v>21</v>
      </c>
      <c r="AP9">
        <v>236</v>
      </c>
      <c r="AQ9">
        <v>130</v>
      </c>
      <c r="AR9">
        <v>124</v>
      </c>
      <c r="AS9" t="s">
        <v>21</v>
      </c>
      <c r="AT9">
        <v>222</v>
      </c>
      <c r="AU9">
        <v>252</v>
      </c>
      <c r="AV9">
        <v>125</v>
      </c>
      <c r="AW9">
        <v>120</v>
      </c>
      <c r="AX9">
        <v>118</v>
      </c>
      <c r="AY9">
        <v>79</v>
      </c>
      <c r="AZ9">
        <v>145</v>
      </c>
      <c r="BA9">
        <v>120</v>
      </c>
      <c r="BB9">
        <v>108</v>
      </c>
      <c r="BC9">
        <v>118</v>
      </c>
      <c r="BD9">
        <v>125</v>
      </c>
      <c r="BE9">
        <v>125</v>
      </c>
      <c r="BF9" t="s">
        <v>21</v>
      </c>
      <c r="BG9">
        <v>155</v>
      </c>
      <c r="BH9">
        <v>102</v>
      </c>
      <c r="BI9">
        <v>133</v>
      </c>
    </row>
    <row r="10" spans="1:61" x14ac:dyDescent="0.25">
      <c r="B10" s="2">
        <v>34029</v>
      </c>
      <c r="C10">
        <v>171</v>
      </c>
      <c r="D10">
        <v>235</v>
      </c>
      <c r="E10">
        <v>221</v>
      </c>
      <c r="F10">
        <v>184</v>
      </c>
      <c r="G10">
        <v>328</v>
      </c>
      <c r="H10">
        <v>207</v>
      </c>
      <c r="I10">
        <v>161</v>
      </c>
      <c r="J10">
        <v>538</v>
      </c>
      <c r="K10">
        <v>325</v>
      </c>
      <c r="L10">
        <v>255</v>
      </c>
      <c r="M10">
        <v>188</v>
      </c>
      <c r="N10">
        <v>294</v>
      </c>
      <c r="O10">
        <v>483</v>
      </c>
      <c r="P10">
        <v>192</v>
      </c>
      <c r="Q10">
        <v>142</v>
      </c>
      <c r="R10">
        <v>165</v>
      </c>
      <c r="S10">
        <v>203</v>
      </c>
      <c r="T10">
        <v>176</v>
      </c>
      <c r="U10">
        <v>230</v>
      </c>
      <c r="V10">
        <v>310</v>
      </c>
      <c r="W10">
        <v>195</v>
      </c>
      <c r="X10">
        <v>243</v>
      </c>
      <c r="Y10">
        <v>390</v>
      </c>
      <c r="Z10">
        <v>302</v>
      </c>
      <c r="AA10">
        <v>155</v>
      </c>
      <c r="AB10">
        <v>185</v>
      </c>
      <c r="AC10">
        <v>230</v>
      </c>
      <c r="AD10">
        <v>277</v>
      </c>
      <c r="AE10" t="s">
        <v>21</v>
      </c>
      <c r="AF10">
        <v>142</v>
      </c>
      <c r="AG10">
        <v>240</v>
      </c>
      <c r="AH10">
        <v>124</v>
      </c>
      <c r="AI10">
        <v>127</v>
      </c>
      <c r="AJ10">
        <v>128</v>
      </c>
      <c r="AK10">
        <v>123</v>
      </c>
      <c r="AL10" t="s">
        <v>21</v>
      </c>
      <c r="AM10">
        <v>147</v>
      </c>
      <c r="AN10">
        <v>136</v>
      </c>
      <c r="AO10" t="s">
        <v>21</v>
      </c>
      <c r="AP10">
        <v>236</v>
      </c>
      <c r="AQ10">
        <v>130</v>
      </c>
      <c r="AR10">
        <v>124</v>
      </c>
      <c r="AS10" t="s">
        <v>21</v>
      </c>
      <c r="AT10">
        <v>225</v>
      </c>
      <c r="AU10">
        <v>255</v>
      </c>
      <c r="AV10">
        <v>134</v>
      </c>
      <c r="AW10">
        <v>125</v>
      </c>
      <c r="AX10">
        <v>117</v>
      </c>
      <c r="AY10">
        <v>80</v>
      </c>
      <c r="AZ10">
        <v>170</v>
      </c>
      <c r="BA10">
        <v>122</v>
      </c>
      <c r="BB10">
        <v>107</v>
      </c>
      <c r="BC10">
        <v>115</v>
      </c>
      <c r="BD10" t="s">
        <v>21</v>
      </c>
      <c r="BE10">
        <v>120</v>
      </c>
      <c r="BF10" t="s">
        <v>21</v>
      </c>
      <c r="BG10">
        <v>160</v>
      </c>
      <c r="BH10">
        <v>104</v>
      </c>
      <c r="BI10">
        <v>137</v>
      </c>
    </row>
    <row r="11" spans="1:61" x14ac:dyDescent="0.25">
      <c r="B11" s="2">
        <v>34121</v>
      </c>
      <c r="C11">
        <v>177</v>
      </c>
      <c r="D11">
        <v>254</v>
      </c>
      <c r="E11">
        <v>215</v>
      </c>
      <c r="F11">
        <v>191</v>
      </c>
      <c r="G11">
        <v>338</v>
      </c>
      <c r="H11">
        <v>215</v>
      </c>
      <c r="I11">
        <v>170</v>
      </c>
      <c r="J11">
        <v>598</v>
      </c>
      <c r="K11">
        <v>362</v>
      </c>
      <c r="L11">
        <v>275</v>
      </c>
      <c r="M11">
        <v>210</v>
      </c>
      <c r="N11">
        <v>301</v>
      </c>
      <c r="O11">
        <v>393</v>
      </c>
      <c r="P11">
        <v>198</v>
      </c>
      <c r="Q11">
        <v>140</v>
      </c>
      <c r="R11">
        <v>164</v>
      </c>
      <c r="S11">
        <v>228</v>
      </c>
      <c r="T11">
        <v>175</v>
      </c>
      <c r="U11">
        <v>245</v>
      </c>
      <c r="V11">
        <v>400</v>
      </c>
      <c r="W11">
        <v>205</v>
      </c>
      <c r="X11">
        <v>250</v>
      </c>
      <c r="Y11">
        <v>400</v>
      </c>
      <c r="Z11">
        <v>320</v>
      </c>
      <c r="AA11">
        <v>160</v>
      </c>
      <c r="AB11">
        <v>195</v>
      </c>
      <c r="AC11">
        <v>235</v>
      </c>
      <c r="AD11">
        <v>315</v>
      </c>
      <c r="AE11" t="s">
        <v>21</v>
      </c>
      <c r="AF11">
        <v>141</v>
      </c>
      <c r="AG11">
        <v>240</v>
      </c>
      <c r="AH11">
        <v>124</v>
      </c>
      <c r="AI11">
        <v>130</v>
      </c>
      <c r="AJ11">
        <v>130</v>
      </c>
      <c r="AK11">
        <v>122</v>
      </c>
      <c r="AL11" t="s">
        <v>21</v>
      </c>
      <c r="AM11">
        <v>144</v>
      </c>
      <c r="AN11">
        <v>133</v>
      </c>
      <c r="AO11" t="s">
        <v>21</v>
      </c>
      <c r="AP11">
        <v>236</v>
      </c>
      <c r="AQ11">
        <v>130</v>
      </c>
      <c r="AR11">
        <v>125</v>
      </c>
      <c r="AS11" t="s">
        <v>21</v>
      </c>
      <c r="AT11">
        <v>230</v>
      </c>
      <c r="AU11">
        <v>256</v>
      </c>
      <c r="AV11">
        <v>122</v>
      </c>
      <c r="AW11">
        <v>120</v>
      </c>
      <c r="AX11">
        <v>120</v>
      </c>
      <c r="AY11">
        <v>79</v>
      </c>
      <c r="AZ11">
        <v>165</v>
      </c>
      <c r="BA11">
        <v>124</v>
      </c>
      <c r="BB11">
        <v>110</v>
      </c>
      <c r="BC11">
        <v>120</v>
      </c>
      <c r="BD11" t="s">
        <v>21</v>
      </c>
      <c r="BE11">
        <v>124</v>
      </c>
      <c r="BF11" t="s">
        <v>21</v>
      </c>
      <c r="BG11">
        <v>165</v>
      </c>
      <c r="BH11">
        <v>102</v>
      </c>
      <c r="BI11">
        <v>140</v>
      </c>
    </row>
    <row r="12" spans="1:61" x14ac:dyDescent="0.25">
      <c r="B12" s="2">
        <v>34213</v>
      </c>
      <c r="C12">
        <v>177</v>
      </c>
      <c r="D12">
        <v>250</v>
      </c>
      <c r="E12">
        <v>215</v>
      </c>
      <c r="F12">
        <v>210</v>
      </c>
      <c r="G12">
        <v>340</v>
      </c>
      <c r="H12">
        <v>217</v>
      </c>
      <c r="I12">
        <v>163</v>
      </c>
      <c r="J12">
        <v>560</v>
      </c>
      <c r="K12">
        <v>332</v>
      </c>
      <c r="L12">
        <v>283</v>
      </c>
      <c r="M12">
        <v>184</v>
      </c>
      <c r="N12">
        <v>320</v>
      </c>
      <c r="O12">
        <v>478</v>
      </c>
      <c r="P12">
        <v>200</v>
      </c>
      <c r="Q12">
        <v>140</v>
      </c>
      <c r="R12">
        <v>170</v>
      </c>
      <c r="S12">
        <v>238</v>
      </c>
      <c r="T12">
        <v>175</v>
      </c>
      <c r="U12">
        <v>251</v>
      </c>
      <c r="V12">
        <v>445</v>
      </c>
      <c r="W12">
        <v>200</v>
      </c>
      <c r="X12">
        <v>258</v>
      </c>
      <c r="Y12">
        <v>365</v>
      </c>
      <c r="Z12">
        <v>279</v>
      </c>
      <c r="AA12">
        <v>160</v>
      </c>
      <c r="AB12">
        <v>200</v>
      </c>
      <c r="AC12">
        <v>232</v>
      </c>
      <c r="AD12">
        <v>310</v>
      </c>
      <c r="AE12" t="s">
        <v>21</v>
      </c>
      <c r="AF12">
        <v>144</v>
      </c>
      <c r="AG12">
        <v>248</v>
      </c>
      <c r="AH12">
        <v>125</v>
      </c>
      <c r="AI12">
        <v>130</v>
      </c>
      <c r="AJ12">
        <v>139</v>
      </c>
      <c r="AK12">
        <v>122</v>
      </c>
      <c r="AL12" t="s">
        <v>21</v>
      </c>
      <c r="AM12">
        <v>147</v>
      </c>
      <c r="AN12">
        <v>130</v>
      </c>
      <c r="AO12" t="s">
        <v>21</v>
      </c>
      <c r="AP12">
        <v>250</v>
      </c>
      <c r="AQ12">
        <v>130</v>
      </c>
      <c r="AR12">
        <v>127</v>
      </c>
      <c r="AS12" t="s">
        <v>21</v>
      </c>
      <c r="AT12">
        <v>230</v>
      </c>
      <c r="AU12">
        <v>260</v>
      </c>
      <c r="AV12">
        <v>130</v>
      </c>
      <c r="AW12">
        <v>125</v>
      </c>
      <c r="AX12">
        <v>117</v>
      </c>
      <c r="AY12">
        <v>79</v>
      </c>
      <c r="AZ12">
        <v>160</v>
      </c>
      <c r="BA12">
        <v>121</v>
      </c>
      <c r="BB12">
        <v>109</v>
      </c>
      <c r="BC12">
        <v>118</v>
      </c>
      <c r="BD12" t="s">
        <v>21</v>
      </c>
      <c r="BE12">
        <v>123</v>
      </c>
      <c r="BF12" t="s">
        <v>21</v>
      </c>
      <c r="BG12">
        <v>165</v>
      </c>
      <c r="BH12">
        <v>103</v>
      </c>
      <c r="BI12">
        <v>142</v>
      </c>
    </row>
    <row r="13" spans="1:61" x14ac:dyDescent="0.25">
      <c r="B13" s="2">
        <v>34304</v>
      </c>
      <c r="C13">
        <v>180</v>
      </c>
      <c r="D13">
        <v>270</v>
      </c>
      <c r="E13">
        <v>219</v>
      </c>
      <c r="F13">
        <v>225</v>
      </c>
      <c r="G13">
        <v>366</v>
      </c>
      <c r="H13">
        <v>230</v>
      </c>
      <c r="I13">
        <v>173</v>
      </c>
      <c r="J13">
        <v>588</v>
      </c>
      <c r="K13">
        <v>370</v>
      </c>
      <c r="L13">
        <v>294</v>
      </c>
      <c r="M13">
        <v>198</v>
      </c>
      <c r="N13">
        <v>332</v>
      </c>
      <c r="O13">
        <v>524</v>
      </c>
      <c r="P13">
        <v>210</v>
      </c>
      <c r="Q13">
        <v>146</v>
      </c>
      <c r="R13">
        <v>167</v>
      </c>
      <c r="S13">
        <v>231</v>
      </c>
      <c r="T13">
        <v>183</v>
      </c>
      <c r="U13">
        <v>245</v>
      </c>
      <c r="V13">
        <v>438</v>
      </c>
      <c r="W13">
        <v>213</v>
      </c>
      <c r="X13">
        <v>257</v>
      </c>
      <c r="Y13">
        <v>395</v>
      </c>
      <c r="Z13">
        <v>310</v>
      </c>
      <c r="AA13">
        <v>165</v>
      </c>
      <c r="AB13">
        <v>205</v>
      </c>
      <c r="AC13">
        <v>238</v>
      </c>
      <c r="AD13">
        <v>302</v>
      </c>
      <c r="AE13" t="s">
        <v>21</v>
      </c>
      <c r="AF13">
        <v>140</v>
      </c>
      <c r="AG13">
        <v>239</v>
      </c>
      <c r="AH13">
        <v>125</v>
      </c>
      <c r="AI13">
        <v>136</v>
      </c>
      <c r="AJ13">
        <v>139</v>
      </c>
      <c r="AK13">
        <v>124</v>
      </c>
      <c r="AL13" t="s">
        <v>21</v>
      </c>
      <c r="AM13">
        <v>146</v>
      </c>
      <c r="AN13">
        <v>136</v>
      </c>
      <c r="AO13" t="s">
        <v>21</v>
      </c>
      <c r="AP13">
        <v>245</v>
      </c>
      <c r="AQ13">
        <v>130</v>
      </c>
      <c r="AR13">
        <v>128</v>
      </c>
      <c r="AS13" t="s">
        <v>21</v>
      </c>
      <c r="AT13">
        <v>244</v>
      </c>
      <c r="AU13">
        <v>259</v>
      </c>
      <c r="AV13">
        <v>125</v>
      </c>
      <c r="AW13">
        <v>125</v>
      </c>
      <c r="AX13">
        <v>122</v>
      </c>
      <c r="AY13">
        <v>83</v>
      </c>
      <c r="AZ13">
        <v>172</v>
      </c>
      <c r="BA13">
        <v>127</v>
      </c>
      <c r="BB13">
        <v>114</v>
      </c>
      <c r="BC13">
        <v>120</v>
      </c>
      <c r="BD13" t="s">
        <v>21</v>
      </c>
      <c r="BE13">
        <v>126</v>
      </c>
      <c r="BF13" t="s">
        <v>21</v>
      </c>
      <c r="BG13">
        <v>169</v>
      </c>
      <c r="BH13">
        <v>105</v>
      </c>
      <c r="BI13">
        <v>145</v>
      </c>
    </row>
    <row r="14" spans="1:61" x14ac:dyDescent="0.25">
      <c r="B14" s="2">
        <v>34394</v>
      </c>
      <c r="C14">
        <v>182</v>
      </c>
      <c r="D14">
        <v>263</v>
      </c>
      <c r="E14">
        <v>226</v>
      </c>
      <c r="F14">
        <v>215</v>
      </c>
      <c r="G14">
        <v>366</v>
      </c>
      <c r="H14">
        <v>240</v>
      </c>
      <c r="I14">
        <v>180</v>
      </c>
      <c r="J14">
        <v>600</v>
      </c>
      <c r="K14" t="s">
        <v>21</v>
      </c>
      <c r="L14">
        <v>296</v>
      </c>
      <c r="M14">
        <v>208</v>
      </c>
      <c r="N14">
        <v>350</v>
      </c>
      <c r="O14">
        <v>500</v>
      </c>
      <c r="P14">
        <v>215</v>
      </c>
      <c r="Q14">
        <v>150</v>
      </c>
      <c r="R14">
        <v>172</v>
      </c>
      <c r="S14">
        <v>235</v>
      </c>
      <c r="T14">
        <v>184</v>
      </c>
      <c r="U14">
        <v>266</v>
      </c>
      <c r="V14">
        <v>440</v>
      </c>
      <c r="W14">
        <v>220</v>
      </c>
      <c r="X14">
        <v>258</v>
      </c>
      <c r="Y14">
        <v>396</v>
      </c>
      <c r="Z14">
        <v>341</v>
      </c>
      <c r="AA14">
        <v>165</v>
      </c>
      <c r="AB14">
        <v>205</v>
      </c>
      <c r="AC14">
        <v>238</v>
      </c>
      <c r="AD14">
        <v>322</v>
      </c>
      <c r="AE14" t="s">
        <v>21</v>
      </c>
      <c r="AF14">
        <v>145</v>
      </c>
      <c r="AG14">
        <v>243</v>
      </c>
      <c r="AH14">
        <v>130</v>
      </c>
      <c r="AI14">
        <v>133</v>
      </c>
      <c r="AJ14">
        <v>135</v>
      </c>
      <c r="AK14">
        <v>125</v>
      </c>
      <c r="AL14" t="s">
        <v>21</v>
      </c>
      <c r="AM14">
        <v>150</v>
      </c>
      <c r="AN14">
        <v>135</v>
      </c>
      <c r="AO14" t="s">
        <v>21</v>
      </c>
      <c r="AP14">
        <v>250</v>
      </c>
      <c r="AQ14">
        <v>132</v>
      </c>
      <c r="AR14">
        <v>129</v>
      </c>
      <c r="AS14" t="s">
        <v>21</v>
      </c>
      <c r="AT14" t="s">
        <v>21</v>
      </c>
      <c r="AU14" t="s">
        <v>21</v>
      </c>
      <c r="AV14">
        <v>128</v>
      </c>
      <c r="AW14">
        <v>125</v>
      </c>
      <c r="AX14">
        <v>123</v>
      </c>
      <c r="AY14">
        <v>77</v>
      </c>
      <c r="AZ14">
        <v>166</v>
      </c>
      <c r="BA14">
        <v>126</v>
      </c>
      <c r="BB14">
        <v>109</v>
      </c>
      <c r="BC14">
        <v>120</v>
      </c>
      <c r="BD14" t="s">
        <v>21</v>
      </c>
      <c r="BE14">
        <v>130</v>
      </c>
      <c r="BF14" t="s">
        <v>21</v>
      </c>
      <c r="BG14">
        <v>170</v>
      </c>
      <c r="BH14">
        <v>106</v>
      </c>
      <c r="BI14">
        <v>145</v>
      </c>
    </row>
    <row r="15" spans="1:61" x14ac:dyDescent="0.25">
      <c r="B15" s="2">
        <v>34486</v>
      </c>
      <c r="C15">
        <v>184</v>
      </c>
      <c r="D15">
        <v>280</v>
      </c>
      <c r="E15">
        <v>239</v>
      </c>
      <c r="F15">
        <v>234</v>
      </c>
      <c r="G15">
        <v>386</v>
      </c>
      <c r="H15">
        <v>249</v>
      </c>
      <c r="I15">
        <v>190</v>
      </c>
      <c r="J15">
        <v>630</v>
      </c>
      <c r="K15" t="s">
        <v>21</v>
      </c>
      <c r="L15">
        <v>322</v>
      </c>
      <c r="M15">
        <v>220</v>
      </c>
      <c r="N15">
        <v>376</v>
      </c>
      <c r="O15">
        <v>550</v>
      </c>
      <c r="P15">
        <v>220</v>
      </c>
      <c r="Q15">
        <v>155</v>
      </c>
      <c r="R15">
        <v>175</v>
      </c>
      <c r="S15">
        <v>288</v>
      </c>
      <c r="T15">
        <v>185</v>
      </c>
      <c r="U15">
        <v>280</v>
      </c>
      <c r="V15">
        <v>456</v>
      </c>
      <c r="W15">
        <v>225</v>
      </c>
      <c r="X15">
        <v>255</v>
      </c>
      <c r="Y15">
        <v>417</v>
      </c>
      <c r="Z15">
        <v>347</v>
      </c>
      <c r="AA15">
        <v>170</v>
      </c>
      <c r="AB15">
        <v>214</v>
      </c>
      <c r="AC15">
        <v>250</v>
      </c>
      <c r="AD15">
        <v>320</v>
      </c>
      <c r="AE15" t="s">
        <v>21</v>
      </c>
      <c r="AF15">
        <v>143</v>
      </c>
      <c r="AG15">
        <v>246</v>
      </c>
      <c r="AH15">
        <v>129</v>
      </c>
      <c r="AI15">
        <v>136</v>
      </c>
      <c r="AJ15">
        <v>140</v>
      </c>
      <c r="AK15">
        <v>125</v>
      </c>
      <c r="AL15" t="s">
        <v>21</v>
      </c>
      <c r="AM15">
        <v>153</v>
      </c>
      <c r="AN15">
        <v>142</v>
      </c>
      <c r="AO15" t="s">
        <v>21</v>
      </c>
      <c r="AP15">
        <v>258</v>
      </c>
      <c r="AQ15">
        <v>134</v>
      </c>
      <c r="AR15">
        <v>129</v>
      </c>
      <c r="AS15" t="s">
        <v>21</v>
      </c>
      <c r="AT15" t="s">
        <v>21</v>
      </c>
      <c r="AU15" t="s">
        <v>21</v>
      </c>
      <c r="AV15">
        <v>123</v>
      </c>
      <c r="AW15">
        <v>125</v>
      </c>
      <c r="AX15">
        <v>122</v>
      </c>
      <c r="AY15">
        <v>80</v>
      </c>
      <c r="AZ15">
        <v>184</v>
      </c>
      <c r="BA15">
        <v>127</v>
      </c>
      <c r="BB15">
        <v>108</v>
      </c>
      <c r="BC15">
        <v>121</v>
      </c>
      <c r="BD15" t="s">
        <v>21</v>
      </c>
      <c r="BE15">
        <v>129</v>
      </c>
      <c r="BF15" t="s">
        <v>21</v>
      </c>
      <c r="BG15">
        <v>172</v>
      </c>
      <c r="BH15">
        <v>108</v>
      </c>
      <c r="BI15">
        <v>148</v>
      </c>
    </row>
    <row r="16" spans="1:61" x14ac:dyDescent="0.25">
      <c r="B16" s="2">
        <v>34578</v>
      </c>
      <c r="C16">
        <v>193</v>
      </c>
      <c r="D16">
        <v>299</v>
      </c>
      <c r="E16">
        <v>240</v>
      </c>
      <c r="F16">
        <v>226</v>
      </c>
      <c r="G16">
        <v>340</v>
      </c>
      <c r="H16">
        <v>250</v>
      </c>
      <c r="I16">
        <v>200</v>
      </c>
      <c r="J16">
        <v>691</v>
      </c>
      <c r="K16">
        <v>370</v>
      </c>
      <c r="L16">
        <v>362</v>
      </c>
      <c r="M16">
        <v>284</v>
      </c>
      <c r="N16">
        <v>405</v>
      </c>
      <c r="O16">
        <v>550</v>
      </c>
      <c r="P16">
        <v>240</v>
      </c>
      <c r="Q16">
        <v>155</v>
      </c>
      <c r="R16">
        <v>180</v>
      </c>
      <c r="S16">
        <v>253</v>
      </c>
      <c r="T16">
        <v>195</v>
      </c>
      <c r="U16">
        <v>289</v>
      </c>
      <c r="V16">
        <v>410</v>
      </c>
      <c r="W16">
        <v>230</v>
      </c>
      <c r="X16">
        <v>280</v>
      </c>
      <c r="Y16">
        <v>435</v>
      </c>
      <c r="Z16">
        <v>390</v>
      </c>
      <c r="AA16">
        <v>180</v>
      </c>
      <c r="AB16">
        <v>225</v>
      </c>
      <c r="AC16">
        <v>268</v>
      </c>
      <c r="AD16">
        <v>345</v>
      </c>
      <c r="AE16">
        <v>405</v>
      </c>
      <c r="AF16">
        <v>153</v>
      </c>
      <c r="AG16">
        <v>260</v>
      </c>
      <c r="AH16">
        <v>129</v>
      </c>
      <c r="AI16">
        <v>136</v>
      </c>
      <c r="AJ16">
        <v>138</v>
      </c>
      <c r="AK16">
        <v>126</v>
      </c>
      <c r="AL16">
        <v>147</v>
      </c>
      <c r="AM16">
        <v>153</v>
      </c>
      <c r="AN16">
        <v>140</v>
      </c>
      <c r="AO16">
        <v>160</v>
      </c>
      <c r="AP16">
        <v>250</v>
      </c>
      <c r="AQ16">
        <v>135</v>
      </c>
      <c r="AR16">
        <v>134</v>
      </c>
      <c r="AS16">
        <v>330</v>
      </c>
      <c r="AT16">
        <v>235</v>
      </c>
      <c r="AU16">
        <v>290</v>
      </c>
      <c r="AV16">
        <v>145</v>
      </c>
      <c r="AW16">
        <v>128</v>
      </c>
      <c r="AX16">
        <v>126</v>
      </c>
      <c r="AY16">
        <v>86</v>
      </c>
      <c r="AZ16">
        <v>165</v>
      </c>
      <c r="BA16">
        <v>122</v>
      </c>
      <c r="BB16">
        <v>110</v>
      </c>
      <c r="BC16">
        <v>123</v>
      </c>
      <c r="BD16">
        <v>140</v>
      </c>
      <c r="BE16">
        <v>130</v>
      </c>
      <c r="BF16">
        <v>150</v>
      </c>
      <c r="BG16">
        <v>180</v>
      </c>
      <c r="BH16">
        <v>113</v>
      </c>
      <c r="BI16">
        <v>153</v>
      </c>
    </row>
    <row r="17" spans="2:61" x14ac:dyDescent="0.25">
      <c r="B17" s="2">
        <v>34669</v>
      </c>
      <c r="C17">
        <v>200</v>
      </c>
      <c r="D17">
        <v>297</v>
      </c>
      <c r="E17">
        <v>230</v>
      </c>
      <c r="F17">
        <v>245</v>
      </c>
      <c r="G17">
        <v>371</v>
      </c>
      <c r="H17">
        <v>257</v>
      </c>
      <c r="I17">
        <v>200</v>
      </c>
      <c r="J17">
        <v>600</v>
      </c>
      <c r="K17">
        <v>450</v>
      </c>
      <c r="L17">
        <v>342</v>
      </c>
      <c r="M17">
        <v>280</v>
      </c>
      <c r="N17">
        <v>372</v>
      </c>
      <c r="O17">
        <v>636</v>
      </c>
      <c r="P17">
        <v>238</v>
      </c>
      <c r="Q17">
        <v>159</v>
      </c>
      <c r="R17">
        <v>185</v>
      </c>
      <c r="S17">
        <v>273</v>
      </c>
      <c r="T17">
        <v>195</v>
      </c>
      <c r="U17">
        <v>300</v>
      </c>
      <c r="V17">
        <v>420</v>
      </c>
      <c r="W17">
        <v>231</v>
      </c>
      <c r="X17">
        <v>283</v>
      </c>
      <c r="Y17">
        <v>420</v>
      </c>
      <c r="Z17">
        <v>398</v>
      </c>
      <c r="AA17">
        <v>180</v>
      </c>
      <c r="AB17">
        <v>219</v>
      </c>
      <c r="AC17">
        <v>268</v>
      </c>
      <c r="AD17">
        <v>375</v>
      </c>
      <c r="AE17">
        <v>385</v>
      </c>
      <c r="AF17">
        <v>157</v>
      </c>
      <c r="AG17">
        <v>254</v>
      </c>
      <c r="AH17">
        <v>130</v>
      </c>
      <c r="AI17">
        <v>136</v>
      </c>
      <c r="AJ17">
        <v>156</v>
      </c>
      <c r="AK17">
        <v>127</v>
      </c>
      <c r="AL17">
        <v>143</v>
      </c>
      <c r="AM17">
        <v>160</v>
      </c>
      <c r="AN17">
        <v>145</v>
      </c>
      <c r="AO17">
        <v>160</v>
      </c>
      <c r="AP17">
        <v>265</v>
      </c>
      <c r="AQ17">
        <v>140</v>
      </c>
      <c r="AR17">
        <v>133</v>
      </c>
      <c r="AS17">
        <v>347</v>
      </c>
      <c r="AT17">
        <v>250</v>
      </c>
      <c r="AU17">
        <v>300</v>
      </c>
      <c r="AV17">
        <v>135</v>
      </c>
      <c r="AW17">
        <v>131</v>
      </c>
      <c r="AX17">
        <v>130</v>
      </c>
      <c r="AY17">
        <v>86</v>
      </c>
      <c r="AZ17">
        <v>190</v>
      </c>
      <c r="BA17">
        <v>128</v>
      </c>
      <c r="BB17">
        <v>116</v>
      </c>
      <c r="BC17">
        <v>116</v>
      </c>
      <c r="BD17">
        <v>135</v>
      </c>
      <c r="BE17">
        <v>131</v>
      </c>
      <c r="BF17">
        <v>155</v>
      </c>
      <c r="BG17">
        <v>183</v>
      </c>
      <c r="BH17">
        <v>117</v>
      </c>
      <c r="BI17">
        <v>158</v>
      </c>
    </row>
    <row r="18" spans="2:61" x14ac:dyDescent="0.25">
      <c r="B18" s="2">
        <v>34759</v>
      </c>
      <c r="C18">
        <v>192</v>
      </c>
      <c r="D18">
        <v>286</v>
      </c>
      <c r="E18">
        <v>240</v>
      </c>
      <c r="F18">
        <v>225</v>
      </c>
      <c r="G18">
        <v>386</v>
      </c>
      <c r="H18">
        <v>246</v>
      </c>
      <c r="I18">
        <v>185</v>
      </c>
      <c r="J18">
        <v>613</v>
      </c>
      <c r="K18">
        <v>400</v>
      </c>
      <c r="L18">
        <v>343</v>
      </c>
      <c r="M18">
        <v>255</v>
      </c>
      <c r="N18">
        <v>363</v>
      </c>
      <c r="O18">
        <v>525</v>
      </c>
      <c r="P18">
        <v>236</v>
      </c>
      <c r="Q18">
        <v>162</v>
      </c>
      <c r="R18">
        <v>180</v>
      </c>
      <c r="S18">
        <v>257</v>
      </c>
      <c r="T18">
        <v>199</v>
      </c>
      <c r="U18">
        <v>275</v>
      </c>
      <c r="V18">
        <v>465</v>
      </c>
      <c r="W18">
        <v>240</v>
      </c>
      <c r="X18">
        <v>275</v>
      </c>
      <c r="Y18">
        <v>427</v>
      </c>
      <c r="Z18">
        <v>365</v>
      </c>
      <c r="AA18">
        <v>180</v>
      </c>
      <c r="AB18">
        <v>230</v>
      </c>
      <c r="AC18">
        <v>263</v>
      </c>
      <c r="AD18">
        <v>348</v>
      </c>
      <c r="AE18">
        <v>378</v>
      </c>
      <c r="AF18">
        <v>155</v>
      </c>
      <c r="AG18">
        <v>260</v>
      </c>
      <c r="AH18">
        <v>130</v>
      </c>
      <c r="AI18">
        <v>135</v>
      </c>
      <c r="AJ18">
        <v>155</v>
      </c>
      <c r="AK18">
        <v>125</v>
      </c>
      <c r="AL18">
        <v>142</v>
      </c>
      <c r="AM18">
        <v>160</v>
      </c>
      <c r="AN18">
        <v>144</v>
      </c>
      <c r="AO18">
        <v>165</v>
      </c>
      <c r="AP18">
        <v>250</v>
      </c>
      <c r="AQ18">
        <v>144</v>
      </c>
      <c r="AR18">
        <v>132</v>
      </c>
      <c r="AS18">
        <v>329</v>
      </c>
      <c r="AT18">
        <v>251</v>
      </c>
      <c r="AU18">
        <v>290</v>
      </c>
      <c r="AV18">
        <v>133</v>
      </c>
      <c r="AW18">
        <v>127</v>
      </c>
      <c r="AX18">
        <v>132</v>
      </c>
      <c r="AY18">
        <v>90</v>
      </c>
      <c r="AZ18">
        <v>208</v>
      </c>
      <c r="BA18">
        <v>127</v>
      </c>
      <c r="BB18">
        <v>117</v>
      </c>
      <c r="BC18">
        <v>122</v>
      </c>
      <c r="BD18">
        <v>130</v>
      </c>
      <c r="BE18">
        <v>135</v>
      </c>
      <c r="BF18">
        <v>155</v>
      </c>
      <c r="BG18">
        <v>178</v>
      </c>
      <c r="BH18">
        <v>115</v>
      </c>
      <c r="BI18">
        <v>154</v>
      </c>
    </row>
    <row r="19" spans="2:61" x14ac:dyDescent="0.25">
      <c r="B19" s="2">
        <v>34851</v>
      </c>
      <c r="C19">
        <v>198</v>
      </c>
      <c r="D19">
        <v>291</v>
      </c>
      <c r="E19">
        <v>217</v>
      </c>
      <c r="F19">
        <v>211</v>
      </c>
      <c r="G19">
        <v>393</v>
      </c>
      <c r="H19">
        <v>250</v>
      </c>
      <c r="I19">
        <v>195</v>
      </c>
      <c r="J19">
        <v>660</v>
      </c>
      <c r="K19">
        <v>399</v>
      </c>
      <c r="L19">
        <v>331</v>
      </c>
      <c r="M19">
        <v>245</v>
      </c>
      <c r="N19">
        <v>360</v>
      </c>
      <c r="O19">
        <v>575</v>
      </c>
      <c r="P19">
        <v>233</v>
      </c>
      <c r="Q19">
        <v>155</v>
      </c>
      <c r="R19">
        <v>181</v>
      </c>
      <c r="S19">
        <v>244</v>
      </c>
      <c r="T19">
        <v>206</v>
      </c>
      <c r="U19">
        <v>274</v>
      </c>
      <c r="V19">
        <v>475</v>
      </c>
      <c r="W19">
        <v>233</v>
      </c>
      <c r="X19">
        <v>286</v>
      </c>
      <c r="Y19">
        <v>420</v>
      </c>
      <c r="Z19">
        <v>383</v>
      </c>
      <c r="AA19">
        <v>177</v>
      </c>
      <c r="AB19">
        <v>213</v>
      </c>
      <c r="AC19">
        <v>270</v>
      </c>
      <c r="AD19">
        <v>345</v>
      </c>
      <c r="AE19">
        <v>379</v>
      </c>
      <c r="AF19">
        <v>160</v>
      </c>
      <c r="AG19">
        <v>247</v>
      </c>
      <c r="AH19">
        <v>129</v>
      </c>
      <c r="AI19">
        <v>144</v>
      </c>
      <c r="AJ19">
        <v>147</v>
      </c>
      <c r="AK19">
        <v>127</v>
      </c>
      <c r="AL19">
        <v>145</v>
      </c>
      <c r="AM19">
        <v>156</v>
      </c>
      <c r="AN19">
        <v>140</v>
      </c>
      <c r="AO19">
        <v>162</v>
      </c>
      <c r="AP19">
        <v>249</v>
      </c>
      <c r="AQ19">
        <v>153</v>
      </c>
      <c r="AR19">
        <v>134</v>
      </c>
      <c r="AS19">
        <v>326</v>
      </c>
      <c r="AT19">
        <v>250</v>
      </c>
      <c r="AU19">
        <v>285</v>
      </c>
      <c r="AV19">
        <v>134</v>
      </c>
      <c r="AW19">
        <v>130</v>
      </c>
      <c r="AX19">
        <v>130</v>
      </c>
      <c r="AY19">
        <v>80</v>
      </c>
      <c r="AZ19">
        <v>181</v>
      </c>
      <c r="BA19">
        <v>128</v>
      </c>
      <c r="BB19">
        <v>115</v>
      </c>
      <c r="BC19">
        <v>123</v>
      </c>
      <c r="BD19">
        <v>140</v>
      </c>
      <c r="BE19">
        <v>130</v>
      </c>
      <c r="BF19">
        <v>155</v>
      </c>
      <c r="BG19">
        <v>180</v>
      </c>
      <c r="BH19">
        <v>115</v>
      </c>
      <c r="BI19">
        <v>158</v>
      </c>
    </row>
    <row r="20" spans="2:61" x14ac:dyDescent="0.25">
      <c r="B20" s="2">
        <v>34943</v>
      </c>
      <c r="C20">
        <v>197</v>
      </c>
      <c r="D20">
        <v>282</v>
      </c>
      <c r="E20">
        <v>241</v>
      </c>
      <c r="F20">
        <v>230</v>
      </c>
      <c r="G20">
        <v>376</v>
      </c>
      <c r="H20">
        <v>255</v>
      </c>
      <c r="I20">
        <v>193</v>
      </c>
      <c r="J20">
        <v>594</v>
      </c>
      <c r="K20">
        <v>388</v>
      </c>
      <c r="L20">
        <v>321</v>
      </c>
      <c r="M20">
        <v>245</v>
      </c>
      <c r="N20">
        <v>370</v>
      </c>
      <c r="O20">
        <v>600</v>
      </c>
      <c r="P20">
        <v>230</v>
      </c>
      <c r="Q20">
        <v>161</v>
      </c>
      <c r="R20">
        <v>179</v>
      </c>
      <c r="S20">
        <v>243</v>
      </c>
      <c r="T20">
        <v>197</v>
      </c>
      <c r="U20">
        <v>278</v>
      </c>
      <c r="V20">
        <v>358</v>
      </c>
      <c r="W20">
        <v>230</v>
      </c>
      <c r="X20">
        <v>278</v>
      </c>
      <c r="Y20">
        <v>430</v>
      </c>
      <c r="Z20">
        <v>379</v>
      </c>
      <c r="AA20">
        <v>178</v>
      </c>
      <c r="AB20">
        <v>228</v>
      </c>
      <c r="AC20">
        <v>265</v>
      </c>
      <c r="AD20">
        <v>324</v>
      </c>
      <c r="AE20">
        <v>390</v>
      </c>
      <c r="AF20">
        <v>159</v>
      </c>
      <c r="AG20">
        <v>242</v>
      </c>
      <c r="AH20">
        <v>130</v>
      </c>
      <c r="AI20">
        <v>145</v>
      </c>
      <c r="AJ20">
        <v>148</v>
      </c>
      <c r="AK20">
        <v>125</v>
      </c>
      <c r="AL20">
        <v>143</v>
      </c>
      <c r="AM20">
        <v>154</v>
      </c>
      <c r="AN20">
        <v>148</v>
      </c>
      <c r="AO20">
        <v>165</v>
      </c>
      <c r="AP20">
        <v>245</v>
      </c>
      <c r="AQ20">
        <v>145</v>
      </c>
      <c r="AR20">
        <v>133</v>
      </c>
      <c r="AS20">
        <v>324</v>
      </c>
      <c r="AT20">
        <v>240</v>
      </c>
      <c r="AU20">
        <v>288</v>
      </c>
      <c r="AV20">
        <v>141</v>
      </c>
      <c r="AW20">
        <v>130</v>
      </c>
      <c r="AX20">
        <v>128</v>
      </c>
      <c r="AY20">
        <v>75</v>
      </c>
      <c r="AZ20">
        <v>176</v>
      </c>
      <c r="BA20">
        <v>125</v>
      </c>
      <c r="BB20">
        <v>118</v>
      </c>
      <c r="BC20">
        <v>118</v>
      </c>
      <c r="BD20">
        <v>140</v>
      </c>
      <c r="BE20">
        <v>131</v>
      </c>
      <c r="BF20">
        <v>155</v>
      </c>
      <c r="BG20">
        <v>180</v>
      </c>
      <c r="BH20">
        <v>112</v>
      </c>
      <c r="BI20">
        <v>158</v>
      </c>
    </row>
    <row r="21" spans="2:61" x14ac:dyDescent="0.25">
      <c r="B21" s="2">
        <v>35034</v>
      </c>
      <c r="C21">
        <v>200</v>
      </c>
      <c r="D21">
        <v>285</v>
      </c>
      <c r="E21">
        <v>247</v>
      </c>
      <c r="F21">
        <v>238</v>
      </c>
      <c r="G21">
        <v>363</v>
      </c>
      <c r="H21">
        <v>255</v>
      </c>
      <c r="I21">
        <v>190</v>
      </c>
      <c r="J21">
        <v>568</v>
      </c>
      <c r="K21">
        <v>360</v>
      </c>
      <c r="L21">
        <v>345</v>
      </c>
      <c r="M21">
        <v>253</v>
      </c>
      <c r="N21">
        <v>402</v>
      </c>
      <c r="O21">
        <v>561</v>
      </c>
      <c r="P21">
        <v>230</v>
      </c>
      <c r="Q21">
        <v>160</v>
      </c>
      <c r="R21">
        <v>178</v>
      </c>
      <c r="S21">
        <v>250</v>
      </c>
      <c r="T21">
        <v>187</v>
      </c>
      <c r="U21">
        <v>286</v>
      </c>
      <c r="V21">
        <v>535</v>
      </c>
      <c r="W21">
        <v>222</v>
      </c>
      <c r="X21">
        <v>289</v>
      </c>
      <c r="Y21">
        <v>430</v>
      </c>
      <c r="Z21">
        <v>430</v>
      </c>
      <c r="AA21">
        <v>175</v>
      </c>
      <c r="AB21">
        <v>222</v>
      </c>
      <c r="AC21">
        <v>254</v>
      </c>
      <c r="AD21">
        <v>310</v>
      </c>
      <c r="AE21">
        <v>385</v>
      </c>
      <c r="AF21">
        <v>163</v>
      </c>
      <c r="AG21">
        <v>255</v>
      </c>
      <c r="AH21">
        <v>131</v>
      </c>
      <c r="AI21">
        <v>140</v>
      </c>
      <c r="AJ21">
        <v>148</v>
      </c>
      <c r="AK21">
        <v>125</v>
      </c>
      <c r="AL21">
        <v>140</v>
      </c>
      <c r="AM21">
        <v>160</v>
      </c>
      <c r="AN21">
        <v>151</v>
      </c>
      <c r="AO21">
        <v>159</v>
      </c>
      <c r="AP21">
        <v>250</v>
      </c>
      <c r="AQ21">
        <v>149</v>
      </c>
      <c r="AR21">
        <v>133</v>
      </c>
      <c r="AS21">
        <v>340</v>
      </c>
      <c r="AT21">
        <v>243</v>
      </c>
      <c r="AU21">
        <v>295</v>
      </c>
      <c r="AV21">
        <v>150</v>
      </c>
      <c r="AW21">
        <v>129</v>
      </c>
      <c r="AX21">
        <v>130</v>
      </c>
      <c r="AY21">
        <v>77</v>
      </c>
      <c r="AZ21">
        <v>182</v>
      </c>
      <c r="BA21">
        <v>128</v>
      </c>
      <c r="BB21">
        <v>115</v>
      </c>
      <c r="BC21">
        <v>120</v>
      </c>
      <c r="BD21">
        <v>140</v>
      </c>
      <c r="BE21">
        <v>128</v>
      </c>
      <c r="BF21">
        <v>154</v>
      </c>
      <c r="BG21">
        <v>185</v>
      </c>
      <c r="BH21">
        <v>115</v>
      </c>
      <c r="BI21">
        <v>162</v>
      </c>
    </row>
    <row r="22" spans="2:61" x14ac:dyDescent="0.25">
      <c r="B22" s="2">
        <v>35125</v>
      </c>
      <c r="C22">
        <v>200</v>
      </c>
      <c r="D22">
        <v>291</v>
      </c>
      <c r="E22">
        <v>229</v>
      </c>
      <c r="F22">
        <v>242</v>
      </c>
      <c r="G22">
        <v>419</v>
      </c>
      <c r="H22">
        <v>260</v>
      </c>
      <c r="I22">
        <v>205</v>
      </c>
      <c r="J22">
        <v>719</v>
      </c>
      <c r="K22">
        <v>366</v>
      </c>
      <c r="L22">
        <v>333</v>
      </c>
      <c r="M22">
        <v>251</v>
      </c>
      <c r="N22">
        <v>415</v>
      </c>
      <c r="O22">
        <v>550</v>
      </c>
      <c r="P22">
        <v>235</v>
      </c>
      <c r="Q22">
        <v>170</v>
      </c>
      <c r="R22">
        <v>182</v>
      </c>
      <c r="S22">
        <v>238</v>
      </c>
      <c r="T22">
        <v>200</v>
      </c>
      <c r="U22">
        <v>294</v>
      </c>
      <c r="V22">
        <v>375</v>
      </c>
      <c r="W22">
        <v>235</v>
      </c>
      <c r="X22">
        <v>295</v>
      </c>
      <c r="Y22">
        <v>425</v>
      </c>
      <c r="Z22">
        <v>380</v>
      </c>
      <c r="AA22">
        <v>171</v>
      </c>
      <c r="AB22">
        <v>225</v>
      </c>
      <c r="AC22">
        <v>258</v>
      </c>
      <c r="AD22">
        <v>352</v>
      </c>
      <c r="AE22">
        <v>377</v>
      </c>
      <c r="AF22">
        <v>164</v>
      </c>
      <c r="AG22">
        <v>250</v>
      </c>
      <c r="AH22">
        <v>137</v>
      </c>
      <c r="AI22">
        <v>145</v>
      </c>
      <c r="AJ22">
        <v>159</v>
      </c>
      <c r="AK22">
        <v>130</v>
      </c>
      <c r="AL22">
        <v>144</v>
      </c>
      <c r="AM22">
        <v>160</v>
      </c>
      <c r="AN22">
        <v>140</v>
      </c>
      <c r="AO22">
        <v>162</v>
      </c>
      <c r="AP22">
        <v>255</v>
      </c>
      <c r="AQ22">
        <v>153</v>
      </c>
      <c r="AR22">
        <v>133</v>
      </c>
      <c r="AS22">
        <v>337</v>
      </c>
      <c r="AT22">
        <v>247</v>
      </c>
      <c r="AU22">
        <v>300</v>
      </c>
      <c r="AV22">
        <v>137</v>
      </c>
      <c r="AW22">
        <v>130</v>
      </c>
      <c r="AX22">
        <v>133</v>
      </c>
      <c r="AY22">
        <v>84</v>
      </c>
      <c r="AZ22">
        <v>190</v>
      </c>
      <c r="BA22">
        <v>128</v>
      </c>
      <c r="BB22">
        <v>115</v>
      </c>
      <c r="BC22">
        <v>124</v>
      </c>
      <c r="BD22">
        <v>145</v>
      </c>
      <c r="BE22">
        <v>135</v>
      </c>
      <c r="BF22">
        <v>152</v>
      </c>
      <c r="BG22">
        <v>181</v>
      </c>
      <c r="BH22">
        <v>115</v>
      </c>
      <c r="BI22">
        <v>160</v>
      </c>
    </row>
    <row r="23" spans="2:61" x14ac:dyDescent="0.25">
      <c r="B23" s="2">
        <v>35217</v>
      </c>
      <c r="C23">
        <v>210</v>
      </c>
      <c r="D23">
        <v>315</v>
      </c>
      <c r="E23">
        <v>248</v>
      </c>
      <c r="F23">
        <v>245</v>
      </c>
      <c r="G23">
        <v>400</v>
      </c>
      <c r="H23">
        <v>265</v>
      </c>
      <c r="I23">
        <v>210</v>
      </c>
      <c r="J23">
        <v>675</v>
      </c>
      <c r="K23">
        <v>450</v>
      </c>
      <c r="L23">
        <v>371</v>
      </c>
      <c r="M23">
        <v>263</v>
      </c>
      <c r="N23">
        <v>400</v>
      </c>
      <c r="O23">
        <v>614</v>
      </c>
      <c r="P23">
        <v>242</v>
      </c>
      <c r="Q23">
        <v>173</v>
      </c>
      <c r="R23">
        <v>185</v>
      </c>
      <c r="S23">
        <v>265</v>
      </c>
      <c r="T23">
        <v>210</v>
      </c>
      <c r="U23">
        <v>308</v>
      </c>
      <c r="V23">
        <v>385</v>
      </c>
      <c r="W23">
        <v>245</v>
      </c>
      <c r="X23">
        <v>317</v>
      </c>
      <c r="Y23">
        <v>418</v>
      </c>
      <c r="Z23">
        <v>390</v>
      </c>
      <c r="AA23">
        <v>172</v>
      </c>
      <c r="AB23">
        <v>238</v>
      </c>
      <c r="AC23">
        <v>257</v>
      </c>
      <c r="AD23">
        <v>371</v>
      </c>
      <c r="AE23">
        <v>400</v>
      </c>
      <c r="AF23">
        <v>168</v>
      </c>
      <c r="AG23">
        <v>257</v>
      </c>
      <c r="AH23">
        <v>135</v>
      </c>
      <c r="AI23">
        <v>142</v>
      </c>
      <c r="AJ23">
        <v>158</v>
      </c>
      <c r="AK23">
        <v>127</v>
      </c>
      <c r="AL23">
        <v>148</v>
      </c>
      <c r="AM23">
        <v>163</v>
      </c>
      <c r="AN23">
        <v>154</v>
      </c>
      <c r="AO23">
        <v>157</v>
      </c>
      <c r="AP23">
        <v>255</v>
      </c>
      <c r="AQ23">
        <v>156</v>
      </c>
      <c r="AR23">
        <v>134</v>
      </c>
      <c r="AS23">
        <v>350</v>
      </c>
      <c r="AT23">
        <v>256</v>
      </c>
      <c r="AU23">
        <v>298</v>
      </c>
      <c r="AV23">
        <v>155</v>
      </c>
      <c r="AW23">
        <v>130</v>
      </c>
      <c r="AX23">
        <v>130</v>
      </c>
      <c r="AY23">
        <v>79</v>
      </c>
      <c r="AZ23">
        <v>180</v>
      </c>
      <c r="BA23">
        <v>129</v>
      </c>
      <c r="BB23">
        <v>114</v>
      </c>
      <c r="BC23">
        <v>125</v>
      </c>
      <c r="BD23">
        <v>140</v>
      </c>
      <c r="BE23">
        <v>135</v>
      </c>
      <c r="BF23">
        <v>155</v>
      </c>
      <c r="BG23">
        <v>192</v>
      </c>
      <c r="BH23">
        <v>116</v>
      </c>
      <c r="BI23">
        <v>167</v>
      </c>
    </row>
    <row r="24" spans="2:61" x14ac:dyDescent="0.25">
      <c r="B24" s="2">
        <v>35309</v>
      </c>
      <c r="C24">
        <v>212</v>
      </c>
      <c r="D24">
        <v>325</v>
      </c>
      <c r="E24">
        <v>250</v>
      </c>
      <c r="F24">
        <v>260</v>
      </c>
      <c r="G24">
        <v>406</v>
      </c>
      <c r="H24">
        <v>279</v>
      </c>
      <c r="I24">
        <v>214</v>
      </c>
      <c r="J24">
        <v>785</v>
      </c>
      <c r="K24">
        <v>485</v>
      </c>
      <c r="L24">
        <v>393</v>
      </c>
      <c r="M24">
        <v>282</v>
      </c>
      <c r="N24">
        <v>356</v>
      </c>
      <c r="O24">
        <v>648</v>
      </c>
      <c r="P24">
        <v>246</v>
      </c>
      <c r="Q24">
        <v>164</v>
      </c>
      <c r="R24">
        <v>186</v>
      </c>
      <c r="S24">
        <v>240</v>
      </c>
      <c r="T24">
        <v>215</v>
      </c>
      <c r="U24">
        <v>300</v>
      </c>
      <c r="V24">
        <v>458</v>
      </c>
      <c r="W24">
        <v>240</v>
      </c>
      <c r="X24">
        <v>304</v>
      </c>
      <c r="Y24">
        <v>437</v>
      </c>
      <c r="Z24">
        <v>430</v>
      </c>
      <c r="AA24">
        <v>178</v>
      </c>
      <c r="AB24">
        <v>242</v>
      </c>
      <c r="AC24">
        <v>265</v>
      </c>
      <c r="AD24">
        <v>269</v>
      </c>
      <c r="AE24">
        <v>419</v>
      </c>
      <c r="AF24">
        <v>168</v>
      </c>
      <c r="AG24">
        <v>251</v>
      </c>
      <c r="AH24">
        <v>135</v>
      </c>
      <c r="AI24">
        <v>140</v>
      </c>
      <c r="AJ24">
        <v>154</v>
      </c>
      <c r="AK24">
        <v>127</v>
      </c>
      <c r="AL24">
        <v>147</v>
      </c>
      <c r="AM24">
        <v>162</v>
      </c>
      <c r="AN24">
        <v>145</v>
      </c>
      <c r="AO24">
        <v>164</v>
      </c>
      <c r="AP24">
        <v>252</v>
      </c>
      <c r="AQ24">
        <v>155</v>
      </c>
      <c r="AR24">
        <v>134</v>
      </c>
      <c r="AS24">
        <v>351</v>
      </c>
      <c r="AT24">
        <v>260</v>
      </c>
      <c r="AU24">
        <v>299</v>
      </c>
      <c r="AV24">
        <v>143</v>
      </c>
      <c r="AW24">
        <v>130</v>
      </c>
      <c r="AX24">
        <v>133</v>
      </c>
      <c r="AY24">
        <v>78</v>
      </c>
      <c r="AZ24">
        <v>185</v>
      </c>
      <c r="BA24">
        <v>130</v>
      </c>
      <c r="BB24">
        <v>110</v>
      </c>
      <c r="BC24">
        <v>122</v>
      </c>
      <c r="BD24">
        <v>149</v>
      </c>
      <c r="BE24">
        <v>136</v>
      </c>
      <c r="BF24">
        <v>158</v>
      </c>
      <c r="BG24">
        <v>195</v>
      </c>
      <c r="BH24">
        <v>115</v>
      </c>
      <c r="BI24">
        <v>168</v>
      </c>
    </row>
    <row r="25" spans="2:61" x14ac:dyDescent="0.25">
      <c r="B25" s="2">
        <v>35400</v>
      </c>
      <c r="C25">
        <v>223</v>
      </c>
      <c r="D25">
        <v>335</v>
      </c>
      <c r="E25">
        <v>269</v>
      </c>
      <c r="F25">
        <v>268</v>
      </c>
      <c r="G25">
        <v>425</v>
      </c>
      <c r="H25">
        <v>300</v>
      </c>
      <c r="I25">
        <v>225</v>
      </c>
      <c r="J25">
        <v>420</v>
      </c>
      <c r="K25">
        <v>500</v>
      </c>
      <c r="L25">
        <v>380</v>
      </c>
      <c r="M25">
        <v>285</v>
      </c>
      <c r="N25">
        <v>505</v>
      </c>
      <c r="O25">
        <v>765</v>
      </c>
      <c r="P25">
        <v>260</v>
      </c>
      <c r="Q25">
        <v>174</v>
      </c>
      <c r="R25">
        <v>185</v>
      </c>
      <c r="S25">
        <v>295</v>
      </c>
      <c r="T25">
        <v>210</v>
      </c>
      <c r="U25">
        <v>312</v>
      </c>
      <c r="V25">
        <v>453</v>
      </c>
      <c r="W25">
        <v>249</v>
      </c>
      <c r="X25">
        <v>293</v>
      </c>
      <c r="Y25">
        <v>437</v>
      </c>
      <c r="Z25">
        <v>460</v>
      </c>
      <c r="AA25">
        <v>178</v>
      </c>
      <c r="AB25">
        <v>250</v>
      </c>
      <c r="AC25">
        <v>270</v>
      </c>
      <c r="AD25">
        <v>400</v>
      </c>
      <c r="AE25">
        <v>429</v>
      </c>
      <c r="AF25">
        <v>175</v>
      </c>
      <c r="AG25">
        <v>267</v>
      </c>
      <c r="AH25">
        <v>133</v>
      </c>
      <c r="AI25">
        <v>148</v>
      </c>
      <c r="AJ25">
        <v>156</v>
      </c>
      <c r="AK25">
        <v>130</v>
      </c>
      <c r="AL25">
        <v>145</v>
      </c>
      <c r="AM25">
        <v>165</v>
      </c>
      <c r="AN25">
        <v>147</v>
      </c>
      <c r="AO25">
        <v>169</v>
      </c>
      <c r="AP25">
        <v>260</v>
      </c>
      <c r="AQ25">
        <v>155</v>
      </c>
      <c r="AR25">
        <v>135</v>
      </c>
      <c r="AS25">
        <v>370</v>
      </c>
      <c r="AT25">
        <v>260</v>
      </c>
      <c r="AU25">
        <v>320</v>
      </c>
      <c r="AV25">
        <v>163</v>
      </c>
      <c r="AW25">
        <v>135</v>
      </c>
      <c r="AX25">
        <v>135</v>
      </c>
      <c r="AY25">
        <v>83</v>
      </c>
      <c r="AZ25">
        <v>174</v>
      </c>
      <c r="BA25">
        <v>130</v>
      </c>
      <c r="BB25">
        <v>119</v>
      </c>
      <c r="BC25">
        <v>123</v>
      </c>
      <c r="BD25">
        <v>148</v>
      </c>
      <c r="BE25">
        <v>143</v>
      </c>
      <c r="BF25">
        <v>159</v>
      </c>
      <c r="BG25">
        <v>204</v>
      </c>
      <c r="BH25">
        <v>118</v>
      </c>
      <c r="BI25">
        <v>174</v>
      </c>
    </row>
    <row r="26" spans="2:61" x14ac:dyDescent="0.25">
      <c r="B26" s="2">
        <v>35490</v>
      </c>
      <c r="C26">
        <v>223</v>
      </c>
      <c r="D26">
        <v>350</v>
      </c>
      <c r="E26">
        <v>290</v>
      </c>
      <c r="F26">
        <v>287</v>
      </c>
      <c r="G26">
        <v>415</v>
      </c>
      <c r="H26">
        <v>310</v>
      </c>
      <c r="I26">
        <v>235</v>
      </c>
      <c r="J26">
        <v>660</v>
      </c>
      <c r="K26">
        <v>426</v>
      </c>
      <c r="L26">
        <v>415</v>
      </c>
      <c r="M26">
        <v>308</v>
      </c>
      <c r="N26">
        <v>493</v>
      </c>
      <c r="O26">
        <v>735</v>
      </c>
      <c r="P26">
        <v>262</v>
      </c>
      <c r="Q26">
        <v>184</v>
      </c>
      <c r="R26">
        <v>198</v>
      </c>
      <c r="S26">
        <v>301</v>
      </c>
      <c r="T26">
        <v>214</v>
      </c>
      <c r="U26">
        <v>339</v>
      </c>
      <c r="V26">
        <v>440</v>
      </c>
      <c r="W26">
        <v>242</v>
      </c>
      <c r="X26">
        <v>325</v>
      </c>
      <c r="Y26">
        <v>446</v>
      </c>
      <c r="Z26">
        <v>480</v>
      </c>
      <c r="AA26">
        <v>187</v>
      </c>
      <c r="AB26">
        <v>255</v>
      </c>
      <c r="AC26">
        <v>285</v>
      </c>
      <c r="AD26">
        <v>390</v>
      </c>
      <c r="AE26">
        <v>439</v>
      </c>
      <c r="AF26">
        <v>176</v>
      </c>
      <c r="AG26">
        <v>270</v>
      </c>
      <c r="AH26">
        <v>137</v>
      </c>
      <c r="AI26">
        <v>149</v>
      </c>
      <c r="AJ26">
        <v>163</v>
      </c>
      <c r="AK26">
        <v>135</v>
      </c>
      <c r="AL26">
        <v>145</v>
      </c>
      <c r="AM26">
        <v>170</v>
      </c>
      <c r="AN26">
        <v>157</v>
      </c>
      <c r="AO26">
        <v>162</v>
      </c>
      <c r="AP26">
        <v>270</v>
      </c>
      <c r="AQ26">
        <v>160</v>
      </c>
      <c r="AR26">
        <v>137</v>
      </c>
      <c r="AS26">
        <v>360</v>
      </c>
      <c r="AT26">
        <v>273</v>
      </c>
      <c r="AU26">
        <v>330</v>
      </c>
      <c r="AV26">
        <v>148</v>
      </c>
      <c r="AW26">
        <v>134</v>
      </c>
      <c r="AX26">
        <v>138</v>
      </c>
      <c r="AY26">
        <v>82</v>
      </c>
      <c r="AZ26">
        <v>199</v>
      </c>
      <c r="BA26">
        <v>132</v>
      </c>
      <c r="BB26">
        <v>116</v>
      </c>
      <c r="BC26">
        <v>129</v>
      </c>
      <c r="BD26">
        <v>146</v>
      </c>
      <c r="BE26">
        <v>131</v>
      </c>
      <c r="BF26">
        <v>165</v>
      </c>
      <c r="BG26">
        <v>203</v>
      </c>
      <c r="BH26">
        <v>119</v>
      </c>
      <c r="BI26">
        <v>173</v>
      </c>
    </row>
    <row r="27" spans="2:61" x14ac:dyDescent="0.25">
      <c r="B27" s="2">
        <v>35582</v>
      </c>
      <c r="C27">
        <v>230</v>
      </c>
      <c r="D27">
        <v>375</v>
      </c>
      <c r="E27">
        <v>300</v>
      </c>
      <c r="F27">
        <v>290</v>
      </c>
      <c r="G27">
        <v>473</v>
      </c>
      <c r="H27">
        <v>349</v>
      </c>
      <c r="I27">
        <v>250</v>
      </c>
      <c r="J27">
        <v>815</v>
      </c>
      <c r="K27">
        <v>515</v>
      </c>
      <c r="L27">
        <v>425</v>
      </c>
      <c r="M27">
        <v>311</v>
      </c>
      <c r="N27">
        <v>530</v>
      </c>
      <c r="O27">
        <v>788</v>
      </c>
      <c r="P27">
        <v>272</v>
      </c>
      <c r="Q27">
        <v>190</v>
      </c>
      <c r="R27">
        <v>205</v>
      </c>
      <c r="S27">
        <v>343</v>
      </c>
      <c r="T27">
        <v>225</v>
      </c>
      <c r="U27">
        <v>370</v>
      </c>
      <c r="V27">
        <v>670</v>
      </c>
      <c r="W27">
        <v>248</v>
      </c>
      <c r="X27">
        <v>336</v>
      </c>
      <c r="Y27">
        <v>481</v>
      </c>
      <c r="Z27">
        <v>550</v>
      </c>
      <c r="AA27">
        <v>196</v>
      </c>
      <c r="AB27">
        <v>264</v>
      </c>
      <c r="AC27">
        <v>300</v>
      </c>
      <c r="AD27">
        <v>418</v>
      </c>
      <c r="AE27">
        <v>460</v>
      </c>
      <c r="AF27">
        <v>175</v>
      </c>
      <c r="AG27">
        <v>270</v>
      </c>
      <c r="AH27">
        <v>138</v>
      </c>
      <c r="AI27">
        <v>150</v>
      </c>
      <c r="AJ27">
        <v>152</v>
      </c>
      <c r="AK27">
        <v>129</v>
      </c>
      <c r="AL27">
        <v>153</v>
      </c>
      <c r="AM27">
        <v>170</v>
      </c>
      <c r="AN27">
        <v>150</v>
      </c>
      <c r="AO27">
        <v>173</v>
      </c>
      <c r="AP27">
        <v>285</v>
      </c>
      <c r="AQ27">
        <v>163</v>
      </c>
      <c r="AR27">
        <v>137</v>
      </c>
      <c r="AS27">
        <v>388</v>
      </c>
      <c r="AT27">
        <v>285</v>
      </c>
      <c r="AU27">
        <v>348</v>
      </c>
      <c r="AV27">
        <v>155</v>
      </c>
      <c r="AW27">
        <v>135</v>
      </c>
      <c r="AX27">
        <v>135</v>
      </c>
      <c r="AY27">
        <v>81</v>
      </c>
      <c r="AZ27">
        <v>185</v>
      </c>
      <c r="BA27">
        <v>132</v>
      </c>
      <c r="BB27">
        <v>115</v>
      </c>
      <c r="BC27">
        <v>125</v>
      </c>
      <c r="BD27">
        <v>150</v>
      </c>
      <c r="BE27">
        <v>135</v>
      </c>
      <c r="BF27">
        <v>162</v>
      </c>
      <c r="BG27">
        <v>210</v>
      </c>
      <c r="BH27">
        <v>120</v>
      </c>
      <c r="BI27">
        <v>178</v>
      </c>
    </row>
    <row r="28" spans="2:61" x14ac:dyDescent="0.25">
      <c r="B28" s="2">
        <v>35674</v>
      </c>
      <c r="C28">
        <v>235</v>
      </c>
      <c r="D28">
        <v>383</v>
      </c>
      <c r="E28">
        <v>300</v>
      </c>
      <c r="F28">
        <v>321</v>
      </c>
      <c r="G28">
        <v>445</v>
      </c>
      <c r="H28">
        <v>356</v>
      </c>
      <c r="I28">
        <v>275</v>
      </c>
      <c r="J28">
        <v>791</v>
      </c>
      <c r="K28">
        <v>553</v>
      </c>
      <c r="L28">
        <v>420</v>
      </c>
      <c r="M28">
        <v>331</v>
      </c>
      <c r="N28">
        <v>535</v>
      </c>
      <c r="O28">
        <v>750</v>
      </c>
      <c r="P28">
        <v>280</v>
      </c>
      <c r="Q28">
        <v>198</v>
      </c>
      <c r="R28">
        <v>215</v>
      </c>
      <c r="S28">
        <v>329</v>
      </c>
      <c r="T28">
        <v>250</v>
      </c>
      <c r="U28">
        <v>328</v>
      </c>
      <c r="V28">
        <v>568</v>
      </c>
      <c r="W28">
        <v>280</v>
      </c>
      <c r="X28">
        <v>351</v>
      </c>
      <c r="Y28">
        <v>512</v>
      </c>
      <c r="Z28">
        <v>500</v>
      </c>
      <c r="AA28">
        <v>206</v>
      </c>
      <c r="AB28">
        <v>279</v>
      </c>
      <c r="AC28">
        <v>320</v>
      </c>
      <c r="AD28">
        <v>420</v>
      </c>
      <c r="AE28">
        <v>512</v>
      </c>
      <c r="AF28">
        <v>180</v>
      </c>
      <c r="AG28">
        <v>294</v>
      </c>
      <c r="AH28">
        <v>143</v>
      </c>
      <c r="AI28">
        <v>150</v>
      </c>
      <c r="AJ28">
        <v>157</v>
      </c>
      <c r="AK28">
        <v>134</v>
      </c>
      <c r="AL28">
        <v>152</v>
      </c>
      <c r="AM28">
        <v>175</v>
      </c>
      <c r="AN28">
        <v>163</v>
      </c>
      <c r="AO28">
        <v>190</v>
      </c>
      <c r="AP28">
        <v>300</v>
      </c>
      <c r="AQ28">
        <v>169</v>
      </c>
      <c r="AR28">
        <v>142</v>
      </c>
      <c r="AS28">
        <v>400</v>
      </c>
      <c r="AT28">
        <v>300</v>
      </c>
      <c r="AU28">
        <v>378</v>
      </c>
      <c r="AV28">
        <v>150</v>
      </c>
      <c r="AW28">
        <v>140</v>
      </c>
      <c r="AX28">
        <v>138</v>
      </c>
      <c r="AY28">
        <v>78</v>
      </c>
      <c r="AZ28">
        <v>192</v>
      </c>
      <c r="BA28">
        <v>136</v>
      </c>
      <c r="BB28">
        <v>110</v>
      </c>
      <c r="BC28">
        <v>127</v>
      </c>
      <c r="BD28">
        <v>147</v>
      </c>
      <c r="BE28">
        <v>139</v>
      </c>
      <c r="BF28">
        <v>170</v>
      </c>
      <c r="BG28">
        <v>215</v>
      </c>
      <c r="BH28">
        <v>120</v>
      </c>
      <c r="BI28">
        <v>180</v>
      </c>
    </row>
    <row r="29" spans="2:61" x14ac:dyDescent="0.25">
      <c r="B29" s="2">
        <v>35765</v>
      </c>
      <c r="C29">
        <v>245</v>
      </c>
      <c r="D29">
        <v>400</v>
      </c>
      <c r="E29">
        <v>335</v>
      </c>
      <c r="F29">
        <v>325</v>
      </c>
      <c r="G29">
        <v>490</v>
      </c>
      <c r="H29">
        <v>357</v>
      </c>
      <c r="I29">
        <v>282</v>
      </c>
      <c r="J29">
        <v>770</v>
      </c>
      <c r="K29">
        <v>628</v>
      </c>
      <c r="L29">
        <v>438</v>
      </c>
      <c r="M29">
        <v>325</v>
      </c>
      <c r="N29">
        <v>600</v>
      </c>
      <c r="O29">
        <v>843</v>
      </c>
      <c r="P29">
        <v>302</v>
      </c>
      <c r="Q29">
        <v>210</v>
      </c>
      <c r="R29">
        <v>225</v>
      </c>
      <c r="S29">
        <v>332</v>
      </c>
      <c r="T29">
        <v>259</v>
      </c>
      <c r="U29">
        <v>367</v>
      </c>
      <c r="V29">
        <v>720</v>
      </c>
      <c r="W29">
        <v>290</v>
      </c>
      <c r="X29">
        <v>357</v>
      </c>
      <c r="Y29">
        <v>519</v>
      </c>
      <c r="Z29">
        <v>515</v>
      </c>
      <c r="AA29">
        <v>214</v>
      </c>
      <c r="AB29">
        <v>295</v>
      </c>
      <c r="AC29">
        <v>327</v>
      </c>
      <c r="AD29">
        <v>430</v>
      </c>
      <c r="AE29">
        <v>533</v>
      </c>
      <c r="AF29">
        <v>184</v>
      </c>
      <c r="AG29">
        <v>298</v>
      </c>
      <c r="AH29">
        <v>145</v>
      </c>
      <c r="AI29">
        <v>153</v>
      </c>
      <c r="AJ29">
        <v>169</v>
      </c>
      <c r="AK29">
        <v>135</v>
      </c>
      <c r="AL29">
        <v>156</v>
      </c>
      <c r="AM29">
        <v>180</v>
      </c>
      <c r="AN29">
        <v>170</v>
      </c>
      <c r="AO29">
        <v>200</v>
      </c>
      <c r="AP29">
        <v>315</v>
      </c>
      <c r="AQ29">
        <v>176</v>
      </c>
      <c r="AR29">
        <v>143</v>
      </c>
      <c r="AS29">
        <v>433</v>
      </c>
      <c r="AT29">
        <v>305</v>
      </c>
      <c r="AU29">
        <v>385</v>
      </c>
      <c r="AV29">
        <v>164</v>
      </c>
      <c r="AW29">
        <v>144</v>
      </c>
      <c r="AX29">
        <v>140</v>
      </c>
      <c r="AY29">
        <v>83</v>
      </c>
      <c r="AZ29">
        <v>211</v>
      </c>
      <c r="BA29">
        <v>136</v>
      </c>
      <c r="BB29">
        <v>115</v>
      </c>
      <c r="BC29">
        <v>126</v>
      </c>
      <c r="BD29">
        <v>150</v>
      </c>
      <c r="BE29">
        <v>139</v>
      </c>
      <c r="BF29">
        <v>168</v>
      </c>
      <c r="BG29">
        <v>223</v>
      </c>
      <c r="BH29">
        <v>124</v>
      </c>
      <c r="BI29">
        <v>184</v>
      </c>
    </row>
    <row r="30" spans="2:61" x14ac:dyDescent="0.25">
      <c r="B30" s="2">
        <v>35855</v>
      </c>
      <c r="C30">
        <v>240</v>
      </c>
      <c r="D30">
        <v>408</v>
      </c>
      <c r="E30">
        <v>346</v>
      </c>
      <c r="F30">
        <v>319</v>
      </c>
      <c r="G30">
        <v>497</v>
      </c>
      <c r="H30">
        <v>375</v>
      </c>
      <c r="I30">
        <v>280</v>
      </c>
      <c r="J30">
        <v>893</v>
      </c>
      <c r="K30">
        <v>570</v>
      </c>
      <c r="L30">
        <v>467</v>
      </c>
      <c r="M30">
        <v>320</v>
      </c>
      <c r="N30">
        <v>527</v>
      </c>
      <c r="O30">
        <v>920</v>
      </c>
      <c r="P30">
        <v>301</v>
      </c>
      <c r="Q30">
        <v>212</v>
      </c>
      <c r="R30">
        <v>230</v>
      </c>
      <c r="S30">
        <v>360</v>
      </c>
      <c r="T30">
        <v>255</v>
      </c>
      <c r="U30">
        <v>395</v>
      </c>
      <c r="V30">
        <v>502</v>
      </c>
      <c r="W30">
        <v>290</v>
      </c>
      <c r="X30">
        <v>386</v>
      </c>
      <c r="Y30">
        <v>520</v>
      </c>
      <c r="Z30">
        <v>560</v>
      </c>
      <c r="AA30">
        <v>230</v>
      </c>
      <c r="AB30">
        <v>305</v>
      </c>
      <c r="AC30">
        <v>338</v>
      </c>
      <c r="AD30">
        <v>423</v>
      </c>
      <c r="AE30">
        <v>523</v>
      </c>
      <c r="AF30">
        <v>187</v>
      </c>
      <c r="AG30">
        <v>310</v>
      </c>
      <c r="AH30">
        <v>153</v>
      </c>
      <c r="AI30">
        <v>159</v>
      </c>
      <c r="AJ30">
        <v>167</v>
      </c>
      <c r="AK30">
        <v>136</v>
      </c>
      <c r="AL30">
        <v>158</v>
      </c>
      <c r="AM30">
        <v>184</v>
      </c>
      <c r="AN30">
        <v>175</v>
      </c>
      <c r="AO30">
        <v>202</v>
      </c>
      <c r="AP30">
        <v>320</v>
      </c>
      <c r="AQ30">
        <v>179</v>
      </c>
      <c r="AR30">
        <v>145</v>
      </c>
      <c r="AS30">
        <v>435</v>
      </c>
      <c r="AT30">
        <v>322</v>
      </c>
      <c r="AU30">
        <v>399</v>
      </c>
      <c r="AV30">
        <v>170</v>
      </c>
      <c r="AW30">
        <v>147</v>
      </c>
      <c r="AX30">
        <v>143</v>
      </c>
      <c r="AY30">
        <v>91</v>
      </c>
      <c r="AZ30">
        <v>205</v>
      </c>
      <c r="BA30">
        <v>142</v>
      </c>
      <c r="BB30">
        <v>120</v>
      </c>
      <c r="BC30">
        <v>128</v>
      </c>
      <c r="BD30">
        <v>157</v>
      </c>
      <c r="BE30">
        <v>140</v>
      </c>
      <c r="BF30">
        <v>175</v>
      </c>
      <c r="BG30">
        <v>219</v>
      </c>
      <c r="BH30">
        <v>125</v>
      </c>
      <c r="BI30">
        <v>181</v>
      </c>
    </row>
    <row r="31" spans="2:61" x14ac:dyDescent="0.25">
      <c r="B31" s="2">
        <v>35947</v>
      </c>
      <c r="C31">
        <v>250</v>
      </c>
      <c r="D31">
        <v>421</v>
      </c>
      <c r="E31">
        <v>336</v>
      </c>
      <c r="F31">
        <v>344</v>
      </c>
      <c r="G31">
        <v>551</v>
      </c>
      <c r="H31">
        <v>380</v>
      </c>
      <c r="I31">
        <v>285</v>
      </c>
      <c r="J31">
        <v>920</v>
      </c>
      <c r="K31">
        <v>635</v>
      </c>
      <c r="L31">
        <v>507</v>
      </c>
      <c r="M31">
        <v>340</v>
      </c>
      <c r="N31">
        <v>545</v>
      </c>
      <c r="O31">
        <v>930</v>
      </c>
      <c r="P31">
        <v>313</v>
      </c>
      <c r="Q31">
        <v>221</v>
      </c>
      <c r="R31">
        <v>240</v>
      </c>
      <c r="S31">
        <v>322</v>
      </c>
      <c r="T31">
        <v>280</v>
      </c>
      <c r="U31">
        <v>390</v>
      </c>
      <c r="V31">
        <v>684</v>
      </c>
      <c r="W31">
        <v>308</v>
      </c>
      <c r="X31">
        <v>391</v>
      </c>
      <c r="Y31">
        <v>536</v>
      </c>
      <c r="Z31">
        <v>590</v>
      </c>
      <c r="AA31">
        <v>230</v>
      </c>
      <c r="AB31">
        <v>290</v>
      </c>
      <c r="AC31">
        <v>341</v>
      </c>
      <c r="AD31">
        <v>460</v>
      </c>
      <c r="AE31">
        <v>520</v>
      </c>
      <c r="AF31">
        <v>190</v>
      </c>
      <c r="AG31">
        <v>319</v>
      </c>
      <c r="AH31">
        <v>158</v>
      </c>
      <c r="AI31">
        <v>160</v>
      </c>
      <c r="AJ31">
        <v>182</v>
      </c>
      <c r="AK31">
        <v>138</v>
      </c>
      <c r="AL31">
        <v>165</v>
      </c>
      <c r="AM31">
        <v>186</v>
      </c>
      <c r="AN31">
        <v>175</v>
      </c>
      <c r="AO31">
        <v>210</v>
      </c>
      <c r="AP31">
        <v>334</v>
      </c>
      <c r="AQ31">
        <v>186</v>
      </c>
      <c r="AR31">
        <v>145</v>
      </c>
      <c r="AS31">
        <v>478</v>
      </c>
      <c r="AT31">
        <v>325</v>
      </c>
      <c r="AU31">
        <v>418</v>
      </c>
      <c r="AV31">
        <v>165</v>
      </c>
      <c r="AW31">
        <v>140</v>
      </c>
      <c r="AX31">
        <v>145</v>
      </c>
      <c r="AY31">
        <v>88</v>
      </c>
      <c r="AZ31">
        <v>224</v>
      </c>
      <c r="BA31">
        <v>138</v>
      </c>
      <c r="BB31">
        <v>120</v>
      </c>
      <c r="BC31">
        <v>134</v>
      </c>
      <c r="BD31">
        <v>165</v>
      </c>
      <c r="BE31">
        <v>142</v>
      </c>
      <c r="BF31">
        <v>170</v>
      </c>
      <c r="BG31">
        <v>227</v>
      </c>
      <c r="BH31">
        <v>126</v>
      </c>
      <c r="BI31">
        <v>188</v>
      </c>
    </row>
    <row r="32" spans="2:61" x14ac:dyDescent="0.25">
      <c r="B32" s="2">
        <v>36039</v>
      </c>
      <c r="C32">
        <v>245</v>
      </c>
      <c r="D32">
        <v>405</v>
      </c>
      <c r="E32">
        <v>352</v>
      </c>
      <c r="F32">
        <v>350</v>
      </c>
      <c r="G32">
        <v>530</v>
      </c>
      <c r="H32">
        <v>360</v>
      </c>
      <c r="I32">
        <v>286</v>
      </c>
      <c r="J32">
        <v>895</v>
      </c>
      <c r="K32">
        <v>610</v>
      </c>
      <c r="L32">
        <v>470</v>
      </c>
      <c r="M32">
        <v>315</v>
      </c>
      <c r="N32">
        <v>525</v>
      </c>
      <c r="O32">
        <v>915</v>
      </c>
      <c r="P32">
        <v>310</v>
      </c>
      <c r="Q32">
        <v>227</v>
      </c>
      <c r="R32">
        <v>230</v>
      </c>
      <c r="S32">
        <v>360</v>
      </c>
      <c r="T32">
        <v>265</v>
      </c>
      <c r="U32">
        <v>390</v>
      </c>
      <c r="V32">
        <v>461</v>
      </c>
      <c r="W32">
        <v>315</v>
      </c>
      <c r="X32">
        <v>380</v>
      </c>
      <c r="Y32">
        <v>535</v>
      </c>
      <c r="Z32">
        <v>560</v>
      </c>
      <c r="AA32">
        <v>230</v>
      </c>
      <c r="AB32">
        <v>300</v>
      </c>
      <c r="AC32">
        <v>339</v>
      </c>
      <c r="AD32">
        <v>480</v>
      </c>
      <c r="AE32">
        <v>555</v>
      </c>
      <c r="AF32">
        <v>192</v>
      </c>
      <c r="AG32">
        <v>325</v>
      </c>
      <c r="AH32">
        <v>159</v>
      </c>
      <c r="AI32">
        <v>170</v>
      </c>
      <c r="AJ32">
        <v>178</v>
      </c>
      <c r="AK32">
        <v>138</v>
      </c>
      <c r="AL32">
        <v>165</v>
      </c>
      <c r="AM32">
        <v>182</v>
      </c>
      <c r="AN32">
        <v>184</v>
      </c>
      <c r="AO32">
        <v>210</v>
      </c>
      <c r="AP32">
        <v>335</v>
      </c>
      <c r="AQ32">
        <v>190</v>
      </c>
      <c r="AR32">
        <v>150</v>
      </c>
      <c r="AS32">
        <v>455</v>
      </c>
      <c r="AT32">
        <v>335</v>
      </c>
      <c r="AU32">
        <v>410</v>
      </c>
      <c r="AV32">
        <v>183</v>
      </c>
      <c r="AW32">
        <v>150</v>
      </c>
      <c r="AX32">
        <v>143</v>
      </c>
      <c r="AY32">
        <v>88</v>
      </c>
      <c r="AZ32">
        <v>223</v>
      </c>
      <c r="BA32">
        <v>137</v>
      </c>
      <c r="BB32">
        <v>125</v>
      </c>
      <c r="BC32">
        <v>127</v>
      </c>
      <c r="BD32">
        <v>165</v>
      </c>
      <c r="BE32">
        <v>141</v>
      </c>
      <c r="BF32">
        <v>175</v>
      </c>
      <c r="BG32">
        <v>222</v>
      </c>
      <c r="BH32">
        <v>122</v>
      </c>
      <c r="BI32">
        <v>185</v>
      </c>
    </row>
    <row r="33" spans="2:61" x14ac:dyDescent="0.25">
      <c r="B33" s="2">
        <v>36130</v>
      </c>
      <c r="C33">
        <v>260</v>
      </c>
      <c r="D33">
        <v>408</v>
      </c>
      <c r="E33">
        <v>372</v>
      </c>
      <c r="F33">
        <v>350</v>
      </c>
      <c r="G33">
        <v>560</v>
      </c>
      <c r="H33">
        <v>375</v>
      </c>
      <c r="I33">
        <v>295</v>
      </c>
      <c r="J33">
        <v>858</v>
      </c>
      <c r="K33">
        <v>594</v>
      </c>
      <c r="L33">
        <v>445</v>
      </c>
      <c r="M33">
        <v>300</v>
      </c>
      <c r="N33">
        <v>546</v>
      </c>
      <c r="O33">
        <v>900</v>
      </c>
      <c r="P33">
        <v>326</v>
      </c>
      <c r="Q33">
        <v>240</v>
      </c>
      <c r="R33">
        <v>240</v>
      </c>
      <c r="S33">
        <v>335</v>
      </c>
      <c r="T33">
        <v>290</v>
      </c>
      <c r="U33">
        <v>402</v>
      </c>
      <c r="V33">
        <v>670</v>
      </c>
      <c r="W33">
        <v>320</v>
      </c>
      <c r="X33">
        <v>395</v>
      </c>
      <c r="Y33">
        <v>530</v>
      </c>
      <c r="Z33">
        <v>590</v>
      </c>
      <c r="AA33">
        <v>239</v>
      </c>
      <c r="AB33">
        <v>310</v>
      </c>
      <c r="AC33">
        <v>350</v>
      </c>
      <c r="AD33">
        <v>480</v>
      </c>
      <c r="AE33">
        <v>519</v>
      </c>
      <c r="AF33">
        <v>200</v>
      </c>
      <c r="AG33">
        <v>335</v>
      </c>
      <c r="AH33">
        <v>160</v>
      </c>
      <c r="AI33">
        <v>165</v>
      </c>
      <c r="AJ33">
        <v>207</v>
      </c>
      <c r="AK33">
        <v>141</v>
      </c>
      <c r="AL33">
        <v>170</v>
      </c>
      <c r="AM33">
        <v>195</v>
      </c>
      <c r="AN33">
        <v>176</v>
      </c>
      <c r="AO33">
        <v>218</v>
      </c>
      <c r="AP33">
        <v>347</v>
      </c>
      <c r="AQ33">
        <v>192</v>
      </c>
      <c r="AR33">
        <v>151</v>
      </c>
      <c r="AS33">
        <v>470</v>
      </c>
      <c r="AT33">
        <v>355</v>
      </c>
      <c r="AU33">
        <v>425</v>
      </c>
      <c r="AV33">
        <v>172</v>
      </c>
      <c r="AW33">
        <v>150</v>
      </c>
      <c r="AX33">
        <v>148</v>
      </c>
      <c r="AY33">
        <v>88</v>
      </c>
      <c r="AZ33">
        <v>230</v>
      </c>
      <c r="BA33">
        <v>137</v>
      </c>
      <c r="BB33">
        <v>122</v>
      </c>
      <c r="BC33">
        <v>134</v>
      </c>
      <c r="BD33">
        <v>163</v>
      </c>
      <c r="BE33">
        <v>149</v>
      </c>
      <c r="BF33">
        <v>183</v>
      </c>
      <c r="BG33">
        <v>235</v>
      </c>
      <c r="BH33">
        <v>126</v>
      </c>
      <c r="BI33">
        <v>192</v>
      </c>
    </row>
    <row r="34" spans="2:61" x14ac:dyDescent="0.25">
      <c r="B34" s="2">
        <v>36220</v>
      </c>
      <c r="C34">
        <v>258</v>
      </c>
      <c r="D34">
        <v>441</v>
      </c>
      <c r="E34">
        <v>369</v>
      </c>
      <c r="F34">
        <v>348</v>
      </c>
      <c r="G34">
        <v>585</v>
      </c>
      <c r="H34">
        <v>380</v>
      </c>
      <c r="I34">
        <v>295</v>
      </c>
      <c r="J34">
        <v>923</v>
      </c>
      <c r="K34">
        <v>650</v>
      </c>
      <c r="L34">
        <v>514</v>
      </c>
      <c r="M34">
        <v>340</v>
      </c>
      <c r="N34">
        <v>583</v>
      </c>
      <c r="O34">
        <v>980</v>
      </c>
      <c r="P34">
        <v>330</v>
      </c>
      <c r="Q34">
        <v>250</v>
      </c>
      <c r="R34">
        <v>246</v>
      </c>
      <c r="S34">
        <v>377</v>
      </c>
      <c r="T34">
        <v>283</v>
      </c>
      <c r="U34">
        <v>420</v>
      </c>
      <c r="V34">
        <v>523</v>
      </c>
      <c r="W34">
        <v>325</v>
      </c>
      <c r="X34">
        <v>415</v>
      </c>
      <c r="Y34">
        <v>570</v>
      </c>
      <c r="Z34">
        <v>676</v>
      </c>
      <c r="AA34">
        <v>248</v>
      </c>
      <c r="AB34">
        <v>327</v>
      </c>
      <c r="AC34">
        <v>360</v>
      </c>
      <c r="AD34">
        <v>415</v>
      </c>
      <c r="AE34">
        <v>530</v>
      </c>
      <c r="AF34">
        <v>202</v>
      </c>
      <c r="AG34">
        <v>350</v>
      </c>
      <c r="AH34">
        <v>165</v>
      </c>
      <c r="AI34">
        <v>175</v>
      </c>
      <c r="AJ34">
        <v>196</v>
      </c>
      <c r="AK34">
        <v>143</v>
      </c>
      <c r="AL34">
        <v>175</v>
      </c>
      <c r="AM34">
        <v>200</v>
      </c>
      <c r="AN34">
        <v>185</v>
      </c>
      <c r="AO34">
        <v>224</v>
      </c>
      <c r="AP34">
        <v>354</v>
      </c>
      <c r="AQ34">
        <v>206</v>
      </c>
      <c r="AR34">
        <v>158</v>
      </c>
      <c r="AS34">
        <v>470</v>
      </c>
      <c r="AT34">
        <v>368</v>
      </c>
      <c r="AU34">
        <v>418</v>
      </c>
      <c r="AV34">
        <v>168</v>
      </c>
      <c r="AW34">
        <v>155</v>
      </c>
      <c r="AX34">
        <v>150</v>
      </c>
      <c r="AY34">
        <v>89</v>
      </c>
      <c r="AZ34">
        <v>225</v>
      </c>
      <c r="BA34">
        <v>145</v>
      </c>
      <c r="BB34">
        <v>126</v>
      </c>
      <c r="BC34">
        <v>135</v>
      </c>
      <c r="BD34">
        <v>167</v>
      </c>
      <c r="BE34">
        <v>152</v>
      </c>
      <c r="BF34">
        <v>185</v>
      </c>
      <c r="BG34">
        <v>232</v>
      </c>
      <c r="BH34">
        <v>127</v>
      </c>
      <c r="BI34">
        <v>189</v>
      </c>
    </row>
    <row r="35" spans="2:61" x14ac:dyDescent="0.25">
      <c r="B35" s="2">
        <v>36312</v>
      </c>
      <c r="C35">
        <v>275</v>
      </c>
      <c r="D35">
        <v>441</v>
      </c>
      <c r="E35">
        <v>380</v>
      </c>
      <c r="F35">
        <v>350</v>
      </c>
      <c r="G35">
        <v>596</v>
      </c>
      <c r="H35">
        <v>394</v>
      </c>
      <c r="I35">
        <v>313</v>
      </c>
      <c r="J35">
        <v>950</v>
      </c>
      <c r="K35">
        <v>639</v>
      </c>
      <c r="L35">
        <v>492</v>
      </c>
      <c r="M35">
        <v>350</v>
      </c>
      <c r="N35">
        <v>603</v>
      </c>
      <c r="O35">
        <v>1001</v>
      </c>
      <c r="P35">
        <v>350</v>
      </c>
      <c r="Q35">
        <v>260</v>
      </c>
      <c r="R35">
        <v>257</v>
      </c>
      <c r="S35">
        <v>369</v>
      </c>
      <c r="T35">
        <v>300</v>
      </c>
      <c r="U35">
        <v>411</v>
      </c>
      <c r="V35">
        <v>573</v>
      </c>
      <c r="W35">
        <v>335</v>
      </c>
      <c r="X35">
        <v>431</v>
      </c>
      <c r="Y35">
        <v>560</v>
      </c>
      <c r="Z35">
        <v>700</v>
      </c>
      <c r="AA35">
        <v>258</v>
      </c>
      <c r="AB35">
        <v>331</v>
      </c>
      <c r="AC35">
        <v>375</v>
      </c>
      <c r="AD35">
        <v>419</v>
      </c>
      <c r="AE35">
        <v>545</v>
      </c>
      <c r="AF35">
        <v>212</v>
      </c>
      <c r="AG35">
        <v>350</v>
      </c>
      <c r="AH35">
        <v>167</v>
      </c>
      <c r="AI35">
        <v>180</v>
      </c>
      <c r="AJ35">
        <v>216</v>
      </c>
      <c r="AK35">
        <v>150</v>
      </c>
      <c r="AL35">
        <v>180</v>
      </c>
      <c r="AM35">
        <v>217</v>
      </c>
      <c r="AN35">
        <v>190</v>
      </c>
      <c r="AO35">
        <v>235</v>
      </c>
      <c r="AP35">
        <v>370</v>
      </c>
      <c r="AQ35">
        <v>212</v>
      </c>
      <c r="AR35">
        <v>160</v>
      </c>
      <c r="AS35">
        <v>480</v>
      </c>
      <c r="AT35">
        <v>380</v>
      </c>
      <c r="AU35">
        <v>435</v>
      </c>
      <c r="AV35">
        <v>200</v>
      </c>
      <c r="AW35">
        <v>155</v>
      </c>
      <c r="AX35">
        <v>152</v>
      </c>
      <c r="AY35">
        <v>86</v>
      </c>
      <c r="AZ35">
        <v>250</v>
      </c>
      <c r="BA35">
        <v>148</v>
      </c>
      <c r="BB35">
        <v>128</v>
      </c>
      <c r="BC35">
        <v>135</v>
      </c>
      <c r="BD35">
        <v>174</v>
      </c>
      <c r="BE35">
        <v>155</v>
      </c>
      <c r="BF35">
        <v>188</v>
      </c>
      <c r="BG35">
        <v>248</v>
      </c>
      <c r="BH35">
        <v>130</v>
      </c>
      <c r="BI35">
        <v>200</v>
      </c>
    </row>
    <row r="36" spans="2:61" x14ac:dyDescent="0.25">
      <c r="B36" s="2">
        <v>36404</v>
      </c>
      <c r="C36">
        <v>277</v>
      </c>
      <c r="D36">
        <v>448</v>
      </c>
      <c r="E36">
        <v>400</v>
      </c>
      <c r="F36">
        <v>380</v>
      </c>
      <c r="G36">
        <v>600</v>
      </c>
      <c r="H36">
        <v>408</v>
      </c>
      <c r="I36">
        <v>319</v>
      </c>
      <c r="J36">
        <v>1048</v>
      </c>
      <c r="K36">
        <v>609</v>
      </c>
      <c r="L36">
        <v>526</v>
      </c>
      <c r="M36">
        <v>358</v>
      </c>
      <c r="N36">
        <v>612</v>
      </c>
      <c r="O36">
        <v>865</v>
      </c>
      <c r="P36">
        <v>350</v>
      </c>
      <c r="Q36">
        <v>260</v>
      </c>
      <c r="R36">
        <v>260</v>
      </c>
      <c r="S36">
        <v>389</v>
      </c>
      <c r="T36">
        <v>290</v>
      </c>
      <c r="U36">
        <v>440</v>
      </c>
      <c r="V36">
        <v>700</v>
      </c>
      <c r="W36">
        <v>355</v>
      </c>
      <c r="X36">
        <v>410</v>
      </c>
      <c r="Y36">
        <v>620</v>
      </c>
      <c r="Z36">
        <v>615</v>
      </c>
      <c r="AA36">
        <v>265</v>
      </c>
      <c r="AB36">
        <v>349</v>
      </c>
      <c r="AC36">
        <v>380</v>
      </c>
      <c r="AD36">
        <v>450</v>
      </c>
      <c r="AE36">
        <v>601</v>
      </c>
      <c r="AF36">
        <v>220</v>
      </c>
      <c r="AG36">
        <v>362</v>
      </c>
      <c r="AH36">
        <v>176</v>
      </c>
      <c r="AI36">
        <v>189</v>
      </c>
      <c r="AJ36">
        <v>222</v>
      </c>
      <c r="AK36">
        <v>154</v>
      </c>
      <c r="AL36">
        <v>190</v>
      </c>
      <c r="AM36">
        <v>220</v>
      </c>
      <c r="AN36">
        <v>195</v>
      </c>
      <c r="AO36">
        <v>235</v>
      </c>
      <c r="AP36">
        <v>375</v>
      </c>
      <c r="AQ36">
        <v>224</v>
      </c>
      <c r="AR36">
        <v>165</v>
      </c>
      <c r="AS36">
        <v>515</v>
      </c>
      <c r="AT36">
        <v>385</v>
      </c>
      <c r="AU36">
        <v>450</v>
      </c>
      <c r="AV36">
        <v>200</v>
      </c>
      <c r="AW36">
        <v>163</v>
      </c>
      <c r="AX36">
        <v>155</v>
      </c>
      <c r="AY36">
        <v>91</v>
      </c>
      <c r="AZ36">
        <v>244</v>
      </c>
      <c r="BA36">
        <v>148</v>
      </c>
      <c r="BB36">
        <v>127</v>
      </c>
      <c r="BC36">
        <v>139</v>
      </c>
      <c r="BD36">
        <v>176</v>
      </c>
      <c r="BE36">
        <v>155</v>
      </c>
      <c r="BF36">
        <v>185</v>
      </c>
      <c r="BG36">
        <v>250</v>
      </c>
      <c r="BH36">
        <v>130</v>
      </c>
      <c r="BI36">
        <v>206</v>
      </c>
    </row>
    <row r="37" spans="2:61" x14ac:dyDescent="0.25">
      <c r="B37" s="2">
        <v>36495</v>
      </c>
      <c r="C37">
        <v>293</v>
      </c>
      <c r="D37">
        <v>466</v>
      </c>
      <c r="E37">
        <v>385</v>
      </c>
      <c r="F37">
        <v>390</v>
      </c>
      <c r="G37">
        <v>615</v>
      </c>
      <c r="H37">
        <v>415</v>
      </c>
      <c r="I37">
        <v>327</v>
      </c>
      <c r="J37">
        <v>1100</v>
      </c>
      <c r="K37">
        <v>693</v>
      </c>
      <c r="L37">
        <v>522</v>
      </c>
      <c r="M37">
        <v>370</v>
      </c>
      <c r="N37">
        <v>681</v>
      </c>
      <c r="O37">
        <v>950</v>
      </c>
      <c r="P37">
        <v>365</v>
      </c>
      <c r="Q37">
        <v>268</v>
      </c>
      <c r="R37">
        <v>270</v>
      </c>
      <c r="S37">
        <v>400</v>
      </c>
      <c r="T37">
        <v>305</v>
      </c>
      <c r="U37">
        <v>450</v>
      </c>
      <c r="V37">
        <v>757</v>
      </c>
      <c r="W37">
        <v>360</v>
      </c>
      <c r="X37">
        <v>458</v>
      </c>
      <c r="Y37">
        <v>603</v>
      </c>
      <c r="Z37">
        <v>670</v>
      </c>
      <c r="AA37">
        <v>271</v>
      </c>
      <c r="AB37">
        <v>364</v>
      </c>
      <c r="AC37">
        <v>385</v>
      </c>
      <c r="AD37">
        <v>485</v>
      </c>
      <c r="AE37">
        <v>635</v>
      </c>
      <c r="AF37">
        <v>232</v>
      </c>
      <c r="AG37">
        <v>365</v>
      </c>
      <c r="AH37">
        <v>185</v>
      </c>
      <c r="AI37">
        <v>195</v>
      </c>
      <c r="AJ37">
        <v>230</v>
      </c>
      <c r="AK37">
        <v>160</v>
      </c>
      <c r="AL37">
        <v>203</v>
      </c>
      <c r="AM37">
        <v>235</v>
      </c>
      <c r="AN37">
        <v>207</v>
      </c>
      <c r="AO37">
        <v>240</v>
      </c>
      <c r="AP37">
        <v>385</v>
      </c>
      <c r="AQ37">
        <v>222</v>
      </c>
      <c r="AR37">
        <v>180</v>
      </c>
      <c r="AS37">
        <v>564</v>
      </c>
      <c r="AT37">
        <v>395</v>
      </c>
      <c r="AU37">
        <v>470</v>
      </c>
      <c r="AV37">
        <v>215</v>
      </c>
      <c r="AW37">
        <v>165</v>
      </c>
      <c r="AX37">
        <v>156</v>
      </c>
      <c r="AY37">
        <v>89</v>
      </c>
      <c r="AZ37">
        <v>249</v>
      </c>
      <c r="BA37">
        <v>155</v>
      </c>
      <c r="BB37">
        <v>133</v>
      </c>
      <c r="BC37">
        <v>140</v>
      </c>
      <c r="BD37">
        <v>173</v>
      </c>
      <c r="BE37">
        <v>161</v>
      </c>
      <c r="BF37">
        <v>191</v>
      </c>
      <c r="BG37">
        <v>265</v>
      </c>
      <c r="BH37">
        <v>133</v>
      </c>
      <c r="BI37">
        <v>217</v>
      </c>
    </row>
    <row r="38" spans="2:61" x14ac:dyDescent="0.25">
      <c r="B38" s="2">
        <v>36586</v>
      </c>
      <c r="C38">
        <v>285</v>
      </c>
      <c r="D38">
        <v>465</v>
      </c>
      <c r="E38">
        <v>399</v>
      </c>
      <c r="F38">
        <v>412</v>
      </c>
      <c r="G38">
        <v>585</v>
      </c>
      <c r="H38">
        <v>433</v>
      </c>
      <c r="I38">
        <v>330</v>
      </c>
      <c r="J38">
        <v>1150</v>
      </c>
      <c r="K38">
        <v>729</v>
      </c>
      <c r="L38">
        <v>565</v>
      </c>
      <c r="M38">
        <v>361</v>
      </c>
      <c r="N38">
        <v>630</v>
      </c>
      <c r="O38">
        <v>941</v>
      </c>
      <c r="P38">
        <v>360</v>
      </c>
      <c r="Q38">
        <v>285</v>
      </c>
      <c r="R38">
        <v>273</v>
      </c>
      <c r="S38">
        <v>407</v>
      </c>
      <c r="T38">
        <v>310</v>
      </c>
      <c r="U38">
        <v>450</v>
      </c>
      <c r="V38">
        <v>715</v>
      </c>
      <c r="W38">
        <v>365</v>
      </c>
      <c r="X38">
        <v>440</v>
      </c>
      <c r="Y38">
        <v>625</v>
      </c>
      <c r="Z38">
        <v>720</v>
      </c>
      <c r="AA38">
        <v>275</v>
      </c>
      <c r="AB38">
        <v>380</v>
      </c>
      <c r="AC38">
        <v>390</v>
      </c>
      <c r="AD38">
        <v>450</v>
      </c>
      <c r="AE38">
        <v>619</v>
      </c>
      <c r="AF38">
        <v>235</v>
      </c>
      <c r="AG38">
        <v>371</v>
      </c>
      <c r="AH38">
        <v>196</v>
      </c>
      <c r="AI38">
        <v>205</v>
      </c>
      <c r="AJ38">
        <v>234</v>
      </c>
      <c r="AK38">
        <v>165</v>
      </c>
      <c r="AL38">
        <v>207</v>
      </c>
      <c r="AM38">
        <v>240</v>
      </c>
      <c r="AN38">
        <v>214</v>
      </c>
      <c r="AO38">
        <v>250</v>
      </c>
      <c r="AP38">
        <v>405</v>
      </c>
      <c r="AQ38">
        <v>232</v>
      </c>
      <c r="AR38">
        <v>185</v>
      </c>
      <c r="AS38">
        <v>560</v>
      </c>
      <c r="AT38">
        <v>390</v>
      </c>
      <c r="AU38">
        <v>480</v>
      </c>
      <c r="AV38">
        <v>201</v>
      </c>
      <c r="AW38">
        <v>170</v>
      </c>
      <c r="AX38">
        <v>160</v>
      </c>
      <c r="AY38">
        <v>85</v>
      </c>
      <c r="AZ38">
        <v>260</v>
      </c>
      <c r="BA38">
        <v>158</v>
      </c>
      <c r="BB38">
        <v>137</v>
      </c>
      <c r="BC38">
        <v>145</v>
      </c>
      <c r="BD38">
        <v>180</v>
      </c>
      <c r="BE38">
        <v>158</v>
      </c>
      <c r="BF38">
        <v>195</v>
      </c>
      <c r="BG38">
        <v>257</v>
      </c>
      <c r="BH38">
        <v>133</v>
      </c>
      <c r="BI38">
        <v>212</v>
      </c>
    </row>
    <row r="39" spans="2:61" x14ac:dyDescent="0.25">
      <c r="B39" s="2">
        <v>36678</v>
      </c>
      <c r="C39">
        <v>310</v>
      </c>
      <c r="D39">
        <v>484</v>
      </c>
      <c r="E39">
        <v>404</v>
      </c>
      <c r="F39">
        <v>399</v>
      </c>
      <c r="G39">
        <v>750</v>
      </c>
      <c r="H39">
        <v>425</v>
      </c>
      <c r="I39">
        <v>345</v>
      </c>
      <c r="J39">
        <v>1143</v>
      </c>
      <c r="K39">
        <v>725</v>
      </c>
      <c r="L39">
        <v>560</v>
      </c>
      <c r="M39">
        <v>408</v>
      </c>
      <c r="N39">
        <v>720</v>
      </c>
      <c r="O39">
        <v>1003</v>
      </c>
      <c r="P39">
        <v>380</v>
      </c>
      <c r="Q39">
        <v>293</v>
      </c>
      <c r="R39">
        <v>279</v>
      </c>
      <c r="S39">
        <v>392</v>
      </c>
      <c r="T39">
        <v>320</v>
      </c>
      <c r="U39">
        <v>460</v>
      </c>
      <c r="V39">
        <v>880</v>
      </c>
      <c r="W39">
        <v>374</v>
      </c>
      <c r="X39">
        <v>463</v>
      </c>
      <c r="Y39">
        <v>615</v>
      </c>
      <c r="Z39">
        <v>775</v>
      </c>
      <c r="AA39">
        <v>285</v>
      </c>
      <c r="AB39">
        <v>370</v>
      </c>
      <c r="AC39">
        <v>415</v>
      </c>
      <c r="AD39">
        <v>511</v>
      </c>
      <c r="AE39">
        <v>628</v>
      </c>
      <c r="AF39">
        <v>248</v>
      </c>
      <c r="AG39">
        <v>375</v>
      </c>
      <c r="AH39">
        <v>197</v>
      </c>
      <c r="AI39">
        <v>215</v>
      </c>
      <c r="AJ39">
        <v>252</v>
      </c>
      <c r="AK39">
        <v>170</v>
      </c>
      <c r="AL39">
        <v>218</v>
      </c>
      <c r="AM39">
        <v>243</v>
      </c>
      <c r="AN39">
        <v>225</v>
      </c>
      <c r="AO39">
        <v>258</v>
      </c>
      <c r="AP39">
        <v>390</v>
      </c>
      <c r="AQ39">
        <v>241</v>
      </c>
      <c r="AR39">
        <v>195</v>
      </c>
      <c r="AS39">
        <v>580</v>
      </c>
      <c r="AT39">
        <v>425</v>
      </c>
      <c r="AU39">
        <v>495</v>
      </c>
      <c r="AV39">
        <v>222</v>
      </c>
      <c r="AW39">
        <v>184</v>
      </c>
      <c r="AX39">
        <v>164</v>
      </c>
      <c r="AY39">
        <v>86</v>
      </c>
      <c r="AZ39">
        <v>293</v>
      </c>
      <c r="BA39">
        <v>161</v>
      </c>
      <c r="BB39">
        <v>134</v>
      </c>
      <c r="BC39">
        <v>148</v>
      </c>
      <c r="BD39">
        <v>172</v>
      </c>
      <c r="BE39">
        <v>174</v>
      </c>
      <c r="BF39">
        <v>205</v>
      </c>
      <c r="BG39">
        <v>278</v>
      </c>
      <c r="BH39">
        <v>138</v>
      </c>
      <c r="BI39">
        <v>225</v>
      </c>
    </row>
    <row r="40" spans="2:61" x14ac:dyDescent="0.25">
      <c r="B40" s="2">
        <v>36770</v>
      </c>
      <c r="C40">
        <v>282</v>
      </c>
      <c r="D40">
        <v>453</v>
      </c>
      <c r="E40">
        <v>366</v>
      </c>
      <c r="F40">
        <v>402</v>
      </c>
      <c r="G40">
        <v>622</v>
      </c>
      <c r="H40">
        <v>425</v>
      </c>
      <c r="I40">
        <v>342</v>
      </c>
      <c r="J40">
        <v>1076</v>
      </c>
      <c r="K40">
        <v>640</v>
      </c>
      <c r="L40">
        <v>528</v>
      </c>
      <c r="M40">
        <v>380</v>
      </c>
      <c r="N40">
        <v>729</v>
      </c>
      <c r="O40">
        <v>1046</v>
      </c>
      <c r="P40">
        <v>360</v>
      </c>
      <c r="Q40">
        <v>279</v>
      </c>
      <c r="R40">
        <v>280</v>
      </c>
      <c r="S40">
        <v>410</v>
      </c>
      <c r="T40">
        <v>320</v>
      </c>
      <c r="U40">
        <v>435</v>
      </c>
      <c r="V40">
        <v>763</v>
      </c>
      <c r="W40">
        <v>347</v>
      </c>
      <c r="X40">
        <v>450</v>
      </c>
      <c r="Y40">
        <v>613</v>
      </c>
      <c r="Z40">
        <v>729</v>
      </c>
      <c r="AA40">
        <v>275</v>
      </c>
      <c r="AB40">
        <v>370</v>
      </c>
      <c r="AC40">
        <v>390</v>
      </c>
      <c r="AD40">
        <v>545</v>
      </c>
      <c r="AE40">
        <v>600</v>
      </c>
      <c r="AF40">
        <v>231</v>
      </c>
      <c r="AG40">
        <v>373</v>
      </c>
      <c r="AH40">
        <v>196</v>
      </c>
      <c r="AI40">
        <v>210</v>
      </c>
      <c r="AJ40">
        <v>235</v>
      </c>
      <c r="AK40">
        <v>175</v>
      </c>
      <c r="AL40">
        <v>215</v>
      </c>
      <c r="AM40">
        <v>234</v>
      </c>
      <c r="AN40">
        <v>220</v>
      </c>
      <c r="AO40">
        <v>255</v>
      </c>
      <c r="AP40">
        <v>380</v>
      </c>
      <c r="AQ40">
        <v>240</v>
      </c>
      <c r="AR40">
        <v>195</v>
      </c>
      <c r="AS40">
        <v>531</v>
      </c>
      <c r="AT40">
        <v>391</v>
      </c>
      <c r="AU40">
        <v>475</v>
      </c>
      <c r="AV40">
        <v>206</v>
      </c>
      <c r="AW40">
        <v>178</v>
      </c>
      <c r="AX40">
        <v>155</v>
      </c>
      <c r="AY40">
        <v>86</v>
      </c>
      <c r="AZ40">
        <v>270</v>
      </c>
      <c r="BA40">
        <v>151</v>
      </c>
      <c r="BB40">
        <v>125</v>
      </c>
      <c r="BC40">
        <v>145</v>
      </c>
      <c r="BD40">
        <v>164</v>
      </c>
      <c r="BE40">
        <v>169</v>
      </c>
      <c r="BF40">
        <v>198</v>
      </c>
      <c r="BG40">
        <v>250</v>
      </c>
      <c r="BH40">
        <v>126</v>
      </c>
      <c r="BI40">
        <v>200</v>
      </c>
    </row>
    <row r="41" spans="2:61" x14ac:dyDescent="0.25">
      <c r="B41" s="2">
        <v>36861</v>
      </c>
      <c r="C41">
        <v>303</v>
      </c>
      <c r="D41">
        <v>497</v>
      </c>
      <c r="E41">
        <v>416</v>
      </c>
      <c r="F41">
        <v>410</v>
      </c>
      <c r="G41">
        <v>620</v>
      </c>
      <c r="H41">
        <v>455</v>
      </c>
      <c r="I41">
        <v>342</v>
      </c>
      <c r="J41">
        <v>1349</v>
      </c>
      <c r="K41">
        <v>708</v>
      </c>
      <c r="L41">
        <v>562</v>
      </c>
      <c r="M41">
        <v>390</v>
      </c>
      <c r="N41">
        <v>630</v>
      </c>
      <c r="O41">
        <v>1050</v>
      </c>
      <c r="P41">
        <v>390</v>
      </c>
      <c r="Q41">
        <v>275</v>
      </c>
      <c r="R41">
        <v>279</v>
      </c>
      <c r="S41">
        <v>423</v>
      </c>
      <c r="T41">
        <v>318</v>
      </c>
      <c r="U41">
        <v>498</v>
      </c>
      <c r="V41">
        <v>701</v>
      </c>
      <c r="W41">
        <v>368</v>
      </c>
      <c r="X41">
        <v>443</v>
      </c>
      <c r="Y41">
        <v>645</v>
      </c>
      <c r="Z41">
        <v>671</v>
      </c>
      <c r="AA41">
        <v>285</v>
      </c>
      <c r="AB41">
        <v>378</v>
      </c>
      <c r="AC41">
        <v>407</v>
      </c>
      <c r="AD41">
        <v>486</v>
      </c>
      <c r="AE41">
        <v>630</v>
      </c>
      <c r="AF41">
        <v>247</v>
      </c>
      <c r="AG41">
        <v>375</v>
      </c>
      <c r="AH41">
        <v>200</v>
      </c>
      <c r="AI41">
        <v>220</v>
      </c>
      <c r="AJ41">
        <v>254</v>
      </c>
      <c r="AK41">
        <v>175</v>
      </c>
      <c r="AL41">
        <v>221</v>
      </c>
      <c r="AM41">
        <v>248</v>
      </c>
      <c r="AN41">
        <v>233</v>
      </c>
      <c r="AO41">
        <v>255</v>
      </c>
      <c r="AP41">
        <v>398</v>
      </c>
      <c r="AQ41">
        <v>249</v>
      </c>
      <c r="AR41">
        <v>201</v>
      </c>
      <c r="AS41">
        <v>550</v>
      </c>
      <c r="AT41">
        <v>405</v>
      </c>
      <c r="AU41">
        <v>485</v>
      </c>
      <c r="AV41">
        <v>205</v>
      </c>
      <c r="AW41">
        <v>180</v>
      </c>
      <c r="AX41">
        <v>164</v>
      </c>
      <c r="AY41">
        <v>86</v>
      </c>
      <c r="AZ41">
        <v>295</v>
      </c>
      <c r="BA41">
        <v>165</v>
      </c>
      <c r="BB41">
        <v>128</v>
      </c>
      <c r="BC41">
        <v>148</v>
      </c>
      <c r="BD41">
        <v>187</v>
      </c>
      <c r="BE41">
        <v>182</v>
      </c>
      <c r="BF41">
        <v>209</v>
      </c>
      <c r="BG41">
        <v>270</v>
      </c>
      <c r="BH41">
        <v>133</v>
      </c>
      <c r="BI41">
        <v>216</v>
      </c>
    </row>
    <row r="42" spans="2:61" x14ac:dyDescent="0.25">
      <c r="B42" s="2">
        <v>36951</v>
      </c>
      <c r="C42">
        <v>310</v>
      </c>
      <c r="D42">
        <v>545</v>
      </c>
      <c r="E42">
        <v>450</v>
      </c>
      <c r="F42">
        <v>425</v>
      </c>
      <c r="G42">
        <v>654</v>
      </c>
      <c r="H42">
        <v>480</v>
      </c>
      <c r="I42">
        <v>367</v>
      </c>
      <c r="J42">
        <v>1005</v>
      </c>
      <c r="K42">
        <v>733</v>
      </c>
      <c r="L42">
        <v>668</v>
      </c>
      <c r="M42">
        <v>433</v>
      </c>
      <c r="N42">
        <v>710</v>
      </c>
      <c r="O42">
        <v>1220</v>
      </c>
      <c r="P42">
        <v>381</v>
      </c>
      <c r="Q42">
        <v>329</v>
      </c>
      <c r="R42">
        <v>290</v>
      </c>
      <c r="S42">
        <v>352</v>
      </c>
      <c r="T42">
        <v>324</v>
      </c>
      <c r="U42">
        <v>530</v>
      </c>
      <c r="V42">
        <v>763</v>
      </c>
      <c r="W42">
        <v>364</v>
      </c>
      <c r="X42">
        <v>505</v>
      </c>
      <c r="Y42">
        <v>650</v>
      </c>
      <c r="Z42">
        <v>752</v>
      </c>
      <c r="AA42">
        <v>290</v>
      </c>
      <c r="AB42">
        <v>375</v>
      </c>
      <c r="AC42">
        <v>410</v>
      </c>
      <c r="AD42">
        <v>545</v>
      </c>
      <c r="AE42">
        <v>656</v>
      </c>
      <c r="AF42">
        <v>255</v>
      </c>
      <c r="AG42">
        <v>386</v>
      </c>
      <c r="AH42">
        <v>215</v>
      </c>
      <c r="AI42">
        <v>225</v>
      </c>
      <c r="AJ42">
        <v>245</v>
      </c>
      <c r="AK42">
        <v>180</v>
      </c>
      <c r="AL42">
        <v>230</v>
      </c>
      <c r="AM42">
        <v>247</v>
      </c>
      <c r="AN42">
        <v>242</v>
      </c>
      <c r="AO42">
        <v>258</v>
      </c>
      <c r="AP42">
        <v>409</v>
      </c>
      <c r="AQ42">
        <v>250</v>
      </c>
      <c r="AR42">
        <v>208</v>
      </c>
      <c r="AS42">
        <v>565</v>
      </c>
      <c r="AT42">
        <v>415</v>
      </c>
      <c r="AU42">
        <v>496</v>
      </c>
      <c r="AV42">
        <v>220</v>
      </c>
      <c r="AW42">
        <v>190</v>
      </c>
      <c r="AX42">
        <v>170</v>
      </c>
      <c r="AY42">
        <v>93</v>
      </c>
      <c r="AZ42">
        <v>286</v>
      </c>
      <c r="BA42">
        <v>172</v>
      </c>
      <c r="BB42">
        <v>130</v>
      </c>
      <c r="BC42">
        <v>154</v>
      </c>
      <c r="BD42">
        <v>180</v>
      </c>
      <c r="BE42">
        <v>190</v>
      </c>
      <c r="BF42">
        <v>220</v>
      </c>
      <c r="BG42">
        <v>275</v>
      </c>
      <c r="BH42">
        <v>139</v>
      </c>
      <c r="BI42">
        <v>227</v>
      </c>
    </row>
    <row r="43" spans="2:61" x14ac:dyDescent="0.25">
      <c r="B43" s="2">
        <v>37043</v>
      </c>
      <c r="C43">
        <v>327</v>
      </c>
      <c r="D43">
        <v>565</v>
      </c>
      <c r="E43">
        <v>431</v>
      </c>
      <c r="F43">
        <v>444</v>
      </c>
      <c r="G43">
        <v>705</v>
      </c>
      <c r="H43">
        <v>500</v>
      </c>
      <c r="I43">
        <v>395</v>
      </c>
      <c r="J43">
        <v>1236</v>
      </c>
      <c r="K43">
        <v>790</v>
      </c>
      <c r="L43">
        <v>670</v>
      </c>
      <c r="M43">
        <v>450</v>
      </c>
      <c r="N43">
        <v>741</v>
      </c>
      <c r="O43">
        <v>1150</v>
      </c>
      <c r="P43">
        <v>413</v>
      </c>
      <c r="Q43">
        <v>328</v>
      </c>
      <c r="R43">
        <v>295</v>
      </c>
      <c r="S43">
        <v>490</v>
      </c>
      <c r="T43">
        <v>340</v>
      </c>
      <c r="U43">
        <v>506</v>
      </c>
      <c r="V43">
        <v>735</v>
      </c>
      <c r="W43">
        <v>400</v>
      </c>
      <c r="X43">
        <v>505</v>
      </c>
      <c r="Y43">
        <v>675</v>
      </c>
      <c r="Z43">
        <v>731</v>
      </c>
      <c r="AA43">
        <v>314</v>
      </c>
      <c r="AB43">
        <v>408</v>
      </c>
      <c r="AC43">
        <v>455</v>
      </c>
      <c r="AD43">
        <v>595</v>
      </c>
      <c r="AE43">
        <v>687</v>
      </c>
      <c r="AF43">
        <v>264</v>
      </c>
      <c r="AG43">
        <v>405</v>
      </c>
      <c r="AH43">
        <v>225</v>
      </c>
      <c r="AI43">
        <v>230</v>
      </c>
      <c r="AJ43">
        <v>260</v>
      </c>
      <c r="AK43">
        <v>190</v>
      </c>
      <c r="AL43">
        <v>235</v>
      </c>
      <c r="AM43">
        <v>260</v>
      </c>
      <c r="AN43">
        <v>250</v>
      </c>
      <c r="AO43">
        <v>270</v>
      </c>
      <c r="AP43">
        <v>425</v>
      </c>
      <c r="AQ43">
        <v>265</v>
      </c>
      <c r="AR43">
        <v>218</v>
      </c>
      <c r="AS43">
        <v>555</v>
      </c>
      <c r="AT43">
        <v>420</v>
      </c>
      <c r="AU43">
        <v>515</v>
      </c>
      <c r="AV43">
        <v>250</v>
      </c>
      <c r="AW43">
        <v>196</v>
      </c>
      <c r="AX43">
        <v>175</v>
      </c>
      <c r="AY43">
        <v>95</v>
      </c>
      <c r="AZ43">
        <v>310</v>
      </c>
      <c r="BA43">
        <v>172</v>
      </c>
      <c r="BB43">
        <v>130</v>
      </c>
      <c r="BC43">
        <v>160</v>
      </c>
      <c r="BD43">
        <v>188</v>
      </c>
      <c r="BE43">
        <v>188</v>
      </c>
      <c r="BF43">
        <v>225</v>
      </c>
      <c r="BG43">
        <v>291</v>
      </c>
      <c r="BH43">
        <v>139</v>
      </c>
      <c r="BI43">
        <v>238</v>
      </c>
    </row>
    <row r="44" spans="2:61" x14ac:dyDescent="0.25">
      <c r="B44" s="2">
        <v>37135</v>
      </c>
      <c r="C44">
        <v>335</v>
      </c>
      <c r="D44">
        <v>630</v>
      </c>
      <c r="E44">
        <v>500</v>
      </c>
      <c r="F44">
        <v>516</v>
      </c>
      <c r="G44">
        <v>728</v>
      </c>
      <c r="H44">
        <v>553</v>
      </c>
      <c r="I44">
        <v>435</v>
      </c>
      <c r="J44">
        <v>1358</v>
      </c>
      <c r="K44">
        <v>807</v>
      </c>
      <c r="L44">
        <v>720</v>
      </c>
      <c r="M44">
        <v>515</v>
      </c>
      <c r="N44">
        <v>845</v>
      </c>
      <c r="O44">
        <v>1350</v>
      </c>
      <c r="P44">
        <v>430</v>
      </c>
      <c r="Q44">
        <v>390</v>
      </c>
      <c r="R44">
        <v>310</v>
      </c>
      <c r="S44">
        <v>573</v>
      </c>
      <c r="T44">
        <v>360</v>
      </c>
      <c r="U44">
        <v>620</v>
      </c>
      <c r="V44">
        <v>858</v>
      </c>
      <c r="W44">
        <v>425</v>
      </c>
      <c r="X44">
        <v>490</v>
      </c>
      <c r="Y44">
        <v>720</v>
      </c>
      <c r="Z44">
        <v>826</v>
      </c>
      <c r="AA44">
        <v>316</v>
      </c>
      <c r="AB44">
        <v>440</v>
      </c>
      <c r="AC44">
        <v>482</v>
      </c>
      <c r="AD44">
        <v>551</v>
      </c>
      <c r="AE44">
        <v>743</v>
      </c>
      <c r="AF44">
        <v>275</v>
      </c>
      <c r="AG44">
        <v>411</v>
      </c>
      <c r="AH44">
        <v>240</v>
      </c>
      <c r="AI44">
        <v>245</v>
      </c>
      <c r="AJ44">
        <v>285</v>
      </c>
      <c r="AK44">
        <v>198</v>
      </c>
      <c r="AL44">
        <v>245</v>
      </c>
      <c r="AM44">
        <v>265</v>
      </c>
      <c r="AN44">
        <v>255</v>
      </c>
      <c r="AO44">
        <v>296</v>
      </c>
      <c r="AP44">
        <v>452</v>
      </c>
      <c r="AQ44">
        <v>275</v>
      </c>
      <c r="AR44">
        <v>229</v>
      </c>
      <c r="AS44">
        <v>617</v>
      </c>
      <c r="AT44">
        <v>441</v>
      </c>
      <c r="AU44">
        <v>550</v>
      </c>
      <c r="AV44">
        <v>263</v>
      </c>
      <c r="AW44">
        <v>201</v>
      </c>
      <c r="AX44">
        <v>182</v>
      </c>
      <c r="AY44">
        <v>97</v>
      </c>
      <c r="AZ44">
        <v>321</v>
      </c>
      <c r="BA44">
        <v>180</v>
      </c>
      <c r="BB44">
        <v>137</v>
      </c>
      <c r="BC44">
        <v>170</v>
      </c>
      <c r="BD44">
        <v>190</v>
      </c>
      <c r="BE44">
        <v>193</v>
      </c>
      <c r="BF44">
        <v>240</v>
      </c>
      <c r="BG44">
        <v>297</v>
      </c>
      <c r="BH44">
        <v>143</v>
      </c>
      <c r="BI44">
        <v>245</v>
      </c>
    </row>
    <row r="45" spans="2:61" x14ac:dyDescent="0.25">
      <c r="B45" s="2">
        <v>37226</v>
      </c>
      <c r="C45">
        <v>353</v>
      </c>
      <c r="D45">
        <v>625</v>
      </c>
      <c r="E45">
        <v>496</v>
      </c>
      <c r="F45">
        <v>550</v>
      </c>
      <c r="G45">
        <v>830</v>
      </c>
      <c r="H45">
        <v>548</v>
      </c>
      <c r="I45">
        <v>425</v>
      </c>
      <c r="J45">
        <v>1384</v>
      </c>
      <c r="K45">
        <v>820</v>
      </c>
      <c r="L45">
        <v>759</v>
      </c>
      <c r="M45">
        <v>505</v>
      </c>
      <c r="N45">
        <v>850</v>
      </c>
      <c r="O45">
        <v>990</v>
      </c>
      <c r="P45">
        <v>462</v>
      </c>
      <c r="Q45">
        <v>335</v>
      </c>
      <c r="R45">
        <v>325</v>
      </c>
      <c r="S45">
        <v>525</v>
      </c>
      <c r="T45">
        <v>377</v>
      </c>
      <c r="U45">
        <v>595</v>
      </c>
      <c r="V45">
        <v>800</v>
      </c>
      <c r="W45">
        <v>462</v>
      </c>
      <c r="X45">
        <v>575</v>
      </c>
      <c r="Y45">
        <v>745</v>
      </c>
      <c r="Z45">
        <v>880</v>
      </c>
      <c r="AA45">
        <v>345</v>
      </c>
      <c r="AB45">
        <v>469</v>
      </c>
      <c r="AC45">
        <v>500</v>
      </c>
      <c r="AD45">
        <v>662</v>
      </c>
      <c r="AE45">
        <v>750</v>
      </c>
      <c r="AF45">
        <v>285</v>
      </c>
      <c r="AG45">
        <v>422</v>
      </c>
      <c r="AH45">
        <v>250</v>
      </c>
      <c r="AI45">
        <v>248</v>
      </c>
      <c r="AJ45">
        <v>280</v>
      </c>
      <c r="AK45">
        <v>213</v>
      </c>
      <c r="AL45">
        <v>260</v>
      </c>
      <c r="AM45">
        <v>278</v>
      </c>
      <c r="AN45">
        <v>282</v>
      </c>
      <c r="AO45">
        <v>307</v>
      </c>
      <c r="AP45">
        <v>475</v>
      </c>
      <c r="AQ45">
        <v>293</v>
      </c>
      <c r="AR45">
        <v>236</v>
      </c>
      <c r="AS45">
        <v>689</v>
      </c>
      <c r="AT45">
        <v>460</v>
      </c>
      <c r="AU45">
        <v>580</v>
      </c>
      <c r="AV45">
        <v>270</v>
      </c>
      <c r="AW45">
        <v>213</v>
      </c>
      <c r="AX45">
        <v>189</v>
      </c>
      <c r="AY45">
        <v>105</v>
      </c>
      <c r="AZ45">
        <v>320</v>
      </c>
      <c r="BA45">
        <v>185</v>
      </c>
      <c r="BB45">
        <v>141</v>
      </c>
      <c r="BC45">
        <v>180</v>
      </c>
      <c r="BD45">
        <v>200</v>
      </c>
      <c r="BE45">
        <v>212</v>
      </c>
      <c r="BF45">
        <v>250</v>
      </c>
      <c r="BG45">
        <v>315</v>
      </c>
      <c r="BH45">
        <v>145</v>
      </c>
      <c r="BI45">
        <v>250</v>
      </c>
    </row>
    <row r="46" spans="2:61" x14ac:dyDescent="0.25">
      <c r="B46" s="2">
        <v>37316</v>
      </c>
      <c r="C46">
        <v>360</v>
      </c>
      <c r="D46">
        <v>630</v>
      </c>
      <c r="E46">
        <v>532</v>
      </c>
      <c r="F46">
        <v>538</v>
      </c>
      <c r="G46">
        <v>760</v>
      </c>
      <c r="H46">
        <v>566</v>
      </c>
      <c r="I46">
        <v>455</v>
      </c>
      <c r="J46">
        <v>1850</v>
      </c>
      <c r="K46">
        <v>960</v>
      </c>
      <c r="L46">
        <v>756</v>
      </c>
      <c r="M46">
        <v>489</v>
      </c>
      <c r="N46">
        <v>938</v>
      </c>
      <c r="O46">
        <v>1350</v>
      </c>
      <c r="P46">
        <v>465</v>
      </c>
      <c r="Q46">
        <v>360</v>
      </c>
      <c r="R46">
        <v>348</v>
      </c>
      <c r="S46">
        <v>525</v>
      </c>
      <c r="T46">
        <v>397</v>
      </c>
      <c r="U46">
        <v>670</v>
      </c>
      <c r="V46">
        <v>775</v>
      </c>
      <c r="W46">
        <v>447</v>
      </c>
      <c r="X46">
        <v>591</v>
      </c>
      <c r="Y46">
        <v>770</v>
      </c>
      <c r="Z46">
        <v>955</v>
      </c>
      <c r="AA46">
        <v>355</v>
      </c>
      <c r="AB46">
        <v>480</v>
      </c>
      <c r="AC46">
        <v>520</v>
      </c>
      <c r="AD46">
        <v>650</v>
      </c>
      <c r="AE46">
        <v>784</v>
      </c>
      <c r="AF46">
        <v>305</v>
      </c>
      <c r="AG46">
        <v>450</v>
      </c>
      <c r="AH46">
        <v>263</v>
      </c>
      <c r="AI46">
        <v>255</v>
      </c>
      <c r="AJ46">
        <v>314</v>
      </c>
      <c r="AK46">
        <v>229</v>
      </c>
      <c r="AL46">
        <v>279</v>
      </c>
      <c r="AM46">
        <v>289</v>
      </c>
      <c r="AN46">
        <v>281</v>
      </c>
      <c r="AO46">
        <v>321</v>
      </c>
      <c r="AP46">
        <v>479</v>
      </c>
      <c r="AQ46">
        <v>310</v>
      </c>
      <c r="AR46">
        <v>257</v>
      </c>
      <c r="AS46">
        <v>680</v>
      </c>
      <c r="AT46">
        <v>480</v>
      </c>
      <c r="AU46">
        <v>602</v>
      </c>
      <c r="AV46">
        <v>270</v>
      </c>
      <c r="AW46">
        <v>228</v>
      </c>
      <c r="AX46">
        <v>210</v>
      </c>
      <c r="AY46">
        <v>112</v>
      </c>
      <c r="AZ46">
        <v>356</v>
      </c>
      <c r="BA46">
        <v>220</v>
      </c>
      <c r="BB46">
        <v>154</v>
      </c>
      <c r="BC46">
        <v>197</v>
      </c>
      <c r="BD46">
        <v>220</v>
      </c>
      <c r="BE46">
        <v>234</v>
      </c>
      <c r="BF46">
        <v>255</v>
      </c>
      <c r="BG46">
        <v>325</v>
      </c>
      <c r="BH46">
        <v>155</v>
      </c>
      <c r="BI46">
        <v>260</v>
      </c>
    </row>
    <row r="47" spans="2:61" x14ac:dyDescent="0.25">
      <c r="B47" s="2">
        <v>37408</v>
      </c>
      <c r="C47">
        <v>390</v>
      </c>
      <c r="D47">
        <v>697</v>
      </c>
      <c r="E47">
        <v>583</v>
      </c>
      <c r="F47">
        <v>558</v>
      </c>
      <c r="G47">
        <v>839</v>
      </c>
      <c r="H47">
        <v>596</v>
      </c>
      <c r="I47">
        <v>500</v>
      </c>
      <c r="J47">
        <v>1750</v>
      </c>
      <c r="K47">
        <v>938</v>
      </c>
      <c r="L47">
        <v>860</v>
      </c>
      <c r="M47">
        <v>562</v>
      </c>
      <c r="N47">
        <v>941</v>
      </c>
      <c r="O47">
        <v>1500</v>
      </c>
      <c r="P47">
        <v>520</v>
      </c>
      <c r="Q47">
        <v>393</v>
      </c>
      <c r="R47">
        <v>373</v>
      </c>
      <c r="S47">
        <v>600</v>
      </c>
      <c r="T47">
        <v>450</v>
      </c>
      <c r="U47">
        <v>731</v>
      </c>
      <c r="V47">
        <v>1100</v>
      </c>
      <c r="W47">
        <v>495</v>
      </c>
      <c r="X47">
        <v>590</v>
      </c>
      <c r="Y47">
        <v>808</v>
      </c>
      <c r="Z47">
        <v>975</v>
      </c>
      <c r="AA47">
        <v>382</v>
      </c>
      <c r="AB47">
        <v>500</v>
      </c>
      <c r="AC47">
        <v>582</v>
      </c>
      <c r="AD47">
        <v>829</v>
      </c>
      <c r="AE47">
        <v>838</v>
      </c>
      <c r="AF47">
        <v>323</v>
      </c>
      <c r="AG47">
        <v>485</v>
      </c>
      <c r="AH47">
        <v>278</v>
      </c>
      <c r="AI47">
        <v>270</v>
      </c>
      <c r="AJ47">
        <v>329</v>
      </c>
      <c r="AK47">
        <v>245</v>
      </c>
      <c r="AL47">
        <v>298</v>
      </c>
      <c r="AM47">
        <v>299</v>
      </c>
      <c r="AN47">
        <v>305</v>
      </c>
      <c r="AO47">
        <v>350</v>
      </c>
      <c r="AP47">
        <v>515</v>
      </c>
      <c r="AQ47">
        <v>330</v>
      </c>
      <c r="AR47">
        <v>264</v>
      </c>
      <c r="AS47">
        <v>730</v>
      </c>
      <c r="AT47">
        <v>509</v>
      </c>
      <c r="AU47">
        <v>650</v>
      </c>
      <c r="AV47">
        <v>289</v>
      </c>
      <c r="AW47">
        <v>238</v>
      </c>
      <c r="AX47">
        <v>220</v>
      </c>
      <c r="AY47">
        <v>129</v>
      </c>
      <c r="AZ47">
        <v>375</v>
      </c>
      <c r="BA47">
        <v>221</v>
      </c>
      <c r="BB47">
        <v>158</v>
      </c>
      <c r="BC47">
        <v>220</v>
      </c>
      <c r="BD47">
        <v>231</v>
      </c>
      <c r="BE47">
        <v>235</v>
      </c>
      <c r="BF47">
        <v>270</v>
      </c>
      <c r="BG47">
        <v>350</v>
      </c>
      <c r="BH47">
        <v>160</v>
      </c>
      <c r="BI47">
        <v>276</v>
      </c>
    </row>
    <row r="48" spans="2:61" x14ac:dyDescent="0.25">
      <c r="B48" s="2">
        <v>37500</v>
      </c>
      <c r="C48">
        <v>410</v>
      </c>
      <c r="D48">
        <v>734</v>
      </c>
      <c r="E48">
        <v>581</v>
      </c>
      <c r="F48">
        <v>561</v>
      </c>
      <c r="G48">
        <v>851</v>
      </c>
      <c r="H48">
        <v>620</v>
      </c>
      <c r="I48">
        <v>504</v>
      </c>
      <c r="J48">
        <v>1600</v>
      </c>
      <c r="K48">
        <v>1075</v>
      </c>
      <c r="L48">
        <v>922</v>
      </c>
      <c r="M48">
        <v>557</v>
      </c>
      <c r="N48">
        <v>1008</v>
      </c>
      <c r="O48">
        <v>1500</v>
      </c>
      <c r="P48">
        <v>550</v>
      </c>
      <c r="Q48">
        <v>445</v>
      </c>
      <c r="R48">
        <v>400</v>
      </c>
      <c r="S48">
        <v>614</v>
      </c>
      <c r="T48">
        <v>458</v>
      </c>
      <c r="U48">
        <v>713</v>
      </c>
      <c r="V48">
        <v>1110</v>
      </c>
      <c r="W48">
        <v>544</v>
      </c>
      <c r="X48">
        <v>656</v>
      </c>
      <c r="Y48">
        <v>822</v>
      </c>
      <c r="Z48">
        <v>970</v>
      </c>
      <c r="AA48">
        <v>402</v>
      </c>
      <c r="AB48">
        <v>551</v>
      </c>
      <c r="AC48">
        <v>600</v>
      </c>
      <c r="AD48">
        <v>890</v>
      </c>
      <c r="AE48">
        <v>900</v>
      </c>
      <c r="AF48">
        <v>340</v>
      </c>
      <c r="AG48">
        <v>505</v>
      </c>
      <c r="AH48">
        <v>293</v>
      </c>
      <c r="AI48">
        <v>287</v>
      </c>
      <c r="AJ48">
        <v>354</v>
      </c>
      <c r="AK48">
        <v>258</v>
      </c>
      <c r="AL48">
        <v>317</v>
      </c>
      <c r="AM48">
        <v>325</v>
      </c>
      <c r="AN48">
        <v>312</v>
      </c>
      <c r="AO48">
        <v>369</v>
      </c>
      <c r="AP48">
        <v>525</v>
      </c>
      <c r="AQ48">
        <v>350</v>
      </c>
      <c r="AR48">
        <v>280</v>
      </c>
      <c r="AS48">
        <v>750</v>
      </c>
      <c r="AT48">
        <v>535</v>
      </c>
      <c r="AU48">
        <v>680</v>
      </c>
      <c r="AV48">
        <v>289</v>
      </c>
      <c r="AW48">
        <v>255</v>
      </c>
      <c r="AX48">
        <v>237</v>
      </c>
      <c r="AY48">
        <v>135</v>
      </c>
      <c r="AZ48">
        <v>402</v>
      </c>
      <c r="BA48">
        <v>243</v>
      </c>
      <c r="BB48">
        <v>169</v>
      </c>
      <c r="BC48">
        <v>232</v>
      </c>
      <c r="BD48">
        <v>240</v>
      </c>
      <c r="BE48">
        <v>260</v>
      </c>
      <c r="BF48">
        <v>282</v>
      </c>
      <c r="BG48">
        <v>365</v>
      </c>
      <c r="BH48">
        <v>165</v>
      </c>
      <c r="BI48">
        <v>290</v>
      </c>
    </row>
    <row r="49" spans="2:61" x14ac:dyDescent="0.25">
      <c r="B49" s="2">
        <v>37591</v>
      </c>
      <c r="C49">
        <v>439</v>
      </c>
      <c r="D49">
        <v>720</v>
      </c>
      <c r="E49">
        <v>653</v>
      </c>
      <c r="F49">
        <v>620</v>
      </c>
      <c r="G49">
        <v>887</v>
      </c>
      <c r="H49">
        <v>633</v>
      </c>
      <c r="I49">
        <v>490</v>
      </c>
      <c r="J49">
        <v>1590</v>
      </c>
      <c r="K49">
        <v>833</v>
      </c>
      <c r="L49">
        <v>850</v>
      </c>
      <c r="M49">
        <v>585</v>
      </c>
      <c r="N49">
        <v>950</v>
      </c>
      <c r="O49">
        <v>1605</v>
      </c>
      <c r="P49">
        <v>580</v>
      </c>
      <c r="Q49">
        <v>433</v>
      </c>
      <c r="R49">
        <v>418</v>
      </c>
      <c r="S49">
        <v>600</v>
      </c>
      <c r="T49">
        <v>496</v>
      </c>
      <c r="U49">
        <v>720</v>
      </c>
      <c r="V49">
        <v>1200</v>
      </c>
      <c r="W49">
        <v>561</v>
      </c>
      <c r="X49">
        <v>696</v>
      </c>
      <c r="Y49">
        <v>855</v>
      </c>
      <c r="Z49">
        <v>985</v>
      </c>
      <c r="AA49">
        <v>424</v>
      </c>
      <c r="AB49">
        <v>587</v>
      </c>
      <c r="AC49">
        <v>610</v>
      </c>
      <c r="AD49">
        <v>875</v>
      </c>
      <c r="AE49">
        <v>883</v>
      </c>
      <c r="AF49">
        <v>360</v>
      </c>
      <c r="AG49">
        <v>518</v>
      </c>
      <c r="AH49">
        <v>312</v>
      </c>
      <c r="AI49">
        <v>310</v>
      </c>
      <c r="AJ49">
        <v>367</v>
      </c>
      <c r="AK49">
        <v>272</v>
      </c>
      <c r="AL49">
        <v>330</v>
      </c>
      <c r="AM49">
        <v>348</v>
      </c>
      <c r="AN49">
        <v>340</v>
      </c>
      <c r="AO49">
        <v>393</v>
      </c>
      <c r="AP49">
        <v>575</v>
      </c>
      <c r="AQ49">
        <v>367</v>
      </c>
      <c r="AR49">
        <v>290</v>
      </c>
      <c r="AS49">
        <v>820</v>
      </c>
      <c r="AT49">
        <v>555</v>
      </c>
      <c r="AU49">
        <v>690</v>
      </c>
      <c r="AV49">
        <v>315</v>
      </c>
      <c r="AW49">
        <v>265</v>
      </c>
      <c r="AX49">
        <v>250</v>
      </c>
      <c r="AY49">
        <v>145</v>
      </c>
      <c r="AZ49">
        <v>420</v>
      </c>
      <c r="BA49">
        <v>255</v>
      </c>
      <c r="BB49">
        <v>175</v>
      </c>
      <c r="BC49">
        <v>245</v>
      </c>
      <c r="BD49">
        <v>265</v>
      </c>
      <c r="BE49">
        <v>280</v>
      </c>
      <c r="BF49">
        <v>310</v>
      </c>
      <c r="BG49">
        <v>391</v>
      </c>
      <c r="BH49">
        <v>175</v>
      </c>
      <c r="BI49">
        <v>300</v>
      </c>
    </row>
    <row r="50" spans="2:61" x14ac:dyDescent="0.25">
      <c r="B50" s="2">
        <v>37681</v>
      </c>
      <c r="C50">
        <v>430</v>
      </c>
      <c r="D50">
        <v>727</v>
      </c>
      <c r="E50">
        <v>672</v>
      </c>
      <c r="F50">
        <v>580</v>
      </c>
      <c r="G50">
        <v>965</v>
      </c>
      <c r="H50">
        <v>626</v>
      </c>
      <c r="I50">
        <v>518</v>
      </c>
      <c r="J50">
        <v>1699</v>
      </c>
      <c r="K50">
        <v>1048</v>
      </c>
      <c r="L50">
        <v>875</v>
      </c>
      <c r="M50">
        <v>587</v>
      </c>
      <c r="N50">
        <v>1200</v>
      </c>
      <c r="O50">
        <v>1405</v>
      </c>
      <c r="P50">
        <v>565</v>
      </c>
      <c r="Q50">
        <v>420</v>
      </c>
      <c r="R50">
        <v>425</v>
      </c>
      <c r="S50">
        <v>628</v>
      </c>
      <c r="T50">
        <v>490</v>
      </c>
      <c r="U50">
        <v>735</v>
      </c>
      <c r="V50">
        <v>1075</v>
      </c>
      <c r="W50">
        <v>559</v>
      </c>
      <c r="X50">
        <v>681</v>
      </c>
      <c r="Y50">
        <v>830</v>
      </c>
      <c r="Z50">
        <v>1060</v>
      </c>
      <c r="AA50">
        <v>454</v>
      </c>
      <c r="AB50">
        <v>573</v>
      </c>
      <c r="AC50">
        <v>616</v>
      </c>
      <c r="AD50">
        <v>900</v>
      </c>
      <c r="AE50">
        <v>870</v>
      </c>
      <c r="AF50">
        <v>368</v>
      </c>
      <c r="AG50">
        <v>544</v>
      </c>
      <c r="AH50">
        <v>310</v>
      </c>
      <c r="AI50">
        <v>319</v>
      </c>
      <c r="AJ50">
        <v>377</v>
      </c>
      <c r="AK50">
        <v>280</v>
      </c>
      <c r="AL50">
        <v>340</v>
      </c>
      <c r="AM50">
        <v>361</v>
      </c>
      <c r="AN50">
        <v>344</v>
      </c>
      <c r="AO50">
        <v>390</v>
      </c>
      <c r="AP50">
        <v>565</v>
      </c>
      <c r="AQ50">
        <v>375</v>
      </c>
      <c r="AR50">
        <v>300</v>
      </c>
      <c r="AS50">
        <v>778</v>
      </c>
      <c r="AT50">
        <v>584</v>
      </c>
      <c r="AU50">
        <v>699</v>
      </c>
      <c r="AV50">
        <v>336</v>
      </c>
      <c r="AW50">
        <v>282</v>
      </c>
      <c r="AX50">
        <v>269</v>
      </c>
      <c r="AY50">
        <v>156</v>
      </c>
      <c r="AZ50">
        <v>459</v>
      </c>
      <c r="BA50">
        <v>280</v>
      </c>
      <c r="BB50">
        <v>192</v>
      </c>
      <c r="BC50">
        <v>253</v>
      </c>
      <c r="BD50">
        <v>313</v>
      </c>
      <c r="BE50">
        <v>290</v>
      </c>
      <c r="BF50">
        <v>320</v>
      </c>
      <c r="BG50">
        <v>386</v>
      </c>
      <c r="BH50">
        <v>185</v>
      </c>
      <c r="BI50">
        <v>307</v>
      </c>
    </row>
    <row r="51" spans="2:61" x14ac:dyDescent="0.25">
      <c r="B51" s="2">
        <v>37773</v>
      </c>
      <c r="C51">
        <v>457</v>
      </c>
      <c r="D51">
        <v>790</v>
      </c>
      <c r="E51">
        <v>644</v>
      </c>
      <c r="F51">
        <v>660</v>
      </c>
      <c r="G51">
        <v>950</v>
      </c>
      <c r="H51">
        <v>691</v>
      </c>
      <c r="I51">
        <v>547</v>
      </c>
      <c r="J51">
        <v>1785</v>
      </c>
      <c r="K51">
        <v>1061</v>
      </c>
      <c r="L51">
        <v>935</v>
      </c>
      <c r="M51">
        <v>614</v>
      </c>
      <c r="N51">
        <v>1056</v>
      </c>
      <c r="O51">
        <v>1625</v>
      </c>
      <c r="P51">
        <v>578</v>
      </c>
      <c r="Q51">
        <v>460</v>
      </c>
      <c r="R51">
        <v>433</v>
      </c>
      <c r="S51">
        <v>677</v>
      </c>
      <c r="T51">
        <v>510</v>
      </c>
      <c r="U51">
        <v>787</v>
      </c>
      <c r="V51">
        <v>1025</v>
      </c>
      <c r="W51">
        <v>570</v>
      </c>
      <c r="X51">
        <v>735</v>
      </c>
      <c r="Y51">
        <v>900</v>
      </c>
      <c r="Z51">
        <v>1185</v>
      </c>
      <c r="AA51">
        <v>450</v>
      </c>
      <c r="AB51">
        <v>587</v>
      </c>
      <c r="AC51">
        <v>630</v>
      </c>
      <c r="AD51">
        <v>924</v>
      </c>
      <c r="AE51">
        <v>963</v>
      </c>
      <c r="AF51">
        <v>385</v>
      </c>
      <c r="AG51">
        <v>550</v>
      </c>
      <c r="AH51">
        <v>330</v>
      </c>
      <c r="AI51">
        <v>330</v>
      </c>
      <c r="AJ51">
        <v>388</v>
      </c>
      <c r="AK51">
        <v>288</v>
      </c>
      <c r="AL51">
        <v>353</v>
      </c>
      <c r="AM51">
        <v>388</v>
      </c>
      <c r="AN51">
        <v>359</v>
      </c>
      <c r="AO51">
        <v>410</v>
      </c>
      <c r="AP51">
        <v>580</v>
      </c>
      <c r="AQ51">
        <v>388</v>
      </c>
      <c r="AR51">
        <v>313</v>
      </c>
      <c r="AS51">
        <v>812</v>
      </c>
      <c r="AT51">
        <v>596</v>
      </c>
      <c r="AU51">
        <v>721</v>
      </c>
      <c r="AV51">
        <v>360</v>
      </c>
      <c r="AW51">
        <v>305</v>
      </c>
      <c r="AX51">
        <v>278</v>
      </c>
      <c r="AY51">
        <v>172</v>
      </c>
      <c r="AZ51">
        <v>480</v>
      </c>
      <c r="BA51">
        <v>285</v>
      </c>
      <c r="BB51">
        <v>212</v>
      </c>
      <c r="BC51">
        <v>260</v>
      </c>
      <c r="BD51">
        <v>342</v>
      </c>
      <c r="BE51">
        <v>310</v>
      </c>
      <c r="BF51">
        <v>349</v>
      </c>
      <c r="BG51">
        <v>411</v>
      </c>
      <c r="BH51">
        <v>197</v>
      </c>
      <c r="BI51">
        <v>335</v>
      </c>
    </row>
    <row r="52" spans="2:61" x14ac:dyDescent="0.25">
      <c r="B52" s="2">
        <v>37865</v>
      </c>
      <c r="C52">
        <v>475</v>
      </c>
      <c r="D52">
        <v>816</v>
      </c>
      <c r="E52">
        <v>675</v>
      </c>
      <c r="F52">
        <v>670</v>
      </c>
      <c r="G52">
        <v>1060</v>
      </c>
      <c r="H52">
        <v>731</v>
      </c>
      <c r="I52">
        <v>585</v>
      </c>
      <c r="J52">
        <v>1610</v>
      </c>
      <c r="K52">
        <v>1138</v>
      </c>
      <c r="L52">
        <v>950</v>
      </c>
      <c r="M52">
        <v>670</v>
      </c>
      <c r="N52">
        <v>1255</v>
      </c>
      <c r="O52">
        <v>1650</v>
      </c>
      <c r="P52">
        <v>625</v>
      </c>
      <c r="Q52">
        <v>496</v>
      </c>
      <c r="R52">
        <v>466</v>
      </c>
      <c r="S52">
        <v>690</v>
      </c>
      <c r="T52">
        <v>540</v>
      </c>
      <c r="U52">
        <v>785</v>
      </c>
      <c r="V52">
        <v>1333</v>
      </c>
      <c r="W52">
        <v>598</v>
      </c>
      <c r="X52">
        <v>725</v>
      </c>
      <c r="Y52">
        <v>910</v>
      </c>
      <c r="Z52">
        <v>1260</v>
      </c>
      <c r="AA52">
        <v>471</v>
      </c>
      <c r="AB52">
        <v>635</v>
      </c>
      <c r="AC52">
        <v>685</v>
      </c>
      <c r="AD52">
        <v>1040</v>
      </c>
      <c r="AE52">
        <v>975</v>
      </c>
      <c r="AF52">
        <v>395</v>
      </c>
      <c r="AG52">
        <v>587</v>
      </c>
      <c r="AH52">
        <v>343</v>
      </c>
      <c r="AI52">
        <v>340</v>
      </c>
      <c r="AJ52">
        <v>400</v>
      </c>
      <c r="AK52">
        <v>305</v>
      </c>
      <c r="AL52">
        <v>375</v>
      </c>
      <c r="AM52">
        <v>400</v>
      </c>
      <c r="AN52">
        <v>385</v>
      </c>
      <c r="AO52">
        <v>415</v>
      </c>
      <c r="AP52">
        <v>614</v>
      </c>
      <c r="AQ52">
        <v>405</v>
      </c>
      <c r="AR52">
        <v>328</v>
      </c>
      <c r="AS52">
        <v>850</v>
      </c>
      <c r="AT52">
        <v>640</v>
      </c>
      <c r="AU52">
        <v>760</v>
      </c>
      <c r="AV52">
        <v>394</v>
      </c>
      <c r="AW52">
        <v>314</v>
      </c>
      <c r="AX52">
        <v>300</v>
      </c>
      <c r="AY52">
        <v>205</v>
      </c>
      <c r="AZ52">
        <v>490</v>
      </c>
      <c r="BA52">
        <v>316</v>
      </c>
      <c r="BB52">
        <v>245</v>
      </c>
      <c r="BC52">
        <v>290</v>
      </c>
      <c r="BD52">
        <v>325</v>
      </c>
      <c r="BE52">
        <v>333</v>
      </c>
      <c r="BF52">
        <v>368</v>
      </c>
      <c r="BG52">
        <v>430</v>
      </c>
      <c r="BH52">
        <v>210</v>
      </c>
      <c r="BI52">
        <v>350</v>
      </c>
    </row>
    <row r="53" spans="2:61" x14ac:dyDescent="0.25">
      <c r="B53" s="2">
        <v>37956</v>
      </c>
      <c r="C53">
        <v>505</v>
      </c>
      <c r="D53">
        <v>820</v>
      </c>
      <c r="E53">
        <v>705</v>
      </c>
      <c r="F53">
        <v>669</v>
      </c>
      <c r="G53">
        <v>1090</v>
      </c>
      <c r="H53">
        <v>695</v>
      </c>
      <c r="I53">
        <v>581</v>
      </c>
      <c r="J53">
        <v>1710</v>
      </c>
      <c r="K53">
        <v>1088</v>
      </c>
      <c r="L53">
        <v>976</v>
      </c>
      <c r="M53">
        <v>653</v>
      </c>
      <c r="N53">
        <v>1300</v>
      </c>
      <c r="O53">
        <v>1650</v>
      </c>
      <c r="P53">
        <v>650</v>
      </c>
      <c r="Q53">
        <v>510</v>
      </c>
      <c r="R53">
        <v>475</v>
      </c>
      <c r="S53">
        <v>636</v>
      </c>
      <c r="T53">
        <v>568</v>
      </c>
      <c r="U53">
        <v>857</v>
      </c>
      <c r="V53">
        <v>1150</v>
      </c>
      <c r="W53">
        <v>625</v>
      </c>
      <c r="X53">
        <v>815</v>
      </c>
      <c r="Y53">
        <v>970</v>
      </c>
      <c r="Z53">
        <v>1110</v>
      </c>
      <c r="AA53">
        <v>480</v>
      </c>
      <c r="AB53">
        <v>640</v>
      </c>
      <c r="AC53">
        <v>680</v>
      </c>
      <c r="AD53">
        <v>940</v>
      </c>
      <c r="AE53">
        <v>980</v>
      </c>
      <c r="AF53">
        <v>418</v>
      </c>
      <c r="AG53">
        <v>610</v>
      </c>
      <c r="AH53">
        <v>360</v>
      </c>
      <c r="AI53">
        <v>359</v>
      </c>
      <c r="AJ53">
        <v>400</v>
      </c>
      <c r="AK53">
        <v>320</v>
      </c>
      <c r="AL53">
        <v>389</v>
      </c>
      <c r="AM53">
        <v>415</v>
      </c>
      <c r="AN53">
        <v>390</v>
      </c>
      <c r="AO53">
        <v>440</v>
      </c>
      <c r="AP53">
        <v>620</v>
      </c>
      <c r="AQ53">
        <v>420</v>
      </c>
      <c r="AR53">
        <v>343</v>
      </c>
      <c r="AS53">
        <v>855</v>
      </c>
      <c r="AT53">
        <v>670</v>
      </c>
      <c r="AU53">
        <v>788</v>
      </c>
      <c r="AV53">
        <v>396</v>
      </c>
      <c r="AW53">
        <v>344</v>
      </c>
      <c r="AX53">
        <v>320</v>
      </c>
      <c r="AY53">
        <v>225</v>
      </c>
      <c r="AZ53">
        <v>510</v>
      </c>
      <c r="BA53">
        <v>320</v>
      </c>
      <c r="BB53">
        <v>266</v>
      </c>
      <c r="BC53">
        <v>305</v>
      </c>
      <c r="BD53">
        <v>338</v>
      </c>
      <c r="BE53">
        <v>341</v>
      </c>
      <c r="BF53">
        <v>390</v>
      </c>
      <c r="BG53">
        <v>455</v>
      </c>
      <c r="BH53">
        <v>218</v>
      </c>
      <c r="BI53">
        <v>363</v>
      </c>
    </row>
    <row r="54" spans="2:61" x14ac:dyDescent="0.25">
      <c r="B54" s="2">
        <v>38047</v>
      </c>
      <c r="C54">
        <v>507</v>
      </c>
      <c r="D54">
        <v>800</v>
      </c>
      <c r="E54">
        <v>650</v>
      </c>
      <c r="F54">
        <v>640</v>
      </c>
      <c r="G54">
        <v>1005</v>
      </c>
      <c r="H54">
        <v>692</v>
      </c>
      <c r="I54">
        <v>590</v>
      </c>
      <c r="J54">
        <v>1560</v>
      </c>
      <c r="K54">
        <v>994</v>
      </c>
      <c r="L54">
        <v>950</v>
      </c>
      <c r="M54">
        <v>645</v>
      </c>
      <c r="N54">
        <v>1062</v>
      </c>
      <c r="O54">
        <v>1500</v>
      </c>
      <c r="P54">
        <v>640</v>
      </c>
      <c r="Q54">
        <v>500</v>
      </c>
      <c r="R54">
        <v>480</v>
      </c>
      <c r="S54">
        <v>650</v>
      </c>
      <c r="T54">
        <v>528</v>
      </c>
      <c r="U54">
        <v>811</v>
      </c>
      <c r="V54">
        <v>1055</v>
      </c>
      <c r="W54">
        <v>635</v>
      </c>
      <c r="X54">
        <v>780</v>
      </c>
      <c r="Y54">
        <v>937</v>
      </c>
      <c r="Z54">
        <v>1300</v>
      </c>
      <c r="AA54">
        <v>493</v>
      </c>
      <c r="AB54">
        <v>630</v>
      </c>
      <c r="AC54">
        <v>665</v>
      </c>
      <c r="AD54">
        <v>788</v>
      </c>
      <c r="AE54">
        <v>946</v>
      </c>
      <c r="AF54">
        <v>425</v>
      </c>
      <c r="AG54">
        <v>610</v>
      </c>
      <c r="AH54">
        <v>369</v>
      </c>
      <c r="AI54">
        <v>365</v>
      </c>
      <c r="AJ54">
        <v>405</v>
      </c>
      <c r="AK54">
        <v>330</v>
      </c>
      <c r="AL54">
        <v>385</v>
      </c>
      <c r="AM54">
        <v>424</v>
      </c>
      <c r="AN54">
        <v>395</v>
      </c>
      <c r="AO54">
        <v>443</v>
      </c>
      <c r="AP54">
        <v>625</v>
      </c>
      <c r="AQ54">
        <v>422</v>
      </c>
      <c r="AR54">
        <v>347</v>
      </c>
      <c r="AS54">
        <v>920</v>
      </c>
      <c r="AT54">
        <v>655</v>
      </c>
      <c r="AU54">
        <v>765</v>
      </c>
      <c r="AV54">
        <v>411</v>
      </c>
      <c r="AW54">
        <v>350</v>
      </c>
      <c r="AX54">
        <v>330</v>
      </c>
      <c r="AY54">
        <v>220</v>
      </c>
      <c r="AZ54">
        <v>563</v>
      </c>
      <c r="BA54">
        <v>340</v>
      </c>
      <c r="BB54">
        <v>270</v>
      </c>
      <c r="BC54">
        <v>308</v>
      </c>
      <c r="BD54">
        <v>352</v>
      </c>
      <c r="BE54">
        <v>348</v>
      </c>
      <c r="BF54">
        <v>405</v>
      </c>
      <c r="BG54">
        <v>455</v>
      </c>
      <c r="BH54">
        <v>228</v>
      </c>
      <c r="BI54">
        <v>360</v>
      </c>
    </row>
    <row r="55" spans="2:61" x14ac:dyDescent="0.25">
      <c r="B55" s="2">
        <v>38139</v>
      </c>
      <c r="C55">
        <v>486</v>
      </c>
      <c r="D55">
        <v>775</v>
      </c>
      <c r="E55">
        <v>645</v>
      </c>
      <c r="F55">
        <v>640</v>
      </c>
      <c r="G55">
        <v>1000</v>
      </c>
      <c r="H55">
        <v>668</v>
      </c>
      <c r="I55">
        <v>545</v>
      </c>
      <c r="J55">
        <v>1585</v>
      </c>
      <c r="K55">
        <v>973</v>
      </c>
      <c r="L55">
        <v>850</v>
      </c>
      <c r="M55">
        <v>610</v>
      </c>
      <c r="N55">
        <v>1172</v>
      </c>
      <c r="O55">
        <v>1540</v>
      </c>
      <c r="P55">
        <v>600</v>
      </c>
      <c r="Q55">
        <v>478</v>
      </c>
      <c r="R55">
        <v>460</v>
      </c>
      <c r="S55">
        <v>628</v>
      </c>
      <c r="T55">
        <v>502</v>
      </c>
      <c r="U55">
        <v>798</v>
      </c>
      <c r="V55">
        <v>1217</v>
      </c>
      <c r="W55">
        <v>604</v>
      </c>
      <c r="X55">
        <v>743</v>
      </c>
      <c r="Y55">
        <v>905</v>
      </c>
      <c r="Z55">
        <v>1125</v>
      </c>
      <c r="AA55">
        <v>467</v>
      </c>
      <c r="AB55">
        <v>570</v>
      </c>
      <c r="AC55">
        <v>640</v>
      </c>
      <c r="AD55">
        <v>793</v>
      </c>
      <c r="AE55">
        <v>860</v>
      </c>
      <c r="AF55">
        <v>412</v>
      </c>
      <c r="AG55">
        <v>600</v>
      </c>
      <c r="AH55">
        <v>368</v>
      </c>
      <c r="AI55">
        <v>360</v>
      </c>
      <c r="AJ55">
        <v>412</v>
      </c>
      <c r="AK55">
        <v>327</v>
      </c>
      <c r="AL55">
        <v>385</v>
      </c>
      <c r="AM55">
        <v>410</v>
      </c>
      <c r="AN55">
        <v>386</v>
      </c>
      <c r="AO55">
        <v>430</v>
      </c>
      <c r="AP55">
        <v>615</v>
      </c>
      <c r="AQ55">
        <v>425</v>
      </c>
      <c r="AR55">
        <v>345</v>
      </c>
      <c r="AS55">
        <v>873</v>
      </c>
      <c r="AT55">
        <v>625</v>
      </c>
      <c r="AU55">
        <v>720</v>
      </c>
      <c r="AV55">
        <v>403</v>
      </c>
      <c r="AW55">
        <v>338</v>
      </c>
      <c r="AX55">
        <v>325</v>
      </c>
      <c r="AY55">
        <v>225</v>
      </c>
      <c r="AZ55">
        <v>515</v>
      </c>
      <c r="BA55">
        <v>326</v>
      </c>
      <c r="BB55">
        <v>270</v>
      </c>
      <c r="BC55">
        <v>310</v>
      </c>
      <c r="BD55">
        <v>350</v>
      </c>
      <c r="BE55">
        <v>337</v>
      </c>
      <c r="BF55">
        <v>390</v>
      </c>
      <c r="BG55">
        <v>450</v>
      </c>
      <c r="BH55">
        <v>232</v>
      </c>
      <c r="BI55">
        <v>370</v>
      </c>
    </row>
    <row r="56" spans="2:61" x14ac:dyDescent="0.25">
      <c r="B56" s="2">
        <v>38231</v>
      </c>
      <c r="C56">
        <v>495</v>
      </c>
      <c r="D56">
        <v>790</v>
      </c>
      <c r="E56">
        <v>578</v>
      </c>
      <c r="F56">
        <v>650</v>
      </c>
      <c r="G56">
        <v>1000</v>
      </c>
      <c r="H56">
        <v>680</v>
      </c>
      <c r="I56">
        <v>580</v>
      </c>
      <c r="J56">
        <v>1900</v>
      </c>
      <c r="K56">
        <v>925</v>
      </c>
      <c r="L56">
        <v>915</v>
      </c>
      <c r="M56">
        <v>610</v>
      </c>
      <c r="N56">
        <v>1200</v>
      </c>
      <c r="O56">
        <v>1985</v>
      </c>
      <c r="P56">
        <v>605</v>
      </c>
      <c r="Q56">
        <v>477</v>
      </c>
      <c r="R56">
        <v>460</v>
      </c>
      <c r="S56">
        <v>628</v>
      </c>
      <c r="T56">
        <v>510</v>
      </c>
      <c r="U56">
        <v>798</v>
      </c>
      <c r="V56">
        <v>1100</v>
      </c>
      <c r="W56">
        <v>620</v>
      </c>
      <c r="X56">
        <v>720</v>
      </c>
      <c r="Y56">
        <v>925</v>
      </c>
      <c r="Z56">
        <v>1000</v>
      </c>
      <c r="AA56">
        <v>452</v>
      </c>
      <c r="AB56">
        <v>614</v>
      </c>
      <c r="AC56">
        <v>630</v>
      </c>
      <c r="AD56">
        <v>985</v>
      </c>
      <c r="AE56">
        <v>900</v>
      </c>
      <c r="AF56">
        <v>420</v>
      </c>
      <c r="AG56">
        <v>585</v>
      </c>
      <c r="AH56">
        <v>360</v>
      </c>
      <c r="AI56">
        <v>350</v>
      </c>
      <c r="AJ56">
        <v>405</v>
      </c>
      <c r="AK56">
        <v>320</v>
      </c>
      <c r="AL56">
        <v>385</v>
      </c>
      <c r="AM56">
        <v>400</v>
      </c>
      <c r="AN56">
        <v>390</v>
      </c>
      <c r="AO56">
        <v>435</v>
      </c>
      <c r="AP56">
        <v>600</v>
      </c>
      <c r="AQ56">
        <v>428</v>
      </c>
      <c r="AR56">
        <v>343</v>
      </c>
      <c r="AS56">
        <v>800</v>
      </c>
      <c r="AT56">
        <v>604</v>
      </c>
      <c r="AU56">
        <v>740</v>
      </c>
      <c r="AV56">
        <v>380</v>
      </c>
      <c r="AW56">
        <v>340</v>
      </c>
      <c r="AX56">
        <v>330</v>
      </c>
      <c r="AY56">
        <v>222</v>
      </c>
      <c r="AZ56">
        <v>550</v>
      </c>
      <c r="BA56">
        <v>327</v>
      </c>
      <c r="BB56">
        <v>270</v>
      </c>
      <c r="BC56">
        <v>311</v>
      </c>
      <c r="BD56">
        <v>340</v>
      </c>
      <c r="BE56">
        <v>350</v>
      </c>
      <c r="BF56">
        <v>380</v>
      </c>
      <c r="BG56">
        <v>453</v>
      </c>
      <c r="BH56">
        <v>238</v>
      </c>
      <c r="BI56">
        <v>372</v>
      </c>
    </row>
    <row r="57" spans="2:61" x14ac:dyDescent="0.25">
      <c r="B57" s="2">
        <v>38322</v>
      </c>
      <c r="C57">
        <v>500</v>
      </c>
      <c r="D57">
        <v>775</v>
      </c>
      <c r="E57">
        <v>610</v>
      </c>
      <c r="F57">
        <v>589</v>
      </c>
      <c r="G57">
        <v>1050</v>
      </c>
      <c r="H57">
        <v>670</v>
      </c>
      <c r="I57">
        <v>553</v>
      </c>
      <c r="J57">
        <v>1720</v>
      </c>
      <c r="K57">
        <v>1240</v>
      </c>
      <c r="L57">
        <v>852</v>
      </c>
      <c r="M57">
        <v>652</v>
      </c>
      <c r="N57">
        <v>1160</v>
      </c>
      <c r="O57">
        <v>1630</v>
      </c>
      <c r="P57">
        <v>610</v>
      </c>
      <c r="Q57">
        <v>465</v>
      </c>
      <c r="R57">
        <v>451</v>
      </c>
      <c r="S57">
        <v>630</v>
      </c>
      <c r="T57">
        <v>499</v>
      </c>
      <c r="U57">
        <v>793</v>
      </c>
      <c r="V57">
        <v>1185</v>
      </c>
      <c r="W57">
        <v>590</v>
      </c>
      <c r="X57">
        <v>670</v>
      </c>
      <c r="Y57">
        <v>968</v>
      </c>
      <c r="Z57">
        <v>1100</v>
      </c>
      <c r="AA57">
        <v>467</v>
      </c>
      <c r="AB57">
        <v>570</v>
      </c>
      <c r="AC57">
        <v>630</v>
      </c>
      <c r="AD57">
        <v>1000</v>
      </c>
      <c r="AE57">
        <v>1060</v>
      </c>
      <c r="AF57">
        <v>425</v>
      </c>
      <c r="AG57">
        <v>560</v>
      </c>
      <c r="AH57">
        <v>370</v>
      </c>
      <c r="AI57">
        <v>362</v>
      </c>
      <c r="AJ57">
        <v>420</v>
      </c>
      <c r="AK57">
        <v>320</v>
      </c>
      <c r="AL57">
        <v>375</v>
      </c>
      <c r="AM57">
        <v>415</v>
      </c>
      <c r="AN57">
        <v>415</v>
      </c>
      <c r="AO57">
        <v>410</v>
      </c>
      <c r="AP57">
        <v>614</v>
      </c>
      <c r="AQ57">
        <v>420</v>
      </c>
      <c r="AR57">
        <v>336</v>
      </c>
      <c r="AS57">
        <v>823</v>
      </c>
      <c r="AT57">
        <v>618</v>
      </c>
      <c r="AU57">
        <v>731</v>
      </c>
      <c r="AV57">
        <v>383</v>
      </c>
      <c r="AW57">
        <v>342</v>
      </c>
      <c r="AX57">
        <v>335</v>
      </c>
      <c r="AY57">
        <v>217</v>
      </c>
      <c r="AZ57">
        <v>530</v>
      </c>
      <c r="BA57">
        <v>324</v>
      </c>
      <c r="BB57">
        <v>290</v>
      </c>
      <c r="BC57">
        <v>320</v>
      </c>
      <c r="BD57">
        <v>340</v>
      </c>
      <c r="BE57">
        <v>349</v>
      </c>
      <c r="BF57">
        <v>400</v>
      </c>
      <c r="BG57">
        <v>460</v>
      </c>
      <c r="BH57">
        <v>248</v>
      </c>
      <c r="BI57">
        <v>375</v>
      </c>
    </row>
    <row r="58" spans="2:61" x14ac:dyDescent="0.25">
      <c r="B58" s="2">
        <v>38412</v>
      </c>
      <c r="C58">
        <v>477</v>
      </c>
      <c r="D58">
        <v>760</v>
      </c>
      <c r="E58">
        <v>705</v>
      </c>
      <c r="F58">
        <v>620</v>
      </c>
      <c r="G58">
        <v>1068</v>
      </c>
      <c r="H58">
        <v>655</v>
      </c>
      <c r="I58">
        <v>555</v>
      </c>
      <c r="J58">
        <v>1700</v>
      </c>
      <c r="K58">
        <v>1015</v>
      </c>
      <c r="L58">
        <v>923</v>
      </c>
      <c r="M58">
        <v>608</v>
      </c>
      <c r="N58">
        <v>1204</v>
      </c>
      <c r="O58">
        <v>1428</v>
      </c>
      <c r="P58">
        <v>570</v>
      </c>
      <c r="Q58">
        <v>435</v>
      </c>
      <c r="R58">
        <v>450</v>
      </c>
      <c r="S58">
        <v>620</v>
      </c>
      <c r="T58">
        <v>500</v>
      </c>
      <c r="U58">
        <v>770</v>
      </c>
      <c r="V58">
        <v>1085</v>
      </c>
      <c r="W58">
        <v>555</v>
      </c>
      <c r="X58">
        <v>640</v>
      </c>
      <c r="Y58">
        <v>880</v>
      </c>
      <c r="Z58">
        <v>1060</v>
      </c>
      <c r="AA58">
        <v>450</v>
      </c>
      <c r="AB58">
        <v>560</v>
      </c>
      <c r="AC58">
        <v>635</v>
      </c>
      <c r="AD58">
        <v>774</v>
      </c>
      <c r="AE58">
        <v>925</v>
      </c>
      <c r="AF58">
        <v>410</v>
      </c>
      <c r="AG58">
        <v>558</v>
      </c>
      <c r="AH58">
        <v>356</v>
      </c>
      <c r="AI58">
        <v>359</v>
      </c>
      <c r="AJ58">
        <v>401</v>
      </c>
      <c r="AK58">
        <v>315</v>
      </c>
      <c r="AL58">
        <v>374</v>
      </c>
      <c r="AM58">
        <v>402</v>
      </c>
      <c r="AN58">
        <v>360</v>
      </c>
      <c r="AO58">
        <v>418</v>
      </c>
      <c r="AP58">
        <v>595</v>
      </c>
      <c r="AQ58">
        <v>413</v>
      </c>
      <c r="AR58">
        <v>340</v>
      </c>
      <c r="AS58">
        <v>910</v>
      </c>
      <c r="AT58">
        <v>598</v>
      </c>
      <c r="AU58">
        <v>735</v>
      </c>
      <c r="AV58">
        <v>353</v>
      </c>
      <c r="AW58">
        <v>332</v>
      </c>
      <c r="AX58">
        <v>329</v>
      </c>
      <c r="AY58">
        <v>208</v>
      </c>
      <c r="AZ58">
        <v>482</v>
      </c>
      <c r="BA58">
        <v>335</v>
      </c>
      <c r="BB58">
        <v>260</v>
      </c>
      <c r="BC58">
        <v>305</v>
      </c>
      <c r="BD58">
        <v>365</v>
      </c>
      <c r="BE58">
        <v>350</v>
      </c>
      <c r="BF58">
        <v>380</v>
      </c>
      <c r="BG58">
        <v>438</v>
      </c>
      <c r="BH58">
        <v>250</v>
      </c>
      <c r="BI58">
        <v>365</v>
      </c>
    </row>
    <row r="59" spans="2:61" x14ac:dyDescent="0.25">
      <c r="B59" s="2">
        <v>38504</v>
      </c>
      <c r="C59">
        <v>490</v>
      </c>
      <c r="D59">
        <v>795</v>
      </c>
      <c r="E59">
        <v>613</v>
      </c>
      <c r="F59">
        <v>630</v>
      </c>
      <c r="G59">
        <v>974</v>
      </c>
      <c r="H59">
        <v>683</v>
      </c>
      <c r="I59">
        <v>555</v>
      </c>
      <c r="J59">
        <v>1930</v>
      </c>
      <c r="K59">
        <v>975</v>
      </c>
      <c r="L59">
        <v>843</v>
      </c>
      <c r="M59">
        <v>616</v>
      </c>
      <c r="N59">
        <v>1058</v>
      </c>
      <c r="O59">
        <v>1581</v>
      </c>
      <c r="P59">
        <v>600</v>
      </c>
      <c r="Q59">
        <v>462</v>
      </c>
      <c r="R59">
        <v>440</v>
      </c>
      <c r="S59">
        <v>665</v>
      </c>
      <c r="T59">
        <v>493</v>
      </c>
      <c r="U59">
        <v>760</v>
      </c>
      <c r="V59">
        <v>1105</v>
      </c>
      <c r="W59">
        <v>570</v>
      </c>
      <c r="X59">
        <v>685</v>
      </c>
      <c r="Y59">
        <v>930</v>
      </c>
      <c r="Z59">
        <v>1034</v>
      </c>
      <c r="AA59">
        <v>430</v>
      </c>
      <c r="AB59">
        <v>600</v>
      </c>
      <c r="AC59">
        <v>629</v>
      </c>
      <c r="AD59">
        <v>877</v>
      </c>
      <c r="AE59">
        <v>919</v>
      </c>
      <c r="AF59">
        <v>410</v>
      </c>
      <c r="AG59">
        <v>550</v>
      </c>
      <c r="AH59">
        <v>345</v>
      </c>
      <c r="AI59">
        <v>365</v>
      </c>
      <c r="AJ59">
        <v>385</v>
      </c>
      <c r="AK59">
        <v>312</v>
      </c>
      <c r="AL59">
        <v>363</v>
      </c>
      <c r="AM59">
        <v>390</v>
      </c>
      <c r="AN59">
        <v>384</v>
      </c>
      <c r="AO59">
        <v>400</v>
      </c>
      <c r="AP59">
        <v>592</v>
      </c>
      <c r="AQ59">
        <v>405</v>
      </c>
      <c r="AR59">
        <v>330</v>
      </c>
      <c r="AS59">
        <v>870</v>
      </c>
      <c r="AT59">
        <v>581</v>
      </c>
      <c r="AU59">
        <v>750</v>
      </c>
      <c r="AV59">
        <v>393</v>
      </c>
      <c r="AW59">
        <v>323</v>
      </c>
      <c r="AX59">
        <v>330</v>
      </c>
      <c r="AY59">
        <v>218</v>
      </c>
      <c r="AZ59">
        <v>488</v>
      </c>
      <c r="BA59">
        <v>330</v>
      </c>
      <c r="BB59">
        <v>289</v>
      </c>
      <c r="BC59">
        <v>310</v>
      </c>
      <c r="BD59">
        <v>337</v>
      </c>
      <c r="BE59">
        <v>346</v>
      </c>
      <c r="BF59">
        <v>380</v>
      </c>
      <c r="BG59">
        <v>450</v>
      </c>
      <c r="BH59">
        <v>250</v>
      </c>
      <c r="BI59">
        <v>370</v>
      </c>
    </row>
    <row r="60" spans="2:61" x14ac:dyDescent="0.25">
      <c r="B60" s="2">
        <v>38596</v>
      </c>
      <c r="C60">
        <v>477</v>
      </c>
      <c r="D60">
        <v>750</v>
      </c>
      <c r="E60">
        <v>635</v>
      </c>
      <c r="F60">
        <v>567</v>
      </c>
      <c r="G60">
        <v>963</v>
      </c>
      <c r="H60">
        <v>656</v>
      </c>
      <c r="I60">
        <v>543</v>
      </c>
      <c r="J60">
        <v>1843</v>
      </c>
      <c r="K60">
        <v>1065</v>
      </c>
      <c r="L60">
        <v>870</v>
      </c>
      <c r="M60">
        <v>600</v>
      </c>
      <c r="N60">
        <v>1100</v>
      </c>
      <c r="O60">
        <v>1528</v>
      </c>
      <c r="P60">
        <v>575</v>
      </c>
      <c r="Q60">
        <v>448</v>
      </c>
      <c r="R60">
        <v>425</v>
      </c>
      <c r="S60">
        <v>603</v>
      </c>
      <c r="T60">
        <v>486</v>
      </c>
      <c r="U60">
        <v>745</v>
      </c>
      <c r="V60">
        <v>1295</v>
      </c>
      <c r="W60">
        <v>542</v>
      </c>
      <c r="X60">
        <v>730</v>
      </c>
      <c r="Y60">
        <v>910</v>
      </c>
      <c r="Z60">
        <v>1091</v>
      </c>
      <c r="AA60">
        <v>435</v>
      </c>
      <c r="AB60">
        <v>565</v>
      </c>
      <c r="AC60">
        <v>607</v>
      </c>
      <c r="AD60">
        <v>908</v>
      </c>
      <c r="AE60">
        <v>960</v>
      </c>
      <c r="AF60">
        <v>400</v>
      </c>
      <c r="AG60">
        <v>555</v>
      </c>
      <c r="AH60">
        <v>350</v>
      </c>
      <c r="AI60">
        <v>360</v>
      </c>
      <c r="AJ60">
        <v>398</v>
      </c>
      <c r="AK60">
        <v>300</v>
      </c>
      <c r="AL60">
        <v>360</v>
      </c>
      <c r="AM60">
        <v>384</v>
      </c>
      <c r="AN60">
        <v>366</v>
      </c>
      <c r="AO60">
        <v>396</v>
      </c>
      <c r="AP60">
        <v>580</v>
      </c>
      <c r="AQ60">
        <v>388</v>
      </c>
      <c r="AR60">
        <v>326</v>
      </c>
      <c r="AS60">
        <v>849</v>
      </c>
      <c r="AT60">
        <v>579</v>
      </c>
      <c r="AU60">
        <v>729</v>
      </c>
      <c r="AV60">
        <v>375</v>
      </c>
      <c r="AW60">
        <v>319</v>
      </c>
      <c r="AX60">
        <v>318</v>
      </c>
      <c r="AY60">
        <v>210</v>
      </c>
      <c r="AZ60">
        <v>444</v>
      </c>
      <c r="BA60">
        <v>310</v>
      </c>
      <c r="BB60">
        <v>256</v>
      </c>
      <c r="BC60">
        <v>317</v>
      </c>
      <c r="BD60">
        <v>355</v>
      </c>
      <c r="BE60">
        <v>345</v>
      </c>
      <c r="BF60">
        <v>365</v>
      </c>
      <c r="BG60">
        <v>430</v>
      </c>
      <c r="BH60">
        <v>251</v>
      </c>
      <c r="BI60">
        <v>365</v>
      </c>
    </row>
    <row r="61" spans="2:61" x14ac:dyDescent="0.25">
      <c r="B61" s="2">
        <v>38687</v>
      </c>
      <c r="C61">
        <v>488</v>
      </c>
      <c r="D61">
        <v>785</v>
      </c>
      <c r="E61">
        <v>650</v>
      </c>
      <c r="F61">
        <v>600</v>
      </c>
      <c r="G61">
        <v>950</v>
      </c>
      <c r="H61">
        <v>680</v>
      </c>
      <c r="I61">
        <v>564</v>
      </c>
      <c r="J61">
        <v>1875</v>
      </c>
      <c r="K61">
        <v>975</v>
      </c>
      <c r="L61">
        <v>900</v>
      </c>
      <c r="M61">
        <v>630</v>
      </c>
      <c r="N61">
        <v>1090</v>
      </c>
      <c r="O61">
        <v>1723</v>
      </c>
      <c r="P61">
        <v>585</v>
      </c>
      <c r="Q61">
        <v>478</v>
      </c>
      <c r="R61">
        <v>430</v>
      </c>
      <c r="S61">
        <v>626</v>
      </c>
      <c r="T61">
        <v>480</v>
      </c>
      <c r="U61">
        <v>760</v>
      </c>
      <c r="V61">
        <v>1200</v>
      </c>
      <c r="W61">
        <v>540</v>
      </c>
      <c r="X61">
        <v>700</v>
      </c>
      <c r="Y61">
        <v>955</v>
      </c>
      <c r="Z61">
        <v>1178</v>
      </c>
      <c r="AA61">
        <v>428</v>
      </c>
      <c r="AB61">
        <v>550</v>
      </c>
      <c r="AC61">
        <v>620</v>
      </c>
      <c r="AD61">
        <v>935</v>
      </c>
      <c r="AE61">
        <v>985</v>
      </c>
      <c r="AF61">
        <v>401</v>
      </c>
      <c r="AG61">
        <v>550</v>
      </c>
      <c r="AH61">
        <v>340</v>
      </c>
      <c r="AI61">
        <v>350</v>
      </c>
      <c r="AJ61">
        <v>380</v>
      </c>
      <c r="AK61">
        <v>300</v>
      </c>
      <c r="AL61">
        <v>353</v>
      </c>
      <c r="AM61">
        <v>399</v>
      </c>
      <c r="AN61">
        <v>375</v>
      </c>
      <c r="AO61">
        <v>400</v>
      </c>
      <c r="AP61">
        <v>587</v>
      </c>
      <c r="AQ61">
        <v>381</v>
      </c>
      <c r="AR61">
        <v>330</v>
      </c>
      <c r="AS61">
        <v>948</v>
      </c>
      <c r="AT61">
        <v>584</v>
      </c>
      <c r="AU61">
        <v>740</v>
      </c>
      <c r="AV61">
        <v>357</v>
      </c>
      <c r="AW61">
        <v>310</v>
      </c>
      <c r="AX61">
        <v>325</v>
      </c>
      <c r="AY61">
        <v>210</v>
      </c>
      <c r="AZ61">
        <v>475</v>
      </c>
      <c r="BA61">
        <v>326</v>
      </c>
      <c r="BB61">
        <v>275</v>
      </c>
      <c r="BC61">
        <v>305</v>
      </c>
      <c r="BD61">
        <v>357</v>
      </c>
      <c r="BE61">
        <v>335</v>
      </c>
      <c r="BF61">
        <v>380</v>
      </c>
      <c r="BG61">
        <v>440</v>
      </c>
      <c r="BH61">
        <v>260</v>
      </c>
      <c r="BI61">
        <v>370</v>
      </c>
    </row>
    <row r="62" spans="2:61" x14ac:dyDescent="0.25">
      <c r="B62" s="2">
        <v>38777</v>
      </c>
      <c r="C62">
        <v>460</v>
      </c>
      <c r="D62">
        <v>775</v>
      </c>
      <c r="E62">
        <v>607</v>
      </c>
      <c r="F62">
        <v>583</v>
      </c>
      <c r="G62">
        <v>983</v>
      </c>
      <c r="H62">
        <v>707</v>
      </c>
      <c r="I62">
        <v>538</v>
      </c>
      <c r="J62">
        <v>1750</v>
      </c>
      <c r="K62">
        <v>938</v>
      </c>
      <c r="L62">
        <v>950</v>
      </c>
      <c r="M62">
        <v>580</v>
      </c>
      <c r="N62">
        <v>1056</v>
      </c>
      <c r="O62">
        <v>1401</v>
      </c>
      <c r="P62">
        <v>560</v>
      </c>
      <c r="Q62">
        <v>460</v>
      </c>
      <c r="R62">
        <v>430</v>
      </c>
      <c r="S62">
        <v>670</v>
      </c>
      <c r="T62">
        <v>470</v>
      </c>
      <c r="U62">
        <v>748</v>
      </c>
      <c r="V62">
        <v>918</v>
      </c>
      <c r="W62">
        <v>555</v>
      </c>
      <c r="X62">
        <v>676</v>
      </c>
      <c r="Y62">
        <v>900</v>
      </c>
      <c r="Z62">
        <v>1300</v>
      </c>
      <c r="AA62">
        <v>435</v>
      </c>
      <c r="AB62">
        <v>535</v>
      </c>
      <c r="AC62">
        <v>615</v>
      </c>
      <c r="AD62">
        <v>840</v>
      </c>
      <c r="AE62">
        <v>995</v>
      </c>
      <c r="AF62">
        <v>390</v>
      </c>
      <c r="AG62">
        <v>544</v>
      </c>
      <c r="AH62">
        <v>340</v>
      </c>
      <c r="AI62">
        <v>350</v>
      </c>
      <c r="AJ62">
        <v>378</v>
      </c>
      <c r="AK62">
        <v>300</v>
      </c>
      <c r="AL62">
        <v>357</v>
      </c>
      <c r="AM62">
        <v>385</v>
      </c>
      <c r="AN62">
        <v>359</v>
      </c>
      <c r="AO62">
        <v>390</v>
      </c>
      <c r="AP62">
        <v>583</v>
      </c>
      <c r="AQ62">
        <v>385</v>
      </c>
      <c r="AR62">
        <v>335</v>
      </c>
      <c r="AS62">
        <v>829</v>
      </c>
      <c r="AT62">
        <v>580</v>
      </c>
      <c r="AU62">
        <v>749</v>
      </c>
      <c r="AV62">
        <v>377</v>
      </c>
      <c r="AW62">
        <v>307</v>
      </c>
      <c r="AX62">
        <v>328</v>
      </c>
      <c r="AY62">
        <v>220</v>
      </c>
      <c r="AZ62">
        <v>490</v>
      </c>
      <c r="BA62">
        <v>329</v>
      </c>
      <c r="BB62">
        <v>280</v>
      </c>
      <c r="BC62">
        <v>315</v>
      </c>
      <c r="BD62">
        <v>328</v>
      </c>
      <c r="BE62">
        <v>327</v>
      </c>
      <c r="BF62">
        <v>375</v>
      </c>
      <c r="BG62">
        <v>421</v>
      </c>
      <c r="BH62">
        <v>265</v>
      </c>
      <c r="BI62">
        <v>360</v>
      </c>
    </row>
    <row r="63" spans="2:61" x14ac:dyDescent="0.25">
      <c r="B63" s="2">
        <v>38869</v>
      </c>
      <c r="C63">
        <v>485</v>
      </c>
      <c r="D63">
        <v>825</v>
      </c>
      <c r="E63">
        <v>671</v>
      </c>
      <c r="F63">
        <v>613</v>
      </c>
      <c r="G63">
        <v>1053</v>
      </c>
      <c r="H63">
        <v>686</v>
      </c>
      <c r="I63">
        <v>555</v>
      </c>
      <c r="J63">
        <v>2200</v>
      </c>
      <c r="K63">
        <v>1171</v>
      </c>
      <c r="L63">
        <v>960</v>
      </c>
      <c r="M63">
        <v>630</v>
      </c>
      <c r="N63">
        <v>1200</v>
      </c>
      <c r="O63">
        <v>1810</v>
      </c>
      <c r="P63">
        <v>585</v>
      </c>
      <c r="Q63">
        <v>470</v>
      </c>
      <c r="R63">
        <v>425</v>
      </c>
      <c r="S63">
        <v>610</v>
      </c>
      <c r="T63">
        <v>490</v>
      </c>
      <c r="U63">
        <v>760</v>
      </c>
      <c r="V63">
        <v>1101</v>
      </c>
      <c r="W63">
        <v>550</v>
      </c>
      <c r="X63">
        <v>648</v>
      </c>
      <c r="Y63">
        <v>960</v>
      </c>
      <c r="Z63">
        <v>1040</v>
      </c>
      <c r="AA63">
        <v>433</v>
      </c>
      <c r="AB63">
        <v>554</v>
      </c>
      <c r="AC63">
        <v>657</v>
      </c>
      <c r="AD63">
        <v>726</v>
      </c>
      <c r="AE63">
        <v>965</v>
      </c>
      <c r="AF63">
        <v>400</v>
      </c>
      <c r="AG63">
        <v>560</v>
      </c>
      <c r="AH63">
        <v>347</v>
      </c>
      <c r="AI63">
        <v>355</v>
      </c>
      <c r="AJ63">
        <v>386</v>
      </c>
      <c r="AK63">
        <v>300</v>
      </c>
      <c r="AL63">
        <v>349</v>
      </c>
      <c r="AM63">
        <v>407</v>
      </c>
      <c r="AN63">
        <v>370</v>
      </c>
      <c r="AO63">
        <v>395</v>
      </c>
      <c r="AP63">
        <v>579</v>
      </c>
      <c r="AQ63">
        <v>379</v>
      </c>
      <c r="AR63">
        <v>329</v>
      </c>
      <c r="AS63">
        <v>850</v>
      </c>
      <c r="AT63">
        <v>590</v>
      </c>
      <c r="AU63">
        <v>750</v>
      </c>
      <c r="AV63">
        <v>383</v>
      </c>
      <c r="AW63">
        <v>313</v>
      </c>
      <c r="AX63">
        <v>330</v>
      </c>
      <c r="AY63">
        <v>230</v>
      </c>
      <c r="AZ63">
        <v>494</v>
      </c>
      <c r="BA63">
        <v>320</v>
      </c>
      <c r="BB63">
        <v>279</v>
      </c>
      <c r="BC63">
        <v>310</v>
      </c>
      <c r="BD63">
        <v>355</v>
      </c>
      <c r="BE63">
        <v>339</v>
      </c>
      <c r="BF63">
        <v>380</v>
      </c>
      <c r="BG63">
        <v>442</v>
      </c>
      <c r="BH63">
        <v>264</v>
      </c>
      <c r="BI63">
        <v>373</v>
      </c>
    </row>
    <row r="64" spans="2:61" x14ac:dyDescent="0.25">
      <c r="B64" s="2">
        <v>38961</v>
      </c>
      <c r="C64">
        <v>472</v>
      </c>
      <c r="D64">
        <v>790</v>
      </c>
      <c r="E64">
        <v>658</v>
      </c>
      <c r="F64">
        <v>594</v>
      </c>
      <c r="G64">
        <v>1024</v>
      </c>
      <c r="H64">
        <v>679</v>
      </c>
      <c r="I64">
        <v>545</v>
      </c>
      <c r="J64">
        <v>1900</v>
      </c>
      <c r="K64">
        <v>1166</v>
      </c>
      <c r="L64">
        <v>943</v>
      </c>
      <c r="M64">
        <v>600</v>
      </c>
      <c r="N64">
        <v>1161</v>
      </c>
      <c r="O64">
        <v>1640</v>
      </c>
      <c r="P64">
        <v>580</v>
      </c>
      <c r="Q64">
        <v>451</v>
      </c>
      <c r="R64">
        <v>420</v>
      </c>
      <c r="S64">
        <v>624</v>
      </c>
      <c r="T64">
        <v>463</v>
      </c>
      <c r="U64">
        <v>812</v>
      </c>
      <c r="V64">
        <v>1145</v>
      </c>
      <c r="W64">
        <v>569</v>
      </c>
      <c r="X64">
        <v>700</v>
      </c>
      <c r="Y64">
        <v>993</v>
      </c>
      <c r="Z64">
        <v>1201</v>
      </c>
      <c r="AA64">
        <v>431</v>
      </c>
      <c r="AB64">
        <v>550</v>
      </c>
      <c r="AC64">
        <v>636</v>
      </c>
      <c r="AD64">
        <v>820</v>
      </c>
      <c r="AE64">
        <v>1030</v>
      </c>
      <c r="AF64">
        <v>390</v>
      </c>
      <c r="AG64">
        <v>566</v>
      </c>
      <c r="AH64">
        <v>343</v>
      </c>
      <c r="AI64">
        <v>345</v>
      </c>
      <c r="AJ64">
        <v>390</v>
      </c>
      <c r="AK64">
        <v>295</v>
      </c>
      <c r="AL64">
        <v>344</v>
      </c>
      <c r="AM64">
        <v>385</v>
      </c>
      <c r="AN64">
        <v>365</v>
      </c>
      <c r="AO64">
        <v>390</v>
      </c>
      <c r="AP64">
        <v>581</v>
      </c>
      <c r="AQ64">
        <v>380</v>
      </c>
      <c r="AR64">
        <v>329</v>
      </c>
      <c r="AS64">
        <v>869</v>
      </c>
      <c r="AT64">
        <v>580</v>
      </c>
      <c r="AU64">
        <v>745</v>
      </c>
      <c r="AV64">
        <v>347</v>
      </c>
      <c r="AW64">
        <v>310</v>
      </c>
      <c r="AX64">
        <v>320</v>
      </c>
      <c r="AY64">
        <v>210</v>
      </c>
      <c r="AZ64">
        <v>495</v>
      </c>
      <c r="BA64">
        <v>320</v>
      </c>
      <c r="BB64">
        <v>285</v>
      </c>
      <c r="BC64">
        <v>307</v>
      </c>
      <c r="BD64">
        <v>340</v>
      </c>
      <c r="BE64">
        <v>330</v>
      </c>
      <c r="BF64">
        <v>362</v>
      </c>
      <c r="BG64">
        <v>426</v>
      </c>
      <c r="BH64">
        <v>260</v>
      </c>
      <c r="BI64">
        <v>362</v>
      </c>
    </row>
    <row r="65" spans="2:61" x14ac:dyDescent="0.25">
      <c r="B65" s="2">
        <v>39052</v>
      </c>
      <c r="C65">
        <v>493</v>
      </c>
      <c r="D65">
        <v>805</v>
      </c>
      <c r="E65">
        <v>678</v>
      </c>
      <c r="F65">
        <v>594</v>
      </c>
      <c r="G65">
        <v>1025</v>
      </c>
      <c r="H65">
        <v>713</v>
      </c>
      <c r="I65">
        <v>545</v>
      </c>
      <c r="J65">
        <v>1735</v>
      </c>
      <c r="K65">
        <v>1133</v>
      </c>
      <c r="L65">
        <v>930</v>
      </c>
      <c r="M65">
        <v>610</v>
      </c>
      <c r="N65">
        <v>1200</v>
      </c>
      <c r="O65">
        <v>2042</v>
      </c>
      <c r="P65">
        <v>613</v>
      </c>
      <c r="Q65">
        <v>450</v>
      </c>
      <c r="R65">
        <v>400</v>
      </c>
      <c r="S65">
        <v>670</v>
      </c>
      <c r="T65">
        <v>471</v>
      </c>
      <c r="U65">
        <v>780</v>
      </c>
      <c r="V65">
        <v>1290</v>
      </c>
      <c r="W65">
        <v>560</v>
      </c>
      <c r="X65">
        <v>650</v>
      </c>
      <c r="Y65">
        <v>1040</v>
      </c>
      <c r="Z65">
        <v>1235</v>
      </c>
      <c r="AA65">
        <v>425</v>
      </c>
      <c r="AB65">
        <v>550</v>
      </c>
      <c r="AC65">
        <v>660</v>
      </c>
      <c r="AD65">
        <v>863</v>
      </c>
      <c r="AE65">
        <v>954</v>
      </c>
      <c r="AF65">
        <v>400</v>
      </c>
      <c r="AG65">
        <v>566</v>
      </c>
      <c r="AH65">
        <v>340</v>
      </c>
      <c r="AI65">
        <v>345</v>
      </c>
      <c r="AJ65">
        <v>381</v>
      </c>
      <c r="AK65">
        <v>289</v>
      </c>
      <c r="AL65">
        <v>345</v>
      </c>
      <c r="AM65">
        <v>400</v>
      </c>
      <c r="AN65">
        <v>384</v>
      </c>
      <c r="AO65">
        <v>380</v>
      </c>
      <c r="AP65">
        <v>581</v>
      </c>
      <c r="AQ65">
        <v>375</v>
      </c>
      <c r="AR65">
        <v>312</v>
      </c>
      <c r="AS65">
        <v>943</v>
      </c>
      <c r="AT65">
        <v>590</v>
      </c>
      <c r="AU65">
        <v>770</v>
      </c>
      <c r="AV65">
        <v>358</v>
      </c>
      <c r="AW65">
        <v>313</v>
      </c>
      <c r="AX65">
        <v>330</v>
      </c>
      <c r="AY65">
        <v>220</v>
      </c>
      <c r="AZ65">
        <v>503</v>
      </c>
      <c r="BA65">
        <v>326</v>
      </c>
      <c r="BB65">
        <v>290</v>
      </c>
      <c r="BC65">
        <v>330</v>
      </c>
      <c r="BD65">
        <v>350</v>
      </c>
      <c r="BE65">
        <v>336</v>
      </c>
      <c r="BF65">
        <v>377</v>
      </c>
      <c r="BG65">
        <v>445</v>
      </c>
      <c r="BH65">
        <v>268</v>
      </c>
      <c r="BI65">
        <v>371</v>
      </c>
    </row>
    <row r="66" spans="2:61" x14ac:dyDescent="0.25">
      <c r="B66" s="2">
        <v>39142</v>
      </c>
      <c r="C66">
        <v>472</v>
      </c>
      <c r="D66">
        <v>830</v>
      </c>
      <c r="E66">
        <v>650</v>
      </c>
      <c r="F66">
        <v>590</v>
      </c>
      <c r="G66">
        <v>1146</v>
      </c>
      <c r="H66">
        <v>675</v>
      </c>
      <c r="I66">
        <v>562</v>
      </c>
      <c r="J66">
        <v>2200</v>
      </c>
      <c r="K66">
        <v>1228</v>
      </c>
      <c r="L66">
        <v>910</v>
      </c>
      <c r="M66">
        <v>651</v>
      </c>
      <c r="N66">
        <v>1228</v>
      </c>
      <c r="O66">
        <v>1815</v>
      </c>
      <c r="P66">
        <v>580</v>
      </c>
      <c r="Q66">
        <v>468</v>
      </c>
      <c r="R66">
        <v>408</v>
      </c>
      <c r="S66">
        <v>630</v>
      </c>
      <c r="T66">
        <v>470</v>
      </c>
      <c r="U66">
        <v>767</v>
      </c>
      <c r="V66">
        <v>1300</v>
      </c>
      <c r="W66">
        <v>540</v>
      </c>
      <c r="X66">
        <v>711</v>
      </c>
      <c r="Y66">
        <v>1000</v>
      </c>
      <c r="Z66">
        <v>1250</v>
      </c>
      <c r="AA66">
        <v>428</v>
      </c>
      <c r="AB66">
        <v>530</v>
      </c>
      <c r="AC66">
        <v>655</v>
      </c>
      <c r="AD66">
        <v>820</v>
      </c>
      <c r="AE66">
        <v>1021</v>
      </c>
      <c r="AF66">
        <v>395</v>
      </c>
      <c r="AG66">
        <v>565</v>
      </c>
      <c r="AH66">
        <v>350</v>
      </c>
      <c r="AI66">
        <v>351</v>
      </c>
      <c r="AJ66">
        <v>375</v>
      </c>
      <c r="AK66">
        <v>298</v>
      </c>
      <c r="AL66">
        <v>337</v>
      </c>
      <c r="AM66">
        <v>385</v>
      </c>
      <c r="AN66">
        <v>361</v>
      </c>
      <c r="AO66">
        <v>373</v>
      </c>
      <c r="AP66">
        <v>594</v>
      </c>
      <c r="AQ66">
        <v>379</v>
      </c>
      <c r="AR66">
        <v>322</v>
      </c>
      <c r="AS66">
        <v>860</v>
      </c>
      <c r="AT66">
        <v>585</v>
      </c>
      <c r="AU66">
        <v>768</v>
      </c>
      <c r="AV66">
        <v>425</v>
      </c>
      <c r="AW66">
        <v>310</v>
      </c>
      <c r="AX66">
        <v>330</v>
      </c>
      <c r="AY66">
        <v>210</v>
      </c>
      <c r="AZ66">
        <v>488</v>
      </c>
      <c r="BA66">
        <v>330</v>
      </c>
      <c r="BB66">
        <v>280</v>
      </c>
      <c r="BC66">
        <v>317</v>
      </c>
      <c r="BD66">
        <v>375</v>
      </c>
      <c r="BE66">
        <v>324</v>
      </c>
      <c r="BF66">
        <v>385</v>
      </c>
      <c r="BG66">
        <v>432</v>
      </c>
      <c r="BH66">
        <v>278</v>
      </c>
      <c r="BI66">
        <v>370</v>
      </c>
    </row>
    <row r="67" spans="2:61" x14ac:dyDescent="0.25">
      <c r="B67" s="2">
        <v>39234</v>
      </c>
      <c r="C67">
        <v>500</v>
      </c>
      <c r="D67">
        <v>895</v>
      </c>
      <c r="E67">
        <v>772</v>
      </c>
      <c r="F67">
        <v>603</v>
      </c>
      <c r="G67">
        <v>1104</v>
      </c>
      <c r="H67">
        <v>780</v>
      </c>
      <c r="I67">
        <v>600</v>
      </c>
      <c r="J67">
        <v>2175</v>
      </c>
      <c r="K67">
        <v>1040</v>
      </c>
      <c r="L67">
        <v>1065</v>
      </c>
      <c r="M67">
        <v>683</v>
      </c>
      <c r="N67">
        <v>1309</v>
      </c>
      <c r="O67">
        <v>1900</v>
      </c>
      <c r="P67">
        <v>600</v>
      </c>
      <c r="Q67">
        <v>465</v>
      </c>
      <c r="R67">
        <v>403</v>
      </c>
      <c r="S67">
        <v>700</v>
      </c>
      <c r="T67">
        <v>508</v>
      </c>
      <c r="U67">
        <v>804</v>
      </c>
      <c r="V67">
        <v>1400</v>
      </c>
      <c r="W67">
        <v>557</v>
      </c>
      <c r="X67">
        <v>686</v>
      </c>
      <c r="Y67">
        <v>1070</v>
      </c>
      <c r="Z67">
        <v>1300</v>
      </c>
      <c r="AA67">
        <v>445</v>
      </c>
      <c r="AB67">
        <v>551</v>
      </c>
      <c r="AC67">
        <v>680</v>
      </c>
      <c r="AD67">
        <v>1100</v>
      </c>
      <c r="AE67">
        <v>1150</v>
      </c>
      <c r="AF67">
        <v>409</v>
      </c>
      <c r="AG67">
        <v>610</v>
      </c>
      <c r="AH67">
        <v>340</v>
      </c>
      <c r="AI67">
        <v>343</v>
      </c>
      <c r="AJ67">
        <v>386</v>
      </c>
      <c r="AK67">
        <v>300</v>
      </c>
      <c r="AL67">
        <v>340</v>
      </c>
      <c r="AM67">
        <v>405</v>
      </c>
      <c r="AN67">
        <v>368</v>
      </c>
      <c r="AO67">
        <v>395</v>
      </c>
      <c r="AP67">
        <v>615</v>
      </c>
      <c r="AQ67">
        <v>380</v>
      </c>
      <c r="AR67">
        <v>335</v>
      </c>
      <c r="AS67">
        <v>903</v>
      </c>
      <c r="AT67">
        <v>612</v>
      </c>
      <c r="AU67">
        <v>815</v>
      </c>
      <c r="AV67">
        <v>380</v>
      </c>
      <c r="AW67">
        <v>305</v>
      </c>
      <c r="AX67">
        <v>338</v>
      </c>
      <c r="AY67">
        <v>220</v>
      </c>
      <c r="AZ67">
        <v>458</v>
      </c>
      <c r="BA67">
        <v>335</v>
      </c>
      <c r="BB67">
        <v>295</v>
      </c>
      <c r="BC67">
        <v>330</v>
      </c>
      <c r="BD67">
        <v>360</v>
      </c>
      <c r="BE67">
        <v>340</v>
      </c>
      <c r="BF67">
        <v>389</v>
      </c>
      <c r="BG67">
        <v>456</v>
      </c>
      <c r="BH67">
        <v>280</v>
      </c>
      <c r="BI67">
        <v>385</v>
      </c>
    </row>
    <row r="68" spans="2:61" x14ac:dyDescent="0.25">
      <c r="B68" s="2">
        <v>39326</v>
      </c>
      <c r="C68">
        <v>501</v>
      </c>
      <c r="D68">
        <v>890</v>
      </c>
      <c r="E68">
        <v>728</v>
      </c>
      <c r="F68">
        <v>690</v>
      </c>
      <c r="G68">
        <v>1290</v>
      </c>
      <c r="H68">
        <v>775</v>
      </c>
      <c r="I68">
        <v>605</v>
      </c>
      <c r="J68">
        <v>2200</v>
      </c>
      <c r="K68">
        <v>1265</v>
      </c>
      <c r="L68">
        <v>1000</v>
      </c>
      <c r="M68">
        <v>728</v>
      </c>
      <c r="N68">
        <v>1500</v>
      </c>
      <c r="O68">
        <v>1850</v>
      </c>
      <c r="P68">
        <v>625</v>
      </c>
      <c r="Q68">
        <v>462</v>
      </c>
      <c r="R68">
        <v>438</v>
      </c>
      <c r="S68">
        <v>720</v>
      </c>
      <c r="T68">
        <v>511</v>
      </c>
      <c r="U68">
        <v>820</v>
      </c>
      <c r="V68">
        <v>1420</v>
      </c>
      <c r="W68">
        <v>560</v>
      </c>
      <c r="X68">
        <v>712</v>
      </c>
      <c r="Y68">
        <v>1100</v>
      </c>
      <c r="Z68">
        <v>1333</v>
      </c>
      <c r="AA68">
        <v>460</v>
      </c>
      <c r="AB68">
        <v>560</v>
      </c>
      <c r="AC68">
        <v>695</v>
      </c>
      <c r="AD68">
        <v>960</v>
      </c>
      <c r="AE68">
        <v>1175</v>
      </c>
      <c r="AF68">
        <v>402</v>
      </c>
      <c r="AG68">
        <v>620</v>
      </c>
      <c r="AH68">
        <v>345</v>
      </c>
      <c r="AI68">
        <v>345</v>
      </c>
      <c r="AJ68">
        <v>397</v>
      </c>
      <c r="AK68">
        <v>295</v>
      </c>
      <c r="AL68">
        <v>339</v>
      </c>
      <c r="AM68">
        <v>390</v>
      </c>
      <c r="AN68">
        <v>379</v>
      </c>
      <c r="AO68">
        <v>390</v>
      </c>
      <c r="AP68">
        <v>650</v>
      </c>
      <c r="AQ68">
        <v>378</v>
      </c>
      <c r="AR68">
        <v>330</v>
      </c>
      <c r="AS68">
        <v>875</v>
      </c>
      <c r="AT68">
        <v>615</v>
      </c>
      <c r="AU68">
        <v>844</v>
      </c>
      <c r="AV68">
        <v>415</v>
      </c>
      <c r="AW68">
        <v>310</v>
      </c>
      <c r="AX68">
        <v>340</v>
      </c>
      <c r="AY68">
        <v>219</v>
      </c>
      <c r="AZ68">
        <v>499</v>
      </c>
      <c r="BA68">
        <v>342</v>
      </c>
      <c r="BB68">
        <v>299</v>
      </c>
      <c r="BC68">
        <v>320</v>
      </c>
      <c r="BD68">
        <v>360</v>
      </c>
      <c r="BE68">
        <v>350</v>
      </c>
      <c r="BF68">
        <v>383</v>
      </c>
      <c r="BG68">
        <v>455</v>
      </c>
      <c r="BH68">
        <v>280</v>
      </c>
      <c r="BI68">
        <v>380</v>
      </c>
    </row>
    <row r="69" spans="2:61" x14ac:dyDescent="0.25">
      <c r="B69" s="2">
        <v>39417</v>
      </c>
      <c r="C69">
        <v>530</v>
      </c>
      <c r="D69">
        <v>910</v>
      </c>
      <c r="E69">
        <v>725</v>
      </c>
      <c r="F69">
        <v>655</v>
      </c>
      <c r="G69">
        <v>1200</v>
      </c>
      <c r="H69">
        <v>800</v>
      </c>
      <c r="I69">
        <v>647</v>
      </c>
      <c r="J69">
        <v>2300</v>
      </c>
      <c r="K69">
        <v>1150</v>
      </c>
      <c r="L69">
        <v>1050</v>
      </c>
      <c r="M69">
        <v>700</v>
      </c>
      <c r="N69">
        <v>1613</v>
      </c>
      <c r="O69">
        <v>2393</v>
      </c>
      <c r="P69">
        <v>668</v>
      </c>
      <c r="Q69">
        <v>498</v>
      </c>
      <c r="R69">
        <v>430</v>
      </c>
      <c r="S69">
        <v>718</v>
      </c>
      <c r="T69">
        <v>520</v>
      </c>
      <c r="U69">
        <v>874</v>
      </c>
      <c r="V69">
        <v>1465</v>
      </c>
      <c r="W69">
        <v>575</v>
      </c>
      <c r="X69">
        <v>766</v>
      </c>
      <c r="Y69">
        <v>1080</v>
      </c>
      <c r="Z69">
        <v>1400</v>
      </c>
      <c r="AA69">
        <v>465</v>
      </c>
      <c r="AB69">
        <v>606</v>
      </c>
      <c r="AC69">
        <v>735</v>
      </c>
      <c r="AD69">
        <v>1000</v>
      </c>
      <c r="AE69">
        <v>1152</v>
      </c>
      <c r="AF69">
        <v>420</v>
      </c>
      <c r="AG69">
        <v>608</v>
      </c>
      <c r="AH69">
        <v>353</v>
      </c>
      <c r="AI69">
        <v>360</v>
      </c>
      <c r="AJ69">
        <v>401</v>
      </c>
      <c r="AK69">
        <v>290</v>
      </c>
      <c r="AL69">
        <v>342</v>
      </c>
      <c r="AM69">
        <v>410</v>
      </c>
      <c r="AN69">
        <v>390</v>
      </c>
      <c r="AO69">
        <v>412</v>
      </c>
      <c r="AP69">
        <v>645</v>
      </c>
      <c r="AQ69">
        <v>375</v>
      </c>
      <c r="AR69">
        <v>330</v>
      </c>
      <c r="AS69">
        <v>958</v>
      </c>
      <c r="AT69">
        <v>620</v>
      </c>
      <c r="AU69">
        <v>880</v>
      </c>
      <c r="AV69">
        <v>372</v>
      </c>
      <c r="AW69">
        <v>310</v>
      </c>
      <c r="AX69">
        <v>343</v>
      </c>
      <c r="AY69">
        <v>223</v>
      </c>
      <c r="AZ69">
        <v>482</v>
      </c>
      <c r="BA69">
        <v>350</v>
      </c>
      <c r="BB69">
        <v>305</v>
      </c>
      <c r="BC69">
        <v>330</v>
      </c>
      <c r="BD69">
        <v>370</v>
      </c>
      <c r="BE69">
        <v>350</v>
      </c>
      <c r="BF69">
        <v>385</v>
      </c>
      <c r="BG69">
        <v>475</v>
      </c>
      <c r="BH69">
        <v>286</v>
      </c>
      <c r="BI69">
        <v>395</v>
      </c>
    </row>
    <row r="70" spans="2:61" x14ac:dyDescent="0.25">
      <c r="B70" s="2">
        <v>39508</v>
      </c>
      <c r="C70">
        <v>485</v>
      </c>
      <c r="D70">
        <v>960</v>
      </c>
      <c r="E70">
        <v>725</v>
      </c>
      <c r="F70">
        <v>710</v>
      </c>
      <c r="G70">
        <v>1260</v>
      </c>
      <c r="H70">
        <v>879</v>
      </c>
      <c r="I70">
        <v>629</v>
      </c>
      <c r="J70">
        <v>2300</v>
      </c>
      <c r="K70">
        <v>1475</v>
      </c>
      <c r="L70">
        <v>1055</v>
      </c>
      <c r="M70">
        <v>780</v>
      </c>
      <c r="N70">
        <v>1512</v>
      </c>
      <c r="O70">
        <v>2300</v>
      </c>
      <c r="P70">
        <v>600</v>
      </c>
      <c r="Q70">
        <v>430</v>
      </c>
      <c r="R70">
        <v>421</v>
      </c>
      <c r="S70">
        <v>770</v>
      </c>
      <c r="T70">
        <v>518</v>
      </c>
      <c r="U70">
        <v>884</v>
      </c>
      <c r="V70">
        <v>1150</v>
      </c>
      <c r="W70">
        <v>580</v>
      </c>
      <c r="X70">
        <v>770</v>
      </c>
      <c r="Y70">
        <v>1061</v>
      </c>
      <c r="Z70">
        <v>1418</v>
      </c>
      <c r="AA70">
        <v>450</v>
      </c>
      <c r="AB70">
        <v>591</v>
      </c>
      <c r="AC70">
        <v>729</v>
      </c>
      <c r="AD70">
        <v>725</v>
      </c>
      <c r="AE70">
        <v>1158</v>
      </c>
      <c r="AF70">
        <v>405</v>
      </c>
      <c r="AG70">
        <v>608</v>
      </c>
      <c r="AH70">
        <v>355</v>
      </c>
      <c r="AI70">
        <v>355</v>
      </c>
      <c r="AJ70">
        <v>393</v>
      </c>
      <c r="AK70">
        <v>290</v>
      </c>
      <c r="AL70">
        <v>342</v>
      </c>
      <c r="AM70">
        <v>410</v>
      </c>
      <c r="AN70">
        <v>370</v>
      </c>
      <c r="AO70">
        <v>408</v>
      </c>
      <c r="AP70">
        <v>655</v>
      </c>
      <c r="AQ70">
        <v>372</v>
      </c>
      <c r="AR70">
        <v>337</v>
      </c>
      <c r="AS70">
        <v>935</v>
      </c>
      <c r="AT70">
        <v>630</v>
      </c>
      <c r="AU70">
        <v>855</v>
      </c>
      <c r="AV70">
        <v>390</v>
      </c>
      <c r="AW70">
        <v>315</v>
      </c>
      <c r="AX70">
        <v>346</v>
      </c>
      <c r="AY70">
        <v>240</v>
      </c>
      <c r="AZ70">
        <v>495</v>
      </c>
      <c r="BA70">
        <v>346</v>
      </c>
      <c r="BB70">
        <v>300</v>
      </c>
      <c r="BC70">
        <v>340</v>
      </c>
      <c r="BD70">
        <v>353</v>
      </c>
      <c r="BE70">
        <v>337</v>
      </c>
      <c r="BF70">
        <v>400</v>
      </c>
      <c r="BG70">
        <v>440</v>
      </c>
      <c r="BH70">
        <v>283</v>
      </c>
      <c r="BI70">
        <v>375</v>
      </c>
    </row>
    <row r="71" spans="2:61" x14ac:dyDescent="0.25">
      <c r="B71" s="2">
        <v>39600</v>
      </c>
      <c r="C71">
        <v>499</v>
      </c>
      <c r="D71">
        <v>880</v>
      </c>
      <c r="E71">
        <v>683</v>
      </c>
      <c r="F71">
        <v>650</v>
      </c>
      <c r="G71">
        <v>1210</v>
      </c>
      <c r="H71">
        <v>788</v>
      </c>
      <c r="I71">
        <v>637</v>
      </c>
      <c r="J71">
        <v>2288</v>
      </c>
      <c r="K71">
        <v>1325</v>
      </c>
      <c r="L71">
        <v>1068</v>
      </c>
      <c r="M71">
        <v>705</v>
      </c>
      <c r="N71">
        <v>1465</v>
      </c>
      <c r="O71">
        <v>1600</v>
      </c>
      <c r="P71">
        <v>625</v>
      </c>
      <c r="Q71">
        <v>455</v>
      </c>
      <c r="R71">
        <v>400</v>
      </c>
      <c r="S71">
        <v>719</v>
      </c>
      <c r="T71">
        <v>520</v>
      </c>
      <c r="U71">
        <v>888</v>
      </c>
      <c r="V71">
        <v>1470</v>
      </c>
      <c r="W71">
        <v>580</v>
      </c>
      <c r="X71">
        <v>750</v>
      </c>
      <c r="Y71">
        <v>1060</v>
      </c>
      <c r="Z71">
        <v>1385</v>
      </c>
      <c r="AA71">
        <v>468</v>
      </c>
      <c r="AB71">
        <v>585</v>
      </c>
      <c r="AC71">
        <v>730</v>
      </c>
      <c r="AD71">
        <v>932</v>
      </c>
      <c r="AE71">
        <v>1150</v>
      </c>
      <c r="AF71">
        <v>390</v>
      </c>
      <c r="AG71">
        <v>585</v>
      </c>
      <c r="AH71">
        <v>340</v>
      </c>
      <c r="AI71">
        <v>340</v>
      </c>
      <c r="AJ71">
        <v>385</v>
      </c>
      <c r="AK71">
        <v>287</v>
      </c>
      <c r="AL71">
        <v>327</v>
      </c>
      <c r="AM71">
        <v>380</v>
      </c>
      <c r="AN71">
        <v>375</v>
      </c>
      <c r="AO71">
        <v>385</v>
      </c>
      <c r="AP71">
        <v>648</v>
      </c>
      <c r="AQ71">
        <v>370</v>
      </c>
      <c r="AR71">
        <v>327</v>
      </c>
      <c r="AS71">
        <v>940</v>
      </c>
      <c r="AT71">
        <v>610</v>
      </c>
      <c r="AU71">
        <v>835</v>
      </c>
      <c r="AV71">
        <v>360</v>
      </c>
      <c r="AW71">
        <v>295</v>
      </c>
      <c r="AX71">
        <v>335</v>
      </c>
      <c r="AY71">
        <v>244</v>
      </c>
      <c r="AZ71">
        <v>500</v>
      </c>
      <c r="BA71">
        <v>335</v>
      </c>
      <c r="BB71">
        <v>312</v>
      </c>
      <c r="BC71">
        <v>329</v>
      </c>
      <c r="BD71">
        <v>352</v>
      </c>
      <c r="BE71">
        <v>335</v>
      </c>
      <c r="BF71">
        <v>375</v>
      </c>
      <c r="BG71">
        <v>450</v>
      </c>
      <c r="BH71">
        <v>280</v>
      </c>
      <c r="BI71">
        <v>380</v>
      </c>
    </row>
    <row r="72" spans="2:61" x14ac:dyDescent="0.25">
      <c r="B72" s="2">
        <v>39692</v>
      </c>
      <c r="C72">
        <v>470</v>
      </c>
      <c r="D72">
        <v>850</v>
      </c>
      <c r="E72">
        <v>710</v>
      </c>
      <c r="F72">
        <v>648</v>
      </c>
      <c r="G72">
        <v>1230</v>
      </c>
      <c r="H72">
        <v>775</v>
      </c>
      <c r="I72">
        <v>610</v>
      </c>
      <c r="J72">
        <v>1945</v>
      </c>
      <c r="K72">
        <v>1238</v>
      </c>
      <c r="L72">
        <v>942</v>
      </c>
      <c r="M72">
        <v>730</v>
      </c>
      <c r="N72">
        <v>1290</v>
      </c>
      <c r="O72">
        <v>1907</v>
      </c>
      <c r="P72">
        <v>590</v>
      </c>
      <c r="Q72">
        <v>430</v>
      </c>
      <c r="R72">
        <v>420</v>
      </c>
      <c r="S72">
        <v>720</v>
      </c>
      <c r="T72">
        <v>515</v>
      </c>
      <c r="U72">
        <v>845</v>
      </c>
      <c r="V72">
        <v>1430</v>
      </c>
      <c r="W72">
        <v>570</v>
      </c>
      <c r="X72">
        <v>658</v>
      </c>
      <c r="Y72">
        <v>1050</v>
      </c>
      <c r="Z72">
        <v>1318</v>
      </c>
      <c r="AA72">
        <v>458</v>
      </c>
      <c r="AB72">
        <v>581</v>
      </c>
      <c r="AC72">
        <v>720</v>
      </c>
      <c r="AD72">
        <v>884</v>
      </c>
      <c r="AE72">
        <v>1230</v>
      </c>
      <c r="AF72">
        <v>382</v>
      </c>
      <c r="AG72">
        <v>596</v>
      </c>
      <c r="AH72">
        <v>340</v>
      </c>
      <c r="AI72">
        <v>339</v>
      </c>
      <c r="AJ72">
        <v>375</v>
      </c>
      <c r="AK72">
        <v>290</v>
      </c>
      <c r="AL72">
        <v>340</v>
      </c>
      <c r="AM72">
        <v>370</v>
      </c>
      <c r="AN72">
        <v>379</v>
      </c>
      <c r="AO72">
        <v>380</v>
      </c>
      <c r="AP72">
        <v>634</v>
      </c>
      <c r="AQ72">
        <v>376</v>
      </c>
      <c r="AR72">
        <v>325</v>
      </c>
      <c r="AS72">
        <v>923</v>
      </c>
      <c r="AT72">
        <v>585</v>
      </c>
      <c r="AU72">
        <v>822</v>
      </c>
      <c r="AV72">
        <v>417</v>
      </c>
      <c r="AW72">
        <v>288</v>
      </c>
      <c r="AX72">
        <v>327</v>
      </c>
      <c r="AY72">
        <v>211</v>
      </c>
      <c r="AZ72">
        <v>458</v>
      </c>
      <c r="BA72">
        <v>322</v>
      </c>
      <c r="BB72">
        <v>310</v>
      </c>
      <c r="BC72">
        <v>325</v>
      </c>
      <c r="BD72">
        <v>330</v>
      </c>
      <c r="BE72">
        <v>330</v>
      </c>
      <c r="BF72">
        <v>365</v>
      </c>
      <c r="BG72">
        <v>430</v>
      </c>
      <c r="BH72">
        <v>275</v>
      </c>
      <c r="BI72">
        <v>371</v>
      </c>
    </row>
    <row r="73" spans="2:61" x14ac:dyDescent="0.25">
      <c r="B73" s="2">
        <v>39783</v>
      </c>
      <c r="C73">
        <v>459</v>
      </c>
      <c r="D73">
        <v>855</v>
      </c>
      <c r="E73">
        <v>672</v>
      </c>
      <c r="F73">
        <v>640</v>
      </c>
      <c r="G73">
        <v>1115</v>
      </c>
      <c r="H73">
        <v>780</v>
      </c>
      <c r="I73">
        <v>613</v>
      </c>
      <c r="J73">
        <v>2173</v>
      </c>
      <c r="K73">
        <v>1150</v>
      </c>
      <c r="L73">
        <v>985</v>
      </c>
      <c r="M73">
        <v>725</v>
      </c>
      <c r="N73">
        <v>1350</v>
      </c>
      <c r="O73">
        <v>1845</v>
      </c>
      <c r="P73">
        <v>586</v>
      </c>
      <c r="Q73">
        <v>439</v>
      </c>
      <c r="R73">
        <v>420</v>
      </c>
      <c r="S73">
        <v>665</v>
      </c>
      <c r="T73">
        <v>500</v>
      </c>
      <c r="U73">
        <v>848</v>
      </c>
      <c r="V73">
        <v>1170</v>
      </c>
      <c r="W73">
        <v>560</v>
      </c>
      <c r="X73">
        <v>750</v>
      </c>
      <c r="Y73">
        <v>1073</v>
      </c>
      <c r="Z73">
        <v>1255</v>
      </c>
      <c r="AA73">
        <v>450</v>
      </c>
      <c r="AB73">
        <v>598</v>
      </c>
      <c r="AC73">
        <v>700</v>
      </c>
      <c r="AD73">
        <v>904</v>
      </c>
      <c r="AE73">
        <v>1033</v>
      </c>
      <c r="AF73">
        <v>380</v>
      </c>
      <c r="AG73">
        <v>580</v>
      </c>
      <c r="AH73">
        <v>340</v>
      </c>
      <c r="AI73">
        <v>340</v>
      </c>
      <c r="AJ73">
        <v>387</v>
      </c>
      <c r="AK73">
        <v>295</v>
      </c>
      <c r="AL73">
        <v>350</v>
      </c>
      <c r="AM73">
        <v>361</v>
      </c>
      <c r="AN73">
        <v>377</v>
      </c>
      <c r="AO73">
        <v>390</v>
      </c>
      <c r="AP73">
        <v>625</v>
      </c>
      <c r="AQ73">
        <v>380</v>
      </c>
      <c r="AR73">
        <v>327</v>
      </c>
      <c r="AS73">
        <v>915</v>
      </c>
      <c r="AT73">
        <v>600</v>
      </c>
      <c r="AU73">
        <v>810</v>
      </c>
      <c r="AV73">
        <v>376</v>
      </c>
      <c r="AW73">
        <v>298</v>
      </c>
      <c r="AX73">
        <v>321</v>
      </c>
      <c r="AY73">
        <v>218</v>
      </c>
      <c r="AZ73">
        <v>440</v>
      </c>
      <c r="BA73">
        <v>315</v>
      </c>
      <c r="BB73">
        <v>290</v>
      </c>
      <c r="BC73">
        <v>322</v>
      </c>
      <c r="BD73">
        <v>340</v>
      </c>
      <c r="BE73">
        <v>320</v>
      </c>
      <c r="BF73">
        <v>365</v>
      </c>
      <c r="BG73">
        <v>419</v>
      </c>
      <c r="BH73">
        <v>270</v>
      </c>
      <c r="BI73">
        <v>365</v>
      </c>
    </row>
    <row r="74" spans="2:61" x14ac:dyDescent="0.25">
      <c r="B74" s="2">
        <v>39873</v>
      </c>
      <c r="C74">
        <v>440</v>
      </c>
      <c r="D74">
        <v>840</v>
      </c>
      <c r="E74">
        <v>685</v>
      </c>
      <c r="F74">
        <v>628</v>
      </c>
      <c r="G74">
        <v>980</v>
      </c>
      <c r="H74">
        <v>765</v>
      </c>
      <c r="I74">
        <v>590</v>
      </c>
      <c r="J74">
        <v>1960</v>
      </c>
      <c r="K74">
        <v>1250</v>
      </c>
      <c r="L74">
        <v>1023</v>
      </c>
      <c r="M74">
        <v>750</v>
      </c>
      <c r="N74">
        <v>1368</v>
      </c>
      <c r="O74">
        <v>1950</v>
      </c>
      <c r="P74">
        <v>560</v>
      </c>
      <c r="Q74">
        <v>435</v>
      </c>
      <c r="R74">
        <v>430</v>
      </c>
      <c r="S74">
        <v>671</v>
      </c>
      <c r="T74">
        <v>490</v>
      </c>
      <c r="U74">
        <v>850</v>
      </c>
      <c r="V74">
        <v>1217</v>
      </c>
      <c r="W74">
        <v>580</v>
      </c>
      <c r="X74">
        <v>738</v>
      </c>
      <c r="Y74">
        <v>1055</v>
      </c>
      <c r="Z74">
        <v>1296</v>
      </c>
      <c r="AA74">
        <v>457</v>
      </c>
      <c r="AB74">
        <v>573</v>
      </c>
      <c r="AC74">
        <v>715</v>
      </c>
      <c r="AD74">
        <v>763</v>
      </c>
      <c r="AE74">
        <v>1051</v>
      </c>
      <c r="AF74">
        <v>380</v>
      </c>
      <c r="AG74">
        <v>590</v>
      </c>
      <c r="AH74">
        <v>345</v>
      </c>
      <c r="AI74">
        <v>330</v>
      </c>
      <c r="AJ74">
        <v>390</v>
      </c>
      <c r="AK74">
        <v>309</v>
      </c>
      <c r="AL74">
        <v>358</v>
      </c>
      <c r="AM74">
        <v>375</v>
      </c>
      <c r="AN74">
        <v>373</v>
      </c>
      <c r="AO74">
        <v>410</v>
      </c>
      <c r="AP74">
        <v>610</v>
      </c>
      <c r="AQ74">
        <v>388</v>
      </c>
      <c r="AR74">
        <v>335</v>
      </c>
      <c r="AS74">
        <v>870</v>
      </c>
      <c r="AT74">
        <v>584</v>
      </c>
      <c r="AU74">
        <v>775</v>
      </c>
      <c r="AV74">
        <v>364</v>
      </c>
      <c r="AW74">
        <v>308</v>
      </c>
      <c r="AX74">
        <v>330</v>
      </c>
      <c r="AY74">
        <v>225</v>
      </c>
      <c r="AZ74">
        <v>489</v>
      </c>
      <c r="BA74">
        <v>335</v>
      </c>
      <c r="BB74">
        <v>297</v>
      </c>
      <c r="BC74">
        <v>323</v>
      </c>
      <c r="BD74">
        <v>330</v>
      </c>
      <c r="BE74">
        <v>343</v>
      </c>
      <c r="BF74">
        <v>375</v>
      </c>
      <c r="BG74">
        <v>402</v>
      </c>
      <c r="BH74">
        <v>277</v>
      </c>
      <c r="BI74">
        <v>360</v>
      </c>
    </row>
    <row r="75" spans="2:61" x14ac:dyDescent="0.25">
      <c r="B75" s="2">
        <v>39965</v>
      </c>
      <c r="C75">
        <v>485</v>
      </c>
      <c r="D75">
        <v>876</v>
      </c>
      <c r="E75">
        <v>820</v>
      </c>
      <c r="F75">
        <v>664</v>
      </c>
      <c r="G75">
        <v>1166</v>
      </c>
      <c r="H75">
        <v>800</v>
      </c>
      <c r="I75">
        <v>640</v>
      </c>
      <c r="J75">
        <v>1900</v>
      </c>
      <c r="K75">
        <v>1150</v>
      </c>
      <c r="L75">
        <v>965</v>
      </c>
      <c r="M75">
        <v>710</v>
      </c>
      <c r="N75">
        <v>1395</v>
      </c>
      <c r="O75">
        <v>1728</v>
      </c>
      <c r="P75">
        <v>609</v>
      </c>
      <c r="Q75">
        <v>474</v>
      </c>
      <c r="R75">
        <v>448</v>
      </c>
      <c r="S75">
        <v>802</v>
      </c>
      <c r="T75">
        <v>509</v>
      </c>
      <c r="U75">
        <v>901</v>
      </c>
      <c r="V75">
        <v>1495</v>
      </c>
      <c r="W75">
        <v>587</v>
      </c>
      <c r="X75">
        <v>725</v>
      </c>
      <c r="Y75">
        <v>1070</v>
      </c>
      <c r="Z75">
        <v>1320</v>
      </c>
      <c r="AA75">
        <v>482</v>
      </c>
      <c r="AB75">
        <v>575</v>
      </c>
      <c r="AC75">
        <v>751</v>
      </c>
      <c r="AD75">
        <v>955</v>
      </c>
      <c r="AE75">
        <v>1178</v>
      </c>
      <c r="AF75">
        <v>400</v>
      </c>
      <c r="AG75">
        <v>617</v>
      </c>
      <c r="AH75">
        <v>363</v>
      </c>
      <c r="AI75">
        <v>335</v>
      </c>
      <c r="AJ75">
        <v>400</v>
      </c>
      <c r="AK75">
        <v>315</v>
      </c>
      <c r="AL75">
        <v>366</v>
      </c>
      <c r="AM75">
        <v>383</v>
      </c>
      <c r="AN75">
        <v>395</v>
      </c>
      <c r="AO75">
        <v>430</v>
      </c>
      <c r="AP75">
        <v>645</v>
      </c>
      <c r="AQ75">
        <v>400</v>
      </c>
      <c r="AR75">
        <v>341</v>
      </c>
      <c r="AS75">
        <v>910</v>
      </c>
      <c r="AT75">
        <v>625</v>
      </c>
      <c r="AU75">
        <v>810</v>
      </c>
      <c r="AV75">
        <v>380</v>
      </c>
      <c r="AW75">
        <v>310</v>
      </c>
      <c r="AX75">
        <v>338</v>
      </c>
      <c r="AY75">
        <v>239</v>
      </c>
      <c r="AZ75">
        <v>492</v>
      </c>
      <c r="BA75">
        <v>340</v>
      </c>
      <c r="BB75">
        <v>325</v>
      </c>
      <c r="BC75">
        <v>333</v>
      </c>
      <c r="BD75">
        <v>340</v>
      </c>
      <c r="BE75">
        <v>350</v>
      </c>
      <c r="BF75">
        <v>380</v>
      </c>
      <c r="BG75">
        <v>440</v>
      </c>
      <c r="BH75">
        <v>278</v>
      </c>
      <c r="BI75">
        <v>380</v>
      </c>
    </row>
    <row r="76" spans="2:61" x14ac:dyDescent="0.25">
      <c r="B76" s="2">
        <v>40057</v>
      </c>
      <c r="C76">
        <v>493</v>
      </c>
      <c r="D76">
        <v>913</v>
      </c>
      <c r="E76">
        <v>721</v>
      </c>
      <c r="F76">
        <v>736</v>
      </c>
      <c r="G76">
        <v>1205</v>
      </c>
      <c r="H76">
        <v>828</v>
      </c>
      <c r="I76">
        <v>674</v>
      </c>
      <c r="J76">
        <v>2200</v>
      </c>
      <c r="K76">
        <v>1228</v>
      </c>
      <c r="L76">
        <v>1080</v>
      </c>
      <c r="M76">
        <v>780</v>
      </c>
      <c r="N76">
        <v>1470</v>
      </c>
      <c r="O76">
        <v>1940</v>
      </c>
      <c r="P76">
        <v>620</v>
      </c>
      <c r="Q76">
        <v>480</v>
      </c>
      <c r="R76">
        <v>459</v>
      </c>
      <c r="S76">
        <v>800</v>
      </c>
      <c r="T76">
        <v>530</v>
      </c>
      <c r="U76">
        <v>900</v>
      </c>
      <c r="V76">
        <v>1310</v>
      </c>
      <c r="W76">
        <v>625</v>
      </c>
      <c r="X76">
        <v>776</v>
      </c>
      <c r="Y76">
        <v>1105</v>
      </c>
      <c r="Z76">
        <v>1350</v>
      </c>
      <c r="AA76">
        <v>499</v>
      </c>
      <c r="AB76">
        <v>655</v>
      </c>
      <c r="AC76">
        <v>746</v>
      </c>
      <c r="AD76">
        <v>890</v>
      </c>
      <c r="AE76">
        <v>1244</v>
      </c>
      <c r="AF76">
        <v>409</v>
      </c>
      <c r="AG76">
        <v>629</v>
      </c>
      <c r="AH76">
        <v>365</v>
      </c>
      <c r="AI76">
        <v>353</v>
      </c>
      <c r="AJ76">
        <v>420</v>
      </c>
      <c r="AK76">
        <v>320</v>
      </c>
      <c r="AL76">
        <v>375</v>
      </c>
      <c r="AM76">
        <v>385</v>
      </c>
      <c r="AN76">
        <v>390</v>
      </c>
      <c r="AO76">
        <v>431</v>
      </c>
      <c r="AP76">
        <v>678</v>
      </c>
      <c r="AQ76">
        <v>400</v>
      </c>
      <c r="AR76">
        <v>345</v>
      </c>
      <c r="AS76">
        <v>884</v>
      </c>
      <c r="AT76">
        <v>634</v>
      </c>
      <c r="AU76">
        <v>850</v>
      </c>
      <c r="AV76">
        <v>395</v>
      </c>
      <c r="AW76">
        <v>313</v>
      </c>
      <c r="AX76">
        <v>349</v>
      </c>
      <c r="AY76">
        <v>245</v>
      </c>
      <c r="AZ76">
        <v>488</v>
      </c>
      <c r="BA76">
        <v>347</v>
      </c>
      <c r="BB76">
        <v>310</v>
      </c>
      <c r="BC76">
        <v>347</v>
      </c>
      <c r="BD76">
        <v>355</v>
      </c>
      <c r="BE76">
        <v>365</v>
      </c>
      <c r="BF76">
        <v>386</v>
      </c>
      <c r="BG76">
        <v>450</v>
      </c>
      <c r="BH76">
        <v>283</v>
      </c>
      <c r="BI76">
        <v>386</v>
      </c>
    </row>
    <row r="77" spans="2:61" x14ac:dyDescent="0.25">
      <c r="B77" s="2">
        <v>40148</v>
      </c>
      <c r="C77">
        <v>578</v>
      </c>
      <c r="D77">
        <v>1000</v>
      </c>
      <c r="E77">
        <v>814</v>
      </c>
      <c r="F77">
        <v>700</v>
      </c>
      <c r="G77">
        <v>1365</v>
      </c>
      <c r="H77">
        <v>883</v>
      </c>
      <c r="I77">
        <v>700</v>
      </c>
      <c r="J77">
        <v>2050</v>
      </c>
      <c r="K77">
        <v>1318</v>
      </c>
      <c r="L77">
        <v>1175</v>
      </c>
      <c r="M77">
        <v>800</v>
      </c>
      <c r="N77">
        <v>1610</v>
      </c>
      <c r="O77">
        <v>2040</v>
      </c>
      <c r="P77">
        <v>720</v>
      </c>
      <c r="Q77">
        <v>535</v>
      </c>
      <c r="R77">
        <v>478</v>
      </c>
      <c r="S77">
        <v>792</v>
      </c>
      <c r="T77">
        <v>594</v>
      </c>
      <c r="U77">
        <v>973</v>
      </c>
      <c r="V77">
        <v>1568</v>
      </c>
      <c r="W77">
        <v>673</v>
      </c>
      <c r="X77">
        <v>854</v>
      </c>
      <c r="Y77">
        <v>1200</v>
      </c>
      <c r="Z77">
        <v>1415</v>
      </c>
      <c r="AA77">
        <v>510</v>
      </c>
      <c r="AB77">
        <v>682</v>
      </c>
      <c r="AC77">
        <v>815</v>
      </c>
      <c r="AD77">
        <v>874</v>
      </c>
      <c r="AE77">
        <v>1290</v>
      </c>
      <c r="AF77">
        <v>450</v>
      </c>
      <c r="AG77">
        <v>675</v>
      </c>
      <c r="AH77">
        <v>380</v>
      </c>
      <c r="AI77">
        <v>370</v>
      </c>
      <c r="AJ77">
        <v>421</v>
      </c>
      <c r="AK77">
        <v>320</v>
      </c>
      <c r="AL77">
        <v>395</v>
      </c>
      <c r="AM77">
        <v>433</v>
      </c>
      <c r="AN77">
        <v>423</v>
      </c>
      <c r="AO77">
        <v>445</v>
      </c>
      <c r="AP77">
        <v>713</v>
      </c>
      <c r="AQ77">
        <v>415</v>
      </c>
      <c r="AR77">
        <v>355</v>
      </c>
      <c r="AS77">
        <v>973</v>
      </c>
      <c r="AT77">
        <v>700</v>
      </c>
      <c r="AU77">
        <v>875</v>
      </c>
      <c r="AV77">
        <v>405</v>
      </c>
      <c r="AW77">
        <v>333</v>
      </c>
      <c r="AX77">
        <v>375</v>
      </c>
      <c r="AY77">
        <v>245</v>
      </c>
      <c r="AZ77">
        <v>515</v>
      </c>
      <c r="BA77">
        <v>367</v>
      </c>
      <c r="BB77">
        <v>348</v>
      </c>
      <c r="BC77">
        <v>365</v>
      </c>
      <c r="BD77">
        <v>375</v>
      </c>
      <c r="BE77">
        <v>375</v>
      </c>
      <c r="BF77">
        <v>423</v>
      </c>
      <c r="BG77">
        <v>520</v>
      </c>
      <c r="BH77">
        <v>315</v>
      </c>
      <c r="BI77">
        <v>433</v>
      </c>
    </row>
    <row r="78" spans="2:61" x14ac:dyDescent="0.25">
      <c r="B78" s="2">
        <v>40238</v>
      </c>
      <c r="C78">
        <v>566</v>
      </c>
      <c r="D78">
        <v>1200</v>
      </c>
      <c r="E78">
        <v>903</v>
      </c>
      <c r="F78">
        <v>762</v>
      </c>
      <c r="G78">
        <v>1500</v>
      </c>
      <c r="H78">
        <v>955</v>
      </c>
      <c r="I78">
        <v>752</v>
      </c>
      <c r="J78">
        <v>2325</v>
      </c>
      <c r="K78">
        <v>1450</v>
      </c>
      <c r="L78">
        <v>1330</v>
      </c>
      <c r="M78">
        <v>870</v>
      </c>
      <c r="N78">
        <v>1688</v>
      </c>
      <c r="O78">
        <v>2200</v>
      </c>
      <c r="P78">
        <v>725</v>
      </c>
      <c r="Q78">
        <v>515</v>
      </c>
      <c r="R78">
        <v>500</v>
      </c>
      <c r="S78">
        <v>883</v>
      </c>
      <c r="T78">
        <v>605</v>
      </c>
      <c r="U78">
        <v>930</v>
      </c>
      <c r="V78">
        <v>1314</v>
      </c>
      <c r="W78">
        <v>699</v>
      </c>
      <c r="X78">
        <v>813</v>
      </c>
      <c r="Y78">
        <v>1200</v>
      </c>
      <c r="Z78">
        <v>1430</v>
      </c>
      <c r="AA78">
        <v>529</v>
      </c>
      <c r="AB78">
        <v>698</v>
      </c>
      <c r="AC78">
        <v>848</v>
      </c>
      <c r="AD78">
        <v>1250</v>
      </c>
      <c r="AE78">
        <v>1348</v>
      </c>
      <c r="AF78">
        <v>453</v>
      </c>
      <c r="AG78">
        <v>690</v>
      </c>
      <c r="AH78">
        <v>387</v>
      </c>
      <c r="AI78">
        <v>380</v>
      </c>
      <c r="AJ78">
        <v>450</v>
      </c>
      <c r="AK78">
        <v>330</v>
      </c>
      <c r="AL78">
        <v>395</v>
      </c>
      <c r="AM78">
        <v>413</v>
      </c>
      <c r="AN78">
        <v>415</v>
      </c>
      <c r="AO78">
        <v>468</v>
      </c>
      <c r="AP78">
        <v>730</v>
      </c>
      <c r="AQ78">
        <v>428</v>
      </c>
      <c r="AR78">
        <v>362</v>
      </c>
      <c r="AS78">
        <v>987</v>
      </c>
      <c r="AT78">
        <v>715</v>
      </c>
      <c r="AU78">
        <v>905</v>
      </c>
      <c r="AV78">
        <v>426</v>
      </c>
      <c r="AW78">
        <v>330</v>
      </c>
      <c r="AX78">
        <v>379</v>
      </c>
      <c r="AY78">
        <v>250</v>
      </c>
      <c r="AZ78">
        <v>563</v>
      </c>
      <c r="BA78">
        <v>377</v>
      </c>
      <c r="BB78">
        <v>353</v>
      </c>
      <c r="BC78">
        <v>368</v>
      </c>
      <c r="BD78">
        <v>375</v>
      </c>
      <c r="BE78">
        <v>375</v>
      </c>
      <c r="BF78">
        <v>429</v>
      </c>
      <c r="BG78">
        <v>510</v>
      </c>
      <c r="BH78">
        <v>315</v>
      </c>
      <c r="BI78">
        <v>430</v>
      </c>
    </row>
    <row r="79" spans="2:61" x14ac:dyDescent="0.25">
      <c r="B79" s="2">
        <v>40330</v>
      </c>
      <c r="C79">
        <v>595</v>
      </c>
      <c r="D79">
        <v>1110</v>
      </c>
      <c r="E79">
        <v>858</v>
      </c>
      <c r="F79">
        <v>831</v>
      </c>
      <c r="G79">
        <v>1410</v>
      </c>
      <c r="H79">
        <v>952</v>
      </c>
      <c r="I79">
        <v>765</v>
      </c>
      <c r="J79">
        <v>2100</v>
      </c>
      <c r="K79">
        <v>1535</v>
      </c>
      <c r="L79">
        <v>1338</v>
      </c>
      <c r="M79">
        <v>866</v>
      </c>
      <c r="N79">
        <v>1500</v>
      </c>
      <c r="O79">
        <v>2150</v>
      </c>
      <c r="P79">
        <v>750</v>
      </c>
      <c r="Q79">
        <v>570</v>
      </c>
      <c r="R79">
        <v>500</v>
      </c>
      <c r="S79">
        <v>903</v>
      </c>
      <c r="T79">
        <v>640</v>
      </c>
      <c r="U79">
        <v>1100</v>
      </c>
      <c r="V79">
        <v>1400</v>
      </c>
      <c r="W79">
        <v>710</v>
      </c>
      <c r="X79">
        <v>858</v>
      </c>
      <c r="Y79">
        <v>1220</v>
      </c>
      <c r="Z79">
        <v>1476</v>
      </c>
      <c r="AA79">
        <v>531</v>
      </c>
      <c r="AB79">
        <v>740</v>
      </c>
      <c r="AC79">
        <v>894</v>
      </c>
      <c r="AD79">
        <v>1322</v>
      </c>
      <c r="AE79">
        <v>1350</v>
      </c>
      <c r="AF79">
        <v>462</v>
      </c>
      <c r="AG79">
        <v>705</v>
      </c>
      <c r="AH79">
        <v>395</v>
      </c>
      <c r="AI79">
        <v>395</v>
      </c>
      <c r="AJ79">
        <v>465</v>
      </c>
      <c r="AK79">
        <v>338</v>
      </c>
      <c r="AL79">
        <v>420</v>
      </c>
      <c r="AM79">
        <v>420</v>
      </c>
      <c r="AN79">
        <v>409</v>
      </c>
      <c r="AO79">
        <v>466</v>
      </c>
      <c r="AP79">
        <v>770</v>
      </c>
      <c r="AQ79">
        <v>432</v>
      </c>
      <c r="AR79">
        <v>370</v>
      </c>
      <c r="AS79">
        <v>1033</v>
      </c>
      <c r="AT79">
        <v>728</v>
      </c>
      <c r="AU79">
        <v>964</v>
      </c>
      <c r="AV79">
        <v>398</v>
      </c>
      <c r="AW79">
        <v>331</v>
      </c>
      <c r="AX79">
        <v>383</v>
      </c>
      <c r="AY79">
        <v>255</v>
      </c>
      <c r="AZ79">
        <v>580</v>
      </c>
      <c r="BA79">
        <v>375</v>
      </c>
      <c r="BB79">
        <v>355</v>
      </c>
      <c r="BC79">
        <v>380</v>
      </c>
      <c r="BD79">
        <v>385</v>
      </c>
      <c r="BE79">
        <v>364</v>
      </c>
      <c r="BF79">
        <v>440</v>
      </c>
      <c r="BG79">
        <v>530</v>
      </c>
      <c r="BH79">
        <v>315</v>
      </c>
      <c r="BI79">
        <v>443</v>
      </c>
    </row>
    <row r="80" spans="2:61" x14ac:dyDescent="0.25">
      <c r="B80" s="2">
        <v>40422</v>
      </c>
      <c r="C80">
        <v>577</v>
      </c>
      <c r="D80">
        <v>1100</v>
      </c>
      <c r="E80">
        <v>910</v>
      </c>
      <c r="F80">
        <v>795</v>
      </c>
      <c r="G80">
        <v>1305</v>
      </c>
      <c r="H80">
        <v>968</v>
      </c>
      <c r="I80">
        <v>778</v>
      </c>
      <c r="J80">
        <v>2253</v>
      </c>
      <c r="K80">
        <v>1300</v>
      </c>
      <c r="L80">
        <v>1350</v>
      </c>
      <c r="M80">
        <v>885</v>
      </c>
      <c r="N80">
        <v>1610</v>
      </c>
      <c r="O80">
        <v>2008</v>
      </c>
      <c r="P80">
        <v>745</v>
      </c>
      <c r="Q80">
        <v>587</v>
      </c>
      <c r="R80">
        <v>521</v>
      </c>
      <c r="S80">
        <v>902</v>
      </c>
      <c r="T80">
        <v>653</v>
      </c>
      <c r="U80">
        <v>1130</v>
      </c>
      <c r="V80">
        <v>1738</v>
      </c>
      <c r="W80">
        <v>702</v>
      </c>
      <c r="X80">
        <v>900</v>
      </c>
      <c r="Y80">
        <v>1224</v>
      </c>
      <c r="Z80">
        <v>1380</v>
      </c>
      <c r="AA80">
        <v>557</v>
      </c>
      <c r="AB80">
        <v>721</v>
      </c>
      <c r="AC80">
        <v>890</v>
      </c>
      <c r="AD80">
        <v>1078</v>
      </c>
      <c r="AE80">
        <v>1315</v>
      </c>
      <c r="AF80">
        <v>455</v>
      </c>
      <c r="AG80">
        <v>710</v>
      </c>
      <c r="AH80">
        <v>390</v>
      </c>
      <c r="AI80">
        <v>385</v>
      </c>
      <c r="AJ80">
        <v>435</v>
      </c>
      <c r="AK80">
        <v>333</v>
      </c>
      <c r="AL80">
        <v>425</v>
      </c>
      <c r="AM80">
        <v>428</v>
      </c>
      <c r="AN80">
        <v>415</v>
      </c>
      <c r="AO80">
        <v>490</v>
      </c>
      <c r="AP80">
        <v>740</v>
      </c>
      <c r="AQ80">
        <v>448</v>
      </c>
      <c r="AR80">
        <v>363</v>
      </c>
      <c r="AS80">
        <v>1020</v>
      </c>
      <c r="AT80">
        <v>710</v>
      </c>
      <c r="AU80">
        <v>926</v>
      </c>
      <c r="AV80">
        <v>424</v>
      </c>
      <c r="AW80">
        <v>336</v>
      </c>
      <c r="AX80">
        <v>380</v>
      </c>
      <c r="AY80">
        <v>252</v>
      </c>
      <c r="AZ80">
        <v>550</v>
      </c>
      <c r="BA80">
        <v>380</v>
      </c>
      <c r="BB80">
        <v>359</v>
      </c>
      <c r="BC80">
        <v>385</v>
      </c>
      <c r="BD80">
        <v>381</v>
      </c>
      <c r="BE80">
        <v>368</v>
      </c>
      <c r="BF80">
        <v>430</v>
      </c>
      <c r="BG80">
        <v>510</v>
      </c>
      <c r="BH80">
        <v>310</v>
      </c>
      <c r="BI80">
        <v>430</v>
      </c>
    </row>
    <row r="81" spans="2:61" x14ac:dyDescent="0.25">
      <c r="B81" s="2">
        <v>40513</v>
      </c>
      <c r="C81">
        <v>600</v>
      </c>
      <c r="D81">
        <v>1095</v>
      </c>
      <c r="E81">
        <v>905</v>
      </c>
      <c r="F81">
        <v>800</v>
      </c>
      <c r="G81">
        <v>1453</v>
      </c>
      <c r="H81">
        <v>925</v>
      </c>
      <c r="I81">
        <v>805</v>
      </c>
      <c r="J81">
        <v>2300</v>
      </c>
      <c r="K81">
        <v>1320</v>
      </c>
      <c r="L81">
        <v>1251</v>
      </c>
      <c r="M81">
        <v>891</v>
      </c>
      <c r="N81">
        <v>1615</v>
      </c>
      <c r="O81">
        <v>2250</v>
      </c>
      <c r="P81">
        <v>760</v>
      </c>
      <c r="Q81">
        <v>560</v>
      </c>
      <c r="R81">
        <v>520</v>
      </c>
      <c r="S81">
        <v>840</v>
      </c>
      <c r="T81">
        <v>650</v>
      </c>
      <c r="U81">
        <v>1077</v>
      </c>
      <c r="V81">
        <v>1700</v>
      </c>
      <c r="W81">
        <v>720</v>
      </c>
      <c r="X81">
        <v>865</v>
      </c>
      <c r="Y81">
        <v>1215</v>
      </c>
      <c r="Z81">
        <v>1339</v>
      </c>
      <c r="AA81">
        <v>580</v>
      </c>
      <c r="AB81">
        <v>728</v>
      </c>
      <c r="AC81">
        <v>883</v>
      </c>
      <c r="AD81">
        <v>1025</v>
      </c>
      <c r="AE81">
        <v>1280</v>
      </c>
      <c r="AF81">
        <v>464</v>
      </c>
      <c r="AG81">
        <v>715</v>
      </c>
      <c r="AH81">
        <v>398</v>
      </c>
      <c r="AI81">
        <v>380</v>
      </c>
      <c r="AJ81">
        <v>439</v>
      </c>
      <c r="AK81">
        <v>330</v>
      </c>
      <c r="AL81">
        <v>430</v>
      </c>
      <c r="AM81">
        <v>418</v>
      </c>
      <c r="AN81">
        <v>411</v>
      </c>
      <c r="AO81">
        <v>485</v>
      </c>
      <c r="AP81">
        <v>738</v>
      </c>
      <c r="AQ81">
        <v>440</v>
      </c>
      <c r="AR81">
        <v>375</v>
      </c>
      <c r="AS81">
        <v>985</v>
      </c>
      <c r="AT81">
        <v>733</v>
      </c>
      <c r="AU81">
        <v>945</v>
      </c>
      <c r="AV81">
        <v>433</v>
      </c>
      <c r="AW81">
        <v>330</v>
      </c>
      <c r="AX81">
        <v>385</v>
      </c>
      <c r="AY81">
        <v>255</v>
      </c>
      <c r="AZ81">
        <v>520</v>
      </c>
      <c r="BA81">
        <v>375</v>
      </c>
      <c r="BB81">
        <v>370</v>
      </c>
      <c r="BC81">
        <v>385</v>
      </c>
      <c r="BD81">
        <v>385</v>
      </c>
      <c r="BE81">
        <v>375</v>
      </c>
      <c r="BF81">
        <v>446</v>
      </c>
      <c r="BG81">
        <v>530</v>
      </c>
      <c r="BH81">
        <v>312</v>
      </c>
      <c r="BI81">
        <v>440</v>
      </c>
    </row>
    <row r="82" spans="2:61" x14ac:dyDescent="0.25">
      <c r="B82" s="2">
        <v>40603</v>
      </c>
      <c r="C82">
        <v>550</v>
      </c>
      <c r="D82">
        <v>1110</v>
      </c>
      <c r="E82">
        <v>898</v>
      </c>
      <c r="F82">
        <v>850</v>
      </c>
      <c r="G82">
        <v>1471</v>
      </c>
      <c r="H82">
        <v>910</v>
      </c>
      <c r="I82">
        <v>768</v>
      </c>
      <c r="J82">
        <v>2388</v>
      </c>
      <c r="K82">
        <v>1610</v>
      </c>
      <c r="L82">
        <v>1263</v>
      </c>
      <c r="M82">
        <v>870</v>
      </c>
      <c r="N82">
        <v>1555</v>
      </c>
      <c r="O82">
        <v>1850</v>
      </c>
      <c r="P82">
        <v>735</v>
      </c>
      <c r="Q82">
        <v>520</v>
      </c>
      <c r="R82">
        <v>528</v>
      </c>
      <c r="S82">
        <v>900</v>
      </c>
      <c r="T82">
        <v>620</v>
      </c>
      <c r="U82">
        <v>1080</v>
      </c>
      <c r="V82">
        <v>1423</v>
      </c>
      <c r="W82">
        <v>725</v>
      </c>
      <c r="X82">
        <v>839</v>
      </c>
      <c r="Y82">
        <v>1155</v>
      </c>
      <c r="Z82">
        <v>1456</v>
      </c>
      <c r="AA82">
        <v>551</v>
      </c>
      <c r="AB82">
        <v>741</v>
      </c>
      <c r="AC82">
        <v>859</v>
      </c>
      <c r="AD82">
        <v>1050</v>
      </c>
      <c r="AE82">
        <v>1315</v>
      </c>
      <c r="AF82">
        <v>450</v>
      </c>
      <c r="AG82">
        <v>692</v>
      </c>
      <c r="AH82">
        <v>414</v>
      </c>
      <c r="AI82">
        <v>394</v>
      </c>
      <c r="AJ82">
        <v>439</v>
      </c>
      <c r="AK82">
        <v>330</v>
      </c>
      <c r="AL82">
        <v>425</v>
      </c>
      <c r="AM82">
        <v>425</v>
      </c>
      <c r="AN82">
        <v>417</v>
      </c>
      <c r="AO82">
        <v>480</v>
      </c>
      <c r="AP82">
        <v>750</v>
      </c>
      <c r="AQ82">
        <v>444</v>
      </c>
      <c r="AR82">
        <v>366</v>
      </c>
      <c r="AS82">
        <v>985</v>
      </c>
      <c r="AT82">
        <v>704</v>
      </c>
      <c r="AU82">
        <v>918</v>
      </c>
      <c r="AV82">
        <v>370</v>
      </c>
      <c r="AW82">
        <v>335</v>
      </c>
      <c r="AX82">
        <v>380</v>
      </c>
      <c r="AY82">
        <v>250</v>
      </c>
      <c r="AZ82">
        <v>508</v>
      </c>
      <c r="BA82">
        <v>377</v>
      </c>
      <c r="BB82">
        <v>350</v>
      </c>
      <c r="BC82">
        <v>380</v>
      </c>
      <c r="BD82">
        <v>380</v>
      </c>
      <c r="BE82">
        <v>372</v>
      </c>
      <c r="BF82">
        <v>450</v>
      </c>
      <c r="BG82">
        <v>493</v>
      </c>
      <c r="BH82">
        <v>310</v>
      </c>
      <c r="BI82">
        <v>425</v>
      </c>
    </row>
    <row r="83" spans="2:61" x14ac:dyDescent="0.25">
      <c r="B83" s="2">
        <v>40695</v>
      </c>
      <c r="C83">
        <v>600</v>
      </c>
      <c r="D83">
        <v>1120</v>
      </c>
      <c r="E83">
        <v>880</v>
      </c>
      <c r="F83">
        <v>817</v>
      </c>
      <c r="G83">
        <v>1313</v>
      </c>
      <c r="H83">
        <v>1025</v>
      </c>
      <c r="I83">
        <v>800</v>
      </c>
      <c r="J83">
        <v>2600</v>
      </c>
      <c r="K83">
        <v>1600</v>
      </c>
      <c r="L83">
        <v>1219</v>
      </c>
      <c r="M83">
        <v>883</v>
      </c>
      <c r="N83">
        <v>1660</v>
      </c>
      <c r="O83">
        <v>2226</v>
      </c>
      <c r="P83">
        <v>775</v>
      </c>
      <c r="Q83">
        <v>600</v>
      </c>
      <c r="R83">
        <v>535</v>
      </c>
      <c r="S83">
        <v>1200</v>
      </c>
      <c r="T83">
        <v>668</v>
      </c>
      <c r="U83">
        <v>1068</v>
      </c>
      <c r="V83">
        <v>1668</v>
      </c>
      <c r="W83">
        <v>752</v>
      </c>
      <c r="X83">
        <v>930</v>
      </c>
      <c r="Y83">
        <v>1220</v>
      </c>
      <c r="Z83">
        <v>1410</v>
      </c>
      <c r="AA83">
        <v>575</v>
      </c>
      <c r="AB83">
        <v>760</v>
      </c>
      <c r="AC83">
        <v>887</v>
      </c>
      <c r="AD83">
        <v>1240</v>
      </c>
      <c r="AE83">
        <v>1348</v>
      </c>
      <c r="AF83">
        <v>470</v>
      </c>
      <c r="AG83">
        <v>680</v>
      </c>
      <c r="AH83">
        <v>400</v>
      </c>
      <c r="AI83">
        <v>386</v>
      </c>
      <c r="AJ83">
        <v>453</v>
      </c>
      <c r="AK83">
        <v>340</v>
      </c>
      <c r="AL83">
        <v>450</v>
      </c>
      <c r="AM83">
        <v>440</v>
      </c>
      <c r="AN83">
        <v>419</v>
      </c>
      <c r="AO83">
        <v>476</v>
      </c>
      <c r="AP83">
        <v>765</v>
      </c>
      <c r="AQ83">
        <v>445</v>
      </c>
      <c r="AR83">
        <v>376</v>
      </c>
      <c r="AS83">
        <v>1055</v>
      </c>
      <c r="AT83">
        <v>779</v>
      </c>
      <c r="AU83">
        <v>950</v>
      </c>
      <c r="AV83">
        <v>433</v>
      </c>
      <c r="AW83">
        <v>335</v>
      </c>
      <c r="AX83">
        <v>385</v>
      </c>
      <c r="AY83">
        <v>260</v>
      </c>
      <c r="AZ83">
        <v>565</v>
      </c>
      <c r="BA83">
        <v>376</v>
      </c>
      <c r="BB83">
        <v>360</v>
      </c>
      <c r="BC83">
        <v>385</v>
      </c>
      <c r="BD83">
        <v>385</v>
      </c>
      <c r="BE83">
        <v>399</v>
      </c>
      <c r="BF83">
        <v>450</v>
      </c>
      <c r="BG83">
        <v>533</v>
      </c>
      <c r="BH83">
        <v>315</v>
      </c>
      <c r="BI83">
        <v>450</v>
      </c>
    </row>
    <row r="84" spans="2:61" x14ac:dyDescent="0.25">
      <c r="B84" s="2">
        <v>40787</v>
      </c>
      <c r="C84">
        <v>550</v>
      </c>
      <c r="D84">
        <v>1015</v>
      </c>
      <c r="E84">
        <v>915</v>
      </c>
      <c r="F84">
        <v>808</v>
      </c>
      <c r="G84">
        <v>1288</v>
      </c>
      <c r="H84">
        <v>926</v>
      </c>
      <c r="I84">
        <v>781</v>
      </c>
      <c r="J84">
        <v>2315</v>
      </c>
      <c r="K84">
        <v>1398</v>
      </c>
      <c r="L84">
        <v>1233</v>
      </c>
      <c r="M84">
        <v>835</v>
      </c>
      <c r="N84">
        <v>1501</v>
      </c>
      <c r="O84">
        <v>2050</v>
      </c>
      <c r="P84">
        <v>724</v>
      </c>
      <c r="Q84">
        <v>573</v>
      </c>
      <c r="R84">
        <v>540</v>
      </c>
      <c r="S84">
        <v>954</v>
      </c>
      <c r="T84">
        <v>660</v>
      </c>
      <c r="U84">
        <v>1053</v>
      </c>
      <c r="V84">
        <v>1378</v>
      </c>
      <c r="W84">
        <v>728</v>
      </c>
      <c r="X84">
        <v>900</v>
      </c>
      <c r="Y84">
        <v>1175</v>
      </c>
      <c r="Z84">
        <v>1319</v>
      </c>
      <c r="AA84">
        <v>551</v>
      </c>
      <c r="AB84">
        <v>725</v>
      </c>
      <c r="AC84">
        <v>879</v>
      </c>
      <c r="AD84">
        <v>1240</v>
      </c>
      <c r="AE84">
        <v>1298</v>
      </c>
      <c r="AF84">
        <v>449</v>
      </c>
      <c r="AG84">
        <v>680</v>
      </c>
      <c r="AH84">
        <v>400</v>
      </c>
      <c r="AI84">
        <v>380</v>
      </c>
      <c r="AJ84">
        <v>455</v>
      </c>
      <c r="AK84">
        <v>337</v>
      </c>
      <c r="AL84">
        <v>435</v>
      </c>
      <c r="AM84">
        <v>410</v>
      </c>
      <c r="AN84">
        <v>453</v>
      </c>
      <c r="AO84">
        <v>485</v>
      </c>
      <c r="AP84">
        <v>753</v>
      </c>
      <c r="AQ84">
        <v>450</v>
      </c>
      <c r="AR84">
        <v>375</v>
      </c>
      <c r="AS84">
        <v>978</v>
      </c>
      <c r="AT84">
        <v>733</v>
      </c>
      <c r="AU84">
        <v>890</v>
      </c>
      <c r="AV84">
        <v>438</v>
      </c>
      <c r="AW84">
        <v>330</v>
      </c>
      <c r="AX84">
        <v>380</v>
      </c>
      <c r="AY84">
        <v>265</v>
      </c>
      <c r="AZ84">
        <v>538</v>
      </c>
      <c r="BA84">
        <v>375</v>
      </c>
      <c r="BB84">
        <v>350</v>
      </c>
      <c r="BC84">
        <v>385</v>
      </c>
      <c r="BD84">
        <v>373</v>
      </c>
      <c r="BE84">
        <v>378</v>
      </c>
      <c r="BF84">
        <v>430</v>
      </c>
      <c r="BG84">
        <v>495</v>
      </c>
      <c r="BH84">
        <v>300</v>
      </c>
      <c r="BI84">
        <v>420</v>
      </c>
    </row>
    <row r="85" spans="2:61" x14ac:dyDescent="0.25">
      <c r="B85" s="2">
        <v>40878</v>
      </c>
      <c r="C85">
        <v>520</v>
      </c>
      <c r="D85">
        <v>1055</v>
      </c>
      <c r="E85">
        <v>874</v>
      </c>
      <c r="F85">
        <v>820</v>
      </c>
      <c r="G85">
        <v>1255</v>
      </c>
      <c r="H85">
        <v>899</v>
      </c>
      <c r="I85">
        <v>766</v>
      </c>
      <c r="J85">
        <v>2030</v>
      </c>
      <c r="K85">
        <v>1303</v>
      </c>
      <c r="L85">
        <v>1150</v>
      </c>
      <c r="M85">
        <v>843</v>
      </c>
      <c r="N85">
        <v>1550</v>
      </c>
      <c r="O85">
        <v>1750</v>
      </c>
      <c r="P85">
        <v>700</v>
      </c>
      <c r="Q85">
        <v>525</v>
      </c>
      <c r="R85">
        <v>520</v>
      </c>
      <c r="S85">
        <v>955</v>
      </c>
      <c r="T85">
        <v>633</v>
      </c>
      <c r="U85">
        <v>1030</v>
      </c>
      <c r="V85">
        <v>1660</v>
      </c>
      <c r="W85">
        <v>719</v>
      </c>
      <c r="X85">
        <v>880</v>
      </c>
      <c r="Y85">
        <v>1150</v>
      </c>
      <c r="Z85">
        <v>1300</v>
      </c>
      <c r="AA85">
        <v>530</v>
      </c>
      <c r="AB85">
        <v>725</v>
      </c>
      <c r="AC85">
        <v>868</v>
      </c>
      <c r="AD85">
        <v>1010</v>
      </c>
      <c r="AE85">
        <v>1250</v>
      </c>
      <c r="AF85">
        <v>435</v>
      </c>
      <c r="AG85">
        <v>676</v>
      </c>
      <c r="AH85">
        <v>397</v>
      </c>
      <c r="AI85">
        <v>380</v>
      </c>
      <c r="AJ85">
        <v>436</v>
      </c>
      <c r="AK85">
        <v>340</v>
      </c>
      <c r="AL85">
        <v>426</v>
      </c>
      <c r="AM85">
        <v>399</v>
      </c>
      <c r="AN85">
        <v>416</v>
      </c>
      <c r="AO85">
        <v>484</v>
      </c>
      <c r="AP85">
        <v>750</v>
      </c>
      <c r="AQ85">
        <v>445</v>
      </c>
      <c r="AR85">
        <v>375</v>
      </c>
      <c r="AS85">
        <v>951</v>
      </c>
      <c r="AT85">
        <v>710</v>
      </c>
      <c r="AU85">
        <v>895</v>
      </c>
      <c r="AV85">
        <v>426</v>
      </c>
      <c r="AW85">
        <v>323</v>
      </c>
      <c r="AX85">
        <v>372</v>
      </c>
      <c r="AY85">
        <v>275</v>
      </c>
      <c r="AZ85">
        <v>530</v>
      </c>
      <c r="BA85">
        <v>362</v>
      </c>
      <c r="BB85">
        <v>350</v>
      </c>
      <c r="BC85">
        <v>372</v>
      </c>
      <c r="BD85">
        <v>375</v>
      </c>
      <c r="BE85">
        <v>375</v>
      </c>
      <c r="BF85">
        <v>427</v>
      </c>
      <c r="BG85">
        <v>473</v>
      </c>
      <c r="BH85">
        <v>297</v>
      </c>
      <c r="BI85">
        <v>410</v>
      </c>
    </row>
    <row r="86" spans="2:61" x14ac:dyDescent="0.25">
      <c r="B86" s="2">
        <v>40969</v>
      </c>
      <c r="C86">
        <v>588</v>
      </c>
      <c r="D86">
        <v>1055</v>
      </c>
      <c r="E86">
        <v>855</v>
      </c>
      <c r="F86">
        <v>800</v>
      </c>
      <c r="G86">
        <v>1397</v>
      </c>
      <c r="H86">
        <v>968</v>
      </c>
      <c r="I86">
        <v>765</v>
      </c>
      <c r="J86">
        <v>2200</v>
      </c>
      <c r="K86">
        <v>1220</v>
      </c>
      <c r="L86">
        <v>1250</v>
      </c>
      <c r="M86">
        <v>868</v>
      </c>
      <c r="N86">
        <v>1575</v>
      </c>
      <c r="O86">
        <v>1735</v>
      </c>
      <c r="P86">
        <v>760</v>
      </c>
      <c r="Q86">
        <v>615</v>
      </c>
      <c r="R86">
        <v>550</v>
      </c>
      <c r="S86">
        <v>938</v>
      </c>
      <c r="T86">
        <v>650</v>
      </c>
      <c r="U86">
        <v>1010</v>
      </c>
      <c r="V86">
        <v>1545</v>
      </c>
      <c r="W86">
        <v>748</v>
      </c>
      <c r="X86">
        <v>870</v>
      </c>
      <c r="Y86">
        <v>1150</v>
      </c>
      <c r="Z86">
        <v>1275</v>
      </c>
      <c r="AA86">
        <v>566</v>
      </c>
      <c r="AB86">
        <v>738</v>
      </c>
      <c r="AC86">
        <v>880</v>
      </c>
      <c r="AD86">
        <v>1100</v>
      </c>
      <c r="AE86">
        <v>1290</v>
      </c>
      <c r="AF86">
        <v>473</v>
      </c>
      <c r="AG86">
        <v>710</v>
      </c>
      <c r="AH86">
        <v>415</v>
      </c>
      <c r="AI86">
        <v>386</v>
      </c>
      <c r="AJ86">
        <v>455</v>
      </c>
      <c r="AK86">
        <v>342</v>
      </c>
      <c r="AL86">
        <v>440</v>
      </c>
      <c r="AM86">
        <v>410</v>
      </c>
      <c r="AN86">
        <v>462</v>
      </c>
      <c r="AO86">
        <v>490</v>
      </c>
      <c r="AP86">
        <v>750</v>
      </c>
      <c r="AQ86">
        <v>465</v>
      </c>
      <c r="AR86">
        <v>390</v>
      </c>
      <c r="AS86">
        <v>945</v>
      </c>
      <c r="AT86">
        <v>740</v>
      </c>
      <c r="AU86">
        <v>900</v>
      </c>
      <c r="AV86">
        <v>425</v>
      </c>
      <c r="AW86">
        <v>346</v>
      </c>
      <c r="AX86">
        <v>399</v>
      </c>
      <c r="AY86">
        <v>283</v>
      </c>
      <c r="AZ86">
        <v>561</v>
      </c>
      <c r="BA86">
        <v>392</v>
      </c>
      <c r="BB86">
        <v>365</v>
      </c>
      <c r="BC86">
        <v>404</v>
      </c>
      <c r="BD86">
        <v>384</v>
      </c>
      <c r="BE86">
        <v>395</v>
      </c>
      <c r="BF86">
        <v>453</v>
      </c>
      <c r="BG86">
        <v>530</v>
      </c>
      <c r="BH86">
        <v>313</v>
      </c>
      <c r="BI86">
        <v>440</v>
      </c>
    </row>
    <row r="87" spans="2:61" x14ac:dyDescent="0.25">
      <c r="B87" s="2">
        <v>41061</v>
      </c>
      <c r="C87">
        <v>593</v>
      </c>
      <c r="D87">
        <v>1066</v>
      </c>
      <c r="E87">
        <v>885</v>
      </c>
      <c r="F87">
        <v>810</v>
      </c>
      <c r="G87">
        <v>1413</v>
      </c>
      <c r="H87">
        <v>908</v>
      </c>
      <c r="I87">
        <v>760</v>
      </c>
      <c r="J87">
        <v>2050</v>
      </c>
      <c r="K87">
        <v>1533</v>
      </c>
      <c r="L87">
        <v>1198</v>
      </c>
      <c r="M87">
        <v>890</v>
      </c>
      <c r="N87">
        <v>1581</v>
      </c>
      <c r="O87">
        <v>1875</v>
      </c>
      <c r="P87">
        <v>750</v>
      </c>
      <c r="Q87">
        <v>600</v>
      </c>
      <c r="R87">
        <v>555</v>
      </c>
      <c r="S87">
        <v>893</v>
      </c>
      <c r="T87">
        <v>670</v>
      </c>
      <c r="U87">
        <v>995</v>
      </c>
      <c r="V87">
        <v>1390</v>
      </c>
      <c r="W87">
        <v>731</v>
      </c>
      <c r="X87">
        <v>801</v>
      </c>
      <c r="Y87">
        <v>1130</v>
      </c>
      <c r="Z87">
        <v>1475</v>
      </c>
      <c r="AA87">
        <v>575</v>
      </c>
      <c r="AB87">
        <v>734</v>
      </c>
      <c r="AC87">
        <v>880</v>
      </c>
      <c r="AD87">
        <v>1225</v>
      </c>
      <c r="AE87">
        <v>1388</v>
      </c>
      <c r="AF87">
        <v>480</v>
      </c>
      <c r="AG87">
        <v>680</v>
      </c>
      <c r="AH87">
        <v>425</v>
      </c>
      <c r="AI87">
        <v>400</v>
      </c>
      <c r="AJ87">
        <v>475</v>
      </c>
      <c r="AK87">
        <v>342</v>
      </c>
      <c r="AL87">
        <v>445</v>
      </c>
      <c r="AM87">
        <v>415</v>
      </c>
      <c r="AN87">
        <v>435</v>
      </c>
      <c r="AO87">
        <v>520</v>
      </c>
      <c r="AP87">
        <v>745</v>
      </c>
      <c r="AQ87">
        <v>455</v>
      </c>
      <c r="AR87">
        <v>405</v>
      </c>
      <c r="AS87">
        <v>928</v>
      </c>
      <c r="AT87">
        <v>760</v>
      </c>
      <c r="AU87">
        <v>905</v>
      </c>
      <c r="AV87">
        <v>430</v>
      </c>
      <c r="AW87">
        <v>335</v>
      </c>
      <c r="AX87">
        <v>395</v>
      </c>
      <c r="AY87">
        <v>265</v>
      </c>
      <c r="AZ87">
        <v>560</v>
      </c>
      <c r="BA87">
        <v>400</v>
      </c>
      <c r="BB87">
        <v>374</v>
      </c>
      <c r="BC87">
        <v>390</v>
      </c>
      <c r="BD87">
        <v>381</v>
      </c>
      <c r="BE87">
        <v>403</v>
      </c>
      <c r="BF87">
        <v>450</v>
      </c>
      <c r="BG87">
        <v>535</v>
      </c>
      <c r="BH87">
        <v>313</v>
      </c>
      <c r="BI87">
        <v>440</v>
      </c>
    </row>
    <row r="88" spans="2:61" x14ac:dyDescent="0.25">
      <c r="B88" s="2">
        <v>41153</v>
      </c>
      <c r="C88">
        <v>568</v>
      </c>
      <c r="D88">
        <v>1055</v>
      </c>
      <c r="E88">
        <v>856</v>
      </c>
      <c r="F88">
        <v>845</v>
      </c>
      <c r="G88">
        <v>1205</v>
      </c>
      <c r="H88">
        <v>895</v>
      </c>
      <c r="I88">
        <v>790</v>
      </c>
      <c r="J88">
        <v>1950</v>
      </c>
      <c r="K88">
        <v>1365</v>
      </c>
      <c r="L88">
        <v>1260</v>
      </c>
      <c r="M88">
        <v>833</v>
      </c>
      <c r="N88">
        <v>1355</v>
      </c>
      <c r="O88">
        <v>1800</v>
      </c>
      <c r="P88">
        <v>750</v>
      </c>
      <c r="Q88">
        <v>625</v>
      </c>
      <c r="R88">
        <v>560</v>
      </c>
      <c r="S88">
        <v>875</v>
      </c>
      <c r="T88">
        <v>651</v>
      </c>
      <c r="U88">
        <v>1040</v>
      </c>
      <c r="V88">
        <v>1480</v>
      </c>
      <c r="W88">
        <v>754</v>
      </c>
      <c r="X88">
        <v>875</v>
      </c>
      <c r="Y88">
        <v>1220</v>
      </c>
      <c r="Z88">
        <v>1400</v>
      </c>
      <c r="AA88">
        <v>580</v>
      </c>
      <c r="AB88">
        <v>729</v>
      </c>
      <c r="AC88">
        <v>875</v>
      </c>
      <c r="AD88">
        <v>1265</v>
      </c>
      <c r="AE88">
        <v>1300</v>
      </c>
      <c r="AF88">
        <v>452</v>
      </c>
      <c r="AG88">
        <v>722</v>
      </c>
      <c r="AH88">
        <v>412</v>
      </c>
      <c r="AI88">
        <v>391</v>
      </c>
      <c r="AJ88">
        <v>455</v>
      </c>
      <c r="AK88">
        <v>350</v>
      </c>
      <c r="AL88">
        <v>452</v>
      </c>
      <c r="AM88">
        <v>410</v>
      </c>
      <c r="AN88">
        <v>420</v>
      </c>
      <c r="AO88">
        <v>502</v>
      </c>
      <c r="AP88">
        <v>750</v>
      </c>
      <c r="AQ88">
        <v>455</v>
      </c>
      <c r="AR88">
        <v>375</v>
      </c>
      <c r="AS88">
        <v>981</v>
      </c>
      <c r="AT88">
        <v>750</v>
      </c>
      <c r="AU88">
        <v>893</v>
      </c>
      <c r="AV88">
        <v>426</v>
      </c>
      <c r="AW88">
        <v>329</v>
      </c>
      <c r="AX88">
        <v>385</v>
      </c>
      <c r="AY88">
        <v>275</v>
      </c>
      <c r="AZ88">
        <v>550</v>
      </c>
      <c r="BA88">
        <v>385</v>
      </c>
      <c r="BB88">
        <v>355</v>
      </c>
      <c r="BC88">
        <v>394</v>
      </c>
      <c r="BD88">
        <v>378</v>
      </c>
      <c r="BE88">
        <v>362</v>
      </c>
      <c r="BF88">
        <v>424</v>
      </c>
      <c r="BG88">
        <v>500</v>
      </c>
      <c r="BH88">
        <v>297</v>
      </c>
      <c r="BI88">
        <v>422</v>
      </c>
    </row>
    <row r="89" spans="2:61" x14ac:dyDescent="0.25">
      <c r="B89" s="2">
        <v>41244</v>
      </c>
      <c r="C89">
        <v>620</v>
      </c>
      <c r="D89">
        <v>1099</v>
      </c>
      <c r="E89">
        <v>875</v>
      </c>
      <c r="F89">
        <v>831</v>
      </c>
      <c r="G89">
        <v>1350</v>
      </c>
      <c r="H89">
        <v>953</v>
      </c>
      <c r="I89">
        <v>820</v>
      </c>
      <c r="J89">
        <v>1978</v>
      </c>
      <c r="K89">
        <v>1325</v>
      </c>
      <c r="L89">
        <v>1200</v>
      </c>
      <c r="M89">
        <v>910</v>
      </c>
      <c r="N89">
        <v>1690</v>
      </c>
      <c r="O89">
        <v>2075</v>
      </c>
      <c r="P89">
        <v>812</v>
      </c>
      <c r="Q89">
        <v>650</v>
      </c>
      <c r="R89">
        <v>580</v>
      </c>
      <c r="S89">
        <v>905</v>
      </c>
      <c r="T89">
        <v>687</v>
      </c>
      <c r="U89">
        <v>1088</v>
      </c>
      <c r="V89">
        <v>1485</v>
      </c>
      <c r="W89">
        <v>750</v>
      </c>
      <c r="X89">
        <v>922</v>
      </c>
      <c r="Y89">
        <v>1200</v>
      </c>
      <c r="Z89">
        <v>1490</v>
      </c>
      <c r="AA89">
        <v>621</v>
      </c>
      <c r="AB89">
        <v>791</v>
      </c>
      <c r="AC89">
        <v>900</v>
      </c>
      <c r="AD89">
        <v>1279</v>
      </c>
      <c r="AE89">
        <v>1303</v>
      </c>
      <c r="AF89">
        <v>489</v>
      </c>
      <c r="AG89">
        <v>720</v>
      </c>
      <c r="AH89">
        <v>430</v>
      </c>
      <c r="AI89">
        <v>390</v>
      </c>
      <c r="AJ89">
        <v>460</v>
      </c>
      <c r="AK89">
        <v>363</v>
      </c>
      <c r="AL89">
        <v>455</v>
      </c>
      <c r="AM89">
        <v>440</v>
      </c>
      <c r="AN89">
        <v>450</v>
      </c>
      <c r="AO89">
        <v>516</v>
      </c>
      <c r="AP89">
        <v>755</v>
      </c>
      <c r="AQ89">
        <v>475</v>
      </c>
      <c r="AR89">
        <v>405</v>
      </c>
      <c r="AS89">
        <v>950</v>
      </c>
      <c r="AT89">
        <v>770</v>
      </c>
      <c r="AU89">
        <v>925</v>
      </c>
      <c r="AV89">
        <v>451</v>
      </c>
      <c r="AW89">
        <v>335</v>
      </c>
      <c r="AX89">
        <v>405</v>
      </c>
      <c r="AY89">
        <v>284</v>
      </c>
      <c r="AZ89">
        <v>560</v>
      </c>
      <c r="BA89">
        <v>400</v>
      </c>
      <c r="BB89">
        <v>365</v>
      </c>
      <c r="BC89">
        <v>423</v>
      </c>
      <c r="BD89">
        <v>388</v>
      </c>
      <c r="BE89">
        <v>395</v>
      </c>
      <c r="BF89">
        <v>460</v>
      </c>
      <c r="BG89">
        <v>560</v>
      </c>
      <c r="BH89">
        <v>325</v>
      </c>
      <c r="BI89">
        <v>467</v>
      </c>
    </row>
    <row r="90" spans="2:61" x14ac:dyDescent="0.25">
      <c r="B90" s="2">
        <v>41334</v>
      </c>
      <c r="C90">
        <v>600</v>
      </c>
      <c r="D90">
        <v>1150</v>
      </c>
      <c r="E90">
        <v>965</v>
      </c>
      <c r="F90">
        <v>830</v>
      </c>
      <c r="G90">
        <v>1347</v>
      </c>
      <c r="H90">
        <v>913</v>
      </c>
      <c r="I90">
        <v>850</v>
      </c>
      <c r="J90">
        <v>2558</v>
      </c>
      <c r="K90">
        <v>1530</v>
      </c>
      <c r="L90">
        <v>1440</v>
      </c>
      <c r="M90">
        <v>921</v>
      </c>
      <c r="N90">
        <v>1595</v>
      </c>
      <c r="O90">
        <v>2160</v>
      </c>
      <c r="P90">
        <v>785</v>
      </c>
      <c r="Q90">
        <v>619</v>
      </c>
      <c r="R90">
        <v>575</v>
      </c>
      <c r="S90">
        <v>953</v>
      </c>
      <c r="T90">
        <v>646</v>
      </c>
      <c r="U90">
        <v>1003</v>
      </c>
      <c r="V90">
        <v>1583</v>
      </c>
      <c r="W90">
        <v>800</v>
      </c>
      <c r="X90">
        <v>923</v>
      </c>
      <c r="Y90">
        <v>1200</v>
      </c>
      <c r="Z90">
        <v>1500</v>
      </c>
      <c r="AA90">
        <v>615</v>
      </c>
      <c r="AB90">
        <v>775</v>
      </c>
      <c r="AC90">
        <v>910</v>
      </c>
      <c r="AD90">
        <v>1361</v>
      </c>
      <c r="AE90">
        <v>1333</v>
      </c>
      <c r="AF90">
        <v>485</v>
      </c>
      <c r="AG90">
        <v>736</v>
      </c>
      <c r="AH90">
        <v>435</v>
      </c>
      <c r="AI90">
        <v>417</v>
      </c>
      <c r="AJ90">
        <v>485</v>
      </c>
      <c r="AK90">
        <v>357</v>
      </c>
      <c r="AL90">
        <v>460</v>
      </c>
      <c r="AM90">
        <v>445</v>
      </c>
      <c r="AN90">
        <v>445</v>
      </c>
      <c r="AO90">
        <v>525</v>
      </c>
      <c r="AP90">
        <v>775</v>
      </c>
      <c r="AQ90">
        <v>475</v>
      </c>
      <c r="AR90">
        <v>405</v>
      </c>
      <c r="AS90">
        <v>1010</v>
      </c>
      <c r="AT90">
        <v>745</v>
      </c>
      <c r="AU90">
        <v>905</v>
      </c>
      <c r="AV90">
        <v>442</v>
      </c>
      <c r="AW90">
        <v>355</v>
      </c>
      <c r="AX90">
        <v>410</v>
      </c>
      <c r="AY90">
        <v>298</v>
      </c>
      <c r="AZ90">
        <v>553</v>
      </c>
      <c r="BA90">
        <v>400</v>
      </c>
      <c r="BB90">
        <v>388</v>
      </c>
      <c r="BC90">
        <v>416</v>
      </c>
      <c r="BD90">
        <v>393</v>
      </c>
      <c r="BE90">
        <v>401</v>
      </c>
      <c r="BF90">
        <v>460</v>
      </c>
      <c r="BG90">
        <v>540</v>
      </c>
      <c r="BH90">
        <v>320</v>
      </c>
      <c r="BI90">
        <v>455</v>
      </c>
    </row>
    <row r="91" spans="2:61" x14ac:dyDescent="0.25">
      <c r="B91" s="2">
        <v>41426</v>
      </c>
      <c r="C91">
        <v>630</v>
      </c>
      <c r="D91">
        <v>1200</v>
      </c>
      <c r="E91">
        <v>900</v>
      </c>
      <c r="F91">
        <v>866</v>
      </c>
      <c r="G91">
        <v>1442</v>
      </c>
      <c r="H91">
        <v>1015</v>
      </c>
      <c r="I91">
        <v>850</v>
      </c>
      <c r="J91">
        <v>2325</v>
      </c>
      <c r="K91">
        <v>1590</v>
      </c>
      <c r="L91">
        <v>1272</v>
      </c>
      <c r="M91">
        <v>960</v>
      </c>
      <c r="N91">
        <v>1680</v>
      </c>
      <c r="O91">
        <v>2350</v>
      </c>
      <c r="P91">
        <v>821</v>
      </c>
      <c r="Q91">
        <v>653</v>
      </c>
      <c r="R91">
        <v>600</v>
      </c>
      <c r="S91">
        <v>980</v>
      </c>
      <c r="T91">
        <v>715</v>
      </c>
      <c r="U91">
        <v>1157</v>
      </c>
      <c r="V91">
        <v>1558</v>
      </c>
      <c r="W91">
        <v>800</v>
      </c>
      <c r="X91">
        <v>929</v>
      </c>
      <c r="Y91">
        <v>1320</v>
      </c>
      <c r="Z91">
        <v>1604</v>
      </c>
      <c r="AA91">
        <v>650</v>
      </c>
      <c r="AB91">
        <v>800</v>
      </c>
      <c r="AC91">
        <v>921</v>
      </c>
      <c r="AD91">
        <v>1286</v>
      </c>
      <c r="AE91">
        <v>1450</v>
      </c>
      <c r="AF91">
        <v>500</v>
      </c>
      <c r="AG91">
        <v>782</v>
      </c>
      <c r="AH91">
        <v>440</v>
      </c>
      <c r="AI91">
        <v>410</v>
      </c>
      <c r="AJ91">
        <v>495</v>
      </c>
      <c r="AK91">
        <v>360</v>
      </c>
      <c r="AL91">
        <v>490</v>
      </c>
      <c r="AM91">
        <v>449</v>
      </c>
      <c r="AN91">
        <v>480</v>
      </c>
      <c r="AO91">
        <v>541</v>
      </c>
      <c r="AP91">
        <v>830</v>
      </c>
      <c r="AQ91">
        <v>500</v>
      </c>
      <c r="AR91">
        <v>420</v>
      </c>
      <c r="AS91">
        <v>1050</v>
      </c>
      <c r="AT91">
        <v>780</v>
      </c>
      <c r="AU91">
        <v>955</v>
      </c>
      <c r="AV91">
        <v>470</v>
      </c>
      <c r="AW91">
        <v>355</v>
      </c>
      <c r="AX91">
        <v>406</v>
      </c>
      <c r="AY91">
        <v>280</v>
      </c>
      <c r="AZ91">
        <v>570</v>
      </c>
      <c r="BA91">
        <v>393</v>
      </c>
      <c r="BB91">
        <v>370</v>
      </c>
      <c r="BC91">
        <v>430</v>
      </c>
      <c r="BD91">
        <v>391</v>
      </c>
      <c r="BE91">
        <v>390</v>
      </c>
      <c r="BF91">
        <v>450</v>
      </c>
      <c r="BG91">
        <v>565</v>
      </c>
      <c r="BH91">
        <v>319</v>
      </c>
      <c r="BI91">
        <v>470</v>
      </c>
    </row>
    <row r="92" spans="2:61" x14ac:dyDescent="0.25">
      <c r="B92" s="2">
        <v>41518</v>
      </c>
      <c r="C92">
        <v>650</v>
      </c>
      <c r="D92">
        <v>1250</v>
      </c>
      <c r="E92">
        <v>1100</v>
      </c>
      <c r="F92">
        <v>990</v>
      </c>
      <c r="G92">
        <v>1618</v>
      </c>
      <c r="H92">
        <v>1030</v>
      </c>
      <c r="I92">
        <v>900</v>
      </c>
      <c r="J92">
        <v>2200</v>
      </c>
      <c r="K92">
        <v>1495</v>
      </c>
      <c r="L92">
        <v>1300</v>
      </c>
      <c r="M92">
        <v>1015</v>
      </c>
      <c r="N92">
        <v>1675</v>
      </c>
      <c r="O92">
        <v>2225</v>
      </c>
      <c r="P92">
        <v>865</v>
      </c>
      <c r="Q92">
        <v>675</v>
      </c>
      <c r="R92">
        <v>621</v>
      </c>
      <c r="S92">
        <v>1100</v>
      </c>
      <c r="T92">
        <v>766</v>
      </c>
      <c r="U92">
        <v>1200</v>
      </c>
      <c r="V92">
        <v>1800</v>
      </c>
      <c r="W92">
        <v>855</v>
      </c>
      <c r="X92">
        <v>981</v>
      </c>
      <c r="Y92">
        <v>1311</v>
      </c>
      <c r="Z92">
        <v>1510</v>
      </c>
      <c r="AA92">
        <v>680</v>
      </c>
      <c r="AB92">
        <v>838</v>
      </c>
      <c r="AC92">
        <v>988</v>
      </c>
      <c r="AD92">
        <v>1300</v>
      </c>
      <c r="AE92">
        <v>1501</v>
      </c>
      <c r="AF92">
        <v>522</v>
      </c>
      <c r="AG92">
        <v>820</v>
      </c>
      <c r="AH92">
        <v>471</v>
      </c>
      <c r="AI92">
        <v>405</v>
      </c>
      <c r="AJ92">
        <v>510</v>
      </c>
      <c r="AK92">
        <v>377</v>
      </c>
      <c r="AL92">
        <v>505</v>
      </c>
      <c r="AM92">
        <v>450</v>
      </c>
      <c r="AN92">
        <v>500</v>
      </c>
      <c r="AO92">
        <v>580</v>
      </c>
      <c r="AP92">
        <v>838</v>
      </c>
      <c r="AQ92">
        <v>513</v>
      </c>
      <c r="AR92">
        <v>430</v>
      </c>
      <c r="AS92">
        <v>1051</v>
      </c>
      <c r="AT92">
        <v>810</v>
      </c>
      <c r="AU92">
        <v>1050</v>
      </c>
      <c r="AV92">
        <v>490</v>
      </c>
      <c r="AW92">
        <v>367</v>
      </c>
      <c r="AX92">
        <v>415</v>
      </c>
      <c r="AY92">
        <v>290</v>
      </c>
      <c r="AZ92">
        <v>568</v>
      </c>
      <c r="BA92">
        <v>420</v>
      </c>
      <c r="BB92">
        <v>380</v>
      </c>
      <c r="BC92">
        <v>421</v>
      </c>
      <c r="BD92">
        <v>407</v>
      </c>
      <c r="BE92">
        <v>380</v>
      </c>
      <c r="BF92">
        <v>465</v>
      </c>
      <c r="BG92">
        <v>581</v>
      </c>
      <c r="BH92">
        <v>315</v>
      </c>
      <c r="BI92">
        <v>480</v>
      </c>
    </row>
    <row r="93" spans="2:61" x14ac:dyDescent="0.25">
      <c r="B93" s="2">
        <v>41609</v>
      </c>
      <c r="C93">
        <v>722</v>
      </c>
      <c r="D93">
        <v>1350</v>
      </c>
      <c r="E93">
        <v>1076</v>
      </c>
      <c r="F93">
        <v>1000</v>
      </c>
      <c r="G93">
        <v>1575</v>
      </c>
      <c r="H93">
        <v>1200</v>
      </c>
      <c r="I93">
        <v>950</v>
      </c>
      <c r="J93">
        <v>2500</v>
      </c>
      <c r="K93">
        <v>1625</v>
      </c>
      <c r="L93">
        <v>1500</v>
      </c>
      <c r="M93">
        <v>1100</v>
      </c>
      <c r="N93">
        <v>1870</v>
      </c>
      <c r="O93">
        <v>2294</v>
      </c>
      <c r="P93">
        <v>935</v>
      </c>
      <c r="Q93">
        <v>690</v>
      </c>
      <c r="R93">
        <v>653</v>
      </c>
      <c r="S93">
        <v>1174</v>
      </c>
      <c r="T93">
        <v>820</v>
      </c>
      <c r="U93">
        <v>1300</v>
      </c>
      <c r="V93">
        <v>1410</v>
      </c>
      <c r="W93">
        <v>875</v>
      </c>
      <c r="X93">
        <v>1151</v>
      </c>
      <c r="Y93">
        <v>1400</v>
      </c>
      <c r="Z93">
        <v>1650</v>
      </c>
      <c r="AA93">
        <v>700</v>
      </c>
      <c r="AB93">
        <v>896</v>
      </c>
      <c r="AC93">
        <v>1101</v>
      </c>
      <c r="AD93">
        <v>1279</v>
      </c>
      <c r="AE93">
        <v>1565</v>
      </c>
      <c r="AF93">
        <v>556</v>
      </c>
      <c r="AG93">
        <v>857</v>
      </c>
      <c r="AH93">
        <v>504</v>
      </c>
      <c r="AI93">
        <v>418</v>
      </c>
      <c r="AJ93">
        <v>504</v>
      </c>
      <c r="AK93">
        <v>402</v>
      </c>
      <c r="AL93">
        <v>540</v>
      </c>
      <c r="AM93">
        <v>510</v>
      </c>
      <c r="AN93">
        <v>499</v>
      </c>
      <c r="AO93">
        <v>610</v>
      </c>
      <c r="AP93">
        <v>943</v>
      </c>
      <c r="AQ93">
        <v>527</v>
      </c>
      <c r="AR93">
        <v>454</v>
      </c>
      <c r="AS93">
        <v>1113</v>
      </c>
      <c r="AT93">
        <v>851</v>
      </c>
      <c r="AU93">
        <v>1090</v>
      </c>
      <c r="AV93">
        <v>530</v>
      </c>
      <c r="AW93">
        <v>370</v>
      </c>
      <c r="AX93">
        <v>425</v>
      </c>
      <c r="AY93">
        <v>295</v>
      </c>
      <c r="AZ93">
        <v>595</v>
      </c>
      <c r="BA93">
        <v>415</v>
      </c>
      <c r="BB93">
        <v>375</v>
      </c>
      <c r="BC93">
        <v>445</v>
      </c>
      <c r="BD93">
        <v>418</v>
      </c>
      <c r="BE93">
        <v>399</v>
      </c>
      <c r="BF93">
        <v>475</v>
      </c>
      <c r="BG93">
        <v>640</v>
      </c>
      <c r="BH93">
        <v>332</v>
      </c>
      <c r="BI93">
        <v>520</v>
      </c>
    </row>
    <row r="94" spans="2:61" x14ac:dyDescent="0.25">
      <c r="B94" s="2">
        <v>41699</v>
      </c>
      <c r="C94">
        <v>680</v>
      </c>
      <c r="D94">
        <v>1380</v>
      </c>
      <c r="E94">
        <v>1305</v>
      </c>
      <c r="F94">
        <v>953</v>
      </c>
      <c r="G94">
        <v>1638</v>
      </c>
      <c r="H94">
        <v>1181</v>
      </c>
      <c r="I94">
        <v>954</v>
      </c>
      <c r="J94">
        <v>2460</v>
      </c>
      <c r="K94">
        <v>1788</v>
      </c>
      <c r="L94">
        <v>1580</v>
      </c>
      <c r="M94">
        <v>1143</v>
      </c>
      <c r="N94">
        <v>1850</v>
      </c>
      <c r="O94">
        <v>2300</v>
      </c>
      <c r="P94">
        <v>939</v>
      </c>
      <c r="Q94">
        <v>796</v>
      </c>
      <c r="R94">
        <v>671</v>
      </c>
      <c r="S94">
        <v>1280</v>
      </c>
      <c r="T94">
        <v>830</v>
      </c>
      <c r="U94">
        <v>1275</v>
      </c>
      <c r="V94">
        <v>1593</v>
      </c>
      <c r="W94">
        <v>950</v>
      </c>
      <c r="X94">
        <v>1080</v>
      </c>
      <c r="Y94">
        <v>1481</v>
      </c>
      <c r="Z94">
        <v>1625</v>
      </c>
      <c r="AA94">
        <v>754</v>
      </c>
      <c r="AB94">
        <v>925</v>
      </c>
      <c r="AC94">
        <v>1150</v>
      </c>
      <c r="AD94">
        <v>1436</v>
      </c>
      <c r="AE94">
        <v>1650</v>
      </c>
      <c r="AF94">
        <v>555</v>
      </c>
      <c r="AG94">
        <v>905</v>
      </c>
      <c r="AH94">
        <v>505</v>
      </c>
      <c r="AI94">
        <v>450</v>
      </c>
      <c r="AJ94">
        <v>530</v>
      </c>
      <c r="AK94">
        <v>430</v>
      </c>
      <c r="AL94">
        <v>555</v>
      </c>
      <c r="AM94">
        <v>500</v>
      </c>
      <c r="AN94">
        <v>500</v>
      </c>
      <c r="AO94">
        <v>628</v>
      </c>
      <c r="AP94">
        <v>960</v>
      </c>
      <c r="AQ94">
        <v>558</v>
      </c>
      <c r="AR94">
        <v>473</v>
      </c>
      <c r="AS94">
        <v>1175</v>
      </c>
      <c r="AT94">
        <v>863</v>
      </c>
      <c r="AU94">
        <v>1160</v>
      </c>
      <c r="AV94">
        <v>538</v>
      </c>
      <c r="AW94">
        <v>385</v>
      </c>
      <c r="AX94">
        <v>430</v>
      </c>
      <c r="AY94">
        <v>289</v>
      </c>
      <c r="AZ94">
        <v>670</v>
      </c>
      <c r="BA94">
        <v>420</v>
      </c>
      <c r="BB94">
        <v>375</v>
      </c>
      <c r="BC94">
        <v>450</v>
      </c>
      <c r="BD94">
        <v>420</v>
      </c>
      <c r="BE94">
        <v>437</v>
      </c>
      <c r="BF94">
        <v>476</v>
      </c>
      <c r="BG94">
        <v>605</v>
      </c>
      <c r="BH94">
        <v>330</v>
      </c>
      <c r="BI94">
        <v>500</v>
      </c>
    </row>
    <row r="95" spans="2:61" x14ac:dyDescent="0.25">
      <c r="B95" s="2">
        <v>41791</v>
      </c>
      <c r="C95">
        <v>730</v>
      </c>
      <c r="D95">
        <v>1370</v>
      </c>
      <c r="E95">
        <v>1185</v>
      </c>
      <c r="F95">
        <v>1120</v>
      </c>
      <c r="G95">
        <v>1728</v>
      </c>
      <c r="H95">
        <v>1116</v>
      </c>
      <c r="I95">
        <v>996</v>
      </c>
      <c r="J95">
        <v>2800</v>
      </c>
      <c r="K95">
        <v>1559</v>
      </c>
      <c r="L95">
        <v>1493</v>
      </c>
      <c r="M95">
        <v>1190</v>
      </c>
      <c r="N95">
        <v>1930</v>
      </c>
      <c r="O95">
        <v>2440</v>
      </c>
      <c r="P95">
        <v>1000</v>
      </c>
      <c r="Q95">
        <v>773</v>
      </c>
      <c r="R95">
        <v>710</v>
      </c>
      <c r="S95">
        <v>1310</v>
      </c>
      <c r="T95">
        <v>850</v>
      </c>
      <c r="U95">
        <v>1333</v>
      </c>
      <c r="V95">
        <v>1908</v>
      </c>
      <c r="W95">
        <v>1000</v>
      </c>
      <c r="X95">
        <v>1225</v>
      </c>
      <c r="Y95">
        <v>1500</v>
      </c>
      <c r="Z95">
        <v>1638</v>
      </c>
      <c r="AA95">
        <v>762</v>
      </c>
      <c r="AB95">
        <v>1047</v>
      </c>
      <c r="AC95">
        <v>1242</v>
      </c>
      <c r="AD95">
        <v>1378</v>
      </c>
      <c r="AE95">
        <v>1565</v>
      </c>
      <c r="AF95">
        <v>580</v>
      </c>
      <c r="AG95">
        <v>929</v>
      </c>
      <c r="AH95">
        <v>530</v>
      </c>
      <c r="AI95">
        <v>459</v>
      </c>
      <c r="AJ95">
        <v>542</v>
      </c>
      <c r="AK95">
        <v>432</v>
      </c>
      <c r="AL95">
        <v>575</v>
      </c>
      <c r="AM95">
        <v>504</v>
      </c>
      <c r="AN95">
        <v>535</v>
      </c>
      <c r="AO95">
        <v>670</v>
      </c>
      <c r="AP95">
        <v>955</v>
      </c>
      <c r="AQ95">
        <v>570</v>
      </c>
      <c r="AR95">
        <v>492</v>
      </c>
      <c r="AS95">
        <v>1165</v>
      </c>
      <c r="AT95">
        <v>900</v>
      </c>
      <c r="AU95">
        <v>1170</v>
      </c>
      <c r="AV95">
        <v>550</v>
      </c>
      <c r="AW95">
        <v>389</v>
      </c>
      <c r="AX95">
        <v>445</v>
      </c>
      <c r="AY95">
        <v>290</v>
      </c>
      <c r="AZ95">
        <v>600</v>
      </c>
      <c r="BA95">
        <v>433</v>
      </c>
      <c r="BB95">
        <v>389</v>
      </c>
      <c r="BC95">
        <v>460</v>
      </c>
      <c r="BD95">
        <v>430</v>
      </c>
      <c r="BE95">
        <v>430</v>
      </c>
      <c r="BF95">
        <v>500</v>
      </c>
      <c r="BG95">
        <v>650</v>
      </c>
      <c r="BH95">
        <v>338</v>
      </c>
      <c r="BI95">
        <v>530</v>
      </c>
    </row>
    <row r="96" spans="2:61" x14ac:dyDescent="0.25">
      <c r="B96" s="2">
        <v>41883</v>
      </c>
      <c r="C96">
        <v>733</v>
      </c>
      <c r="D96">
        <v>1500</v>
      </c>
      <c r="E96">
        <v>1425</v>
      </c>
      <c r="F96">
        <v>1137</v>
      </c>
      <c r="G96">
        <v>1798</v>
      </c>
      <c r="H96">
        <v>1240</v>
      </c>
      <c r="I96">
        <v>1003</v>
      </c>
      <c r="J96">
        <v>2725</v>
      </c>
      <c r="K96">
        <v>1725</v>
      </c>
      <c r="L96">
        <v>1648</v>
      </c>
      <c r="M96">
        <v>1220</v>
      </c>
      <c r="N96">
        <v>2014</v>
      </c>
      <c r="O96">
        <v>2500</v>
      </c>
      <c r="P96">
        <v>1060</v>
      </c>
      <c r="Q96">
        <v>809</v>
      </c>
      <c r="R96">
        <v>735</v>
      </c>
      <c r="S96">
        <v>1380</v>
      </c>
      <c r="T96">
        <v>915</v>
      </c>
      <c r="U96">
        <v>1461</v>
      </c>
      <c r="V96">
        <v>1620</v>
      </c>
      <c r="W96">
        <v>1027</v>
      </c>
      <c r="X96">
        <v>1178</v>
      </c>
      <c r="Y96">
        <v>1561</v>
      </c>
      <c r="Z96">
        <v>1886</v>
      </c>
      <c r="AA96">
        <v>820</v>
      </c>
      <c r="AB96">
        <v>995</v>
      </c>
      <c r="AC96">
        <v>1300</v>
      </c>
      <c r="AD96">
        <v>1635</v>
      </c>
      <c r="AE96">
        <v>1720</v>
      </c>
      <c r="AF96">
        <v>590</v>
      </c>
      <c r="AG96">
        <v>975</v>
      </c>
      <c r="AH96">
        <v>555</v>
      </c>
      <c r="AI96">
        <v>454</v>
      </c>
      <c r="AJ96">
        <v>555</v>
      </c>
      <c r="AK96">
        <v>450</v>
      </c>
      <c r="AL96">
        <v>595</v>
      </c>
      <c r="AM96">
        <v>530</v>
      </c>
      <c r="AN96">
        <v>560</v>
      </c>
      <c r="AO96">
        <v>680</v>
      </c>
      <c r="AP96">
        <v>1005</v>
      </c>
      <c r="AQ96">
        <v>607</v>
      </c>
      <c r="AR96">
        <v>515</v>
      </c>
      <c r="AS96">
        <v>1250</v>
      </c>
      <c r="AT96">
        <v>880</v>
      </c>
      <c r="AU96">
        <v>1230</v>
      </c>
      <c r="AV96">
        <v>551</v>
      </c>
      <c r="AW96">
        <v>400</v>
      </c>
      <c r="AX96">
        <v>440</v>
      </c>
      <c r="AY96">
        <v>290</v>
      </c>
      <c r="AZ96">
        <v>650</v>
      </c>
      <c r="BA96">
        <v>449</v>
      </c>
      <c r="BB96">
        <v>385</v>
      </c>
      <c r="BC96">
        <v>450</v>
      </c>
      <c r="BD96">
        <v>400</v>
      </c>
      <c r="BE96">
        <v>453</v>
      </c>
      <c r="BF96">
        <v>497</v>
      </c>
      <c r="BG96">
        <v>650</v>
      </c>
      <c r="BH96">
        <v>335</v>
      </c>
      <c r="BI96">
        <v>530</v>
      </c>
    </row>
    <row r="97" spans="2:61" x14ac:dyDescent="0.25">
      <c r="B97" s="2">
        <v>41974</v>
      </c>
      <c r="C97">
        <v>815</v>
      </c>
      <c r="D97">
        <v>1500</v>
      </c>
      <c r="E97">
        <v>1240</v>
      </c>
      <c r="F97">
        <v>1095</v>
      </c>
      <c r="G97">
        <v>1778</v>
      </c>
      <c r="H97">
        <v>1385</v>
      </c>
      <c r="I97">
        <v>1100</v>
      </c>
      <c r="J97">
        <v>2500</v>
      </c>
      <c r="K97">
        <v>1800</v>
      </c>
      <c r="L97">
        <v>1570</v>
      </c>
      <c r="M97">
        <v>1180</v>
      </c>
      <c r="N97">
        <v>2021</v>
      </c>
      <c r="O97">
        <v>2375</v>
      </c>
      <c r="P97">
        <v>1105</v>
      </c>
      <c r="Q97">
        <v>914</v>
      </c>
      <c r="R97">
        <v>769</v>
      </c>
      <c r="S97">
        <v>1310</v>
      </c>
      <c r="T97">
        <v>871</v>
      </c>
      <c r="U97">
        <v>1490</v>
      </c>
      <c r="V97">
        <v>2400</v>
      </c>
      <c r="W97">
        <v>1030</v>
      </c>
      <c r="X97">
        <v>1320</v>
      </c>
      <c r="Y97">
        <v>1650</v>
      </c>
      <c r="Z97">
        <v>1678</v>
      </c>
      <c r="AA97">
        <v>850</v>
      </c>
      <c r="AB97">
        <v>1005</v>
      </c>
      <c r="AC97">
        <v>1305</v>
      </c>
      <c r="AD97">
        <v>1600</v>
      </c>
      <c r="AE97">
        <v>1810</v>
      </c>
      <c r="AF97">
        <v>634</v>
      </c>
      <c r="AG97">
        <v>1033</v>
      </c>
      <c r="AH97">
        <v>600</v>
      </c>
      <c r="AI97">
        <v>480</v>
      </c>
      <c r="AJ97">
        <v>590</v>
      </c>
      <c r="AK97">
        <v>485</v>
      </c>
      <c r="AL97">
        <v>640</v>
      </c>
      <c r="AM97">
        <v>550</v>
      </c>
      <c r="AN97">
        <v>551</v>
      </c>
      <c r="AO97">
        <v>730</v>
      </c>
      <c r="AP97">
        <v>1100</v>
      </c>
      <c r="AQ97">
        <v>630</v>
      </c>
      <c r="AR97">
        <v>527</v>
      </c>
      <c r="AS97">
        <v>1260</v>
      </c>
      <c r="AT97">
        <v>955</v>
      </c>
      <c r="AU97">
        <v>1250</v>
      </c>
      <c r="AV97">
        <v>580</v>
      </c>
      <c r="AW97">
        <v>410</v>
      </c>
      <c r="AX97">
        <v>455</v>
      </c>
      <c r="AY97">
        <v>313</v>
      </c>
      <c r="AZ97">
        <v>650</v>
      </c>
      <c r="BA97">
        <v>445</v>
      </c>
      <c r="BB97">
        <v>377</v>
      </c>
      <c r="BC97">
        <v>478</v>
      </c>
      <c r="BD97">
        <v>420</v>
      </c>
      <c r="BE97">
        <v>468</v>
      </c>
      <c r="BF97">
        <v>540</v>
      </c>
      <c r="BG97">
        <v>705</v>
      </c>
      <c r="BH97">
        <v>348</v>
      </c>
      <c r="BI97">
        <v>565</v>
      </c>
    </row>
    <row r="98" spans="2:61" x14ac:dyDescent="0.25">
      <c r="B98" s="2">
        <v>42064</v>
      </c>
      <c r="C98">
        <v>775</v>
      </c>
      <c r="D98">
        <v>1620</v>
      </c>
      <c r="E98">
        <v>1543</v>
      </c>
      <c r="F98">
        <v>1257</v>
      </c>
      <c r="G98">
        <v>1893</v>
      </c>
      <c r="H98">
        <v>1393</v>
      </c>
      <c r="I98">
        <v>1155</v>
      </c>
      <c r="J98">
        <v>2802</v>
      </c>
      <c r="K98">
        <v>2188</v>
      </c>
      <c r="L98">
        <v>1680</v>
      </c>
      <c r="M98">
        <v>1388</v>
      </c>
      <c r="N98">
        <v>2100</v>
      </c>
      <c r="O98">
        <v>2338</v>
      </c>
      <c r="P98">
        <v>1155</v>
      </c>
      <c r="Q98">
        <v>901</v>
      </c>
      <c r="R98">
        <v>801</v>
      </c>
      <c r="S98">
        <v>1450</v>
      </c>
      <c r="T98">
        <v>958</v>
      </c>
      <c r="U98">
        <v>1616</v>
      </c>
      <c r="V98">
        <v>1900</v>
      </c>
      <c r="W98">
        <v>1083</v>
      </c>
      <c r="X98">
        <v>1280</v>
      </c>
      <c r="Y98">
        <v>1712</v>
      </c>
      <c r="Z98">
        <v>1925</v>
      </c>
      <c r="AA98">
        <v>890</v>
      </c>
      <c r="AB98">
        <v>1140</v>
      </c>
      <c r="AC98">
        <v>1400</v>
      </c>
      <c r="AD98">
        <v>1575</v>
      </c>
      <c r="AE98">
        <v>1910</v>
      </c>
      <c r="AF98">
        <v>640</v>
      </c>
      <c r="AG98">
        <v>1086</v>
      </c>
      <c r="AH98">
        <v>630</v>
      </c>
      <c r="AI98">
        <v>505</v>
      </c>
      <c r="AJ98">
        <v>627</v>
      </c>
      <c r="AK98">
        <v>515</v>
      </c>
      <c r="AL98">
        <v>666</v>
      </c>
      <c r="AM98">
        <v>567</v>
      </c>
      <c r="AN98">
        <v>570</v>
      </c>
      <c r="AO98">
        <v>760</v>
      </c>
      <c r="AP98">
        <v>1170</v>
      </c>
      <c r="AQ98">
        <v>655</v>
      </c>
      <c r="AR98">
        <v>567</v>
      </c>
      <c r="AS98">
        <v>1315</v>
      </c>
      <c r="AT98">
        <v>1012</v>
      </c>
      <c r="AU98">
        <v>1325</v>
      </c>
      <c r="AV98">
        <v>605</v>
      </c>
      <c r="AW98">
        <v>430</v>
      </c>
      <c r="AX98">
        <v>460</v>
      </c>
      <c r="AY98">
        <v>298</v>
      </c>
      <c r="AZ98">
        <v>665</v>
      </c>
      <c r="BA98">
        <v>460</v>
      </c>
      <c r="BB98">
        <v>380</v>
      </c>
      <c r="BC98">
        <v>459</v>
      </c>
      <c r="BD98">
        <v>435</v>
      </c>
      <c r="BE98">
        <v>500</v>
      </c>
      <c r="BF98">
        <v>532</v>
      </c>
      <c r="BG98">
        <v>680</v>
      </c>
      <c r="BH98">
        <v>350</v>
      </c>
      <c r="BI98">
        <v>557</v>
      </c>
    </row>
    <row r="99" spans="2:61" x14ac:dyDescent="0.25">
      <c r="B99" s="2">
        <v>42156</v>
      </c>
      <c r="C99">
        <v>870</v>
      </c>
      <c r="D99">
        <v>1740</v>
      </c>
      <c r="E99">
        <v>1546</v>
      </c>
      <c r="F99">
        <v>1293</v>
      </c>
      <c r="G99">
        <v>2356</v>
      </c>
      <c r="H99">
        <v>1458</v>
      </c>
      <c r="I99">
        <v>1288</v>
      </c>
      <c r="J99">
        <v>3400</v>
      </c>
      <c r="K99">
        <v>2250</v>
      </c>
      <c r="L99">
        <v>1793</v>
      </c>
      <c r="M99">
        <v>1400</v>
      </c>
      <c r="N99">
        <v>2205</v>
      </c>
      <c r="O99">
        <v>3000</v>
      </c>
      <c r="P99">
        <v>1300</v>
      </c>
      <c r="Q99">
        <v>979</v>
      </c>
      <c r="R99">
        <v>873</v>
      </c>
      <c r="S99">
        <v>1653</v>
      </c>
      <c r="T99">
        <v>1150</v>
      </c>
      <c r="U99">
        <v>1750</v>
      </c>
      <c r="V99">
        <v>2141</v>
      </c>
      <c r="W99">
        <v>1193</v>
      </c>
      <c r="X99">
        <v>1423</v>
      </c>
      <c r="Y99">
        <v>1920</v>
      </c>
      <c r="Z99">
        <v>2000</v>
      </c>
      <c r="AA99">
        <v>1000</v>
      </c>
      <c r="AB99">
        <v>1236</v>
      </c>
      <c r="AC99">
        <v>1526</v>
      </c>
      <c r="AD99">
        <v>1806</v>
      </c>
      <c r="AE99">
        <v>2150</v>
      </c>
      <c r="AF99">
        <v>694</v>
      </c>
      <c r="AG99">
        <v>1250</v>
      </c>
      <c r="AH99">
        <v>660</v>
      </c>
      <c r="AI99">
        <v>540</v>
      </c>
      <c r="AJ99">
        <v>646</v>
      </c>
      <c r="AK99">
        <v>565</v>
      </c>
      <c r="AL99">
        <v>738</v>
      </c>
      <c r="AM99">
        <v>625</v>
      </c>
      <c r="AN99">
        <v>640</v>
      </c>
      <c r="AO99">
        <v>830</v>
      </c>
      <c r="AP99">
        <v>1250</v>
      </c>
      <c r="AQ99">
        <v>716</v>
      </c>
      <c r="AR99">
        <v>614</v>
      </c>
      <c r="AS99">
        <v>1500</v>
      </c>
      <c r="AT99">
        <v>1110</v>
      </c>
      <c r="AU99">
        <v>1400</v>
      </c>
      <c r="AV99">
        <v>600</v>
      </c>
      <c r="AW99">
        <v>455</v>
      </c>
      <c r="AX99">
        <v>480</v>
      </c>
      <c r="AY99">
        <v>300</v>
      </c>
      <c r="AZ99">
        <v>730</v>
      </c>
      <c r="BA99">
        <v>471</v>
      </c>
      <c r="BB99">
        <v>393</v>
      </c>
      <c r="BC99">
        <v>499</v>
      </c>
      <c r="BD99">
        <v>423</v>
      </c>
      <c r="BE99">
        <v>529</v>
      </c>
      <c r="BF99">
        <v>599</v>
      </c>
      <c r="BG99">
        <v>750</v>
      </c>
      <c r="BH99">
        <v>360</v>
      </c>
      <c r="BI99">
        <v>595</v>
      </c>
    </row>
    <row r="100" spans="2:61" x14ac:dyDescent="0.25">
      <c r="B100" s="2">
        <v>42248</v>
      </c>
      <c r="C100">
        <v>890</v>
      </c>
      <c r="D100">
        <v>1780</v>
      </c>
      <c r="E100">
        <v>1590</v>
      </c>
      <c r="F100">
        <v>1200</v>
      </c>
      <c r="G100">
        <v>2025</v>
      </c>
      <c r="H100">
        <v>1425</v>
      </c>
      <c r="I100">
        <v>1265</v>
      </c>
      <c r="J100">
        <v>3350</v>
      </c>
      <c r="K100">
        <v>2215</v>
      </c>
      <c r="L100">
        <v>1858</v>
      </c>
      <c r="M100">
        <v>1490</v>
      </c>
      <c r="N100">
        <v>2400</v>
      </c>
      <c r="O100">
        <v>2960</v>
      </c>
      <c r="P100">
        <v>1330</v>
      </c>
      <c r="Q100">
        <v>994</v>
      </c>
      <c r="R100">
        <v>905</v>
      </c>
      <c r="S100">
        <v>1658</v>
      </c>
      <c r="T100">
        <v>1150</v>
      </c>
      <c r="U100">
        <v>1825</v>
      </c>
      <c r="V100">
        <v>2600</v>
      </c>
      <c r="W100">
        <v>1200</v>
      </c>
      <c r="X100">
        <v>1450</v>
      </c>
      <c r="Y100">
        <v>1930</v>
      </c>
      <c r="Z100">
        <v>2220</v>
      </c>
      <c r="AA100">
        <v>1050</v>
      </c>
      <c r="AB100">
        <v>1320</v>
      </c>
      <c r="AC100">
        <v>1576</v>
      </c>
      <c r="AD100">
        <v>2100</v>
      </c>
      <c r="AE100">
        <v>1985</v>
      </c>
      <c r="AF100">
        <v>715</v>
      </c>
      <c r="AG100">
        <v>1225</v>
      </c>
      <c r="AH100">
        <v>678</v>
      </c>
      <c r="AI100">
        <v>556</v>
      </c>
      <c r="AJ100">
        <v>685</v>
      </c>
      <c r="AK100">
        <v>575</v>
      </c>
      <c r="AL100">
        <v>750</v>
      </c>
      <c r="AM100">
        <v>620</v>
      </c>
      <c r="AN100">
        <v>682</v>
      </c>
      <c r="AO100">
        <v>858</v>
      </c>
      <c r="AP100">
        <v>1285</v>
      </c>
      <c r="AQ100">
        <v>738</v>
      </c>
      <c r="AR100">
        <v>625</v>
      </c>
      <c r="AS100">
        <v>1400</v>
      </c>
      <c r="AT100">
        <v>1160</v>
      </c>
      <c r="AU100">
        <v>1450</v>
      </c>
      <c r="AV100">
        <v>675</v>
      </c>
      <c r="AW100">
        <v>480</v>
      </c>
      <c r="AX100">
        <v>482</v>
      </c>
      <c r="AY100">
        <v>307</v>
      </c>
      <c r="AZ100">
        <v>727</v>
      </c>
      <c r="BA100">
        <v>475</v>
      </c>
      <c r="BB100">
        <v>387</v>
      </c>
      <c r="BC100">
        <v>500</v>
      </c>
      <c r="BD100">
        <v>450</v>
      </c>
      <c r="BE100">
        <v>520</v>
      </c>
      <c r="BF100">
        <v>601</v>
      </c>
      <c r="BG100">
        <v>765</v>
      </c>
      <c r="BH100">
        <v>365</v>
      </c>
      <c r="BI100">
        <v>601</v>
      </c>
    </row>
    <row r="101" spans="2:61" x14ac:dyDescent="0.25">
      <c r="B101" s="2">
        <v>42339</v>
      </c>
      <c r="C101">
        <v>910</v>
      </c>
      <c r="D101">
        <v>1680</v>
      </c>
      <c r="E101">
        <v>1580</v>
      </c>
      <c r="F101">
        <v>1218</v>
      </c>
      <c r="G101">
        <v>1825</v>
      </c>
      <c r="H101">
        <v>1450</v>
      </c>
      <c r="I101">
        <v>1220</v>
      </c>
      <c r="J101">
        <v>3060</v>
      </c>
      <c r="K101">
        <v>2225</v>
      </c>
      <c r="L101">
        <v>1945</v>
      </c>
      <c r="M101">
        <v>1439</v>
      </c>
      <c r="N101">
        <v>2250</v>
      </c>
      <c r="O101">
        <v>3000</v>
      </c>
      <c r="P101">
        <v>1310</v>
      </c>
      <c r="Q101">
        <v>1010</v>
      </c>
      <c r="R101">
        <v>860</v>
      </c>
      <c r="S101">
        <v>1585</v>
      </c>
      <c r="T101">
        <v>1124</v>
      </c>
      <c r="U101">
        <v>1763</v>
      </c>
      <c r="V101">
        <v>2450</v>
      </c>
      <c r="W101">
        <v>1100</v>
      </c>
      <c r="X101">
        <v>1400</v>
      </c>
      <c r="Y101">
        <v>1891</v>
      </c>
      <c r="Z101">
        <v>2200</v>
      </c>
      <c r="AA101">
        <v>950</v>
      </c>
      <c r="AB101">
        <v>1240</v>
      </c>
      <c r="AC101">
        <v>1500</v>
      </c>
      <c r="AD101">
        <v>1851</v>
      </c>
      <c r="AE101">
        <v>2075</v>
      </c>
      <c r="AF101">
        <v>725</v>
      </c>
      <c r="AG101">
        <v>1186</v>
      </c>
      <c r="AH101">
        <v>665</v>
      </c>
      <c r="AI101">
        <v>560</v>
      </c>
      <c r="AJ101">
        <v>680</v>
      </c>
      <c r="AK101">
        <v>557</v>
      </c>
      <c r="AL101">
        <v>730</v>
      </c>
      <c r="AM101">
        <v>642</v>
      </c>
      <c r="AN101">
        <v>675</v>
      </c>
      <c r="AO101">
        <v>827</v>
      </c>
      <c r="AP101">
        <v>1221</v>
      </c>
      <c r="AQ101">
        <v>740</v>
      </c>
      <c r="AR101">
        <v>620</v>
      </c>
      <c r="AS101">
        <v>1400</v>
      </c>
      <c r="AT101">
        <v>1125</v>
      </c>
      <c r="AU101">
        <v>1445</v>
      </c>
      <c r="AV101">
        <v>640</v>
      </c>
      <c r="AW101">
        <v>475</v>
      </c>
      <c r="AX101">
        <v>495</v>
      </c>
      <c r="AY101">
        <v>315</v>
      </c>
      <c r="AZ101">
        <v>760</v>
      </c>
      <c r="BA101">
        <v>485</v>
      </c>
      <c r="BB101">
        <v>399</v>
      </c>
      <c r="BC101">
        <v>508</v>
      </c>
      <c r="BD101">
        <v>460</v>
      </c>
      <c r="BE101">
        <v>539</v>
      </c>
      <c r="BF101">
        <v>600</v>
      </c>
      <c r="BG101">
        <v>780</v>
      </c>
      <c r="BH101">
        <v>370</v>
      </c>
      <c r="BI101">
        <v>600</v>
      </c>
    </row>
    <row r="102" spans="2:61" x14ac:dyDescent="0.25">
      <c r="B102" s="2">
        <v>42430</v>
      </c>
      <c r="C102">
        <v>850</v>
      </c>
      <c r="D102">
        <v>1800</v>
      </c>
      <c r="E102">
        <v>1570</v>
      </c>
      <c r="F102">
        <v>1255</v>
      </c>
      <c r="G102">
        <v>2030</v>
      </c>
      <c r="H102">
        <v>1420</v>
      </c>
      <c r="I102">
        <v>1250</v>
      </c>
      <c r="J102">
        <v>3220</v>
      </c>
      <c r="K102">
        <v>2050</v>
      </c>
      <c r="L102">
        <v>1950</v>
      </c>
      <c r="M102">
        <v>1607</v>
      </c>
      <c r="N102">
        <v>2325</v>
      </c>
      <c r="O102">
        <v>3250</v>
      </c>
      <c r="P102">
        <v>1238</v>
      </c>
      <c r="Q102">
        <v>1025</v>
      </c>
      <c r="R102">
        <v>860</v>
      </c>
      <c r="S102">
        <v>1550</v>
      </c>
      <c r="T102">
        <v>1070</v>
      </c>
      <c r="U102">
        <v>1720</v>
      </c>
      <c r="V102">
        <v>2750</v>
      </c>
      <c r="W102">
        <v>1130</v>
      </c>
      <c r="X102">
        <v>1375</v>
      </c>
      <c r="Y102">
        <v>1950</v>
      </c>
      <c r="Z102">
        <v>2165</v>
      </c>
      <c r="AA102">
        <v>968</v>
      </c>
      <c r="AB102">
        <v>1130</v>
      </c>
      <c r="AC102">
        <v>1523</v>
      </c>
      <c r="AD102">
        <v>1950</v>
      </c>
      <c r="AE102">
        <v>2300</v>
      </c>
      <c r="AF102">
        <v>700</v>
      </c>
      <c r="AG102">
        <v>1163</v>
      </c>
      <c r="AH102">
        <v>667</v>
      </c>
      <c r="AI102">
        <v>568</v>
      </c>
      <c r="AJ102">
        <v>703</v>
      </c>
      <c r="AK102">
        <v>557</v>
      </c>
      <c r="AL102">
        <v>710</v>
      </c>
      <c r="AM102">
        <v>630</v>
      </c>
      <c r="AN102">
        <v>650</v>
      </c>
      <c r="AO102">
        <v>772</v>
      </c>
      <c r="AP102">
        <v>1220</v>
      </c>
      <c r="AQ102">
        <v>730</v>
      </c>
      <c r="AR102">
        <v>605</v>
      </c>
      <c r="AS102">
        <v>1510</v>
      </c>
      <c r="AT102">
        <v>1110</v>
      </c>
      <c r="AU102">
        <v>1428</v>
      </c>
      <c r="AV102">
        <v>670</v>
      </c>
      <c r="AW102">
        <v>475</v>
      </c>
      <c r="AX102">
        <v>500</v>
      </c>
      <c r="AY102">
        <v>320</v>
      </c>
      <c r="AZ102">
        <v>840</v>
      </c>
      <c r="BA102">
        <v>501</v>
      </c>
      <c r="BB102">
        <v>407</v>
      </c>
      <c r="BC102">
        <v>496</v>
      </c>
      <c r="BD102">
        <v>470</v>
      </c>
      <c r="BE102">
        <v>532</v>
      </c>
      <c r="BF102">
        <v>610</v>
      </c>
      <c r="BG102">
        <v>735</v>
      </c>
      <c r="BH102">
        <v>373</v>
      </c>
      <c r="BI102">
        <v>580</v>
      </c>
    </row>
    <row r="103" spans="2:61" x14ac:dyDescent="0.25">
      <c r="B103" s="2">
        <v>42522</v>
      </c>
      <c r="C103">
        <v>885</v>
      </c>
      <c r="D103">
        <v>1760</v>
      </c>
      <c r="E103">
        <v>1453</v>
      </c>
      <c r="F103">
        <v>1450</v>
      </c>
      <c r="G103">
        <v>2000</v>
      </c>
      <c r="H103">
        <v>1500</v>
      </c>
      <c r="I103">
        <v>1280</v>
      </c>
      <c r="J103">
        <v>3225</v>
      </c>
      <c r="K103">
        <v>2131</v>
      </c>
      <c r="L103">
        <v>2040</v>
      </c>
      <c r="M103">
        <v>1603</v>
      </c>
      <c r="N103">
        <v>2693</v>
      </c>
      <c r="O103">
        <v>3615</v>
      </c>
      <c r="P103">
        <v>1250</v>
      </c>
      <c r="Q103">
        <v>938</v>
      </c>
      <c r="R103">
        <v>865</v>
      </c>
      <c r="S103">
        <v>1478</v>
      </c>
      <c r="T103">
        <v>1050</v>
      </c>
      <c r="U103">
        <v>1790</v>
      </c>
      <c r="V103">
        <v>3200</v>
      </c>
      <c r="W103">
        <v>1170</v>
      </c>
      <c r="X103">
        <v>1530</v>
      </c>
      <c r="Y103">
        <v>1848</v>
      </c>
      <c r="Z103">
        <v>2100</v>
      </c>
      <c r="AA103">
        <v>975</v>
      </c>
      <c r="AB103">
        <v>1115</v>
      </c>
      <c r="AC103">
        <v>1538</v>
      </c>
      <c r="AD103">
        <v>2000</v>
      </c>
      <c r="AE103">
        <v>2240</v>
      </c>
      <c r="AF103">
        <v>730</v>
      </c>
      <c r="AG103">
        <v>1200</v>
      </c>
      <c r="AH103">
        <v>668</v>
      </c>
      <c r="AI103">
        <v>584</v>
      </c>
      <c r="AJ103">
        <v>716</v>
      </c>
      <c r="AK103">
        <v>568</v>
      </c>
      <c r="AL103">
        <v>745</v>
      </c>
      <c r="AM103">
        <v>653</v>
      </c>
      <c r="AN103">
        <v>712</v>
      </c>
      <c r="AO103">
        <v>801</v>
      </c>
      <c r="AP103">
        <v>1250</v>
      </c>
      <c r="AQ103">
        <v>750</v>
      </c>
      <c r="AR103">
        <v>625</v>
      </c>
      <c r="AS103">
        <v>1560</v>
      </c>
      <c r="AT103">
        <v>1130</v>
      </c>
      <c r="AU103">
        <v>1518</v>
      </c>
      <c r="AV103">
        <v>703</v>
      </c>
      <c r="AW103">
        <v>494</v>
      </c>
      <c r="AX103">
        <v>505</v>
      </c>
      <c r="AY103">
        <v>321</v>
      </c>
      <c r="AZ103">
        <v>755</v>
      </c>
      <c r="BA103">
        <v>488</v>
      </c>
      <c r="BB103">
        <v>430</v>
      </c>
      <c r="BC103">
        <v>510</v>
      </c>
      <c r="BD103">
        <v>480</v>
      </c>
      <c r="BE103">
        <v>564</v>
      </c>
      <c r="BF103">
        <v>660</v>
      </c>
      <c r="BG103">
        <v>770</v>
      </c>
      <c r="BH103">
        <v>379</v>
      </c>
      <c r="BI103">
        <v>605</v>
      </c>
    </row>
    <row r="104" spans="2:61" x14ac:dyDescent="0.25">
      <c r="B104" s="2">
        <v>42614</v>
      </c>
      <c r="C104">
        <v>885</v>
      </c>
      <c r="D104">
        <v>1840</v>
      </c>
      <c r="E104">
        <v>1640</v>
      </c>
      <c r="F104">
        <v>1448</v>
      </c>
      <c r="G104">
        <v>2050</v>
      </c>
      <c r="H104">
        <v>1575</v>
      </c>
      <c r="I104">
        <v>1320</v>
      </c>
      <c r="J104">
        <v>3850</v>
      </c>
      <c r="K104">
        <v>2565</v>
      </c>
      <c r="L104">
        <v>1910</v>
      </c>
      <c r="M104">
        <v>1600</v>
      </c>
      <c r="N104">
        <v>2500</v>
      </c>
      <c r="O104">
        <v>3405</v>
      </c>
      <c r="P104">
        <v>1300</v>
      </c>
      <c r="Q104">
        <v>935</v>
      </c>
      <c r="R104">
        <v>899</v>
      </c>
      <c r="S104">
        <v>1750</v>
      </c>
      <c r="T104">
        <v>1150</v>
      </c>
      <c r="U104">
        <v>1790</v>
      </c>
      <c r="V104">
        <v>2575</v>
      </c>
      <c r="W104">
        <v>1200</v>
      </c>
      <c r="X104">
        <v>1477</v>
      </c>
      <c r="Y104">
        <v>1950</v>
      </c>
      <c r="Z104">
        <v>2220</v>
      </c>
      <c r="AA104">
        <v>960</v>
      </c>
      <c r="AB104">
        <v>1222</v>
      </c>
      <c r="AC104">
        <v>1550</v>
      </c>
      <c r="AD104">
        <v>2598</v>
      </c>
      <c r="AE104">
        <v>2375</v>
      </c>
      <c r="AF104">
        <v>740</v>
      </c>
      <c r="AG104">
        <v>1210</v>
      </c>
      <c r="AH104">
        <v>690</v>
      </c>
      <c r="AI104">
        <v>598</v>
      </c>
      <c r="AJ104">
        <v>718</v>
      </c>
      <c r="AK104">
        <v>590</v>
      </c>
      <c r="AL104">
        <v>730</v>
      </c>
      <c r="AM104">
        <v>670</v>
      </c>
      <c r="AN104">
        <v>714</v>
      </c>
      <c r="AO104">
        <v>830</v>
      </c>
      <c r="AP104">
        <v>1325</v>
      </c>
      <c r="AQ104">
        <v>744</v>
      </c>
      <c r="AR104">
        <v>655</v>
      </c>
      <c r="AS104">
        <v>1550</v>
      </c>
      <c r="AT104">
        <v>1200</v>
      </c>
      <c r="AU104">
        <v>1510</v>
      </c>
      <c r="AV104">
        <v>689</v>
      </c>
      <c r="AW104">
        <v>510</v>
      </c>
      <c r="AX104">
        <v>520</v>
      </c>
      <c r="AY104">
        <v>325</v>
      </c>
      <c r="AZ104">
        <v>765</v>
      </c>
      <c r="BA104">
        <v>505</v>
      </c>
      <c r="BB104">
        <v>409</v>
      </c>
      <c r="BC104">
        <v>535</v>
      </c>
      <c r="BD104">
        <v>496</v>
      </c>
      <c r="BE104">
        <v>564</v>
      </c>
      <c r="BF104">
        <v>670</v>
      </c>
      <c r="BG104">
        <v>775</v>
      </c>
      <c r="BH104">
        <v>382</v>
      </c>
      <c r="BI104">
        <v>615</v>
      </c>
    </row>
    <row r="105" spans="2:61" x14ac:dyDescent="0.25">
      <c r="B105" s="2">
        <v>42705</v>
      </c>
      <c r="C105">
        <v>973</v>
      </c>
      <c r="D105">
        <v>1955</v>
      </c>
      <c r="E105">
        <v>1619</v>
      </c>
      <c r="F105">
        <v>1450</v>
      </c>
      <c r="G105">
        <v>2420</v>
      </c>
      <c r="H105">
        <v>1770</v>
      </c>
      <c r="I105">
        <v>1430</v>
      </c>
      <c r="J105">
        <v>3820</v>
      </c>
      <c r="K105">
        <v>2505</v>
      </c>
      <c r="L105">
        <v>2144</v>
      </c>
      <c r="M105">
        <v>1670</v>
      </c>
      <c r="N105">
        <v>3000</v>
      </c>
      <c r="O105">
        <v>3500</v>
      </c>
      <c r="P105">
        <v>1387</v>
      </c>
      <c r="Q105">
        <v>973</v>
      </c>
      <c r="R105">
        <v>930</v>
      </c>
      <c r="S105">
        <v>1618</v>
      </c>
      <c r="T105">
        <v>1195</v>
      </c>
      <c r="U105">
        <v>2145</v>
      </c>
      <c r="V105">
        <v>2585</v>
      </c>
      <c r="W105">
        <v>1220</v>
      </c>
      <c r="X105">
        <v>1465</v>
      </c>
      <c r="Y105">
        <v>2109</v>
      </c>
      <c r="Z105">
        <v>2430</v>
      </c>
      <c r="AA105">
        <v>1041</v>
      </c>
      <c r="AB105">
        <v>1360</v>
      </c>
      <c r="AC105">
        <v>1664</v>
      </c>
      <c r="AD105">
        <v>2293</v>
      </c>
      <c r="AE105">
        <v>2420</v>
      </c>
      <c r="AF105">
        <v>781</v>
      </c>
      <c r="AG105">
        <v>1282</v>
      </c>
      <c r="AH105">
        <v>723</v>
      </c>
      <c r="AI105">
        <v>645</v>
      </c>
      <c r="AJ105">
        <v>733</v>
      </c>
      <c r="AK105">
        <v>615</v>
      </c>
      <c r="AL105">
        <v>779</v>
      </c>
      <c r="AM105">
        <v>698</v>
      </c>
      <c r="AN105">
        <v>715</v>
      </c>
      <c r="AO105">
        <v>860</v>
      </c>
      <c r="AP105">
        <v>1350</v>
      </c>
      <c r="AQ105">
        <v>790</v>
      </c>
      <c r="AR105">
        <v>686</v>
      </c>
      <c r="AS105">
        <v>1735</v>
      </c>
      <c r="AT105">
        <v>1260</v>
      </c>
      <c r="AU105">
        <v>1693</v>
      </c>
      <c r="AV105">
        <v>730</v>
      </c>
      <c r="AW105">
        <v>530</v>
      </c>
      <c r="AX105">
        <v>540</v>
      </c>
      <c r="AY105">
        <v>350</v>
      </c>
      <c r="AZ105">
        <v>866</v>
      </c>
      <c r="BA105">
        <v>530</v>
      </c>
      <c r="BB105">
        <v>421</v>
      </c>
      <c r="BC105">
        <v>542</v>
      </c>
      <c r="BD105">
        <v>500</v>
      </c>
      <c r="BE105">
        <v>580</v>
      </c>
      <c r="BF105">
        <v>695</v>
      </c>
      <c r="BG105">
        <v>839</v>
      </c>
      <c r="BH105">
        <v>390</v>
      </c>
      <c r="BI105">
        <v>645</v>
      </c>
    </row>
    <row r="106" spans="2:61" x14ac:dyDescent="0.25">
      <c r="B106" s="2">
        <v>42795</v>
      </c>
      <c r="C106">
        <v>900</v>
      </c>
      <c r="D106">
        <v>2050</v>
      </c>
      <c r="E106">
        <v>1523</v>
      </c>
      <c r="F106">
        <v>1555</v>
      </c>
      <c r="G106">
        <v>2500</v>
      </c>
      <c r="H106">
        <v>1750</v>
      </c>
      <c r="I106">
        <v>1455</v>
      </c>
      <c r="J106">
        <v>3825</v>
      </c>
      <c r="K106">
        <v>2571</v>
      </c>
      <c r="L106">
        <v>2170</v>
      </c>
      <c r="M106">
        <v>1810</v>
      </c>
      <c r="N106">
        <v>2808</v>
      </c>
      <c r="O106">
        <v>3000</v>
      </c>
      <c r="P106">
        <v>1443</v>
      </c>
      <c r="Q106">
        <v>980</v>
      </c>
      <c r="R106">
        <v>945</v>
      </c>
      <c r="S106">
        <v>1630</v>
      </c>
      <c r="T106">
        <v>1106</v>
      </c>
      <c r="U106">
        <v>2030</v>
      </c>
      <c r="V106">
        <v>2875</v>
      </c>
      <c r="W106">
        <v>1313</v>
      </c>
      <c r="X106">
        <v>1621</v>
      </c>
      <c r="Y106">
        <v>2275</v>
      </c>
      <c r="Z106">
        <v>2678</v>
      </c>
      <c r="AA106">
        <v>1100</v>
      </c>
      <c r="AB106">
        <v>1400</v>
      </c>
      <c r="AC106">
        <v>1785</v>
      </c>
      <c r="AD106">
        <v>2153</v>
      </c>
      <c r="AE106">
        <v>2500</v>
      </c>
      <c r="AF106">
        <v>775</v>
      </c>
      <c r="AG106">
        <v>1308</v>
      </c>
      <c r="AH106">
        <v>770</v>
      </c>
      <c r="AI106">
        <v>651</v>
      </c>
      <c r="AJ106">
        <v>740</v>
      </c>
      <c r="AK106">
        <v>634</v>
      </c>
      <c r="AL106">
        <v>800</v>
      </c>
      <c r="AM106">
        <v>730</v>
      </c>
      <c r="AN106">
        <v>690</v>
      </c>
      <c r="AO106">
        <v>880</v>
      </c>
      <c r="AP106">
        <v>1410</v>
      </c>
      <c r="AQ106">
        <v>800</v>
      </c>
      <c r="AR106">
        <v>698</v>
      </c>
      <c r="AS106">
        <v>1800</v>
      </c>
      <c r="AT106">
        <v>1270</v>
      </c>
      <c r="AU106">
        <v>1700</v>
      </c>
      <c r="AV106">
        <v>759</v>
      </c>
      <c r="AW106">
        <v>555</v>
      </c>
      <c r="AX106">
        <v>549</v>
      </c>
      <c r="AY106">
        <v>339</v>
      </c>
      <c r="AZ106">
        <v>835</v>
      </c>
      <c r="BA106">
        <v>539</v>
      </c>
      <c r="BB106">
        <v>439</v>
      </c>
      <c r="BC106">
        <v>560</v>
      </c>
      <c r="BD106">
        <v>500</v>
      </c>
      <c r="BE106">
        <v>618</v>
      </c>
      <c r="BF106">
        <v>736</v>
      </c>
      <c r="BG106">
        <v>791</v>
      </c>
      <c r="BH106">
        <v>400</v>
      </c>
      <c r="BI106">
        <v>635</v>
      </c>
    </row>
    <row r="107" spans="2:61" x14ac:dyDescent="0.25">
      <c r="B107" s="1">
        <v>42887</v>
      </c>
      <c r="C107" s="5">
        <v>1075</v>
      </c>
      <c r="D107" s="6">
        <v>2122.5</v>
      </c>
      <c r="G107">
        <v>2720</v>
      </c>
      <c r="J107">
        <v>3585</v>
      </c>
      <c r="K107">
        <v>2480</v>
      </c>
      <c r="L107">
        <v>2295</v>
      </c>
      <c r="M107">
        <v>1780</v>
      </c>
      <c r="N107">
        <v>2900</v>
      </c>
      <c r="O107">
        <v>3625</v>
      </c>
      <c r="P107" s="6">
        <v>1425</v>
      </c>
      <c r="S107">
        <v>2460</v>
      </c>
      <c r="U107">
        <v>2155</v>
      </c>
      <c r="V107">
        <v>2755</v>
      </c>
      <c r="Y107">
        <v>2400</v>
      </c>
      <c r="AA107">
        <v>1350</v>
      </c>
      <c r="AC107">
        <v>1830</v>
      </c>
      <c r="AD107">
        <v>2420</v>
      </c>
      <c r="AE107">
        <v>2439</v>
      </c>
      <c r="AF107" s="6">
        <v>830</v>
      </c>
      <c r="AG107">
        <v>1365</v>
      </c>
      <c r="AH107">
        <v>780</v>
      </c>
      <c r="AI107">
        <v>685</v>
      </c>
      <c r="AJ107">
        <v>750</v>
      </c>
      <c r="AK107">
        <v>645</v>
      </c>
      <c r="AL107">
        <v>840</v>
      </c>
      <c r="AN107">
        <v>825</v>
      </c>
      <c r="AP107">
        <v>1490</v>
      </c>
      <c r="AQ107">
        <v>820</v>
      </c>
      <c r="AR107">
        <v>710</v>
      </c>
      <c r="AT107" s="38">
        <v>1350</v>
      </c>
      <c r="AV107">
        <v>766.25</v>
      </c>
      <c r="AX107" s="6">
        <v>580</v>
      </c>
      <c r="AY107">
        <v>356</v>
      </c>
      <c r="AZ107">
        <v>829</v>
      </c>
      <c r="BA107">
        <v>560</v>
      </c>
      <c r="BB107">
        <v>448</v>
      </c>
      <c r="BC107">
        <v>625.5</v>
      </c>
      <c r="BD107">
        <v>516.5</v>
      </c>
      <c r="BE107">
        <v>672.5</v>
      </c>
      <c r="BF107">
        <v>785</v>
      </c>
    </row>
    <row r="108" spans="2:61" x14ac:dyDescent="0.25">
      <c r="B108" s="1">
        <v>42979</v>
      </c>
      <c r="C108" s="5">
        <v>950</v>
      </c>
      <c r="D108" s="6">
        <v>2068</v>
      </c>
      <c r="G108">
        <v>2892</v>
      </c>
      <c r="J108">
        <v>3964.5</v>
      </c>
      <c r="K108">
        <v>2430</v>
      </c>
      <c r="L108">
        <v>2300</v>
      </c>
      <c r="M108">
        <v>1650</v>
      </c>
      <c r="N108">
        <v>2900</v>
      </c>
      <c r="O108">
        <v>3052.5</v>
      </c>
      <c r="P108" s="6">
        <v>1350</v>
      </c>
      <c r="S108">
        <v>1888.5</v>
      </c>
      <c r="U108">
        <v>2100</v>
      </c>
      <c r="V108">
        <v>2637.5</v>
      </c>
      <c r="Y108">
        <v>2215</v>
      </c>
      <c r="AA108">
        <v>1300</v>
      </c>
      <c r="AC108">
        <v>1855</v>
      </c>
      <c r="AD108">
        <v>2320</v>
      </c>
      <c r="AE108">
        <v>2602.5</v>
      </c>
      <c r="AF108" s="6">
        <v>780</v>
      </c>
      <c r="AG108">
        <v>1350</v>
      </c>
      <c r="AH108">
        <v>755</v>
      </c>
      <c r="AI108">
        <v>665</v>
      </c>
      <c r="AJ108">
        <v>740</v>
      </c>
      <c r="AK108">
        <v>650.5</v>
      </c>
      <c r="AL108">
        <v>805</v>
      </c>
      <c r="AN108">
        <v>750</v>
      </c>
      <c r="AP108">
        <v>1430</v>
      </c>
      <c r="AQ108">
        <v>799.5</v>
      </c>
      <c r="AR108">
        <v>700</v>
      </c>
      <c r="AT108" s="38">
        <v>1340</v>
      </c>
      <c r="AV108">
        <v>730</v>
      </c>
      <c r="AX108" s="6">
        <v>580</v>
      </c>
      <c r="AY108">
        <v>360</v>
      </c>
      <c r="AZ108">
        <v>850</v>
      </c>
      <c r="BA108">
        <v>560</v>
      </c>
      <c r="BB108">
        <v>440</v>
      </c>
      <c r="BC108">
        <v>601</v>
      </c>
      <c r="BD108">
        <v>510</v>
      </c>
      <c r="BE108">
        <v>660</v>
      </c>
      <c r="BF108">
        <v>745</v>
      </c>
    </row>
    <row r="109" spans="2:61" x14ac:dyDescent="0.25">
      <c r="B109" s="1">
        <v>43070</v>
      </c>
      <c r="C109" s="5">
        <v>1040</v>
      </c>
      <c r="D109" s="6">
        <v>2050</v>
      </c>
      <c r="G109">
        <v>2765</v>
      </c>
      <c r="J109">
        <v>3850</v>
      </c>
      <c r="K109">
        <v>2600</v>
      </c>
      <c r="L109">
        <v>2380</v>
      </c>
      <c r="M109">
        <v>1650</v>
      </c>
      <c r="N109">
        <v>3025</v>
      </c>
      <c r="O109">
        <v>4500</v>
      </c>
      <c r="P109" s="6">
        <v>1361</v>
      </c>
      <c r="S109">
        <v>1592</v>
      </c>
      <c r="U109">
        <v>2060</v>
      </c>
      <c r="V109">
        <v>2751</v>
      </c>
      <c r="Y109">
        <v>2103</v>
      </c>
      <c r="AA109">
        <v>1291</v>
      </c>
      <c r="AC109">
        <v>1750</v>
      </c>
      <c r="AD109">
        <v>2200</v>
      </c>
      <c r="AE109">
        <v>2350</v>
      </c>
      <c r="AF109" s="6">
        <v>820</v>
      </c>
      <c r="AG109">
        <v>1350</v>
      </c>
      <c r="AH109">
        <v>785</v>
      </c>
      <c r="AI109">
        <v>690</v>
      </c>
      <c r="AJ109">
        <v>754</v>
      </c>
      <c r="AK109">
        <v>655</v>
      </c>
      <c r="AL109">
        <v>805</v>
      </c>
      <c r="AN109">
        <v>835</v>
      </c>
      <c r="AP109">
        <v>1380</v>
      </c>
      <c r="AQ109">
        <v>820</v>
      </c>
      <c r="AR109">
        <v>710</v>
      </c>
      <c r="AT109" s="38" t="e">
        <v>#DIV/0!</v>
      </c>
      <c r="AV109">
        <v>747</v>
      </c>
      <c r="AX109" s="6">
        <v>600</v>
      </c>
      <c r="AY109">
        <v>385</v>
      </c>
      <c r="AZ109">
        <v>978</v>
      </c>
      <c r="BA109">
        <v>595</v>
      </c>
      <c r="BB109">
        <v>458</v>
      </c>
      <c r="BC109">
        <v>625</v>
      </c>
      <c r="BD109">
        <v>551</v>
      </c>
      <c r="BE109">
        <v>655</v>
      </c>
      <c r="BF109">
        <v>765</v>
      </c>
    </row>
    <row r="110" spans="2:61" x14ac:dyDescent="0.25">
      <c r="B110" s="1">
        <v>43160</v>
      </c>
      <c r="C110" s="5">
        <v>939</v>
      </c>
      <c r="D110" s="6">
        <v>2093</v>
      </c>
      <c r="G110">
        <v>2704</v>
      </c>
      <c r="J110">
        <v>3415</v>
      </c>
      <c r="K110">
        <v>2600</v>
      </c>
      <c r="L110">
        <v>2250</v>
      </c>
      <c r="M110">
        <v>1650</v>
      </c>
      <c r="N110">
        <v>2828</v>
      </c>
      <c r="O110">
        <v>3650</v>
      </c>
      <c r="P110" s="6">
        <v>1300</v>
      </c>
      <c r="S110">
        <v>1665</v>
      </c>
      <c r="U110">
        <v>2155</v>
      </c>
      <c r="V110">
        <v>2900</v>
      </c>
      <c r="Y110">
        <v>2065</v>
      </c>
      <c r="AA110">
        <v>1240</v>
      </c>
      <c r="AC110">
        <v>1775</v>
      </c>
      <c r="AD110">
        <v>2520</v>
      </c>
      <c r="AE110">
        <v>2450</v>
      </c>
      <c r="AF110" s="6">
        <v>780</v>
      </c>
      <c r="AG110">
        <v>1350</v>
      </c>
      <c r="AH110">
        <v>755</v>
      </c>
      <c r="AI110">
        <v>673</v>
      </c>
      <c r="AJ110">
        <v>765</v>
      </c>
      <c r="AK110">
        <v>640</v>
      </c>
      <c r="AL110">
        <v>800</v>
      </c>
      <c r="AN110">
        <v>778</v>
      </c>
      <c r="AP110">
        <v>1350</v>
      </c>
      <c r="AQ110">
        <v>790</v>
      </c>
      <c r="AR110">
        <v>696</v>
      </c>
      <c r="AT110" s="38" t="e">
        <v>#DIV/0!</v>
      </c>
      <c r="AV110">
        <v>767</v>
      </c>
      <c r="AX110" s="6">
        <v>600</v>
      </c>
      <c r="AY110">
        <v>380</v>
      </c>
      <c r="AZ110">
        <v>959</v>
      </c>
      <c r="BA110">
        <v>580</v>
      </c>
      <c r="BB110">
        <v>460</v>
      </c>
      <c r="BC110">
        <v>640</v>
      </c>
      <c r="BD110">
        <v>586</v>
      </c>
      <c r="BE110">
        <v>647</v>
      </c>
      <c r="BF110">
        <v>780</v>
      </c>
    </row>
    <row r="111" spans="2:61" x14ac:dyDescent="0.25">
      <c r="B111" s="1">
        <v>43252</v>
      </c>
      <c r="C111" s="5">
        <v>950</v>
      </c>
      <c r="D111" s="6">
        <v>1900</v>
      </c>
      <c r="G111">
        <v>2500</v>
      </c>
      <c r="J111">
        <v>3500</v>
      </c>
      <c r="K111">
        <v>2300</v>
      </c>
      <c r="L111">
        <v>2155</v>
      </c>
      <c r="M111">
        <v>1600</v>
      </c>
      <c r="N111">
        <v>2778</v>
      </c>
      <c r="O111">
        <v>3255</v>
      </c>
      <c r="P111" s="6">
        <v>1270</v>
      </c>
      <c r="S111">
        <v>1608</v>
      </c>
      <c r="U111">
        <v>2058</v>
      </c>
      <c r="V111">
        <v>2625</v>
      </c>
      <c r="Y111">
        <v>2010</v>
      </c>
      <c r="AA111">
        <v>1230</v>
      </c>
      <c r="AC111">
        <v>1673</v>
      </c>
      <c r="AD111">
        <v>1880</v>
      </c>
      <c r="AE111">
        <v>2485</v>
      </c>
      <c r="AF111" s="6">
        <v>790</v>
      </c>
      <c r="AG111">
        <v>1257</v>
      </c>
      <c r="AH111">
        <v>740</v>
      </c>
      <c r="AI111">
        <v>664</v>
      </c>
      <c r="AJ111">
        <v>750</v>
      </c>
      <c r="AK111">
        <v>645</v>
      </c>
      <c r="AL111">
        <v>789</v>
      </c>
      <c r="AN111">
        <v>743</v>
      </c>
      <c r="AP111">
        <v>1300</v>
      </c>
      <c r="AQ111">
        <v>788</v>
      </c>
      <c r="AR111">
        <v>691</v>
      </c>
      <c r="AT111" s="38">
        <v>1200</v>
      </c>
      <c r="AV111">
        <v>815</v>
      </c>
      <c r="AX111" s="6">
        <v>602</v>
      </c>
      <c r="AY111">
        <v>396</v>
      </c>
      <c r="AZ111">
        <v>975</v>
      </c>
      <c r="BA111">
        <v>590</v>
      </c>
      <c r="BB111">
        <v>470</v>
      </c>
      <c r="BC111">
        <v>625</v>
      </c>
      <c r="BD111">
        <v>590</v>
      </c>
      <c r="BE111">
        <v>639</v>
      </c>
      <c r="BF111">
        <v>755</v>
      </c>
    </row>
    <row r="112" spans="2:61" x14ac:dyDescent="0.25">
      <c r="B112" s="1">
        <v>43344</v>
      </c>
      <c r="C112" s="5">
        <v>900</v>
      </c>
      <c r="D112" s="6">
        <v>1745</v>
      </c>
      <c r="G112">
        <v>2650</v>
      </c>
      <c r="J112">
        <v>3675</v>
      </c>
      <c r="K112">
        <v>2278</v>
      </c>
      <c r="L112">
        <v>1845</v>
      </c>
      <c r="M112">
        <v>1411</v>
      </c>
      <c r="N112">
        <v>2350</v>
      </c>
      <c r="O112">
        <v>3600</v>
      </c>
      <c r="P112" s="6">
        <v>1185</v>
      </c>
      <c r="S112">
        <v>1500</v>
      </c>
      <c r="U112">
        <v>1705</v>
      </c>
      <c r="V112">
        <v>2875</v>
      </c>
      <c r="Y112">
        <v>2050</v>
      </c>
      <c r="AA112">
        <v>1123</v>
      </c>
      <c r="AC112">
        <v>1435</v>
      </c>
      <c r="AD112">
        <v>1425</v>
      </c>
      <c r="AE112">
        <v>2240</v>
      </c>
      <c r="AF112" s="6">
        <v>753</v>
      </c>
      <c r="AG112">
        <v>1177</v>
      </c>
      <c r="AH112">
        <v>720</v>
      </c>
      <c r="AI112">
        <v>630</v>
      </c>
      <c r="AJ112">
        <v>720</v>
      </c>
      <c r="AK112">
        <v>600</v>
      </c>
      <c r="AL112">
        <v>730</v>
      </c>
      <c r="AN112">
        <v>770</v>
      </c>
      <c r="AP112">
        <v>1193</v>
      </c>
      <c r="AQ112">
        <v>750</v>
      </c>
      <c r="AR112">
        <v>660</v>
      </c>
      <c r="AT112" s="38">
        <v>1080</v>
      </c>
      <c r="AV112">
        <v>663</v>
      </c>
      <c r="AX112" s="6">
        <v>590</v>
      </c>
      <c r="AY112">
        <v>400</v>
      </c>
      <c r="AZ112">
        <v>850</v>
      </c>
      <c r="BA112">
        <v>585</v>
      </c>
      <c r="BB112">
        <v>480</v>
      </c>
      <c r="BC112">
        <v>610</v>
      </c>
      <c r="BD112">
        <v>549</v>
      </c>
      <c r="BE112">
        <v>635</v>
      </c>
      <c r="BF112">
        <v>730</v>
      </c>
    </row>
    <row r="113" spans="2:58" x14ac:dyDescent="0.25">
      <c r="B113" s="1">
        <v>43435</v>
      </c>
      <c r="C113" s="5">
        <v>949</v>
      </c>
      <c r="D113" s="6">
        <v>1803</v>
      </c>
      <c r="G113">
        <v>2650</v>
      </c>
      <c r="J113">
        <v>3700</v>
      </c>
      <c r="K113">
        <v>2278</v>
      </c>
      <c r="L113">
        <v>1961</v>
      </c>
      <c r="M113">
        <v>1470</v>
      </c>
      <c r="N113">
        <v>2568</v>
      </c>
      <c r="O113">
        <v>4258</v>
      </c>
      <c r="P113" s="6">
        <v>1200</v>
      </c>
      <c r="S113">
        <v>1520</v>
      </c>
      <c r="U113">
        <v>1752</v>
      </c>
      <c r="V113">
        <v>2670</v>
      </c>
      <c r="Y113">
        <v>2050</v>
      </c>
      <c r="AA113">
        <v>1125</v>
      </c>
      <c r="AC113">
        <v>1428</v>
      </c>
      <c r="AD113">
        <v>1625</v>
      </c>
      <c r="AE113">
        <v>2260</v>
      </c>
      <c r="AF113" s="6">
        <v>770</v>
      </c>
      <c r="AG113">
        <v>1168</v>
      </c>
      <c r="AH113">
        <v>719</v>
      </c>
      <c r="AI113">
        <v>635</v>
      </c>
      <c r="AJ113">
        <v>720</v>
      </c>
      <c r="AK113">
        <v>601</v>
      </c>
      <c r="AL113">
        <v>730</v>
      </c>
      <c r="AN113">
        <v>770</v>
      </c>
      <c r="AP113">
        <v>1180</v>
      </c>
      <c r="AQ113">
        <v>750</v>
      </c>
      <c r="AR113">
        <v>665</v>
      </c>
      <c r="AT113" s="38">
        <v>1105</v>
      </c>
      <c r="AV113">
        <v>708</v>
      </c>
      <c r="AX113" s="6">
        <v>600</v>
      </c>
      <c r="AY113">
        <v>407</v>
      </c>
      <c r="AZ113">
        <v>845</v>
      </c>
      <c r="BA113">
        <v>590</v>
      </c>
      <c r="BB113">
        <v>480</v>
      </c>
      <c r="BC113">
        <v>620</v>
      </c>
      <c r="BD113">
        <v>560</v>
      </c>
      <c r="BE113">
        <v>638</v>
      </c>
      <c r="BF113">
        <v>735</v>
      </c>
    </row>
    <row r="114" spans="2:58" x14ac:dyDescent="0.25">
      <c r="B114" s="1">
        <v>43525</v>
      </c>
      <c r="C114" s="5">
        <v>865</v>
      </c>
      <c r="D114" s="6">
        <v>1810</v>
      </c>
      <c r="G114">
        <v>2000</v>
      </c>
      <c r="J114">
        <v>3603</v>
      </c>
      <c r="K114">
        <v>2278</v>
      </c>
      <c r="L114">
        <v>1960</v>
      </c>
      <c r="M114">
        <v>1500</v>
      </c>
      <c r="N114">
        <v>2620</v>
      </c>
      <c r="O114">
        <v>3960</v>
      </c>
      <c r="P114" s="6">
        <v>1083</v>
      </c>
      <c r="S114">
        <v>1249</v>
      </c>
      <c r="U114">
        <v>1688</v>
      </c>
      <c r="V114">
        <v>2500</v>
      </c>
      <c r="Y114">
        <v>1910</v>
      </c>
      <c r="AA114">
        <v>1010</v>
      </c>
      <c r="AC114">
        <v>1335</v>
      </c>
      <c r="AD114">
        <v>2250</v>
      </c>
      <c r="AE114">
        <v>2105</v>
      </c>
      <c r="AF114" s="6">
        <v>735</v>
      </c>
      <c r="AG114">
        <v>1128</v>
      </c>
      <c r="AH114">
        <v>684</v>
      </c>
      <c r="AI114">
        <v>650</v>
      </c>
      <c r="AJ114">
        <v>700</v>
      </c>
      <c r="AK114">
        <v>571</v>
      </c>
      <c r="AL114">
        <v>719</v>
      </c>
      <c r="AN114">
        <v>750</v>
      </c>
      <c r="AP114">
        <v>1175</v>
      </c>
      <c r="AQ114">
        <v>750</v>
      </c>
      <c r="AR114">
        <v>643</v>
      </c>
      <c r="AT114" s="38">
        <v>1050</v>
      </c>
      <c r="AV114">
        <v>670</v>
      </c>
      <c r="AX114" s="6">
        <v>585</v>
      </c>
      <c r="AY114">
        <v>400</v>
      </c>
      <c r="AZ114">
        <v>833</v>
      </c>
      <c r="BA114">
        <v>580</v>
      </c>
      <c r="BB114">
        <v>470</v>
      </c>
      <c r="BC114">
        <v>600</v>
      </c>
      <c r="BD114">
        <v>583</v>
      </c>
      <c r="BE114">
        <v>630</v>
      </c>
      <c r="BF114">
        <v>678</v>
      </c>
    </row>
    <row r="115" spans="2:58" x14ac:dyDescent="0.25">
      <c r="B115" s="1">
        <v>43617</v>
      </c>
      <c r="C115" s="5">
        <v>900</v>
      </c>
      <c r="D115" s="6">
        <v>1850</v>
      </c>
      <c r="G115">
        <v>2138</v>
      </c>
      <c r="J115">
        <v>3450</v>
      </c>
      <c r="K115">
        <v>2650</v>
      </c>
      <c r="L115">
        <v>1925</v>
      </c>
      <c r="M115">
        <v>1429</v>
      </c>
      <c r="N115">
        <v>2635</v>
      </c>
      <c r="O115">
        <v>3500</v>
      </c>
      <c r="P115" s="6">
        <v>1110</v>
      </c>
      <c r="S115">
        <v>1265</v>
      </c>
      <c r="U115">
        <v>1650</v>
      </c>
      <c r="V115">
        <v>2534</v>
      </c>
      <c r="Y115">
        <v>1894</v>
      </c>
      <c r="AA115">
        <v>1006</v>
      </c>
      <c r="AC115">
        <v>1400</v>
      </c>
      <c r="AD115">
        <v>2100</v>
      </c>
      <c r="AE115">
        <v>2215</v>
      </c>
      <c r="AF115" s="6">
        <v>750</v>
      </c>
      <c r="AG115">
        <v>1155</v>
      </c>
      <c r="AH115">
        <v>705</v>
      </c>
      <c r="AI115">
        <v>650</v>
      </c>
      <c r="AJ115">
        <v>695</v>
      </c>
      <c r="AK115">
        <v>575</v>
      </c>
      <c r="AL115">
        <v>700</v>
      </c>
      <c r="AN115">
        <v>720</v>
      </c>
      <c r="AP115">
        <v>1140</v>
      </c>
      <c r="AQ115">
        <v>728</v>
      </c>
      <c r="AR115">
        <v>645</v>
      </c>
      <c r="AT115" s="38">
        <v>1100</v>
      </c>
      <c r="AV115">
        <v>663</v>
      </c>
      <c r="AX115" s="6">
        <v>580</v>
      </c>
      <c r="AY115">
        <v>395</v>
      </c>
      <c r="AZ115">
        <v>825</v>
      </c>
      <c r="BA115">
        <v>570</v>
      </c>
      <c r="BB115">
        <v>478</v>
      </c>
      <c r="BC115">
        <v>590</v>
      </c>
      <c r="BD115">
        <v>580</v>
      </c>
      <c r="BE115">
        <v>609</v>
      </c>
      <c r="BF115">
        <v>698</v>
      </c>
    </row>
    <row r="116" spans="2:58" x14ac:dyDescent="0.25">
      <c r="B116" s="1">
        <v>43709</v>
      </c>
      <c r="C116" s="5">
        <v>915</v>
      </c>
      <c r="D116" s="6">
        <v>1873</v>
      </c>
      <c r="G116">
        <v>2550</v>
      </c>
      <c r="J116">
        <v>3240</v>
      </c>
      <c r="K116">
        <v>2505</v>
      </c>
      <c r="L116">
        <v>1950</v>
      </c>
      <c r="M116">
        <v>1551</v>
      </c>
      <c r="N116">
        <v>2790</v>
      </c>
      <c r="O116">
        <v>3050</v>
      </c>
      <c r="P116" s="6">
        <v>1205</v>
      </c>
      <c r="S116">
        <v>1685</v>
      </c>
      <c r="U116">
        <v>1721</v>
      </c>
      <c r="V116">
        <v>2620</v>
      </c>
      <c r="Y116">
        <v>2020</v>
      </c>
      <c r="AA116">
        <v>1130</v>
      </c>
      <c r="AC116">
        <v>1520</v>
      </c>
      <c r="AD116">
        <v>2243</v>
      </c>
      <c r="AE116">
        <v>2386</v>
      </c>
      <c r="AF116" s="6">
        <v>765</v>
      </c>
      <c r="AG116">
        <v>1255</v>
      </c>
      <c r="AH116">
        <v>720</v>
      </c>
      <c r="AI116">
        <v>650</v>
      </c>
      <c r="AJ116">
        <v>715</v>
      </c>
      <c r="AK116">
        <v>605</v>
      </c>
      <c r="AL116">
        <v>743</v>
      </c>
      <c r="AN116">
        <v>714</v>
      </c>
      <c r="AP116">
        <v>1226</v>
      </c>
      <c r="AQ116">
        <v>760</v>
      </c>
      <c r="AR116">
        <v>650</v>
      </c>
      <c r="AT116" s="38">
        <v>1158</v>
      </c>
      <c r="AV116">
        <v>850</v>
      </c>
      <c r="AX116" s="6">
        <v>575</v>
      </c>
      <c r="AY116">
        <v>380</v>
      </c>
      <c r="AZ116">
        <v>850</v>
      </c>
      <c r="BA116">
        <v>575</v>
      </c>
      <c r="BB116">
        <v>480</v>
      </c>
      <c r="BC116">
        <v>595</v>
      </c>
      <c r="BD116">
        <v>546</v>
      </c>
      <c r="BE116">
        <v>591</v>
      </c>
      <c r="BF116">
        <v>690</v>
      </c>
    </row>
    <row r="117" spans="2:58" x14ac:dyDescent="0.25">
      <c r="B117" s="1">
        <v>43800</v>
      </c>
      <c r="C117" s="5">
        <v>1015</v>
      </c>
      <c r="D117" s="6">
        <v>2073</v>
      </c>
      <c r="G117">
        <v>2478</v>
      </c>
      <c r="J117">
        <v>3900</v>
      </c>
      <c r="K117">
        <v>2536</v>
      </c>
      <c r="L117">
        <v>2300</v>
      </c>
      <c r="M117">
        <v>1673</v>
      </c>
      <c r="N117">
        <v>2838</v>
      </c>
      <c r="O117">
        <v>3200</v>
      </c>
      <c r="P117" s="6">
        <v>1300</v>
      </c>
      <c r="S117">
        <v>1610</v>
      </c>
      <c r="U117">
        <v>2080</v>
      </c>
      <c r="V117">
        <v>2780</v>
      </c>
      <c r="Y117">
        <v>2208</v>
      </c>
      <c r="AA117">
        <v>1251</v>
      </c>
      <c r="AC117">
        <v>1690</v>
      </c>
      <c r="AD117">
        <v>2070</v>
      </c>
      <c r="AE117">
        <v>2480</v>
      </c>
      <c r="AF117" s="6">
        <v>808</v>
      </c>
      <c r="AG117">
        <v>1300</v>
      </c>
      <c r="AH117">
        <v>755</v>
      </c>
      <c r="AI117">
        <v>660</v>
      </c>
      <c r="AJ117">
        <v>727</v>
      </c>
      <c r="AK117">
        <v>606</v>
      </c>
      <c r="AL117">
        <v>770</v>
      </c>
      <c r="AN117">
        <v>690</v>
      </c>
      <c r="AP117">
        <v>1330</v>
      </c>
      <c r="AQ117">
        <v>800</v>
      </c>
      <c r="AR117">
        <v>682</v>
      </c>
      <c r="AT117" s="38">
        <v>1252</v>
      </c>
      <c r="AV117">
        <v>755</v>
      </c>
      <c r="AX117" s="6">
        <v>600</v>
      </c>
      <c r="AY117">
        <v>395</v>
      </c>
      <c r="AZ117">
        <v>920</v>
      </c>
      <c r="BA117">
        <v>600</v>
      </c>
      <c r="BB117">
        <v>495</v>
      </c>
      <c r="BC117">
        <v>620</v>
      </c>
      <c r="BD117">
        <v>590</v>
      </c>
      <c r="BE117">
        <v>625</v>
      </c>
      <c r="BF117">
        <v>740</v>
      </c>
    </row>
    <row r="118" spans="2:58" x14ac:dyDescent="0.25">
      <c r="B118" s="1">
        <v>43891</v>
      </c>
      <c r="C118" s="5">
        <v>981</v>
      </c>
      <c r="D118" s="6">
        <v>2054</v>
      </c>
      <c r="G118">
        <v>2470</v>
      </c>
      <c r="J118">
        <v>4050</v>
      </c>
      <c r="K118">
        <v>2673</v>
      </c>
      <c r="L118">
        <v>2331</v>
      </c>
      <c r="M118">
        <v>1691</v>
      </c>
      <c r="N118">
        <v>3008</v>
      </c>
      <c r="O118">
        <v>3710</v>
      </c>
      <c r="P118" s="6">
        <v>1305</v>
      </c>
      <c r="S118">
        <v>1500</v>
      </c>
      <c r="U118">
        <v>1973</v>
      </c>
      <c r="V118">
        <v>3540</v>
      </c>
      <c r="Y118">
        <v>2300</v>
      </c>
      <c r="AA118">
        <v>1250</v>
      </c>
      <c r="AC118">
        <v>1718</v>
      </c>
      <c r="AD118">
        <v>2078</v>
      </c>
      <c r="AE118">
        <v>2600</v>
      </c>
      <c r="AF118" s="6">
        <v>795</v>
      </c>
      <c r="AG118">
        <v>1300</v>
      </c>
      <c r="AH118">
        <v>761</v>
      </c>
      <c r="AI118">
        <v>665</v>
      </c>
      <c r="AJ118">
        <v>735</v>
      </c>
      <c r="AK118">
        <v>628</v>
      </c>
      <c r="AL118">
        <v>770</v>
      </c>
      <c r="AN118">
        <v>718</v>
      </c>
      <c r="AP118">
        <v>1400</v>
      </c>
      <c r="AQ118">
        <v>780</v>
      </c>
      <c r="AR118">
        <v>705</v>
      </c>
      <c r="AT118" s="38">
        <v>1300</v>
      </c>
      <c r="AV118">
        <v>780</v>
      </c>
      <c r="AX118" s="6">
        <v>605</v>
      </c>
      <c r="AY118">
        <v>385</v>
      </c>
      <c r="AZ118">
        <v>900</v>
      </c>
      <c r="BA118">
        <v>595</v>
      </c>
      <c r="BB118">
        <v>500</v>
      </c>
      <c r="BC118">
        <v>635</v>
      </c>
      <c r="BD118">
        <v>615</v>
      </c>
      <c r="BE118">
        <v>645</v>
      </c>
      <c r="BF118">
        <v>750</v>
      </c>
    </row>
    <row r="119" spans="2:58" x14ac:dyDescent="0.25">
      <c r="B119" s="1">
        <v>43983</v>
      </c>
      <c r="C119" s="5">
        <v>980</v>
      </c>
      <c r="D119" s="6">
        <v>2000</v>
      </c>
      <c r="G119">
        <v>2375</v>
      </c>
      <c r="J119">
        <v>3730</v>
      </c>
      <c r="K119">
        <v>2350</v>
      </c>
      <c r="L119">
        <v>2170</v>
      </c>
      <c r="M119">
        <v>1650</v>
      </c>
      <c r="N119">
        <v>2901</v>
      </c>
      <c r="O119">
        <v>3360</v>
      </c>
      <c r="P119" s="6">
        <v>1280</v>
      </c>
      <c r="S119">
        <v>1845</v>
      </c>
      <c r="U119">
        <v>1866</v>
      </c>
      <c r="V119">
        <v>2425</v>
      </c>
      <c r="Y119">
        <v>2203</v>
      </c>
      <c r="AA119">
        <v>1205</v>
      </c>
      <c r="AC119">
        <v>1670</v>
      </c>
      <c r="AD119">
        <v>2305</v>
      </c>
      <c r="AE119">
        <v>2515</v>
      </c>
      <c r="AF119" s="6">
        <v>800</v>
      </c>
      <c r="AG119">
        <v>1320</v>
      </c>
      <c r="AH119">
        <v>755</v>
      </c>
      <c r="AI119">
        <v>670</v>
      </c>
      <c r="AJ119">
        <v>730</v>
      </c>
      <c r="AK119">
        <v>640</v>
      </c>
      <c r="AL119">
        <v>770</v>
      </c>
      <c r="AN119">
        <v>720</v>
      </c>
      <c r="AP119">
        <v>1305</v>
      </c>
      <c r="AQ119">
        <v>766</v>
      </c>
      <c r="AR119">
        <v>685</v>
      </c>
      <c r="AT119" s="38">
        <v>1200</v>
      </c>
      <c r="AV119">
        <v>745</v>
      </c>
      <c r="AX119" s="6">
        <v>615</v>
      </c>
      <c r="AY119">
        <v>401</v>
      </c>
      <c r="AZ119">
        <v>1010</v>
      </c>
      <c r="BA119">
        <v>615</v>
      </c>
      <c r="BB119">
        <v>490</v>
      </c>
      <c r="BC119">
        <v>635</v>
      </c>
      <c r="BD119">
        <v>590</v>
      </c>
      <c r="BE119">
        <v>662</v>
      </c>
      <c r="BF119">
        <v>736</v>
      </c>
    </row>
    <row r="120" spans="2:58" x14ac:dyDescent="0.25">
      <c r="B120" s="1">
        <v>44075</v>
      </c>
      <c r="C120" s="5">
        <v>1000</v>
      </c>
      <c r="D120" s="6">
        <v>2007</v>
      </c>
      <c r="G120">
        <v>2590</v>
      </c>
      <c r="J120">
        <v>4340</v>
      </c>
      <c r="K120">
        <v>2838</v>
      </c>
      <c r="L120">
        <v>2213</v>
      </c>
      <c r="M120">
        <v>1625</v>
      </c>
      <c r="N120">
        <v>3050</v>
      </c>
      <c r="O120">
        <v>3825</v>
      </c>
      <c r="P120" s="6">
        <v>1310</v>
      </c>
      <c r="S120">
        <v>1610</v>
      </c>
      <c r="U120">
        <v>2075</v>
      </c>
      <c r="V120">
        <v>3100</v>
      </c>
      <c r="Y120">
        <v>2370</v>
      </c>
      <c r="AA120">
        <v>1250</v>
      </c>
      <c r="AC120">
        <v>1681</v>
      </c>
      <c r="AD120">
        <v>2194</v>
      </c>
      <c r="AE120">
        <v>2522</v>
      </c>
      <c r="AF120" s="6">
        <v>815</v>
      </c>
      <c r="AG120">
        <v>1300</v>
      </c>
      <c r="AH120">
        <v>775</v>
      </c>
      <c r="AI120">
        <v>695</v>
      </c>
      <c r="AJ120">
        <v>740</v>
      </c>
      <c r="AK120">
        <v>640</v>
      </c>
      <c r="AL120">
        <v>801</v>
      </c>
      <c r="AN120">
        <v>818</v>
      </c>
      <c r="AP120">
        <v>1329</v>
      </c>
      <c r="AQ120">
        <v>769</v>
      </c>
      <c r="AR120">
        <v>705</v>
      </c>
      <c r="AT120" s="38">
        <v>1242</v>
      </c>
      <c r="AV120">
        <v>743</v>
      </c>
      <c r="AX120" s="6">
        <v>630</v>
      </c>
      <c r="AY120">
        <v>420</v>
      </c>
      <c r="AZ120">
        <v>1008</v>
      </c>
      <c r="BA120">
        <v>625</v>
      </c>
      <c r="BB120">
        <v>511</v>
      </c>
      <c r="BC120">
        <v>650</v>
      </c>
      <c r="BD120">
        <v>618</v>
      </c>
      <c r="BE120">
        <v>673</v>
      </c>
      <c r="BF120">
        <v>755</v>
      </c>
    </row>
    <row r="121" spans="2:58" x14ac:dyDescent="0.25">
      <c r="B121" s="1">
        <v>44166</v>
      </c>
      <c r="C121" s="5">
        <v>1070</v>
      </c>
      <c r="D121" s="6">
        <v>2100</v>
      </c>
      <c r="G121">
        <v>2470</v>
      </c>
      <c r="J121">
        <v>4368</v>
      </c>
      <c r="K121">
        <v>2950</v>
      </c>
      <c r="L121">
        <v>2300</v>
      </c>
      <c r="M121">
        <v>1790</v>
      </c>
      <c r="N121">
        <v>3351</v>
      </c>
      <c r="O121">
        <v>3874</v>
      </c>
      <c r="P121" s="6">
        <v>1400</v>
      </c>
      <c r="S121">
        <v>1720</v>
      </c>
      <c r="U121">
        <v>2150</v>
      </c>
      <c r="V121">
        <v>2978</v>
      </c>
      <c r="Y121">
        <v>2500</v>
      </c>
      <c r="AA121">
        <v>1290</v>
      </c>
      <c r="AC121">
        <v>1750</v>
      </c>
      <c r="AD121">
        <v>2620</v>
      </c>
      <c r="AE121">
        <v>2639</v>
      </c>
      <c r="AF121" s="6">
        <v>850</v>
      </c>
      <c r="AG121">
        <v>1326</v>
      </c>
      <c r="AH121">
        <v>795</v>
      </c>
      <c r="AI121">
        <v>720</v>
      </c>
      <c r="AJ121">
        <v>785</v>
      </c>
      <c r="AK121">
        <v>650</v>
      </c>
      <c r="AL121">
        <v>815</v>
      </c>
      <c r="AN121">
        <v>820</v>
      </c>
      <c r="AP121">
        <v>1450</v>
      </c>
      <c r="AQ121">
        <v>795</v>
      </c>
      <c r="AR121">
        <v>726</v>
      </c>
      <c r="AT121" s="38">
        <v>1324</v>
      </c>
      <c r="AV121">
        <v>767</v>
      </c>
      <c r="AX121" s="6">
        <v>665</v>
      </c>
      <c r="AY121">
        <v>420</v>
      </c>
      <c r="AZ121">
        <v>1058</v>
      </c>
      <c r="BA121">
        <v>660</v>
      </c>
      <c r="BB121">
        <v>541</v>
      </c>
      <c r="BC121">
        <v>705</v>
      </c>
      <c r="BD121">
        <v>674</v>
      </c>
      <c r="BE121">
        <v>664</v>
      </c>
      <c r="BF121">
        <v>830</v>
      </c>
    </row>
    <row r="122" spans="2:58" x14ac:dyDescent="0.25">
      <c r="B122" s="1">
        <v>44256</v>
      </c>
      <c r="C122" s="5">
        <v>1110</v>
      </c>
      <c r="D122" s="6">
        <v>2300</v>
      </c>
      <c r="G122">
        <v>2950</v>
      </c>
      <c r="J122">
        <v>4750</v>
      </c>
      <c r="K122">
        <v>3300</v>
      </c>
      <c r="L122">
        <v>2700</v>
      </c>
      <c r="M122">
        <v>1750</v>
      </c>
      <c r="N122">
        <v>3560</v>
      </c>
      <c r="O122">
        <v>4287</v>
      </c>
      <c r="P122" s="6">
        <v>1445</v>
      </c>
      <c r="S122">
        <v>1860</v>
      </c>
      <c r="U122">
        <v>2430</v>
      </c>
      <c r="V122">
        <v>2855</v>
      </c>
      <c r="Y122">
        <v>2783</v>
      </c>
      <c r="AA122">
        <v>1360</v>
      </c>
      <c r="AC122">
        <v>1973</v>
      </c>
      <c r="AD122">
        <v>2873</v>
      </c>
      <c r="AE122">
        <v>2970</v>
      </c>
      <c r="AF122" s="6">
        <v>890</v>
      </c>
      <c r="AG122">
        <v>1500</v>
      </c>
      <c r="AH122">
        <v>850</v>
      </c>
      <c r="AI122">
        <v>767</v>
      </c>
      <c r="AJ122">
        <v>831</v>
      </c>
      <c r="AK122">
        <v>700</v>
      </c>
      <c r="AL122">
        <v>855</v>
      </c>
      <c r="AN122">
        <v>796</v>
      </c>
      <c r="AP122">
        <v>1630</v>
      </c>
      <c r="AQ122">
        <v>830</v>
      </c>
      <c r="AR122">
        <v>780</v>
      </c>
      <c r="AT122" s="38">
        <v>1465</v>
      </c>
      <c r="AV122">
        <v>830</v>
      </c>
      <c r="AX122" s="6">
        <v>690</v>
      </c>
      <c r="AY122">
        <v>450</v>
      </c>
      <c r="AZ122">
        <v>1300</v>
      </c>
      <c r="BA122">
        <v>691</v>
      </c>
      <c r="BB122">
        <v>570</v>
      </c>
      <c r="BC122">
        <v>730</v>
      </c>
      <c r="BD122">
        <v>650</v>
      </c>
      <c r="BE122">
        <v>725</v>
      </c>
      <c r="BF122">
        <v>853</v>
      </c>
    </row>
    <row r="123" spans="2:58" x14ac:dyDescent="0.25">
      <c r="B123" s="1">
        <v>44348</v>
      </c>
      <c r="C123" s="5">
        <v>1260</v>
      </c>
      <c r="D123" s="6">
        <v>2690</v>
      </c>
      <c r="G123">
        <v>3200</v>
      </c>
      <c r="J123">
        <v>4890</v>
      </c>
      <c r="K123">
        <v>3483</v>
      </c>
      <c r="L123">
        <v>2925</v>
      </c>
      <c r="M123">
        <v>2000</v>
      </c>
      <c r="N123">
        <v>4003</v>
      </c>
      <c r="O123">
        <v>4550</v>
      </c>
      <c r="P123" s="6">
        <v>1560</v>
      </c>
      <c r="S123">
        <v>2048</v>
      </c>
      <c r="U123">
        <v>2568</v>
      </c>
      <c r="V123">
        <v>3288</v>
      </c>
      <c r="Y123">
        <v>2928</v>
      </c>
      <c r="AA123">
        <v>1499</v>
      </c>
      <c r="AC123">
        <v>2161</v>
      </c>
      <c r="AD123">
        <v>2944</v>
      </c>
      <c r="AE123">
        <v>3301</v>
      </c>
      <c r="AF123" s="6">
        <v>970</v>
      </c>
      <c r="AG123">
        <v>1676</v>
      </c>
      <c r="AH123">
        <v>920</v>
      </c>
      <c r="AI123">
        <v>805</v>
      </c>
      <c r="AJ123">
        <v>865</v>
      </c>
      <c r="AK123">
        <v>730</v>
      </c>
      <c r="AL123">
        <v>920</v>
      </c>
      <c r="AN123">
        <v>870</v>
      </c>
      <c r="AP123">
        <v>1780</v>
      </c>
      <c r="AQ123">
        <v>900</v>
      </c>
      <c r="AR123">
        <v>808</v>
      </c>
      <c r="AT123" s="38">
        <v>1600</v>
      </c>
      <c r="AV123">
        <v>895</v>
      </c>
      <c r="AX123" s="6">
        <v>740</v>
      </c>
      <c r="AY123">
        <v>505</v>
      </c>
      <c r="AZ123">
        <v>1370</v>
      </c>
      <c r="BA123">
        <v>730</v>
      </c>
      <c r="BB123">
        <v>620</v>
      </c>
      <c r="BC123">
        <v>820</v>
      </c>
      <c r="BD123">
        <v>691</v>
      </c>
      <c r="BE123">
        <v>795</v>
      </c>
      <c r="BF123">
        <v>920</v>
      </c>
    </row>
    <row r="124" spans="2:58" x14ac:dyDescent="0.25">
      <c r="B124" s="1">
        <v>44440</v>
      </c>
      <c r="C124" s="5">
        <v>1320</v>
      </c>
      <c r="D124" s="6">
        <v>2670</v>
      </c>
      <c r="G124">
        <v>3220</v>
      </c>
      <c r="J124">
        <v>5363</v>
      </c>
      <c r="K124">
        <v>3185</v>
      </c>
      <c r="L124">
        <v>3110</v>
      </c>
      <c r="M124">
        <v>2030</v>
      </c>
      <c r="N124">
        <v>4068</v>
      </c>
      <c r="O124">
        <v>4500</v>
      </c>
      <c r="P124" s="6">
        <v>1673</v>
      </c>
      <c r="S124">
        <v>2000</v>
      </c>
      <c r="U124">
        <v>2619</v>
      </c>
      <c r="V124">
        <v>3976</v>
      </c>
      <c r="Y124">
        <v>3055</v>
      </c>
      <c r="AA124">
        <v>1566</v>
      </c>
      <c r="AC124">
        <v>2350</v>
      </c>
      <c r="AD124">
        <v>3200</v>
      </c>
      <c r="AE124">
        <v>3350</v>
      </c>
      <c r="AF124" s="6">
        <v>1047</v>
      </c>
      <c r="AG124">
        <v>1700</v>
      </c>
      <c r="AH124">
        <v>965</v>
      </c>
      <c r="AI124">
        <v>860</v>
      </c>
      <c r="AJ124">
        <v>940</v>
      </c>
      <c r="AK124">
        <v>770</v>
      </c>
      <c r="AL124">
        <v>916</v>
      </c>
      <c r="AN124">
        <v>945</v>
      </c>
      <c r="AP124">
        <v>1800</v>
      </c>
      <c r="AQ124">
        <v>970</v>
      </c>
      <c r="AR124">
        <v>842</v>
      </c>
      <c r="AT124" s="38">
        <v>1661</v>
      </c>
      <c r="AV124">
        <v>925</v>
      </c>
      <c r="AX124" s="6">
        <v>771</v>
      </c>
      <c r="AY124">
        <v>570</v>
      </c>
      <c r="AZ124">
        <v>1405</v>
      </c>
      <c r="BA124">
        <v>786</v>
      </c>
      <c r="BB124">
        <v>650</v>
      </c>
      <c r="BC124">
        <v>800</v>
      </c>
      <c r="BD124">
        <v>720</v>
      </c>
      <c r="BE124">
        <v>800</v>
      </c>
      <c r="BF124">
        <v>1000</v>
      </c>
    </row>
    <row r="125" spans="2:58" x14ac:dyDescent="0.25">
      <c r="B125" s="1">
        <v>44531</v>
      </c>
      <c r="C125" s="5">
        <v>1400</v>
      </c>
      <c r="D125" s="6">
        <v>2720</v>
      </c>
      <c r="G125">
        <v>3685</v>
      </c>
      <c r="J125">
        <v>5300</v>
      </c>
      <c r="K125">
        <v>3600</v>
      </c>
      <c r="L125">
        <v>3181</v>
      </c>
      <c r="M125">
        <v>2190</v>
      </c>
      <c r="N125">
        <v>4200</v>
      </c>
      <c r="O125">
        <v>4250</v>
      </c>
      <c r="P125" s="6">
        <v>1720</v>
      </c>
      <c r="S125">
        <v>2201</v>
      </c>
      <c r="U125">
        <v>2950</v>
      </c>
      <c r="V125">
        <v>4055</v>
      </c>
      <c r="Y125">
        <v>3280</v>
      </c>
      <c r="AA125">
        <v>1685</v>
      </c>
      <c r="AC125">
        <v>2500</v>
      </c>
      <c r="AD125">
        <v>2900</v>
      </c>
      <c r="AE125">
        <v>3560</v>
      </c>
      <c r="AF125" s="6">
        <v>1125</v>
      </c>
      <c r="AG125">
        <v>1873</v>
      </c>
      <c r="AH125">
        <v>980</v>
      </c>
      <c r="AI125">
        <v>940</v>
      </c>
      <c r="AJ125">
        <v>1000</v>
      </c>
      <c r="AK125">
        <v>815</v>
      </c>
      <c r="AL125">
        <v>990</v>
      </c>
      <c r="AN125">
        <v>1020</v>
      </c>
      <c r="AP125">
        <v>2000</v>
      </c>
      <c r="AQ125">
        <v>1011</v>
      </c>
      <c r="AR125">
        <v>920</v>
      </c>
      <c r="AT125" s="38">
        <v>1799</v>
      </c>
      <c r="AV125">
        <v>1005</v>
      </c>
      <c r="AX125" s="6">
        <v>850</v>
      </c>
      <c r="AY125">
        <v>600</v>
      </c>
      <c r="AZ125">
        <v>1605</v>
      </c>
      <c r="BA125">
        <v>850</v>
      </c>
      <c r="BB125">
        <v>680</v>
      </c>
      <c r="BC125">
        <v>885</v>
      </c>
      <c r="BD125">
        <v>854</v>
      </c>
      <c r="BE125">
        <v>900</v>
      </c>
      <c r="BF125">
        <v>1083</v>
      </c>
    </row>
    <row r="126" spans="2:58" x14ac:dyDescent="0.25">
      <c r="B126" s="1">
        <v>44621</v>
      </c>
      <c r="C126" s="5">
        <v>1340</v>
      </c>
      <c r="D126" s="6">
        <v>2575</v>
      </c>
      <c r="G126">
        <v>3750</v>
      </c>
      <c r="J126">
        <v>4900</v>
      </c>
      <c r="K126">
        <v>3600</v>
      </c>
      <c r="L126">
        <v>2938</v>
      </c>
      <c r="M126">
        <v>2000</v>
      </c>
      <c r="N126">
        <v>4275</v>
      </c>
      <c r="O126">
        <v>4200</v>
      </c>
      <c r="P126" s="6">
        <v>1700</v>
      </c>
      <c r="S126">
        <v>2470</v>
      </c>
      <c r="U126">
        <v>2832</v>
      </c>
      <c r="V126">
        <v>4115</v>
      </c>
      <c r="Y126">
        <v>3230</v>
      </c>
      <c r="AA126">
        <v>1730</v>
      </c>
      <c r="AC126">
        <v>2435</v>
      </c>
      <c r="AD126">
        <v>3450</v>
      </c>
      <c r="AE126">
        <v>3299</v>
      </c>
      <c r="AF126" s="6">
        <v>1124</v>
      </c>
      <c r="AG126">
        <v>1880</v>
      </c>
      <c r="AH126">
        <v>1041</v>
      </c>
      <c r="AI126">
        <v>983</v>
      </c>
      <c r="AJ126">
        <v>1080</v>
      </c>
      <c r="AK126">
        <v>830</v>
      </c>
      <c r="AL126">
        <v>1018</v>
      </c>
      <c r="AN126">
        <v>968</v>
      </c>
      <c r="AP126">
        <v>1918</v>
      </c>
      <c r="AQ126">
        <v>1002</v>
      </c>
      <c r="AR126">
        <v>920</v>
      </c>
      <c r="AT126" s="38">
        <v>1745</v>
      </c>
      <c r="AV126">
        <v>1125</v>
      </c>
      <c r="AX126" s="6">
        <v>860</v>
      </c>
      <c r="AY126">
        <v>620</v>
      </c>
      <c r="AZ126">
        <v>1580</v>
      </c>
      <c r="BA126">
        <v>870</v>
      </c>
      <c r="BB126">
        <v>730</v>
      </c>
      <c r="BC126">
        <v>900</v>
      </c>
      <c r="BD126">
        <v>850</v>
      </c>
      <c r="BE126">
        <v>920</v>
      </c>
      <c r="BF126">
        <v>1050</v>
      </c>
    </row>
    <row r="127" spans="2:58" x14ac:dyDescent="0.25">
      <c r="B127" s="1">
        <v>44713</v>
      </c>
      <c r="C127" s="5">
        <v>1390</v>
      </c>
      <c r="D127" s="6">
        <v>2600</v>
      </c>
      <c r="G127">
        <v>4000</v>
      </c>
      <c r="J127">
        <v>4575</v>
      </c>
      <c r="K127">
        <v>3225</v>
      </c>
      <c r="L127">
        <v>3025</v>
      </c>
      <c r="M127">
        <v>1933</v>
      </c>
      <c r="N127">
        <v>4010</v>
      </c>
      <c r="O127">
        <v>5165</v>
      </c>
      <c r="P127" s="6">
        <v>1700</v>
      </c>
      <c r="S127">
        <v>1975</v>
      </c>
      <c r="U127">
        <v>2800</v>
      </c>
      <c r="V127">
        <v>3950</v>
      </c>
      <c r="Y127">
        <v>3005</v>
      </c>
      <c r="AA127">
        <v>1611</v>
      </c>
      <c r="AC127">
        <v>2398</v>
      </c>
      <c r="AD127">
        <v>2720</v>
      </c>
      <c r="AE127">
        <v>3318</v>
      </c>
      <c r="AF127" s="6">
        <v>1150</v>
      </c>
      <c r="AG127">
        <v>1825</v>
      </c>
      <c r="AH127">
        <v>1020</v>
      </c>
      <c r="AI127">
        <v>938</v>
      </c>
      <c r="AJ127">
        <v>1050</v>
      </c>
      <c r="AK127">
        <v>847</v>
      </c>
      <c r="AL127">
        <v>1018</v>
      </c>
      <c r="AN127">
        <v>1200</v>
      </c>
      <c r="AP127">
        <v>1820</v>
      </c>
      <c r="AQ127">
        <v>1048</v>
      </c>
      <c r="AR127">
        <v>915</v>
      </c>
      <c r="AT127" s="38">
        <v>1700</v>
      </c>
      <c r="AV127">
        <v>1000</v>
      </c>
      <c r="AX127" s="6">
        <v>880</v>
      </c>
      <c r="AY127">
        <v>645</v>
      </c>
      <c r="AZ127">
        <v>1650</v>
      </c>
      <c r="BA127">
        <v>886</v>
      </c>
      <c r="BB127">
        <v>740</v>
      </c>
      <c r="BC127">
        <v>904</v>
      </c>
      <c r="BD127">
        <v>828</v>
      </c>
      <c r="BE127">
        <v>918</v>
      </c>
      <c r="BF127">
        <v>1100</v>
      </c>
    </row>
    <row r="128" spans="2:58" x14ac:dyDescent="0.25">
      <c r="B128" s="1">
        <v>44805</v>
      </c>
      <c r="C128" s="5">
        <v>1300</v>
      </c>
      <c r="D128" s="6">
        <v>2410</v>
      </c>
      <c r="G128">
        <v>4575</v>
      </c>
      <c r="J128">
        <v>4718</v>
      </c>
      <c r="K128">
        <v>3363</v>
      </c>
      <c r="L128">
        <v>2800</v>
      </c>
      <c r="M128">
        <v>1745</v>
      </c>
      <c r="N128">
        <v>3920</v>
      </c>
      <c r="O128">
        <v>4625</v>
      </c>
      <c r="P128" s="6">
        <v>1642</v>
      </c>
      <c r="S128">
        <v>1997</v>
      </c>
      <c r="U128">
        <v>2738</v>
      </c>
      <c r="V128">
        <v>3850</v>
      </c>
      <c r="Y128">
        <v>2890</v>
      </c>
      <c r="AA128">
        <v>1528</v>
      </c>
      <c r="AC128">
        <v>2225</v>
      </c>
      <c r="AD128">
        <v>2940</v>
      </c>
      <c r="AE128">
        <v>3025</v>
      </c>
      <c r="AF128" s="6">
        <v>1067</v>
      </c>
      <c r="AG128">
        <v>1700</v>
      </c>
      <c r="AH128">
        <v>960</v>
      </c>
      <c r="AI128">
        <v>900</v>
      </c>
      <c r="AJ128">
        <v>1020</v>
      </c>
      <c r="AK128">
        <v>800</v>
      </c>
      <c r="AL128">
        <v>988</v>
      </c>
      <c r="AN128">
        <v>1000</v>
      </c>
      <c r="AP128">
        <v>1680</v>
      </c>
      <c r="AQ128">
        <v>995</v>
      </c>
      <c r="AR128">
        <v>868</v>
      </c>
      <c r="AT128" s="38">
        <v>1640</v>
      </c>
      <c r="AV128">
        <v>980</v>
      </c>
      <c r="AX128" s="6">
        <v>843</v>
      </c>
      <c r="AY128">
        <v>630</v>
      </c>
      <c r="AZ128">
        <v>1640</v>
      </c>
      <c r="BA128">
        <v>835</v>
      </c>
      <c r="BB128">
        <v>724</v>
      </c>
      <c r="BC128">
        <v>860</v>
      </c>
      <c r="BD128">
        <v>835</v>
      </c>
      <c r="BE128">
        <v>900</v>
      </c>
      <c r="BF128">
        <v>1000</v>
      </c>
    </row>
    <row r="129" spans="2:58" x14ac:dyDescent="0.25">
      <c r="B129" s="1">
        <v>44896</v>
      </c>
      <c r="C129" s="5">
        <v>1300</v>
      </c>
      <c r="D129" s="6">
        <v>2380</v>
      </c>
      <c r="G129">
        <v>2875</v>
      </c>
      <c r="J129">
        <v>4775</v>
      </c>
      <c r="K129">
        <v>2985</v>
      </c>
      <c r="L129">
        <v>2800</v>
      </c>
      <c r="M129">
        <v>1900</v>
      </c>
      <c r="N129">
        <v>4028</v>
      </c>
      <c r="O129">
        <v>4175</v>
      </c>
      <c r="P129" s="6">
        <v>1600</v>
      </c>
      <c r="S129">
        <v>1916</v>
      </c>
      <c r="U129">
        <v>2533</v>
      </c>
      <c r="V129">
        <v>4002</v>
      </c>
      <c r="Y129">
        <v>2921</v>
      </c>
      <c r="AA129">
        <v>1549</v>
      </c>
      <c r="AC129">
        <v>2200</v>
      </c>
      <c r="AD129">
        <v>2615</v>
      </c>
      <c r="AE129">
        <v>3305</v>
      </c>
      <c r="AF129" s="6">
        <v>1080</v>
      </c>
      <c r="AG129">
        <v>1746</v>
      </c>
      <c r="AH129">
        <v>980</v>
      </c>
      <c r="AI129">
        <v>880</v>
      </c>
      <c r="AJ129">
        <v>1046</v>
      </c>
      <c r="AK129">
        <v>810</v>
      </c>
      <c r="AL129">
        <v>980</v>
      </c>
      <c r="AN129">
        <v>880</v>
      </c>
      <c r="AP129">
        <v>1718</v>
      </c>
      <c r="AQ129">
        <v>970</v>
      </c>
      <c r="AR129">
        <v>870</v>
      </c>
      <c r="AT129" s="38">
        <v>1550</v>
      </c>
      <c r="AV129">
        <v>988</v>
      </c>
      <c r="AX129" s="6">
        <v>830</v>
      </c>
      <c r="AY129">
        <v>615</v>
      </c>
      <c r="AZ129">
        <v>1355</v>
      </c>
      <c r="BA129">
        <v>828</v>
      </c>
      <c r="BB129">
        <v>708</v>
      </c>
      <c r="BC129">
        <v>865</v>
      </c>
      <c r="BD129">
        <v>810</v>
      </c>
      <c r="BE129">
        <v>850</v>
      </c>
      <c r="BF129">
        <v>980</v>
      </c>
    </row>
    <row r="130" spans="2:58" x14ac:dyDescent="0.25">
      <c r="B130" s="1">
        <v>44986</v>
      </c>
      <c r="C130" s="5">
        <v>1250</v>
      </c>
      <c r="D130" s="6">
        <v>2500</v>
      </c>
      <c r="G130">
        <v>3250</v>
      </c>
      <c r="J130">
        <v>5350</v>
      </c>
      <c r="K130">
        <v>3100</v>
      </c>
      <c r="L130">
        <v>2900</v>
      </c>
      <c r="M130">
        <v>2025</v>
      </c>
      <c r="N130">
        <v>3850</v>
      </c>
      <c r="O130">
        <v>4425</v>
      </c>
      <c r="P130" s="6">
        <v>1600</v>
      </c>
      <c r="S130">
        <v>2275</v>
      </c>
      <c r="U130">
        <v>2715</v>
      </c>
      <c r="V130">
        <v>3410</v>
      </c>
      <c r="Y130">
        <v>3150</v>
      </c>
      <c r="AA130">
        <v>1556</v>
      </c>
      <c r="AC130">
        <v>2250</v>
      </c>
      <c r="AD130">
        <v>3325</v>
      </c>
      <c r="AE130">
        <v>3376</v>
      </c>
      <c r="AF130" s="6">
        <v>1040</v>
      </c>
      <c r="AG130">
        <v>1751</v>
      </c>
      <c r="AH130">
        <v>970</v>
      </c>
      <c r="AI130">
        <v>870</v>
      </c>
      <c r="AJ130">
        <v>999</v>
      </c>
      <c r="AK130">
        <v>795</v>
      </c>
      <c r="AL130">
        <v>980</v>
      </c>
      <c r="AN130">
        <v>920</v>
      </c>
      <c r="AP130">
        <v>1800</v>
      </c>
      <c r="AQ130">
        <v>990</v>
      </c>
      <c r="AR130">
        <v>867</v>
      </c>
      <c r="AT130" s="38">
        <v>1571</v>
      </c>
      <c r="AV130">
        <v>950</v>
      </c>
      <c r="AX130" s="6">
        <v>830</v>
      </c>
      <c r="AY130">
        <v>583</v>
      </c>
      <c r="AZ130">
        <v>1360</v>
      </c>
      <c r="BA130">
        <v>828</v>
      </c>
      <c r="BB130">
        <v>716</v>
      </c>
      <c r="BC130">
        <v>850</v>
      </c>
      <c r="BD130">
        <v>848</v>
      </c>
      <c r="BE130">
        <v>874</v>
      </c>
      <c r="BF130">
        <v>965</v>
      </c>
    </row>
    <row r="131" spans="2:58" x14ac:dyDescent="0.25">
      <c r="B131" s="1">
        <v>45078</v>
      </c>
      <c r="C131" s="5">
        <v>1360</v>
      </c>
      <c r="D131" s="6">
        <v>2500</v>
      </c>
      <c r="G131">
        <v>3520</v>
      </c>
      <c r="J131">
        <v>4300</v>
      </c>
      <c r="K131">
        <v>3375</v>
      </c>
      <c r="L131">
        <v>2870</v>
      </c>
      <c r="M131">
        <v>1885</v>
      </c>
      <c r="N131">
        <v>4075</v>
      </c>
      <c r="O131">
        <v>4240</v>
      </c>
      <c r="P131" s="6">
        <v>1723</v>
      </c>
      <c r="S131">
        <v>2128</v>
      </c>
      <c r="U131">
        <v>2613</v>
      </c>
      <c r="V131">
        <v>3325</v>
      </c>
      <c r="Y131">
        <v>3080</v>
      </c>
      <c r="AA131">
        <v>1709</v>
      </c>
      <c r="AC131">
        <v>2433</v>
      </c>
      <c r="AD131">
        <v>3100</v>
      </c>
      <c r="AE131">
        <v>3320</v>
      </c>
      <c r="AF131" s="6">
        <v>1115</v>
      </c>
      <c r="AG131">
        <v>1811</v>
      </c>
      <c r="AH131">
        <v>1080</v>
      </c>
      <c r="AI131">
        <v>860</v>
      </c>
      <c r="AJ131">
        <v>1050</v>
      </c>
      <c r="AK131">
        <v>835</v>
      </c>
      <c r="AL131">
        <v>1021</v>
      </c>
      <c r="AN131">
        <v>950</v>
      </c>
      <c r="AP131">
        <v>1900</v>
      </c>
      <c r="AQ131">
        <v>1005</v>
      </c>
      <c r="AR131">
        <v>895</v>
      </c>
      <c r="AT131" s="38">
        <v>1686</v>
      </c>
      <c r="AV131">
        <v>1070</v>
      </c>
      <c r="AX131" s="6">
        <v>838</v>
      </c>
      <c r="AY131">
        <v>610</v>
      </c>
      <c r="AZ131">
        <v>1450</v>
      </c>
      <c r="BA131">
        <v>830</v>
      </c>
      <c r="BB131">
        <v>720</v>
      </c>
      <c r="BC131">
        <v>890</v>
      </c>
      <c r="BD131">
        <v>835</v>
      </c>
      <c r="BE131">
        <v>871</v>
      </c>
      <c r="BF131">
        <v>964</v>
      </c>
    </row>
    <row r="132" spans="2:58" x14ac:dyDescent="0.25">
      <c r="B132" s="1">
        <v>45170</v>
      </c>
      <c r="C132" s="5">
        <v>1380</v>
      </c>
      <c r="D132" s="6">
        <v>2700</v>
      </c>
      <c r="G132">
        <v>3675</v>
      </c>
      <c r="J132">
        <v>5210</v>
      </c>
      <c r="K132">
        <v>3075</v>
      </c>
      <c r="L132">
        <v>2873</v>
      </c>
      <c r="M132">
        <v>2080</v>
      </c>
      <c r="N132">
        <v>4190</v>
      </c>
      <c r="O132">
        <v>4900</v>
      </c>
      <c r="P132" s="6">
        <v>1720</v>
      </c>
      <c r="S132">
        <v>2454</v>
      </c>
      <c r="U132">
        <v>2785</v>
      </c>
      <c r="V132">
        <v>3700</v>
      </c>
      <c r="Y132">
        <v>3360</v>
      </c>
      <c r="AA132">
        <v>1735</v>
      </c>
      <c r="AC132">
        <v>2402</v>
      </c>
      <c r="AD132">
        <v>2958</v>
      </c>
      <c r="AE132">
        <v>3600</v>
      </c>
      <c r="AF132" s="6">
        <v>1100</v>
      </c>
      <c r="AG132">
        <v>1860</v>
      </c>
      <c r="AH132">
        <v>1050</v>
      </c>
      <c r="AI132">
        <v>873</v>
      </c>
      <c r="AJ132">
        <v>1035</v>
      </c>
      <c r="AK132">
        <v>830</v>
      </c>
      <c r="AL132">
        <v>1035</v>
      </c>
      <c r="AN132">
        <v>950</v>
      </c>
      <c r="AP132">
        <v>1930</v>
      </c>
      <c r="AQ132">
        <v>1000</v>
      </c>
      <c r="AR132">
        <v>910</v>
      </c>
      <c r="AT132" s="38">
        <v>1685</v>
      </c>
      <c r="AV132">
        <v>969</v>
      </c>
      <c r="AX132" s="6">
        <v>850</v>
      </c>
      <c r="AY132">
        <v>620</v>
      </c>
      <c r="AZ132">
        <v>1525</v>
      </c>
      <c r="BA132">
        <v>850</v>
      </c>
      <c r="BB132">
        <v>720</v>
      </c>
      <c r="BC132">
        <v>860</v>
      </c>
      <c r="BD132">
        <v>865</v>
      </c>
      <c r="BE132">
        <v>913</v>
      </c>
      <c r="BF132">
        <v>975</v>
      </c>
    </row>
    <row r="133" spans="2:58" x14ac:dyDescent="0.25">
      <c r="B133" s="1">
        <v>45261</v>
      </c>
      <c r="C133" s="5">
        <v>1420</v>
      </c>
      <c r="D133" s="6">
        <v>2650</v>
      </c>
      <c r="G133">
        <v>3710</v>
      </c>
      <c r="J133">
        <v>5488</v>
      </c>
      <c r="K133">
        <v>3460</v>
      </c>
      <c r="L133">
        <v>3023</v>
      </c>
      <c r="M133">
        <v>2020</v>
      </c>
      <c r="N133">
        <v>4100</v>
      </c>
      <c r="O133">
        <v>6750</v>
      </c>
      <c r="P133" s="6">
        <v>1800</v>
      </c>
      <c r="S133">
        <v>2608</v>
      </c>
      <c r="U133">
        <v>2800</v>
      </c>
      <c r="V133">
        <v>3300</v>
      </c>
      <c r="Y133">
        <v>3200</v>
      </c>
      <c r="AA133">
        <v>1820</v>
      </c>
      <c r="AC133">
        <v>2525</v>
      </c>
      <c r="AD133">
        <v>2500</v>
      </c>
      <c r="AE133">
        <v>3510</v>
      </c>
      <c r="AF133" s="6">
        <v>1150</v>
      </c>
      <c r="AG133">
        <v>1900</v>
      </c>
      <c r="AH133">
        <v>1048</v>
      </c>
      <c r="AI133">
        <v>862</v>
      </c>
      <c r="AJ133">
        <v>1059</v>
      </c>
      <c r="AK133">
        <v>866</v>
      </c>
      <c r="AL133">
        <v>1100</v>
      </c>
      <c r="AN133">
        <v>1000</v>
      </c>
      <c r="AP133">
        <v>1930</v>
      </c>
      <c r="AQ133">
        <v>1060</v>
      </c>
      <c r="AR133">
        <v>920</v>
      </c>
      <c r="AT133" s="38">
        <v>1680</v>
      </c>
      <c r="AV133">
        <v>1000</v>
      </c>
      <c r="AX133" s="6">
        <v>850</v>
      </c>
      <c r="AY133">
        <v>645</v>
      </c>
      <c r="AZ133">
        <v>1500</v>
      </c>
      <c r="BA133">
        <v>850</v>
      </c>
      <c r="BB133">
        <v>717</v>
      </c>
      <c r="BC133">
        <v>854</v>
      </c>
      <c r="BD133">
        <v>860</v>
      </c>
      <c r="BE133">
        <v>890</v>
      </c>
      <c r="BF133">
        <v>1028</v>
      </c>
    </row>
    <row r="134" spans="2:58" x14ac:dyDescent="0.25">
      <c r="B134" s="1">
        <v>45352</v>
      </c>
      <c r="C134" s="5">
        <v>1400</v>
      </c>
      <c r="D134" s="6">
        <v>2838</v>
      </c>
      <c r="G134">
        <v>4088</v>
      </c>
      <c r="J134">
        <v>5815</v>
      </c>
      <c r="K134">
        <v>3250</v>
      </c>
      <c r="L134">
        <v>3030</v>
      </c>
      <c r="M134">
        <v>2263</v>
      </c>
      <c r="N134">
        <v>4335</v>
      </c>
      <c r="O134">
        <v>4100</v>
      </c>
      <c r="P134" s="6">
        <v>1833</v>
      </c>
      <c r="S134">
        <v>2675</v>
      </c>
      <c r="U134">
        <v>2840</v>
      </c>
      <c r="V134">
        <v>3900</v>
      </c>
      <c r="Y134">
        <v>3268</v>
      </c>
      <c r="AA134">
        <v>1801</v>
      </c>
      <c r="AC134">
        <v>2480</v>
      </c>
      <c r="AD134">
        <v>2610</v>
      </c>
      <c r="AE134">
        <v>3338</v>
      </c>
      <c r="AF134" s="6">
        <v>1150</v>
      </c>
      <c r="AG134">
        <v>1912</v>
      </c>
      <c r="AH134">
        <v>1085</v>
      </c>
      <c r="AI134">
        <v>920</v>
      </c>
      <c r="AJ134">
        <v>1060</v>
      </c>
      <c r="AK134">
        <v>875</v>
      </c>
      <c r="AL134">
        <v>1157</v>
      </c>
      <c r="AN134">
        <v>925</v>
      </c>
      <c r="AP134">
        <v>2000</v>
      </c>
      <c r="AQ134">
        <v>1050</v>
      </c>
      <c r="AR134">
        <v>963</v>
      </c>
      <c r="AT134" s="38">
        <v>1730</v>
      </c>
      <c r="AV134">
        <v>1060</v>
      </c>
      <c r="AX134" s="6">
        <v>870</v>
      </c>
      <c r="AY134">
        <v>623</v>
      </c>
      <c r="AZ134">
        <v>1575</v>
      </c>
      <c r="BA134">
        <v>894</v>
      </c>
      <c r="BB134">
        <v>730</v>
      </c>
      <c r="BC134">
        <v>885</v>
      </c>
      <c r="BD134">
        <v>900</v>
      </c>
      <c r="BE134">
        <v>910</v>
      </c>
      <c r="BF134">
        <v>1020</v>
      </c>
    </row>
    <row r="135" spans="2:58" x14ac:dyDescent="0.25">
      <c r="B135" s="1">
        <v>45444</v>
      </c>
      <c r="C135" s="5">
        <v>1460</v>
      </c>
      <c r="D135" s="6">
        <v>2650</v>
      </c>
      <c r="G135">
        <v>3900</v>
      </c>
      <c r="J135">
        <v>6750</v>
      </c>
      <c r="K135">
        <v>3200</v>
      </c>
      <c r="L135">
        <v>3208</v>
      </c>
      <c r="M135">
        <v>2110</v>
      </c>
      <c r="N135">
        <v>4000</v>
      </c>
      <c r="O135">
        <v>4600</v>
      </c>
      <c r="P135" s="6">
        <v>1900</v>
      </c>
      <c r="S135">
        <v>2715</v>
      </c>
      <c r="U135">
        <v>2925</v>
      </c>
      <c r="V135">
        <v>4120</v>
      </c>
      <c r="Y135">
        <v>3403</v>
      </c>
      <c r="AA135">
        <v>1855</v>
      </c>
      <c r="AC135">
        <v>2500</v>
      </c>
      <c r="AD135">
        <v>3250</v>
      </c>
      <c r="AE135">
        <v>3690</v>
      </c>
      <c r="AF135" s="6">
        <v>1181</v>
      </c>
      <c r="AG135">
        <v>1901</v>
      </c>
      <c r="AH135">
        <v>1160</v>
      </c>
      <c r="AI135">
        <v>910</v>
      </c>
      <c r="AJ135">
        <v>1072</v>
      </c>
      <c r="AK135">
        <v>900</v>
      </c>
      <c r="AL135">
        <v>1218</v>
      </c>
      <c r="AN135">
        <v>962</v>
      </c>
      <c r="AP135">
        <v>2078</v>
      </c>
      <c r="AQ135">
        <v>1084</v>
      </c>
      <c r="AR135">
        <v>970</v>
      </c>
      <c r="AT135" s="38">
        <v>1790</v>
      </c>
      <c r="AV135">
        <v>1060</v>
      </c>
      <c r="AX135" s="6">
        <v>875</v>
      </c>
      <c r="AY135">
        <v>650</v>
      </c>
      <c r="AZ135">
        <v>1438</v>
      </c>
      <c r="BA135">
        <v>880</v>
      </c>
      <c r="BB135">
        <v>738</v>
      </c>
      <c r="BC135">
        <v>908</v>
      </c>
      <c r="BD135">
        <v>870</v>
      </c>
      <c r="BE135">
        <v>905</v>
      </c>
      <c r="BF135">
        <v>1060</v>
      </c>
    </row>
    <row r="136" spans="2:58" x14ac:dyDescent="0.25">
      <c r="B136" s="1">
        <v>45536</v>
      </c>
      <c r="C136" s="5">
        <v>1414</v>
      </c>
      <c r="D136" s="6">
        <v>2700</v>
      </c>
      <c r="G136">
        <v>3773</v>
      </c>
      <c r="J136">
        <v>4550</v>
      </c>
      <c r="K136">
        <v>3930</v>
      </c>
      <c r="L136">
        <v>3123</v>
      </c>
      <c r="M136">
        <v>2050</v>
      </c>
      <c r="N136">
        <v>4400</v>
      </c>
      <c r="O136">
        <v>4000</v>
      </c>
      <c r="P136" s="6">
        <v>1860</v>
      </c>
      <c r="S136">
        <v>2656</v>
      </c>
      <c r="U136">
        <v>2915</v>
      </c>
      <c r="V136">
        <v>4050</v>
      </c>
      <c r="Y136">
        <v>3255</v>
      </c>
      <c r="AA136">
        <v>1869</v>
      </c>
      <c r="AC136">
        <v>2580</v>
      </c>
      <c r="AD136">
        <v>3250</v>
      </c>
      <c r="AE136">
        <v>3550</v>
      </c>
      <c r="AF136" s="6">
        <v>1170</v>
      </c>
      <c r="AG136">
        <v>1920</v>
      </c>
      <c r="AH136">
        <v>1152</v>
      </c>
      <c r="AI136">
        <v>946</v>
      </c>
      <c r="AJ136">
        <v>1070</v>
      </c>
      <c r="AK136">
        <v>910</v>
      </c>
      <c r="AL136">
        <v>1220</v>
      </c>
      <c r="AN136">
        <v>1000</v>
      </c>
      <c r="AP136">
        <v>2000</v>
      </c>
      <c r="AQ136">
        <v>1111</v>
      </c>
      <c r="AR136">
        <v>1005</v>
      </c>
      <c r="AT136" s="38">
        <v>1800</v>
      </c>
      <c r="AV136">
        <v>1028</v>
      </c>
      <c r="AX136" s="6">
        <v>882</v>
      </c>
      <c r="AY136">
        <v>650</v>
      </c>
      <c r="AZ136">
        <v>1500</v>
      </c>
      <c r="BA136">
        <v>876</v>
      </c>
      <c r="BB136">
        <v>750</v>
      </c>
      <c r="BC136">
        <v>920</v>
      </c>
      <c r="BD136">
        <v>831</v>
      </c>
      <c r="BE136">
        <v>932</v>
      </c>
      <c r="BF136">
        <v>1085</v>
      </c>
    </row>
    <row r="137" spans="2:58" x14ac:dyDescent="0.25">
      <c r="B137" s="1">
        <v>45627</v>
      </c>
      <c r="C137" s="5">
        <v>1452</v>
      </c>
      <c r="D137" s="6">
        <v>2612</v>
      </c>
      <c r="G137">
        <v>3600</v>
      </c>
      <c r="J137">
        <v>5800</v>
      </c>
      <c r="K137">
        <v>3300</v>
      </c>
      <c r="L137">
        <v>3052</v>
      </c>
      <c r="M137">
        <v>2163</v>
      </c>
      <c r="N137">
        <v>4948</v>
      </c>
      <c r="O137">
        <v>5150</v>
      </c>
      <c r="P137" s="6">
        <v>1888</v>
      </c>
      <c r="S137">
        <v>2325</v>
      </c>
      <c r="U137">
        <v>2800</v>
      </c>
      <c r="V137">
        <v>4350</v>
      </c>
      <c r="Y137">
        <v>3355</v>
      </c>
      <c r="AA137">
        <v>1825</v>
      </c>
      <c r="AC137">
        <v>2600</v>
      </c>
      <c r="AD137">
        <v>3198</v>
      </c>
      <c r="AE137">
        <v>3750</v>
      </c>
      <c r="AF137" s="6">
        <v>1200</v>
      </c>
      <c r="AG137">
        <v>1870</v>
      </c>
      <c r="AH137">
        <v>1175</v>
      </c>
      <c r="AI137">
        <v>920</v>
      </c>
      <c r="AJ137">
        <v>1100</v>
      </c>
      <c r="AK137">
        <v>917</v>
      </c>
      <c r="AL137">
        <v>1255</v>
      </c>
      <c r="AN137">
        <v>998</v>
      </c>
      <c r="AP137">
        <v>1945</v>
      </c>
      <c r="AQ137">
        <v>1120</v>
      </c>
      <c r="AR137">
        <v>1000</v>
      </c>
      <c r="AT137" s="38">
        <v>1750</v>
      </c>
      <c r="AV137">
        <v>1050</v>
      </c>
      <c r="AX137" s="6">
        <v>900</v>
      </c>
      <c r="AY137">
        <v>675</v>
      </c>
      <c r="AZ137">
        <v>1600</v>
      </c>
      <c r="BA137">
        <v>905</v>
      </c>
      <c r="BB137">
        <v>742</v>
      </c>
      <c r="BC137">
        <v>950</v>
      </c>
      <c r="BD137">
        <v>875</v>
      </c>
      <c r="BE137">
        <v>921</v>
      </c>
      <c r="BF137">
        <v>1058</v>
      </c>
    </row>
    <row r="138" spans="2:58" x14ac:dyDescent="0.25">
      <c r="B138" s="1">
        <v>45717</v>
      </c>
      <c r="C138" s="5">
        <v>1430</v>
      </c>
      <c r="D138" s="6">
        <v>2880</v>
      </c>
      <c r="G138">
        <v>3725</v>
      </c>
      <c r="J138">
        <v>6375</v>
      </c>
      <c r="K138">
        <v>3843</v>
      </c>
      <c r="L138">
        <v>3200</v>
      </c>
      <c r="M138">
        <v>2200</v>
      </c>
      <c r="N138">
        <v>4700</v>
      </c>
      <c r="O138">
        <v>4700</v>
      </c>
      <c r="P138" s="6">
        <v>1900</v>
      </c>
      <c r="S138">
        <v>2894</v>
      </c>
      <c r="U138">
        <v>3068</v>
      </c>
      <c r="V138">
        <v>4120</v>
      </c>
      <c r="Y138">
        <v>3266</v>
      </c>
      <c r="AA138">
        <v>1788</v>
      </c>
      <c r="AC138">
        <v>2700</v>
      </c>
      <c r="AD138">
        <v>3650</v>
      </c>
      <c r="AE138">
        <v>3618</v>
      </c>
      <c r="AF138" s="6">
        <v>1200</v>
      </c>
      <c r="AG138">
        <v>1907</v>
      </c>
      <c r="AH138">
        <v>1169</v>
      </c>
      <c r="AI138">
        <v>940</v>
      </c>
      <c r="AJ138">
        <v>1125</v>
      </c>
      <c r="AK138">
        <v>925</v>
      </c>
      <c r="AL138">
        <v>1250</v>
      </c>
      <c r="AN138">
        <v>1018</v>
      </c>
      <c r="AP138">
        <v>2078</v>
      </c>
      <c r="AQ138">
        <v>1118</v>
      </c>
      <c r="AR138">
        <v>1050</v>
      </c>
      <c r="AT138" s="38">
        <v>1818</v>
      </c>
      <c r="AV138">
        <v>1100</v>
      </c>
      <c r="AX138" s="6">
        <v>900</v>
      </c>
      <c r="AY138">
        <v>675</v>
      </c>
      <c r="AZ138">
        <v>1500</v>
      </c>
      <c r="BA138">
        <v>900</v>
      </c>
      <c r="BB138">
        <v>750</v>
      </c>
      <c r="BC138">
        <v>990</v>
      </c>
      <c r="BD138">
        <v>920</v>
      </c>
      <c r="BE138">
        <v>947</v>
      </c>
      <c r="BF138">
        <v>1050</v>
      </c>
    </row>
    <row r="139" spans="2:58" x14ac:dyDescent="0.25">
      <c r="B139" s="1">
        <v>45809</v>
      </c>
      <c r="C139" s="5">
        <v>1525</v>
      </c>
      <c r="D139" s="6">
        <v>2800</v>
      </c>
      <c r="G139">
        <v>3410</v>
      </c>
      <c r="J139">
        <v>5388</v>
      </c>
      <c r="K139">
        <v>3788</v>
      </c>
      <c r="L139">
        <v>3050</v>
      </c>
      <c r="M139">
        <v>2250</v>
      </c>
      <c r="N139">
        <v>4250</v>
      </c>
      <c r="O139">
        <v>4958</v>
      </c>
      <c r="P139" s="6">
        <v>2000</v>
      </c>
      <c r="S139">
        <v>2863</v>
      </c>
      <c r="U139">
        <v>3030</v>
      </c>
      <c r="V139">
        <v>4000</v>
      </c>
      <c r="Y139">
        <v>3550</v>
      </c>
      <c r="AA139">
        <v>1905</v>
      </c>
      <c r="AC139">
        <v>2635</v>
      </c>
      <c r="AD139">
        <v>3530</v>
      </c>
      <c r="AE139">
        <v>3575</v>
      </c>
      <c r="AF139" s="6">
        <v>1240</v>
      </c>
      <c r="AG139">
        <v>1901</v>
      </c>
      <c r="AH139">
        <v>1185</v>
      </c>
      <c r="AI139">
        <v>976</v>
      </c>
      <c r="AJ139">
        <v>1130</v>
      </c>
      <c r="AK139">
        <v>950</v>
      </c>
      <c r="AL139">
        <v>1280</v>
      </c>
      <c r="AN139">
        <v>1075</v>
      </c>
      <c r="AP139">
        <v>1950</v>
      </c>
      <c r="AQ139">
        <v>1190</v>
      </c>
      <c r="AR139">
        <v>1050</v>
      </c>
      <c r="AT139" s="38">
        <v>1855</v>
      </c>
      <c r="AV139">
        <v>1070</v>
      </c>
      <c r="AX139" s="6">
        <v>920</v>
      </c>
      <c r="AY139">
        <v>690</v>
      </c>
      <c r="AZ139">
        <v>1500</v>
      </c>
      <c r="BA139">
        <v>952</v>
      </c>
      <c r="BB139">
        <v>790</v>
      </c>
      <c r="BC139">
        <v>985</v>
      </c>
      <c r="BD139">
        <v>859</v>
      </c>
      <c r="BE139">
        <v>925</v>
      </c>
      <c r="BF139">
        <v>1115</v>
      </c>
    </row>
    <row r="140" spans="2:58" x14ac:dyDescent="0.25">
      <c r="B140" s="1">
        <v>45901</v>
      </c>
      <c r="C140" s="5">
        <v>1533</v>
      </c>
      <c r="D140" s="6">
        <v>2900</v>
      </c>
      <c r="G140">
        <v>3579</v>
      </c>
      <c r="J140">
        <v>5107</v>
      </c>
      <c r="K140">
        <v>3530</v>
      </c>
      <c r="L140">
        <v>3205</v>
      </c>
      <c r="M140">
        <v>2308</v>
      </c>
      <c r="N140">
        <v>4390</v>
      </c>
      <c r="O140">
        <v>5250</v>
      </c>
      <c r="P140" s="6">
        <v>1985</v>
      </c>
      <c r="S140">
        <v>2430</v>
      </c>
      <c r="U140">
        <v>3106</v>
      </c>
      <c r="V140">
        <v>4333</v>
      </c>
      <c r="Y140">
        <v>3512</v>
      </c>
      <c r="AA140">
        <v>1934</v>
      </c>
      <c r="AC140">
        <v>2643</v>
      </c>
      <c r="AD140">
        <v>3175</v>
      </c>
      <c r="AE140">
        <v>3700</v>
      </c>
      <c r="AF140" s="6">
        <v>1270</v>
      </c>
      <c r="AG140">
        <v>2000</v>
      </c>
      <c r="AH140">
        <v>1250</v>
      </c>
      <c r="AI140">
        <v>1028</v>
      </c>
      <c r="AJ140">
        <v>1175</v>
      </c>
      <c r="AK140">
        <v>980</v>
      </c>
      <c r="AL140">
        <v>1340</v>
      </c>
      <c r="AN140">
        <v>1075</v>
      </c>
      <c r="AP140">
        <v>2100</v>
      </c>
      <c r="AQ140">
        <v>1240</v>
      </c>
      <c r="AR140">
        <v>1130</v>
      </c>
      <c r="AT140" s="38">
        <v>1880</v>
      </c>
      <c r="AV140">
        <v>1105</v>
      </c>
      <c r="AX140" s="6">
        <v>940</v>
      </c>
      <c r="AY140">
        <v>720</v>
      </c>
      <c r="AZ140">
        <v>1450</v>
      </c>
      <c r="BA140">
        <v>945</v>
      </c>
      <c r="BB140">
        <v>800</v>
      </c>
      <c r="BC140">
        <v>1035</v>
      </c>
      <c r="BD140">
        <v>920</v>
      </c>
      <c r="BE140">
        <v>918</v>
      </c>
      <c r="BF140">
        <v>1150</v>
      </c>
    </row>
    <row r="141" spans="2:58" x14ac:dyDescent="0.25">
      <c r="B141" s="2">
        <v>45992</v>
      </c>
      <c r="C141" s="31">
        <f>C140+(C140-C136)/4</f>
        <v>1562.75</v>
      </c>
      <c r="D141" s="31">
        <f t="shared" ref="D141:BF141" si="0">D140+(D140-D136)/4</f>
        <v>2950</v>
      </c>
      <c r="E141" s="31"/>
      <c r="F141" s="31"/>
      <c r="G141" s="31">
        <f t="shared" si="0"/>
        <v>3530.5</v>
      </c>
      <c r="H141" s="31"/>
      <c r="I141" s="31"/>
      <c r="J141" s="31">
        <f t="shared" si="0"/>
        <v>5246.25</v>
      </c>
      <c r="K141" s="31">
        <f t="shared" si="0"/>
        <v>3430</v>
      </c>
      <c r="L141" s="31">
        <f t="shared" si="0"/>
        <v>3225.5</v>
      </c>
      <c r="M141" s="31">
        <f t="shared" si="0"/>
        <v>2372.5</v>
      </c>
      <c r="N141" s="31">
        <f t="shared" si="0"/>
        <v>4387.5</v>
      </c>
      <c r="O141" s="31">
        <f t="shared" si="0"/>
        <v>5562.5</v>
      </c>
      <c r="P141" s="31">
        <f t="shared" si="0"/>
        <v>2016.25</v>
      </c>
      <c r="Q141" s="31"/>
      <c r="R141" s="31"/>
      <c r="S141" s="31">
        <f t="shared" si="0"/>
        <v>2373.5</v>
      </c>
      <c r="T141" s="31"/>
      <c r="U141" s="31">
        <f t="shared" si="0"/>
        <v>3153.75</v>
      </c>
      <c r="V141" s="31">
        <f t="shared" si="0"/>
        <v>4403.75</v>
      </c>
      <c r="W141" s="31"/>
      <c r="X141" s="31"/>
      <c r="Y141" s="31">
        <f t="shared" si="0"/>
        <v>3576.25</v>
      </c>
      <c r="Z141" s="31"/>
      <c r="AA141" s="31">
        <f t="shared" si="0"/>
        <v>1950.25</v>
      </c>
      <c r="AB141" s="31">
        <f t="shared" si="0"/>
        <v>0</v>
      </c>
      <c r="AC141" s="31">
        <f t="shared" si="0"/>
        <v>2658.75</v>
      </c>
      <c r="AD141" s="31">
        <f t="shared" si="0"/>
        <v>3156.25</v>
      </c>
      <c r="AE141" s="31">
        <f t="shared" si="0"/>
        <v>3737.5</v>
      </c>
      <c r="AF141" s="31">
        <f t="shared" si="0"/>
        <v>1295</v>
      </c>
      <c r="AG141" s="31">
        <f t="shared" si="0"/>
        <v>2020</v>
      </c>
      <c r="AH141" s="31">
        <f t="shared" si="0"/>
        <v>1274.5</v>
      </c>
      <c r="AI141" s="31">
        <f t="shared" si="0"/>
        <v>1048.5</v>
      </c>
      <c r="AJ141" s="31">
        <f t="shared" si="0"/>
        <v>1201.25</v>
      </c>
      <c r="AK141" s="31">
        <f t="shared" si="0"/>
        <v>997.5</v>
      </c>
      <c r="AL141" s="31">
        <f t="shared" si="0"/>
        <v>1370</v>
      </c>
      <c r="AM141" s="31"/>
      <c r="AN141" s="31">
        <f t="shared" si="0"/>
        <v>1093.75</v>
      </c>
      <c r="AO141" s="31"/>
      <c r="AP141" s="31">
        <f t="shared" si="0"/>
        <v>2125</v>
      </c>
      <c r="AQ141" s="31">
        <f t="shared" si="0"/>
        <v>1272.25</v>
      </c>
      <c r="AR141" s="31">
        <f t="shared" si="0"/>
        <v>1161.25</v>
      </c>
      <c r="AS141" s="31"/>
      <c r="AT141" s="31">
        <f t="shared" ref="AT141" si="1">AT140+(AT140-AT136)/4</f>
        <v>1900</v>
      </c>
      <c r="AU141" s="31"/>
      <c r="AV141" s="31">
        <f t="shared" si="0"/>
        <v>1124.25</v>
      </c>
      <c r="AW141" s="31"/>
      <c r="AX141" s="31">
        <f t="shared" si="0"/>
        <v>954.5</v>
      </c>
      <c r="AY141" s="31">
        <f t="shared" si="0"/>
        <v>737.5</v>
      </c>
      <c r="AZ141" s="31">
        <f t="shared" si="0"/>
        <v>1437.5</v>
      </c>
      <c r="BA141" s="31">
        <f t="shared" si="0"/>
        <v>962.25</v>
      </c>
      <c r="BB141" s="31">
        <f t="shared" si="0"/>
        <v>812.5</v>
      </c>
      <c r="BC141" s="31">
        <f t="shared" si="0"/>
        <v>1063.75</v>
      </c>
      <c r="BD141" s="31">
        <f t="shared" si="0"/>
        <v>942.25</v>
      </c>
      <c r="BE141" s="31">
        <f t="shared" si="0"/>
        <v>914.5</v>
      </c>
      <c r="BF141" s="31">
        <f t="shared" si="0"/>
        <v>1166.25</v>
      </c>
    </row>
  </sheetData>
  <autoFilter ref="B1:BH106" xr:uid="{01F0EFC7-7237-4430-B607-A7F5094CDFD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CC8C7-C0AE-4250-8278-0C9D574A35AA}">
  <sheetPr>
    <tabColor theme="7"/>
  </sheetPr>
  <dimension ref="A1:BI141"/>
  <sheetViews>
    <sheetView topLeftCell="A115" zoomScaleNormal="100" workbookViewId="0">
      <selection activeCell="C2" sqref="C2"/>
    </sheetView>
  </sheetViews>
  <sheetFormatPr defaultRowHeight="15" x14ac:dyDescent="0.25"/>
  <cols>
    <col min="1" max="1" width="24.28515625" bestFit="1" customWidth="1"/>
    <col min="2" max="2" width="20" bestFit="1" customWidth="1"/>
  </cols>
  <sheetData>
    <row r="1" spans="1:61" x14ac:dyDescent="0.25">
      <c r="A1" t="s">
        <v>85</v>
      </c>
      <c r="B1" s="1" t="s">
        <v>1</v>
      </c>
      <c r="C1" t="s">
        <v>60</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22</v>
      </c>
      <c r="X1" t="s">
        <v>23</v>
      </c>
      <c r="Y1" t="s">
        <v>69</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70</v>
      </c>
      <c r="BH1" t="s">
        <v>71</v>
      </c>
      <c r="BI1" t="s">
        <v>72</v>
      </c>
    </row>
    <row r="2" spans="1:61" x14ac:dyDescent="0.25">
      <c r="A2" t="s">
        <v>74</v>
      </c>
      <c r="B2" s="2">
        <v>33298</v>
      </c>
      <c r="C2">
        <v>135</v>
      </c>
      <c r="D2">
        <v>129</v>
      </c>
      <c r="E2">
        <v>127</v>
      </c>
      <c r="F2" t="s">
        <v>21</v>
      </c>
      <c r="G2" t="s">
        <v>21</v>
      </c>
      <c r="H2" t="s">
        <v>21</v>
      </c>
      <c r="I2" t="s">
        <v>21</v>
      </c>
      <c r="J2" t="s">
        <v>21</v>
      </c>
      <c r="K2" t="s">
        <v>21</v>
      </c>
      <c r="L2" t="s">
        <v>21</v>
      </c>
      <c r="M2" t="s">
        <v>21</v>
      </c>
      <c r="N2" t="s">
        <v>21</v>
      </c>
      <c r="O2" t="s">
        <v>21</v>
      </c>
      <c r="P2">
        <v>162</v>
      </c>
      <c r="Q2" t="s">
        <v>21</v>
      </c>
      <c r="R2" t="s">
        <v>21</v>
      </c>
      <c r="S2" t="s">
        <v>21</v>
      </c>
      <c r="T2" t="s">
        <v>21</v>
      </c>
      <c r="U2" t="s">
        <v>21</v>
      </c>
      <c r="V2" t="s">
        <v>21</v>
      </c>
      <c r="W2" t="s">
        <v>21</v>
      </c>
      <c r="X2" t="s">
        <v>21</v>
      </c>
      <c r="Y2" t="s">
        <v>21</v>
      </c>
      <c r="Z2">
        <v>173</v>
      </c>
      <c r="AA2" t="s">
        <v>21</v>
      </c>
      <c r="AB2" t="s">
        <v>21</v>
      </c>
      <c r="AC2" t="s">
        <v>21</v>
      </c>
      <c r="AD2" t="s">
        <v>21</v>
      </c>
      <c r="AE2" t="s">
        <v>21</v>
      </c>
      <c r="AF2">
        <v>148</v>
      </c>
      <c r="AG2" t="s">
        <v>21</v>
      </c>
      <c r="AH2" t="s">
        <v>21</v>
      </c>
      <c r="AI2" t="s">
        <v>21</v>
      </c>
      <c r="AJ2" t="s">
        <v>21</v>
      </c>
      <c r="AK2" t="s">
        <v>21</v>
      </c>
      <c r="AL2" t="s">
        <v>21</v>
      </c>
      <c r="AM2" t="s">
        <v>21</v>
      </c>
      <c r="AN2" t="s">
        <v>21</v>
      </c>
      <c r="AO2" t="s">
        <v>21</v>
      </c>
      <c r="AP2" t="s">
        <v>21</v>
      </c>
      <c r="AQ2" t="s">
        <v>21</v>
      </c>
      <c r="AR2" t="s">
        <v>21</v>
      </c>
      <c r="AS2" t="s">
        <v>21</v>
      </c>
      <c r="AT2" t="s">
        <v>21</v>
      </c>
      <c r="AU2" t="s">
        <v>21</v>
      </c>
      <c r="AV2" t="s">
        <v>21</v>
      </c>
      <c r="AW2" t="s">
        <v>21</v>
      </c>
      <c r="AX2" t="s">
        <v>21</v>
      </c>
      <c r="AY2" t="s">
        <v>21</v>
      </c>
      <c r="AZ2" t="s">
        <v>21</v>
      </c>
      <c r="BA2" t="s">
        <v>21</v>
      </c>
      <c r="BB2" t="s">
        <v>21</v>
      </c>
      <c r="BC2" t="s">
        <v>21</v>
      </c>
      <c r="BD2" t="s">
        <v>21</v>
      </c>
      <c r="BE2" t="s">
        <v>21</v>
      </c>
      <c r="BF2" t="s">
        <v>21</v>
      </c>
      <c r="BG2">
        <v>135</v>
      </c>
      <c r="BH2" t="s">
        <v>21</v>
      </c>
      <c r="BI2">
        <v>133</v>
      </c>
    </row>
    <row r="3" spans="1:61" x14ac:dyDescent="0.25">
      <c r="A3" t="s">
        <v>75</v>
      </c>
      <c r="B3" s="2">
        <v>33390</v>
      </c>
      <c r="C3">
        <v>140</v>
      </c>
      <c r="D3">
        <v>130</v>
      </c>
      <c r="E3">
        <v>124</v>
      </c>
      <c r="F3" t="s">
        <v>21</v>
      </c>
      <c r="G3" t="s">
        <v>21</v>
      </c>
      <c r="H3" t="s">
        <v>21</v>
      </c>
      <c r="I3" t="s">
        <v>21</v>
      </c>
      <c r="J3" t="s">
        <v>21</v>
      </c>
      <c r="K3" t="s">
        <v>21</v>
      </c>
      <c r="L3" t="s">
        <v>21</v>
      </c>
      <c r="M3">
        <v>175</v>
      </c>
      <c r="N3">
        <v>157</v>
      </c>
      <c r="O3" t="s">
        <v>21</v>
      </c>
      <c r="P3">
        <v>175</v>
      </c>
      <c r="Q3" t="s">
        <v>21</v>
      </c>
      <c r="R3" t="s">
        <v>21</v>
      </c>
      <c r="S3" t="s">
        <v>21</v>
      </c>
      <c r="T3" t="s">
        <v>21</v>
      </c>
      <c r="U3" t="s">
        <v>21</v>
      </c>
      <c r="V3" t="s">
        <v>21</v>
      </c>
      <c r="W3" t="s">
        <v>21</v>
      </c>
      <c r="X3" t="s">
        <v>21</v>
      </c>
      <c r="Y3" t="s">
        <v>21</v>
      </c>
      <c r="Z3">
        <v>183</v>
      </c>
      <c r="AA3" t="s">
        <v>21</v>
      </c>
      <c r="AB3" t="s">
        <v>21</v>
      </c>
      <c r="AC3" t="s">
        <v>21</v>
      </c>
      <c r="AD3" t="s">
        <v>21</v>
      </c>
      <c r="AE3" t="s">
        <v>21</v>
      </c>
      <c r="AF3">
        <v>130</v>
      </c>
      <c r="AG3" t="s">
        <v>21</v>
      </c>
      <c r="AH3" t="s">
        <v>21</v>
      </c>
      <c r="AI3" t="s">
        <v>21</v>
      </c>
      <c r="AJ3" t="s">
        <v>21</v>
      </c>
      <c r="AK3" t="s">
        <v>21</v>
      </c>
      <c r="AL3" t="s">
        <v>21</v>
      </c>
      <c r="AM3" t="s">
        <v>21</v>
      </c>
      <c r="AN3" t="s">
        <v>21</v>
      </c>
      <c r="AO3" t="s">
        <v>21</v>
      </c>
      <c r="AP3" t="s">
        <v>21</v>
      </c>
      <c r="AQ3" t="s">
        <v>21</v>
      </c>
      <c r="AR3" t="s">
        <v>21</v>
      </c>
      <c r="AS3" t="s">
        <v>21</v>
      </c>
      <c r="AT3" t="s">
        <v>21</v>
      </c>
      <c r="AU3" t="s">
        <v>21</v>
      </c>
      <c r="AV3" t="s">
        <v>21</v>
      </c>
      <c r="AW3" t="s">
        <v>21</v>
      </c>
      <c r="AX3">
        <v>105</v>
      </c>
      <c r="AY3" t="s">
        <v>21</v>
      </c>
      <c r="AZ3" t="s">
        <v>21</v>
      </c>
      <c r="BA3" t="s">
        <v>21</v>
      </c>
      <c r="BB3" t="s">
        <v>21</v>
      </c>
      <c r="BC3" t="s">
        <v>21</v>
      </c>
      <c r="BD3">
        <v>110</v>
      </c>
      <c r="BE3" t="s">
        <v>21</v>
      </c>
      <c r="BF3" t="s">
        <v>21</v>
      </c>
      <c r="BG3">
        <v>139</v>
      </c>
      <c r="BH3">
        <v>107</v>
      </c>
      <c r="BI3">
        <v>136</v>
      </c>
    </row>
    <row r="4" spans="1:61" x14ac:dyDescent="0.25">
      <c r="B4" s="2">
        <v>33482</v>
      </c>
      <c r="C4">
        <v>137</v>
      </c>
      <c r="D4">
        <v>140</v>
      </c>
      <c r="E4">
        <v>128</v>
      </c>
      <c r="F4">
        <v>115</v>
      </c>
      <c r="G4" t="s">
        <v>21</v>
      </c>
      <c r="H4" t="s">
        <v>21</v>
      </c>
      <c r="I4">
        <v>104</v>
      </c>
      <c r="J4" t="s">
        <v>21</v>
      </c>
      <c r="K4" t="s">
        <v>21</v>
      </c>
      <c r="L4">
        <v>165</v>
      </c>
      <c r="M4">
        <v>135</v>
      </c>
      <c r="N4">
        <v>147</v>
      </c>
      <c r="O4">
        <v>278</v>
      </c>
      <c r="P4">
        <v>135</v>
      </c>
      <c r="Q4">
        <v>106</v>
      </c>
      <c r="R4" t="s">
        <v>21</v>
      </c>
      <c r="S4" t="s">
        <v>21</v>
      </c>
      <c r="T4">
        <v>88</v>
      </c>
      <c r="U4">
        <v>205</v>
      </c>
      <c r="V4" t="s">
        <v>21</v>
      </c>
      <c r="W4" t="s">
        <v>21</v>
      </c>
      <c r="X4" t="s">
        <v>21</v>
      </c>
      <c r="Y4" t="s">
        <v>21</v>
      </c>
      <c r="Z4">
        <v>273</v>
      </c>
      <c r="AA4">
        <v>134</v>
      </c>
      <c r="AB4" t="s">
        <v>21</v>
      </c>
      <c r="AC4" t="s">
        <v>21</v>
      </c>
      <c r="AD4" t="s">
        <v>21</v>
      </c>
      <c r="AE4" t="s">
        <v>21</v>
      </c>
      <c r="AF4">
        <v>120</v>
      </c>
      <c r="AG4">
        <v>193</v>
      </c>
      <c r="AH4">
        <v>104</v>
      </c>
      <c r="AI4" t="s">
        <v>21</v>
      </c>
      <c r="AJ4" t="s">
        <v>21</v>
      </c>
      <c r="AK4" t="s">
        <v>21</v>
      </c>
      <c r="AL4" t="s">
        <v>21</v>
      </c>
      <c r="AM4" t="s">
        <v>21</v>
      </c>
      <c r="AN4">
        <v>115</v>
      </c>
      <c r="AO4" t="s">
        <v>21</v>
      </c>
      <c r="AP4" t="s">
        <v>21</v>
      </c>
      <c r="AQ4" t="s">
        <v>21</v>
      </c>
      <c r="AR4">
        <v>104</v>
      </c>
      <c r="AS4" t="s">
        <v>21</v>
      </c>
      <c r="AT4">
        <v>146</v>
      </c>
      <c r="AU4" t="s">
        <v>21</v>
      </c>
      <c r="AV4" t="s">
        <v>21</v>
      </c>
      <c r="AW4" t="s">
        <v>21</v>
      </c>
      <c r="AX4">
        <v>115</v>
      </c>
      <c r="AY4" t="s">
        <v>21</v>
      </c>
      <c r="AZ4" t="s">
        <v>21</v>
      </c>
      <c r="BA4" t="s">
        <v>21</v>
      </c>
      <c r="BB4" t="s">
        <v>21</v>
      </c>
      <c r="BC4" t="s">
        <v>21</v>
      </c>
      <c r="BD4" t="s">
        <v>21</v>
      </c>
      <c r="BE4" t="s">
        <v>21</v>
      </c>
      <c r="BF4" t="s">
        <v>21</v>
      </c>
      <c r="BG4">
        <v>136</v>
      </c>
      <c r="BH4">
        <v>105</v>
      </c>
      <c r="BI4">
        <v>135</v>
      </c>
    </row>
    <row r="5" spans="1:61" x14ac:dyDescent="0.25">
      <c r="B5" s="2">
        <v>33573</v>
      </c>
      <c r="C5">
        <v>148</v>
      </c>
      <c r="D5">
        <v>153</v>
      </c>
      <c r="E5">
        <v>129</v>
      </c>
      <c r="F5">
        <v>116</v>
      </c>
      <c r="G5">
        <v>165</v>
      </c>
      <c r="H5">
        <v>146</v>
      </c>
      <c r="I5">
        <v>110</v>
      </c>
      <c r="J5">
        <v>198</v>
      </c>
      <c r="K5">
        <v>216</v>
      </c>
      <c r="L5">
        <v>155</v>
      </c>
      <c r="M5">
        <v>149</v>
      </c>
      <c r="N5">
        <v>142</v>
      </c>
      <c r="O5">
        <v>250</v>
      </c>
      <c r="P5">
        <v>144</v>
      </c>
      <c r="Q5">
        <v>105</v>
      </c>
      <c r="R5" t="s">
        <v>21</v>
      </c>
      <c r="S5" t="s">
        <v>21</v>
      </c>
      <c r="T5">
        <v>108</v>
      </c>
      <c r="U5">
        <v>185</v>
      </c>
      <c r="V5" t="s">
        <v>21</v>
      </c>
      <c r="W5">
        <v>134</v>
      </c>
      <c r="X5">
        <v>165</v>
      </c>
      <c r="Y5" t="s">
        <v>21</v>
      </c>
      <c r="Z5">
        <v>169</v>
      </c>
      <c r="AA5">
        <v>134</v>
      </c>
      <c r="AB5">
        <v>146</v>
      </c>
      <c r="AC5">
        <v>153</v>
      </c>
      <c r="AD5">
        <v>150</v>
      </c>
      <c r="AE5" t="s">
        <v>21</v>
      </c>
      <c r="AF5">
        <v>148</v>
      </c>
      <c r="AG5">
        <v>177</v>
      </c>
      <c r="AH5">
        <v>115</v>
      </c>
      <c r="AI5" t="s">
        <v>21</v>
      </c>
      <c r="AJ5" t="s">
        <v>21</v>
      </c>
      <c r="AK5" t="s">
        <v>21</v>
      </c>
      <c r="AL5" t="s">
        <v>21</v>
      </c>
      <c r="AM5">
        <v>155</v>
      </c>
      <c r="AN5" t="s">
        <v>21</v>
      </c>
      <c r="AO5" t="s">
        <v>21</v>
      </c>
      <c r="AP5">
        <v>172</v>
      </c>
      <c r="AQ5" t="s">
        <v>21</v>
      </c>
      <c r="AR5">
        <v>86</v>
      </c>
      <c r="AS5" t="s">
        <v>21</v>
      </c>
      <c r="AT5">
        <v>152</v>
      </c>
      <c r="AU5">
        <v>158</v>
      </c>
      <c r="AV5" t="s">
        <v>21</v>
      </c>
      <c r="AW5">
        <v>120</v>
      </c>
      <c r="AX5">
        <v>110</v>
      </c>
      <c r="AY5" t="s">
        <v>21</v>
      </c>
      <c r="AZ5" t="s">
        <v>21</v>
      </c>
      <c r="BA5">
        <v>110</v>
      </c>
      <c r="BB5" t="s">
        <v>21</v>
      </c>
      <c r="BC5">
        <v>119</v>
      </c>
      <c r="BD5">
        <v>118</v>
      </c>
      <c r="BE5">
        <v>115</v>
      </c>
      <c r="BF5" t="s">
        <v>21</v>
      </c>
      <c r="BG5">
        <v>146</v>
      </c>
      <c r="BH5">
        <v>93</v>
      </c>
      <c r="BI5">
        <v>143</v>
      </c>
    </row>
    <row r="6" spans="1:61" x14ac:dyDescent="0.25">
      <c r="B6" s="2">
        <v>33664</v>
      </c>
      <c r="C6">
        <v>145</v>
      </c>
      <c r="D6">
        <v>166</v>
      </c>
      <c r="E6" t="s">
        <v>21</v>
      </c>
      <c r="F6">
        <v>128</v>
      </c>
      <c r="G6" t="s">
        <v>21</v>
      </c>
      <c r="H6">
        <v>150</v>
      </c>
      <c r="I6">
        <v>116</v>
      </c>
      <c r="J6">
        <v>218</v>
      </c>
      <c r="K6">
        <v>220</v>
      </c>
      <c r="L6">
        <v>163</v>
      </c>
      <c r="M6">
        <v>165</v>
      </c>
      <c r="N6">
        <v>154</v>
      </c>
      <c r="O6">
        <v>187</v>
      </c>
      <c r="P6">
        <v>137</v>
      </c>
      <c r="Q6">
        <v>102</v>
      </c>
      <c r="R6">
        <v>145</v>
      </c>
      <c r="S6" t="s">
        <v>21</v>
      </c>
      <c r="T6">
        <v>106</v>
      </c>
      <c r="U6">
        <v>178</v>
      </c>
      <c r="V6" t="s">
        <v>21</v>
      </c>
      <c r="W6">
        <v>136</v>
      </c>
      <c r="X6">
        <v>163</v>
      </c>
      <c r="Y6">
        <v>216</v>
      </c>
      <c r="Z6">
        <v>175</v>
      </c>
      <c r="AA6">
        <v>130</v>
      </c>
      <c r="AB6">
        <v>150</v>
      </c>
      <c r="AC6">
        <v>150</v>
      </c>
      <c r="AD6">
        <v>165</v>
      </c>
      <c r="AE6" t="s">
        <v>21</v>
      </c>
      <c r="AF6">
        <v>135</v>
      </c>
      <c r="AG6">
        <v>193</v>
      </c>
      <c r="AH6">
        <v>122</v>
      </c>
      <c r="AI6" t="s">
        <v>21</v>
      </c>
      <c r="AJ6" t="s">
        <v>21</v>
      </c>
      <c r="AK6">
        <v>97</v>
      </c>
      <c r="AL6" t="s">
        <v>21</v>
      </c>
      <c r="AM6">
        <v>131</v>
      </c>
      <c r="AN6">
        <v>112</v>
      </c>
      <c r="AO6" t="s">
        <v>21</v>
      </c>
      <c r="AP6">
        <v>185</v>
      </c>
      <c r="AQ6">
        <v>104</v>
      </c>
      <c r="AR6">
        <v>90</v>
      </c>
      <c r="AS6" t="s">
        <v>21</v>
      </c>
      <c r="AT6">
        <v>152</v>
      </c>
      <c r="AU6">
        <v>159</v>
      </c>
      <c r="AV6" t="s">
        <v>21</v>
      </c>
      <c r="AW6">
        <v>118</v>
      </c>
      <c r="AX6">
        <v>116</v>
      </c>
      <c r="AY6" t="s">
        <v>21</v>
      </c>
      <c r="AZ6">
        <v>109</v>
      </c>
      <c r="BA6">
        <v>122</v>
      </c>
      <c r="BB6">
        <v>83</v>
      </c>
      <c r="BC6">
        <v>115</v>
      </c>
      <c r="BD6">
        <v>153</v>
      </c>
      <c r="BE6">
        <v>115</v>
      </c>
      <c r="BF6" t="s">
        <v>21</v>
      </c>
      <c r="BG6">
        <v>140</v>
      </c>
      <c r="BH6">
        <v>92</v>
      </c>
      <c r="BI6">
        <v>130</v>
      </c>
    </row>
    <row r="7" spans="1:61" x14ac:dyDescent="0.25">
      <c r="B7" s="2">
        <v>33756</v>
      </c>
      <c r="C7">
        <v>148</v>
      </c>
      <c r="D7">
        <v>183</v>
      </c>
      <c r="E7" t="s">
        <v>21</v>
      </c>
      <c r="F7">
        <v>132</v>
      </c>
      <c r="G7">
        <v>165</v>
      </c>
      <c r="H7">
        <v>190</v>
      </c>
      <c r="I7">
        <v>117</v>
      </c>
      <c r="J7">
        <v>235</v>
      </c>
      <c r="K7">
        <v>215</v>
      </c>
      <c r="L7">
        <v>164</v>
      </c>
      <c r="M7">
        <v>210</v>
      </c>
      <c r="N7">
        <v>168</v>
      </c>
      <c r="O7">
        <v>237</v>
      </c>
      <c r="P7">
        <v>138</v>
      </c>
      <c r="Q7">
        <v>94</v>
      </c>
      <c r="R7">
        <v>141</v>
      </c>
      <c r="S7" t="s">
        <v>21</v>
      </c>
      <c r="T7">
        <v>108</v>
      </c>
      <c r="U7">
        <v>175</v>
      </c>
      <c r="V7">
        <v>179</v>
      </c>
      <c r="W7">
        <v>137</v>
      </c>
      <c r="X7">
        <v>166</v>
      </c>
      <c r="Y7">
        <v>255</v>
      </c>
      <c r="Z7">
        <v>200</v>
      </c>
      <c r="AA7">
        <v>129</v>
      </c>
      <c r="AB7">
        <v>143</v>
      </c>
      <c r="AC7">
        <v>154</v>
      </c>
      <c r="AD7">
        <v>175</v>
      </c>
      <c r="AE7" t="s">
        <v>21</v>
      </c>
      <c r="AF7">
        <v>136</v>
      </c>
      <c r="AG7">
        <v>185</v>
      </c>
      <c r="AH7">
        <v>119</v>
      </c>
      <c r="AI7">
        <v>133</v>
      </c>
      <c r="AJ7" t="s">
        <v>21</v>
      </c>
      <c r="AK7">
        <v>100</v>
      </c>
      <c r="AL7" t="s">
        <v>21</v>
      </c>
      <c r="AM7">
        <v>137</v>
      </c>
      <c r="AN7">
        <v>105</v>
      </c>
      <c r="AO7" t="s">
        <v>21</v>
      </c>
      <c r="AP7">
        <v>169</v>
      </c>
      <c r="AQ7">
        <v>104</v>
      </c>
      <c r="AR7">
        <v>99</v>
      </c>
      <c r="AS7" t="s">
        <v>21</v>
      </c>
      <c r="AT7">
        <v>160</v>
      </c>
      <c r="AU7">
        <v>145</v>
      </c>
      <c r="AV7" t="s">
        <v>21</v>
      </c>
      <c r="AW7">
        <v>114</v>
      </c>
      <c r="AX7">
        <v>120</v>
      </c>
      <c r="AY7" t="s">
        <v>21</v>
      </c>
      <c r="AZ7" t="s">
        <v>21</v>
      </c>
      <c r="BA7">
        <v>125</v>
      </c>
      <c r="BB7">
        <v>92</v>
      </c>
      <c r="BC7">
        <v>118</v>
      </c>
      <c r="BD7">
        <v>140</v>
      </c>
      <c r="BE7">
        <v>109</v>
      </c>
      <c r="BF7" t="s">
        <v>21</v>
      </c>
      <c r="BG7">
        <v>145</v>
      </c>
      <c r="BH7">
        <v>99</v>
      </c>
      <c r="BI7">
        <v>138</v>
      </c>
    </row>
    <row r="8" spans="1:61" x14ac:dyDescent="0.25">
      <c r="B8" s="2">
        <v>33848</v>
      </c>
      <c r="C8">
        <v>150</v>
      </c>
      <c r="D8">
        <v>171</v>
      </c>
      <c r="E8">
        <v>144</v>
      </c>
      <c r="F8">
        <v>123</v>
      </c>
      <c r="G8">
        <v>163</v>
      </c>
      <c r="H8">
        <v>151</v>
      </c>
      <c r="I8">
        <v>113</v>
      </c>
      <c r="J8">
        <v>225</v>
      </c>
      <c r="K8">
        <v>218</v>
      </c>
      <c r="L8">
        <v>170</v>
      </c>
      <c r="M8">
        <v>175</v>
      </c>
      <c r="N8">
        <v>156</v>
      </c>
      <c r="O8">
        <v>205</v>
      </c>
      <c r="P8">
        <v>146</v>
      </c>
      <c r="Q8">
        <v>104</v>
      </c>
      <c r="R8">
        <v>147</v>
      </c>
      <c r="S8" t="s">
        <v>21</v>
      </c>
      <c r="T8">
        <v>108</v>
      </c>
      <c r="U8">
        <v>177</v>
      </c>
      <c r="V8" t="s">
        <v>21</v>
      </c>
      <c r="W8">
        <v>164</v>
      </c>
      <c r="X8">
        <v>167</v>
      </c>
      <c r="Y8">
        <v>225</v>
      </c>
      <c r="Z8">
        <v>210</v>
      </c>
      <c r="AA8">
        <v>135</v>
      </c>
      <c r="AB8">
        <v>145</v>
      </c>
      <c r="AC8">
        <v>159</v>
      </c>
      <c r="AD8">
        <v>149</v>
      </c>
      <c r="AE8" t="s">
        <v>21</v>
      </c>
      <c r="AF8">
        <v>133</v>
      </c>
      <c r="AG8">
        <v>183</v>
      </c>
      <c r="AH8">
        <v>117</v>
      </c>
      <c r="AI8" t="s">
        <v>21</v>
      </c>
      <c r="AJ8" t="s">
        <v>21</v>
      </c>
      <c r="AK8">
        <v>99</v>
      </c>
      <c r="AL8" t="s">
        <v>21</v>
      </c>
      <c r="AM8">
        <v>133</v>
      </c>
      <c r="AN8">
        <v>110</v>
      </c>
      <c r="AO8" t="s">
        <v>21</v>
      </c>
      <c r="AP8">
        <v>165</v>
      </c>
      <c r="AQ8">
        <v>100</v>
      </c>
      <c r="AR8">
        <v>90</v>
      </c>
      <c r="AS8" t="s">
        <v>21</v>
      </c>
      <c r="AT8">
        <v>165</v>
      </c>
      <c r="AU8">
        <v>152</v>
      </c>
      <c r="AV8" t="s">
        <v>21</v>
      </c>
      <c r="AW8">
        <v>115</v>
      </c>
      <c r="AX8">
        <v>118</v>
      </c>
      <c r="AY8" t="s">
        <v>21</v>
      </c>
      <c r="AZ8" t="s">
        <v>21</v>
      </c>
      <c r="BA8">
        <v>116</v>
      </c>
      <c r="BB8" t="s">
        <v>21</v>
      </c>
      <c r="BC8">
        <v>127</v>
      </c>
      <c r="BD8">
        <v>140</v>
      </c>
      <c r="BE8">
        <v>114</v>
      </c>
      <c r="BF8" t="s">
        <v>21</v>
      </c>
      <c r="BG8">
        <v>148</v>
      </c>
      <c r="BH8">
        <v>99</v>
      </c>
      <c r="BI8">
        <v>139</v>
      </c>
    </row>
    <row r="9" spans="1:61" x14ac:dyDescent="0.25">
      <c r="B9" s="2">
        <v>33939</v>
      </c>
      <c r="C9">
        <v>155</v>
      </c>
      <c r="D9">
        <v>180</v>
      </c>
      <c r="E9">
        <v>132</v>
      </c>
      <c r="F9">
        <v>121</v>
      </c>
      <c r="G9">
        <v>175</v>
      </c>
      <c r="H9">
        <v>153</v>
      </c>
      <c r="I9">
        <v>114</v>
      </c>
      <c r="J9">
        <v>208</v>
      </c>
      <c r="K9">
        <v>220</v>
      </c>
      <c r="L9">
        <v>172</v>
      </c>
      <c r="M9">
        <v>179</v>
      </c>
      <c r="N9">
        <v>168</v>
      </c>
      <c r="O9">
        <v>210</v>
      </c>
      <c r="P9">
        <v>148</v>
      </c>
      <c r="Q9">
        <v>118</v>
      </c>
      <c r="R9">
        <v>145</v>
      </c>
      <c r="S9" t="s">
        <v>21</v>
      </c>
      <c r="T9">
        <v>106</v>
      </c>
      <c r="U9">
        <v>183</v>
      </c>
      <c r="V9" t="s">
        <v>21</v>
      </c>
      <c r="W9">
        <v>150</v>
      </c>
      <c r="X9">
        <v>157</v>
      </c>
      <c r="Y9">
        <v>245</v>
      </c>
      <c r="Z9">
        <v>187</v>
      </c>
      <c r="AA9">
        <v>144</v>
      </c>
      <c r="AB9">
        <v>140</v>
      </c>
      <c r="AC9">
        <v>160</v>
      </c>
      <c r="AD9">
        <v>195</v>
      </c>
      <c r="AE9" t="s">
        <v>21</v>
      </c>
      <c r="AF9">
        <v>137</v>
      </c>
      <c r="AG9" t="s">
        <v>21</v>
      </c>
      <c r="AH9">
        <v>122</v>
      </c>
      <c r="AI9" t="s">
        <v>21</v>
      </c>
      <c r="AJ9" t="s">
        <v>21</v>
      </c>
      <c r="AK9">
        <v>100</v>
      </c>
      <c r="AL9" t="s">
        <v>21</v>
      </c>
      <c r="AM9">
        <v>141</v>
      </c>
      <c r="AN9">
        <v>106</v>
      </c>
      <c r="AO9" t="s">
        <v>21</v>
      </c>
      <c r="AP9">
        <v>188</v>
      </c>
      <c r="AQ9">
        <v>107</v>
      </c>
      <c r="AR9">
        <v>93</v>
      </c>
      <c r="AS9" t="s">
        <v>21</v>
      </c>
      <c r="AT9">
        <v>170</v>
      </c>
      <c r="AU9">
        <v>163</v>
      </c>
      <c r="AV9" t="s">
        <v>21</v>
      </c>
      <c r="AW9">
        <v>122</v>
      </c>
      <c r="AX9">
        <v>123</v>
      </c>
      <c r="AY9" t="s">
        <v>21</v>
      </c>
      <c r="AZ9">
        <v>183</v>
      </c>
      <c r="BA9">
        <v>130</v>
      </c>
      <c r="BB9" t="s">
        <v>21</v>
      </c>
      <c r="BC9">
        <v>124</v>
      </c>
      <c r="BD9" t="s">
        <v>21</v>
      </c>
      <c r="BE9">
        <v>111</v>
      </c>
      <c r="BF9" t="s">
        <v>21</v>
      </c>
      <c r="BG9">
        <v>152</v>
      </c>
      <c r="BH9">
        <v>91</v>
      </c>
      <c r="BI9">
        <v>140</v>
      </c>
    </row>
    <row r="10" spans="1:61" x14ac:dyDescent="0.25">
      <c r="B10" s="2">
        <v>34029</v>
      </c>
      <c r="C10">
        <v>154</v>
      </c>
      <c r="D10">
        <v>175</v>
      </c>
      <c r="E10">
        <v>125</v>
      </c>
      <c r="F10">
        <v>122</v>
      </c>
      <c r="G10">
        <v>185</v>
      </c>
      <c r="H10">
        <v>172</v>
      </c>
      <c r="I10">
        <v>110</v>
      </c>
      <c r="J10">
        <v>223</v>
      </c>
      <c r="K10">
        <v>236</v>
      </c>
      <c r="L10">
        <v>177</v>
      </c>
      <c r="M10">
        <v>207</v>
      </c>
      <c r="N10">
        <v>155</v>
      </c>
      <c r="O10">
        <v>179</v>
      </c>
      <c r="P10">
        <v>150</v>
      </c>
      <c r="Q10">
        <v>108</v>
      </c>
      <c r="R10">
        <v>148</v>
      </c>
      <c r="S10">
        <v>181</v>
      </c>
      <c r="T10">
        <v>106</v>
      </c>
      <c r="U10">
        <v>185</v>
      </c>
      <c r="V10">
        <v>280</v>
      </c>
      <c r="W10">
        <v>184</v>
      </c>
      <c r="X10">
        <v>158</v>
      </c>
      <c r="Y10">
        <v>268</v>
      </c>
      <c r="Z10">
        <v>188</v>
      </c>
      <c r="AA10">
        <v>139</v>
      </c>
      <c r="AB10">
        <v>148</v>
      </c>
      <c r="AC10">
        <v>164</v>
      </c>
      <c r="AD10">
        <v>199</v>
      </c>
      <c r="AE10" t="s">
        <v>21</v>
      </c>
      <c r="AF10">
        <v>132</v>
      </c>
      <c r="AG10">
        <v>182</v>
      </c>
      <c r="AH10">
        <v>117</v>
      </c>
      <c r="AI10">
        <v>128</v>
      </c>
      <c r="AJ10" t="s">
        <v>21</v>
      </c>
      <c r="AK10">
        <v>99</v>
      </c>
      <c r="AL10" t="s">
        <v>21</v>
      </c>
      <c r="AM10">
        <v>146</v>
      </c>
      <c r="AN10">
        <v>108</v>
      </c>
      <c r="AO10" t="s">
        <v>21</v>
      </c>
      <c r="AP10">
        <v>199</v>
      </c>
      <c r="AQ10">
        <v>111</v>
      </c>
      <c r="AR10">
        <v>112</v>
      </c>
      <c r="AS10" t="s">
        <v>21</v>
      </c>
      <c r="AT10">
        <v>175</v>
      </c>
      <c r="AU10">
        <v>156</v>
      </c>
      <c r="AV10" t="s">
        <v>21</v>
      </c>
      <c r="AW10">
        <v>125</v>
      </c>
      <c r="AX10">
        <v>124</v>
      </c>
      <c r="AY10" t="s">
        <v>21</v>
      </c>
      <c r="AZ10" t="s">
        <v>21</v>
      </c>
      <c r="BA10">
        <v>127</v>
      </c>
      <c r="BB10" t="s">
        <v>21</v>
      </c>
      <c r="BC10">
        <v>127</v>
      </c>
      <c r="BD10" t="s">
        <v>21</v>
      </c>
      <c r="BE10">
        <v>112</v>
      </c>
      <c r="BF10" t="s">
        <v>21</v>
      </c>
      <c r="BG10">
        <v>150</v>
      </c>
      <c r="BH10">
        <v>97</v>
      </c>
      <c r="BI10">
        <v>141</v>
      </c>
    </row>
    <row r="11" spans="1:61" x14ac:dyDescent="0.25">
      <c r="B11" s="2">
        <v>34121</v>
      </c>
      <c r="C11">
        <v>155</v>
      </c>
      <c r="D11">
        <v>174</v>
      </c>
      <c r="E11">
        <v>127</v>
      </c>
      <c r="F11">
        <v>122</v>
      </c>
      <c r="G11">
        <v>185</v>
      </c>
      <c r="H11">
        <v>158</v>
      </c>
      <c r="I11">
        <v>121</v>
      </c>
      <c r="J11">
        <v>215</v>
      </c>
      <c r="K11">
        <v>230</v>
      </c>
      <c r="L11">
        <v>172</v>
      </c>
      <c r="M11">
        <v>184</v>
      </c>
      <c r="N11">
        <v>165</v>
      </c>
      <c r="O11">
        <v>214</v>
      </c>
      <c r="P11">
        <v>148</v>
      </c>
      <c r="Q11">
        <v>100</v>
      </c>
      <c r="R11">
        <v>149</v>
      </c>
      <c r="S11">
        <v>146</v>
      </c>
      <c r="T11">
        <v>110</v>
      </c>
      <c r="U11">
        <v>195</v>
      </c>
      <c r="V11">
        <v>297</v>
      </c>
      <c r="W11">
        <v>146</v>
      </c>
      <c r="X11">
        <v>160</v>
      </c>
      <c r="Y11">
        <v>310</v>
      </c>
      <c r="Z11">
        <v>220</v>
      </c>
      <c r="AA11">
        <v>137</v>
      </c>
      <c r="AB11">
        <v>155</v>
      </c>
      <c r="AC11">
        <v>149</v>
      </c>
      <c r="AD11">
        <v>181</v>
      </c>
      <c r="AE11" t="s">
        <v>21</v>
      </c>
      <c r="AF11">
        <v>133</v>
      </c>
      <c r="AG11">
        <v>212</v>
      </c>
      <c r="AH11">
        <v>124</v>
      </c>
      <c r="AI11" t="s">
        <v>21</v>
      </c>
      <c r="AJ11" t="s">
        <v>21</v>
      </c>
      <c r="AK11">
        <v>103</v>
      </c>
      <c r="AL11" t="s">
        <v>21</v>
      </c>
      <c r="AM11">
        <v>139</v>
      </c>
      <c r="AN11">
        <v>113</v>
      </c>
      <c r="AO11" t="s">
        <v>21</v>
      </c>
      <c r="AP11">
        <v>200</v>
      </c>
      <c r="AQ11">
        <v>110</v>
      </c>
      <c r="AR11">
        <v>101</v>
      </c>
      <c r="AS11" t="s">
        <v>21</v>
      </c>
      <c r="AT11">
        <v>175</v>
      </c>
      <c r="AU11">
        <v>153</v>
      </c>
      <c r="AV11" t="s">
        <v>21</v>
      </c>
      <c r="AW11">
        <v>125</v>
      </c>
      <c r="AX11">
        <v>121</v>
      </c>
      <c r="AY11" t="s">
        <v>21</v>
      </c>
      <c r="AZ11" t="s">
        <v>21</v>
      </c>
      <c r="BA11">
        <v>126</v>
      </c>
      <c r="BB11" t="s">
        <v>21</v>
      </c>
      <c r="BC11">
        <v>122</v>
      </c>
      <c r="BD11" t="s">
        <v>21</v>
      </c>
      <c r="BE11">
        <v>117</v>
      </c>
      <c r="BF11" t="s">
        <v>21</v>
      </c>
      <c r="BG11">
        <v>150</v>
      </c>
      <c r="BH11">
        <v>95</v>
      </c>
      <c r="BI11">
        <v>141</v>
      </c>
    </row>
    <row r="12" spans="1:61" x14ac:dyDescent="0.25">
      <c r="B12" s="2">
        <v>34213</v>
      </c>
      <c r="C12">
        <v>156</v>
      </c>
      <c r="D12">
        <v>179</v>
      </c>
      <c r="E12">
        <v>124</v>
      </c>
      <c r="F12">
        <v>126</v>
      </c>
      <c r="G12">
        <v>183</v>
      </c>
      <c r="H12">
        <v>172</v>
      </c>
      <c r="I12">
        <v>123</v>
      </c>
      <c r="J12">
        <v>235</v>
      </c>
      <c r="K12">
        <v>229</v>
      </c>
      <c r="L12">
        <v>182</v>
      </c>
      <c r="M12">
        <v>163</v>
      </c>
      <c r="N12">
        <v>173</v>
      </c>
      <c r="O12">
        <v>216</v>
      </c>
      <c r="P12">
        <v>152</v>
      </c>
      <c r="Q12">
        <v>112</v>
      </c>
      <c r="R12">
        <v>144</v>
      </c>
      <c r="S12">
        <v>155</v>
      </c>
      <c r="T12">
        <v>107</v>
      </c>
      <c r="U12">
        <v>185</v>
      </c>
      <c r="V12">
        <v>283</v>
      </c>
      <c r="W12">
        <v>174</v>
      </c>
      <c r="X12">
        <v>172</v>
      </c>
      <c r="Y12">
        <v>265</v>
      </c>
      <c r="Z12">
        <v>200</v>
      </c>
      <c r="AA12">
        <v>148</v>
      </c>
      <c r="AB12">
        <v>150</v>
      </c>
      <c r="AC12">
        <v>153</v>
      </c>
      <c r="AD12">
        <v>180</v>
      </c>
      <c r="AE12" t="s">
        <v>21</v>
      </c>
      <c r="AF12">
        <v>135</v>
      </c>
      <c r="AG12">
        <v>214</v>
      </c>
      <c r="AH12">
        <v>127</v>
      </c>
      <c r="AI12">
        <v>130</v>
      </c>
      <c r="AJ12" t="s">
        <v>21</v>
      </c>
      <c r="AK12">
        <v>103</v>
      </c>
      <c r="AL12" t="s">
        <v>21</v>
      </c>
      <c r="AM12">
        <v>141</v>
      </c>
      <c r="AN12">
        <v>114</v>
      </c>
      <c r="AO12" t="s">
        <v>21</v>
      </c>
      <c r="AP12">
        <v>192</v>
      </c>
      <c r="AQ12">
        <v>115</v>
      </c>
      <c r="AR12">
        <v>104</v>
      </c>
      <c r="AS12" t="s">
        <v>21</v>
      </c>
      <c r="AT12">
        <v>175</v>
      </c>
      <c r="AU12">
        <v>161</v>
      </c>
      <c r="AV12" t="s">
        <v>21</v>
      </c>
      <c r="AW12">
        <v>125</v>
      </c>
      <c r="AX12">
        <v>120</v>
      </c>
      <c r="AY12" t="s">
        <v>21</v>
      </c>
      <c r="AZ12" t="s">
        <v>21</v>
      </c>
      <c r="BA12">
        <v>126</v>
      </c>
      <c r="BB12">
        <v>103</v>
      </c>
      <c r="BC12">
        <v>116</v>
      </c>
      <c r="BD12" t="s">
        <v>21</v>
      </c>
      <c r="BE12">
        <v>118</v>
      </c>
      <c r="BF12" t="s">
        <v>21</v>
      </c>
      <c r="BG12">
        <v>153</v>
      </c>
      <c r="BH12">
        <v>99</v>
      </c>
      <c r="BI12">
        <v>144</v>
      </c>
    </row>
    <row r="13" spans="1:61" x14ac:dyDescent="0.25">
      <c r="B13" s="2">
        <v>34304</v>
      </c>
      <c r="C13">
        <v>155</v>
      </c>
      <c r="D13">
        <v>180</v>
      </c>
      <c r="E13">
        <v>129</v>
      </c>
      <c r="F13">
        <v>131</v>
      </c>
      <c r="G13">
        <v>187</v>
      </c>
      <c r="H13">
        <v>205</v>
      </c>
      <c r="I13">
        <v>118</v>
      </c>
      <c r="J13">
        <v>230</v>
      </c>
      <c r="K13">
        <v>229</v>
      </c>
      <c r="L13">
        <v>181</v>
      </c>
      <c r="M13">
        <v>197</v>
      </c>
      <c r="N13">
        <v>133</v>
      </c>
      <c r="O13">
        <v>240</v>
      </c>
      <c r="P13">
        <v>153</v>
      </c>
      <c r="Q13">
        <v>123</v>
      </c>
      <c r="R13">
        <v>155</v>
      </c>
      <c r="S13">
        <v>176</v>
      </c>
      <c r="T13">
        <v>111</v>
      </c>
      <c r="U13">
        <v>244</v>
      </c>
      <c r="V13">
        <v>241</v>
      </c>
      <c r="W13">
        <v>150</v>
      </c>
      <c r="X13">
        <v>164</v>
      </c>
      <c r="Y13">
        <v>255</v>
      </c>
      <c r="Z13">
        <v>196</v>
      </c>
      <c r="AA13">
        <v>149</v>
      </c>
      <c r="AB13">
        <v>150</v>
      </c>
      <c r="AC13">
        <v>153</v>
      </c>
      <c r="AD13">
        <v>200</v>
      </c>
      <c r="AE13" t="s">
        <v>21</v>
      </c>
      <c r="AF13">
        <v>130</v>
      </c>
      <c r="AG13">
        <v>220</v>
      </c>
      <c r="AH13">
        <v>128</v>
      </c>
      <c r="AI13">
        <v>125</v>
      </c>
      <c r="AJ13" t="s">
        <v>21</v>
      </c>
      <c r="AK13">
        <v>103</v>
      </c>
      <c r="AL13" t="s">
        <v>21</v>
      </c>
      <c r="AM13">
        <v>136</v>
      </c>
      <c r="AN13">
        <v>115</v>
      </c>
      <c r="AO13" t="s">
        <v>21</v>
      </c>
      <c r="AP13">
        <v>187</v>
      </c>
      <c r="AQ13">
        <v>117</v>
      </c>
      <c r="AR13">
        <v>120</v>
      </c>
      <c r="AS13" t="s">
        <v>21</v>
      </c>
      <c r="AT13">
        <v>160</v>
      </c>
      <c r="AU13">
        <v>162</v>
      </c>
      <c r="AV13" t="s">
        <v>21</v>
      </c>
      <c r="AW13">
        <v>120</v>
      </c>
      <c r="AX13">
        <v>123</v>
      </c>
      <c r="AY13" t="s">
        <v>21</v>
      </c>
      <c r="AZ13" t="s">
        <v>21</v>
      </c>
      <c r="BA13">
        <v>129</v>
      </c>
      <c r="BB13" t="s">
        <v>21</v>
      </c>
      <c r="BC13">
        <v>125</v>
      </c>
      <c r="BD13" t="s">
        <v>21</v>
      </c>
      <c r="BE13">
        <v>120</v>
      </c>
      <c r="BF13" t="s">
        <v>21</v>
      </c>
      <c r="BG13">
        <v>154</v>
      </c>
      <c r="BH13">
        <v>100</v>
      </c>
      <c r="BI13">
        <v>146</v>
      </c>
    </row>
    <row r="14" spans="1:61" x14ac:dyDescent="0.25">
      <c r="B14" s="2">
        <v>34394</v>
      </c>
      <c r="C14">
        <v>158</v>
      </c>
      <c r="D14">
        <v>185</v>
      </c>
      <c r="E14">
        <v>137</v>
      </c>
      <c r="F14">
        <v>124</v>
      </c>
      <c r="G14">
        <v>176</v>
      </c>
      <c r="H14">
        <v>195</v>
      </c>
      <c r="I14">
        <v>122</v>
      </c>
      <c r="J14">
        <v>237</v>
      </c>
      <c r="K14" t="s">
        <v>21</v>
      </c>
      <c r="L14">
        <v>190</v>
      </c>
      <c r="M14">
        <v>205</v>
      </c>
      <c r="N14">
        <v>198</v>
      </c>
      <c r="O14">
        <v>237</v>
      </c>
      <c r="P14">
        <v>155</v>
      </c>
      <c r="Q14">
        <v>108</v>
      </c>
      <c r="R14">
        <v>153</v>
      </c>
      <c r="S14">
        <v>162</v>
      </c>
      <c r="T14">
        <v>110</v>
      </c>
      <c r="U14">
        <v>220</v>
      </c>
      <c r="V14">
        <v>165</v>
      </c>
      <c r="W14">
        <v>149</v>
      </c>
      <c r="X14">
        <v>172</v>
      </c>
      <c r="Y14">
        <v>253</v>
      </c>
      <c r="Z14">
        <v>206</v>
      </c>
      <c r="AA14">
        <v>150</v>
      </c>
      <c r="AB14">
        <v>155</v>
      </c>
      <c r="AC14">
        <v>153</v>
      </c>
      <c r="AD14">
        <v>210</v>
      </c>
      <c r="AE14" t="s">
        <v>21</v>
      </c>
      <c r="AF14">
        <v>130</v>
      </c>
      <c r="AG14">
        <v>219</v>
      </c>
      <c r="AH14">
        <v>117</v>
      </c>
      <c r="AI14">
        <v>139</v>
      </c>
      <c r="AJ14" t="s">
        <v>21</v>
      </c>
      <c r="AK14">
        <v>105</v>
      </c>
      <c r="AL14" t="s">
        <v>21</v>
      </c>
      <c r="AM14">
        <v>152</v>
      </c>
      <c r="AN14">
        <v>111</v>
      </c>
      <c r="AO14" t="s">
        <v>21</v>
      </c>
      <c r="AP14">
        <v>191</v>
      </c>
      <c r="AQ14">
        <v>115</v>
      </c>
      <c r="AR14">
        <v>109</v>
      </c>
      <c r="AS14" t="s">
        <v>21</v>
      </c>
      <c r="AT14" t="s">
        <v>21</v>
      </c>
      <c r="AU14" t="s">
        <v>21</v>
      </c>
      <c r="AV14" t="s">
        <v>21</v>
      </c>
      <c r="AW14">
        <v>130</v>
      </c>
      <c r="AX14">
        <v>120</v>
      </c>
      <c r="AY14" t="s">
        <v>21</v>
      </c>
      <c r="AZ14">
        <v>150</v>
      </c>
      <c r="BA14">
        <v>131</v>
      </c>
      <c r="BB14">
        <v>96</v>
      </c>
      <c r="BC14">
        <v>125</v>
      </c>
      <c r="BD14" t="s">
        <v>21</v>
      </c>
      <c r="BE14">
        <v>118</v>
      </c>
      <c r="BF14" t="s">
        <v>21</v>
      </c>
      <c r="BG14">
        <v>155</v>
      </c>
      <c r="BH14">
        <v>102</v>
      </c>
      <c r="BI14">
        <v>147</v>
      </c>
    </row>
    <row r="15" spans="1:61" x14ac:dyDescent="0.25">
      <c r="B15" s="2">
        <v>34486</v>
      </c>
      <c r="C15">
        <v>159</v>
      </c>
      <c r="D15">
        <v>185</v>
      </c>
      <c r="E15">
        <v>130</v>
      </c>
      <c r="F15">
        <v>135</v>
      </c>
      <c r="G15">
        <v>202</v>
      </c>
      <c r="H15">
        <v>181</v>
      </c>
      <c r="I15">
        <v>127</v>
      </c>
      <c r="J15">
        <v>264</v>
      </c>
      <c r="K15" t="s">
        <v>21</v>
      </c>
      <c r="L15">
        <v>203</v>
      </c>
      <c r="M15">
        <v>214</v>
      </c>
      <c r="N15">
        <v>186</v>
      </c>
      <c r="O15">
        <v>247</v>
      </c>
      <c r="P15">
        <v>157</v>
      </c>
      <c r="Q15">
        <v>114</v>
      </c>
      <c r="R15">
        <v>160</v>
      </c>
      <c r="S15">
        <v>178</v>
      </c>
      <c r="T15">
        <v>113</v>
      </c>
      <c r="U15">
        <v>220</v>
      </c>
      <c r="V15" t="s">
        <v>21</v>
      </c>
      <c r="W15">
        <v>152</v>
      </c>
      <c r="X15">
        <v>172</v>
      </c>
      <c r="Y15">
        <v>291</v>
      </c>
      <c r="Z15">
        <v>231</v>
      </c>
      <c r="AA15">
        <v>147</v>
      </c>
      <c r="AB15">
        <v>160</v>
      </c>
      <c r="AC15">
        <v>157</v>
      </c>
      <c r="AD15">
        <v>212</v>
      </c>
      <c r="AE15" t="s">
        <v>21</v>
      </c>
      <c r="AF15">
        <v>130</v>
      </c>
      <c r="AG15">
        <v>217</v>
      </c>
      <c r="AH15">
        <v>127</v>
      </c>
      <c r="AI15">
        <v>156</v>
      </c>
      <c r="AJ15" t="s">
        <v>21</v>
      </c>
      <c r="AK15">
        <v>105</v>
      </c>
      <c r="AL15" t="s">
        <v>21</v>
      </c>
      <c r="AM15">
        <v>146</v>
      </c>
      <c r="AN15">
        <v>114</v>
      </c>
      <c r="AO15" t="s">
        <v>21</v>
      </c>
      <c r="AP15">
        <v>205</v>
      </c>
      <c r="AQ15">
        <v>113</v>
      </c>
      <c r="AR15">
        <v>107</v>
      </c>
      <c r="AS15" t="s">
        <v>21</v>
      </c>
      <c r="AT15" t="s">
        <v>21</v>
      </c>
      <c r="AU15" t="s">
        <v>21</v>
      </c>
      <c r="AV15" t="s">
        <v>21</v>
      </c>
      <c r="AW15">
        <v>128</v>
      </c>
      <c r="AX15">
        <v>121</v>
      </c>
      <c r="AY15" t="s">
        <v>21</v>
      </c>
      <c r="AZ15" t="s">
        <v>21</v>
      </c>
      <c r="BA15">
        <v>125</v>
      </c>
      <c r="BB15" t="s">
        <v>21</v>
      </c>
      <c r="BC15">
        <v>128</v>
      </c>
      <c r="BD15" t="s">
        <v>21</v>
      </c>
      <c r="BE15">
        <v>118</v>
      </c>
      <c r="BF15" t="s">
        <v>21</v>
      </c>
      <c r="BG15">
        <v>155</v>
      </c>
      <c r="BH15">
        <v>104</v>
      </c>
      <c r="BI15">
        <v>150</v>
      </c>
    </row>
    <row r="16" spans="1:61" x14ac:dyDescent="0.25">
      <c r="B16" s="2">
        <v>34578</v>
      </c>
      <c r="C16">
        <v>170</v>
      </c>
      <c r="D16">
        <v>204</v>
      </c>
      <c r="E16">
        <v>134</v>
      </c>
      <c r="F16">
        <v>129</v>
      </c>
      <c r="G16">
        <v>186</v>
      </c>
      <c r="H16">
        <v>215</v>
      </c>
      <c r="I16">
        <v>135</v>
      </c>
      <c r="J16">
        <v>273</v>
      </c>
      <c r="K16">
        <v>274</v>
      </c>
      <c r="L16">
        <v>212</v>
      </c>
      <c r="M16">
        <v>203</v>
      </c>
      <c r="N16">
        <v>220</v>
      </c>
      <c r="O16">
        <v>386</v>
      </c>
      <c r="P16">
        <v>164</v>
      </c>
      <c r="Q16">
        <v>125</v>
      </c>
      <c r="R16">
        <v>159</v>
      </c>
      <c r="S16">
        <v>190</v>
      </c>
      <c r="T16">
        <v>111</v>
      </c>
      <c r="U16">
        <v>208</v>
      </c>
      <c r="V16">
        <v>250</v>
      </c>
      <c r="W16">
        <v>156</v>
      </c>
      <c r="X16">
        <v>175</v>
      </c>
      <c r="Y16">
        <v>286</v>
      </c>
      <c r="Z16">
        <v>220</v>
      </c>
      <c r="AA16">
        <v>157</v>
      </c>
      <c r="AB16">
        <v>156</v>
      </c>
      <c r="AC16">
        <v>164</v>
      </c>
      <c r="AD16">
        <v>227</v>
      </c>
      <c r="AE16">
        <v>245</v>
      </c>
      <c r="AF16">
        <v>146</v>
      </c>
      <c r="AG16">
        <v>233</v>
      </c>
      <c r="AH16">
        <v>117</v>
      </c>
      <c r="AI16">
        <v>144</v>
      </c>
      <c r="AJ16">
        <v>139</v>
      </c>
      <c r="AK16">
        <v>103</v>
      </c>
      <c r="AL16">
        <v>98</v>
      </c>
      <c r="AM16">
        <v>150</v>
      </c>
      <c r="AN16">
        <v>118</v>
      </c>
      <c r="AO16">
        <v>148</v>
      </c>
      <c r="AP16">
        <v>199</v>
      </c>
      <c r="AQ16">
        <v>96</v>
      </c>
      <c r="AR16">
        <v>122</v>
      </c>
      <c r="AS16">
        <v>185</v>
      </c>
      <c r="AT16">
        <v>181</v>
      </c>
      <c r="AU16">
        <v>175</v>
      </c>
      <c r="AV16" t="s">
        <v>21</v>
      </c>
      <c r="AW16">
        <v>126</v>
      </c>
      <c r="AX16">
        <v>124</v>
      </c>
      <c r="AY16" t="s">
        <v>21</v>
      </c>
      <c r="AZ16">
        <v>117</v>
      </c>
      <c r="BA16">
        <v>125</v>
      </c>
      <c r="BB16" t="s">
        <v>21</v>
      </c>
      <c r="BC16">
        <v>124</v>
      </c>
      <c r="BD16">
        <v>140</v>
      </c>
      <c r="BE16">
        <v>117</v>
      </c>
      <c r="BF16">
        <v>124</v>
      </c>
      <c r="BG16">
        <v>165</v>
      </c>
      <c r="BH16">
        <v>110</v>
      </c>
      <c r="BI16">
        <v>158</v>
      </c>
    </row>
    <row r="17" spans="2:61" x14ac:dyDescent="0.25">
      <c r="B17" s="2">
        <v>34669</v>
      </c>
      <c r="C17">
        <v>173</v>
      </c>
      <c r="D17">
        <v>205</v>
      </c>
      <c r="E17">
        <v>143</v>
      </c>
      <c r="F17">
        <v>136</v>
      </c>
      <c r="G17">
        <v>155</v>
      </c>
      <c r="H17">
        <v>220</v>
      </c>
      <c r="I17">
        <v>125</v>
      </c>
      <c r="J17">
        <v>246</v>
      </c>
      <c r="K17">
        <v>268</v>
      </c>
      <c r="L17">
        <v>205</v>
      </c>
      <c r="M17">
        <v>219</v>
      </c>
      <c r="N17">
        <v>220</v>
      </c>
      <c r="O17">
        <v>272</v>
      </c>
      <c r="P17">
        <v>170</v>
      </c>
      <c r="Q17">
        <v>132</v>
      </c>
      <c r="R17">
        <v>159</v>
      </c>
      <c r="S17">
        <v>214</v>
      </c>
      <c r="T17">
        <v>115</v>
      </c>
      <c r="U17">
        <v>225</v>
      </c>
      <c r="V17">
        <v>228</v>
      </c>
      <c r="W17">
        <v>159</v>
      </c>
      <c r="X17">
        <v>176</v>
      </c>
      <c r="Y17">
        <v>268</v>
      </c>
      <c r="Z17">
        <v>245</v>
      </c>
      <c r="AA17">
        <v>155</v>
      </c>
      <c r="AB17">
        <v>165</v>
      </c>
      <c r="AC17">
        <v>159</v>
      </c>
      <c r="AD17">
        <v>185</v>
      </c>
      <c r="AE17">
        <v>290</v>
      </c>
      <c r="AF17">
        <v>146</v>
      </c>
      <c r="AG17">
        <v>223</v>
      </c>
      <c r="AH17">
        <v>122</v>
      </c>
      <c r="AI17">
        <v>133</v>
      </c>
      <c r="AJ17">
        <v>114</v>
      </c>
      <c r="AK17">
        <v>104</v>
      </c>
      <c r="AL17">
        <v>101</v>
      </c>
      <c r="AM17">
        <v>145</v>
      </c>
      <c r="AN17">
        <v>110</v>
      </c>
      <c r="AO17">
        <v>120</v>
      </c>
      <c r="AP17">
        <v>204</v>
      </c>
      <c r="AQ17">
        <v>93</v>
      </c>
      <c r="AR17">
        <v>120</v>
      </c>
      <c r="AS17">
        <v>180</v>
      </c>
      <c r="AT17">
        <v>180</v>
      </c>
      <c r="AU17">
        <v>175</v>
      </c>
      <c r="AV17" t="s">
        <v>21</v>
      </c>
      <c r="AW17">
        <v>130</v>
      </c>
      <c r="AX17">
        <v>127</v>
      </c>
      <c r="AY17" t="s">
        <v>21</v>
      </c>
      <c r="AZ17">
        <v>165</v>
      </c>
      <c r="BA17">
        <v>125</v>
      </c>
      <c r="BB17">
        <v>116</v>
      </c>
      <c r="BC17">
        <v>125</v>
      </c>
      <c r="BD17">
        <v>140</v>
      </c>
      <c r="BE17">
        <v>125</v>
      </c>
      <c r="BF17">
        <v>137</v>
      </c>
      <c r="BG17">
        <v>169</v>
      </c>
      <c r="BH17">
        <v>110</v>
      </c>
      <c r="BI17">
        <v>160</v>
      </c>
    </row>
    <row r="18" spans="2:61" x14ac:dyDescent="0.25">
      <c r="B18" s="2">
        <v>34759</v>
      </c>
      <c r="C18">
        <v>172</v>
      </c>
      <c r="D18">
        <v>210</v>
      </c>
      <c r="E18">
        <v>132</v>
      </c>
      <c r="F18">
        <v>139</v>
      </c>
      <c r="G18">
        <v>173</v>
      </c>
      <c r="H18">
        <v>182</v>
      </c>
      <c r="I18">
        <v>115</v>
      </c>
      <c r="J18">
        <v>275</v>
      </c>
      <c r="K18">
        <v>255</v>
      </c>
      <c r="L18">
        <v>210</v>
      </c>
      <c r="M18">
        <v>212</v>
      </c>
      <c r="N18">
        <v>190</v>
      </c>
      <c r="O18">
        <v>274</v>
      </c>
      <c r="P18">
        <v>168</v>
      </c>
      <c r="Q18">
        <v>114</v>
      </c>
      <c r="R18">
        <v>165</v>
      </c>
      <c r="S18">
        <v>177</v>
      </c>
      <c r="T18">
        <v>110</v>
      </c>
      <c r="U18">
        <v>252</v>
      </c>
      <c r="V18">
        <v>198</v>
      </c>
      <c r="W18">
        <v>151</v>
      </c>
      <c r="X18">
        <v>175</v>
      </c>
      <c r="Y18">
        <v>250</v>
      </c>
      <c r="Z18">
        <v>223</v>
      </c>
      <c r="AA18">
        <v>165</v>
      </c>
      <c r="AB18">
        <v>164</v>
      </c>
      <c r="AC18">
        <v>163</v>
      </c>
      <c r="AD18">
        <v>242</v>
      </c>
      <c r="AE18">
        <v>245</v>
      </c>
      <c r="AF18">
        <v>145</v>
      </c>
      <c r="AG18">
        <v>201</v>
      </c>
      <c r="AH18">
        <v>120</v>
      </c>
      <c r="AI18" t="s">
        <v>21</v>
      </c>
      <c r="AJ18">
        <v>136</v>
      </c>
      <c r="AK18">
        <v>105</v>
      </c>
      <c r="AL18">
        <v>102</v>
      </c>
      <c r="AM18">
        <v>145</v>
      </c>
      <c r="AN18">
        <v>118</v>
      </c>
      <c r="AO18">
        <v>143</v>
      </c>
      <c r="AP18">
        <v>185</v>
      </c>
      <c r="AQ18">
        <v>115</v>
      </c>
      <c r="AR18">
        <v>112</v>
      </c>
      <c r="AS18">
        <v>188</v>
      </c>
      <c r="AT18">
        <v>180</v>
      </c>
      <c r="AU18">
        <v>176</v>
      </c>
      <c r="AV18" t="s">
        <v>21</v>
      </c>
      <c r="AW18">
        <v>147</v>
      </c>
      <c r="AX18">
        <v>125</v>
      </c>
      <c r="AY18" t="s">
        <v>21</v>
      </c>
      <c r="AZ18" t="s">
        <v>21</v>
      </c>
      <c r="BA18">
        <v>130</v>
      </c>
      <c r="BB18" t="s">
        <v>21</v>
      </c>
      <c r="BC18">
        <v>126</v>
      </c>
      <c r="BD18">
        <v>139</v>
      </c>
      <c r="BE18">
        <v>117</v>
      </c>
      <c r="BF18">
        <v>125</v>
      </c>
      <c r="BG18">
        <v>168</v>
      </c>
      <c r="BH18">
        <v>110</v>
      </c>
      <c r="BI18">
        <v>159</v>
      </c>
    </row>
    <row r="19" spans="2:61" x14ac:dyDescent="0.25">
      <c r="B19" s="2">
        <v>34851</v>
      </c>
      <c r="C19">
        <v>173</v>
      </c>
      <c r="D19">
        <v>208</v>
      </c>
      <c r="E19">
        <v>146</v>
      </c>
      <c r="F19">
        <v>135</v>
      </c>
      <c r="G19">
        <v>175</v>
      </c>
      <c r="H19">
        <v>195</v>
      </c>
      <c r="I19">
        <v>120</v>
      </c>
      <c r="J19">
        <v>235</v>
      </c>
      <c r="K19">
        <v>255</v>
      </c>
      <c r="L19">
        <v>199</v>
      </c>
      <c r="M19">
        <v>212</v>
      </c>
      <c r="N19">
        <v>217</v>
      </c>
      <c r="O19">
        <v>260</v>
      </c>
      <c r="P19">
        <v>165</v>
      </c>
      <c r="Q19">
        <v>110</v>
      </c>
      <c r="R19">
        <v>162</v>
      </c>
      <c r="S19">
        <v>178</v>
      </c>
      <c r="T19">
        <v>115</v>
      </c>
      <c r="U19">
        <v>213</v>
      </c>
      <c r="V19">
        <v>210</v>
      </c>
      <c r="W19">
        <v>154</v>
      </c>
      <c r="X19">
        <v>176</v>
      </c>
      <c r="Y19">
        <v>277</v>
      </c>
      <c r="Z19">
        <v>233</v>
      </c>
      <c r="AA19">
        <v>155</v>
      </c>
      <c r="AB19">
        <v>170</v>
      </c>
      <c r="AC19">
        <v>160</v>
      </c>
      <c r="AD19">
        <v>135</v>
      </c>
      <c r="AE19">
        <v>246</v>
      </c>
      <c r="AF19">
        <v>147</v>
      </c>
      <c r="AG19">
        <v>202</v>
      </c>
      <c r="AH19">
        <v>114</v>
      </c>
      <c r="AI19" t="s">
        <v>21</v>
      </c>
      <c r="AJ19" t="s">
        <v>21</v>
      </c>
      <c r="AK19">
        <v>100</v>
      </c>
      <c r="AL19">
        <v>98</v>
      </c>
      <c r="AM19">
        <v>153</v>
      </c>
      <c r="AN19">
        <v>106</v>
      </c>
      <c r="AO19">
        <v>137</v>
      </c>
      <c r="AP19">
        <v>195</v>
      </c>
      <c r="AQ19">
        <v>90</v>
      </c>
      <c r="AR19">
        <v>107</v>
      </c>
      <c r="AS19">
        <v>195</v>
      </c>
      <c r="AT19">
        <v>172</v>
      </c>
      <c r="AU19">
        <v>177</v>
      </c>
      <c r="AV19" t="s">
        <v>21</v>
      </c>
      <c r="AW19">
        <v>121</v>
      </c>
      <c r="AX19">
        <v>123</v>
      </c>
      <c r="AY19" t="s">
        <v>21</v>
      </c>
      <c r="AZ19">
        <v>180</v>
      </c>
      <c r="BA19">
        <v>126</v>
      </c>
      <c r="BB19">
        <v>91</v>
      </c>
      <c r="BC19">
        <v>118</v>
      </c>
      <c r="BD19">
        <v>140</v>
      </c>
      <c r="BE19">
        <v>107</v>
      </c>
      <c r="BF19">
        <v>125</v>
      </c>
      <c r="BG19">
        <v>168</v>
      </c>
      <c r="BH19">
        <v>106</v>
      </c>
      <c r="BI19">
        <v>160</v>
      </c>
    </row>
    <row r="20" spans="2:61" x14ac:dyDescent="0.25">
      <c r="B20" s="2">
        <v>34943</v>
      </c>
      <c r="C20">
        <v>173</v>
      </c>
      <c r="D20">
        <v>205</v>
      </c>
      <c r="E20">
        <v>140</v>
      </c>
      <c r="F20">
        <v>146</v>
      </c>
      <c r="G20">
        <v>174</v>
      </c>
      <c r="H20">
        <v>193</v>
      </c>
      <c r="I20">
        <v>134</v>
      </c>
      <c r="J20">
        <v>221</v>
      </c>
      <c r="K20">
        <v>250</v>
      </c>
      <c r="L20">
        <v>205</v>
      </c>
      <c r="M20">
        <v>205</v>
      </c>
      <c r="N20">
        <v>212</v>
      </c>
      <c r="O20">
        <v>252</v>
      </c>
      <c r="P20">
        <v>165</v>
      </c>
      <c r="Q20">
        <v>114</v>
      </c>
      <c r="R20">
        <v>160</v>
      </c>
      <c r="S20">
        <v>184</v>
      </c>
      <c r="T20">
        <v>117</v>
      </c>
      <c r="U20">
        <v>215</v>
      </c>
      <c r="V20">
        <v>275</v>
      </c>
      <c r="W20">
        <v>148</v>
      </c>
      <c r="X20">
        <v>169</v>
      </c>
      <c r="Y20">
        <v>250</v>
      </c>
      <c r="Z20">
        <v>232</v>
      </c>
      <c r="AA20">
        <v>157</v>
      </c>
      <c r="AB20">
        <v>165</v>
      </c>
      <c r="AC20">
        <v>164</v>
      </c>
      <c r="AD20">
        <v>206</v>
      </c>
      <c r="AE20">
        <v>244</v>
      </c>
      <c r="AF20">
        <v>150</v>
      </c>
      <c r="AG20">
        <v>226</v>
      </c>
      <c r="AH20">
        <v>105</v>
      </c>
      <c r="AI20" t="s">
        <v>21</v>
      </c>
      <c r="AJ20" t="s">
        <v>21</v>
      </c>
      <c r="AK20">
        <v>95</v>
      </c>
      <c r="AL20">
        <v>98</v>
      </c>
      <c r="AM20">
        <v>148</v>
      </c>
      <c r="AN20">
        <v>99</v>
      </c>
      <c r="AO20">
        <v>127</v>
      </c>
      <c r="AP20">
        <v>191</v>
      </c>
      <c r="AQ20">
        <v>97</v>
      </c>
      <c r="AR20">
        <v>110</v>
      </c>
      <c r="AS20">
        <v>194</v>
      </c>
      <c r="AT20">
        <v>175</v>
      </c>
      <c r="AU20">
        <v>171</v>
      </c>
      <c r="AV20" t="s">
        <v>21</v>
      </c>
      <c r="AW20">
        <v>130</v>
      </c>
      <c r="AX20">
        <v>125</v>
      </c>
      <c r="AY20" t="s">
        <v>21</v>
      </c>
      <c r="AZ20" t="s">
        <v>21</v>
      </c>
      <c r="BA20">
        <v>123</v>
      </c>
      <c r="BB20">
        <v>125</v>
      </c>
      <c r="BC20">
        <v>130</v>
      </c>
      <c r="BD20">
        <v>159</v>
      </c>
      <c r="BE20">
        <v>115</v>
      </c>
      <c r="BF20">
        <v>124</v>
      </c>
      <c r="BG20">
        <v>170</v>
      </c>
      <c r="BH20">
        <v>109</v>
      </c>
      <c r="BI20">
        <v>162</v>
      </c>
    </row>
    <row r="21" spans="2:61" x14ac:dyDescent="0.25">
      <c r="B21" s="2">
        <v>35034</v>
      </c>
      <c r="C21">
        <v>177</v>
      </c>
      <c r="D21">
        <v>206</v>
      </c>
      <c r="E21">
        <v>145</v>
      </c>
      <c r="F21">
        <v>144</v>
      </c>
      <c r="G21">
        <v>172</v>
      </c>
      <c r="H21">
        <v>185</v>
      </c>
      <c r="I21">
        <v>120</v>
      </c>
      <c r="J21">
        <v>229</v>
      </c>
      <c r="K21">
        <v>256</v>
      </c>
      <c r="L21">
        <v>202</v>
      </c>
      <c r="M21">
        <v>210</v>
      </c>
      <c r="N21">
        <v>207</v>
      </c>
      <c r="O21">
        <v>260</v>
      </c>
      <c r="P21">
        <v>169</v>
      </c>
      <c r="Q21">
        <v>119</v>
      </c>
      <c r="R21">
        <v>159</v>
      </c>
      <c r="S21">
        <v>193</v>
      </c>
      <c r="T21">
        <v>117</v>
      </c>
      <c r="U21">
        <v>225</v>
      </c>
      <c r="V21">
        <v>200</v>
      </c>
      <c r="W21">
        <v>157</v>
      </c>
      <c r="X21">
        <v>170</v>
      </c>
      <c r="Y21">
        <v>300</v>
      </c>
      <c r="Z21">
        <v>250</v>
      </c>
      <c r="AA21">
        <v>148</v>
      </c>
      <c r="AB21">
        <v>175</v>
      </c>
      <c r="AC21">
        <v>156</v>
      </c>
      <c r="AD21">
        <v>195</v>
      </c>
      <c r="AE21">
        <v>245</v>
      </c>
      <c r="AF21">
        <v>152</v>
      </c>
      <c r="AG21">
        <v>205</v>
      </c>
      <c r="AH21">
        <v>120</v>
      </c>
      <c r="AI21" t="s">
        <v>21</v>
      </c>
      <c r="AJ21" t="s">
        <v>21</v>
      </c>
      <c r="AK21">
        <v>95</v>
      </c>
      <c r="AL21">
        <v>93</v>
      </c>
      <c r="AM21">
        <v>140</v>
      </c>
      <c r="AN21">
        <v>113</v>
      </c>
      <c r="AO21">
        <v>133</v>
      </c>
      <c r="AP21">
        <v>195</v>
      </c>
      <c r="AQ21">
        <v>94</v>
      </c>
      <c r="AR21">
        <v>100</v>
      </c>
      <c r="AS21">
        <v>207</v>
      </c>
      <c r="AT21">
        <v>184</v>
      </c>
      <c r="AU21">
        <v>179</v>
      </c>
      <c r="AV21" t="s">
        <v>21</v>
      </c>
      <c r="AW21">
        <v>126</v>
      </c>
      <c r="AX21">
        <v>130</v>
      </c>
      <c r="AY21">
        <v>237</v>
      </c>
      <c r="AZ21">
        <v>155</v>
      </c>
      <c r="BA21">
        <v>118</v>
      </c>
      <c r="BB21" t="s">
        <v>21</v>
      </c>
      <c r="BC21">
        <v>123</v>
      </c>
      <c r="BD21">
        <v>134</v>
      </c>
      <c r="BE21">
        <v>121</v>
      </c>
      <c r="BF21">
        <v>138</v>
      </c>
      <c r="BG21">
        <v>174</v>
      </c>
      <c r="BH21">
        <v>114</v>
      </c>
      <c r="BI21">
        <v>165</v>
      </c>
    </row>
    <row r="22" spans="2:61" x14ac:dyDescent="0.25">
      <c r="B22" s="2">
        <v>35125</v>
      </c>
      <c r="C22">
        <v>179</v>
      </c>
      <c r="D22">
        <v>225</v>
      </c>
      <c r="E22">
        <v>145</v>
      </c>
      <c r="F22">
        <v>153</v>
      </c>
      <c r="G22">
        <v>186</v>
      </c>
      <c r="H22">
        <v>219</v>
      </c>
      <c r="I22">
        <v>129</v>
      </c>
      <c r="J22">
        <v>223</v>
      </c>
      <c r="K22">
        <v>275</v>
      </c>
      <c r="L22">
        <v>220</v>
      </c>
      <c r="M22">
        <v>255</v>
      </c>
      <c r="N22">
        <v>222</v>
      </c>
      <c r="O22">
        <v>275</v>
      </c>
      <c r="P22">
        <v>169</v>
      </c>
      <c r="Q22">
        <v>133</v>
      </c>
      <c r="R22">
        <v>155</v>
      </c>
      <c r="S22">
        <v>200</v>
      </c>
      <c r="T22">
        <v>114</v>
      </c>
      <c r="U22">
        <v>220</v>
      </c>
      <c r="V22">
        <v>188</v>
      </c>
      <c r="W22">
        <v>164</v>
      </c>
      <c r="X22">
        <v>177</v>
      </c>
      <c r="Y22">
        <v>280</v>
      </c>
      <c r="Z22">
        <v>247</v>
      </c>
      <c r="AA22">
        <v>160</v>
      </c>
      <c r="AB22">
        <v>172</v>
      </c>
      <c r="AC22">
        <v>162</v>
      </c>
      <c r="AD22">
        <v>182</v>
      </c>
      <c r="AE22">
        <v>248</v>
      </c>
      <c r="AF22">
        <v>156</v>
      </c>
      <c r="AG22">
        <v>232</v>
      </c>
      <c r="AH22">
        <v>114</v>
      </c>
      <c r="AI22" t="s">
        <v>21</v>
      </c>
      <c r="AJ22" t="s">
        <v>21</v>
      </c>
      <c r="AK22">
        <v>100</v>
      </c>
      <c r="AL22">
        <v>86</v>
      </c>
      <c r="AM22">
        <v>141</v>
      </c>
      <c r="AN22">
        <v>115</v>
      </c>
      <c r="AO22">
        <v>140</v>
      </c>
      <c r="AP22">
        <v>180</v>
      </c>
      <c r="AQ22">
        <v>97</v>
      </c>
      <c r="AR22">
        <v>105</v>
      </c>
      <c r="AS22">
        <v>188</v>
      </c>
      <c r="AT22">
        <v>175</v>
      </c>
      <c r="AU22">
        <v>180</v>
      </c>
      <c r="AV22" t="s">
        <v>21</v>
      </c>
      <c r="AW22">
        <v>130</v>
      </c>
      <c r="AX22">
        <v>130</v>
      </c>
      <c r="AY22" t="s">
        <v>21</v>
      </c>
      <c r="AZ22" t="s">
        <v>21</v>
      </c>
      <c r="BA22">
        <v>123</v>
      </c>
      <c r="BB22" t="s">
        <v>21</v>
      </c>
      <c r="BC22">
        <v>127</v>
      </c>
      <c r="BD22">
        <v>142</v>
      </c>
      <c r="BE22">
        <v>121</v>
      </c>
      <c r="BF22">
        <v>142</v>
      </c>
      <c r="BG22">
        <v>175</v>
      </c>
      <c r="BH22">
        <v>108</v>
      </c>
      <c r="BI22">
        <v>168</v>
      </c>
    </row>
    <row r="23" spans="2:61" x14ac:dyDescent="0.25">
      <c r="B23" s="2">
        <v>35217</v>
      </c>
      <c r="C23">
        <v>181</v>
      </c>
      <c r="D23">
        <v>220</v>
      </c>
      <c r="E23">
        <v>150</v>
      </c>
      <c r="F23">
        <v>146</v>
      </c>
      <c r="G23">
        <v>189</v>
      </c>
      <c r="H23">
        <v>240</v>
      </c>
      <c r="I23">
        <v>135</v>
      </c>
      <c r="J23">
        <v>252</v>
      </c>
      <c r="K23">
        <v>270</v>
      </c>
      <c r="L23">
        <v>227</v>
      </c>
      <c r="M23">
        <v>217</v>
      </c>
      <c r="N23">
        <v>225</v>
      </c>
      <c r="O23">
        <v>285</v>
      </c>
      <c r="P23">
        <v>170</v>
      </c>
      <c r="Q23">
        <v>144</v>
      </c>
      <c r="R23">
        <v>155</v>
      </c>
      <c r="S23">
        <v>186</v>
      </c>
      <c r="T23">
        <v>115</v>
      </c>
      <c r="U23">
        <v>237</v>
      </c>
      <c r="V23">
        <v>238</v>
      </c>
      <c r="W23">
        <v>172</v>
      </c>
      <c r="X23">
        <v>179</v>
      </c>
      <c r="Y23">
        <v>280</v>
      </c>
      <c r="Z23">
        <v>241</v>
      </c>
      <c r="AA23">
        <v>149</v>
      </c>
      <c r="AB23">
        <v>165</v>
      </c>
      <c r="AC23">
        <v>160</v>
      </c>
      <c r="AD23">
        <v>207</v>
      </c>
      <c r="AE23">
        <v>255</v>
      </c>
      <c r="AF23">
        <v>158</v>
      </c>
      <c r="AG23">
        <v>195</v>
      </c>
      <c r="AH23">
        <v>121</v>
      </c>
      <c r="AI23" t="s">
        <v>21</v>
      </c>
      <c r="AJ23" t="s">
        <v>21</v>
      </c>
      <c r="AK23">
        <v>100</v>
      </c>
      <c r="AL23">
        <v>102</v>
      </c>
      <c r="AM23">
        <v>135</v>
      </c>
      <c r="AN23">
        <v>107</v>
      </c>
      <c r="AO23">
        <v>142</v>
      </c>
      <c r="AP23">
        <v>200</v>
      </c>
      <c r="AQ23">
        <v>106</v>
      </c>
      <c r="AR23">
        <v>105</v>
      </c>
      <c r="AS23">
        <v>214</v>
      </c>
      <c r="AT23">
        <v>185</v>
      </c>
      <c r="AU23">
        <v>189</v>
      </c>
      <c r="AV23" t="s">
        <v>21</v>
      </c>
      <c r="AW23">
        <v>135</v>
      </c>
      <c r="AX23">
        <v>133</v>
      </c>
      <c r="AY23" t="s">
        <v>21</v>
      </c>
      <c r="AZ23" t="s">
        <v>21</v>
      </c>
      <c r="BA23">
        <v>120</v>
      </c>
      <c r="BB23" t="s">
        <v>21</v>
      </c>
      <c r="BC23">
        <v>124</v>
      </c>
      <c r="BD23">
        <v>155</v>
      </c>
      <c r="BE23">
        <v>120</v>
      </c>
      <c r="BF23">
        <v>144</v>
      </c>
      <c r="BG23">
        <v>179</v>
      </c>
      <c r="BH23">
        <v>115</v>
      </c>
      <c r="BI23">
        <v>172</v>
      </c>
    </row>
    <row r="24" spans="2:61" x14ac:dyDescent="0.25">
      <c r="B24" s="2">
        <v>35309</v>
      </c>
      <c r="C24">
        <v>185</v>
      </c>
      <c r="D24">
        <v>235</v>
      </c>
      <c r="E24">
        <v>158</v>
      </c>
      <c r="F24">
        <v>147</v>
      </c>
      <c r="G24">
        <v>195</v>
      </c>
      <c r="H24">
        <v>222</v>
      </c>
      <c r="I24">
        <v>127</v>
      </c>
      <c r="J24">
        <v>297</v>
      </c>
      <c r="K24">
        <v>280</v>
      </c>
      <c r="L24">
        <v>236</v>
      </c>
      <c r="M24">
        <v>234</v>
      </c>
      <c r="N24">
        <v>238</v>
      </c>
      <c r="O24">
        <v>305</v>
      </c>
      <c r="P24">
        <v>171</v>
      </c>
      <c r="Q24">
        <v>131</v>
      </c>
      <c r="R24">
        <v>155</v>
      </c>
      <c r="S24">
        <v>190</v>
      </c>
      <c r="T24">
        <v>123</v>
      </c>
      <c r="U24">
        <v>228</v>
      </c>
      <c r="V24">
        <v>238</v>
      </c>
      <c r="W24">
        <v>165</v>
      </c>
      <c r="X24">
        <v>181</v>
      </c>
      <c r="Y24">
        <v>293</v>
      </c>
      <c r="Z24">
        <v>248</v>
      </c>
      <c r="AA24">
        <v>162</v>
      </c>
      <c r="AB24">
        <v>165</v>
      </c>
      <c r="AC24">
        <v>170</v>
      </c>
      <c r="AD24">
        <v>180</v>
      </c>
      <c r="AE24">
        <v>257</v>
      </c>
      <c r="AF24">
        <v>155</v>
      </c>
      <c r="AG24">
        <v>213</v>
      </c>
      <c r="AH24">
        <v>120</v>
      </c>
      <c r="AI24">
        <v>155</v>
      </c>
      <c r="AJ24" t="s">
        <v>21</v>
      </c>
      <c r="AK24">
        <v>97</v>
      </c>
      <c r="AL24">
        <v>92</v>
      </c>
      <c r="AM24">
        <v>148</v>
      </c>
      <c r="AN24">
        <v>127</v>
      </c>
      <c r="AO24">
        <v>150</v>
      </c>
      <c r="AP24">
        <v>200</v>
      </c>
      <c r="AQ24">
        <v>106</v>
      </c>
      <c r="AR24">
        <v>114</v>
      </c>
      <c r="AS24">
        <v>229</v>
      </c>
      <c r="AT24">
        <v>184</v>
      </c>
      <c r="AU24">
        <v>182</v>
      </c>
      <c r="AV24" t="s">
        <v>21</v>
      </c>
      <c r="AW24">
        <v>127</v>
      </c>
      <c r="AX24">
        <v>132</v>
      </c>
      <c r="AY24">
        <v>227</v>
      </c>
      <c r="AZ24">
        <v>158</v>
      </c>
      <c r="BA24">
        <v>122</v>
      </c>
      <c r="BB24" t="s">
        <v>21</v>
      </c>
      <c r="BC24">
        <v>122</v>
      </c>
      <c r="BD24">
        <v>127</v>
      </c>
      <c r="BE24">
        <v>118</v>
      </c>
      <c r="BF24">
        <v>144</v>
      </c>
      <c r="BG24">
        <v>182</v>
      </c>
      <c r="BH24">
        <v>110</v>
      </c>
      <c r="BI24">
        <v>175</v>
      </c>
    </row>
    <row r="25" spans="2:61" x14ac:dyDescent="0.25">
      <c r="B25" s="2">
        <v>35400</v>
      </c>
      <c r="C25">
        <v>200</v>
      </c>
      <c r="D25">
        <v>254</v>
      </c>
      <c r="E25">
        <v>140</v>
      </c>
      <c r="F25">
        <v>151</v>
      </c>
      <c r="G25">
        <v>193</v>
      </c>
      <c r="H25">
        <v>266</v>
      </c>
      <c r="I25">
        <v>139</v>
      </c>
      <c r="J25">
        <v>290</v>
      </c>
      <c r="K25">
        <v>330</v>
      </c>
      <c r="L25">
        <v>238</v>
      </c>
      <c r="M25">
        <v>265</v>
      </c>
      <c r="N25">
        <v>251</v>
      </c>
      <c r="O25">
        <v>317</v>
      </c>
      <c r="P25">
        <v>182</v>
      </c>
      <c r="Q25">
        <v>144</v>
      </c>
      <c r="R25">
        <v>152</v>
      </c>
      <c r="S25">
        <v>182</v>
      </c>
      <c r="T25">
        <v>122</v>
      </c>
      <c r="U25">
        <v>240</v>
      </c>
      <c r="V25">
        <v>210</v>
      </c>
      <c r="W25">
        <v>180</v>
      </c>
      <c r="X25">
        <v>184</v>
      </c>
      <c r="Y25">
        <v>310</v>
      </c>
      <c r="Z25">
        <v>255</v>
      </c>
      <c r="AA25">
        <v>168</v>
      </c>
      <c r="AB25">
        <v>176</v>
      </c>
      <c r="AC25">
        <v>170</v>
      </c>
      <c r="AD25">
        <v>280</v>
      </c>
      <c r="AE25">
        <v>255</v>
      </c>
      <c r="AF25">
        <v>163</v>
      </c>
      <c r="AG25">
        <v>221</v>
      </c>
      <c r="AH25">
        <v>119</v>
      </c>
      <c r="AI25">
        <v>150</v>
      </c>
      <c r="AJ25" t="s">
        <v>21</v>
      </c>
      <c r="AK25">
        <v>94</v>
      </c>
      <c r="AL25">
        <v>95</v>
      </c>
      <c r="AM25">
        <v>147</v>
      </c>
      <c r="AN25">
        <v>117</v>
      </c>
      <c r="AO25">
        <v>158</v>
      </c>
      <c r="AP25">
        <v>203</v>
      </c>
      <c r="AQ25">
        <v>104</v>
      </c>
      <c r="AR25">
        <v>118</v>
      </c>
      <c r="AS25">
        <v>222</v>
      </c>
      <c r="AT25">
        <v>185</v>
      </c>
      <c r="AU25">
        <v>197</v>
      </c>
      <c r="AV25" t="s">
        <v>21</v>
      </c>
      <c r="AW25">
        <v>134</v>
      </c>
      <c r="AX25">
        <v>130</v>
      </c>
      <c r="AY25">
        <v>250</v>
      </c>
      <c r="AZ25">
        <v>154</v>
      </c>
      <c r="BA25">
        <v>131</v>
      </c>
      <c r="BB25" t="s">
        <v>21</v>
      </c>
      <c r="BC25">
        <v>127</v>
      </c>
      <c r="BD25">
        <v>149</v>
      </c>
      <c r="BE25">
        <v>120</v>
      </c>
      <c r="BF25">
        <v>137</v>
      </c>
      <c r="BG25">
        <v>195</v>
      </c>
      <c r="BH25">
        <v>107</v>
      </c>
      <c r="BI25">
        <v>187</v>
      </c>
    </row>
    <row r="26" spans="2:61" x14ac:dyDescent="0.25">
      <c r="B26" s="2">
        <v>35490</v>
      </c>
      <c r="C26">
        <v>202</v>
      </c>
      <c r="D26">
        <v>252</v>
      </c>
      <c r="E26">
        <v>155</v>
      </c>
      <c r="F26">
        <v>165</v>
      </c>
      <c r="G26">
        <v>205</v>
      </c>
      <c r="H26">
        <v>270</v>
      </c>
      <c r="I26">
        <v>143</v>
      </c>
      <c r="J26">
        <v>285</v>
      </c>
      <c r="K26">
        <v>295</v>
      </c>
      <c r="L26">
        <v>262</v>
      </c>
      <c r="M26">
        <v>252</v>
      </c>
      <c r="N26">
        <v>265</v>
      </c>
      <c r="O26">
        <v>310</v>
      </c>
      <c r="P26">
        <v>184</v>
      </c>
      <c r="Q26">
        <v>124</v>
      </c>
      <c r="R26">
        <v>159</v>
      </c>
      <c r="S26">
        <v>209</v>
      </c>
      <c r="T26">
        <v>125</v>
      </c>
      <c r="U26">
        <v>240</v>
      </c>
      <c r="V26">
        <v>235</v>
      </c>
      <c r="W26">
        <v>182</v>
      </c>
      <c r="X26">
        <v>185</v>
      </c>
      <c r="Y26">
        <v>343</v>
      </c>
      <c r="Z26">
        <v>285</v>
      </c>
      <c r="AA26">
        <v>158</v>
      </c>
      <c r="AB26">
        <v>172</v>
      </c>
      <c r="AC26">
        <v>175</v>
      </c>
      <c r="AD26">
        <v>198</v>
      </c>
      <c r="AE26">
        <v>269</v>
      </c>
      <c r="AF26">
        <v>167</v>
      </c>
      <c r="AG26">
        <v>225</v>
      </c>
      <c r="AH26">
        <v>125</v>
      </c>
      <c r="AI26">
        <v>170</v>
      </c>
      <c r="AJ26">
        <v>125</v>
      </c>
      <c r="AK26">
        <v>100</v>
      </c>
      <c r="AL26">
        <v>98</v>
      </c>
      <c r="AM26">
        <v>156</v>
      </c>
      <c r="AN26">
        <v>117</v>
      </c>
      <c r="AO26">
        <v>155</v>
      </c>
      <c r="AP26">
        <v>210</v>
      </c>
      <c r="AQ26">
        <v>110</v>
      </c>
      <c r="AR26">
        <v>113</v>
      </c>
      <c r="AS26">
        <v>220</v>
      </c>
      <c r="AT26">
        <v>191</v>
      </c>
      <c r="AU26">
        <v>205</v>
      </c>
      <c r="AV26" t="s">
        <v>21</v>
      </c>
      <c r="AW26">
        <v>131</v>
      </c>
      <c r="AX26">
        <v>130</v>
      </c>
      <c r="AY26" t="s">
        <v>21</v>
      </c>
      <c r="AZ26" t="s">
        <v>21</v>
      </c>
      <c r="BA26">
        <v>125</v>
      </c>
      <c r="BB26" t="s">
        <v>21</v>
      </c>
      <c r="BC26">
        <v>129</v>
      </c>
      <c r="BD26">
        <v>135</v>
      </c>
      <c r="BE26">
        <v>115</v>
      </c>
      <c r="BF26">
        <v>135</v>
      </c>
      <c r="BG26">
        <v>197</v>
      </c>
      <c r="BH26">
        <v>114</v>
      </c>
      <c r="BI26">
        <v>188</v>
      </c>
    </row>
    <row r="27" spans="2:61" x14ac:dyDescent="0.25">
      <c r="B27" s="2">
        <v>35582</v>
      </c>
      <c r="C27">
        <v>210</v>
      </c>
      <c r="D27">
        <v>270</v>
      </c>
      <c r="E27">
        <v>160</v>
      </c>
      <c r="F27">
        <v>165</v>
      </c>
      <c r="G27">
        <v>219</v>
      </c>
      <c r="H27">
        <v>286</v>
      </c>
      <c r="I27">
        <v>148</v>
      </c>
      <c r="J27">
        <v>365</v>
      </c>
      <c r="K27">
        <v>305</v>
      </c>
      <c r="L27">
        <v>270</v>
      </c>
      <c r="M27">
        <v>274</v>
      </c>
      <c r="N27">
        <v>290</v>
      </c>
      <c r="O27">
        <v>380</v>
      </c>
      <c r="P27">
        <v>190</v>
      </c>
      <c r="Q27">
        <v>138</v>
      </c>
      <c r="R27">
        <v>169</v>
      </c>
      <c r="S27">
        <v>195</v>
      </c>
      <c r="T27">
        <v>123</v>
      </c>
      <c r="U27">
        <v>298</v>
      </c>
      <c r="V27">
        <v>330</v>
      </c>
      <c r="W27">
        <v>182</v>
      </c>
      <c r="X27">
        <v>182</v>
      </c>
      <c r="Y27">
        <v>310</v>
      </c>
      <c r="Z27">
        <v>300</v>
      </c>
      <c r="AA27">
        <v>156</v>
      </c>
      <c r="AB27">
        <v>185</v>
      </c>
      <c r="AC27">
        <v>196</v>
      </c>
      <c r="AD27">
        <v>178</v>
      </c>
      <c r="AE27">
        <v>284</v>
      </c>
      <c r="AF27">
        <v>170</v>
      </c>
      <c r="AG27">
        <v>235</v>
      </c>
      <c r="AH27">
        <v>117</v>
      </c>
      <c r="AI27">
        <v>160</v>
      </c>
      <c r="AJ27" t="s">
        <v>21</v>
      </c>
      <c r="AK27">
        <v>105</v>
      </c>
      <c r="AL27">
        <v>95</v>
      </c>
      <c r="AM27">
        <v>147</v>
      </c>
      <c r="AN27">
        <v>118</v>
      </c>
      <c r="AO27">
        <v>157</v>
      </c>
      <c r="AP27">
        <v>215</v>
      </c>
      <c r="AQ27">
        <v>113</v>
      </c>
      <c r="AR27">
        <v>119</v>
      </c>
      <c r="AS27">
        <v>225</v>
      </c>
      <c r="AT27">
        <v>194</v>
      </c>
      <c r="AU27">
        <v>216</v>
      </c>
      <c r="AV27" t="s">
        <v>21</v>
      </c>
      <c r="AW27">
        <v>130</v>
      </c>
      <c r="AX27">
        <v>140</v>
      </c>
      <c r="AY27">
        <v>250</v>
      </c>
      <c r="AZ27">
        <v>178</v>
      </c>
      <c r="BA27">
        <v>132</v>
      </c>
      <c r="BB27" t="s">
        <v>21</v>
      </c>
      <c r="BC27">
        <v>130</v>
      </c>
      <c r="BD27">
        <v>151</v>
      </c>
      <c r="BE27">
        <v>124</v>
      </c>
      <c r="BF27">
        <v>144</v>
      </c>
      <c r="BG27">
        <v>206</v>
      </c>
      <c r="BH27">
        <v>113</v>
      </c>
      <c r="BI27">
        <v>198</v>
      </c>
    </row>
    <row r="28" spans="2:61" x14ac:dyDescent="0.25">
      <c r="B28" s="2">
        <v>35674</v>
      </c>
      <c r="C28">
        <v>220</v>
      </c>
      <c r="D28">
        <v>281</v>
      </c>
      <c r="E28">
        <v>184</v>
      </c>
      <c r="F28">
        <v>183</v>
      </c>
      <c r="G28">
        <v>280</v>
      </c>
      <c r="H28">
        <v>318</v>
      </c>
      <c r="I28">
        <v>160</v>
      </c>
      <c r="J28">
        <v>373</v>
      </c>
      <c r="K28">
        <v>345</v>
      </c>
      <c r="L28">
        <v>292</v>
      </c>
      <c r="M28">
        <v>279</v>
      </c>
      <c r="N28">
        <v>305</v>
      </c>
      <c r="O28">
        <v>370</v>
      </c>
      <c r="P28">
        <v>200</v>
      </c>
      <c r="Q28">
        <v>133</v>
      </c>
      <c r="R28">
        <v>175</v>
      </c>
      <c r="S28">
        <v>259</v>
      </c>
      <c r="T28">
        <v>125</v>
      </c>
      <c r="U28">
        <v>280</v>
      </c>
      <c r="V28">
        <v>245</v>
      </c>
      <c r="W28">
        <v>192</v>
      </c>
      <c r="X28">
        <v>196</v>
      </c>
      <c r="Y28">
        <v>374</v>
      </c>
      <c r="Z28">
        <v>326</v>
      </c>
      <c r="AA28">
        <v>159</v>
      </c>
      <c r="AB28">
        <v>210</v>
      </c>
      <c r="AC28">
        <v>207</v>
      </c>
      <c r="AD28">
        <v>282</v>
      </c>
      <c r="AE28">
        <v>295</v>
      </c>
      <c r="AF28">
        <v>180</v>
      </c>
      <c r="AG28">
        <v>236</v>
      </c>
      <c r="AH28">
        <v>130</v>
      </c>
      <c r="AI28">
        <v>158</v>
      </c>
      <c r="AJ28">
        <v>137</v>
      </c>
      <c r="AK28">
        <v>105</v>
      </c>
      <c r="AL28">
        <v>100</v>
      </c>
      <c r="AM28">
        <v>159</v>
      </c>
      <c r="AN28">
        <v>121</v>
      </c>
      <c r="AO28">
        <v>169</v>
      </c>
      <c r="AP28">
        <v>222</v>
      </c>
      <c r="AQ28">
        <v>107</v>
      </c>
      <c r="AR28">
        <v>115</v>
      </c>
      <c r="AS28">
        <v>260</v>
      </c>
      <c r="AT28">
        <v>210</v>
      </c>
      <c r="AU28">
        <v>225</v>
      </c>
      <c r="AV28" t="s">
        <v>21</v>
      </c>
      <c r="AW28">
        <v>146</v>
      </c>
      <c r="AX28">
        <v>135</v>
      </c>
      <c r="AY28">
        <v>295</v>
      </c>
      <c r="AZ28">
        <v>180</v>
      </c>
      <c r="BA28">
        <v>120</v>
      </c>
      <c r="BB28" t="s">
        <v>21</v>
      </c>
      <c r="BC28">
        <v>122</v>
      </c>
      <c r="BD28">
        <v>158</v>
      </c>
      <c r="BE28">
        <v>125</v>
      </c>
      <c r="BF28">
        <v>138</v>
      </c>
      <c r="BG28">
        <v>216</v>
      </c>
      <c r="BH28">
        <v>115</v>
      </c>
      <c r="BI28">
        <v>210</v>
      </c>
    </row>
    <row r="29" spans="2:61" x14ac:dyDescent="0.25">
      <c r="B29" s="2">
        <v>35765</v>
      </c>
      <c r="C29">
        <v>227</v>
      </c>
      <c r="D29">
        <v>280</v>
      </c>
      <c r="E29">
        <v>190</v>
      </c>
      <c r="F29">
        <v>200</v>
      </c>
      <c r="G29">
        <v>243</v>
      </c>
      <c r="H29">
        <v>330</v>
      </c>
      <c r="I29">
        <v>166</v>
      </c>
      <c r="J29">
        <v>325</v>
      </c>
      <c r="K29">
        <v>337</v>
      </c>
      <c r="L29">
        <v>283</v>
      </c>
      <c r="M29">
        <v>269</v>
      </c>
      <c r="N29">
        <v>293</v>
      </c>
      <c r="O29">
        <v>361</v>
      </c>
      <c r="P29">
        <v>205</v>
      </c>
      <c r="Q29">
        <v>161</v>
      </c>
      <c r="R29">
        <v>179</v>
      </c>
      <c r="S29">
        <v>231</v>
      </c>
      <c r="T29">
        <v>132</v>
      </c>
      <c r="U29">
        <v>315</v>
      </c>
      <c r="V29">
        <v>353</v>
      </c>
      <c r="W29">
        <v>205</v>
      </c>
      <c r="X29">
        <v>200</v>
      </c>
      <c r="Y29">
        <v>373</v>
      </c>
      <c r="Z29">
        <v>345</v>
      </c>
      <c r="AA29">
        <v>172</v>
      </c>
      <c r="AB29">
        <v>194</v>
      </c>
      <c r="AC29">
        <v>214</v>
      </c>
      <c r="AD29">
        <v>253</v>
      </c>
      <c r="AE29">
        <v>300</v>
      </c>
      <c r="AF29">
        <v>186</v>
      </c>
      <c r="AG29">
        <v>233</v>
      </c>
      <c r="AH29">
        <v>127</v>
      </c>
      <c r="AI29">
        <v>157</v>
      </c>
      <c r="AJ29" t="s">
        <v>21</v>
      </c>
      <c r="AK29">
        <v>104</v>
      </c>
      <c r="AL29">
        <v>100</v>
      </c>
      <c r="AM29">
        <v>168</v>
      </c>
      <c r="AN29">
        <v>123</v>
      </c>
      <c r="AO29">
        <v>185</v>
      </c>
      <c r="AP29">
        <v>228</v>
      </c>
      <c r="AQ29">
        <v>107</v>
      </c>
      <c r="AR29">
        <v>127</v>
      </c>
      <c r="AS29">
        <v>275</v>
      </c>
      <c r="AT29">
        <v>220</v>
      </c>
      <c r="AU29">
        <v>244</v>
      </c>
      <c r="AV29" t="s">
        <v>21</v>
      </c>
      <c r="AW29">
        <v>130</v>
      </c>
      <c r="AX29">
        <v>141</v>
      </c>
      <c r="AY29">
        <v>271</v>
      </c>
      <c r="AZ29">
        <v>120</v>
      </c>
      <c r="BA29">
        <v>135</v>
      </c>
      <c r="BB29" t="s">
        <v>21</v>
      </c>
      <c r="BC29">
        <v>130</v>
      </c>
      <c r="BD29">
        <v>165</v>
      </c>
      <c r="BE29">
        <v>123</v>
      </c>
      <c r="BF29">
        <v>150</v>
      </c>
      <c r="BG29">
        <v>220</v>
      </c>
      <c r="BH29">
        <v>116</v>
      </c>
      <c r="BI29">
        <v>210</v>
      </c>
    </row>
    <row r="30" spans="2:61" x14ac:dyDescent="0.25">
      <c r="B30" s="2">
        <v>35855</v>
      </c>
      <c r="C30">
        <v>225</v>
      </c>
      <c r="D30">
        <v>279</v>
      </c>
      <c r="E30">
        <v>190</v>
      </c>
      <c r="F30">
        <v>188</v>
      </c>
      <c r="G30">
        <v>241</v>
      </c>
      <c r="H30">
        <v>310</v>
      </c>
      <c r="I30">
        <v>175</v>
      </c>
      <c r="J30">
        <v>315</v>
      </c>
      <c r="K30">
        <v>330</v>
      </c>
      <c r="L30">
        <v>275</v>
      </c>
      <c r="M30">
        <v>282</v>
      </c>
      <c r="N30">
        <v>295</v>
      </c>
      <c r="O30">
        <v>342</v>
      </c>
      <c r="P30">
        <v>206</v>
      </c>
      <c r="Q30">
        <v>153</v>
      </c>
      <c r="R30">
        <v>179</v>
      </c>
      <c r="S30">
        <v>260</v>
      </c>
      <c r="T30">
        <v>130</v>
      </c>
      <c r="U30">
        <v>301</v>
      </c>
      <c r="V30">
        <v>391</v>
      </c>
      <c r="W30">
        <v>208</v>
      </c>
      <c r="X30">
        <v>205</v>
      </c>
      <c r="Y30">
        <v>375</v>
      </c>
      <c r="Z30">
        <v>357</v>
      </c>
      <c r="AA30">
        <v>185</v>
      </c>
      <c r="AB30">
        <v>205</v>
      </c>
      <c r="AC30">
        <v>193</v>
      </c>
      <c r="AD30">
        <v>260</v>
      </c>
      <c r="AE30">
        <v>295</v>
      </c>
      <c r="AF30">
        <v>185</v>
      </c>
      <c r="AG30">
        <v>260</v>
      </c>
      <c r="AH30">
        <v>138</v>
      </c>
      <c r="AI30">
        <v>127</v>
      </c>
      <c r="AJ30" t="s">
        <v>21</v>
      </c>
      <c r="AK30">
        <v>96</v>
      </c>
      <c r="AL30">
        <v>93</v>
      </c>
      <c r="AM30">
        <v>165</v>
      </c>
      <c r="AN30">
        <v>121</v>
      </c>
      <c r="AO30">
        <v>165</v>
      </c>
      <c r="AP30">
        <v>228</v>
      </c>
      <c r="AQ30">
        <v>112</v>
      </c>
      <c r="AR30">
        <v>121</v>
      </c>
      <c r="AS30">
        <v>253</v>
      </c>
      <c r="AT30">
        <v>225</v>
      </c>
      <c r="AU30">
        <v>250</v>
      </c>
      <c r="AV30" t="s">
        <v>21</v>
      </c>
      <c r="AW30">
        <v>148</v>
      </c>
      <c r="AX30">
        <v>138</v>
      </c>
      <c r="AY30">
        <v>300</v>
      </c>
      <c r="AZ30">
        <v>136</v>
      </c>
      <c r="BA30">
        <v>135</v>
      </c>
      <c r="BB30" t="s">
        <v>21</v>
      </c>
      <c r="BC30">
        <v>138</v>
      </c>
      <c r="BD30">
        <v>150</v>
      </c>
      <c r="BE30">
        <v>126</v>
      </c>
      <c r="BF30">
        <v>140</v>
      </c>
      <c r="BG30">
        <v>218</v>
      </c>
      <c r="BH30">
        <v>117</v>
      </c>
      <c r="BI30">
        <v>206</v>
      </c>
    </row>
    <row r="31" spans="2:61" x14ac:dyDescent="0.25">
      <c r="B31" s="2">
        <v>35947</v>
      </c>
      <c r="C31">
        <v>230</v>
      </c>
      <c r="D31">
        <v>290</v>
      </c>
      <c r="E31">
        <v>197</v>
      </c>
      <c r="F31">
        <v>190</v>
      </c>
      <c r="G31">
        <v>248</v>
      </c>
      <c r="H31">
        <v>324</v>
      </c>
      <c r="I31">
        <v>178</v>
      </c>
      <c r="J31">
        <v>320</v>
      </c>
      <c r="K31">
        <v>348</v>
      </c>
      <c r="L31">
        <v>290</v>
      </c>
      <c r="M31">
        <v>282</v>
      </c>
      <c r="N31">
        <v>310</v>
      </c>
      <c r="O31">
        <v>542</v>
      </c>
      <c r="P31">
        <v>220</v>
      </c>
      <c r="Q31">
        <v>175</v>
      </c>
      <c r="R31">
        <v>175</v>
      </c>
      <c r="S31">
        <v>220</v>
      </c>
      <c r="T31">
        <v>135</v>
      </c>
      <c r="U31">
        <v>338</v>
      </c>
      <c r="V31">
        <v>360</v>
      </c>
      <c r="W31">
        <v>206</v>
      </c>
      <c r="X31">
        <v>215</v>
      </c>
      <c r="Y31">
        <v>320</v>
      </c>
      <c r="Z31">
        <v>328</v>
      </c>
      <c r="AA31">
        <v>188</v>
      </c>
      <c r="AB31">
        <v>220</v>
      </c>
      <c r="AC31">
        <v>216</v>
      </c>
      <c r="AD31">
        <v>245</v>
      </c>
      <c r="AE31">
        <v>305</v>
      </c>
      <c r="AF31">
        <v>186</v>
      </c>
      <c r="AG31">
        <v>245</v>
      </c>
      <c r="AH31">
        <v>143</v>
      </c>
      <c r="AI31">
        <v>143</v>
      </c>
      <c r="AJ31" t="s">
        <v>21</v>
      </c>
      <c r="AK31">
        <v>102</v>
      </c>
      <c r="AL31">
        <v>104</v>
      </c>
      <c r="AM31">
        <v>170</v>
      </c>
      <c r="AN31">
        <v>124</v>
      </c>
      <c r="AO31">
        <v>171</v>
      </c>
      <c r="AP31">
        <v>230</v>
      </c>
      <c r="AQ31">
        <v>118</v>
      </c>
      <c r="AR31">
        <v>126</v>
      </c>
      <c r="AS31">
        <v>278</v>
      </c>
      <c r="AT31">
        <v>225</v>
      </c>
      <c r="AU31">
        <v>255</v>
      </c>
      <c r="AV31" t="s">
        <v>21</v>
      </c>
      <c r="AW31">
        <v>139</v>
      </c>
      <c r="AX31">
        <v>140</v>
      </c>
      <c r="AY31">
        <v>324</v>
      </c>
      <c r="AZ31">
        <v>149</v>
      </c>
      <c r="BA31">
        <v>134</v>
      </c>
      <c r="BB31">
        <v>92</v>
      </c>
      <c r="BC31">
        <v>132</v>
      </c>
      <c r="BD31">
        <v>155</v>
      </c>
      <c r="BE31">
        <v>121</v>
      </c>
      <c r="BF31">
        <v>151</v>
      </c>
      <c r="BG31">
        <v>225</v>
      </c>
      <c r="BH31">
        <v>118</v>
      </c>
      <c r="BI31">
        <v>215</v>
      </c>
    </row>
    <row r="32" spans="2:61" x14ac:dyDescent="0.25">
      <c r="B32" s="2">
        <v>36039</v>
      </c>
      <c r="C32">
        <v>232</v>
      </c>
      <c r="D32">
        <v>288</v>
      </c>
      <c r="E32">
        <v>195</v>
      </c>
      <c r="F32">
        <v>195</v>
      </c>
      <c r="G32">
        <v>276</v>
      </c>
      <c r="H32">
        <v>327</v>
      </c>
      <c r="I32">
        <v>210</v>
      </c>
      <c r="J32">
        <v>375</v>
      </c>
      <c r="K32">
        <v>330</v>
      </c>
      <c r="L32">
        <v>290</v>
      </c>
      <c r="M32">
        <v>285</v>
      </c>
      <c r="N32">
        <v>310</v>
      </c>
      <c r="O32">
        <v>391</v>
      </c>
      <c r="P32">
        <v>217</v>
      </c>
      <c r="Q32">
        <v>164</v>
      </c>
      <c r="R32">
        <v>180</v>
      </c>
      <c r="S32">
        <v>239</v>
      </c>
      <c r="T32">
        <v>139</v>
      </c>
      <c r="U32">
        <v>320</v>
      </c>
      <c r="V32">
        <v>397</v>
      </c>
      <c r="W32">
        <v>205</v>
      </c>
      <c r="X32">
        <v>218</v>
      </c>
      <c r="Y32">
        <v>320</v>
      </c>
      <c r="Z32">
        <v>335</v>
      </c>
      <c r="AA32">
        <v>183</v>
      </c>
      <c r="AB32">
        <v>221</v>
      </c>
      <c r="AC32">
        <v>200</v>
      </c>
      <c r="AD32">
        <v>245</v>
      </c>
      <c r="AE32">
        <v>295</v>
      </c>
      <c r="AF32">
        <v>185</v>
      </c>
      <c r="AG32">
        <v>250</v>
      </c>
      <c r="AH32">
        <v>123</v>
      </c>
      <c r="AI32">
        <v>160</v>
      </c>
      <c r="AJ32" t="s">
        <v>21</v>
      </c>
      <c r="AK32">
        <v>102</v>
      </c>
      <c r="AL32">
        <v>105</v>
      </c>
      <c r="AM32">
        <v>165</v>
      </c>
      <c r="AN32">
        <v>139</v>
      </c>
      <c r="AO32">
        <v>183</v>
      </c>
      <c r="AP32">
        <v>238</v>
      </c>
      <c r="AQ32">
        <v>125</v>
      </c>
      <c r="AR32">
        <v>132</v>
      </c>
      <c r="AS32">
        <v>278</v>
      </c>
      <c r="AT32">
        <v>225</v>
      </c>
      <c r="AU32">
        <v>255</v>
      </c>
      <c r="AV32">
        <v>107</v>
      </c>
      <c r="AW32">
        <v>138</v>
      </c>
      <c r="AX32">
        <v>139</v>
      </c>
      <c r="AY32" t="s">
        <v>21</v>
      </c>
      <c r="AZ32">
        <v>152</v>
      </c>
      <c r="BA32">
        <v>129</v>
      </c>
      <c r="BB32" t="s">
        <v>21</v>
      </c>
      <c r="BC32">
        <v>130</v>
      </c>
      <c r="BD32">
        <v>160</v>
      </c>
      <c r="BE32">
        <v>121</v>
      </c>
      <c r="BF32">
        <v>153</v>
      </c>
      <c r="BG32">
        <v>228</v>
      </c>
      <c r="BH32">
        <v>112</v>
      </c>
      <c r="BI32">
        <v>220</v>
      </c>
    </row>
    <row r="33" spans="2:61" x14ac:dyDescent="0.25">
      <c r="B33" s="2">
        <v>36130</v>
      </c>
      <c r="C33">
        <v>240</v>
      </c>
      <c r="D33">
        <v>290</v>
      </c>
      <c r="E33">
        <v>181</v>
      </c>
      <c r="F33">
        <v>192</v>
      </c>
      <c r="G33">
        <v>288</v>
      </c>
      <c r="H33">
        <v>325</v>
      </c>
      <c r="I33">
        <v>182</v>
      </c>
      <c r="J33">
        <v>360</v>
      </c>
      <c r="K33">
        <v>350</v>
      </c>
      <c r="L33">
        <v>278</v>
      </c>
      <c r="M33">
        <v>280</v>
      </c>
      <c r="N33">
        <v>295</v>
      </c>
      <c r="O33">
        <v>375</v>
      </c>
      <c r="P33">
        <v>230</v>
      </c>
      <c r="Q33">
        <v>186</v>
      </c>
      <c r="R33">
        <v>185</v>
      </c>
      <c r="S33">
        <v>250</v>
      </c>
      <c r="T33">
        <v>137</v>
      </c>
      <c r="U33">
        <v>320</v>
      </c>
      <c r="V33">
        <v>401</v>
      </c>
      <c r="W33">
        <v>220</v>
      </c>
      <c r="X33">
        <v>215</v>
      </c>
      <c r="Y33">
        <v>326</v>
      </c>
      <c r="Z33">
        <v>361</v>
      </c>
      <c r="AA33">
        <v>185</v>
      </c>
      <c r="AB33">
        <v>224</v>
      </c>
      <c r="AC33">
        <v>225</v>
      </c>
      <c r="AD33">
        <v>234</v>
      </c>
      <c r="AE33">
        <v>285</v>
      </c>
      <c r="AF33">
        <v>185</v>
      </c>
      <c r="AG33">
        <v>261</v>
      </c>
      <c r="AH33">
        <v>137</v>
      </c>
      <c r="AI33">
        <v>149</v>
      </c>
      <c r="AJ33">
        <v>165</v>
      </c>
      <c r="AK33">
        <v>105</v>
      </c>
      <c r="AL33">
        <v>114</v>
      </c>
      <c r="AM33">
        <v>155</v>
      </c>
      <c r="AN33">
        <v>124</v>
      </c>
      <c r="AO33">
        <v>195</v>
      </c>
      <c r="AP33">
        <v>230</v>
      </c>
      <c r="AQ33">
        <v>119</v>
      </c>
      <c r="AR33">
        <v>138</v>
      </c>
      <c r="AS33">
        <v>290</v>
      </c>
      <c r="AT33">
        <v>232</v>
      </c>
      <c r="AU33">
        <v>259</v>
      </c>
      <c r="AV33" t="s">
        <v>21</v>
      </c>
      <c r="AW33">
        <v>135</v>
      </c>
      <c r="AX33">
        <v>140</v>
      </c>
      <c r="AY33">
        <v>322</v>
      </c>
      <c r="AZ33">
        <v>160</v>
      </c>
      <c r="BA33">
        <v>130</v>
      </c>
      <c r="BB33">
        <v>83</v>
      </c>
      <c r="BC33">
        <v>124</v>
      </c>
      <c r="BD33">
        <v>155</v>
      </c>
      <c r="BE33">
        <v>124</v>
      </c>
      <c r="BF33">
        <v>149</v>
      </c>
      <c r="BG33">
        <v>232</v>
      </c>
      <c r="BH33">
        <v>115</v>
      </c>
      <c r="BI33">
        <v>223</v>
      </c>
    </row>
    <row r="34" spans="2:61" x14ac:dyDescent="0.25">
      <c r="B34" s="2">
        <v>36220</v>
      </c>
      <c r="C34">
        <v>243</v>
      </c>
      <c r="D34">
        <v>303</v>
      </c>
      <c r="E34">
        <v>208</v>
      </c>
      <c r="F34">
        <v>271</v>
      </c>
      <c r="G34">
        <v>258</v>
      </c>
      <c r="H34">
        <v>339</v>
      </c>
      <c r="I34">
        <v>182</v>
      </c>
      <c r="J34">
        <v>330</v>
      </c>
      <c r="K34">
        <v>360</v>
      </c>
      <c r="L34">
        <v>280</v>
      </c>
      <c r="M34">
        <v>295</v>
      </c>
      <c r="N34">
        <v>320</v>
      </c>
      <c r="O34">
        <v>444</v>
      </c>
      <c r="P34">
        <v>230</v>
      </c>
      <c r="Q34">
        <v>166</v>
      </c>
      <c r="R34">
        <v>186</v>
      </c>
      <c r="S34">
        <v>270</v>
      </c>
      <c r="T34">
        <v>135</v>
      </c>
      <c r="U34">
        <v>325</v>
      </c>
      <c r="V34">
        <v>413</v>
      </c>
      <c r="W34">
        <v>239</v>
      </c>
      <c r="X34">
        <v>226</v>
      </c>
      <c r="Y34">
        <v>328</v>
      </c>
      <c r="Z34">
        <v>349</v>
      </c>
      <c r="AA34">
        <v>185</v>
      </c>
      <c r="AB34">
        <v>219</v>
      </c>
      <c r="AC34">
        <v>225</v>
      </c>
      <c r="AD34">
        <v>257</v>
      </c>
      <c r="AE34">
        <v>315</v>
      </c>
      <c r="AF34">
        <v>190</v>
      </c>
      <c r="AG34">
        <v>252</v>
      </c>
      <c r="AH34">
        <v>135</v>
      </c>
      <c r="AI34">
        <v>155</v>
      </c>
      <c r="AJ34" t="s">
        <v>21</v>
      </c>
      <c r="AK34">
        <v>105</v>
      </c>
      <c r="AL34">
        <v>105</v>
      </c>
      <c r="AM34">
        <v>180</v>
      </c>
      <c r="AN34">
        <v>128</v>
      </c>
      <c r="AO34">
        <v>189</v>
      </c>
      <c r="AP34">
        <v>239</v>
      </c>
      <c r="AQ34">
        <v>115</v>
      </c>
      <c r="AR34">
        <v>134</v>
      </c>
      <c r="AS34">
        <v>295</v>
      </c>
      <c r="AT34">
        <v>240</v>
      </c>
      <c r="AU34">
        <v>260</v>
      </c>
      <c r="AV34" t="s">
        <v>21</v>
      </c>
      <c r="AW34">
        <v>130</v>
      </c>
      <c r="AX34">
        <v>135</v>
      </c>
      <c r="AY34" t="s">
        <v>21</v>
      </c>
      <c r="AZ34">
        <v>130</v>
      </c>
      <c r="BA34">
        <v>130</v>
      </c>
      <c r="BB34">
        <v>109</v>
      </c>
      <c r="BC34">
        <v>127</v>
      </c>
      <c r="BD34">
        <v>156</v>
      </c>
      <c r="BE34">
        <v>132</v>
      </c>
      <c r="BF34">
        <v>150</v>
      </c>
      <c r="BG34">
        <v>235</v>
      </c>
      <c r="BH34">
        <v>119</v>
      </c>
      <c r="BI34">
        <v>225</v>
      </c>
    </row>
    <row r="35" spans="2:61" x14ac:dyDescent="0.25">
      <c r="B35" s="2">
        <v>36312</v>
      </c>
      <c r="C35">
        <v>253</v>
      </c>
      <c r="D35">
        <v>304</v>
      </c>
      <c r="E35">
        <v>219</v>
      </c>
      <c r="F35">
        <v>205</v>
      </c>
      <c r="G35">
        <v>270</v>
      </c>
      <c r="H35">
        <v>350</v>
      </c>
      <c r="I35">
        <v>186</v>
      </c>
      <c r="J35">
        <v>325</v>
      </c>
      <c r="K35">
        <v>355</v>
      </c>
      <c r="L35">
        <v>295</v>
      </c>
      <c r="M35">
        <v>294</v>
      </c>
      <c r="N35">
        <v>341</v>
      </c>
      <c r="O35">
        <v>450</v>
      </c>
      <c r="P35">
        <v>240</v>
      </c>
      <c r="Q35">
        <v>180</v>
      </c>
      <c r="R35">
        <v>190</v>
      </c>
      <c r="S35">
        <v>281</v>
      </c>
      <c r="T35">
        <v>145</v>
      </c>
      <c r="U35">
        <v>355</v>
      </c>
      <c r="V35">
        <v>635</v>
      </c>
      <c r="W35">
        <v>238</v>
      </c>
      <c r="X35">
        <v>245</v>
      </c>
      <c r="Y35">
        <v>362</v>
      </c>
      <c r="Z35">
        <v>375</v>
      </c>
      <c r="AA35">
        <v>198</v>
      </c>
      <c r="AB35">
        <v>229</v>
      </c>
      <c r="AC35">
        <v>227</v>
      </c>
      <c r="AD35">
        <v>245</v>
      </c>
      <c r="AE35">
        <v>320</v>
      </c>
      <c r="AF35">
        <v>200</v>
      </c>
      <c r="AG35">
        <v>270</v>
      </c>
      <c r="AH35">
        <v>148</v>
      </c>
      <c r="AI35">
        <v>175</v>
      </c>
      <c r="AJ35" t="s">
        <v>21</v>
      </c>
      <c r="AK35">
        <v>112</v>
      </c>
      <c r="AL35">
        <v>102</v>
      </c>
      <c r="AM35">
        <v>180</v>
      </c>
      <c r="AN35">
        <v>135</v>
      </c>
      <c r="AO35">
        <v>200</v>
      </c>
      <c r="AP35">
        <v>252</v>
      </c>
      <c r="AQ35">
        <v>135</v>
      </c>
      <c r="AR35">
        <v>135</v>
      </c>
      <c r="AS35">
        <v>283</v>
      </c>
      <c r="AT35">
        <v>252</v>
      </c>
      <c r="AU35">
        <v>270</v>
      </c>
      <c r="AV35" t="s">
        <v>21</v>
      </c>
      <c r="AW35">
        <v>139</v>
      </c>
      <c r="AX35">
        <v>141</v>
      </c>
      <c r="AY35">
        <v>330</v>
      </c>
      <c r="AZ35">
        <v>144</v>
      </c>
      <c r="BA35">
        <v>132</v>
      </c>
      <c r="BB35" t="s">
        <v>21</v>
      </c>
      <c r="BC35">
        <v>133</v>
      </c>
      <c r="BD35">
        <v>171</v>
      </c>
      <c r="BE35">
        <v>126</v>
      </c>
      <c r="BF35">
        <v>150</v>
      </c>
      <c r="BG35">
        <v>247</v>
      </c>
      <c r="BH35">
        <v>116</v>
      </c>
      <c r="BI35">
        <v>236</v>
      </c>
    </row>
    <row r="36" spans="2:61" x14ac:dyDescent="0.25">
      <c r="B36" s="2">
        <v>36404</v>
      </c>
      <c r="C36">
        <v>260</v>
      </c>
      <c r="D36">
        <v>324</v>
      </c>
      <c r="E36">
        <v>215</v>
      </c>
      <c r="F36">
        <v>200</v>
      </c>
      <c r="G36">
        <v>283</v>
      </c>
      <c r="H36">
        <v>360</v>
      </c>
      <c r="I36">
        <v>205</v>
      </c>
      <c r="J36">
        <v>343</v>
      </c>
      <c r="K36">
        <v>366</v>
      </c>
      <c r="L36">
        <v>310</v>
      </c>
      <c r="M36">
        <v>320</v>
      </c>
      <c r="N36">
        <v>340</v>
      </c>
      <c r="O36">
        <v>435</v>
      </c>
      <c r="P36">
        <v>245</v>
      </c>
      <c r="Q36">
        <v>238</v>
      </c>
      <c r="R36">
        <v>190</v>
      </c>
      <c r="S36">
        <v>297</v>
      </c>
      <c r="T36">
        <v>151</v>
      </c>
      <c r="U36">
        <v>330</v>
      </c>
      <c r="V36">
        <v>485</v>
      </c>
      <c r="W36">
        <v>238</v>
      </c>
      <c r="X36">
        <v>240</v>
      </c>
      <c r="Y36">
        <v>352</v>
      </c>
      <c r="Z36">
        <v>375</v>
      </c>
      <c r="AA36">
        <v>207</v>
      </c>
      <c r="AB36">
        <v>230</v>
      </c>
      <c r="AC36">
        <v>221</v>
      </c>
      <c r="AD36">
        <v>266</v>
      </c>
      <c r="AE36">
        <v>329</v>
      </c>
      <c r="AF36">
        <v>204</v>
      </c>
      <c r="AG36">
        <v>284</v>
      </c>
      <c r="AH36">
        <v>152</v>
      </c>
      <c r="AI36">
        <v>172</v>
      </c>
      <c r="AJ36">
        <v>153</v>
      </c>
      <c r="AK36">
        <v>108</v>
      </c>
      <c r="AL36">
        <v>115</v>
      </c>
      <c r="AM36">
        <v>200</v>
      </c>
      <c r="AN36">
        <v>150</v>
      </c>
      <c r="AO36">
        <v>197</v>
      </c>
      <c r="AP36">
        <v>265</v>
      </c>
      <c r="AQ36">
        <v>139</v>
      </c>
      <c r="AR36">
        <v>140</v>
      </c>
      <c r="AS36">
        <v>320</v>
      </c>
      <c r="AT36">
        <v>255</v>
      </c>
      <c r="AU36">
        <v>285</v>
      </c>
      <c r="AV36" t="s">
        <v>21</v>
      </c>
      <c r="AW36">
        <v>138</v>
      </c>
      <c r="AX36">
        <v>150</v>
      </c>
      <c r="AY36" t="s">
        <v>21</v>
      </c>
      <c r="AZ36">
        <v>178</v>
      </c>
      <c r="BA36">
        <v>140</v>
      </c>
      <c r="BB36">
        <v>96</v>
      </c>
      <c r="BC36">
        <v>135</v>
      </c>
      <c r="BD36">
        <v>205</v>
      </c>
      <c r="BE36">
        <v>134</v>
      </c>
      <c r="BF36">
        <v>155</v>
      </c>
      <c r="BG36">
        <v>252</v>
      </c>
      <c r="BH36">
        <v>116</v>
      </c>
      <c r="BI36">
        <v>242</v>
      </c>
    </row>
    <row r="37" spans="2:61" x14ac:dyDescent="0.25">
      <c r="B37" s="2">
        <v>36495</v>
      </c>
      <c r="C37">
        <v>265</v>
      </c>
      <c r="D37">
        <v>330</v>
      </c>
      <c r="E37">
        <v>200</v>
      </c>
      <c r="F37">
        <v>216</v>
      </c>
      <c r="G37">
        <v>272</v>
      </c>
      <c r="H37">
        <v>360</v>
      </c>
      <c r="I37">
        <v>205</v>
      </c>
      <c r="J37">
        <v>390</v>
      </c>
      <c r="K37">
        <v>365</v>
      </c>
      <c r="L37">
        <v>318</v>
      </c>
      <c r="M37">
        <v>316</v>
      </c>
      <c r="N37">
        <v>350</v>
      </c>
      <c r="O37">
        <v>497</v>
      </c>
      <c r="P37">
        <v>253</v>
      </c>
      <c r="Q37">
        <v>237</v>
      </c>
      <c r="R37">
        <v>195</v>
      </c>
      <c r="S37">
        <v>285</v>
      </c>
      <c r="T37">
        <v>148</v>
      </c>
      <c r="U37">
        <v>350</v>
      </c>
      <c r="V37">
        <v>490</v>
      </c>
      <c r="W37">
        <v>235</v>
      </c>
      <c r="X37">
        <v>277</v>
      </c>
      <c r="Y37">
        <v>378</v>
      </c>
      <c r="Z37">
        <v>400</v>
      </c>
      <c r="AA37">
        <v>201</v>
      </c>
      <c r="AB37">
        <v>246</v>
      </c>
      <c r="AC37">
        <v>230</v>
      </c>
      <c r="AD37">
        <v>303</v>
      </c>
      <c r="AE37">
        <v>330</v>
      </c>
      <c r="AF37">
        <v>207</v>
      </c>
      <c r="AG37">
        <v>295</v>
      </c>
      <c r="AH37">
        <v>166</v>
      </c>
      <c r="AI37">
        <v>178</v>
      </c>
      <c r="AJ37" t="s">
        <v>21</v>
      </c>
      <c r="AK37">
        <v>109</v>
      </c>
      <c r="AL37">
        <v>115</v>
      </c>
      <c r="AM37">
        <v>210</v>
      </c>
      <c r="AN37">
        <v>145</v>
      </c>
      <c r="AO37">
        <v>195</v>
      </c>
      <c r="AP37">
        <v>269</v>
      </c>
      <c r="AQ37">
        <v>135</v>
      </c>
      <c r="AR37">
        <v>138</v>
      </c>
      <c r="AS37">
        <v>315</v>
      </c>
      <c r="AT37">
        <v>265</v>
      </c>
      <c r="AU37">
        <v>290</v>
      </c>
      <c r="AV37">
        <v>130</v>
      </c>
      <c r="AW37">
        <v>150</v>
      </c>
      <c r="AX37">
        <v>155</v>
      </c>
      <c r="AY37" t="s">
        <v>21</v>
      </c>
      <c r="AZ37">
        <v>160</v>
      </c>
      <c r="BA37">
        <v>140</v>
      </c>
      <c r="BB37" t="s">
        <v>21</v>
      </c>
      <c r="BC37">
        <v>139</v>
      </c>
      <c r="BD37">
        <v>180</v>
      </c>
      <c r="BE37">
        <v>127</v>
      </c>
      <c r="BF37">
        <v>169</v>
      </c>
      <c r="BG37">
        <v>259</v>
      </c>
      <c r="BH37">
        <v>120</v>
      </c>
      <c r="BI37">
        <v>246</v>
      </c>
    </row>
    <row r="38" spans="2:61" x14ac:dyDescent="0.25">
      <c r="B38" s="2">
        <v>36586</v>
      </c>
      <c r="C38">
        <v>270</v>
      </c>
      <c r="D38">
        <v>348</v>
      </c>
      <c r="E38">
        <v>223</v>
      </c>
      <c r="F38">
        <v>240</v>
      </c>
      <c r="G38">
        <v>288</v>
      </c>
      <c r="H38">
        <v>370</v>
      </c>
      <c r="I38">
        <v>220</v>
      </c>
      <c r="J38">
        <v>363</v>
      </c>
      <c r="K38">
        <v>390</v>
      </c>
      <c r="L38">
        <v>320</v>
      </c>
      <c r="M38">
        <v>370</v>
      </c>
      <c r="N38">
        <v>360</v>
      </c>
      <c r="O38">
        <v>430</v>
      </c>
      <c r="P38">
        <v>250</v>
      </c>
      <c r="Q38">
        <v>203</v>
      </c>
      <c r="R38">
        <v>212</v>
      </c>
      <c r="S38">
        <v>275</v>
      </c>
      <c r="T38">
        <v>145</v>
      </c>
      <c r="U38">
        <v>375</v>
      </c>
      <c r="V38">
        <v>450</v>
      </c>
      <c r="W38">
        <v>250</v>
      </c>
      <c r="X38">
        <v>268</v>
      </c>
      <c r="Y38">
        <v>400</v>
      </c>
      <c r="Z38">
        <v>407</v>
      </c>
      <c r="AA38">
        <v>208</v>
      </c>
      <c r="AB38">
        <v>247</v>
      </c>
      <c r="AC38">
        <v>248</v>
      </c>
      <c r="AD38">
        <v>240</v>
      </c>
      <c r="AE38">
        <v>344</v>
      </c>
      <c r="AF38">
        <v>220</v>
      </c>
      <c r="AG38">
        <v>298</v>
      </c>
      <c r="AH38">
        <v>160</v>
      </c>
      <c r="AI38">
        <v>187</v>
      </c>
      <c r="AJ38" t="s">
        <v>21</v>
      </c>
      <c r="AK38">
        <v>115</v>
      </c>
      <c r="AL38">
        <v>121</v>
      </c>
      <c r="AM38">
        <v>210</v>
      </c>
      <c r="AN38">
        <v>163</v>
      </c>
      <c r="AO38">
        <v>192</v>
      </c>
      <c r="AP38">
        <v>282</v>
      </c>
      <c r="AQ38">
        <v>130</v>
      </c>
      <c r="AR38">
        <v>127</v>
      </c>
      <c r="AS38">
        <v>365</v>
      </c>
      <c r="AT38">
        <v>273</v>
      </c>
      <c r="AU38">
        <v>293</v>
      </c>
      <c r="AV38" t="s">
        <v>21</v>
      </c>
      <c r="AW38">
        <v>160</v>
      </c>
      <c r="AX38">
        <v>152</v>
      </c>
      <c r="AY38" t="s">
        <v>21</v>
      </c>
      <c r="AZ38">
        <v>240</v>
      </c>
      <c r="BA38">
        <v>140</v>
      </c>
      <c r="BB38" t="s">
        <v>21</v>
      </c>
      <c r="BC38">
        <v>140</v>
      </c>
      <c r="BD38">
        <v>180</v>
      </c>
      <c r="BE38">
        <v>132</v>
      </c>
      <c r="BF38">
        <v>164</v>
      </c>
      <c r="BG38">
        <v>264</v>
      </c>
      <c r="BH38">
        <v>119</v>
      </c>
      <c r="BI38">
        <v>250</v>
      </c>
    </row>
    <row r="39" spans="2:61" x14ac:dyDescent="0.25">
      <c r="B39" s="2">
        <v>36678</v>
      </c>
      <c r="C39">
        <v>278</v>
      </c>
      <c r="D39">
        <v>335</v>
      </c>
      <c r="E39">
        <v>235</v>
      </c>
      <c r="F39">
        <v>250</v>
      </c>
      <c r="G39">
        <v>305</v>
      </c>
      <c r="H39">
        <v>370</v>
      </c>
      <c r="I39">
        <v>235</v>
      </c>
      <c r="J39">
        <v>355</v>
      </c>
      <c r="K39">
        <v>395</v>
      </c>
      <c r="L39">
        <v>322</v>
      </c>
      <c r="M39">
        <v>320</v>
      </c>
      <c r="N39">
        <v>360</v>
      </c>
      <c r="O39">
        <v>430</v>
      </c>
      <c r="P39">
        <v>265</v>
      </c>
      <c r="Q39">
        <v>196</v>
      </c>
      <c r="R39">
        <v>220</v>
      </c>
      <c r="S39">
        <v>308</v>
      </c>
      <c r="T39">
        <v>151</v>
      </c>
      <c r="U39">
        <v>360</v>
      </c>
      <c r="V39">
        <v>360</v>
      </c>
      <c r="W39">
        <v>268</v>
      </c>
      <c r="X39">
        <v>252</v>
      </c>
      <c r="Y39">
        <v>386</v>
      </c>
      <c r="Z39">
        <v>420</v>
      </c>
      <c r="AA39">
        <v>229</v>
      </c>
      <c r="AB39">
        <v>240</v>
      </c>
      <c r="AC39">
        <v>245</v>
      </c>
      <c r="AD39">
        <v>250</v>
      </c>
      <c r="AE39">
        <v>352</v>
      </c>
      <c r="AF39">
        <v>222</v>
      </c>
      <c r="AG39">
        <v>313</v>
      </c>
      <c r="AH39">
        <v>160</v>
      </c>
      <c r="AI39">
        <v>160</v>
      </c>
      <c r="AJ39">
        <v>170</v>
      </c>
      <c r="AK39">
        <v>120</v>
      </c>
      <c r="AL39">
        <v>116</v>
      </c>
      <c r="AM39">
        <v>221</v>
      </c>
      <c r="AN39">
        <v>162</v>
      </c>
      <c r="AO39">
        <v>212</v>
      </c>
      <c r="AP39">
        <v>281</v>
      </c>
      <c r="AQ39">
        <v>152</v>
      </c>
      <c r="AR39">
        <v>151</v>
      </c>
      <c r="AS39">
        <v>350</v>
      </c>
      <c r="AT39">
        <v>280</v>
      </c>
      <c r="AU39">
        <v>297</v>
      </c>
      <c r="AV39" t="s">
        <v>21</v>
      </c>
      <c r="AW39">
        <v>160</v>
      </c>
      <c r="AX39">
        <v>160</v>
      </c>
      <c r="AY39" t="s">
        <v>21</v>
      </c>
      <c r="AZ39">
        <v>220</v>
      </c>
      <c r="BA39">
        <v>143</v>
      </c>
      <c r="BB39">
        <v>100</v>
      </c>
      <c r="BC39">
        <v>147</v>
      </c>
      <c r="BD39">
        <v>265</v>
      </c>
      <c r="BE39">
        <v>140</v>
      </c>
      <c r="BF39">
        <v>153</v>
      </c>
      <c r="BG39">
        <v>270</v>
      </c>
      <c r="BH39">
        <v>123</v>
      </c>
      <c r="BI39">
        <v>250</v>
      </c>
    </row>
    <row r="40" spans="2:61" x14ac:dyDescent="0.25">
      <c r="B40" s="2">
        <v>36770</v>
      </c>
      <c r="C40">
        <v>265</v>
      </c>
      <c r="D40">
        <v>328</v>
      </c>
      <c r="E40">
        <v>211</v>
      </c>
      <c r="F40">
        <v>225</v>
      </c>
      <c r="G40">
        <v>276</v>
      </c>
      <c r="H40">
        <v>393</v>
      </c>
      <c r="I40">
        <v>210</v>
      </c>
      <c r="J40">
        <v>385</v>
      </c>
      <c r="K40">
        <v>385</v>
      </c>
      <c r="L40">
        <v>316</v>
      </c>
      <c r="M40">
        <v>326</v>
      </c>
      <c r="N40">
        <v>350</v>
      </c>
      <c r="O40">
        <v>450</v>
      </c>
      <c r="P40">
        <v>252</v>
      </c>
      <c r="Q40">
        <v>170</v>
      </c>
      <c r="R40">
        <v>212</v>
      </c>
      <c r="S40">
        <v>247</v>
      </c>
      <c r="T40">
        <v>160</v>
      </c>
      <c r="U40">
        <v>381</v>
      </c>
      <c r="V40">
        <v>326</v>
      </c>
      <c r="W40">
        <v>255</v>
      </c>
      <c r="X40">
        <v>258</v>
      </c>
      <c r="Y40">
        <v>399</v>
      </c>
      <c r="Z40">
        <v>438</v>
      </c>
      <c r="AA40">
        <v>216</v>
      </c>
      <c r="AB40">
        <v>250</v>
      </c>
      <c r="AC40">
        <v>240</v>
      </c>
      <c r="AD40">
        <v>260</v>
      </c>
      <c r="AE40">
        <v>363</v>
      </c>
      <c r="AF40">
        <v>213</v>
      </c>
      <c r="AG40">
        <v>310</v>
      </c>
      <c r="AH40">
        <v>175</v>
      </c>
      <c r="AI40">
        <v>165</v>
      </c>
      <c r="AJ40" t="s">
        <v>21</v>
      </c>
      <c r="AK40">
        <v>125</v>
      </c>
      <c r="AL40">
        <v>113</v>
      </c>
      <c r="AM40">
        <v>205</v>
      </c>
      <c r="AN40">
        <v>188</v>
      </c>
      <c r="AO40">
        <v>190</v>
      </c>
      <c r="AP40">
        <v>280</v>
      </c>
      <c r="AQ40">
        <v>153</v>
      </c>
      <c r="AR40">
        <v>140</v>
      </c>
      <c r="AS40">
        <v>360</v>
      </c>
      <c r="AT40">
        <v>268</v>
      </c>
      <c r="AU40">
        <v>298</v>
      </c>
      <c r="AV40" t="s">
        <v>21</v>
      </c>
      <c r="AW40">
        <v>174</v>
      </c>
      <c r="AX40">
        <v>149</v>
      </c>
      <c r="AY40" t="s">
        <v>21</v>
      </c>
      <c r="AZ40">
        <v>189</v>
      </c>
      <c r="BA40">
        <v>142</v>
      </c>
      <c r="BB40">
        <v>92</v>
      </c>
      <c r="BC40">
        <v>137</v>
      </c>
      <c r="BD40">
        <v>193</v>
      </c>
      <c r="BE40">
        <v>145</v>
      </c>
      <c r="BF40">
        <v>158</v>
      </c>
      <c r="BG40">
        <v>256</v>
      </c>
      <c r="BH40">
        <v>120</v>
      </c>
      <c r="BI40">
        <v>240</v>
      </c>
    </row>
    <row r="41" spans="2:61" x14ac:dyDescent="0.25">
      <c r="B41" s="2">
        <v>36861</v>
      </c>
      <c r="C41">
        <v>281</v>
      </c>
      <c r="D41">
        <v>340</v>
      </c>
      <c r="E41">
        <v>228</v>
      </c>
      <c r="F41">
        <v>223</v>
      </c>
      <c r="G41">
        <v>282</v>
      </c>
      <c r="H41">
        <v>393</v>
      </c>
      <c r="I41">
        <v>221</v>
      </c>
      <c r="J41">
        <v>430</v>
      </c>
      <c r="K41">
        <v>417</v>
      </c>
      <c r="L41">
        <v>320</v>
      </c>
      <c r="M41">
        <v>335</v>
      </c>
      <c r="N41">
        <v>350</v>
      </c>
      <c r="O41">
        <v>468</v>
      </c>
      <c r="P41">
        <v>265</v>
      </c>
      <c r="Q41">
        <v>168</v>
      </c>
      <c r="R41">
        <v>223</v>
      </c>
      <c r="S41">
        <v>280</v>
      </c>
      <c r="T41">
        <v>160</v>
      </c>
      <c r="U41">
        <v>370</v>
      </c>
      <c r="V41">
        <v>498</v>
      </c>
      <c r="W41">
        <v>270</v>
      </c>
      <c r="X41">
        <v>252</v>
      </c>
      <c r="Y41">
        <v>397</v>
      </c>
      <c r="Z41">
        <v>435</v>
      </c>
      <c r="AA41">
        <v>219</v>
      </c>
      <c r="AB41">
        <v>265</v>
      </c>
      <c r="AC41">
        <v>255</v>
      </c>
      <c r="AD41">
        <v>293</v>
      </c>
      <c r="AE41">
        <v>363</v>
      </c>
      <c r="AF41">
        <v>226</v>
      </c>
      <c r="AG41">
        <v>295</v>
      </c>
      <c r="AH41">
        <v>165</v>
      </c>
      <c r="AI41">
        <v>191</v>
      </c>
      <c r="AJ41" t="s">
        <v>21</v>
      </c>
      <c r="AK41">
        <v>127</v>
      </c>
      <c r="AL41">
        <v>105</v>
      </c>
      <c r="AM41">
        <v>200</v>
      </c>
      <c r="AN41">
        <v>181</v>
      </c>
      <c r="AO41">
        <v>206</v>
      </c>
      <c r="AP41">
        <v>291</v>
      </c>
      <c r="AQ41">
        <v>159</v>
      </c>
      <c r="AR41">
        <v>142</v>
      </c>
      <c r="AS41">
        <v>360</v>
      </c>
      <c r="AT41">
        <v>280</v>
      </c>
      <c r="AU41">
        <v>304</v>
      </c>
      <c r="AV41" t="s">
        <v>21</v>
      </c>
      <c r="AW41">
        <v>174</v>
      </c>
      <c r="AX41">
        <v>165</v>
      </c>
      <c r="AY41" t="s">
        <v>21</v>
      </c>
      <c r="AZ41">
        <v>199</v>
      </c>
      <c r="BA41">
        <v>147</v>
      </c>
      <c r="BB41">
        <v>85</v>
      </c>
      <c r="BC41">
        <v>152</v>
      </c>
      <c r="BD41">
        <v>224</v>
      </c>
      <c r="BE41">
        <v>134</v>
      </c>
      <c r="BF41">
        <v>170</v>
      </c>
      <c r="BG41">
        <v>275</v>
      </c>
      <c r="BH41">
        <v>119</v>
      </c>
      <c r="BI41">
        <v>260</v>
      </c>
    </row>
    <row r="42" spans="2:61" x14ac:dyDescent="0.25">
      <c r="B42" s="2">
        <v>36951</v>
      </c>
      <c r="C42">
        <v>288</v>
      </c>
      <c r="D42">
        <v>358</v>
      </c>
      <c r="E42">
        <v>235</v>
      </c>
      <c r="F42">
        <v>259</v>
      </c>
      <c r="G42">
        <v>309</v>
      </c>
      <c r="H42">
        <v>404</v>
      </c>
      <c r="I42">
        <v>250</v>
      </c>
      <c r="J42">
        <v>410</v>
      </c>
      <c r="K42">
        <v>425</v>
      </c>
      <c r="L42">
        <v>335</v>
      </c>
      <c r="M42">
        <v>366</v>
      </c>
      <c r="N42">
        <v>358</v>
      </c>
      <c r="O42">
        <v>506</v>
      </c>
      <c r="P42">
        <v>273</v>
      </c>
      <c r="Q42">
        <v>201</v>
      </c>
      <c r="R42">
        <v>215</v>
      </c>
      <c r="S42">
        <v>316</v>
      </c>
      <c r="T42">
        <v>155</v>
      </c>
      <c r="U42">
        <v>365</v>
      </c>
      <c r="V42">
        <v>493</v>
      </c>
      <c r="W42">
        <v>272</v>
      </c>
      <c r="X42">
        <v>281</v>
      </c>
      <c r="Y42">
        <v>370</v>
      </c>
      <c r="Z42">
        <v>440</v>
      </c>
      <c r="AA42">
        <v>220</v>
      </c>
      <c r="AB42">
        <v>250</v>
      </c>
      <c r="AC42">
        <v>261</v>
      </c>
      <c r="AD42">
        <v>268</v>
      </c>
      <c r="AE42">
        <v>381</v>
      </c>
      <c r="AF42">
        <v>237</v>
      </c>
      <c r="AG42">
        <v>300</v>
      </c>
      <c r="AH42">
        <v>172</v>
      </c>
      <c r="AI42" t="s">
        <v>21</v>
      </c>
      <c r="AJ42">
        <v>170</v>
      </c>
      <c r="AK42">
        <v>130</v>
      </c>
      <c r="AL42">
        <v>114</v>
      </c>
      <c r="AM42">
        <v>229</v>
      </c>
      <c r="AN42">
        <v>175</v>
      </c>
      <c r="AO42">
        <v>233</v>
      </c>
      <c r="AP42">
        <v>300</v>
      </c>
      <c r="AQ42">
        <v>152</v>
      </c>
      <c r="AR42">
        <v>141</v>
      </c>
      <c r="AS42">
        <v>330</v>
      </c>
      <c r="AT42">
        <v>285</v>
      </c>
      <c r="AU42">
        <v>316</v>
      </c>
      <c r="AV42" t="s">
        <v>21</v>
      </c>
      <c r="AW42">
        <v>178</v>
      </c>
      <c r="AX42">
        <v>159</v>
      </c>
      <c r="AY42" t="s">
        <v>21</v>
      </c>
      <c r="AZ42">
        <v>156</v>
      </c>
      <c r="BA42">
        <v>150</v>
      </c>
      <c r="BB42">
        <v>102</v>
      </c>
      <c r="BC42">
        <v>158</v>
      </c>
      <c r="BD42">
        <v>204</v>
      </c>
      <c r="BE42">
        <v>138</v>
      </c>
      <c r="BF42">
        <v>160</v>
      </c>
      <c r="BG42">
        <v>280</v>
      </c>
      <c r="BH42">
        <v>125</v>
      </c>
      <c r="BI42">
        <v>265</v>
      </c>
    </row>
    <row r="43" spans="2:61" x14ac:dyDescent="0.25">
      <c r="B43" s="2">
        <v>37043</v>
      </c>
      <c r="C43">
        <v>305</v>
      </c>
      <c r="D43">
        <v>370</v>
      </c>
      <c r="E43">
        <v>253</v>
      </c>
      <c r="F43">
        <v>301</v>
      </c>
      <c r="G43">
        <v>318</v>
      </c>
      <c r="H43">
        <v>440</v>
      </c>
      <c r="I43">
        <v>276</v>
      </c>
      <c r="J43">
        <v>386</v>
      </c>
      <c r="K43">
        <v>447</v>
      </c>
      <c r="L43">
        <v>361</v>
      </c>
      <c r="M43">
        <v>360</v>
      </c>
      <c r="N43">
        <v>420</v>
      </c>
      <c r="O43">
        <v>600</v>
      </c>
      <c r="P43">
        <v>285</v>
      </c>
      <c r="Q43">
        <v>239</v>
      </c>
      <c r="R43">
        <v>230</v>
      </c>
      <c r="S43">
        <v>325</v>
      </c>
      <c r="T43">
        <v>163</v>
      </c>
      <c r="U43">
        <v>400</v>
      </c>
      <c r="V43">
        <v>518</v>
      </c>
      <c r="W43">
        <v>266</v>
      </c>
      <c r="X43">
        <v>290</v>
      </c>
      <c r="Y43">
        <v>388</v>
      </c>
      <c r="Z43">
        <v>475</v>
      </c>
      <c r="AA43">
        <v>236</v>
      </c>
      <c r="AB43">
        <v>288</v>
      </c>
      <c r="AC43">
        <v>299</v>
      </c>
      <c r="AD43">
        <v>299</v>
      </c>
      <c r="AE43">
        <v>410</v>
      </c>
      <c r="AF43">
        <v>245</v>
      </c>
      <c r="AG43">
        <v>329</v>
      </c>
      <c r="AH43">
        <v>185</v>
      </c>
      <c r="AI43">
        <v>211</v>
      </c>
      <c r="AJ43">
        <v>205</v>
      </c>
      <c r="AK43">
        <v>133</v>
      </c>
      <c r="AL43">
        <v>128</v>
      </c>
      <c r="AM43">
        <v>220</v>
      </c>
      <c r="AN43">
        <v>173</v>
      </c>
      <c r="AO43">
        <v>233</v>
      </c>
      <c r="AP43">
        <v>314</v>
      </c>
      <c r="AQ43">
        <v>159</v>
      </c>
      <c r="AR43">
        <v>150</v>
      </c>
      <c r="AS43">
        <v>345</v>
      </c>
      <c r="AT43">
        <v>290</v>
      </c>
      <c r="AU43">
        <v>340</v>
      </c>
      <c r="AV43" t="s">
        <v>21</v>
      </c>
      <c r="AW43">
        <v>175</v>
      </c>
      <c r="AX43">
        <v>170</v>
      </c>
      <c r="AY43">
        <v>120</v>
      </c>
      <c r="AZ43">
        <v>187</v>
      </c>
      <c r="BA43">
        <v>159</v>
      </c>
      <c r="BB43">
        <v>117</v>
      </c>
      <c r="BC43">
        <v>165</v>
      </c>
      <c r="BD43">
        <v>262</v>
      </c>
      <c r="BE43">
        <v>167</v>
      </c>
      <c r="BF43">
        <v>185</v>
      </c>
      <c r="BG43">
        <v>298</v>
      </c>
      <c r="BH43">
        <v>124</v>
      </c>
      <c r="BI43">
        <v>285</v>
      </c>
    </row>
    <row r="44" spans="2:61" x14ac:dyDescent="0.25">
      <c r="B44" s="2">
        <v>37135</v>
      </c>
      <c r="C44">
        <v>320</v>
      </c>
      <c r="D44">
        <v>387</v>
      </c>
      <c r="E44">
        <v>285</v>
      </c>
      <c r="F44">
        <v>286</v>
      </c>
      <c r="G44">
        <v>330</v>
      </c>
      <c r="H44">
        <v>520</v>
      </c>
      <c r="I44">
        <v>276</v>
      </c>
      <c r="J44">
        <v>390</v>
      </c>
      <c r="K44">
        <v>480</v>
      </c>
      <c r="L44">
        <v>399</v>
      </c>
      <c r="M44">
        <v>382</v>
      </c>
      <c r="N44">
        <v>420</v>
      </c>
      <c r="O44">
        <v>590</v>
      </c>
      <c r="P44">
        <v>302</v>
      </c>
      <c r="Q44">
        <v>290</v>
      </c>
      <c r="R44">
        <v>239</v>
      </c>
      <c r="S44">
        <v>345</v>
      </c>
      <c r="T44">
        <v>185</v>
      </c>
      <c r="U44">
        <v>415</v>
      </c>
      <c r="V44">
        <v>613</v>
      </c>
      <c r="W44">
        <v>272</v>
      </c>
      <c r="X44">
        <v>305</v>
      </c>
      <c r="Y44">
        <v>470</v>
      </c>
      <c r="Z44">
        <v>475</v>
      </c>
      <c r="AA44">
        <v>258</v>
      </c>
      <c r="AB44">
        <v>295</v>
      </c>
      <c r="AC44">
        <v>295</v>
      </c>
      <c r="AD44">
        <v>327</v>
      </c>
      <c r="AE44">
        <v>410</v>
      </c>
      <c r="AF44">
        <v>253</v>
      </c>
      <c r="AG44">
        <v>339</v>
      </c>
      <c r="AH44">
        <v>200</v>
      </c>
      <c r="AI44">
        <v>210</v>
      </c>
      <c r="AJ44">
        <v>190</v>
      </c>
      <c r="AK44">
        <v>151</v>
      </c>
      <c r="AL44">
        <v>135</v>
      </c>
      <c r="AM44">
        <v>234</v>
      </c>
      <c r="AN44">
        <v>186</v>
      </c>
      <c r="AO44">
        <v>242</v>
      </c>
      <c r="AP44">
        <v>345</v>
      </c>
      <c r="AQ44">
        <v>176</v>
      </c>
      <c r="AR44">
        <v>175</v>
      </c>
      <c r="AS44">
        <v>405</v>
      </c>
      <c r="AT44">
        <v>300</v>
      </c>
      <c r="AU44">
        <v>355</v>
      </c>
      <c r="AV44" t="s">
        <v>21</v>
      </c>
      <c r="AW44">
        <v>191</v>
      </c>
      <c r="AX44">
        <v>189</v>
      </c>
      <c r="AY44">
        <v>280</v>
      </c>
      <c r="AZ44">
        <v>270</v>
      </c>
      <c r="BA44">
        <v>159</v>
      </c>
      <c r="BB44">
        <v>115</v>
      </c>
      <c r="BC44">
        <v>228</v>
      </c>
      <c r="BD44">
        <v>225</v>
      </c>
      <c r="BE44">
        <v>154</v>
      </c>
      <c r="BF44">
        <v>190</v>
      </c>
      <c r="BG44">
        <v>312</v>
      </c>
      <c r="BH44">
        <v>123</v>
      </c>
      <c r="BI44">
        <v>296</v>
      </c>
    </row>
    <row r="45" spans="2:61" x14ac:dyDescent="0.25">
      <c r="B45" s="2">
        <v>37226</v>
      </c>
      <c r="C45">
        <v>325</v>
      </c>
      <c r="D45">
        <v>395</v>
      </c>
      <c r="E45">
        <v>318</v>
      </c>
      <c r="F45">
        <v>280</v>
      </c>
      <c r="G45">
        <v>325</v>
      </c>
      <c r="H45">
        <v>406</v>
      </c>
      <c r="I45">
        <v>280</v>
      </c>
      <c r="J45">
        <v>495</v>
      </c>
      <c r="K45">
        <v>455</v>
      </c>
      <c r="L45">
        <v>400</v>
      </c>
      <c r="M45">
        <v>390</v>
      </c>
      <c r="N45">
        <v>400</v>
      </c>
      <c r="O45">
        <v>583</v>
      </c>
      <c r="P45">
        <v>302</v>
      </c>
      <c r="Q45">
        <v>311</v>
      </c>
      <c r="R45">
        <v>237</v>
      </c>
      <c r="S45">
        <v>340</v>
      </c>
      <c r="T45">
        <v>184</v>
      </c>
      <c r="U45">
        <v>425</v>
      </c>
      <c r="V45">
        <v>415</v>
      </c>
      <c r="W45">
        <v>265</v>
      </c>
      <c r="X45">
        <v>309</v>
      </c>
      <c r="Y45">
        <v>440</v>
      </c>
      <c r="Z45">
        <v>475</v>
      </c>
      <c r="AA45">
        <v>245</v>
      </c>
      <c r="AB45">
        <v>305</v>
      </c>
      <c r="AC45">
        <v>315</v>
      </c>
      <c r="AD45">
        <v>346</v>
      </c>
      <c r="AE45">
        <v>400</v>
      </c>
      <c r="AF45">
        <v>258</v>
      </c>
      <c r="AG45">
        <v>352</v>
      </c>
      <c r="AH45">
        <v>215</v>
      </c>
      <c r="AI45">
        <v>220</v>
      </c>
      <c r="AJ45">
        <v>207</v>
      </c>
      <c r="AK45">
        <v>165</v>
      </c>
      <c r="AL45">
        <v>150</v>
      </c>
      <c r="AM45">
        <v>248</v>
      </c>
      <c r="AN45">
        <v>195</v>
      </c>
      <c r="AO45">
        <v>248</v>
      </c>
      <c r="AP45">
        <v>350</v>
      </c>
      <c r="AQ45">
        <v>195</v>
      </c>
      <c r="AR45">
        <v>181</v>
      </c>
      <c r="AS45">
        <v>455</v>
      </c>
      <c r="AT45">
        <v>319</v>
      </c>
      <c r="AU45">
        <v>365</v>
      </c>
      <c r="AV45" t="s">
        <v>21</v>
      </c>
      <c r="AW45">
        <v>185</v>
      </c>
      <c r="AX45">
        <v>190</v>
      </c>
      <c r="AY45">
        <v>316</v>
      </c>
      <c r="AZ45">
        <v>263</v>
      </c>
      <c r="BA45">
        <v>170</v>
      </c>
      <c r="BB45">
        <v>85</v>
      </c>
      <c r="BC45">
        <v>175</v>
      </c>
      <c r="BD45">
        <v>240</v>
      </c>
      <c r="BE45">
        <v>160</v>
      </c>
      <c r="BF45">
        <v>206</v>
      </c>
      <c r="BG45">
        <v>315</v>
      </c>
      <c r="BH45">
        <v>129</v>
      </c>
      <c r="BI45">
        <v>295</v>
      </c>
    </row>
    <row r="46" spans="2:61" x14ac:dyDescent="0.25">
      <c r="B46" s="2">
        <v>37316</v>
      </c>
      <c r="C46">
        <v>335</v>
      </c>
      <c r="D46">
        <v>400</v>
      </c>
      <c r="E46">
        <v>305</v>
      </c>
      <c r="F46">
        <v>288</v>
      </c>
      <c r="G46">
        <v>327</v>
      </c>
      <c r="H46">
        <v>442</v>
      </c>
      <c r="I46">
        <v>287</v>
      </c>
      <c r="J46">
        <v>450</v>
      </c>
      <c r="K46">
        <v>473</v>
      </c>
      <c r="L46">
        <v>390</v>
      </c>
      <c r="M46">
        <v>395</v>
      </c>
      <c r="N46">
        <v>450</v>
      </c>
      <c r="O46">
        <v>600</v>
      </c>
      <c r="P46">
        <v>320</v>
      </c>
      <c r="Q46">
        <v>313</v>
      </c>
      <c r="R46">
        <v>248</v>
      </c>
      <c r="S46">
        <v>340</v>
      </c>
      <c r="T46">
        <v>193</v>
      </c>
      <c r="U46">
        <v>480</v>
      </c>
      <c r="V46">
        <v>577</v>
      </c>
      <c r="W46">
        <v>302</v>
      </c>
      <c r="X46">
        <v>305</v>
      </c>
      <c r="Y46">
        <v>451</v>
      </c>
      <c r="Z46">
        <v>512</v>
      </c>
      <c r="AA46">
        <v>286</v>
      </c>
      <c r="AB46">
        <v>320</v>
      </c>
      <c r="AC46">
        <v>310</v>
      </c>
      <c r="AD46">
        <v>385</v>
      </c>
      <c r="AE46">
        <v>425</v>
      </c>
      <c r="AF46">
        <v>268</v>
      </c>
      <c r="AG46">
        <v>365</v>
      </c>
      <c r="AH46">
        <v>218</v>
      </c>
      <c r="AI46">
        <v>213</v>
      </c>
      <c r="AJ46" t="s">
        <v>21</v>
      </c>
      <c r="AK46">
        <v>165</v>
      </c>
      <c r="AL46">
        <v>157</v>
      </c>
      <c r="AM46">
        <v>258</v>
      </c>
      <c r="AN46">
        <v>201</v>
      </c>
      <c r="AO46">
        <v>256</v>
      </c>
      <c r="AP46">
        <v>356</v>
      </c>
      <c r="AQ46">
        <v>206</v>
      </c>
      <c r="AR46">
        <v>190</v>
      </c>
      <c r="AS46">
        <v>460</v>
      </c>
      <c r="AT46">
        <v>338</v>
      </c>
      <c r="AU46">
        <v>370</v>
      </c>
      <c r="AV46">
        <v>210</v>
      </c>
      <c r="AW46">
        <v>240</v>
      </c>
      <c r="AX46">
        <v>210</v>
      </c>
      <c r="AY46">
        <v>256</v>
      </c>
      <c r="AZ46">
        <v>275</v>
      </c>
      <c r="BA46">
        <v>180</v>
      </c>
      <c r="BB46">
        <v>101</v>
      </c>
      <c r="BC46">
        <v>262</v>
      </c>
      <c r="BD46">
        <v>210</v>
      </c>
      <c r="BE46">
        <v>172</v>
      </c>
      <c r="BF46">
        <v>215</v>
      </c>
      <c r="BG46">
        <v>328</v>
      </c>
      <c r="BH46">
        <v>135</v>
      </c>
      <c r="BI46">
        <v>303</v>
      </c>
    </row>
    <row r="47" spans="2:61" x14ac:dyDescent="0.25">
      <c r="B47" s="2">
        <v>37408</v>
      </c>
      <c r="C47">
        <v>353</v>
      </c>
      <c r="D47">
        <v>425</v>
      </c>
      <c r="E47">
        <v>311</v>
      </c>
      <c r="F47">
        <v>295</v>
      </c>
      <c r="G47">
        <v>368</v>
      </c>
      <c r="H47">
        <v>510</v>
      </c>
      <c r="I47">
        <v>299</v>
      </c>
      <c r="J47">
        <v>458</v>
      </c>
      <c r="K47">
        <v>458</v>
      </c>
      <c r="L47">
        <v>429</v>
      </c>
      <c r="M47">
        <v>420</v>
      </c>
      <c r="N47">
        <v>462</v>
      </c>
      <c r="O47">
        <v>638</v>
      </c>
      <c r="P47">
        <v>336</v>
      </c>
      <c r="Q47">
        <v>320</v>
      </c>
      <c r="R47">
        <v>275</v>
      </c>
      <c r="S47">
        <v>360</v>
      </c>
      <c r="T47">
        <v>208</v>
      </c>
      <c r="U47">
        <v>455</v>
      </c>
      <c r="V47">
        <v>495</v>
      </c>
      <c r="W47">
        <v>305</v>
      </c>
      <c r="X47">
        <v>333</v>
      </c>
      <c r="Y47">
        <v>473</v>
      </c>
      <c r="Z47">
        <v>540</v>
      </c>
      <c r="AA47">
        <v>274</v>
      </c>
      <c r="AB47">
        <v>346</v>
      </c>
      <c r="AC47">
        <v>356</v>
      </c>
      <c r="AD47">
        <v>373</v>
      </c>
      <c r="AE47">
        <v>525</v>
      </c>
      <c r="AF47">
        <v>282</v>
      </c>
      <c r="AG47">
        <v>365</v>
      </c>
      <c r="AH47">
        <v>238</v>
      </c>
      <c r="AI47">
        <v>215</v>
      </c>
      <c r="AJ47">
        <v>246</v>
      </c>
      <c r="AK47">
        <v>182</v>
      </c>
      <c r="AL47">
        <v>168</v>
      </c>
      <c r="AM47">
        <v>259</v>
      </c>
      <c r="AN47">
        <v>225</v>
      </c>
      <c r="AO47">
        <v>274</v>
      </c>
      <c r="AP47">
        <v>363</v>
      </c>
      <c r="AQ47">
        <v>212</v>
      </c>
      <c r="AR47">
        <v>211</v>
      </c>
      <c r="AS47">
        <v>479</v>
      </c>
      <c r="AT47">
        <v>348</v>
      </c>
      <c r="AU47">
        <v>410</v>
      </c>
      <c r="AV47">
        <v>175</v>
      </c>
      <c r="AW47">
        <v>225</v>
      </c>
      <c r="AX47">
        <v>232</v>
      </c>
      <c r="AY47">
        <v>137</v>
      </c>
      <c r="AZ47">
        <v>392</v>
      </c>
      <c r="BA47">
        <v>219</v>
      </c>
      <c r="BB47">
        <v>123</v>
      </c>
      <c r="BC47">
        <v>260</v>
      </c>
      <c r="BD47">
        <v>255</v>
      </c>
      <c r="BE47">
        <v>190</v>
      </c>
      <c r="BF47">
        <v>239</v>
      </c>
      <c r="BG47">
        <v>345</v>
      </c>
      <c r="BH47">
        <v>145</v>
      </c>
      <c r="BI47">
        <v>329</v>
      </c>
    </row>
    <row r="48" spans="2:61" x14ac:dyDescent="0.25">
      <c r="B48" s="2">
        <v>37500</v>
      </c>
      <c r="C48">
        <v>365</v>
      </c>
      <c r="D48">
        <v>450</v>
      </c>
      <c r="E48">
        <v>330</v>
      </c>
      <c r="F48">
        <v>325</v>
      </c>
      <c r="G48">
        <v>370</v>
      </c>
      <c r="H48">
        <v>555</v>
      </c>
      <c r="I48">
        <v>340</v>
      </c>
      <c r="J48">
        <v>470</v>
      </c>
      <c r="K48">
        <v>485</v>
      </c>
      <c r="L48">
        <v>461</v>
      </c>
      <c r="M48">
        <v>464</v>
      </c>
      <c r="N48">
        <v>474</v>
      </c>
      <c r="O48">
        <v>610</v>
      </c>
      <c r="P48">
        <v>347</v>
      </c>
      <c r="Q48">
        <v>316</v>
      </c>
      <c r="R48">
        <v>276</v>
      </c>
      <c r="S48">
        <v>400</v>
      </c>
      <c r="T48">
        <v>221</v>
      </c>
      <c r="U48">
        <v>481</v>
      </c>
      <c r="V48">
        <v>595</v>
      </c>
      <c r="W48">
        <v>318</v>
      </c>
      <c r="X48">
        <v>346</v>
      </c>
      <c r="Y48">
        <v>475</v>
      </c>
      <c r="Z48">
        <v>607</v>
      </c>
      <c r="AA48">
        <v>289</v>
      </c>
      <c r="AB48">
        <v>345</v>
      </c>
      <c r="AC48">
        <v>390</v>
      </c>
      <c r="AD48">
        <v>380</v>
      </c>
      <c r="AE48">
        <v>444</v>
      </c>
      <c r="AF48">
        <v>293</v>
      </c>
      <c r="AG48">
        <v>390</v>
      </c>
      <c r="AH48">
        <v>240</v>
      </c>
      <c r="AI48">
        <v>255</v>
      </c>
      <c r="AJ48">
        <v>284</v>
      </c>
      <c r="AK48">
        <v>193</v>
      </c>
      <c r="AL48">
        <v>180</v>
      </c>
      <c r="AM48">
        <v>275</v>
      </c>
      <c r="AN48">
        <v>227</v>
      </c>
      <c r="AO48">
        <v>294</v>
      </c>
      <c r="AP48">
        <v>373</v>
      </c>
      <c r="AQ48">
        <v>225</v>
      </c>
      <c r="AR48">
        <v>202</v>
      </c>
      <c r="AS48">
        <v>487</v>
      </c>
      <c r="AT48">
        <v>355</v>
      </c>
      <c r="AU48">
        <v>410</v>
      </c>
      <c r="AV48">
        <v>210</v>
      </c>
      <c r="AW48">
        <v>226</v>
      </c>
      <c r="AX48">
        <v>246</v>
      </c>
      <c r="AY48">
        <v>164</v>
      </c>
      <c r="AZ48">
        <v>296</v>
      </c>
      <c r="BA48">
        <v>240</v>
      </c>
      <c r="BB48">
        <v>138</v>
      </c>
      <c r="BC48">
        <v>219</v>
      </c>
      <c r="BD48">
        <v>285</v>
      </c>
      <c r="BE48">
        <v>215</v>
      </c>
      <c r="BF48">
        <v>262</v>
      </c>
      <c r="BG48">
        <v>355</v>
      </c>
      <c r="BH48">
        <v>148</v>
      </c>
      <c r="BI48">
        <v>335</v>
      </c>
    </row>
    <row r="49" spans="2:61" x14ac:dyDescent="0.25">
      <c r="B49" s="2">
        <v>37591</v>
      </c>
      <c r="C49">
        <v>363</v>
      </c>
      <c r="D49">
        <v>445</v>
      </c>
      <c r="E49">
        <v>290</v>
      </c>
      <c r="F49">
        <v>315</v>
      </c>
      <c r="G49">
        <v>375</v>
      </c>
      <c r="H49">
        <v>489</v>
      </c>
      <c r="I49">
        <v>345</v>
      </c>
      <c r="J49">
        <v>495</v>
      </c>
      <c r="K49">
        <v>500</v>
      </c>
      <c r="L49">
        <v>429</v>
      </c>
      <c r="M49">
        <v>460</v>
      </c>
      <c r="N49">
        <v>450</v>
      </c>
      <c r="O49">
        <v>614</v>
      </c>
      <c r="P49">
        <v>338</v>
      </c>
      <c r="Q49">
        <v>330</v>
      </c>
      <c r="R49">
        <v>280</v>
      </c>
      <c r="S49">
        <v>393</v>
      </c>
      <c r="T49">
        <v>218</v>
      </c>
      <c r="U49">
        <v>475</v>
      </c>
      <c r="V49">
        <v>301</v>
      </c>
      <c r="W49">
        <v>317</v>
      </c>
      <c r="X49">
        <v>340</v>
      </c>
      <c r="Y49">
        <v>468</v>
      </c>
      <c r="Z49">
        <v>520</v>
      </c>
      <c r="AA49">
        <v>290</v>
      </c>
      <c r="AB49">
        <v>340</v>
      </c>
      <c r="AC49">
        <v>362</v>
      </c>
      <c r="AD49">
        <v>380</v>
      </c>
      <c r="AE49">
        <v>421</v>
      </c>
      <c r="AF49">
        <v>297</v>
      </c>
      <c r="AG49">
        <v>395</v>
      </c>
      <c r="AH49">
        <v>245</v>
      </c>
      <c r="AI49">
        <v>329</v>
      </c>
      <c r="AJ49">
        <v>244</v>
      </c>
      <c r="AK49">
        <v>204</v>
      </c>
      <c r="AL49">
        <v>185</v>
      </c>
      <c r="AM49">
        <v>285</v>
      </c>
      <c r="AN49">
        <v>265</v>
      </c>
      <c r="AO49">
        <v>300</v>
      </c>
      <c r="AP49">
        <v>370</v>
      </c>
      <c r="AQ49">
        <v>250</v>
      </c>
      <c r="AR49">
        <v>221</v>
      </c>
      <c r="AS49">
        <v>490</v>
      </c>
      <c r="AT49">
        <v>375</v>
      </c>
      <c r="AU49">
        <v>405</v>
      </c>
      <c r="AV49">
        <v>155</v>
      </c>
      <c r="AW49">
        <v>240</v>
      </c>
      <c r="AX49">
        <v>249</v>
      </c>
      <c r="AY49">
        <v>140</v>
      </c>
      <c r="AZ49">
        <v>280</v>
      </c>
      <c r="BA49">
        <v>239</v>
      </c>
      <c r="BB49">
        <v>129</v>
      </c>
      <c r="BC49">
        <v>251</v>
      </c>
      <c r="BD49">
        <v>280</v>
      </c>
      <c r="BE49">
        <v>220</v>
      </c>
      <c r="BF49">
        <v>255</v>
      </c>
      <c r="BG49">
        <v>350</v>
      </c>
      <c r="BH49">
        <v>159</v>
      </c>
      <c r="BI49">
        <v>330</v>
      </c>
    </row>
    <row r="50" spans="2:61" x14ac:dyDescent="0.25">
      <c r="B50" s="2">
        <v>37681</v>
      </c>
      <c r="C50">
        <v>365</v>
      </c>
      <c r="D50">
        <v>443</v>
      </c>
      <c r="E50">
        <v>325</v>
      </c>
      <c r="F50">
        <v>405</v>
      </c>
      <c r="G50">
        <v>360</v>
      </c>
      <c r="H50">
        <v>427</v>
      </c>
      <c r="I50">
        <v>322</v>
      </c>
      <c r="J50">
        <v>433</v>
      </c>
      <c r="K50">
        <v>530</v>
      </c>
      <c r="L50">
        <v>450</v>
      </c>
      <c r="M50">
        <v>450</v>
      </c>
      <c r="N50">
        <v>483</v>
      </c>
      <c r="O50">
        <v>680</v>
      </c>
      <c r="P50">
        <v>350</v>
      </c>
      <c r="Q50">
        <v>344</v>
      </c>
      <c r="R50">
        <v>273</v>
      </c>
      <c r="S50">
        <v>450</v>
      </c>
      <c r="T50">
        <v>225</v>
      </c>
      <c r="U50">
        <v>495</v>
      </c>
      <c r="V50">
        <v>375</v>
      </c>
      <c r="W50">
        <v>311</v>
      </c>
      <c r="X50">
        <v>355</v>
      </c>
      <c r="Y50">
        <v>543</v>
      </c>
      <c r="Z50">
        <v>620</v>
      </c>
      <c r="AA50">
        <v>303</v>
      </c>
      <c r="AB50">
        <v>333</v>
      </c>
      <c r="AC50">
        <v>350</v>
      </c>
      <c r="AD50">
        <v>365</v>
      </c>
      <c r="AE50">
        <v>415</v>
      </c>
      <c r="AF50">
        <v>315</v>
      </c>
      <c r="AG50">
        <v>410</v>
      </c>
      <c r="AH50">
        <v>263</v>
      </c>
      <c r="AI50">
        <v>305</v>
      </c>
      <c r="AJ50">
        <v>260</v>
      </c>
      <c r="AK50">
        <v>205</v>
      </c>
      <c r="AL50">
        <v>200</v>
      </c>
      <c r="AM50">
        <v>298</v>
      </c>
      <c r="AN50">
        <v>254</v>
      </c>
      <c r="AO50">
        <v>300</v>
      </c>
      <c r="AP50">
        <v>346</v>
      </c>
      <c r="AQ50">
        <v>269</v>
      </c>
      <c r="AR50">
        <v>230</v>
      </c>
      <c r="AS50">
        <v>487</v>
      </c>
      <c r="AT50">
        <v>380</v>
      </c>
      <c r="AU50">
        <v>400</v>
      </c>
      <c r="AV50" t="s">
        <v>21</v>
      </c>
      <c r="AW50">
        <v>285</v>
      </c>
      <c r="AX50">
        <v>265</v>
      </c>
      <c r="AY50">
        <v>155</v>
      </c>
      <c r="AZ50">
        <v>327</v>
      </c>
      <c r="BA50">
        <v>232</v>
      </c>
      <c r="BB50">
        <v>168</v>
      </c>
      <c r="BC50">
        <v>264</v>
      </c>
      <c r="BD50">
        <v>297</v>
      </c>
      <c r="BE50">
        <v>243</v>
      </c>
      <c r="BF50">
        <v>285</v>
      </c>
      <c r="BG50">
        <v>358</v>
      </c>
      <c r="BH50">
        <v>177</v>
      </c>
      <c r="BI50">
        <v>335</v>
      </c>
    </row>
    <row r="51" spans="2:61" x14ac:dyDescent="0.25">
      <c r="B51" s="2">
        <v>37773</v>
      </c>
      <c r="C51">
        <v>378</v>
      </c>
      <c r="D51">
        <v>458</v>
      </c>
      <c r="E51">
        <v>313</v>
      </c>
      <c r="F51">
        <v>398</v>
      </c>
      <c r="G51">
        <v>368</v>
      </c>
      <c r="H51">
        <v>456</v>
      </c>
      <c r="I51">
        <v>346</v>
      </c>
      <c r="J51">
        <v>500</v>
      </c>
      <c r="K51">
        <v>500</v>
      </c>
      <c r="L51">
        <v>475</v>
      </c>
      <c r="M51">
        <v>455</v>
      </c>
      <c r="N51">
        <v>551</v>
      </c>
      <c r="O51">
        <v>670</v>
      </c>
      <c r="P51">
        <v>360</v>
      </c>
      <c r="Q51">
        <v>340</v>
      </c>
      <c r="R51">
        <v>290</v>
      </c>
      <c r="S51">
        <v>407</v>
      </c>
      <c r="T51">
        <v>235</v>
      </c>
      <c r="U51">
        <v>500</v>
      </c>
      <c r="V51">
        <v>353</v>
      </c>
      <c r="W51">
        <v>316</v>
      </c>
      <c r="X51">
        <v>364</v>
      </c>
      <c r="Y51">
        <v>521</v>
      </c>
      <c r="Z51">
        <v>600</v>
      </c>
      <c r="AA51">
        <v>331</v>
      </c>
      <c r="AB51">
        <v>345</v>
      </c>
      <c r="AC51">
        <v>345</v>
      </c>
      <c r="AD51">
        <v>390</v>
      </c>
      <c r="AE51">
        <v>440</v>
      </c>
      <c r="AF51">
        <v>323</v>
      </c>
      <c r="AG51">
        <v>415</v>
      </c>
      <c r="AH51">
        <v>285</v>
      </c>
      <c r="AI51">
        <v>289</v>
      </c>
      <c r="AJ51">
        <v>265</v>
      </c>
      <c r="AK51">
        <v>215</v>
      </c>
      <c r="AL51">
        <v>210</v>
      </c>
      <c r="AM51">
        <v>325</v>
      </c>
      <c r="AN51">
        <v>268</v>
      </c>
      <c r="AO51">
        <v>290</v>
      </c>
      <c r="AP51">
        <v>388</v>
      </c>
      <c r="AQ51">
        <v>255</v>
      </c>
      <c r="AR51">
        <v>239</v>
      </c>
      <c r="AS51">
        <v>480</v>
      </c>
      <c r="AT51">
        <v>384</v>
      </c>
      <c r="AU51">
        <v>410</v>
      </c>
      <c r="AV51">
        <v>199</v>
      </c>
      <c r="AW51">
        <v>264</v>
      </c>
      <c r="AX51">
        <v>280</v>
      </c>
      <c r="AY51">
        <v>197</v>
      </c>
      <c r="AZ51">
        <v>360</v>
      </c>
      <c r="BA51">
        <v>259</v>
      </c>
      <c r="BB51">
        <v>169</v>
      </c>
      <c r="BC51">
        <v>285</v>
      </c>
      <c r="BD51">
        <v>329</v>
      </c>
      <c r="BE51">
        <v>235</v>
      </c>
      <c r="BF51">
        <v>295</v>
      </c>
      <c r="BG51">
        <v>370</v>
      </c>
      <c r="BH51">
        <v>193</v>
      </c>
      <c r="BI51">
        <v>353</v>
      </c>
    </row>
    <row r="52" spans="2:61" x14ac:dyDescent="0.25">
      <c r="B52" s="2">
        <v>37865</v>
      </c>
      <c r="C52">
        <v>380</v>
      </c>
      <c r="D52">
        <v>470</v>
      </c>
      <c r="E52">
        <v>375</v>
      </c>
      <c r="F52">
        <v>430</v>
      </c>
      <c r="G52">
        <v>376</v>
      </c>
      <c r="H52">
        <v>478</v>
      </c>
      <c r="I52">
        <v>345</v>
      </c>
      <c r="J52">
        <v>470</v>
      </c>
      <c r="K52">
        <v>530</v>
      </c>
      <c r="L52">
        <v>480</v>
      </c>
      <c r="M52">
        <v>462</v>
      </c>
      <c r="N52">
        <v>541</v>
      </c>
      <c r="O52">
        <v>725</v>
      </c>
      <c r="P52">
        <v>365</v>
      </c>
      <c r="Q52">
        <v>357</v>
      </c>
      <c r="R52">
        <v>311</v>
      </c>
      <c r="S52">
        <v>384</v>
      </c>
      <c r="T52">
        <v>250</v>
      </c>
      <c r="U52">
        <v>505</v>
      </c>
      <c r="V52">
        <v>280</v>
      </c>
      <c r="W52">
        <v>340</v>
      </c>
      <c r="X52">
        <v>375</v>
      </c>
      <c r="Y52">
        <v>500</v>
      </c>
      <c r="Z52">
        <v>595</v>
      </c>
      <c r="AA52">
        <v>329</v>
      </c>
      <c r="AB52">
        <v>355</v>
      </c>
      <c r="AC52">
        <v>375</v>
      </c>
      <c r="AD52">
        <v>380</v>
      </c>
      <c r="AE52">
        <v>465</v>
      </c>
      <c r="AF52">
        <v>323</v>
      </c>
      <c r="AG52">
        <v>430</v>
      </c>
      <c r="AH52">
        <v>298</v>
      </c>
      <c r="AI52">
        <v>328</v>
      </c>
      <c r="AJ52">
        <v>318</v>
      </c>
      <c r="AK52">
        <v>235</v>
      </c>
      <c r="AL52">
        <v>213</v>
      </c>
      <c r="AM52">
        <v>331</v>
      </c>
      <c r="AN52">
        <v>304</v>
      </c>
      <c r="AO52">
        <v>298</v>
      </c>
      <c r="AP52">
        <v>375</v>
      </c>
      <c r="AQ52">
        <v>256</v>
      </c>
      <c r="AR52">
        <v>257</v>
      </c>
      <c r="AS52">
        <v>458</v>
      </c>
      <c r="AT52">
        <v>405</v>
      </c>
      <c r="AU52">
        <v>435</v>
      </c>
      <c r="AV52">
        <v>178</v>
      </c>
      <c r="AW52">
        <v>265</v>
      </c>
      <c r="AX52">
        <v>290</v>
      </c>
      <c r="AY52">
        <v>233</v>
      </c>
      <c r="AZ52">
        <v>295</v>
      </c>
      <c r="BA52">
        <v>280</v>
      </c>
      <c r="BB52">
        <v>186</v>
      </c>
      <c r="BC52">
        <v>301</v>
      </c>
      <c r="BD52">
        <v>345</v>
      </c>
      <c r="BE52">
        <v>269</v>
      </c>
      <c r="BF52">
        <v>303</v>
      </c>
      <c r="BG52">
        <v>372</v>
      </c>
      <c r="BH52">
        <v>210</v>
      </c>
      <c r="BI52">
        <v>355</v>
      </c>
    </row>
    <row r="53" spans="2:61" x14ac:dyDescent="0.25">
      <c r="B53" s="2">
        <v>37956</v>
      </c>
      <c r="C53">
        <v>390</v>
      </c>
      <c r="D53">
        <v>465</v>
      </c>
      <c r="E53">
        <v>360</v>
      </c>
      <c r="F53">
        <v>369</v>
      </c>
      <c r="G53">
        <v>390</v>
      </c>
      <c r="H53">
        <v>500</v>
      </c>
      <c r="I53">
        <v>356</v>
      </c>
      <c r="J53">
        <v>510</v>
      </c>
      <c r="K53">
        <v>535</v>
      </c>
      <c r="L53">
        <v>473</v>
      </c>
      <c r="M53">
        <v>455</v>
      </c>
      <c r="N53">
        <v>510</v>
      </c>
      <c r="O53">
        <v>620</v>
      </c>
      <c r="P53">
        <v>385</v>
      </c>
      <c r="Q53">
        <v>375</v>
      </c>
      <c r="R53">
        <v>319</v>
      </c>
      <c r="S53">
        <v>413</v>
      </c>
      <c r="T53">
        <v>251</v>
      </c>
      <c r="U53">
        <v>540</v>
      </c>
      <c r="V53">
        <v>393</v>
      </c>
      <c r="W53">
        <v>358</v>
      </c>
      <c r="X53">
        <v>368</v>
      </c>
      <c r="Y53">
        <v>572</v>
      </c>
      <c r="Z53">
        <v>624</v>
      </c>
      <c r="AA53">
        <v>320</v>
      </c>
      <c r="AB53">
        <v>400</v>
      </c>
      <c r="AC53">
        <v>389</v>
      </c>
      <c r="AD53">
        <v>383</v>
      </c>
      <c r="AE53">
        <v>462</v>
      </c>
      <c r="AF53">
        <v>340</v>
      </c>
      <c r="AG53">
        <v>440</v>
      </c>
      <c r="AH53">
        <v>309</v>
      </c>
      <c r="AI53">
        <v>316</v>
      </c>
      <c r="AJ53">
        <v>285</v>
      </c>
      <c r="AK53">
        <v>244</v>
      </c>
      <c r="AL53">
        <v>219</v>
      </c>
      <c r="AM53">
        <v>350</v>
      </c>
      <c r="AN53">
        <v>265</v>
      </c>
      <c r="AO53">
        <v>305</v>
      </c>
      <c r="AP53">
        <v>390</v>
      </c>
      <c r="AQ53">
        <v>250</v>
      </c>
      <c r="AR53">
        <v>264</v>
      </c>
      <c r="AS53">
        <v>525</v>
      </c>
      <c r="AT53">
        <v>410</v>
      </c>
      <c r="AU53">
        <v>425</v>
      </c>
      <c r="AV53">
        <v>195</v>
      </c>
      <c r="AW53">
        <v>288</v>
      </c>
      <c r="AX53">
        <v>305</v>
      </c>
      <c r="AY53">
        <v>303</v>
      </c>
      <c r="AZ53">
        <v>408</v>
      </c>
      <c r="BA53">
        <v>285</v>
      </c>
      <c r="BB53">
        <v>180</v>
      </c>
      <c r="BC53">
        <v>299</v>
      </c>
      <c r="BD53">
        <v>435</v>
      </c>
      <c r="BE53">
        <v>300</v>
      </c>
      <c r="BF53">
        <v>310</v>
      </c>
      <c r="BG53">
        <v>385</v>
      </c>
      <c r="BH53">
        <v>218</v>
      </c>
      <c r="BI53">
        <v>368</v>
      </c>
    </row>
    <row r="54" spans="2:61" x14ac:dyDescent="0.25">
      <c r="B54" s="2">
        <v>38047</v>
      </c>
      <c r="C54">
        <v>380</v>
      </c>
      <c r="D54">
        <v>462</v>
      </c>
      <c r="E54">
        <v>350</v>
      </c>
      <c r="F54">
        <v>380</v>
      </c>
      <c r="G54">
        <v>404</v>
      </c>
      <c r="H54">
        <v>568</v>
      </c>
      <c r="I54">
        <v>373</v>
      </c>
      <c r="J54">
        <v>493</v>
      </c>
      <c r="K54">
        <v>510</v>
      </c>
      <c r="L54">
        <v>455</v>
      </c>
      <c r="M54">
        <v>447</v>
      </c>
      <c r="N54">
        <v>525</v>
      </c>
      <c r="O54">
        <v>600</v>
      </c>
      <c r="P54">
        <v>360</v>
      </c>
      <c r="Q54">
        <v>335</v>
      </c>
      <c r="R54">
        <v>320</v>
      </c>
      <c r="S54">
        <v>360</v>
      </c>
      <c r="T54">
        <v>243</v>
      </c>
      <c r="U54">
        <v>490</v>
      </c>
      <c r="V54">
        <v>560</v>
      </c>
      <c r="W54">
        <v>325</v>
      </c>
      <c r="X54">
        <v>365</v>
      </c>
      <c r="Y54">
        <v>505</v>
      </c>
      <c r="Z54">
        <v>573</v>
      </c>
      <c r="AA54">
        <v>318</v>
      </c>
      <c r="AB54">
        <v>355</v>
      </c>
      <c r="AC54">
        <v>360</v>
      </c>
      <c r="AD54">
        <v>385</v>
      </c>
      <c r="AE54">
        <v>445</v>
      </c>
      <c r="AF54">
        <v>340</v>
      </c>
      <c r="AG54">
        <v>433</v>
      </c>
      <c r="AH54">
        <v>299</v>
      </c>
      <c r="AI54">
        <v>316</v>
      </c>
      <c r="AJ54">
        <v>396</v>
      </c>
      <c r="AK54">
        <v>230</v>
      </c>
      <c r="AL54">
        <v>230</v>
      </c>
      <c r="AM54">
        <v>335</v>
      </c>
      <c r="AN54">
        <v>310</v>
      </c>
      <c r="AO54">
        <v>299</v>
      </c>
      <c r="AP54">
        <v>395</v>
      </c>
      <c r="AQ54">
        <v>263</v>
      </c>
      <c r="AR54">
        <v>270</v>
      </c>
      <c r="AS54">
        <v>465</v>
      </c>
      <c r="AT54">
        <v>403</v>
      </c>
      <c r="AU54">
        <v>414</v>
      </c>
      <c r="AV54" t="s">
        <v>21</v>
      </c>
      <c r="AW54">
        <v>310</v>
      </c>
      <c r="AX54">
        <v>308</v>
      </c>
      <c r="AY54" t="s">
        <v>21</v>
      </c>
      <c r="AZ54">
        <v>380</v>
      </c>
      <c r="BA54">
        <v>279</v>
      </c>
      <c r="BB54">
        <v>185</v>
      </c>
      <c r="BC54">
        <v>297</v>
      </c>
      <c r="BD54">
        <v>407</v>
      </c>
      <c r="BE54">
        <v>300</v>
      </c>
      <c r="BF54">
        <v>330</v>
      </c>
      <c r="BG54">
        <v>375</v>
      </c>
      <c r="BH54">
        <v>230</v>
      </c>
      <c r="BI54">
        <v>355</v>
      </c>
    </row>
    <row r="55" spans="2:61" x14ac:dyDescent="0.25">
      <c r="B55" s="2">
        <v>38139</v>
      </c>
      <c r="C55">
        <v>384</v>
      </c>
      <c r="D55">
        <v>445</v>
      </c>
      <c r="E55">
        <v>310</v>
      </c>
      <c r="F55">
        <v>402</v>
      </c>
      <c r="G55">
        <v>383</v>
      </c>
      <c r="H55">
        <v>520</v>
      </c>
      <c r="I55">
        <v>342</v>
      </c>
      <c r="J55">
        <v>455</v>
      </c>
      <c r="K55">
        <v>480</v>
      </c>
      <c r="L55">
        <v>439</v>
      </c>
      <c r="M55">
        <v>450</v>
      </c>
      <c r="N55">
        <v>485</v>
      </c>
      <c r="O55">
        <v>720</v>
      </c>
      <c r="P55">
        <v>370</v>
      </c>
      <c r="Q55">
        <v>379</v>
      </c>
      <c r="R55">
        <v>315</v>
      </c>
      <c r="S55">
        <v>392</v>
      </c>
      <c r="T55">
        <v>269</v>
      </c>
      <c r="U55">
        <v>490</v>
      </c>
      <c r="V55">
        <v>603</v>
      </c>
      <c r="W55">
        <v>350</v>
      </c>
      <c r="X55">
        <v>368</v>
      </c>
      <c r="Y55">
        <v>515</v>
      </c>
      <c r="Z55">
        <v>535</v>
      </c>
      <c r="AA55">
        <v>325</v>
      </c>
      <c r="AB55">
        <v>365</v>
      </c>
      <c r="AC55">
        <v>350</v>
      </c>
      <c r="AD55">
        <v>370</v>
      </c>
      <c r="AE55">
        <v>449</v>
      </c>
      <c r="AF55">
        <v>340</v>
      </c>
      <c r="AG55">
        <v>421</v>
      </c>
      <c r="AH55">
        <v>320</v>
      </c>
      <c r="AI55">
        <v>315</v>
      </c>
      <c r="AJ55">
        <v>323</v>
      </c>
      <c r="AK55">
        <v>245</v>
      </c>
      <c r="AL55">
        <v>235</v>
      </c>
      <c r="AM55">
        <v>325</v>
      </c>
      <c r="AN55">
        <v>296</v>
      </c>
      <c r="AO55">
        <v>304</v>
      </c>
      <c r="AP55">
        <v>397</v>
      </c>
      <c r="AQ55">
        <v>295</v>
      </c>
      <c r="AR55">
        <v>279</v>
      </c>
      <c r="AS55">
        <v>476</v>
      </c>
      <c r="AT55">
        <v>395</v>
      </c>
      <c r="AU55">
        <v>419</v>
      </c>
      <c r="AV55">
        <v>235</v>
      </c>
      <c r="AW55">
        <v>310</v>
      </c>
      <c r="AX55">
        <v>305</v>
      </c>
      <c r="AY55" t="s">
        <v>21</v>
      </c>
      <c r="AZ55">
        <v>388</v>
      </c>
      <c r="BA55">
        <v>285</v>
      </c>
      <c r="BB55">
        <v>243</v>
      </c>
      <c r="BC55">
        <v>360</v>
      </c>
      <c r="BD55">
        <v>348</v>
      </c>
      <c r="BE55">
        <v>275</v>
      </c>
      <c r="BF55">
        <v>305</v>
      </c>
      <c r="BG55">
        <v>379</v>
      </c>
      <c r="BH55">
        <v>221</v>
      </c>
      <c r="BI55">
        <v>365</v>
      </c>
    </row>
    <row r="56" spans="2:61" x14ac:dyDescent="0.25">
      <c r="B56" s="2">
        <v>38231</v>
      </c>
      <c r="C56">
        <v>383</v>
      </c>
      <c r="D56">
        <v>460</v>
      </c>
      <c r="E56">
        <v>326</v>
      </c>
      <c r="F56">
        <v>412</v>
      </c>
      <c r="G56">
        <v>370</v>
      </c>
      <c r="H56">
        <v>507</v>
      </c>
      <c r="I56">
        <v>299</v>
      </c>
      <c r="J56">
        <v>478</v>
      </c>
      <c r="K56">
        <v>510</v>
      </c>
      <c r="L56">
        <v>462</v>
      </c>
      <c r="M56">
        <v>452</v>
      </c>
      <c r="N56">
        <v>510</v>
      </c>
      <c r="O56">
        <v>646</v>
      </c>
      <c r="P56">
        <v>361</v>
      </c>
      <c r="Q56">
        <v>380</v>
      </c>
      <c r="R56">
        <v>305</v>
      </c>
      <c r="S56">
        <v>375</v>
      </c>
      <c r="T56">
        <v>260</v>
      </c>
      <c r="U56">
        <v>500</v>
      </c>
      <c r="V56">
        <v>550</v>
      </c>
      <c r="W56">
        <v>320</v>
      </c>
      <c r="X56">
        <v>365</v>
      </c>
      <c r="Y56">
        <v>505</v>
      </c>
      <c r="Z56">
        <v>605</v>
      </c>
      <c r="AA56">
        <v>320</v>
      </c>
      <c r="AB56">
        <v>353</v>
      </c>
      <c r="AC56">
        <v>345</v>
      </c>
      <c r="AD56">
        <v>375</v>
      </c>
      <c r="AE56">
        <v>460</v>
      </c>
      <c r="AF56">
        <v>340</v>
      </c>
      <c r="AG56">
        <v>415</v>
      </c>
      <c r="AH56">
        <v>320</v>
      </c>
      <c r="AI56" t="s">
        <v>21</v>
      </c>
      <c r="AJ56">
        <v>310</v>
      </c>
      <c r="AK56">
        <v>235</v>
      </c>
      <c r="AL56">
        <v>235</v>
      </c>
      <c r="AM56">
        <v>330</v>
      </c>
      <c r="AN56">
        <v>298</v>
      </c>
      <c r="AO56">
        <v>301</v>
      </c>
      <c r="AP56">
        <v>390</v>
      </c>
      <c r="AQ56">
        <v>255</v>
      </c>
      <c r="AR56">
        <v>270</v>
      </c>
      <c r="AS56">
        <v>457</v>
      </c>
      <c r="AT56">
        <v>395</v>
      </c>
      <c r="AU56">
        <v>427</v>
      </c>
      <c r="AV56">
        <v>230</v>
      </c>
      <c r="AW56">
        <v>310</v>
      </c>
      <c r="AX56">
        <v>298</v>
      </c>
      <c r="AY56" t="s">
        <v>21</v>
      </c>
      <c r="AZ56">
        <v>356</v>
      </c>
      <c r="BA56">
        <v>272</v>
      </c>
      <c r="BB56">
        <v>250</v>
      </c>
      <c r="BC56">
        <v>290</v>
      </c>
      <c r="BD56">
        <v>331</v>
      </c>
      <c r="BE56">
        <v>281</v>
      </c>
      <c r="BF56">
        <v>310</v>
      </c>
      <c r="BG56">
        <v>377</v>
      </c>
      <c r="BH56">
        <v>228</v>
      </c>
      <c r="BI56">
        <v>365</v>
      </c>
    </row>
    <row r="57" spans="2:61" x14ac:dyDescent="0.25">
      <c r="B57" s="2">
        <v>38322</v>
      </c>
      <c r="C57">
        <v>395</v>
      </c>
      <c r="D57">
        <v>470</v>
      </c>
      <c r="E57">
        <v>333</v>
      </c>
      <c r="F57">
        <v>408</v>
      </c>
      <c r="G57">
        <v>378</v>
      </c>
      <c r="H57">
        <v>470</v>
      </c>
      <c r="I57">
        <v>348</v>
      </c>
      <c r="J57">
        <v>470</v>
      </c>
      <c r="K57">
        <v>529</v>
      </c>
      <c r="L57">
        <v>460</v>
      </c>
      <c r="M57">
        <v>470</v>
      </c>
      <c r="N57">
        <v>520</v>
      </c>
      <c r="O57">
        <v>623</v>
      </c>
      <c r="P57">
        <v>378</v>
      </c>
      <c r="Q57">
        <v>408</v>
      </c>
      <c r="R57">
        <v>302</v>
      </c>
      <c r="S57">
        <v>380</v>
      </c>
      <c r="T57">
        <v>270</v>
      </c>
      <c r="U57">
        <v>520</v>
      </c>
      <c r="V57">
        <v>518</v>
      </c>
      <c r="W57">
        <v>315</v>
      </c>
      <c r="X57">
        <v>372</v>
      </c>
      <c r="Y57">
        <v>482</v>
      </c>
      <c r="Z57">
        <v>597</v>
      </c>
      <c r="AA57">
        <v>315</v>
      </c>
      <c r="AB57">
        <v>372</v>
      </c>
      <c r="AC57">
        <v>350</v>
      </c>
      <c r="AD57">
        <v>348</v>
      </c>
      <c r="AE57">
        <v>503</v>
      </c>
      <c r="AF57">
        <v>345</v>
      </c>
      <c r="AG57">
        <v>410</v>
      </c>
      <c r="AH57">
        <v>309</v>
      </c>
      <c r="AI57" t="s">
        <v>21</v>
      </c>
      <c r="AJ57">
        <v>298</v>
      </c>
      <c r="AK57">
        <v>236</v>
      </c>
      <c r="AL57">
        <v>239</v>
      </c>
      <c r="AM57">
        <v>320</v>
      </c>
      <c r="AN57">
        <v>280</v>
      </c>
      <c r="AO57">
        <v>320</v>
      </c>
      <c r="AP57">
        <v>400</v>
      </c>
      <c r="AQ57">
        <v>264</v>
      </c>
      <c r="AR57">
        <v>265</v>
      </c>
      <c r="AS57">
        <v>545</v>
      </c>
      <c r="AT57">
        <v>397</v>
      </c>
      <c r="AU57">
        <v>435</v>
      </c>
      <c r="AV57" t="s">
        <v>21</v>
      </c>
      <c r="AW57">
        <v>319</v>
      </c>
      <c r="AX57">
        <v>308</v>
      </c>
      <c r="AY57">
        <v>170</v>
      </c>
      <c r="AZ57">
        <v>335</v>
      </c>
      <c r="BA57">
        <v>288</v>
      </c>
      <c r="BB57">
        <v>211</v>
      </c>
      <c r="BC57">
        <v>329</v>
      </c>
      <c r="BD57">
        <v>385</v>
      </c>
      <c r="BE57">
        <v>275</v>
      </c>
      <c r="BF57">
        <v>310</v>
      </c>
      <c r="BG57">
        <v>390</v>
      </c>
      <c r="BH57">
        <v>237</v>
      </c>
      <c r="BI57">
        <v>375</v>
      </c>
    </row>
    <row r="58" spans="2:61" x14ac:dyDescent="0.25">
      <c r="B58" s="2">
        <v>38412</v>
      </c>
      <c r="C58">
        <v>390</v>
      </c>
      <c r="D58">
        <v>470</v>
      </c>
      <c r="E58">
        <v>317</v>
      </c>
      <c r="F58">
        <v>425</v>
      </c>
      <c r="G58">
        <v>370</v>
      </c>
      <c r="H58">
        <v>435</v>
      </c>
      <c r="I58">
        <v>340</v>
      </c>
      <c r="J58">
        <v>500</v>
      </c>
      <c r="K58">
        <v>538</v>
      </c>
      <c r="L58">
        <v>465</v>
      </c>
      <c r="M58">
        <v>463</v>
      </c>
      <c r="N58">
        <v>530</v>
      </c>
      <c r="O58">
        <v>620</v>
      </c>
      <c r="P58">
        <v>368</v>
      </c>
      <c r="Q58">
        <v>388</v>
      </c>
      <c r="R58">
        <v>305</v>
      </c>
      <c r="S58">
        <v>340</v>
      </c>
      <c r="T58">
        <v>250</v>
      </c>
      <c r="U58">
        <v>498</v>
      </c>
      <c r="V58">
        <v>543</v>
      </c>
      <c r="W58">
        <v>337</v>
      </c>
      <c r="X58">
        <v>355</v>
      </c>
      <c r="Y58">
        <v>514</v>
      </c>
      <c r="Z58">
        <v>593</v>
      </c>
      <c r="AA58">
        <v>320</v>
      </c>
      <c r="AB58">
        <v>345</v>
      </c>
      <c r="AC58">
        <v>370</v>
      </c>
      <c r="AD58">
        <v>343</v>
      </c>
      <c r="AE58">
        <v>472</v>
      </c>
      <c r="AF58">
        <v>340</v>
      </c>
      <c r="AG58">
        <v>425</v>
      </c>
      <c r="AH58">
        <v>310</v>
      </c>
      <c r="AI58" t="s">
        <v>21</v>
      </c>
      <c r="AJ58" t="s">
        <v>21</v>
      </c>
      <c r="AK58">
        <v>230</v>
      </c>
      <c r="AL58">
        <v>269</v>
      </c>
      <c r="AM58">
        <v>331</v>
      </c>
      <c r="AN58">
        <v>275</v>
      </c>
      <c r="AO58">
        <v>294</v>
      </c>
      <c r="AP58">
        <v>375</v>
      </c>
      <c r="AQ58">
        <v>286</v>
      </c>
      <c r="AR58">
        <v>270</v>
      </c>
      <c r="AS58">
        <v>549</v>
      </c>
      <c r="AT58">
        <v>377</v>
      </c>
      <c r="AU58">
        <v>408</v>
      </c>
      <c r="AV58" t="s">
        <v>21</v>
      </c>
      <c r="AW58">
        <v>325</v>
      </c>
      <c r="AX58">
        <v>305</v>
      </c>
      <c r="AY58">
        <v>230</v>
      </c>
      <c r="AZ58">
        <v>330</v>
      </c>
      <c r="BA58">
        <v>270</v>
      </c>
      <c r="BB58">
        <v>230</v>
      </c>
      <c r="BC58">
        <v>319</v>
      </c>
      <c r="BD58">
        <v>450</v>
      </c>
      <c r="BE58">
        <v>252</v>
      </c>
      <c r="BF58">
        <v>305</v>
      </c>
      <c r="BG58">
        <v>385</v>
      </c>
      <c r="BH58">
        <v>240</v>
      </c>
      <c r="BI58">
        <v>370</v>
      </c>
    </row>
    <row r="59" spans="2:61" x14ac:dyDescent="0.25">
      <c r="B59" s="2">
        <v>38504</v>
      </c>
      <c r="C59">
        <v>395</v>
      </c>
      <c r="D59">
        <v>465</v>
      </c>
      <c r="E59">
        <v>310</v>
      </c>
      <c r="F59">
        <v>448</v>
      </c>
      <c r="G59">
        <v>360</v>
      </c>
      <c r="H59">
        <v>570</v>
      </c>
      <c r="I59">
        <v>380</v>
      </c>
      <c r="J59">
        <v>527</v>
      </c>
      <c r="K59">
        <v>519</v>
      </c>
      <c r="L59">
        <v>435</v>
      </c>
      <c r="M59">
        <v>460</v>
      </c>
      <c r="N59">
        <v>515</v>
      </c>
      <c r="O59">
        <v>640</v>
      </c>
      <c r="P59">
        <v>365</v>
      </c>
      <c r="Q59">
        <v>370</v>
      </c>
      <c r="R59">
        <v>315</v>
      </c>
      <c r="S59">
        <v>364</v>
      </c>
      <c r="T59">
        <v>245</v>
      </c>
      <c r="U59">
        <v>532</v>
      </c>
      <c r="V59">
        <v>390</v>
      </c>
      <c r="W59">
        <v>329</v>
      </c>
      <c r="X59">
        <v>358</v>
      </c>
      <c r="Y59">
        <v>558</v>
      </c>
      <c r="Z59">
        <v>595</v>
      </c>
      <c r="AA59">
        <v>340</v>
      </c>
      <c r="AB59">
        <v>355</v>
      </c>
      <c r="AC59">
        <v>350</v>
      </c>
      <c r="AD59">
        <v>338</v>
      </c>
      <c r="AE59">
        <v>465</v>
      </c>
      <c r="AF59">
        <v>350</v>
      </c>
      <c r="AG59">
        <v>430</v>
      </c>
      <c r="AH59">
        <v>296</v>
      </c>
      <c r="AI59">
        <v>330</v>
      </c>
      <c r="AJ59">
        <v>326</v>
      </c>
      <c r="AK59">
        <v>224</v>
      </c>
      <c r="AL59">
        <v>235</v>
      </c>
      <c r="AM59">
        <v>320</v>
      </c>
      <c r="AN59">
        <v>274</v>
      </c>
      <c r="AO59">
        <v>296</v>
      </c>
      <c r="AP59">
        <v>390</v>
      </c>
      <c r="AQ59">
        <v>293</v>
      </c>
      <c r="AR59">
        <v>260</v>
      </c>
      <c r="AS59">
        <v>460</v>
      </c>
      <c r="AT59">
        <v>386</v>
      </c>
      <c r="AU59">
        <v>405</v>
      </c>
      <c r="AV59" t="s">
        <v>21</v>
      </c>
      <c r="AW59">
        <v>287</v>
      </c>
      <c r="AX59">
        <v>297</v>
      </c>
      <c r="AY59">
        <v>220</v>
      </c>
      <c r="AZ59">
        <v>343</v>
      </c>
      <c r="BA59">
        <v>270</v>
      </c>
      <c r="BB59">
        <v>240</v>
      </c>
      <c r="BC59">
        <v>303</v>
      </c>
      <c r="BD59">
        <v>320</v>
      </c>
      <c r="BE59">
        <v>275</v>
      </c>
      <c r="BF59">
        <v>311</v>
      </c>
      <c r="BG59">
        <v>388</v>
      </c>
      <c r="BH59">
        <v>238</v>
      </c>
      <c r="BI59">
        <v>372</v>
      </c>
    </row>
    <row r="60" spans="2:61" x14ac:dyDescent="0.25">
      <c r="B60" s="2">
        <v>38596</v>
      </c>
      <c r="C60">
        <v>385</v>
      </c>
      <c r="D60">
        <v>445</v>
      </c>
      <c r="E60">
        <v>313</v>
      </c>
      <c r="F60">
        <v>425</v>
      </c>
      <c r="G60">
        <v>365</v>
      </c>
      <c r="H60">
        <v>460</v>
      </c>
      <c r="I60">
        <v>351</v>
      </c>
      <c r="J60">
        <v>575</v>
      </c>
      <c r="K60">
        <v>500</v>
      </c>
      <c r="L60">
        <v>440</v>
      </c>
      <c r="M60">
        <v>440</v>
      </c>
      <c r="N60">
        <v>506</v>
      </c>
      <c r="O60">
        <v>625</v>
      </c>
      <c r="P60">
        <v>370</v>
      </c>
      <c r="Q60">
        <v>360</v>
      </c>
      <c r="R60">
        <v>298</v>
      </c>
      <c r="S60">
        <v>399</v>
      </c>
      <c r="T60">
        <v>245</v>
      </c>
      <c r="U60">
        <v>490</v>
      </c>
      <c r="V60">
        <v>455</v>
      </c>
      <c r="W60">
        <v>326</v>
      </c>
      <c r="X60">
        <v>350</v>
      </c>
      <c r="Y60">
        <v>520</v>
      </c>
      <c r="Z60">
        <v>610</v>
      </c>
      <c r="AA60">
        <v>335</v>
      </c>
      <c r="AB60">
        <v>330</v>
      </c>
      <c r="AC60">
        <v>370</v>
      </c>
      <c r="AD60">
        <v>350</v>
      </c>
      <c r="AE60">
        <v>472</v>
      </c>
      <c r="AF60">
        <v>340</v>
      </c>
      <c r="AG60">
        <v>425</v>
      </c>
      <c r="AH60">
        <v>305</v>
      </c>
      <c r="AI60">
        <v>263</v>
      </c>
      <c r="AJ60">
        <v>341</v>
      </c>
      <c r="AK60">
        <v>220</v>
      </c>
      <c r="AL60">
        <v>240</v>
      </c>
      <c r="AM60">
        <v>309</v>
      </c>
      <c r="AN60">
        <v>287</v>
      </c>
      <c r="AO60">
        <v>280</v>
      </c>
      <c r="AP60">
        <v>388</v>
      </c>
      <c r="AQ60">
        <v>265</v>
      </c>
      <c r="AR60">
        <v>265</v>
      </c>
      <c r="AS60">
        <v>542</v>
      </c>
      <c r="AT60">
        <v>380</v>
      </c>
      <c r="AU60">
        <v>420</v>
      </c>
      <c r="AV60" t="s">
        <v>21</v>
      </c>
      <c r="AW60">
        <v>302</v>
      </c>
      <c r="AX60">
        <v>308</v>
      </c>
      <c r="AY60" t="s">
        <v>21</v>
      </c>
      <c r="AZ60">
        <v>325</v>
      </c>
      <c r="BA60">
        <v>301</v>
      </c>
      <c r="BB60">
        <v>239</v>
      </c>
      <c r="BC60">
        <v>290</v>
      </c>
      <c r="BD60">
        <v>490</v>
      </c>
      <c r="BE60">
        <v>254</v>
      </c>
      <c r="BF60">
        <v>326</v>
      </c>
      <c r="BG60">
        <v>380</v>
      </c>
      <c r="BH60">
        <v>247</v>
      </c>
      <c r="BI60">
        <v>365</v>
      </c>
    </row>
    <row r="61" spans="2:61" x14ac:dyDescent="0.25">
      <c r="B61" s="2">
        <v>38687</v>
      </c>
      <c r="C61">
        <v>385</v>
      </c>
      <c r="D61">
        <v>455</v>
      </c>
      <c r="E61">
        <v>323</v>
      </c>
      <c r="F61">
        <v>410</v>
      </c>
      <c r="G61">
        <v>384</v>
      </c>
      <c r="H61">
        <v>462</v>
      </c>
      <c r="I61">
        <v>360</v>
      </c>
      <c r="J61">
        <v>560</v>
      </c>
      <c r="K61">
        <v>495</v>
      </c>
      <c r="L61">
        <v>457</v>
      </c>
      <c r="M61">
        <v>450</v>
      </c>
      <c r="N61">
        <v>485</v>
      </c>
      <c r="O61">
        <v>679</v>
      </c>
      <c r="P61">
        <v>370</v>
      </c>
      <c r="Q61">
        <v>395</v>
      </c>
      <c r="R61">
        <v>285</v>
      </c>
      <c r="S61">
        <v>368</v>
      </c>
      <c r="T61">
        <v>281</v>
      </c>
      <c r="U61">
        <v>505</v>
      </c>
      <c r="V61">
        <v>520</v>
      </c>
      <c r="W61">
        <v>323</v>
      </c>
      <c r="X61">
        <v>365</v>
      </c>
      <c r="Y61">
        <v>659</v>
      </c>
      <c r="Z61">
        <v>612</v>
      </c>
      <c r="AA61">
        <v>325</v>
      </c>
      <c r="AB61">
        <v>340</v>
      </c>
      <c r="AC61">
        <v>375</v>
      </c>
      <c r="AD61">
        <v>350</v>
      </c>
      <c r="AE61">
        <v>475</v>
      </c>
      <c r="AF61">
        <v>340</v>
      </c>
      <c r="AG61">
        <v>420</v>
      </c>
      <c r="AH61">
        <v>322</v>
      </c>
      <c r="AI61">
        <v>320</v>
      </c>
      <c r="AJ61" t="s">
        <v>21</v>
      </c>
      <c r="AK61">
        <v>220</v>
      </c>
      <c r="AL61">
        <v>227</v>
      </c>
      <c r="AM61">
        <v>340</v>
      </c>
      <c r="AN61">
        <v>270</v>
      </c>
      <c r="AO61">
        <v>270</v>
      </c>
      <c r="AP61">
        <v>371</v>
      </c>
      <c r="AQ61">
        <v>290</v>
      </c>
      <c r="AR61">
        <v>252</v>
      </c>
      <c r="AS61">
        <v>500</v>
      </c>
      <c r="AT61">
        <v>368</v>
      </c>
      <c r="AU61">
        <v>416</v>
      </c>
      <c r="AV61">
        <v>275</v>
      </c>
      <c r="AW61">
        <v>270</v>
      </c>
      <c r="AX61">
        <v>300</v>
      </c>
      <c r="AY61">
        <v>207</v>
      </c>
      <c r="AZ61">
        <v>290</v>
      </c>
      <c r="BA61">
        <v>300</v>
      </c>
      <c r="BB61">
        <v>235</v>
      </c>
      <c r="BC61">
        <v>300</v>
      </c>
      <c r="BD61">
        <v>315</v>
      </c>
      <c r="BE61">
        <v>290</v>
      </c>
      <c r="BF61">
        <v>305</v>
      </c>
      <c r="BG61">
        <v>380</v>
      </c>
      <c r="BH61">
        <v>243</v>
      </c>
      <c r="BI61">
        <v>365</v>
      </c>
    </row>
    <row r="62" spans="2:61" x14ac:dyDescent="0.25">
      <c r="B62" s="2">
        <v>38777</v>
      </c>
      <c r="C62">
        <v>380</v>
      </c>
      <c r="D62">
        <v>455</v>
      </c>
      <c r="E62">
        <v>350</v>
      </c>
      <c r="F62">
        <v>410</v>
      </c>
      <c r="G62">
        <v>373</v>
      </c>
      <c r="H62">
        <v>440</v>
      </c>
      <c r="I62">
        <v>320</v>
      </c>
      <c r="J62">
        <v>465</v>
      </c>
      <c r="K62">
        <v>501</v>
      </c>
      <c r="L62">
        <v>459</v>
      </c>
      <c r="M62">
        <v>470</v>
      </c>
      <c r="N62">
        <v>490</v>
      </c>
      <c r="O62">
        <v>663</v>
      </c>
      <c r="P62">
        <v>357</v>
      </c>
      <c r="Q62">
        <v>330</v>
      </c>
      <c r="R62">
        <v>305</v>
      </c>
      <c r="S62">
        <v>376</v>
      </c>
      <c r="T62">
        <v>236</v>
      </c>
      <c r="U62">
        <v>510</v>
      </c>
      <c r="V62">
        <v>580</v>
      </c>
      <c r="W62">
        <v>315</v>
      </c>
      <c r="X62">
        <v>356</v>
      </c>
      <c r="Y62">
        <v>515</v>
      </c>
      <c r="Z62">
        <v>595</v>
      </c>
      <c r="AA62">
        <v>315</v>
      </c>
      <c r="AB62">
        <v>345</v>
      </c>
      <c r="AC62">
        <v>395</v>
      </c>
      <c r="AD62">
        <v>350</v>
      </c>
      <c r="AE62">
        <v>463</v>
      </c>
      <c r="AF62">
        <v>334</v>
      </c>
      <c r="AG62">
        <v>402</v>
      </c>
      <c r="AH62">
        <v>295</v>
      </c>
      <c r="AI62">
        <v>369</v>
      </c>
      <c r="AJ62" t="s">
        <v>21</v>
      </c>
      <c r="AK62">
        <v>214</v>
      </c>
      <c r="AL62">
        <v>225</v>
      </c>
      <c r="AM62">
        <v>315</v>
      </c>
      <c r="AN62">
        <v>255</v>
      </c>
      <c r="AO62">
        <v>275</v>
      </c>
      <c r="AP62">
        <v>395</v>
      </c>
      <c r="AQ62">
        <v>273</v>
      </c>
      <c r="AR62">
        <v>234</v>
      </c>
      <c r="AS62">
        <v>503</v>
      </c>
      <c r="AT62">
        <v>367</v>
      </c>
      <c r="AU62">
        <v>410</v>
      </c>
      <c r="AV62">
        <v>280</v>
      </c>
      <c r="AW62">
        <v>295</v>
      </c>
      <c r="AX62">
        <v>300</v>
      </c>
      <c r="AY62">
        <v>215</v>
      </c>
      <c r="AZ62">
        <v>383</v>
      </c>
      <c r="BA62">
        <v>300</v>
      </c>
      <c r="BB62">
        <v>232</v>
      </c>
      <c r="BC62">
        <v>295</v>
      </c>
      <c r="BD62">
        <v>380</v>
      </c>
      <c r="BE62">
        <v>290</v>
      </c>
      <c r="BF62">
        <v>310</v>
      </c>
      <c r="BG62">
        <v>370</v>
      </c>
      <c r="BH62">
        <v>250</v>
      </c>
      <c r="BI62">
        <v>357</v>
      </c>
    </row>
    <row r="63" spans="2:61" x14ac:dyDescent="0.25">
      <c r="B63" s="2">
        <v>38869</v>
      </c>
      <c r="C63">
        <v>391</v>
      </c>
      <c r="D63">
        <v>470</v>
      </c>
      <c r="E63">
        <v>332</v>
      </c>
      <c r="F63">
        <v>410</v>
      </c>
      <c r="G63">
        <v>395</v>
      </c>
      <c r="H63">
        <v>448</v>
      </c>
      <c r="I63">
        <v>345</v>
      </c>
      <c r="J63">
        <v>543</v>
      </c>
      <c r="K63">
        <v>515</v>
      </c>
      <c r="L63">
        <v>475</v>
      </c>
      <c r="M63">
        <v>468</v>
      </c>
      <c r="N63">
        <v>500</v>
      </c>
      <c r="O63">
        <v>660</v>
      </c>
      <c r="P63">
        <v>370</v>
      </c>
      <c r="Q63">
        <v>369</v>
      </c>
      <c r="R63">
        <v>285</v>
      </c>
      <c r="S63">
        <v>368</v>
      </c>
      <c r="T63">
        <v>230</v>
      </c>
      <c r="U63">
        <v>490</v>
      </c>
      <c r="V63">
        <v>520</v>
      </c>
      <c r="W63">
        <v>342</v>
      </c>
      <c r="X63">
        <v>366</v>
      </c>
      <c r="Y63">
        <v>583</v>
      </c>
      <c r="Z63">
        <v>563</v>
      </c>
      <c r="AA63">
        <v>320</v>
      </c>
      <c r="AB63">
        <v>350</v>
      </c>
      <c r="AC63">
        <v>386</v>
      </c>
      <c r="AD63">
        <v>340</v>
      </c>
      <c r="AE63">
        <v>467</v>
      </c>
      <c r="AF63">
        <v>339</v>
      </c>
      <c r="AG63">
        <v>410</v>
      </c>
      <c r="AH63">
        <v>290</v>
      </c>
      <c r="AI63">
        <v>317</v>
      </c>
      <c r="AJ63" t="s">
        <v>21</v>
      </c>
      <c r="AK63">
        <v>210</v>
      </c>
      <c r="AL63">
        <v>210</v>
      </c>
      <c r="AM63">
        <v>331</v>
      </c>
      <c r="AN63">
        <v>300</v>
      </c>
      <c r="AO63">
        <v>284</v>
      </c>
      <c r="AP63">
        <v>378</v>
      </c>
      <c r="AQ63">
        <v>272</v>
      </c>
      <c r="AR63">
        <v>261</v>
      </c>
      <c r="AS63">
        <v>459</v>
      </c>
      <c r="AT63">
        <v>380</v>
      </c>
      <c r="AU63">
        <v>421</v>
      </c>
      <c r="AV63">
        <v>265</v>
      </c>
      <c r="AW63">
        <v>318</v>
      </c>
      <c r="AX63">
        <v>305</v>
      </c>
      <c r="AY63">
        <v>258</v>
      </c>
      <c r="AZ63">
        <v>331</v>
      </c>
      <c r="BA63">
        <v>304</v>
      </c>
      <c r="BB63">
        <v>255</v>
      </c>
      <c r="BC63">
        <v>302</v>
      </c>
      <c r="BD63">
        <v>350</v>
      </c>
      <c r="BE63">
        <v>285</v>
      </c>
      <c r="BF63">
        <v>320</v>
      </c>
      <c r="BG63">
        <v>385</v>
      </c>
      <c r="BH63">
        <v>255</v>
      </c>
      <c r="BI63">
        <v>370</v>
      </c>
    </row>
    <row r="64" spans="2:61" x14ac:dyDescent="0.25">
      <c r="B64" s="2">
        <v>38961</v>
      </c>
      <c r="C64">
        <v>380</v>
      </c>
      <c r="D64">
        <v>450</v>
      </c>
      <c r="E64">
        <v>323</v>
      </c>
      <c r="F64">
        <v>365</v>
      </c>
      <c r="G64">
        <v>389</v>
      </c>
      <c r="H64">
        <v>470</v>
      </c>
      <c r="I64">
        <v>346</v>
      </c>
      <c r="J64">
        <v>452</v>
      </c>
      <c r="K64">
        <v>539</v>
      </c>
      <c r="L64">
        <v>440</v>
      </c>
      <c r="M64">
        <v>445</v>
      </c>
      <c r="N64">
        <v>500</v>
      </c>
      <c r="O64">
        <v>632</v>
      </c>
      <c r="P64">
        <v>360</v>
      </c>
      <c r="Q64">
        <v>324</v>
      </c>
      <c r="R64">
        <v>292</v>
      </c>
      <c r="S64">
        <v>398</v>
      </c>
      <c r="T64">
        <v>233</v>
      </c>
      <c r="U64">
        <v>500</v>
      </c>
      <c r="V64">
        <v>495</v>
      </c>
      <c r="W64">
        <v>330</v>
      </c>
      <c r="X64">
        <v>355</v>
      </c>
      <c r="Y64">
        <v>536</v>
      </c>
      <c r="Z64">
        <v>590</v>
      </c>
      <c r="AA64">
        <v>318</v>
      </c>
      <c r="AB64">
        <v>340</v>
      </c>
      <c r="AC64">
        <v>339</v>
      </c>
      <c r="AD64">
        <v>350</v>
      </c>
      <c r="AE64">
        <v>460</v>
      </c>
      <c r="AF64">
        <v>326</v>
      </c>
      <c r="AG64">
        <v>420</v>
      </c>
      <c r="AH64">
        <v>265</v>
      </c>
      <c r="AI64">
        <v>345</v>
      </c>
      <c r="AJ64">
        <v>280</v>
      </c>
      <c r="AK64">
        <v>215</v>
      </c>
      <c r="AL64">
        <v>200</v>
      </c>
      <c r="AM64">
        <v>310</v>
      </c>
      <c r="AN64">
        <v>258</v>
      </c>
      <c r="AO64">
        <v>280</v>
      </c>
      <c r="AP64">
        <v>370</v>
      </c>
      <c r="AQ64">
        <v>250</v>
      </c>
      <c r="AR64">
        <v>257</v>
      </c>
      <c r="AS64">
        <v>535</v>
      </c>
      <c r="AT64">
        <v>370</v>
      </c>
      <c r="AU64">
        <v>418</v>
      </c>
      <c r="AV64" t="s">
        <v>21</v>
      </c>
      <c r="AW64">
        <v>285</v>
      </c>
      <c r="AX64">
        <v>295</v>
      </c>
      <c r="AY64">
        <v>271</v>
      </c>
      <c r="AZ64">
        <v>310</v>
      </c>
      <c r="BA64">
        <v>280</v>
      </c>
      <c r="BB64">
        <v>239</v>
      </c>
      <c r="BC64">
        <v>337</v>
      </c>
      <c r="BD64">
        <v>360</v>
      </c>
      <c r="BE64">
        <v>268</v>
      </c>
      <c r="BF64">
        <v>298</v>
      </c>
      <c r="BG64">
        <v>370</v>
      </c>
      <c r="BH64">
        <v>245</v>
      </c>
      <c r="BI64">
        <v>354</v>
      </c>
    </row>
    <row r="65" spans="2:61" x14ac:dyDescent="0.25">
      <c r="B65" s="2">
        <v>39052</v>
      </c>
      <c r="C65">
        <v>398</v>
      </c>
      <c r="D65">
        <v>475</v>
      </c>
      <c r="E65">
        <v>340</v>
      </c>
      <c r="F65">
        <v>395</v>
      </c>
      <c r="G65">
        <v>405</v>
      </c>
      <c r="H65">
        <v>509</v>
      </c>
      <c r="I65">
        <v>330</v>
      </c>
      <c r="J65">
        <v>500</v>
      </c>
      <c r="K65">
        <v>515</v>
      </c>
      <c r="L65">
        <v>467</v>
      </c>
      <c r="M65">
        <v>470</v>
      </c>
      <c r="N65">
        <v>525</v>
      </c>
      <c r="O65">
        <v>660</v>
      </c>
      <c r="P65">
        <v>372</v>
      </c>
      <c r="Q65">
        <v>371</v>
      </c>
      <c r="R65">
        <v>278</v>
      </c>
      <c r="S65">
        <v>378</v>
      </c>
      <c r="T65">
        <v>230</v>
      </c>
      <c r="U65">
        <v>510</v>
      </c>
      <c r="V65">
        <v>440</v>
      </c>
      <c r="W65">
        <v>312</v>
      </c>
      <c r="X65">
        <v>340</v>
      </c>
      <c r="Y65">
        <v>565</v>
      </c>
      <c r="Z65">
        <v>648</v>
      </c>
      <c r="AA65">
        <v>333</v>
      </c>
      <c r="AB65">
        <v>338</v>
      </c>
      <c r="AC65">
        <v>375</v>
      </c>
      <c r="AD65">
        <v>355</v>
      </c>
      <c r="AE65">
        <v>545</v>
      </c>
      <c r="AF65">
        <v>330</v>
      </c>
      <c r="AG65">
        <v>395</v>
      </c>
      <c r="AH65">
        <v>267</v>
      </c>
      <c r="AI65">
        <v>326</v>
      </c>
      <c r="AJ65">
        <v>265</v>
      </c>
      <c r="AK65">
        <v>202</v>
      </c>
      <c r="AL65">
        <v>180</v>
      </c>
      <c r="AM65">
        <v>340</v>
      </c>
      <c r="AN65">
        <v>282</v>
      </c>
      <c r="AO65">
        <v>262</v>
      </c>
      <c r="AP65">
        <v>390</v>
      </c>
      <c r="AQ65">
        <v>300</v>
      </c>
      <c r="AR65">
        <v>250</v>
      </c>
      <c r="AS65">
        <v>488</v>
      </c>
      <c r="AT65">
        <v>375</v>
      </c>
      <c r="AU65">
        <v>420</v>
      </c>
      <c r="AV65">
        <v>233</v>
      </c>
      <c r="AW65">
        <v>293</v>
      </c>
      <c r="AX65">
        <v>300</v>
      </c>
      <c r="AY65">
        <v>268</v>
      </c>
      <c r="AZ65">
        <v>318</v>
      </c>
      <c r="BA65">
        <v>280</v>
      </c>
      <c r="BB65">
        <v>270</v>
      </c>
      <c r="BC65">
        <v>305</v>
      </c>
      <c r="BD65">
        <v>340</v>
      </c>
      <c r="BE65">
        <v>309</v>
      </c>
      <c r="BF65">
        <v>304</v>
      </c>
      <c r="BG65">
        <v>387</v>
      </c>
      <c r="BH65">
        <v>250</v>
      </c>
      <c r="BI65">
        <v>370</v>
      </c>
    </row>
    <row r="66" spans="2:61" x14ac:dyDescent="0.25">
      <c r="B66" s="2">
        <v>39142</v>
      </c>
      <c r="C66">
        <v>380</v>
      </c>
      <c r="D66">
        <v>459</v>
      </c>
      <c r="E66">
        <v>345</v>
      </c>
      <c r="F66">
        <v>373</v>
      </c>
      <c r="G66">
        <v>340</v>
      </c>
      <c r="H66">
        <v>500</v>
      </c>
      <c r="I66">
        <v>335</v>
      </c>
      <c r="J66">
        <v>518</v>
      </c>
      <c r="K66">
        <v>525</v>
      </c>
      <c r="L66">
        <v>480</v>
      </c>
      <c r="M66">
        <v>450</v>
      </c>
      <c r="N66">
        <v>520</v>
      </c>
      <c r="O66">
        <v>603</v>
      </c>
      <c r="P66">
        <v>355</v>
      </c>
      <c r="Q66">
        <v>308</v>
      </c>
      <c r="R66">
        <v>288</v>
      </c>
      <c r="S66">
        <v>352</v>
      </c>
      <c r="T66">
        <v>235</v>
      </c>
      <c r="U66">
        <v>525</v>
      </c>
      <c r="V66">
        <v>555</v>
      </c>
      <c r="W66">
        <v>320</v>
      </c>
      <c r="X66">
        <v>350</v>
      </c>
      <c r="Y66">
        <v>520</v>
      </c>
      <c r="Z66">
        <v>540</v>
      </c>
      <c r="AA66">
        <v>320</v>
      </c>
      <c r="AB66">
        <v>335</v>
      </c>
      <c r="AC66">
        <v>350</v>
      </c>
      <c r="AD66">
        <v>355</v>
      </c>
      <c r="AE66">
        <v>460</v>
      </c>
      <c r="AF66">
        <v>320</v>
      </c>
      <c r="AG66">
        <v>400</v>
      </c>
      <c r="AH66">
        <v>280</v>
      </c>
      <c r="AI66">
        <v>307</v>
      </c>
      <c r="AJ66" t="s">
        <v>21</v>
      </c>
      <c r="AK66">
        <v>197</v>
      </c>
      <c r="AL66">
        <v>191</v>
      </c>
      <c r="AM66">
        <v>299</v>
      </c>
      <c r="AN66">
        <v>250</v>
      </c>
      <c r="AO66">
        <v>260</v>
      </c>
      <c r="AP66">
        <v>360</v>
      </c>
      <c r="AQ66">
        <v>255</v>
      </c>
      <c r="AR66">
        <v>242</v>
      </c>
      <c r="AS66">
        <v>543</v>
      </c>
      <c r="AT66">
        <v>365</v>
      </c>
      <c r="AU66">
        <v>437</v>
      </c>
      <c r="AV66" t="s">
        <v>21</v>
      </c>
      <c r="AW66">
        <v>242</v>
      </c>
      <c r="AX66">
        <v>289</v>
      </c>
      <c r="AY66">
        <v>243</v>
      </c>
      <c r="AZ66">
        <v>340</v>
      </c>
      <c r="BA66">
        <v>308</v>
      </c>
      <c r="BB66">
        <v>235</v>
      </c>
      <c r="BC66">
        <v>293</v>
      </c>
      <c r="BD66">
        <v>330</v>
      </c>
      <c r="BE66">
        <v>262</v>
      </c>
      <c r="BF66">
        <v>289</v>
      </c>
      <c r="BG66">
        <v>370</v>
      </c>
      <c r="BH66">
        <v>254</v>
      </c>
      <c r="BI66">
        <v>355</v>
      </c>
    </row>
    <row r="67" spans="2:61" x14ac:dyDescent="0.25">
      <c r="B67" s="2">
        <v>39234</v>
      </c>
      <c r="C67">
        <v>400</v>
      </c>
      <c r="D67">
        <v>480</v>
      </c>
      <c r="E67">
        <v>350</v>
      </c>
      <c r="F67">
        <v>390</v>
      </c>
      <c r="G67">
        <v>390</v>
      </c>
      <c r="H67">
        <v>540</v>
      </c>
      <c r="I67">
        <v>353</v>
      </c>
      <c r="J67">
        <v>505</v>
      </c>
      <c r="K67">
        <v>557</v>
      </c>
      <c r="L67">
        <v>480</v>
      </c>
      <c r="M67">
        <v>475</v>
      </c>
      <c r="N67">
        <v>535</v>
      </c>
      <c r="O67">
        <v>646</v>
      </c>
      <c r="P67">
        <v>372</v>
      </c>
      <c r="Q67">
        <v>325</v>
      </c>
      <c r="R67">
        <v>270</v>
      </c>
      <c r="S67">
        <v>375</v>
      </c>
      <c r="T67">
        <v>240</v>
      </c>
      <c r="U67">
        <v>535</v>
      </c>
      <c r="V67">
        <v>450</v>
      </c>
      <c r="W67">
        <v>323</v>
      </c>
      <c r="X67">
        <v>362</v>
      </c>
      <c r="Y67">
        <v>557</v>
      </c>
      <c r="Z67">
        <v>625</v>
      </c>
      <c r="AA67">
        <v>335</v>
      </c>
      <c r="AB67">
        <v>340</v>
      </c>
      <c r="AC67">
        <v>400</v>
      </c>
      <c r="AD67">
        <v>388</v>
      </c>
      <c r="AE67">
        <v>489</v>
      </c>
      <c r="AF67">
        <v>335</v>
      </c>
      <c r="AG67">
        <v>404</v>
      </c>
      <c r="AH67">
        <v>270</v>
      </c>
      <c r="AI67">
        <v>285</v>
      </c>
      <c r="AJ67">
        <v>263</v>
      </c>
      <c r="AK67">
        <v>199</v>
      </c>
      <c r="AL67">
        <v>190</v>
      </c>
      <c r="AM67">
        <v>330</v>
      </c>
      <c r="AN67">
        <v>265</v>
      </c>
      <c r="AO67">
        <v>264</v>
      </c>
      <c r="AP67">
        <v>370</v>
      </c>
      <c r="AQ67">
        <v>259</v>
      </c>
      <c r="AR67">
        <v>251</v>
      </c>
      <c r="AS67">
        <v>535</v>
      </c>
      <c r="AT67">
        <v>380</v>
      </c>
      <c r="AU67">
        <v>435</v>
      </c>
      <c r="AV67" t="s">
        <v>21</v>
      </c>
      <c r="AW67">
        <v>280</v>
      </c>
      <c r="AX67">
        <v>300</v>
      </c>
      <c r="AY67">
        <v>189</v>
      </c>
      <c r="AZ67">
        <v>373</v>
      </c>
      <c r="BA67">
        <v>285</v>
      </c>
      <c r="BB67">
        <v>258</v>
      </c>
      <c r="BC67">
        <v>295</v>
      </c>
      <c r="BD67">
        <v>345</v>
      </c>
      <c r="BE67">
        <v>271</v>
      </c>
      <c r="BF67">
        <v>310</v>
      </c>
      <c r="BG67">
        <v>390</v>
      </c>
      <c r="BH67">
        <v>265</v>
      </c>
      <c r="BI67">
        <v>375</v>
      </c>
    </row>
    <row r="68" spans="2:61" x14ac:dyDescent="0.25">
      <c r="B68" s="2">
        <v>39326</v>
      </c>
      <c r="C68">
        <v>400</v>
      </c>
      <c r="D68">
        <v>495</v>
      </c>
      <c r="E68">
        <v>365</v>
      </c>
      <c r="F68">
        <v>322</v>
      </c>
      <c r="G68">
        <v>400</v>
      </c>
      <c r="H68">
        <v>550</v>
      </c>
      <c r="I68">
        <v>365</v>
      </c>
      <c r="J68">
        <v>525</v>
      </c>
      <c r="K68">
        <v>560</v>
      </c>
      <c r="L68">
        <v>480</v>
      </c>
      <c r="M68">
        <v>482</v>
      </c>
      <c r="N68">
        <v>600</v>
      </c>
      <c r="O68">
        <v>652</v>
      </c>
      <c r="P68">
        <v>385</v>
      </c>
      <c r="Q68">
        <v>400</v>
      </c>
      <c r="R68">
        <v>290</v>
      </c>
      <c r="S68">
        <v>395</v>
      </c>
      <c r="T68">
        <v>235</v>
      </c>
      <c r="U68">
        <v>550</v>
      </c>
      <c r="V68">
        <v>585</v>
      </c>
      <c r="W68">
        <v>340</v>
      </c>
      <c r="X68">
        <v>387</v>
      </c>
      <c r="Y68">
        <v>619</v>
      </c>
      <c r="Z68">
        <v>620</v>
      </c>
      <c r="AA68">
        <v>337</v>
      </c>
      <c r="AB68">
        <v>348</v>
      </c>
      <c r="AC68">
        <v>400</v>
      </c>
      <c r="AD68">
        <v>387</v>
      </c>
      <c r="AE68">
        <v>500</v>
      </c>
      <c r="AF68">
        <v>335</v>
      </c>
      <c r="AG68">
        <v>425</v>
      </c>
      <c r="AH68">
        <v>290</v>
      </c>
      <c r="AI68">
        <v>270</v>
      </c>
      <c r="AJ68">
        <v>296</v>
      </c>
      <c r="AK68">
        <v>215</v>
      </c>
      <c r="AL68">
        <v>185</v>
      </c>
      <c r="AM68">
        <v>308</v>
      </c>
      <c r="AN68">
        <v>290</v>
      </c>
      <c r="AO68">
        <v>256</v>
      </c>
      <c r="AP68">
        <v>396</v>
      </c>
      <c r="AQ68">
        <v>260</v>
      </c>
      <c r="AR68">
        <v>249</v>
      </c>
      <c r="AS68">
        <v>548</v>
      </c>
      <c r="AT68">
        <v>375</v>
      </c>
      <c r="AU68">
        <v>438</v>
      </c>
      <c r="AV68">
        <v>260</v>
      </c>
      <c r="AW68">
        <v>262</v>
      </c>
      <c r="AX68">
        <v>295</v>
      </c>
      <c r="AY68">
        <v>250</v>
      </c>
      <c r="AZ68">
        <v>350</v>
      </c>
      <c r="BA68">
        <v>290</v>
      </c>
      <c r="BB68">
        <v>271</v>
      </c>
      <c r="BC68">
        <v>295</v>
      </c>
      <c r="BD68">
        <v>300</v>
      </c>
      <c r="BE68">
        <v>270</v>
      </c>
      <c r="BF68">
        <v>299</v>
      </c>
      <c r="BG68">
        <v>392</v>
      </c>
      <c r="BH68">
        <v>258</v>
      </c>
      <c r="BI68">
        <v>380</v>
      </c>
    </row>
    <row r="69" spans="2:61" x14ac:dyDescent="0.25">
      <c r="B69" s="2">
        <v>39417</v>
      </c>
      <c r="C69">
        <v>415</v>
      </c>
      <c r="D69">
        <v>505</v>
      </c>
      <c r="E69">
        <v>331</v>
      </c>
      <c r="F69">
        <v>384</v>
      </c>
      <c r="G69">
        <v>415</v>
      </c>
      <c r="H69">
        <v>571</v>
      </c>
      <c r="I69">
        <v>379</v>
      </c>
      <c r="J69">
        <v>550</v>
      </c>
      <c r="K69">
        <v>552</v>
      </c>
      <c r="L69">
        <v>525</v>
      </c>
      <c r="M69">
        <v>496</v>
      </c>
      <c r="N69">
        <v>595</v>
      </c>
      <c r="O69">
        <v>740</v>
      </c>
      <c r="P69">
        <v>390</v>
      </c>
      <c r="Q69">
        <v>340</v>
      </c>
      <c r="R69">
        <v>295</v>
      </c>
      <c r="S69">
        <v>422</v>
      </c>
      <c r="T69">
        <v>252</v>
      </c>
      <c r="U69">
        <v>551</v>
      </c>
      <c r="V69">
        <v>560</v>
      </c>
      <c r="W69">
        <v>347</v>
      </c>
      <c r="X69">
        <v>378</v>
      </c>
      <c r="Y69">
        <v>571</v>
      </c>
      <c r="Z69">
        <v>690</v>
      </c>
      <c r="AA69">
        <v>340</v>
      </c>
      <c r="AB69">
        <v>345</v>
      </c>
      <c r="AC69">
        <v>400</v>
      </c>
      <c r="AD69">
        <v>350</v>
      </c>
      <c r="AE69">
        <v>500</v>
      </c>
      <c r="AF69">
        <v>345</v>
      </c>
      <c r="AG69">
        <v>431</v>
      </c>
      <c r="AH69">
        <v>275</v>
      </c>
      <c r="AI69">
        <v>335</v>
      </c>
      <c r="AJ69">
        <v>348</v>
      </c>
      <c r="AK69">
        <v>209</v>
      </c>
      <c r="AL69">
        <v>186</v>
      </c>
      <c r="AM69">
        <v>315</v>
      </c>
      <c r="AN69">
        <v>290</v>
      </c>
      <c r="AO69">
        <v>290</v>
      </c>
      <c r="AP69">
        <v>395</v>
      </c>
      <c r="AQ69">
        <v>280</v>
      </c>
      <c r="AR69">
        <v>258</v>
      </c>
      <c r="AS69">
        <v>549</v>
      </c>
      <c r="AT69">
        <v>403</v>
      </c>
      <c r="AU69">
        <v>448</v>
      </c>
      <c r="AV69" t="s">
        <v>21</v>
      </c>
      <c r="AW69">
        <v>270</v>
      </c>
      <c r="AX69">
        <v>310</v>
      </c>
      <c r="AY69">
        <v>230</v>
      </c>
      <c r="AZ69">
        <v>332</v>
      </c>
      <c r="BA69">
        <v>307</v>
      </c>
      <c r="BB69">
        <v>278</v>
      </c>
      <c r="BC69">
        <v>322</v>
      </c>
      <c r="BD69">
        <v>329</v>
      </c>
      <c r="BE69">
        <v>274</v>
      </c>
      <c r="BF69">
        <v>335</v>
      </c>
      <c r="BG69">
        <v>407</v>
      </c>
      <c r="BH69">
        <v>285</v>
      </c>
      <c r="BI69">
        <v>390</v>
      </c>
    </row>
    <row r="70" spans="2:61" x14ac:dyDescent="0.25">
      <c r="B70" s="2">
        <v>39508</v>
      </c>
      <c r="C70">
        <v>396</v>
      </c>
      <c r="D70">
        <v>498</v>
      </c>
      <c r="E70">
        <v>347</v>
      </c>
      <c r="F70">
        <v>390</v>
      </c>
      <c r="G70">
        <v>420</v>
      </c>
      <c r="H70">
        <v>550</v>
      </c>
      <c r="I70">
        <v>341</v>
      </c>
      <c r="J70">
        <v>470</v>
      </c>
      <c r="K70">
        <v>567</v>
      </c>
      <c r="L70">
        <v>485</v>
      </c>
      <c r="M70">
        <v>500</v>
      </c>
      <c r="N70">
        <v>575</v>
      </c>
      <c r="O70">
        <v>650</v>
      </c>
      <c r="P70">
        <v>375</v>
      </c>
      <c r="Q70">
        <v>308</v>
      </c>
      <c r="R70">
        <v>255</v>
      </c>
      <c r="S70">
        <v>440</v>
      </c>
      <c r="T70">
        <v>242</v>
      </c>
      <c r="U70">
        <v>540</v>
      </c>
      <c r="V70">
        <v>420</v>
      </c>
      <c r="W70">
        <v>330</v>
      </c>
      <c r="X70">
        <v>370</v>
      </c>
      <c r="Y70">
        <v>581</v>
      </c>
      <c r="Z70">
        <v>560</v>
      </c>
      <c r="AA70">
        <v>330</v>
      </c>
      <c r="AB70">
        <v>356</v>
      </c>
      <c r="AC70">
        <v>389</v>
      </c>
      <c r="AD70">
        <v>360</v>
      </c>
      <c r="AE70">
        <v>507</v>
      </c>
      <c r="AF70">
        <v>330</v>
      </c>
      <c r="AG70">
        <v>450</v>
      </c>
      <c r="AH70">
        <v>294</v>
      </c>
      <c r="AI70">
        <v>310</v>
      </c>
      <c r="AJ70">
        <v>275</v>
      </c>
      <c r="AK70">
        <v>215</v>
      </c>
      <c r="AL70">
        <v>195</v>
      </c>
      <c r="AM70">
        <v>294</v>
      </c>
      <c r="AN70">
        <v>257</v>
      </c>
      <c r="AO70">
        <v>262</v>
      </c>
      <c r="AP70">
        <v>385</v>
      </c>
      <c r="AQ70">
        <v>275</v>
      </c>
      <c r="AR70">
        <v>255</v>
      </c>
      <c r="AS70">
        <v>678</v>
      </c>
      <c r="AT70">
        <v>380</v>
      </c>
      <c r="AU70">
        <v>445</v>
      </c>
      <c r="AV70" t="s">
        <v>21</v>
      </c>
      <c r="AW70">
        <v>247</v>
      </c>
      <c r="AX70">
        <v>304</v>
      </c>
      <c r="AY70">
        <v>256</v>
      </c>
      <c r="AZ70">
        <v>315</v>
      </c>
      <c r="BA70">
        <v>315</v>
      </c>
      <c r="BB70">
        <v>260</v>
      </c>
      <c r="BC70">
        <v>285</v>
      </c>
      <c r="BD70">
        <v>340</v>
      </c>
      <c r="BE70">
        <v>288</v>
      </c>
      <c r="BF70">
        <v>320</v>
      </c>
      <c r="BG70">
        <v>385</v>
      </c>
      <c r="BH70">
        <v>264</v>
      </c>
      <c r="BI70">
        <v>370</v>
      </c>
    </row>
    <row r="71" spans="2:61" x14ac:dyDescent="0.25">
      <c r="B71" s="2">
        <v>39600</v>
      </c>
      <c r="C71">
        <v>395</v>
      </c>
      <c r="D71">
        <v>480</v>
      </c>
      <c r="E71">
        <v>332</v>
      </c>
      <c r="F71">
        <v>400</v>
      </c>
      <c r="G71">
        <v>413</v>
      </c>
      <c r="H71">
        <v>580</v>
      </c>
      <c r="I71">
        <v>365</v>
      </c>
      <c r="J71">
        <v>505</v>
      </c>
      <c r="K71">
        <v>575</v>
      </c>
      <c r="L71">
        <v>490</v>
      </c>
      <c r="M71">
        <v>481</v>
      </c>
      <c r="N71">
        <v>534</v>
      </c>
      <c r="O71">
        <v>635</v>
      </c>
      <c r="P71">
        <v>380</v>
      </c>
      <c r="Q71">
        <v>339</v>
      </c>
      <c r="R71">
        <v>275</v>
      </c>
      <c r="S71">
        <v>407</v>
      </c>
      <c r="T71">
        <v>238</v>
      </c>
      <c r="U71">
        <v>520</v>
      </c>
      <c r="V71">
        <v>406</v>
      </c>
      <c r="W71">
        <v>347</v>
      </c>
      <c r="X71">
        <v>375</v>
      </c>
      <c r="Y71">
        <v>655</v>
      </c>
      <c r="Z71">
        <v>605</v>
      </c>
      <c r="AA71">
        <v>320</v>
      </c>
      <c r="AB71">
        <v>359</v>
      </c>
      <c r="AC71">
        <v>405</v>
      </c>
      <c r="AD71">
        <v>354</v>
      </c>
      <c r="AE71">
        <v>508</v>
      </c>
      <c r="AF71">
        <v>320</v>
      </c>
      <c r="AG71">
        <v>420</v>
      </c>
      <c r="AH71">
        <v>265</v>
      </c>
      <c r="AI71">
        <v>325</v>
      </c>
      <c r="AJ71">
        <v>290</v>
      </c>
      <c r="AK71">
        <v>200</v>
      </c>
      <c r="AL71">
        <v>176</v>
      </c>
      <c r="AM71">
        <v>300</v>
      </c>
      <c r="AN71">
        <v>253</v>
      </c>
      <c r="AO71">
        <v>270</v>
      </c>
      <c r="AP71">
        <v>372</v>
      </c>
      <c r="AQ71">
        <v>246</v>
      </c>
      <c r="AR71">
        <v>253</v>
      </c>
      <c r="AS71">
        <v>480</v>
      </c>
      <c r="AT71">
        <v>360</v>
      </c>
      <c r="AU71">
        <v>450</v>
      </c>
      <c r="AV71" t="s">
        <v>21</v>
      </c>
      <c r="AW71">
        <v>275</v>
      </c>
      <c r="AX71">
        <v>286</v>
      </c>
      <c r="AY71">
        <v>248</v>
      </c>
      <c r="AZ71">
        <v>288</v>
      </c>
      <c r="BA71">
        <v>315</v>
      </c>
      <c r="BB71">
        <v>263</v>
      </c>
      <c r="BC71">
        <v>295</v>
      </c>
      <c r="BD71">
        <v>300</v>
      </c>
      <c r="BE71">
        <v>265</v>
      </c>
      <c r="BF71">
        <v>285</v>
      </c>
      <c r="BG71">
        <v>388</v>
      </c>
      <c r="BH71">
        <v>249</v>
      </c>
      <c r="BI71">
        <v>373</v>
      </c>
    </row>
    <row r="72" spans="2:61" x14ac:dyDescent="0.25">
      <c r="B72" s="2">
        <v>39692</v>
      </c>
      <c r="C72">
        <v>385</v>
      </c>
      <c r="D72">
        <v>475</v>
      </c>
      <c r="E72">
        <v>349</v>
      </c>
      <c r="F72">
        <v>428</v>
      </c>
      <c r="G72">
        <v>437</v>
      </c>
      <c r="H72">
        <v>499</v>
      </c>
      <c r="I72">
        <v>379</v>
      </c>
      <c r="J72">
        <v>540</v>
      </c>
      <c r="K72">
        <v>545</v>
      </c>
      <c r="L72">
        <v>482</v>
      </c>
      <c r="M72">
        <v>477</v>
      </c>
      <c r="N72">
        <v>530</v>
      </c>
      <c r="O72">
        <v>646</v>
      </c>
      <c r="P72">
        <v>368</v>
      </c>
      <c r="Q72">
        <v>331</v>
      </c>
      <c r="R72">
        <v>280</v>
      </c>
      <c r="S72">
        <v>399</v>
      </c>
      <c r="T72">
        <v>222</v>
      </c>
      <c r="U72">
        <v>518</v>
      </c>
      <c r="V72">
        <v>532</v>
      </c>
      <c r="W72">
        <v>340</v>
      </c>
      <c r="X72">
        <v>372</v>
      </c>
      <c r="Y72">
        <v>633</v>
      </c>
      <c r="Z72">
        <v>650</v>
      </c>
      <c r="AA72">
        <v>322</v>
      </c>
      <c r="AB72">
        <v>356</v>
      </c>
      <c r="AC72">
        <v>390</v>
      </c>
      <c r="AD72">
        <v>350</v>
      </c>
      <c r="AE72">
        <v>490</v>
      </c>
      <c r="AF72">
        <v>308</v>
      </c>
      <c r="AG72">
        <v>423</v>
      </c>
      <c r="AH72">
        <v>255</v>
      </c>
      <c r="AI72">
        <v>281</v>
      </c>
      <c r="AJ72">
        <v>297</v>
      </c>
      <c r="AK72">
        <v>233</v>
      </c>
      <c r="AL72">
        <v>190</v>
      </c>
      <c r="AM72">
        <v>295</v>
      </c>
      <c r="AN72">
        <v>242</v>
      </c>
      <c r="AO72">
        <v>265</v>
      </c>
      <c r="AP72">
        <v>395</v>
      </c>
      <c r="AQ72">
        <v>225</v>
      </c>
      <c r="AR72">
        <v>250</v>
      </c>
      <c r="AS72">
        <v>520</v>
      </c>
      <c r="AT72">
        <v>353</v>
      </c>
      <c r="AU72">
        <v>444</v>
      </c>
      <c r="AV72" t="s">
        <v>21</v>
      </c>
      <c r="AW72">
        <v>255</v>
      </c>
      <c r="AX72">
        <v>295</v>
      </c>
      <c r="AY72">
        <v>255</v>
      </c>
      <c r="AZ72">
        <v>395</v>
      </c>
      <c r="BA72">
        <v>292</v>
      </c>
      <c r="BB72">
        <v>279</v>
      </c>
      <c r="BC72">
        <v>291</v>
      </c>
      <c r="BD72">
        <v>300</v>
      </c>
      <c r="BE72">
        <v>281</v>
      </c>
      <c r="BF72">
        <v>295</v>
      </c>
      <c r="BG72">
        <v>380</v>
      </c>
      <c r="BH72">
        <v>264</v>
      </c>
      <c r="BI72">
        <v>368</v>
      </c>
    </row>
    <row r="73" spans="2:61" x14ac:dyDescent="0.25">
      <c r="B73" s="2">
        <v>39783</v>
      </c>
      <c r="C73">
        <v>378</v>
      </c>
      <c r="D73">
        <v>470</v>
      </c>
      <c r="E73">
        <v>350</v>
      </c>
      <c r="F73">
        <v>470</v>
      </c>
      <c r="G73">
        <v>405</v>
      </c>
      <c r="H73">
        <v>550</v>
      </c>
      <c r="I73">
        <v>340</v>
      </c>
      <c r="J73">
        <v>525</v>
      </c>
      <c r="K73">
        <v>523</v>
      </c>
      <c r="L73">
        <v>500</v>
      </c>
      <c r="M73">
        <v>462</v>
      </c>
      <c r="N73">
        <v>525</v>
      </c>
      <c r="O73">
        <v>600</v>
      </c>
      <c r="P73">
        <v>370</v>
      </c>
      <c r="Q73">
        <v>341</v>
      </c>
      <c r="R73">
        <v>270</v>
      </c>
      <c r="S73">
        <v>450</v>
      </c>
      <c r="T73">
        <v>260</v>
      </c>
      <c r="U73">
        <v>530</v>
      </c>
      <c r="V73">
        <v>535</v>
      </c>
      <c r="W73">
        <v>351</v>
      </c>
      <c r="X73">
        <v>385</v>
      </c>
      <c r="Y73">
        <v>565</v>
      </c>
      <c r="Z73">
        <v>585</v>
      </c>
      <c r="AA73">
        <v>321</v>
      </c>
      <c r="AB73">
        <v>352</v>
      </c>
      <c r="AC73">
        <v>380</v>
      </c>
      <c r="AD73">
        <v>350</v>
      </c>
      <c r="AE73">
        <v>497</v>
      </c>
      <c r="AF73">
        <v>312</v>
      </c>
      <c r="AG73">
        <v>410</v>
      </c>
      <c r="AH73">
        <v>275</v>
      </c>
      <c r="AI73">
        <v>286</v>
      </c>
      <c r="AJ73">
        <v>278</v>
      </c>
      <c r="AK73">
        <v>217</v>
      </c>
      <c r="AL73">
        <v>208</v>
      </c>
      <c r="AM73">
        <v>277</v>
      </c>
      <c r="AN73">
        <v>240</v>
      </c>
      <c r="AO73">
        <v>278</v>
      </c>
      <c r="AP73">
        <v>373</v>
      </c>
      <c r="AQ73">
        <v>250</v>
      </c>
      <c r="AR73">
        <v>250</v>
      </c>
      <c r="AS73">
        <v>540</v>
      </c>
      <c r="AT73">
        <v>379</v>
      </c>
      <c r="AU73">
        <v>436</v>
      </c>
      <c r="AV73" t="s">
        <v>21</v>
      </c>
      <c r="AW73">
        <v>260</v>
      </c>
      <c r="AX73">
        <v>300</v>
      </c>
      <c r="AY73">
        <v>255</v>
      </c>
      <c r="AZ73">
        <v>354</v>
      </c>
      <c r="BA73">
        <v>300</v>
      </c>
      <c r="BB73">
        <v>285</v>
      </c>
      <c r="BC73">
        <v>333</v>
      </c>
      <c r="BD73">
        <v>318</v>
      </c>
      <c r="BE73">
        <v>260</v>
      </c>
      <c r="BF73">
        <v>290</v>
      </c>
      <c r="BG73">
        <v>370</v>
      </c>
      <c r="BH73">
        <v>250</v>
      </c>
      <c r="BI73">
        <v>360</v>
      </c>
    </row>
    <row r="74" spans="2:61" x14ac:dyDescent="0.25">
      <c r="B74" s="2">
        <v>39873</v>
      </c>
      <c r="C74">
        <v>385</v>
      </c>
      <c r="D74">
        <v>474</v>
      </c>
      <c r="E74">
        <v>374</v>
      </c>
      <c r="F74">
        <v>465</v>
      </c>
      <c r="G74">
        <v>424</v>
      </c>
      <c r="H74">
        <v>526</v>
      </c>
      <c r="I74">
        <v>383</v>
      </c>
      <c r="J74">
        <v>510</v>
      </c>
      <c r="K74">
        <v>520</v>
      </c>
      <c r="L74">
        <v>500</v>
      </c>
      <c r="M74">
        <v>460</v>
      </c>
      <c r="N74">
        <v>550</v>
      </c>
      <c r="O74">
        <v>623</v>
      </c>
      <c r="P74">
        <v>375</v>
      </c>
      <c r="Q74">
        <v>380</v>
      </c>
      <c r="R74">
        <v>325</v>
      </c>
      <c r="S74">
        <v>495</v>
      </c>
      <c r="T74">
        <v>260</v>
      </c>
      <c r="U74">
        <v>530</v>
      </c>
      <c r="V74">
        <v>510</v>
      </c>
      <c r="W74">
        <v>365</v>
      </c>
      <c r="X74">
        <v>401</v>
      </c>
      <c r="Y74">
        <v>540</v>
      </c>
      <c r="Z74">
        <v>535</v>
      </c>
      <c r="AA74">
        <v>336</v>
      </c>
      <c r="AB74">
        <v>370</v>
      </c>
      <c r="AC74">
        <v>420</v>
      </c>
      <c r="AD74">
        <v>355</v>
      </c>
      <c r="AE74">
        <v>490</v>
      </c>
      <c r="AF74">
        <v>325</v>
      </c>
      <c r="AG74">
        <v>427</v>
      </c>
      <c r="AH74">
        <v>275</v>
      </c>
      <c r="AI74">
        <v>302</v>
      </c>
      <c r="AJ74">
        <v>272</v>
      </c>
      <c r="AK74">
        <v>227</v>
      </c>
      <c r="AL74">
        <v>210</v>
      </c>
      <c r="AM74">
        <v>285</v>
      </c>
      <c r="AN74">
        <v>270</v>
      </c>
      <c r="AO74">
        <v>279</v>
      </c>
      <c r="AP74">
        <v>380</v>
      </c>
      <c r="AQ74">
        <v>256</v>
      </c>
      <c r="AR74">
        <v>255</v>
      </c>
      <c r="AS74">
        <v>558</v>
      </c>
      <c r="AT74">
        <v>389</v>
      </c>
      <c r="AU74">
        <v>453</v>
      </c>
      <c r="AV74" t="s">
        <v>21</v>
      </c>
      <c r="AW74">
        <v>230</v>
      </c>
      <c r="AX74">
        <v>291</v>
      </c>
      <c r="AY74">
        <v>257</v>
      </c>
      <c r="AZ74">
        <v>340</v>
      </c>
      <c r="BA74">
        <v>285</v>
      </c>
      <c r="BB74">
        <v>255</v>
      </c>
      <c r="BC74">
        <v>312</v>
      </c>
      <c r="BD74">
        <v>313</v>
      </c>
      <c r="BE74">
        <v>260</v>
      </c>
      <c r="BF74">
        <v>296</v>
      </c>
      <c r="BG74">
        <v>375</v>
      </c>
      <c r="BH74">
        <v>255</v>
      </c>
      <c r="BI74">
        <v>365</v>
      </c>
    </row>
    <row r="75" spans="2:61" x14ac:dyDescent="0.25">
      <c r="B75" s="2">
        <v>39965</v>
      </c>
      <c r="C75">
        <v>400</v>
      </c>
      <c r="D75">
        <v>488</v>
      </c>
      <c r="E75">
        <v>375</v>
      </c>
      <c r="F75">
        <v>430</v>
      </c>
      <c r="G75">
        <v>451</v>
      </c>
      <c r="H75">
        <v>530</v>
      </c>
      <c r="I75">
        <v>386</v>
      </c>
      <c r="J75">
        <v>527</v>
      </c>
      <c r="K75">
        <v>524</v>
      </c>
      <c r="L75">
        <v>507</v>
      </c>
      <c r="M75">
        <v>475</v>
      </c>
      <c r="N75">
        <v>550</v>
      </c>
      <c r="O75">
        <v>630</v>
      </c>
      <c r="P75">
        <v>395</v>
      </c>
      <c r="Q75">
        <v>375</v>
      </c>
      <c r="R75">
        <v>320</v>
      </c>
      <c r="S75">
        <v>430</v>
      </c>
      <c r="T75">
        <v>274</v>
      </c>
      <c r="U75">
        <v>545</v>
      </c>
      <c r="V75">
        <v>640</v>
      </c>
      <c r="W75">
        <v>385</v>
      </c>
      <c r="X75">
        <v>410</v>
      </c>
      <c r="Y75">
        <v>570</v>
      </c>
      <c r="Z75">
        <v>567</v>
      </c>
      <c r="AA75">
        <v>340</v>
      </c>
      <c r="AB75">
        <v>380</v>
      </c>
      <c r="AC75">
        <v>430</v>
      </c>
      <c r="AD75">
        <v>375</v>
      </c>
      <c r="AE75">
        <v>500</v>
      </c>
      <c r="AF75">
        <v>335</v>
      </c>
      <c r="AG75">
        <v>420</v>
      </c>
      <c r="AH75">
        <v>288</v>
      </c>
      <c r="AI75">
        <v>320</v>
      </c>
      <c r="AJ75">
        <v>338</v>
      </c>
      <c r="AK75">
        <v>240</v>
      </c>
      <c r="AL75">
        <v>215</v>
      </c>
      <c r="AM75">
        <v>289</v>
      </c>
      <c r="AN75">
        <v>292</v>
      </c>
      <c r="AO75">
        <v>300</v>
      </c>
      <c r="AP75">
        <v>389</v>
      </c>
      <c r="AQ75">
        <v>268</v>
      </c>
      <c r="AR75">
        <v>270</v>
      </c>
      <c r="AS75">
        <v>540</v>
      </c>
      <c r="AT75">
        <v>396</v>
      </c>
      <c r="AU75">
        <v>455</v>
      </c>
      <c r="AV75" t="s">
        <v>21</v>
      </c>
      <c r="AW75">
        <v>253</v>
      </c>
      <c r="AX75">
        <v>299</v>
      </c>
      <c r="AY75">
        <v>260</v>
      </c>
      <c r="AZ75">
        <v>351</v>
      </c>
      <c r="BA75">
        <v>310</v>
      </c>
      <c r="BB75">
        <v>270</v>
      </c>
      <c r="BC75">
        <v>310</v>
      </c>
      <c r="BD75">
        <v>290</v>
      </c>
      <c r="BE75">
        <v>280</v>
      </c>
      <c r="BF75">
        <v>305</v>
      </c>
      <c r="BG75">
        <v>390</v>
      </c>
      <c r="BH75">
        <v>254</v>
      </c>
      <c r="BI75">
        <v>380</v>
      </c>
    </row>
    <row r="76" spans="2:61" x14ac:dyDescent="0.25">
      <c r="B76" s="2">
        <v>40057</v>
      </c>
      <c r="C76">
        <v>429</v>
      </c>
      <c r="D76">
        <v>500</v>
      </c>
      <c r="E76">
        <v>398</v>
      </c>
      <c r="F76">
        <v>460</v>
      </c>
      <c r="G76">
        <v>460</v>
      </c>
      <c r="H76">
        <v>543</v>
      </c>
      <c r="I76">
        <v>400</v>
      </c>
      <c r="J76">
        <v>516</v>
      </c>
      <c r="K76">
        <v>550</v>
      </c>
      <c r="L76">
        <v>510</v>
      </c>
      <c r="M76">
        <v>498</v>
      </c>
      <c r="N76">
        <v>585</v>
      </c>
      <c r="O76">
        <v>650</v>
      </c>
      <c r="P76">
        <v>425</v>
      </c>
      <c r="Q76">
        <v>424</v>
      </c>
      <c r="R76">
        <v>323</v>
      </c>
      <c r="S76">
        <v>475</v>
      </c>
      <c r="T76">
        <v>293</v>
      </c>
      <c r="U76">
        <v>567</v>
      </c>
      <c r="V76">
        <v>545</v>
      </c>
      <c r="W76">
        <v>400</v>
      </c>
      <c r="X76">
        <v>430</v>
      </c>
      <c r="Y76">
        <v>599</v>
      </c>
      <c r="Z76">
        <v>640</v>
      </c>
      <c r="AA76">
        <v>355</v>
      </c>
      <c r="AB76">
        <v>400</v>
      </c>
      <c r="AC76">
        <v>421</v>
      </c>
      <c r="AD76">
        <v>380</v>
      </c>
      <c r="AE76">
        <v>525</v>
      </c>
      <c r="AF76">
        <v>350</v>
      </c>
      <c r="AG76">
        <v>460</v>
      </c>
      <c r="AH76">
        <v>290</v>
      </c>
      <c r="AI76">
        <v>315</v>
      </c>
      <c r="AJ76">
        <v>257</v>
      </c>
      <c r="AK76">
        <v>239</v>
      </c>
      <c r="AL76">
        <v>235</v>
      </c>
      <c r="AM76">
        <v>308</v>
      </c>
      <c r="AN76">
        <v>290</v>
      </c>
      <c r="AO76">
        <v>304</v>
      </c>
      <c r="AP76">
        <v>402</v>
      </c>
      <c r="AQ76">
        <v>265</v>
      </c>
      <c r="AR76">
        <v>266</v>
      </c>
      <c r="AS76">
        <v>566</v>
      </c>
      <c r="AT76">
        <v>408</v>
      </c>
      <c r="AU76">
        <v>470</v>
      </c>
      <c r="AV76">
        <v>255</v>
      </c>
      <c r="AW76">
        <v>280</v>
      </c>
      <c r="AX76">
        <v>318</v>
      </c>
      <c r="AY76">
        <v>273</v>
      </c>
      <c r="AZ76">
        <v>353</v>
      </c>
      <c r="BA76">
        <v>320</v>
      </c>
      <c r="BB76">
        <v>247</v>
      </c>
      <c r="BC76">
        <v>335</v>
      </c>
      <c r="BD76">
        <v>284</v>
      </c>
      <c r="BE76">
        <v>285</v>
      </c>
      <c r="BF76">
        <v>325</v>
      </c>
      <c r="BG76">
        <v>419</v>
      </c>
      <c r="BH76">
        <v>265</v>
      </c>
      <c r="BI76">
        <v>403</v>
      </c>
    </row>
    <row r="77" spans="2:61" x14ac:dyDescent="0.25">
      <c r="B77" s="2">
        <v>40148</v>
      </c>
      <c r="C77">
        <v>452</v>
      </c>
      <c r="D77">
        <v>546</v>
      </c>
      <c r="E77">
        <v>405</v>
      </c>
      <c r="F77">
        <v>505</v>
      </c>
      <c r="G77">
        <v>495</v>
      </c>
      <c r="H77">
        <v>630</v>
      </c>
      <c r="I77">
        <v>425</v>
      </c>
      <c r="J77">
        <v>590</v>
      </c>
      <c r="K77">
        <v>640</v>
      </c>
      <c r="L77">
        <v>575</v>
      </c>
      <c r="M77">
        <v>535</v>
      </c>
      <c r="N77">
        <v>647</v>
      </c>
      <c r="O77">
        <v>740</v>
      </c>
      <c r="P77">
        <v>440</v>
      </c>
      <c r="Q77">
        <v>425</v>
      </c>
      <c r="R77">
        <v>313</v>
      </c>
      <c r="S77">
        <v>444</v>
      </c>
      <c r="T77">
        <v>280</v>
      </c>
      <c r="U77">
        <v>605</v>
      </c>
      <c r="V77">
        <v>576</v>
      </c>
      <c r="W77">
        <v>398</v>
      </c>
      <c r="X77">
        <v>445</v>
      </c>
      <c r="Y77">
        <v>599</v>
      </c>
      <c r="Z77">
        <v>728</v>
      </c>
      <c r="AA77">
        <v>365</v>
      </c>
      <c r="AB77">
        <v>412</v>
      </c>
      <c r="AC77">
        <v>440</v>
      </c>
      <c r="AD77">
        <v>397</v>
      </c>
      <c r="AE77">
        <v>571</v>
      </c>
      <c r="AF77">
        <v>355</v>
      </c>
      <c r="AG77">
        <v>460</v>
      </c>
      <c r="AH77">
        <v>302</v>
      </c>
      <c r="AI77">
        <v>325</v>
      </c>
      <c r="AJ77" t="s">
        <v>21</v>
      </c>
      <c r="AK77">
        <v>250</v>
      </c>
      <c r="AL77">
        <v>235</v>
      </c>
      <c r="AM77">
        <v>330</v>
      </c>
      <c r="AN77">
        <v>295</v>
      </c>
      <c r="AO77">
        <v>300</v>
      </c>
      <c r="AP77">
        <v>439</v>
      </c>
      <c r="AQ77">
        <v>260</v>
      </c>
      <c r="AR77">
        <v>272</v>
      </c>
      <c r="AS77">
        <v>594</v>
      </c>
      <c r="AT77">
        <v>431</v>
      </c>
      <c r="AU77">
        <v>495</v>
      </c>
      <c r="AV77">
        <v>263</v>
      </c>
      <c r="AW77">
        <v>252</v>
      </c>
      <c r="AX77">
        <v>330</v>
      </c>
      <c r="AY77">
        <v>245</v>
      </c>
      <c r="AZ77">
        <v>427</v>
      </c>
      <c r="BA77">
        <v>320</v>
      </c>
      <c r="BB77">
        <v>259</v>
      </c>
      <c r="BC77">
        <v>330</v>
      </c>
      <c r="BD77">
        <v>320</v>
      </c>
      <c r="BE77">
        <v>282</v>
      </c>
      <c r="BF77">
        <v>354</v>
      </c>
      <c r="BG77">
        <v>441</v>
      </c>
      <c r="BH77">
        <v>280</v>
      </c>
      <c r="BI77">
        <v>425</v>
      </c>
    </row>
    <row r="78" spans="2:61" x14ac:dyDescent="0.25">
      <c r="B78" s="2">
        <v>40238</v>
      </c>
      <c r="C78">
        <v>450</v>
      </c>
      <c r="D78">
        <v>570</v>
      </c>
      <c r="E78">
        <v>399</v>
      </c>
      <c r="F78">
        <v>460</v>
      </c>
      <c r="G78">
        <v>485</v>
      </c>
      <c r="H78">
        <v>618</v>
      </c>
      <c r="I78">
        <v>410</v>
      </c>
      <c r="J78">
        <v>631</v>
      </c>
      <c r="K78">
        <v>661</v>
      </c>
      <c r="L78">
        <v>600</v>
      </c>
      <c r="M78">
        <v>551</v>
      </c>
      <c r="N78">
        <v>650</v>
      </c>
      <c r="O78">
        <v>858</v>
      </c>
      <c r="P78">
        <v>435</v>
      </c>
      <c r="Q78">
        <v>400</v>
      </c>
      <c r="R78">
        <v>350</v>
      </c>
      <c r="S78">
        <v>500</v>
      </c>
      <c r="T78">
        <v>285</v>
      </c>
      <c r="U78">
        <v>600</v>
      </c>
      <c r="V78">
        <v>610</v>
      </c>
      <c r="W78">
        <v>395</v>
      </c>
      <c r="X78">
        <v>440</v>
      </c>
      <c r="Y78">
        <v>647</v>
      </c>
      <c r="Z78">
        <v>720</v>
      </c>
      <c r="AA78">
        <v>370</v>
      </c>
      <c r="AB78">
        <v>422</v>
      </c>
      <c r="AC78">
        <v>485</v>
      </c>
      <c r="AD78">
        <v>420</v>
      </c>
      <c r="AE78">
        <v>589</v>
      </c>
      <c r="AF78">
        <v>360</v>
      </c>
      <c r="AG78">
        <v>470</v>
      </c>
      <c r="AH78">
        <v>290</v>
      </c>
      <c r="AI78">
        <v>316</v>
      </c>
      <c r="AJ78">
        <v>268</v>
      </c>
      <c r="AK78">
        <v>238</v>
      </c>
      <c r="AL78">
        <v>238</v>
      </c>
      <c r="AM78">
        <v>315</v>
      </c>
      <c r="AN78">
        <v>286</v>
      </c>
      <c r="AO78">
        <v>315</v>
      </c>
      <c r="AP78">
        <v>441</v>
      </c>
      <c r="AQ78">
        <v>265</v>
      </c>
      <c r="AR78">
        <v>283</v>
      </c>
      <c r="AS78">
        <v>596</v>
      </c>
      <c r="AT78">
        <v>451</v>
      </c>
      <c r="AU78">
        <v>502</v>
      </c>
      <c r="AV78">
        <v>265</v>
      </c>
      <c r="AW78">
        <v>261</v>
      </c>
      <c r="AX78">
        <v>325</v>
      </c>
      <c r="AY78" t="s">
        <v>21</v>
      </c>
      <c r="AZ78">
        <v>369</v>
      </c>
      <c r="BA78">
        <v>305</v>
      </c>
      <c r="BB78">
        <v>298</v>
      </c>
      <c r="BC78">
        <v>339</v>
      </c>
      <c r="BD78">
        <v>334</v>
      </c>
      <c r="BE78">
        <v>299</v>
      </c>
      <c r="BF78">
        <v>339</v>
      </c>
      <c r="BG78">
        <v>440</v>
      </c>
      <c r="BH78">
        <v>280</v>
      </c>
      <c r="BI78">
        <v>421</v>
      </c>
    </row>
    <row r="79" spans="2:61" x14ac:dyDescent="0.25">
      <c r="B79" s="2">
        <v>40330</v>
      </c>
      <c r="C79">
        <v>480</v>
      </c>
      <c r="D79">
        <v>584</v>
      </c>
      <c r="E79">
        <v>422</v>
      </c>
      <c r="F79">
        <v>420</v>
      </c>
      <c r="G79">
        <v>490</v>
      </c>
      <c r="H79">
        <v>620</v>
      </c>
      <c r="I79">
        <v>440</v>
      </c>
      <c r="J79">
        <v>603</v>
      </c>
      <c r="K79">
        <v>665</v>
      </c>
      <c r="L79">
        <v>580</v>
      </c>
      <c r="M79">
        <v>575</v>
      </c>
      <c r="N79">
        <v>649</v>
      </c>
      <c r="O79">
        <v>807</v>
      </c>
      <c r="P79">
        <v>470</v>
      </c>
      <c r="Q79">
        <v>460</v>
      </c>
      <c r="R79">
        <v>360</v>
      </c>
      <c r="S79">
        <v>534</v>
      </c>
      <c r="T79">
        <v>299</v>
      </c>
      <c r="U79">
        <v>600</v>
      </c>
      <c r="V79">
        <v>417</v>
      </c>
      <c r="W79">
        <v>400</v>
      </c>
      <c r="X79">
        <v>480</v>
      </c>
      <c r="Y79">
        <v>650</v>
      </c>
      <c r="Z79">
        <v>680</v>
      </c>
      <c r="AA79">
        <v>380</v>
      </c>
      <c r="AB79">
        <v>454</v>
      </c>
      <c r="AC79">
        <v>495</v>
      </c>
      <c r="AD79">
        <v>437</v>
      </c>
      <c r="AE79">
        <v>602</v>
      </c>
      <c r="AF79">
        <v>375</v>
      </c>
      <c r="AG79">
        <v>506</v>
      </c>
      <c r="AH79">
        <v>301</v>
      </c>
      <c r="AI79">
        <v>352</v>
      </c>
      <c r="AJ79">
        <v>295</v>
      </c>
      <c r="AK79">
        <v>240</v>
      </c>
      <c r="AL79">
        <v>260</v>
      </c>
      <c r="AM79">
        <v>319</v>
      </c>
      <c r="AN79">
        <v>308</v>
      </c>
      <c r="AO79">
        <v>322</v>
      </c>
      <c r="AP79">
        <v>449</v>
      </c>
      <c r="AQ79">
        <v>281</v>
      </c>
      <c r="AR79">
        <v>270</v>
      </c>
      <c r="AS79">
        <v>603</v>
      </c>
      <c r="AT79">
        <v>449</v>
      </c>
      <c r="AU79">
        <v>504</v>
      </c>
      <c r="AV79" t="s">
        <v>21</v>
      </c>
      <c r="AW79">
        <v>286</v>
      </c>
      <c r="AX79">
        <v>326</v>
      </c>
      <c r="AY79">
        <v>240</v>
      </c>
      <c r="AZ79">
        <v>352</v>
      </c>
      <c r="BA79">
        <v>315</v>
      </c>
      <c r="BB79">
        <v>268</v>
      </c>
      <c r="BC79">
        <v>325</v>
      </c>
      <c r="BD79">
        <v>328</v>
      </c>
      <c r="BE79">
        <v>320</v>
      </c>
      <c r="BF79">
        <v>355</v>
      </c>
      <c r="BG79">
        <v>467</v>
      </c>
      <c r="BH79">
        <v>283</v>
      </c>
      <c r="BI79">
        <v>450</v>
      </c>
    </row>
    <row r="80" spans="2:61" x14ac:dyDescent="0.25">
      <c r="B80" s="2">
        <v>40422</v>
      </c>
      <c r="C80">
        <v>479</v>
      </c>
      <c r="D80">
        <v>580</v>
      </c>
      <c r="E80">
        <v>445</v>
      </c>
      <c r="F80">
        <v>450</v>
      </c>
      <c r="G80">
        <v>515</v>
      </c>
      <c r="H80">
        <v>600</v>
      </c>
      <c r="I80">
        <v>470</v>
      </c>
      <c r="J80">
        <v>615</v>
      </c>
      <c r="K80">
        <v>620</v>
      </c>
      <c r="L80">
        <v>595</v>
      </c>
      <c r="M80">
        <v>580</v>
      </c>
      <c r="N80">
        <v>635</v>
      </c>
      <c r="O80">
        <v>770</v>
      </c>
      <c r="P80">
        <v>460</v>
      </c>
      <c r="Q80">
        <v>438</v>
      </c>
      <c r="R80">
        <v>335</v>
      </c>
      <c r="S80">
        <v>503</v>
      </c>
      <c r="T80">
        <v>320</v>
      </c>
      <c r="U80">
        <v>609</v>
      </c>
      <c r="V80">
        <v>505</v>
      </c>
      <c r="W80">
        <v>430</v>
      </c>
      <c r="X80">
        <v>456</v>
      </c>
      <c r="Y80">
        <v>654</v>
      </c>
      <c r="Z80">
        <v>683</v>
      </c>
      <c r="AA80">
        <v>382</v>
      </c>
      <c r="AB80">
        <v>438</v>
      </c>
      <c r="AC80">
        <v>457</v>
      </c>
      <c r="AD80">
        <v>461</v>
      </c>
      <c r="AE80">
        <v>581</v>
      </c>
      <c r="AF80">
        <v>364</v>
      </c>
      <c r="AG80">
        <v>510</v>
      </c>
      <c r="AH80">
        <v>285</v>
      </c>
      <c r="AI80">
        <v>317</v>
      </c>
      <c r="AJ80" t="s">
        <v>21</v>
      </c>
      <c r="AK80">
        <v>245</v>
      </c>
      <c r="AL80">
        <v>244</v>
      </c>
      <c r="AM80">
        <v>306</v>
      </c>
      <c r="AN80">
        <v>306</v>
      </c>
      <c r="AO80">
        <v>320</v>
      </c>
      <c r="AP80">
        <v>449</v>
      </c>
      <c r="AQ80">
        <v>289</v>
      </c>
      <c r="AR80">
        <v>284</v>
      </c>
      <c r="AS80">
        <v>648</v>
      </c>
      <c r="AT80">
        <v>455</v>
      </c>
      <c r="AU80">
        <v>498</v>
      </c>
      <c r="AV80" t="s">
        <v>21</v>
      </c>
      <c r="AW80">
        <v>281</v>
      </c>
      <c r="AX80">
        <v>323</v>
      </c>
      <c r="AY80">
        <v>275</v>
      </c>
      <c r="AZ80">
        <v>338</v>
      </c>
      <c r="BA80">
        <v>310</v>
      </c>
      <c r="BB80">
        <v>280</v>
      </c>
      <c r="BC80">
        <v>328</v>
      </c>
      <c r="BD80">
        <v>330</v>
      </c>
      <c r="BE80">
        <v>287</v>
      </c>
      <c r="BF80">
        <v>349</v>
      </c>
      <c r="BG80">
        <v>465</v>
      </c>
      <c r="BH80">
        <v>280</v>
      </c>
      <c r="BI80">
        <v>450</v>
      </c>
    </row>
    <row r="81" spans="2:61" x14ac:dyDescent="0.25">
      <c r="B81" s="2">
        <v>40513</v>
      </c>
      <c r="C81">
        <v>490</v>
      </c>
      <c r="D81">
        <v>580</v>
      </c>
      <c r="E81">
        <v>450</v>
      </c>
      <c r="F81">
        <v>545</v>
      </c>
      <c r="G81">
        <v>513</v>
      </c>
      <c r="H81">
        <v>647</v>
      </c>
      <c r="I81">
        <v>511</v>
      </c>
      <c r="J81">
        <v>610</v>
      </c>
      <c r="K81">
        <v>633</v>
      </c>
      <c r="L81">
        <v>590</v>
      </c>
      <c r="M81">
        <v>580</v>
      </c>
      <c r="N81">
        <v>700</v>
      </c>
      <c r="O81">
        <v>777</v>
      </c>
      <c r="P81">
        <v>470</v>
      </c>
      <c r="Q81">
        <v>468</v>
      </c>
      <c r="R81">
        <v>350</v>
      </c>
      <c r="S81">
        <v>490</v>
      </c>
      <c r="T81">
        <v>311</v>
      </c>
      <c r="U81">
        <v>600</v>
      </c>
      <c r="V81">
        <v>551</v>
      </c>
      <c r="W81">
        <v>440</v>
      </c>
      <c r="X81">
        <v>470</v>
      </c>
      <c r="Y81">
        <v>625</v>
      </c>
      <c r="Z81">
        <v>742</v>
      </c>
      <c r="AA81">
        <v>380</v>
      </c>
      <c r="AB81">
        <v>430</v>
      </c>
      <c r="AC81">
        <v>480</v>
      </c>
      <c r="AD81">
        <v>455</v>
      </c>
      <c r="AE81">
        <v>617</v>
      </c>
      <c r="AF81">
        <v>367</v>
      </c>
      <c r="AG81">
        <v>495</v>
      </c>
      <c r="AH81">
        <v>310</v>
      </c>
      <c r="AI81">
        <v>295</v>
      </c>
      <c r="AJ81" t="s">
        <v>21</v>
      </c>
      <c r="AK81">
        <v>265</v>
      </c>
      <c r="AL81">
        <v>256</v>
      </c>
      <c r="AM81">
        <v>315</v>
      </c>
      <c r="AN81">
        <v>282</v>
      </c>
      <c r="AO81">
        <v>326</v>
      </c>
      <c r="AP81">
        <v>465</v>
      </c>
      <c r="AQ81">
        <v>276</v>
      </c>
      <c r="AR81">
        <v>274</v>
      </c>
      <c r="AS81">
        <v>599</v>
      </c>
      <c r="AT81">
        <v>450</v>
      </c>
      <c r="AU81">
        <v>545</v>
      </c>
      <c r="AV81">
        <v>230</v>
      </c>
      <c r="AW81">
        <v>270</v>
      </c>
      <c r="AX81">
        <v>330</v>
      </c>
      <c r="AY81">
        <v>266</v>
      </c>
      <c r="AZ81">
        <v>377</v>
      </c>
      <c r="BA81">
        <v>345</v>
      </c>
      <c r="BB81">
        <v>279</v>
      </c>
      <c r="BC81">
        <v>327</v>
      </c>
      <c r="BD81">
        <v>300</v>
      </c>
      <c r="BE81">
        <v>300</v>
      </c>
      <c r="BF81">
        <v>359</v>
      </c>
      <c r="BG81">
        <v>475</v>
      </c>
      <c r="BH81">
        <v>280</v>
      </c>
      <c r="BI81">
        <v>460</v>
      </c>
    </row>
    <row r="82" spans="2:61" x14ac:dyDescent="0.25">
      <c r="B82" s="2">
        <v>40603</v>
      </c>
      <c r="C82">
        <v>594</v>
      </c>
      <c r="D82">
        <v>580</v>
      </c>
      <c r="E82">
        <v>470</v>
      </c>
      <c r="F82">
        <v>488</v>
      </c>
      <c r="G82">
        <v>510</v>
      </c>
      <c r="H82">
        <v>639</v>
      </c>
      <c r="I82">
        <v>480</v>
      </c>
      <c r="J82">
        <v>650</v>
      </c>
      <c r="K82">
        <v>615</v>
      </c>
      <c r="L82">
        <v>597</v>
      </c>
      <c r="M82">
        <v>585</v>
      </c>
      <c r="N82">
        <v>641</v>
      </c>
      <c r="O82">
        <v>680</v>
      </c>
      <c r="P82">
        <v>600</v>
      </c>
      <c r="Q82">
        <v>419</v>
      </c>
      <c r="R82">
        <v>328</v>
      </c>
      <c r="S82">
        <v>535</v>
      </c>
      <c r="T82">
        <v>316</v>
      </c>
      <c r="U82">
        <v>600</v>
      </c>
      <c r="V82">
        <v>645</v>
      </c>
      <c r="W82">
        <v>414</v>
      </c>
      <c r="X82">
        <v>455</v>
      </c>
      <c r="Y82">
        <v>640</v>
      </c>
      <c r="Z82">
        <v>673</v>
      </c>
      <c r="AA82">
        <v>389</v>
      </c>
      <c r="AB82">
        <v>439</v>
      </c>
      <c r="AC82">
        <v>447</v>
      </c>
      <c r="AD82">
        <v>432</v>
      </c>
      <c r="AE82">
        <v>775</v>
      </c>
      <c r="AF82">
        <v>370</v>
      </c>
      <c r="AG82">
        <v>487</v>
      </c>
      <c r="AH82">
        <v>315</v>
      </c>
      <c r="AI82">
        <v>290</v>
      </c>
      <c r="AJ82">
        <v>310</v>
      </c>
      <c r="AK82">
        <v>241</v>
      </c>
      <c r="AL82">
        <v>250</v>
      </c>
      <c r="AM82">
        <v>317</v>
      </c>
      <c r="AN82">
        <v>291</v>
      </c>
      <c r="AO82">
        <v>317</v>
      </c>
      <c r="AP82">
        <v>453</v>
      </c>
      <c r="AQ82">
        <v>285</v>
      </c>
      <c r="AR82">
        <v>285</v>
      </c>
      <c r="AS82">
        <v>530</v>
      </c>
      <c r="AT82">
        <v>445</v>
      </c>
      <c r="AU82">
        <v>500</v>
      </c>
      <c r="AV82" t="s">
        <v>21</v>
      </c>
      <c r="AW82">
        <v>270</v>
      </c>
      <c r="AX82">
        <v>333</v>
      </c>
      <c r="AY82">
        <v>196</v>
      </c>
      <c r="AZ82">
        <v>383</v>
      </c>
      <c r="BA82">
        <v>333</v>
      </c>
      <c r="BB82">
        <v>300</v>
      </c>
      <c r="BC82">
        <v>328</v>
      </c>
      <c r="BD82">
        <v>297</v>
      </c>
      <c r="BE82">
        <v>292</v>
      </c>
      <c r="BF82">
        <v>370</v>
      </c>
      <c r="BG82">
        <v>584</v>
      </c>
      <c r="BH82">
        <v>264</v>
      </c>
      <c r="BI82">
        <v>565</v>
      </c>
    </row>
    <row r="83" spans="2:61" x14ac:dyDescent="0.25">
      <c r="B83" s="2">
        <v>40695</v>
      </c>
      <c r="C83">
        <v>512</v>
      </c>
      <c r="D83">
        <v>595</v>
      </c>
      <c r="E83">
        <v>472</v>
      </c>
      <c r="F83">
        <v>588</v>
      </c>
      <c r="G83">
        <v>481</v>
      </c>
      <c r="H83">
        <v>698</v>
      </c>
      <c r="I83">
        <v>488</v>
      </c>
      <c r="J83">
        <v>648</v>
      </c>
      <c r="K83">
        <v>670</v>
      </c>
      <c r="L83">
        <v>601</v>
      </c>
      <c r="M83">
        <v>585</v>
      </c>
      <c r="N83">
        <v>670</v>
      </c>
      <c r="O83">
        <v>711</v>
      </c>
      <c r="P83">
        <v>518</v>
      </c>
      <c r="Q83">
        <v>440</v>
      </c>
      <c r="R83">
        <v>345</v>
      </c>
      <c r="S83">
        <v>660</v>
      </c>
      <c r="T83">
        <v>320</v>
      </c>
      <c r="U83">
        <v>597</v>
      </c>
      <c r="V83">
        <v>505</v>
      </c>
      <c r="W83">
        <v>525</v>
      </c>
      <c r="X83">
        <v>500</v>
      </c>
      <c r="Y83">
        <v>639</v>
      </c>
      <c r="Z83">
        <v>745</v>
      </c>
      <c r="AA83">
        <v>419</v>
      </c>
      <c r="AB83">
        <v>485</v>
      </c>
      <c r="AC83">
        <v>475</v>
      </c>
      <c r="AD83">
        <v>439</v>
      </c>
      <c r="AE83">
        <v>758</v>
      </c>
      <c r="AF83">
        <v>370</v>
      </c>
      <c r="AG83">
        <v>523</v>
      </c>
      <c r="AH83">
        <v>305</v>
      </c>
      <c r="AI83">
        <v>267</v>
      </c>
      <c r="AJ83" t="s">
        <v>21</v>
      </c>
      <c r="AK83">
        <v>259</v>
      </c>
      <c r="AL83">
        <v>303</v>
      </c>
      <c r="AM83">
        <v>312</v>
      </c>
      <c r="AN83">
        <v>348</v>
      </c>
      <c r="AO83">
        <v>330</v>
      </c>
      <c r="AP83">
        <v>464</v>
      </c>
      <c r="AQ83">
        <v>324</v>
      </c>
      <c r="AR83">
        <v>280</v>
      </c>
      <c r="AS83">
        <v>675</v>
      </c>
      <c r="AT83">
        <v>465</v>
      </c>
      <c r="AU83">
        <v>511</v>
      </c>
      <c r="AV83" t="s">
        <v>21</v>
      </c>
      <c r="AW83">
        <v>279</v>
      </c>
      <c r="AX83">
        <v>340</v>
      </c>
      <c r="AY83">
        <v>247</v>
      </c>
      <c r="AZ83">
        <v>374</v>
      </c>
      <c r="BA83">
        <v>327</v>
      </c>
      <c r="BB83">
        <v>295</v>
      </c>
      <c r="BC83">
        <v>359</v>
      </c>
      <c r="BD83">
        <v>298</v>
      </c>
      <c r="BE83">
        <v>377</v>
      </c>
      <c r="BF83">
        <v>359</v>
      </c>
      <c r="BG83">
        <v>500</v>
      </c>
      <c r="BH83">
        <v>270</v>
      </c>
      <c r="BI83">
        <v>485</v>
      </c>
    </row>
    <row r="84" spans="2:61" x14ac:dyDescent="0.25">
      <c r="B84" s="2">
        <v>40787</v>
      </c>
      <c r="C84">
        <v>489</v>
      </c>
      <c r="D84">
        <v>580</v>
      </c>
      <c r="E84">
        <v>469</v>
      </c>
      <c r="F84">
        <v>500</v>
      </c>
      <c r="G84">
        <v>538</v>
      </c>
      <c r="H84">
        <v>633</v>
      </c>
      <c r="I84">
        <v>460</v>
      </c>
      <c r="J84">
        <v>620</v>
      </c>
      <c r="K84">
        <v>600</v>
      </c>
      <c r="L84">
        <v>604</v>
      </c>
      <c r="M84">
        <v>575</v>
      </c>
      <c r="N84">
        <v>644</v>
      </c>
      <c r="O84">
        <v>790</v>
      </c>
      <c r="P84">
        <v>490</v>
      </c>
      <c r="Q84">
        <v>428</v>
      </c>
      <c r="R84">
        <v>340</v>
      </c>
      <c r="S84">
        <v>525</v>
      </c>
      <c r="T84">
        <v>357</v>
      </c>
      <c r="U84">
        <v>600</v>
      </c>
      <c r="V84">
        <v>620</v>
      </c>
      <c r="W84">
        <v>445</v>
      </c>
      <c r="X84">
        <v>487</v>
      </c>
      <c r="Y84">
        <v>640</v>
      </c>
      <c r="Z84">
        <v>700</v>
      </c>
      <c r="AA84">
        <v>386</v>
      </c>
      <c r="AB84">
        <v>565</v>
      </c>
      <c r="AC84">
        <v>525</v>
      </c>
      <c r="AD84">
        <v>444</v>
      </c>
      <c r="AE84">
        <v>616</v>
      </c>
      <c r="AF84">
        <v>365</v>
      </c>
      <c r="AG84">
        <v>495</v>
      </c>
      <c r="AH84">
        <v>310</v>
      </c>
      <c r="AI84">
        <v>315</v>
      </c>
      <c r="AJ84">
        <v>325</v>
      </c>
      <c r="AK84">
        <v>249</v>
      </c>
      <c r="AL84">
        <v>276</v>
      </c>
      <c r="AM84">
        <v>320</v>
      </c>
      <c r="AN84">
        <v>302</v>
      </c>
      <c r="AO84">
        <v>325</v>
      </c>
      <c r="AP84">
        <v>460</v>
      </c>
      <c r="AQ84">
        <v>307</v>
      </c>
      <c r="AR84">
        <v>273</v>
      </c>
      <c r="AS84">
        <v>563</v>
      </c>
      <c r="AT84">
        <v>455</v>
      </c>
      <c r="AU84">
        <v>503</v>
      </c>
      <c r="AV84" t="s">
        <v>21</v>
      </c>
      <c r="AW84">
        <v>270</v>
      </c>
      <c r="AX84">
        <v>320</v>
      </c>
      <c r="AY84">
        <v>260</v>
      </c>
      <c r="AZ84">
        <v>355</v>
      </c>
      <c r="BA84">
        <v>319</v>
      </c>
      <c r="BB84">
        <v>252</v>
      </c>
      <c r="BC84">
        <v>340</v>
      </c>
      <c r="BD84">
        <v>300</v>
      </c>
      <c r="BE84">
        <v>305</v>
      </c>
      <c r="BF84">
        <v>335</v>
      </c>
      <c r="BG84">
        <v>475</v>
      </c>
      <c r="BH84">
        <v>251</v>
      </c>
      <c r="BI84">
        <v>455</v>
      </c>
    </row>
    <row r="85" spans="2:61" x14ac:dyDescent="0.25">
      <c r="B85" s="2">
        <v>40878</v>
      </c>
      <c r="C85">
        <v>475</v>
      </c>
      <c r="D85">
        <v>560</v>
      </c>
      <c r="E85">
        <v>475</v>
      </c>
      <c r="F85">
        <v>500</v>
      </c>
      <c r="G85">
        <v>501</v>
      </c>
      <c r="H85">
        <v>561</v>
      </c>
      <c r="I85">
        <v>480</v>
      </c>
      <c r="J85">
        <v>571</v>
      </c>
      <c r="K85">
        <v>578</v>
      </c>
      <c r="L85">
        <v>580</v>
      </c>
      <c r="M85">
        <v>569</v>
      </c>
      <c r="N85">
        <v>640</v>
      </c>
      <c r="O85">
        <v>750</v>
      </c>
      <c r="P85">
        <v>480</v>
      </c>
      <c r="Q85">
        <v>425</v>
      </c>
      <c r="R85">
        <v>350</v>
      </c>
      <c r="S85">
        <v>530</v>
      </c>
      <c r="T85">
        <v>339</v>
      </c>
      <c r="U85">
        <v>578</v>
      </c>
      <c r="V85">
        <v>508</v>
      </c>
      <c r="W85">
        <v>425</v>
      </c>
      <c r="X85">
        <v>468</v>
      </c>
      <c r="Y85">
        <v>641</v>
      </c>
      <c r="Z85">
        <v>605</v>
      </c>
      <c r="AA85">
        <v>400</v>
      </c>
      <c r="AB85">
        <v>540</v>
      </c>
      <c r="AC85">
        <v>505</v>
      </c>
      <c r="AD85">
        <v>440</v>
      </c>
      <c r="AE85">
        <v>570</v>
      </c>
      <c r="AF85">
        <v>360</v>
      </c>
      <c r="AG85">
        <v>510</v>
      </c>
      <c r="AH85">
        <v>300</v>
      </c>
      <c r="AI85">
        <v>304</v>
      </c>
      <c r="AJ85">
        <v>317</v>
      </c>
      <c r="AK85">
        <v>255</v>
      </c>
      <c r="AL85">
        <v>286</v>
      </c>
      <c r="AM85">
        <v>320</v>
      </c>
      <c r="AN85">
        <v>299</v>
      </c>
      <c r="AO85">
        <v>325</v>
      </c>
      <c r="AP85">
        <v>461</v>
      </c>
      <c r="AQ85">
        <v>300</v>
      </c>
      <c r="AR85">
        <v>280</v>
      </c>
      <c r="AS85">
        <v>594</v>
      </c>
      <c r="AT85">
        <v>456</v>
      </c>
      <c r="AU85">
        <v>485</v>
      </c>
      <c r="AV85">
        <v>288</v>
      </c>
      <c r="AW85">
        <v>260</v>
      </c>
      <c r="AX85">
        <v>325</v>
      </c>
      <c r="AY85">
        <v>257</v>
      </c>
      <c r="AZ85">
        <v>354</v>
      </c>
      <c r="BA85">
        <v>320</v>
      </c>
      <c r="BB85">
        <v>270</v>
      </c>
      <c r="BC85">
        <v>340</v>
      </c>
      <c r="BD85">
        <v>291</v>
      </c>
      <c r="BE85">
        <v>305</v>
      </c>
      <c r="BF85">
        <v>338</v>
      </c>
      <c r="BG85">
        <v>465</v>
      </c>
      <c r="BH85">
        <v>264</v>
      </c>
      <c r="BI85">
        <v>452</v>
      </c>
    </row>
    <row r="86" spans="2:61" x14ac:dyDescent="0.25">
      <c r="B86" s="2">
        <v>40969</v>
      </c>
      <c r="C86">
        <v>505</v>
      </c>
      <c r="D86">
        <v>600</v>
      </c>
      <c r="E86">
        <v>469</v>
      </c>
      <c r="F86">
        <v>600</v>
      </c>
      <c r="G86">
        <v>540</v>
      </c>
      <c r="H86">
        <v>648</v>
      </c>
      <c r="I86">
        <v>483</v>
      </c>
      <c r="J86">
        <v>621</v>
      </c>
      <c r="K86">
        <v>636</v>
      </c>
      <c r="L86">
        <v>585</v>
      </c>
      <c r="M86">
        <v>600</v>
      </c>
      <c r="N86">
        <v>655</v>
      </c>
      <c r="O86">
        <v>835</v>
      </c>
      <c r="P86">
        <v>510</v>
      </c>
      <c r="Q86">
        <v>480</v>
      </c>
      <c r="R86">
        <v>375</v>
      </c>
      <c r="S86">
        <v>558</v>
      </c>
      <c r="T86">
        <v>312</v>
      </c>
      <c r="U86">
        <v>609</v>
      </c>
      <c r="V86">
        <v>531</v>
      </c>
      <c r="W86">
        <v>450</v>
      </c>
      <c r="X86">
        <v>507</v>
      </c>
      <c r="Y86">
        <v>635</v>
      </c>
      <c r="Z86">
        <v>683</v>
      </c>
      <c r="AA86">
        <v>430</v>
      </c>
      <c r="AB86">
        <v>480</v>
      </c>
      <c r="AC86">
        <v>540</v>
      </c>
      <c r="AD86">
        <v>460</v>
      </c>
      <c r="AE86">
        <v>598</v>
      </c>
      <c r="AF86">
        <v>375</v>
      </c>
      <c r="AG86">
        <v>540</v>
      </c>
      <c r="AH86">
        <v>300</v>
      </c>
      <c r="AI86">
        <v>356</v>
      </c>
      <c r="AJ86">
        <v>300</v>
      </c>
      <c r="AK86">
        <v>263</v>
      </c>
      <c r="AL86">
        <v>266</v>
      </c>
      <c r="AM86">
        <v>324</v>
      </c>
      <c r="AN86">
        <v>313</v>
      </c>
      <c r="AO86">
        <v>331</v>
      </c>
      <c r="AP86">
        <v>475</v>
      </c>
      <c r="AQ86">
        <v>302</v>
      </c>
      <c r="AR86">
        <v>289</v>
      </c>
      <c r="AS86">
        <v>588</v>
      </c>
      <c r="AT86">
        <v>488</v>
      </c>
      <c r="AU86">
        <v>515</v>
      </c>
      <c r="AV86" t="s">
        <v>21</v>
      </c>
      <c r="AW86">
        <v>271</v>
      </c>
      <c r="AX86">
        <v>325</v>
      </c>
      <c r="AY86">
        <v>277</v>
      </c>
      <c r="AZ86">
        <v>350</v>
      </c>
      <c r="BA86">
        <v>325</v>
      </c>
      <c r="BB86">
        <v>280</v>
      </c>
      <c r="BC86">
        <v>335</v>
      </c>
      <c r="BD86">
        <v>285</v>
      </c>
      <c r="BE86">
        <v>288</v>
      </c>
      <c r="BF86">
        <v>355</v>
      </c>
      <c r="BG86">
        <v>491</v>
      </c>
      <c r="BH86">
        <v>272</v>
      </c>
      <c r="BI86">
        <v>470</v>
      </c>
    </row>
    <row r="87" spans="2:61" x14ac:dyDescent="0.25">
      <c r="B87" s="2">
        <v>41061</v>
      </c>
      <c r="C87">
        <v>520</v>
      </c>
      <c r="D87">
        <v>595</v>
      </c>
      <c r="E87">
        <v>470</v>
      </c>
      <c r="F87">
        <v>595</v>
      </c>
      <c r="G87">
        <v>540</v>
      </c>
      <c r="H87">
        <v>655</v>
      </c>
      <c r="I87">
        <v>505</v>
      </c>
      <c r="J87">
        <v>665</v>
      </c>
      <c r="K87">
        <v>666</v>
      </c>
      <c r="L87">
        <v>595</v>
      </c>
      <c r="M87">
        <v>599</v>
      </c>
      <c r="N87">
        <v>663</v>
      </c>
      <c r="O87">
        <v>755</v>
      </c>
      <c r="P87">
        <v>515</v>
      </c>
      <c r="Q87">
        <v>480</v>
      </c>
      <c r="R87">
        <v>398</v>
      </c>
      <c r="S87">
        <v>595</v>
      </c>
      <c r="T87">
        <v>379</v>
      </c>
      <c r="U87">
        <v>595</v>
      </c>
      <c r="V87">
        <v>665</v>
      </c>
      <c r="W87">
        <v>473</v>
      </c>
      <c r="X87">
        <v>490</v>
      </c>
      <c r="Y87">
        <v>633</v>
      </c>
      <c r="Z87">
        <v>735</v>
      </c>
      <c r="AA87">
        <v>450</v>
      </c>
      <c r="AB87">
        <v>493</v>
      </c>
      <c r="AC87">
        <v>558</v>
      </c>
      <c r="AD87">
        <v>455</v>
      </c>
      <c r="AE87">
        <v>585</v>
      </c>
      <c r="AF87">
        <v>403</v>
      </c>
      <c r="AG87">
        <v>535</v>
      </c>
      <c r="AH87">
        <v>364</v>
      </c>
      <c r="AI87">
        <v>535</v>
      </c>
      <c r="AJ87">
        <v>340</v>
      </c>
      <c r="AK87">
        <v>265</v>
      </c>
      <c r="AL87">
        <v>281</v>
      </c>
      <c r="AM87">
        <v>309</v>
      </c>
      <c r="AN87">
        <v>317</v>
      </c>
      <c r="AO87">
        <v>375</v>
      </c>
      <c r="AP87">
        <v>504</v>
      </c>
      <c r="AQ87">
        <v>276</v>
      </c>
      <c r="AR87">
        <v>289</v>
      </c>
      <c r="AS87">
        <v>625</v>
      </c>
      <c r="AT87">
        <v>483</v>
      </c>
      <c r="AU87">
        <v>528</v>
      </c>
      <c r="AV87" t="s">
        <v>21</v>
      </c>
      <c r="AW87">
        <v>265</v>
      </c>
      <c r="AX87">
        <v>340</v>
      </c>
      <c r="AY87">
        <v>280</v>
      </c>
      <c r="AZ87">
        <v>356</v>
      </c>
      <c r="BA87">
        <v>340</v>
      </c>
      <c r="BB87">
        <v>275</v>
      </c>
      <c r="BC87">
        <v>360</v>
      </c>
      <c r="BD87">
        <v>300</v>
      </c>
      <c r="BE87">
        <v>314</v>
      </c>
      <c r="BF87">
        <v>361</v>
      </c>
      <c r="BG87">
        <v>508</v>
      </c>
      <c r="BH87">
        <v>274</v>
      </c>
      <c r="BI87">
        <v>494</v>
      </c>
    </row>
    <row r="88" spans="2:61" x14ac:dyDescent="0.25">
      <c r="B88" s="2">
        <v>41153</v>
      </c>
      <c r="C88">
        <v>490</v>
      </c>
      <c r="D88">
        <v>618</v>
      </c>
      <c r="E88">
        <v>495</v>
      </c>
      <c r="F88">
        <v>600</v>
      </c>
      <c r="G88">
        <v>523</v>
      </c>
      <c r="H88">
        <v>635</v>
      </c>
      <c r="I88">
        <v>508</v>
      </c>
      <c r="J88">
        <v>660</v>
      </c>
      <c r="K88">
        <v>675</v>
      </c>
      <c r="L88">
        <v>610</v>
      </c>
      <c r="M88">
        <v>625</v>
      </c>
      <c r="N88">
        <v>640</v>
      </c>
      <c r="O88">
        <v>750</v>
      </c>
      <c r="P88">
        <v>475</v>
      </c>
      <c r="Q88">
        <v>425</v>
      </c>
      <c r="R88">
        <v>365</v>
      </c>
      <c r="S88">
        <v>534</v>
      </c>
      <c r="T88">
        <v>330</v>
      </c>
      <c r="U88">
        <v>616</v>
      </c>
      <c r="V88">
        <v>506</v>
      </c>
      <c r="W88">
        <v>420</v>
      </c>
      <c r="X88">
        <v>486</v>
      </c>
      <c r="Y88">
        <v>665</v>
      </c>
      <c r="Z88">
        <v>693</v>
      </c>
      <c r="AA88">
        <v>389</v>
      </c>
      <c r="AB88">
        <v>470</v>
      </c>
      <c r="AC88">
        <v>520</v>
      </c>
      <c r="AD88">
        <v>456</v>
      </c>
      <c r="AE88">
        <v>635</v>
      </c>
      <c r="AF88">
        <v>365</v>
      </c>
      <c r="AG88">
        <v>519</v>
      </c>
      <c r="AH88">
        <v>312</v>
      </c>
      <c r="AI88">
        <v>318</v>
      </c>
      <c r="AJ88">
        <v>328</v>
      </c>
      <c r="AK88">
        <v>260</v>
      </c>
      <c r="AL88">
        <v>279</v>
      </c>
      <c r="AM88">
        <v>296</v>
      </c>
      <c r="AN88">
        <v>297</v>
      </c>
      <c r="AO88">
        <v>332</v>
      </c>
      <c r="AP88">
        <v>470</v>
      </c>
      <c r="AQ88">
        <v>280</v>
      </c>
      <c r="AR88">
        <v>290</v>
      </c>
      <c r="AS88">
        <v>640</v>
      </c>
      <c r="AT88">
        <v>470</v>
      </c>
      <c r="AU88">
        <v>525</v>
      </c>
      <c r="AV88" t="s">
        <v>21</v>
      </c>
      <c r="AW88">
        <v>255</v>
      </c>
      <c r="AX88">
        <v>325</v>
      </c>
      <c r="AY88">
        <v>245</v>
      </c>
      <c r="AZ88">
        <v>360</v>
      </c>
      <c r="BA88">
        <v>320</v>
      </c>
      <c r="BB88">
        <v>292</v>
      </c>
      <c r="BC88">
        <v>350</v>
      </c>
      <c r="BD88">
        <v>271</v>
      </c>
      <c r="BE88">
        <v>308</v>
      </c>
      <c r="BF88">
        <v>336</v>
      </c>
      <c r="BG88">
        <v>475</v>
      </c>
      <c r="BH88">
        <v>255</v>
      </c>
      <c r="BI88">
        <v>452</v>
      </c>
    </row>
    <row r="89" spans="2:61" x14ac:dyDescent="0.25">
      <c r="B89" s="2">
        <v>41244</v>
      </c>
      <c r="C89">
        <v>528</v>
      </c>
      <c r="D89">
        <v>620</v>
      </c>
      <c r="E89">
        <v>496</v>
      </c>
      <c r="F89">
        <v>600</v>
      </c>
      <c r="G89">
        <v>540</v>
      </c>
      <c r="H89">
        <v>650</v>
      </c>
      <c r="I89">
        <v>510</v>
      </c>
      <c r="J89">
        <v>630</v>
      </c>
      <c r="K89">
        <v>650</v>
      </c>
      <c r="L89">
        <v>610</v>
      </c>
      <c r="M89">
        <v>631</v>
      </c>
      <c r="N89">
        <v>685</v>
      </c>
      <c r="O89">
        <v>856</v>
      </c>
      <c r="P89">
        <v>520</v>
      </c>
      <c r="Q89">
        <v>477</v>
      </c>
      <c r="R89">
        <v>386</v>
      </c>
      <c r="S89">
        <v>613</v>
      </c>
      <c r="T89">
        <v>385</v>
      </c>
      <c r="U89">
        <v>610</v>
      </c>
      <c r="V89">
        <v>600</v>
      </c>
      <c r="W89">
        <v>474</v>
      </c>
      <c r="X89">
        <v>500</v>
      </c>
      <c r="Y89">
        <v>670</v>
      </c>
      <c r="Z89">
        <v>700</v>
      </c>
      <c r="AA89">
        <v>445</v>
      </c>
      <c r="AB89">
        <v>520</v>
      </c>
      <c r="AC89">
        <v>545</v>
      </c>
      <c r="AD89">
        <v>460</v>
      </c>
      <c r="AE89">
        <v>634</v>
      </c>
      <c r="AF89">
        <v>395</v>
      </c>
      <c r="AG89">
        <v>546</v>
      </c>
      <c r="AH89">
        <v>348</v>
      </c>
      <c r="AI89">
        <v>312</v>
      </c>
      <c r="AJ89">
        <v>345</v>
      </c>
      <c r="AK89">
        <v>270</v>
      </c>
      <c r="AL89">
        <v>280</v>
      </c>
      <c r="AM89">
        <v>327</v>
      </c>
      <c r="AN89">
        <v>297</v>
      </c>
      <c r="AO89">
        <v>350</v>
      </c>
      <c r="AP89">
        <v>495</v>
      </c>
      <c r="AQ89">
        <v>322</v>
      </c>
      <c r="AR89">
        <v>304</v>
      </c>
      <c r="AS89">
        <v>564</v>
      </c>
      <c r="AT89">
        <v>505</v>
      </c>
      <c r="AU89">
        <v>530</v>
      </c>
      <c r="AV89" t="s">
        <v>21</v>
      </c>
      <c r="AW89">
        <v>260</v>
      </c>
      <c r="AX89">
        <v>340</v>
      </c>
      <c r="AY89">
        <v>249</v>
      </c>
      <c r="AZ89">
        <v>380</v>
      </c>
      <c r="BA89">
        <v>310</v>
      </c>
      <c r="BB89">
        <v>265</v>
      </c>
      <c r="BC89">
        <v>359</v>
      </c>
      <c r="BD89">
        <v>310</v>
      </c>
      <c r="BE89">
        <v>308</v>
      </c>
      <c r="BF89">
        <v>369</v>
      </c>
      <c r="BG89">
        <v>515</v>
      </c>
      <c r="BH89">
        <v>275</v>
      </c>
      <c r="BI89">
        <v>495</v>
      </c>
    </row>
    <row r="90" spans="2:61" x14ac:dyDescent="0.25">
      <c r="B90" s="2">
        <v>41334</v>
      </c>
      <c r="C90">
        <v>520</v>
      </c>
      <c r="D90">
        <v>625</v>
      </c>
      <c r="E90">
        <v>475</v>
      </c>
      <c r="F90">
        <v>593</v>
      </c>
      <c r="G90">
        <v>579</v>
      </c>
      <c r="H90">
        <v>700</v>
      </c>
      <c r="I90">
        <v>490</v>
      </c>
      <c r="J90">
        <v>700</v>
      </c>
      <c r="K90">
        <v>708</v>
      </c>
      <c r="L90">
        <v>630</v>
      </c>
      <c r="M90">
        <v>616</v>
      </c>
      <c r="N90">
        <v>675</v>
      </c>
      <c r="O90">
        <v>795</v>
      </c>
      <c r="P90">
        <v>515</v>
      </c>
      <c r="Q90">
        <v>493</v>
      </c>
      <c r="R90">
        <v>366</v>
      </c>
      <c r="S90">
        <v>573</v>
      </c>
      <c r="T90">
        <v>410</v>
      </c>
      <c r="U90">
        <v>596</v>
      </c>
      <c r="V90">
        <v>900</v>
      </c>
      <c r="W90">
        <v>488</v>
      </c>
      <c r="X90">
        <v>500</v>
      </c>
      <c r="Y90">
        <v>644</v>
      </c>
      <c r="Z90">
        <v>705</v>
      </c>
      <c r="AA90">
        <v>420</v>
      </c>
      <c r="AB90">
        <v>516</v>
      </c>
      <c r="AC90">
        <v>545</v>
      </c>
      <c r="AD90">
        <v>465</v>
      </c>
      <c r="AE90">
        <v>674</v>
      </c>
      <c r="AF90">
        <v>405</v>
      </c>
      <c r="AG90">
        <v>550</v>
      </c>
      <c r="AH90">
        <v>330</v>
      </c>
      <c r="AI90">
        <v>368</v>
      </c>
      <c r="AJ90">
        <v>395</v>
      </c>
      <c r="AK90">
        <v>270</v>
      </c>
      <c r="AL90">
        <v>284</v>
      </c>
      <c r="AM90">
        <v>320</v>
      </c>
      <c r="AN90">
        <v>314</v>
      </c>
      <c r="AO90">
        <v>359</v>
      </c>
      <c r="AP90">
        <v>510</v>
      </c>
      <c r="AQ90">
        <v>322</v>
      </c>
      <c r="AR90">
        <v>300</v>
      </c>
      <c r="AS90">
        <v>571</v>
      </c>
      <c r="AT90">
        <v>490</v>
      </c>
      <c r="AU90">
        <v>525</v>
      </c>
      <c r="AV90" t="s">
        <v>21</v>
      </c>
      <c r="AW90">
        <v>262</v>
      </c>
      <c r="AX90">
        <v>340</v>
      </c>
      <c r="AY90">
        <v>251</v>
      </c>
      <c r="AZ90">
        <v>380</v>
      </c>
      <c r="BA90">
        <v>328</v>
      </c>
      <c r="BB90">
        <v>286</v>
      </c>
      <c r="BC90">
        <v>350</v>
      </c>
      <c r="BD90">
        <v>297</v>
      </c>
      <c r="BE90">
        <v>320</v>
      </c>
      <c r="BF90">
        <v>370</v>
      </c>
      <c r="BG90">
        <v>505</v>
      </c>
      <c r="BH90">
        <v>258</v>
      </c>
      <c r="BI90">
        <v>485</v>
      </c>
    </row>
    <row r="91" spans="2:61" x14ac:dyDescent="0.25">
      <c r="B91" s="2">
        <v>41426</v>
      </c>
      <c r="C91">
        <v>545</v>
      </c>
      <c r="D91">
        <v>649</v>
      </c>
      <c r="E91">
        <v>502</v>
      </c>
      <c r="F91">
        <v>600</v>
      </c>
      <c r="G91">
        <v>612</v>
      </c>
      <c r="H91">
        <v>746</v>
      </c>
      <c r="I91">
        <v>520</v>
      </c>
      <c r="J91">
        <v>734</v>
      </c>
      <c r="K91">
        <v>710</v>
      </c>
      <c r="L91">
        <v>630</v>
      </c>
      <c r="M91">
        <v>653</v>
      </c>
      <c r="N91">
        <v>706</v>
      </c>
      <c r="O91">
        <v>812</v>
      </c>
      <c r="P91">
        <v>536</v>
      </c>
      <c r="Q91">
        <v>515</v>
      </c>
      <c r="R91">
        <v>393</v>
      </c>
      <c r="S91">
        <v>649</v>
      </c>
      <c r="T91">
        <v>440</v>
      </c>
      <c r="U91">
        <v>637</v>
      </c>
      <c r="V91">
        <v>655</v>
      </c>
      <c r="W91">
        <v>523</v>
      </c>
      <c r="X91">
        <v>537</v>
      </c>
      <c r="Y91">
        <v>666</v>
      </c>
      <c r="Z91">
        <v>773</v>
      </c>
      <c r="AA91">
        <v>460</v>
      </c>
      <c r="AB91">
        <v>546</v>
      </c>
      <c r="AC91">
        <v>590</v>
      </c>
      <c r="AD91">
        <v>485</v>
      </c>
      <c r="AE91">
        <v>670</v>
      </c>
      <c r="AF91">
        <v>410</v>
      </c>
      <c r="AG91">
        <v>555</v>
      </c>
      <c r="AH91">
        <v>357</v>
      </c>
      <c r="AI91">
        <v>335</v>
      </c>
      <c r="AJ91">
        <v>395</v>
      </c>
      <c r="AK91">
        <v>285</v>
      </c>
      <c r="AL91">
        <v>310</v>
      </c>
      <c r="AM91">
        <v>347</v>
      </c>
      <c r="AN91">
        <v>333</v>
      </c>
      <c r="AO91">
        <v>360</v>
      </c>
      <c r="AP91">
        <v>518</v>
      </c>
      <c r="AQ91">
        <v>336</v>
      </c>
      <c r="AR91">
        <v>310</v>
      </c>
      <c r="AS91">
        <v>673</v>
      </c>
      <c r="AT91">
        <v>505</v>
      </c>
      <c r="AU91">
        <v>547</v>
      </c>
      <c r="AV91">
        <v>299</v>
      </c>
      <c r="AW91">
        <v>275</v>
      </c>
      <c r="AX91">
        <v>340</v>
      </c>
      <c r="AY91">
        <v>224</v>
      </c>
      <c r="AZ91">
        <v>404</v>
      </c>
      <c r="BA91">
        <v>340</v>
      </c>
      <c r="BB91">
        <v>265</v>
      </c>
      <c r="BC91">
        <v>340</v>
      </c>
      <c r="BD91">
        <v>310</v>
      </c>
      <c r="BE91">
        <v>338</v>
      </c>
      <c r="BF91">
        <v>365</v>
      </c>
      <c r="BG91">
        <v>530</v>
      </c>
      <c r="BH91">
        <v>271</v>
      </c>
      <c r="BI91">
        <v>515</v>
      </c>
    </row>
    <row r="92" spans="2:61" x14ac:dyDescent="0.25">
      <c r="B92" s="2">
        <v>41518</v>
      </c>
      <c r="C92">
        <v>563</v>
      </c>
      <c r="D92">
        <v>670</v>
      </c>
      <c r="E92">
        <v>527</v>
      </c>
      <c r="F92">
        <v>609</v>
      </c>
      <c r="G92">
        <v>580</v>
      </c>
      <c r="H92">
        <v>760</v>
      </c>
      <c r="I92">
        <v>600</v>
      </c>
      <c r="J92">
        <v>650</v>
      </c>
      <c r="K92">
        <v>725</v>
      </c>
      <c r="L92">
        <v>648</v>
      </c>
      <c r="M92">
        <v>688</v>
      </c>
      <c r="N92">
        <v>715</v>
      </c>
      <c r="O92">
        <v>858</v>
      </c>
      <c r="P92">
        <v>555</v>
      </c>
      <c r="Q92">
        <v>528</v>
      </c>
      <c r="R92">
        <v>408</v>
      </c>
      <c r="S92">
        <v>585</v>
      </c>
      <c r="T92">
        <v>472</v>
      </c>
      <c r="U92">
        <v>650</v>
      </c>
      <c r="V92">
        <v>780</v>
      </c>
      <c r="W92">
        <v>541</v>
      </c>
      <c r="X92">
        <v>559</v>
      </c>
      <c r="Y92">
        <v>690</v>
      </c>
      <c r="Z92">
        <v>808</v>
      </c>
      <c r="AA92">
        <v>480</v>
      </c>
      <c r="AB92">
        <v>550</v>
      </c>
      <c r="AC92">
        <v>597</v>
      </c>
      <c r="AD92">
        <v>490</v>
      </c>
      <c r="AE92">
        <v>710</v>
      </c>
      <c r="AF92">
        <v>416</v>
      </c>
      <c r="AG92">
        <v>555</v>
      </c>
      <c r="AH92">
        <v>380</v>
      </c>
      <c r="AI92">
        <v>304</v>
      </c>
      <c r="AJ92">
        <v>359</v>
      </c>
      <c r="AK92">
        <v>312</v>
      </c>
      <c r="AL92">
        <v>306</v>
      </c>
      <c r="AM92">
        <v>337</v>
      </c>
      <c r="AN92">
        <v>330</v>
      </c>
      <c r="AO92">
        <v>395</v>
      </c>
      <c r="AP92">
        <v>545</v>
      </c>
      <c r="AQ92">
        <v>350</v>
      </c>
      <c r="AR92">
        <v>324</v>
      </c>
      <c r="AS92">
        <v>665</v>
      </c>
      <c r="AT92">
        <v>515</v>
      </c>
      <c r="AU92">
        <v>569</v>
      </c>
      <c r="AV92">
        <v>302</v>
      </c>
      <c r="AW92">
        <v>280</v>
      </c>
      <c r="AX92">
        <v>360</v>
      </c>
      <c r="AY92">
        <v>280</v>
      </c>
      <c r="AZ92">
        <v>395</v>
      </c>
      <c r="BA92">
        <v>365</v>
      </c>
      <c r="BB92">
        <v>295</v>
      </c>
      <c r="BC92">
        <v>360</v>
      </c>
      <c r="BD92">
        <v>305</v>
      </c>
      <c r="BE92">
        <v>325</v>
      </c>
      <c r="BF92">
        <v>380</v>
      </c>
      <c r="BG92">
        <v>550</v>
      </c>
      <c r="BH92">
        <v>270</v>
      </c>
      <c r="BI92">
        <v>539</v>
      </c>
    </row>
    <row r="93" spans="2:61" x14ac:dyDescent="0.25">
      <c r="B93" s="2">
        <v>41609</v>
      </c>
      <c r="C93">
        <v>585</v>
      </c>
      <c r="D93">
        <v>690</v>
      </c>
      <c r="E93">
        <v>565</v>
      </c>
      <c r="F93">
        <v>643</v>
      </c>
      <c r="G93">
        <v>650</v>
      </c>
      <c r="H93">
        <v>780</v>
      </c>
      <c r="I93">
        <v>567</v>
      </c>
      <c r="J93">
        <v>813</v>
      </c>
      <c r="K93">
        <v>809</v>
      </c>
      <c r="L93">
        <v>655</v>
      </c>
      <c r="M93">
        <v>695</v>
      </c>
      <c r="N93">
        <v>744</v>
      </c>
      <c r="O93">
        <v>885</v>
      </c>
      <c r="P93">
        <v>585</v>
      </c>
      <c r="Q93">
        <v>535</v>
      </c>
      <c r="R93">
        <v>451</v>
      </c>
      <c r="S93">
        <v>650</v>
      </c>
      <c r="T93">
        <v>460</v>
      </c>
      <c r="U93">
        <v>665</v>
      </c>
      <c r="V93">
        <v>740</v>
      </c>
      <c r="W93">
        <v>585</v>
      </c>
      <c r="X93">
        <v>600</v>
      </c>
      <c r="Y93">
        <v>694</v>
      </c>
      <c r="Z93">
        <v>853</v>
      </c>
      <c r="AA93">
        <v>480</v>
      </c>
      <c r="AB93">
        <v>575</v>
      </c>
      <c r="AC93">
        <v>640</v>
      </c>
      <c r="AD93">
        <v>508</v>
      </c>
      <c r="AE93">
        <v>800</v>
      </c>
      <c r="AF93">
        <v>447</v>
      </c>
      <c r="AG93">
        <v>575</v>
      </c>
      <c r="AH93">
        <v>385</v>
      </c>
      <c r="AI93">
        <v>341</v>
      </c>
      <c r="AJ93">
        <v>352</v>
      </c>
      <c r="AK93">
        <v>310</v>
      </c>
      <c r="AL93">
        <v>323</v>
      </c>
      <c r="AM93">
        <v>376</v>
      </c>
      <c r="AN93">
        <v>336</v>
      </c>
      <c r="AO93">
        <v>392</v>
      </c>
      <c r="AP93">
        <v>562</v>
      </c>
      <c r="AQ93">
        <v>367</v>
      </c>
      <c r="AR93">
        <v>330</v>
      </c>
      <c r="AS93">
        <v>620</v>
      </c>
      <c r="AT93">
        <v>548</v>
      </c>
      <c r="AU93">
        <v>575</v>
      </c>
      <c r="AV93">
        <v>345</v>
      </c>
      <c r="AW93">
        <v>285</v>
      </c>
      <c r="AX93">
        <v>360</v>
      </c>
      <c r="AY93">
        <v>258</v>
      </c>
      <c r="AZ93">
        <v>396</v>
      </c>
      <c r="BA93">
        <v>355</v>
      </c>
      <c r="BB93">
        <v>288</v>
      </c>
      <c r="BC93">
        <v>375</v>
      </c>
      <c r="BD93">
        <v>290</v>
      </c>
      <c r="BE93">
        <v>359</v>
      </c>
      <c r="BF93">
        <v>382</v>
      </c>
      <c r="BG93">
        <v>575</v>
      </c>
      <c r="BH93">
        <v>280</v>
      </c>
      <c r="BI93">
        <v>570</v>
      </c>
    </row>
    <row r="94" spans="2:61" x14ac:dyDescent="0.25">
      <c r="B94" s="2">
        <v>41699</v>
      </c>
      <c r="C94">
        <v>637</v>
      </c>
      <c r="D94">
        <v>710</v>
      </c>
      <c r="E94">
        <v>596</v>
      </c>
      <c r="F94">
        <v>633</v>
      </c>
      <c r="G94">
        <v>700</v>
      </c>
      <c r="H94">
        <v>683</v>
      </c>
      <c r="I94">
        <v>643</v>
      </c>
      <c r="J94">
        <v>700</v>
      </c>
      <c r="K94">
        <v>820</v>
      </c>
      <c r="L94">
        <v>700</v>
      </c>
      <c r="M94">
        <v>700</v>
      </c>
      <c r="N94">
        <v>800</v>
      </c>
      <c r="O94">
        <v>924</v>
      </c>
      <c r="P94">
        <v>650</v>
      </c>
      <c r="Q94">
        <v>524</v>
      </c>
      <c r="R94">
        <v>437</v>
      </c>
      <c r="S94">
        <v>600</v>
      </c>
      <c r="T94">
        <v>450</v>
      </c>
      <c r="U94">
        <v>700</v>
      </c>
      <c r="V94">
        <v>735</v>
      </c>
      <c r="W94">
        <v>655</v>
      </c>
      <c r="X94">
        <v>629</v>
      </c>
      <c r="Y94">
        <v>707</v>
      </c>
      <c r="Z94">
        <v>860</v>
      </c>
      <c r="AA94">
        <v>532</v>
      </c>
      <c r="AB94">
        <v>755</v>
      </c>
      <c r="AC94">
        <v>650</v>
      </c>
      <c r="AD94">
        <v>564</v>
      </c>
      <c r="AE94">
        <v>745</v>
      </c>
      <c r="AF94">
        <v>440</v>
      </c>
      <c r="AG94">
        <v>598</v>
      </c>
      <c r="AH94">
        <v>410</v>
      </c>
      <c r="AI94">
        <v>323</v>
      </c>
      <c r="AJ94">
        <v>386</v>
      </c>
      <c r="AK94">
        <v>329</v>
      </c>
      <c r="AL94">
        <v>325</v>
      </c>
      <c r="AM94">
        <v>373</v>
      </c>
      <c r="AN94">
        <v>329</v>
      </c>
      <c r="AO94">
        <v>390</v>
      </c>
      <c r="AP94">
        <v>585</v>
      </c>
      <c r="AQ94">
        <v>384</v>
      </c>
      <c r="AR94">
        <v>345</v>
      </c>
      <c r="AS94">
        <v>657</v>
      </c>
      <c r="AT94">
        <v>581</v>
      </c>
      <c r="AU94">
        <v>592</v>
      </c>
      <c r="AV94">
        <v>288</v>
      </c>
      <c r="AW94">
        <v>309</v>
      </c>
      <c r="AX94">
        <v>375</v>
      </c>
      <c r="AY94">
        <v>230</v>
      </c>
      <c r="AZ94">
        <v>460</v>
      </c>
      <c r="BA94">
        <v>350</v>
      </c>
      <c r="BB94">
        <v>305</v>
      </c>
      <c r="BC94">
        <v>410</v>
      </c>
      <c r="BD94">
        <v>343</v>
      </c>
      <c r="BE94">
        <v>318</v>
      </c>
      <c r="BF94">
        <v>400</v>
      </c>
      <c r="BG94">
        <v>623</v>
      </c>
      <c r="BH94">
        <v>279</v>
      </c>
      <c r="BI94">
        <v>610</v>
      </c>
    </row>
    <row r="95" spans="2:61" x14ac:dyDescent="0.25">
      <c r="B95" s="2">
        <v>41791</v>
      </c>
      <c r="C95">
        <v>625</v>
      </c>
      <c r="D95">
        <v>735</v>
      </c>
      <c r="E95">
        <v>580</v>
      </c>
      <c r="F95">
        <v>600</v>
      </c>
      <c r="G95">
        <v>715</v>
      </c>
      <c r="H95">
        <v>765</v>
      </c>
      <c r="I95">
        <v>609</v>
      </c>
      <c r="J95">
        <v>815</v>
      </c>
      <c r="K95">
        <v>767</v>
      </c>
      <c r="L95">
        <v>735</v>
      </c>
      <c r="M95">
        <v>740</v>
      </c>
      <c r="N95">
        <v>801</v>
      </c>
      <c r="O95">
        <v>960</v>
      </c>
      <c r="P95">
        <v>635</v>
      </c>
      <c r="Q95">
        <v>550</v>
      </c>
      <c r="R95">
        <v>460</v>
      </c>
      <c r="S95">
        <v>635</v>
      </c>
      <c r="T95">
        <v>548</v>
      </c>
      <c r="U95">
        <v>725</v>
      </c>
      <c r="V95">
        <v>950</v>
      </c>
      <c r="W95">
        <v>650</v>
      </c>
      <c r="X95">
        <v>630</v>
      </c>
      <c r="Y95">
        <v>732</v>
      </c>
      <c r="Z95">
        <v>895</v>
      </c>
      <c r="AA95">
        <v>550</v>
      </c>
      <c r="AB95">
        <v>698</v>
      </c>
      <c r="AC95">
        <v>650</v>
      </c>
      <c r="AD95">
        <v>585</v>
      </c>
      <c r="AE95">
        <v>781</v>
      </c>
      <c r="AF95">
        <v>450</v>
      </c>
      <c r="AG95">
        <v>645</v>
      </c>
      <c r="AH95">
        <v>405</v>
      </c>
      <c r="AI95">
        <v>330</v>
      </c>
      <c r="AJ95">
        <v>399</v>
      </c>
      <c r="AK95">
        <v>350</v>
      </c>
      <c r="AL95">
        <v>340</v>
      </c>
      <c r="AM95">
        <v>362</v>
      </c>
      <c r="AN95">
        <v>375</v>
      </c>
      <c r="AO95">
        <v>429</v>
      </c>
      <c r="AP95">
        <v>615</v>
      </c>
      <c r="AQ95">
        <v>375</v>
      </c>
      <c r="AR95">
        <v>365</v>
      </c>
      <c r="AS95">
        <v>663</v>
      </c>
      <c r="AT95">
        <v>572</v>
      </c>
      <c r="AU95">
        <v>600</v>
      </c>
      <c r="AV95">
        <v>338</v>
      </c>
      <c r="AW95">
        <v>330</v>
      </c>
      <c r="AX95">
        <v>391</v>
      </c>
      <c r="AY95">
        <v>296</v>
      </c>
      <c r="AZ95">
        <v>426</v>
      </c>
      <c r="BA95">
        <v>375</v>
      </c>
      <c r="BB95">
        <v>285</v>
      </c>
      <c r="BC95">
        <v>430</v>
      </c>
      <c r="BD95">
        <v>354</v>
      </c>
      <c r="BE95">
        <v>338</v>
      </c>
      <c r="BF95">
        <v>410</v>
      </c>
      <c r="BG95">
        <v>610</v>
      </c>
      <c r="BH95">
        <v>275</v>
      </c>
      <c r="BI95">
        <v>590</v>
      </c>
    </row>
    <row r="96" spans="2:61" x14ac:dyDescent="0.25">
      <c r="B96" s="2">
        <v>41883</v>
      </c>
      <c r="C96">
        <v>648</v>
      </c>
      <c r="D96">
        <v>760</v>
      </c>
      <c r="E96">
        <v>638</v>
      </c>
      <c r="F96">
        <v>730</v>
      </c>
      <c r="G96">
        <v>645</v>
      </c>
      <c r="H96">
        <v>794</v>
      </c>
      <c r="I96">
        <v>660</v>
      </c>
      <c r="J96">
        <v>738</v>
      </c>
      <c r="K96">
        <v>851</v>
      </c>
      <c r="L96">
        <v>740</v>
      </c>
      <c r="M96">
        <v>763</v>
      </c>
      <c r="N96">
        <v>821</v>
      </c>
      <c r="O96">
        <v>970</v>
      </c>
      <c r="P96">
        <v>660</v>
      </c>
      <c r="Q96">
        <v>590</v>
      </c>
      <c r="R96">
        <v>480</v>
      </c>
      <c r="S96">
        <v>679</v>
      </c>
      <c r="T96">
        <v>543</v>
      </c>
      <c r="U96">
        <v>735</v>
      </c>
      <c r="V96">
        <v>850</v>
      </c>
      <c r="W96">
        <v>710</v>
      </c>
      <c r="X96">
        <v>621</v>
      </c>
      <c r="Y96">
        <v>740</v>
      </c>
      <c r="Z96">
        <v>850</v>
      </c>
      <c r="AA96">
        <v>552</v>
      </c>
      <c r="AB96">
        <v>710</v>
      </c>
      <c r="AC96">
        <v>637</v>
      </c>
      <c r="AD96">
        <v>617</v>
      </c>
      <c r="AE96">
        <v>750</v>
      </c>
      <c r="AF96">
        <v>470</v>
      </c>
      <c r="AG96">
        <v>650</v>
      </c>
      <c r="AH96">
        <v>420</v>
      </c>
      <c r="AI96">
        <v>368</v>
      </c>
      <c r="AJ96">
        <v>399</v>
      </c>
      <c r="AK96">
        <v>370</v>
      </c>
      <c r="AL96">
        <v>383</v>
      </c>
      <c r="AM96">
        <v>389</v>
      </c>
      <c r="AN96">
        <v>380</v>
      </c>
      <c r="AO96">
        <v>451</v>
      </c>
      <c r="AP96">
        <v>641</v>
      </c>
      <c r="AQ96">
        <v>385</v>
      </c>
      <c r="AR96">
        <v>383</v>
      </c>
      <c r="AS96">
        <v>709</v>
      </c>
      <c r="AT96">
        <v>605</v>
      </c>
      <c r="AU96">
        <v>617</v>
      </c>
      <c r="AV96">
        <v>303</v>
      </c>
      <c r="AW96">
        <v>311</v>
      </c>
      <c r="AX96">
        <v>385</v>
      </c>
      <c r="AY96">
        <v>270</v>
      </c>
      <c r="AZ96">
        <v>443</v>
      </c>
      <c r="BA96">
        <v>369</v>
      </c>
      <c r="BB96">
        <v>305</v>
      </c>
      <c r="BC96">
        <v>423</v>
      </c>
      <c r="BD96">
        <v>337</v>
      </c>
      <c r="BE96">
        <v>365</v>
      </c>
      <c r="BF96">
        <v>419</v>
      </c>
      <c r="BG96">
        <v>640</v>
      </c>
      <c r="BH96">
        <v>275</v>
      </c>
      <c r="BI96">
        <v>618</v>
      </c>
    </row>
    <row r="97" spans="2:61" x14ac:dyDescent="0.25">
      <c r="B97" s="2">
        <v>41974</v>
      </c>
      <c r="C97">
        <v>645</v>
      </c>
      <c r="D97">
        <v>765</v>
      </c>
      <c r="E97">
        <v>678</v>
      </c>
      <c r="F97">
        <v>723</v>
      </c>
      <c r="G97">
        <v>705</v>
      </c>
      <c r="H97">
        <v>754</v>
      </c>
      <c r="I97">
        <v>640</v>
      </c>
      <c r="J97">
        <v>795</v>
      </c>
      <c r="K97">
        <v>802</v>
      </c>
      <c r="L97">
        <v>750</v>
      </c>
      <c r="M97">
        <v>780</v>
      </c>
      <c r="N97">
        <v>860</v>
      </c>
      <c r="O97">
        <v>1003</v>
      </c>
      <c r="P97">
        <v>650</v>
      </c>
      <c r="Q97">
        <v>590</v>
      </c>
      <c r="R97">
        <v>497</v>
      </c>
      <c r="S97">
        <v>702</v>
      </c>
      <c r="T97">
        <v>572</v>
      </c>
      <c r="U97">
        <v>788</v>
      </c>
      <c r="V97">
        <v>978</v>
      </c>
      <c r="W97">
        <v>550</v>
      </c>
      <c r="X97">
        <v>627</v>
      </c>
      <c r="Y97">
        <v>760</v>
      </c>
      <c r="Z97">
        <v>885</v>
      </c>
      <c r="AA97">
        <v>620</v>
      </c>
      <c r="AB97">
        <v>780</v>
      </c>
      <c r="AC97">
        <v>650</v>
      </c>
      <c r="AD97">
        <v>575</v>
      </c>
      <c r="AE97">
        <v>885</v>
      </c>
      <c r="AF97">
        <v>520</v>
      </c>
      <c r="AG97">
        <v>670</v>
      </c>
      <c r="AH97">
        <v>430</v>
      </c>
      <c r="AI97">
        <v>355</v>
      </c>
      <c r="AJ97">
        <v>405</v>
      </c>
      <c r="AK97">
        <v>365</v>
      </c>
      <c r="AL97">
        <v>398</v>
      </c>
      <c r="AM97">
        <v>395</v>
      </c>
      <c r="AN97">
        <v>410</v>
      </c>
      <c r="AO97">
        <v>485</v>
      </c>
      <c r="AP97">
        <v>647</v>
      </c>
      <c r="AQ97">
        <v>430</v>
      </c>
      <c r="AR97">
        <v>408</v>
      </c>
      <c r="AS97">
        <v>720</v>
      </c>
      <c r="AT97">
        <v>630</v>
      </c>
      <c r="AU97">
        <v>620</v>
      </c>
      <c r="AV97">
        <v>383</v>
      </c>
      <c r="AW97">
        <v>310</v>
      </c>
      <c r="AX97">
        <v>390</v>
      </c>
      <c r="AY97">
        <v>295</v>
      </c>
      <c r="AZ97">
        <v>428</v>
      </c>
      <c r="BA97">
        <v>360</v>
      </c>
      <c r="BB97">
        <v>290</v>
      </c>
      <c r="BC97">
        <v>420</v>
      </c>
      <c r="BD97">
        <v>361</v>
      </c>
      <c r="BE97">
        <v>355</v>
      </c>
      <c r="BF97">
        <v>440</v>
      </c>
      <c r="BG97">
        <v>630</v>
      </c>
      <c r="BH97">
        <v>285</v>
      </c>
      <c r="BI97">
        <v>607</v>
      </c>
    </row>
    <row r="98" spans="2:61" x14ac:dyDescent="0.25">
      <c r="B98" s="2">
        <v>42064</v>
      </c>
      <c r="C98">
        <v>660</v>
      </c>
      <c r="D98">
        <v>790</v>
      </c>
      <c r="E98">
        <v>669</v>
      </c>
      <c r="F98">
        <v>733</v>
      </c>
      <c r="G98">
        <v>650</v>
      </c>
      <c r="H98">
        <v>850</v>
      </c>
      <c r="I98">
        <v>684</v>
      </c>
      <c r="J98">
        <v>725</v>
      </c>
      <c r="K98">
        <v>875</v>
      </c>
      <c r="L98">
        <v>730</v>
      </c>
      <c r="M98">
        <v>780</v>
      </c>
      <c r="N98">
        <v>1050</v>
      </c>
      <c r="O98">
        <v>1110</v>
      </c>
      <c r="P98">
        <v>681</v>
      </c>
      <c r="Q98">
        <v>605</v>
      </c>
      <c r="R98">
        <v>516</v>
      </c>
      <c r="S98">
        <v>681</v>
      </c>
      <c r="T98">
        <v>540</v>
      </c>
      <c r="U98">
        <v>798</v>
      </c>
      <c r="V98">
        <v>759</v>
      </c>
      <c r="W98">
        <v>630</v>
      </c>
      <c r="X98">
        <v>680</v>
      </c>
      <c r="Y98">
        <v>760</v>
      </c>
      <c r="Z98">
        <v>885</v>
      </c>
      <c r="AA98">
        <v>644</v>
      </c>
      <c r="AB98">
        <v>865</v>
      </c>
      <c r="AC98">
        <v>660</v>
      </c>
      <c r="AD98">
        <v>610</v>
      </c>
      <c r="AE98">
        <v>800</v>
      </c>
      <c r="AF98">
        <v>515</v>
      </c>
      <c r="AG98">
        <v>690</v>
      </c>
      <c r="AH98">
        <v>460</v>
      </c>
      <c r="AI98">
        <v>319</v>
      </c>
      <c r="AJ98">
        <v>458</v>
      </c>
      <c r="AK98">
        <v>385</v>
      </c>
      <c r="AL98">
        <v>402</v>
      </c>
      <c r="AM98">
        <v>424</v>
      </c>
      <c r="AN98">
        <v>425</v>
      </c>
      <c r="AO98">
        <v>506</v>
      </c>
      <c r="AP98">
        <v>655</v>
      </c>
      <c r="AQ98">
        <v>440</v>
      </c>
      <c r="AR98">
        <v>410</v>
      </c>
      <c r="AS98">
        <v>730</v>
      </c>
      <c r="AT98">
        <v>637</v>
      </c>
      <c r="AU98">
        <v>650</v>
      </c>
      <c r="AV98">
        <v>400</v>
      </c>
      <c r="AW98">
        <v>325</v>
      </c>
      <c r="AX98">
        <v>395</v>
      </c>
      <c r="AY98">
        <v>240</v>
      </c>
      <c r="AZ98">
        <v>452</v>
      </c>
      <c r="BA98">
        <v>370</v>
      </c>
      <c r="BB98">
        <v>350</v>
      </c>
      <c r="BC98">
        <v>400</v>
      </c>
      <c r="BD98">
        <v>350</v>
      </c>
      <c r="BE98">
        <v>382</v>
      </c>
      <c r="BF98">
        <v>431</v>
      </c>
      <c r="BG98">
        <v>649</v>
      </c>
      <c r="BH98">
        <v>290</v>
      </c>
      <c r="BI98">
        <v>623</v>
      </c>
    </row>
    <row r="99" spans="2:61" x14ac:dyDescent="0.25">
      <c r="B99" s="2">
        <v>42156</v>
      </c>
      <c r="C99">
        <v>685</v>
      </c>
      <c r="D99">
        <v>832</v>
      </c>
      <c r="E99">
        <v>739</v>
      </c>
      <c r="F99">
        <v>792</v>
      </c>
      <c r="G99">
        <v>750</v>
      </c>
      <c r="H99">
        <v>890</v>
      </c>
      <c r="I99">
        <v>683</v>
      </c>
      <c r="J99">
        <v>835</v>
      </c>
      <c r="K99">
        <v>906</v>
      </c>
      <c r="L99">
        <v>831</v>
      </c>
      <c r="M99">
        <v>830</v>
      </c>
      <c r="N99">
        <v>900</v>
      </c>
      <c r="O99">
        <v>1228</v>
      </c>
      <c r="P99">
        <v>690</v>
      </c>
      <c r="Q99">
        <v>645</v>
      </c>
      <c r="R99">
        <v>550</v>
      </c>
      <c r="S99">
        <v>788</v>
      </c>
      <c r="T99">
        <v>586</v>
      </c>
      <c r="U99">
        <v>862</v>
      </c>
      <c r="V99">
        <v>890</v>
      </c>
      <c r="W99">
        <v>650</v>
      </c>
      <c r="X99">
        <v>689</v>
      </c>
      <c r="Y99">
        <v>795</v>
      </c>
      <c r="Z99">
        <v>1005</v>
      </c>
      <c r="AA99">
        <v>655</v>
      </c>
      <c r="AB99">
        <v>875</v>
      </c>
      <c r="AC99">
        <v>729</v>
      </c>
      <c r="AD99">
        <v>620</v>
      </c>
      <c r="AE99">
        <v>865</v>
      </c>
      <c r="AF99">
        <v>560</v>
      </c>
      <c r="AG99">
        <v>724</v>
      </c>
      <c r="AH99">
        <v>500</v>
      </c>
      <c r="AI99">
        <v>380</v>
      </c>
      <c r="AJ99">
        <v>461</v>
      </c>
      <c r="AK99">
        <v>430</v>
      </c>
      <c r="AL99">
        <v>432</v>
      </c>
      <c r="AM99">
        <v>435</v>
      </c>
      <c r="AN99">
        <v>475</v>
      </c>
      <c r="AO99">
        <v>576</v>
      </c>
      <c r="AP99">
        <v>684</v>
      </c>
      <c r="AQ99">
        <v>482</v>
      </c>
      <c r="AR99">
        <v>445</v>
      </c>
      <c r="AS99">
        <v>770</v>
      </c>
      <c r="AT99">
        <v>671</v>
      </c>
      <c r="AU99">
        <v>731</v>
      </c>
      <c r="AV99" t="s">
        <v>21</v>
      </c>
      <c r="AW99">
        <v>335</v>
      </c>
      <c r="AX99">
        <v>406</v>
      </c>
      <c r="AY99">
        <v>225</v>
      </c>
      <c r="AZ99">
        <v>460</v>
      </c>
      <c r="BA99">
        <v>387</v>
      </c>
      <c r="BB99">
        <v>300</v>
      </c>
      <c r="BC99">
        <v>430</v>
      </c>
      <c r="BD99">
        <v>359</v>
      </c>
      <c r="BE99">
        <v>400</v>
      </c>
      <c r="BF99">
        <v>442</v>
      </c>
      <c r="BG99">
        <v>665</v>
      </c>
      <c r="BH99">
        <v>290</v>
      </c>
      <c r="BI99">
        <v>640</v>
      </c>
    </row>
    <row r="100" spans="2:61" x14ac:dyDescent="0.25">
      <c r="B100" s="2">
        <v>42248</v>
      </c>
      <c r="C100">
        <v>690</v>
      </c>
      <c r="D100">
        <v>856</v>
      </c>
      <c r="E100">
        <v>730</v>
      </c>
      <c r="F100">
        <v>868</v>
      </c>
      <c r="G100">
        <v>734</v>
      </c>
      <c r="H100">
        <v>916</v>
      </c>
      <c r="I100">
        <v>691</v>
      </c>
      <c r="J100">
        <v>871</v>
      </c>
      <c r="K100">
        <v>920</v>
      </c>
      <c r="L100">
        <v>820</v>
      </c>
      <c r="M100">
        <v>850</v>
      </c>
      <c r="N100">
        <v>930</v>
      </c>
      <c r="O100">
        <v>1248</v>
      </c>
      <c r="P100">
        <v>685</v>
      </c>
      <c r="Q100">
        <v>645</v>
      </c>
      <c r="R100">
        <v>550</v>
      </c>
      <c r="S100">
        <v>845</v>
      </c>
      <c r="T100">
        <v>542</v>
      </c>
      <c r="U100">
        <v>883</v>
      </c>
      <c r="V100">
        <v>840</v>
      </c>
      <c r="W100">
        <v>630</v>
      </c>
      <c r="X100">
        <v>730</v>
      </c>
      <c r="Y100">
        <v>840</v>
      </c>
      <c r="Z100">
        <v>1120</v>
      </c>
      <c r="AA100">
        <v>612</v>
      </c>
      <c r="AB100">
        <v>685</v>
      </c>
      <c r="AC100">
        <v>722</v>
      </c>
      <c r="AD100">
        <v>676</v>
      </c>
      <c r="AE100">
        <v>860</v>
      </c>
      <c r="AF100">
        <v>545</v>
      </c>
      <c r="AG100">
        <v>783</v>
      </c>
      <c r="AH100">
        <v>496</v>
      </c>
      <c r="AI100">
        <v>404</v>
      </c>
      <c r="AJ100">
        <v>503</v>
      </c>
      <c r="AK100">
        <v>425</v>
      </c>
      <c r="AL100">
        <v>447</v>
      </c>
      <c r="AM100">
        <v>452</v>
      </c>
      <c r="AN100">
        <v>490</v>
      </c>
      <c r="AO100">
        <v>521</v>
      </c>
      <c r="AP100">
        <v>731</v>
      </c>
      <c r="AQ100">
        <v>480</v>
      </c>
      <c r="AR100">
        <v>459</v>
      </c>
      <c r="AS100">
        <v>780</v>
      </c>
      <c r="AT100">
        <v>693</v>
      </c>
      <c r="AU100">
        <v>720</v>
      </c>
      <c r="AV100">
        <v>325</v>
      </c>
      <c r="AW100">
        <v>373</v>
      </c>
      <c r="AX100">
        <v>410</v>
      </c>
      <c r="AY100">
        <v>255</v>
      </c>
      <c r="AZ100">
        <v>479</v>
      </c>
      <c r="BA100">
        <v>370</v>
      </c>
      <c r="BB100">
        <v>295</v>
      </c>
      <c r="BC100">
        <v>426</v>
      </c>
      <c r="BD100">
        <v>315</v>
      </c>
      <c r="BE100">
        <v>389</v>
      </c>
      <c r="BF100">
        <v>452</v>
      </c>
      <c r="BG100">
        <v>665</v>
      </c>
      <c r="BH100">
        <v>305</v>
      </c>
      <c r="BI100">
        <v>630</v>
      </c>
    </row>
    <row r="101" spans="2:61" x14ac:dyDescent="0.25">
      <c r="B101" s="2">
        <v>42339</v>
      </c>
      <c r="C101">
        <v>690</v>
      </c>
      <c r="D101">
        <v>850</v>
      </c>
      <c r="E101">
        <v>680</v>
      </c>
      <c r="F101">
        <v>814</v>
      </c>
      <c r="G101">
        <v>718</v>
      </c>
      <c r="H101">
        <v>950</v>
      </c>
      <c r="I101">
        <v>690</v>
      </c>
      <c r="J101">
        <v>905</v>
      </c>
      <c r="K101">
        <v>910</v>
      </c>
      <c r="L101">
        <v>835</v>
      </c>
      <c r="M101">
        <v>850</v>
      </c>
      <c r="N101">
        <v>934</v>
      </c>
      <c r="O101">
        <v>1015</v>
      </c>
      <c r="P101">
        <v>675</v>
      </c>
      <c r="Q101">
        <v>626</v>
      </c>
      <c r="R101">
        <v>587</v>
      </c>
      <c r="S101">
        <v>750</v>
      </c>
      <c r="T101">
        <v>545</v>
      </c>
      <c r="U101">
        <v>863</v>
      </c>
      <c r="V101">
        <v>965</v>
      </c>
      <c r="W101">
        <v>640</v>
      </c>
      <c r="X101">
        <v>678</v>
      </c>
      <c r="Y101">
        <v>900</v>
      </c>
      <c r="Z101">
        <v>1034</v>
      </c>
      <c r="AA101">
        <v>603</v>
      </c>
      <c r="AB101">
        <v>650</v>
      </c>
      <c r="AC101">
        <v>651</v>
      </c>
      <c r="AD101">
        <v>630</v>
      </c>
      <c r="AE101">
        <v>848</v>
      </c>
      <c r="AF101">
        <v>551</v>
      </c>
      <c r="AG101">
        <v>730</v>
      </c>
      <c r="AH101">
        <v>485</v>
      </c>
      <c r="AI101">
        <v>454</v>
      </c>
      <c r="AJ101">
        <v>639</v>
      </c>
      <c r="AK101">
        <v>410</v>
      </c>
      <c r="AL101">
        <v>434</v>
      </c>
      <c r="AM101">
        <v>461</v>
      </c>
      <c r="AN101">
        <v>456</v>
      </c>
      <c r="AO101">
        <v>513</v>
      </c>
      <c r="AP101">
        <v>670</v>
      </c>
      <c r="AQ101">
        <v>461</v>
      </c>
      <c r="AR101">
        <v>439</v>
      </c>
      <c r="AS101">
        <v>798</v>
      </c>
      <c r="AT101">
        <v>690</v>
      </c>
      <c r="AU101">
        <v>725</v>
      </c>
      <c r="AV101" t="s">
        <v>21</v>
      </c>
      <c r="AW101">
        <v>354</v>
      </c>
      <c r="AX101">
        <v>422</v>
      </c>
      <c r="AY101">
        <v>315</v>
      </c>
      <c r="AZ101">
        <v>483</v>
      </c>
      <c r="BA101">
        <v>405</v>
      </c>
      <c r="BB101">
        <v>290</v>
      </c>
      <c r="BC101">
        <v>430</v>
      </c>
      <c r="BD101">
        <v>350</v>
      </c>
      <c r="BE101">
        <v>420</v>
      </c>
      <c r="BF101">
        <v>464</v>
      </c>
      <c r="BG101">
        <v>670</v>
      </c>
      <c r="BH101">
        <v>315</v>
      </c>
      <c r="BI101">
        <v>633</v>
      </c>
    </row>
    <row r="102" spans="2:61" x14ac:dyDescent="0.25">
      <c r="B102" s="2">
        <v>42430</v>
      </c>
      <c r="C102">
        <v>680</v>
      </c>
      <c r="D102">
        <v>830</v>
      </c>
      <c r="E102">
        <v>685</v>
      </c>
      <c r="F102">
        <v>765</v>
      </c>
      <c r="G102">
        <v>705</v>
      </c>
      <c r="H102">
        <v>900</v>
      </c>
      <c r="I102">
        <v>750</v>
      </c>
      <c r="J102">
        <v>880</v>
      </c>
      <c r="K102">
        <v>915</v>
      </c>
      <c r="L102">
        <v>810</v>
      </c>
      <c r="M102">
        <v>820</v>
      </c>
      <c r="N102">
        <v>1055</v>
      </c>
      <c r="O102">
        <v>1315</v>
      </c>
      <c r="P102">
        <v>660</v>
      </c>
      <c r="Q102">
        <v>621</v>
      </c>
      <c r="R102">
        <v>800</v>
      </c>
      <c r="S102">
        <v>730</v>
      </c>
      <c r="T102">
        <v>510</v>
      </c>
      <c r="U102">
        <v>843</v>
      </c>
      <c r="V102">
        <v>829</v>
      </c>
      <c r="W102">
        <v>600</v>
      </c>
      <c r="X102">
        <v>700</v>
      </c>
      <c r="Y102">
        <v>858</v>
      </c>
      <c r="Z102">
        <v>1200</v>
      </c>
      <c r="AA102">
        <v>599</v>
      </c>
      <c r="AB102">
        <v>618</v>
      </c>
      <c r="AC102">
        <v>663</v>
      </c>
      <c r="AD102">
        <v>614</v>
      </c>
      <c r="AE102">
        <v>825</v>
      </c>
      <c r="AF102">
        <v>550</v>
      </c>
      <c r="AG102">
        <v>795</v>
      </c>
      <c r="AH102">
        <v>489</v>
      </c>
      <c r="AI102">
        <v>415</v>
      </c>
      <c r="AJ102">
        <v>481</v>
      </c>
      <c r="AK102">
        <v>425</v>
      </c>
      <c r="AL102">
        <v>454</v>
      </c>
      <c r="AM102">
        <v>485</v>
      </c>
      <c r="AN102">
        <v>450</v>
      </c>
      <c r="AO102">
        <v>498</v>
      </c>
      <c r="AP102">
        <v>702</v>
      </c>
      <c r="AQ102">
        <v>480</v>
      </c>
      <c r="AR102">
        <v>430</v>
      </c>
      <c r="AS102">
        <v>801</v>
      </c>
      <c r="AT102">
        <v>696</v>
      </c>
      <c r="AU102">
        <v>730</v>
      </c>
      <c r="AV102" t="s">
        <v>21</v>
      </c>
      <c r="AW102">
        <v>365</v>
      </c>
      <c r="AX102">
        <v>420</v>
      </c>
      <c r="AY102">
        <v>255</v>
      </c>
      <c r="AZ102">
        <v>515</v>
      </c>
      <c r="BA102">
        <v>365</v>
      </c>
      <c r="BB102">
        <v>280</v>
      </c>
      <c r="BC102">
        <v>430</v>
      </c>
      <c r="BD102">
        <v>355</v>
      </c>
      <c r="BE102">
        <v>432</v>
      </c>
      <c r="BF102">
        <v>487</v>
      </c>
      <c r="BG102">
        <v>650</v>
      </c>
      <c r="BH102">
        <v>320</v>
      </c>
      <c r="BI102">
        <v>610</v>
      </c>
    </row>
    <row r="103" spans="2:61" x14ac:dyDescent="0.25">
      <c r="B103" s="2">
        <v>42522</v>
      </c>
      <c r="C103">
        <v>705</v>
      </c>
      <c r="D103">
        <v>870</v>
      </c>
      <c r="E103">
        <v>686</v>
      </c>
      <c r="F103">
        <v>809</v>
      </c>
      <c r="G103">
        <v>725</v>
      </c>
      <c r="H103">
        <v>960</v>
      </c>
      <c r="I103">
        <v>750</v>
      </c>
      <c r="J103">
        <v>980</v>
      </c>
      <c r="K103">
        <v>950</v>
      </c>
      <c r="L103">
        <v>880</v>
      </c>
      <c r="M103">
        <v>850</v>
      </c>
      <c r="N103">
        <v>964</v>
      </c>
      <c r="O103">
        <v>1275</v>
      </c>
      <c r="P103">
        <v>700</v>
      </c>
      <c r="Q103">
        <v>662</v>
      </c>
      <c r="R103">
        <v>636</v>
      </c>
      <c r="S103">
        <v>740</v>
      </c>
      <c r="T103">
        <v>570</v>
      </c>
      <c r="U103">
        <v>845</v>
      </c>
      <c r="V103">
        <v>1083</v>
      </c>
      <c r="W103">
        <v>700</v>
      </c>
      <c r="X103">
        <v>680</v>
      </c>
      <c r="Y103">
        <v>870</v>
      </c>
      <c r="Z103">
        <v>1225</v>
      </c>
      <c r="AA103">
        <v>580</v>
      </c>
      <c r="AB103">
        <v>810</v>
      </c>
      <c r="AC103">
        <v>745</v>
      </c>
      <c r="AD103">
        <v>640</v>
      </c>
      <c r="AE103">
        <v>840</v>
      </c>
      <c r="AF103">
        <v>560</v>
      </c>
      <c r="AG103">
        <v>760</v>
      </c>
      <c r="AH103">
        <v>500</v>
      </c>
      <c r="AI103">
        <v>473</v>
      </c>
      <c r="AJ103">
        <v>505</v>
      </c>
      <c r="AK103">
        <v>420</v>
      </c>
      <c r="AL103">
        <v>420</v>
      </c>
      <c r="AM103">
        <v>465</v>
      </c>
      <c r="AN103">
        <v>477</v>
      </c>
      <c r="AO103">
        <v>528</v>
      </c>
      <c r="AP103">
        <v>710</v>
      </c>
      <c r="AQ103">
        <v>490</v>
      </c>
      <c r="AR103">
        <v>450</v>
      </c>
      <c r="AS103">
        <v>830</v>
      </c>
      <c r="AT103">
        <v>701</v>
      </c>
      <c r="AU103">
        <v>772</v>
      </c>
      <c r="AV103" t="s">
        <v>21</v>
      </c>
      <c r="AW103">
        <v>375</v>
      </c>
      <c r="AX103">
        <v>430</v>
      </c>
      <c r="AY103">
        <v>265</v>
      </c>
      <c r="AZ103">
        <v>561</v>
      </c>
      <c r="BA103">
        <v>370</v>
      </c>
      <c r="BB103">
        <v>279</v>
      </c>
      <c r="BC103">
        <v>440</v>
      </c>
      <c r="BD103">
        <v>370</v>
      </c>
      <c r="BE103">
        <v>443</v>
      </c>
      <c r="BF103">
        <v>490</v>
      </c>
      <c r="BG103">
        <v>690</v>
      </c>
      <c r="BH103">
        <v>325</v>
      </c>
      <c r="BI103">
        <v>650</v>
      </c>
    </row>
    <row r="104" spans="2:61" x14ac:dyDescent="0.25">
      <c r="B104" s="2">
        <v>42614</v>
      </c>
      <c r="C104">
        <v>710</v>
      </c>
      <c r="D104">
        <v>880</v>
      </c>
      <c r="E104">
        <v>662</v>
      </c>
      <c r="F104">
        <v>819</v>
      </c>
      <c r="G104">
        <v>800</v>
      </c>
      <c r="H104">
        <v>880</v>
      </c>
      <c r="I104">
        <v>701</v>
      </c>
      <c r="J104">
        <v>900</v>
      </c>
      <c r="K104">
        <v>994</v>
      </c>
      <c r="L104">
        <v>900</v>
      </c>
      <c r="M104">
        <v>858</v>
      </c>
      <c r="N104">
        <v>1050</v>
      </c>
      <c r="O104">
        <v>1425</v>
      </c>
      <c r="P104">
        <v>700</v>
      </c>
      <c r="Q104">
        <v>657</v>
      </c>
      <c r="R104">
        <v>573</v>
      </c>
      <c r="S104">
        <v>800</v>
      </c>
      <c r="T104">
        <v>532</v>
      </c>
      <c r="U104">
        <v>900</v>
      </c>
      <c r="V104">
        <v>860</v>
      </c>
      <c r="W104">
        <v>620</v>
      </c>
      <c r="X104">
        <v>700</v>
      </c>
      <c r="Y104">
        <v>865</v>
      </c>
      <c r="Z104">
        <v>1200</v>
      </c>
      <c r="AA104">
        <v>585</v>
      </c>
      <c r="AB104">
        <v>860</v>
      </c>
      <c r="AC104">
        <v>731</v>
      </c>
      <c r="AD104">
        <v>640</v>
      </c>
      <c r="AE104">
        <v>877</v>
      </c>
      <c r="AF104">
        <v>578</v>
      </c>
      <c r="AG104">
        <v>763</v>
      </c>
      <c r="AH104">
        <v>542</v>
      </c>
      <c r="AI104">
        <v>484</v>
      </c>
      <c r="AJ104">
        <v>530</v>
      </c>
      <c r="AK104">
        <v>427</v>
      </c>
      <c r="AL104">
        <v>426</v>
      </c>
      <c r="AM104">
        <v>475</v>
      </c>
      <c r="AN104">
        <v>451</v>
      </c>
      <c r="AO104">
        <v>542</v>
      </c>
      <c r="AP104">
        <v>720</v>
      </c>
      <c r="AQ104">
        <v>483</v>
      </c>
      <c r="AR104">
        <v>475</v>
      </c>
      <c r="AS104">
        <v>998</v>
      </c>
      <c r="AT104">
        <v>728</v>
      </c>
      <c r="AU104">
        <v>760</v>
      </c>
      <c r="AV104" t="s">
        <v>21</v>
      </c>
      <c r="AW104">
        <v>390</v>
      </c>
      <c r="AX104">
        <v>448</v>
      </c>
      <c r="AY104">
        <v>250</v>
      </c>
      <c r="AZ104">
        <v>568</v>
      </c>
      <c r="BA104">
        <v>414</v>
      </c>
      <c r="BB104">
        <v>305</v>
      </c>
      <c r="BC104">
        <v>432</v>
      </c>
      <c r="BD104">
        <v>404</v>
      </c>
      <c r="BE104">
        <v>455</v>
      </c>
      <c r="BF104">
        <v>520</v>
      </c>
      <c r="BG104">
        <v>685</v>
      </c>
      <c r="BH104">
        <v>305</v>
      </c>
      <c r="BI104">
        <v>650</v>
      </c>
    </row>
    <row r="105" spans="2:61" x14ac:dyDescent="0.25">
      <c r="B105" s="2">
        <v>42705</v>
      </c>
      <c r="C105">
        <v>730</v>
      </c>
      <c r="D105">
        <v>907</v>
      </c>
      <c r="E105">
        <v>709</v>
      </c>
      <c r="F105">
        <v>808</v>
      </c>
      <c r="G105">
        <v>805</v>
      </c>
      <c r="H105">
        <v>760</v>
      </c>
      <c r="I105">
        <v>737</v>
      </c>
      <c r="J105">
        <v>1171</v>
      </c>
      <c r="K105">
        <v>1108</v>
      </c>
      <c r="L105">
        <v>893</v>
      </c>
      <c r="M105">
        <v>890</v>
      </c>
      <c r="N105">
        <v>1080</v>
      </c>
      <c r="O105">
        <v>1331</v>
      </c>
      <c r="P105">
        <v>700</v>
      </c>
      <c r="Q105">
        <v>638</v>
      </c>
      <c r="R105">
        <v>580</v>
      </c>
      <c r="S105">
        <v>765</v>
      </c>
      <c r="T105">
        <v>563</v>
      </c>
      <c r="U105">
        <v>920</v>
      </c>
      <c r="V105">
        <v>1080</v>
      </c>
      <c r="W105">
        <v>665</v>
      </c>
      <c r="X105">
        <v>710</v>
      </c>
      <c r="Y105">
        <v>903</v>
      </c>
      <c r="Z105">
        <v>1180</v>
      </c>
      <c r="AA105">
        <v>620</v>
      </c>
      <c r="AB105">
        <v>700</v>
      </c>
      <c r="AC105">
        <v>720</v>
      </c>
      <c r="AD105">
        <v>650</v>
      </c>
      <c r="AE105">
        <v>906</v>
      </c>
      <c r="AF105">
        <v>604</v>
      </c>
      <c r="AG105">
        <v>791</v>
      </c>
      <c r="AH105">
        <v>547</v>
      </c>
      <c r="AI105">
        <v>490</v>
      </c>
      <c r="AJ105">
        <v>602</v>
      </c>
      <c r="AK105">
        <v>455</v>
      </c>
      <c r="AL105">
        <v>450</v>
      </c>
      <c r="AM105">
        <v>515</v>
      </c>
      <c r="AN105">
        <v>500</v>
      </c>
      <c r="AO105">
        <v>532</v>
      </c>
      <c r="AP105">
        <v>724</v>
      </c>
      <c r="AQ105">
        <v>490</v>
      </c>
      <c r="AR105">
        <v>476</v>
      </c>
      <c r="AS105">
        <v>900</v>
      </c>
      <c r="AT105">
        <v>780</v>
      </c>
      <c r="AU105">
        <v>820</v>
      </c>
      <c r="AV105">
        <v>385</v>
      </c>
      <c r="AW105">
        <v>417</v>
      </c>
      <c r="AX105">
        <v>450</v>
      </c>
      <c r="AY105">
        <v>261</v>
      </c>
      <c r="AZ105">
        <v>511</v>
      </c>
      <c r="BA105">
        <v>375</v>
      </c>
      <c r="BB105">
        <v>279</v>
      </c>
      <c r="BC105">
        <v>470</v>
      </c>
      <c r="BD105">
        <v>385</v>
      </c>
      <c r="BE105">
        <v>459</v>
      </c>
      <c r="BF105">
        <v>541</v>
      </c>
      <c r="BG105">
        <v>705</v>
      </c>
      <c r="BH105">
        <v>330</v>
      </c>
      <c r="BI105">
        <v>661</v>
      </c>
    </row>
    <row r="106" spans="2:61" x14ac:dyDescent="0.25">
      <c r="B106" s="2">
        <v>42795</v>
      </c>
      <c r="C106">
        <v>720</v>
      </c>
      <c r="D106">
        <v>930</v>
      </c>
      <c r="E106">
        <v>708</v>
      </c>
      <c r="F106">
        <v>818</v>
      </c>
      <c r="G106">
        <v>785</v>
      </c>
      <c r="H106">
        <v>905</v>
      </c>
      <c r="I106">
        <v>750</v>
      </c>
      <c r="J106">
        <v>1105</v>
      </c>
      <c r="K106">
        <v>1100</v>
      </c>
      <c r="L106">
        <v>941</v>
      </c>
      <c r="M106">
        <v>891</v>
      </c>
      <c r="N106">
        <v>1200</v>
      </c>
      <c r="O106">
        <v>1395</v>
      </c>
      <c r="P106">
        <v>700</v>
      </c>
      <c r="Q106">
        <v>635</v>
      </c>
      <c r="R106">
        <v>600</v>
      </c>
      <c r="S106">
        <v>769</v>
      </c>
      <c r="T106">
        <v>535</v>
      </c>
      <c r="U106">
        <v>930</v>
      </c>
      <c r="V106">
        <v>995</v>
      </c>
      <c r="W106">
        <v>710</v>
      </c>
      <c r="X106">
        <v>718</v>
      </c>
      <c r="Y106">
        <v>930</v>
      </c>
      <c r="Z106">
        <v>1364</v>
      </c>
      <c r="AA106">
        <v>628</v>
      </c>
      <c r="AB106">
        <v>680</v>
      </c>
      <c r="AC106">
        <v>724</v>
      </c>
      <c r="AD106">
        <v>650</v>
      </c>
      <c r="AE106">
        <v>955</v>
      </c>
      <c r="AF106">
        <v>597</v>
      </c>
      <c r="AG106">
        <v>835</v>
      </c>
      <c r="AH106">
        <v>550</v>
      </c>
      <c r="AI106">
        <v>500</v>
      </c>
      <c r="AJ106">
        <v>481</v>
      </c>
      <c r="AK106">
        <v>458</v>
      </c>
      <c r="AL106">
        <v>439</v>
      </c>
      <c r="AM106">
        <v>546</v>
      </c>
      <c r="AN106">
        <v>449</v>
      </c>
      <c r="AO106">
        <v>550</v>
      </c>
      <c r="AP106">
        <v>730</v>
      </c>
      <c r="AQ106">
        <v>520</v>
      </c>
      <c r="AR106">
        <v>499</v>
      </c>
      <c r="AS106">
        <v>845</v>
      </c>
      <c r="AT106">
        <v>748</v>
      </c>
      <c r="AU106">
        <v>880</v>
      </c>
      <c r="AV106" t="s">
        <v>21</v>
      </c>
      <c r="AW106">
        <v>415</v>
      </c>
      <c r="AX106">
        <v>460</v>
      </c>
      <c r="AY106">
        <v>287</v>
      </c>
      <c r="AZ106">
        <v>650</v>
      </c>
      <c r="BA106">
        <v>418</v>
      </c>
      <c r="BB106">
        <v>280</v>
      </c>
      <c r="BC106">
        <v>458</v>
      </c>
      <c r="BD106">
        <v>399</v>
      </c>
      <c r="BE106">
        <v>475</v>
      </c>
      <c r="BF106">
        <v>527</v>
      </c>
      <c r="BG106">
        <v>695</v>
      </c>
      <c r="BH106">
        <v>329</v>
      </c>
      <c r="BI106">
        <v>650</v>
      </c>
    </row>
    <row r="107" spans="2:61" x14ac:dyDescent="0.25">
      <c r="B107" s="1">
        <v>42887</v>
      </c>
      <c r="C107" s="5">
        <v>770</v>
      </c>
      <c r="D107" s="6">
        <v>965</v>
      </c>
      <c r="E107" t="e">
        <v>#DIV/0!</v>
      </c>
      <c r="F107" t="e">
        <v>#DIV/0!</v>
      </c>
      <c r="G107">
        <v>823.5</v>
      </c>
      <c r="H107" t="e">
        <v>#DIV/0!</v>
      </c>
      <c r="I107" t="e">
        <v>#DIV/0!</v>
      </c>
      <c r="J107">
        <v>1240</v>
      </c>
      <c r="K107">
        <v>1170</v>
      </c>
      <c r="L107">
        <v>972</v>
      </c>
      <c r="M107">
        <v>935</v>
      </c>
      <c r="N107">
        <v>1152.5</v>
      </c>
      <c r="O107">
        <v>1500</v>
      </c>
      <c r="P107" s="6">
        <v>722</v>
      </c>
      <c r="Q107" t="e">
        <v>#DIV/0!</v>
      </c>
      <c r="R107" t="e">
        <v>#DIV/0!</v>
      </c>
      <c r="S107">
        <v>852</v>
      </c>
      <c r="T107" t="e">
        <v>#DIV/0!</v>
      </c>
      <c r="U107">
        <v>930</v>
      </c>
      <c r="V107">
        <v>1241</v>
      </c>
      <c r="W107" t="e">
        <v>#DIV/0!</v>
      </c>
      <c r="X107" t="e">
        <v>#DIV/0!</v>
      </c>
      <c r="Y107">
        <v>990.95</v>
      </c>
      <c r="Z107" t="e">
        <v>#DIV/0!</v>
      </c>
      <c r="AA107">
        <v>700</v>
      </c>
      <c r="AB107" t="e">
        <v>#DIV/0!</v>
      </c>
      <c r="AC107">
        <v>736</v>
      </c>
      <c r="AD107">
        <v>680</v>
      </c>
      <c r="AE107">
        <v>998.36800000000005</v>
      </c>
      <c r="AF107" s="6">
        <v>640</v>
      </c>
      <c r="AG107">
        <v>855</v>
      </c>
      <c r="AH107">
        <v>550</v>
      </c>
      <c r="AI107">
        <v>510</v>
      </c>
      <c r="AJ107">
        <v>520</v>
      </c>
      <c r="AK107">
        <v>485</v>
      </c>
      <c r="AL107">
        <v>440</v>
      </c>
      <c r="AM107" t="e">
        <v>#DIV/0!</v>
      </c>
      <c r="AN107">
        <v>451</v>
      </c>
      <c r="AO107" t="e">
        <v>#DIV/0!</v>
      </c>
      <c r="AP107">
        <v>723.75</v>
      </c>
      <c r="AQ107">
        <v>510</v>
      </c>
      <c r="AR107">
        <v>500</v>
      </c>
      <c r="AS107" t="e">
        <v>#DIV/0!</v>
      </c>
      <c r="AT107">
        <v>820</v>
      </c>
      <c r="AU107" t="e">
        <v>#DIV/0!</v>
      </c>
      <c r="AV107" t="s">
        <v>21</v>
      </c>
      <c r="AW107" t="e">
        <v>#DIV/0!</v>
      </c>
      <c r="AX107" s="6">
        <v>490</v>
      </c>
      <c r="AY107">
        <v>285</v>
      </c>
      <c r="AZ107">
        <v>610</v>
      </c>
      <c r="BA107">
        <v>448.5</v>
      </c>
      <c r="BB107">
        <v>326.5</v>
      </c>
      <c r="BC107">
        <v>480</v>
      </c>
      <c r="BD107">
        <v>410</v>
      </c>
      <c r="BE107">
        <v>507.5</v>
      </c>
      <c r="BF107">
        <v>560</v>
      </c>
      <c r="BG107" t="e">
        <v>#DIV/0!</v>
      </c>
      <c r="BH107" t="e">
        <v>#DIV/0!</v>
      </c>
      <c r="BI107" t="e">
        <v>#DIV/0!</v>
      </c>
    </row>
    <row r="108" spans="2:61" x14ac:dyDescent="0.25">
      <c r="B108" s="1">
        <v>42979</v>
      </c>
      <c r="C108" s="5">
        <v>720.92</v>
      </c>
      <c r="D108" s="6">
        <v>945</v>
      </c>
      <c r="E108" t="e">
        <v>#DIV/0!</v>
      </c>
      <c r="F108" t="e">
        <v>#DIV/0!</v>
      </c>
      <c r="G108">
        <v>815</v>
      </c>
      <c r="H108" t="e">
        <v>#DIV/0!</v>
      </c>
      <c r="I108" t="e">
        <v>#DIV/0!</v>
      </c>
      <c r="J108">
        <v>1001</v>
      </c>
      <c r="K108">
        <v>1068.5</v>
      </c>
      <c r="L108">
        <v>970</v>
      </c>
      <c r="M108">
        <v>900</v>
      </c>
      <c r="N108">
        <v>1147.5</v>
      </c>
      <c r="O108">
        <v>1675</v>
      </c>
      <c r="P108" s="6">
        <v>685</v>
      </c>
      <c r="Q108" t="e">
        <v>#DIV/0!</v>
      </c>
      <c r="R108" t="e">
        <v>#DIV/0!</v>
      </c>
      <c r="S108">
        <v>780</v>
      </c>
      <c r="T108" t="e">
        <v>#DIV/0!</v>
      </c>
      <c r="U108">
        <v>910</v>
      </c>
      <c r="V108">
        <v>960</v>
      </c>
      <c r="W108" t="e">
        <v>#DIV/0!</v>
      </c>
      <c r="X108" t="e">
        <v>#DIV/0!</v>
      </c>
      <c r="Y108">
        <v>895</v>
      </c>
      <c r="Z108" t="e">
        <v>#DIV/0!</v>
      </c>
      <c r="AA108">
        <v>665.28</v>
      </c>
      <c r="AB108" t="e">
        <v>#DIV/0!</v>
      </c>
      <c r="AC108">
        <v>710</v>
      </c>
      <c r="AD108">
        <v>640</v>
      </c>
      <c r="AE108">
        <v>985</v>
      </c>
      <c r="AF108" s="6">
        <v>625</v>
      </c>
      <c r="AG108">
        <v>845</v>
      </c>
      <c r="AH108">
        <v>570</v>
      </c>
      <c r="AI108">
        <v>545</v>
      </c>
      <c r="AJ108">
        <v>639.99950000000001</v>
      </c>
      <c r="AK108">
        <v>472</v>
      </c>
      <c r="AL108">
        <v>450</v>
      </c>
      <c r="AM108" t="e">
        <v>#DIV/0!</v>
      </c>
      <c r="AN108">
        <v>540.5</v>
      </c>
      <c r="AO108" t="e">
        <v>#DIV/0!</v>
      </c>
      <c r="AP108">
        <v>711</v>
      </c>
      <c r="AQ108">
        <v>538.72500000000002</v>
      </c>
      <c r="AR108">
        <v>515</v>
      </c>
      <c r="AS108" t="e">
        <v>#DIV/0!</v>
      </c>
      <c r="AT108">
        <v>756.5</v>
      </c>
      <c r="AU108" t="e">
        <v>#DIV/0!</v>
      </c>
      <c r="AV108">
        <v>435</v>
      </c>
      <c r="AW108" t="e">
        <v>#DIV/0!</v>
      </c>
      <c r="AX108" s="6">
        <v>488</v>
      </c>
      <c r="AY108">
        <v>290</v>
      </c>
      <c r="AZ108">
        <v>701.25</v>
      </c>
      <c r="BA108">
        <v>445</v>
      </c>
      <c r="BB108">
        <v>359</v>
      </c>
      <c r="BC108">
        <v>490</v>
      </c>
      <c r="BD108">
        <v>405</v>
      </c>
      <c r="BE108">
        <v>518.5</v>
      </c>
      <c r="BF108">
        <v>590</v>
      </c>
      <c r="BG108" t="e">
        <v>#DIV/0!</v>
      </c>
      <c r="BH108" t="e">
        <v>#DIV/0!</v>
      </c>
      <c r="BI108" t="e">
        <v>#DIV/0!</v>
      </c>
    </row>
    <row r="109" spans="2:61" x14ac:dyDescent="0.25">
      <c r="B109" s="1">
        <v>43070</v>
      </c>
      <c r="C109" s="5">
        <v>738</v>
      </c>
      <c r="D109" s="6">
        <v>958</v>
      </c>
      <c r="E109" t="e">
        <v>#DIV/0!</v>
      </c>
      <c r="F109" t="e">
        <v>#DIV/0!</v>
      </c>
      <c r="G109">
        <v>800</v>
      </c>
      <c r="H109" t="e">
        <v>#DIV/0!</v>
      </c>
      <c r="I109" t="e">
        <v>#DIV/0!</v>
      </c>
      <c r="J109">
        <v>1115</v>
      </c>
      <c r="K109">
        <v>1127</v>
      </c>
      <c r="L109">
        <v>945</v>
      </c>
      <c r="M109">
        <v>900</v>
      </c>
      <c r="N109">
        <v>1125</v>
      </c>
      <c r="O109">
        <v>1485</v>
      </c>
      <c r="P109" s="6">
        <v>700</v>
      </c>
      <c r="Q109" t="e">
        <v>#DIV/0!</v>
      </c>
      <c r="R109" t="e">
        <v>#DIV/0!</v>
      </c>
      <c r="S109">
        <v>890</v>
      </c>
      <c r="T109" t="e">
        <v>#DIV/0!</v>
      </c>
      <c r="U109">
        <v>950</v>
      </c>
      <c r="V109">
        <v>865</v>
      </c>
      <c r="W109" t="e">
        <v>#DIV/0!</v>
      </c>
      <c r="X109" t="e">
        <v>#DIV/0!</v>
      </c>
      <c r="Y109">
        <v>920</v>
      </c>
      <c r="Z109" t="e">
        <v>#DIV/0!</v>
      </c>
      <c r="AA109">
        <v>688</v>
      </c>
      <c r="AB109" t="e">
        <v>#DIV/0!</v>
      </c>
      <c r="AC109">
        <v>774</v>
      </c>
      <c r="AD109">
        <v>671</v>
      </c>
      <c r="AE109">
        <v>1000</v>
      </c>
      <c r="AF109" s="6">
        <v>640</v>
      </c>
      <c r="AG109">
        <v>845</v>
      </c>
      <c r="AH109">
        <v>560</v>
      </c>
      <c r="AI109">
        <v>530</v>
      </c>
      <c r="AJ109">
        <v>568</v>
      </c>
      <c r="AK109">
        <v>485</v>
      </c>
      <c r="AL109">
        <v>451</v>
      </c>
      <c r="AM109" t="e">
        <v>#DIV/0!</v>
      </c>
      <c r="AN109">
        <v>520</v>
      </c>
      <c r="AO109" t="e">
        <v>#DIV/0!</v>
      </c>
      <c r="AP109">
        <v>680</v>
      </c>
      <c r="AQ109">
        <v>520</v>
      </c>
      <c r="AR109">
        <v>516</v>
      </c>
      <c r="AS109" t="e">
        <v>#DIV/0!</v>
      </c>
      <c r="AT109">
        <v>756.5</v>
      </c>
      <c r="AU109" t="e">
        <v>#DIV/0!</v>
      </c>
      <c r="AV109">
        <v>440</v>
      </c>
      <c r="AW109" t="e">
        <v>#DIV/0!</v>
      </c>
      <c r="AX109" s="6">
        <v>480</v>
      </c>
      <c r="AY109">
        <v>282</v>
      </c>
      <c r="AZ109">
        <v>600</v>
      </c>
      <c r="BA109">
        <v>441</v>
      </c>
      <c r="BB109">
        <v>350</v>
      </c>
      <c r="BC109">
        <v>491</v>
      </c>
      <c r="BD109">
        <v>413</v>
      </c>
      <c r="BE109">
        <v>527</v>
      </c>
      <c r="BF109">
        <v>585</v>
      </c>
      <c r="BG109" t="e">
        <v>#DIV/0!</v>
      </c>
      <c r="BH109" t="e">
        <v>#DIV/0!</v>
      </c>
      <c r="BI109" t="e">
        <v>#DIV/0!</v>
      </c>
    </row>
    <row r="110" spans="2:61" x14ac:dyDescent="0.25">
      <c r="B110" s="1">
        <v>43160</v>
      </c>
      <c r="C110" s="5">
        <v>725</v>
      </c>
      <c r="D110" s="6">
        <v>951</v>
      </c>
      <c r="E110" t="e">
        <v>#DIV/0!</v>
      </c>
      <c r="F110" t="e">
        <v>#DIV/0!</v>
      </c>
      <c r="G110">
        <v>818</v>
      </c>
      <c r="H110" t="e">
        <v>#DIV/0!</v>
      </c>
      <c r="I110" t="e">
        <v>#DIV/0!</v>
      </c>
      <c r="J110">
        <v>1040</v>
      </c>
      <c r="K110">
        <v>1095</v>
      </c>
      <c r="L110">
        <v>946</v>
      </c>
      <c r="M110">
        <v>900</v>
      </c>
      <c r="N110">
        <v>1213</v>
      </c>
      <c r="O110">
        <v>1500</v>
      </c>
      <c r="P110" s="6">
        <v>688</v>
      </c>
      <c r="Q110" t="e">
        <v>#DIV/0!</v>
      </c>
      <c r="R110" t="e">
        <v>#DIV/0!</v>
      </c>
      <c r="S110">
        <v>763</v>
      </c>
      <c r="T110" t="e">
        <v>#DIV/0!</v>
      </c>
      <c r="U110">
        <v>885</v>
      </c>
      <c r="V110">
        <v>1154</v>
      </c>
      <c r="W110" t="e">
        <v>#DIV/0!</v>
      </c>
      <c r="X110" t="e">
        <v>#DIV/0!</v>
      </c>
      <c r="Y110">
        <v>975</v>
      </c>
      <c r="Z110" t="e">
        <v>#DIV/0!</v>
      </c>
      <c r="AA110">
        <v>679</v>
      </c>
      <c r="AB110" t="e">
        <v>#DIV/0!</v>
      </c>
      <c r="AC110">
        <v>723</v>
      </c>
      <c r="AD110">
        <v>630</v>
      </c>
      <c r="AE110">
        <v>995</v>
      </c>
      <c r="AF110" s="6">
        <v>640</v>
      </c>
      <c r="AG110">
        <v>845</v>
      </c>
      <c r="AH110">
        <v>590</v>
      </c>
      <c r="AI110">
        <v>520</v>
      </c>
      <c r="AJ110">
        <v>556</v>
      </c>
      <c r="AK110">
        <v>468</v>
      </c>
      <c r="AL110">
        <v>485</v>
      </c>
      <c r="AM110" t="e">
        <v>#DIV/0!</v>
      </c>
      <c r="AN110">
        <v>524</v>
      </c>
      <c r="AO110" t="e">
        <v>#DIV/0!</v>
      </c>
      <c r="AP110">
        <v>693</v>
      </c>
      <c r="AQ110">
        <v>500</v>
      </c>
      <c r="AR110">
        <v>521</v>
      </c>
      <c r="AS110" t="e">
        <v>#DIV/0!</v>
      </c>
      <c r="AT110">
        <v>756.5</v>
      </c>
      <c r="AU110" t="e">
        <v>#DIV/0!</v>
      </c>
      <c r="AV110">
        <v>425</v>
      </c>
      <c r="AW110" t="e">
        <v>#DIV/0!</v>
      </c>
      <c r="AX110" s="6">
        <v>500</v>
      </c>
      <c r="AY110">
        <v>280</v>
      </c>
      <c r="AZ110">
        <v>623</v>
      </c>
      <c r="BA110">
        <v>444</v>
      </c>
      <c r="BB110">
        <v>350</v>
      </c>
      <c r="BC110">
        <v>533</v>
      </c>
      <c r="BD110">
        <v>420</v>
      </c>
      <c r="BE110">
        <v>512</v>
      </c>
      <c r="BF110">
        <v>580</v>
      </c>
      <c r="BG110" t="e">
        <v>#DIV/0!</v>
      </c>
      <c r="BH110" t="e">
        <v>#DIV/0!</v>
      </c>
      <c r="BI110" t="e">
        <v>#DIV/0!</v>
      </c>
    </row>
    <row r="111" spans="2:61" x14ac:dyDescent="0.25">
      <c r="B111" s="1">
        <v>43252</v>
      </c>
      <c r="C111" s="5">
        <v>730</v>
      </c>
      <c r="D111" s="6">
        <v>920</v>
      </c>
      <c r="E111" t="e">
        <v>#DIV/0!</v>
      </c>
      <c r="F111" t="e">
        <v>#DIV/0!</v>
      </c>
      <c r="G111">
        <v>810</v>
      </c>
      <c r="H111" t="e">
        <v>#DIV/0!</v>
      </c>
      <c r="I111" t="e">
        <v>#DIV/0!</v>
      </c>
      <c r="J111">
        <v>1035</v>
      </c>
      <c r="K111">
        <v>1081</v>
      </c>
      <c r="L111">
        <v>918</v>
      </c>
      <c r="M111">
        <v>900</v>
      </c>
      <c r="N111">
        <v>1190</v>
      </c>
      <c r="O111">
        <v>1255</v>
      </c>
      <c r="P111" s="6">
        <v>690</v>
      </c>
      <c r="Q111" t="e">
        <v>#DIV/0!</v>
      </c>
      <c r="R111" t="e">
        <v>#DIV/0!</v>
      </c>
      <c r="S111">
        <v>780</v>
      </c>
      <c r="T111" t="e">
        <v>#DIV/0!</v>
      </c>
      <c r="U111">
        <v>923</v>
      </c>
      <c r="V111">
        <v>1000</v>
      </c>
      <c r="W111" t="e">
        <v>#DIV/0!</v>
      </c>
      <c r="X111" t="e">
        <v>#DIV/0!</v>
      </c>
      <c r="Y111">
        <v>970</v>
      </c>
      <c r="Z111" t="e">
        <v>#DIV/0!</v>
      </c>
      <c r="AA111">
        <v>680</v>
      </c>
      <c r="AB111" t="e">
        <v>#DIV/0!</v>
      </c>
      <c r="AC111">
        <v>803</v>
      </c>
      <c r="AD111">
        <v>625</v>
      </c>
      <c r="AE111">
        <v>946</v>
      </c>
      <c r="AF111" s="6">
        <v>634</v>
      </c>
      <c r="AG111">
        <v>783</v>
      </c>
      <c r="AH111">
        <v>571</v>
      </c>
      <c r="AI111">
        <v>515</v>
      </c>
      <c r="AJ111">
        <v>650</v>
      </c>
      <c r="AK111">
        <v>481</v>
      </c>
      <c r="AL111">
        <v>438</v>
      </c>
      <c r="AM111" t="e">
        <v>#DIV/0!</v>
      </c>
      <c r="AN111">
        <v>535</v>
      </c>
      <c r="AO111" t="e">
        <v>#DIV/0!</v>
      </c>
      <c r="AP111">
        <v>698</v>
      </c>
      <c r="AQ111">
        <v>520</v>
      </c>
      <c r="AR111">
        <v>511</v>
      </c>
      <c r="AS111" t="e">
        <v>#DIV/0!</v>
      </c>
      <c r="AT111">
        <v>770</v>
      </c>
      <c r="AU111" t="e">
        <v>#DIV/0!</v>
      </c>
      <c r="AV111">
        <v>425</v>
      </c>
      <c r="AW111" t="e">
        <v>#DIV/0!</v>
      </c>
      <c r="AX111" s="6">
        <v>485</v>
      </c>
      <c r="AY111">
        <v>280</v>
      </c>
      <c r="AZ111">
        <v>606</v>
      </c>
      <c r="BA111">
        <v>443</v>
      </c>
      <c r="BB111">
        <v>330</v>
      </c>
      <c r="BC111">
        <v>500</v>
      </c>
      <c r="BD111">
        <v>412</v>
      </c>
      <c r="BE111">
        <v>526</v>
      </c>
      <c r="BF111">
        <v>585</v>
      </c>
      <c r="BG111" t="e">
        <v>#DIV/0!</v>
      </c>
      <c r="BH111" t="e">
        <v>#DIV/0!</v>
      </c>
      <c r="BI111" t="e">
        <v>#DIV/0!</v>
      </c>
    </row>
    <row r="112" spans="2:61" x14ac:dyDescent="0.25">
      <c r="B112" s="1">
        <v>43344</v>
      </c>
      <c r="C112" s="5">
        <v>720</v>
      </c>
      <c r="D112" s="6">
        <v>880</v>
      </c>
      <c r="E112" t="e">
        <v>#DIV/0!</v>
      </c>
      <c r="F112" t="e">
        <v>#DIV/0!</v>
      </c>
      <c r="G112">
        <v>745</v>
      </c>
      <c r="H112" t="e">
        <v>#DIV/0!</v>
      </c>
      <c r="I112" t="e">
        <v>#DIV/0!</v>
      </c>
      <c r="J112">
        <v>900</v>
      </c>
      <c r="K112">
        <v>1070</v>
      </c>
      <c r="L112">
        <v>862</v>
      </c>
      <c r="M112">
        <v>850</v>
      </c>
      <c r="N112">
        <v>1070</v>
      </c>
      <c r="O112">
        <v>1213</v>
      </c>
      <c r="P112" s="6">
        <v>679</v>
      </c>
      <c r="Q112" t="e">
        <v>#DIV/0!</v>
      </c>
      <c r="R112" t="e">
        <v>#DIV/0!</v>
      </c>
      <c r="S112">
        <v>750</v>
      </c>
      <c r="T112" t="e">
        <v>#DIV/0!</v>
      </c>
      <c r="U112">
        <v>880</v>
      </c>
      <c r="V112">
        <v>877</v>
      </c>
      <c r="W112" t="e">
        <v>#DIV/0!</v>
      </c>
      <c r="X112" t="e">
        <v>#DIV/0!</v>
      </c>
      <c r="Y112">
        <v>905</v>
      </c>
      <c r="Z112" t="e">
        <v>#DIV/0!</v>
      </c>
      <c r="AA112">
        <v>653</v>
      </c>
      <c r="AB112" t="e">
        <v>#DIV/0!</v>
      </c>
      <c r="AC112">
        <v>700</v>
      </c>
      <c r="AD112">
        <v>628</v>
      </c>
      <c r="AE112">
        <v>998</v>
      </c>
      <c r="AF112" s="6">
        <v>615</v>
      </c>
      <c r="AG112">
        <v>794</v>
      </c>
      <c r="AH112">
        <v>538</v>
      </c>
      <c r="AI112">
        <v>515</v>
      </c>
      <c r="AJ112">
        <v>540</v>
      </c>
      <c r="AK112">
        <v>429</v>
      </c>
      <c r="AL112">
        <v>450</v>
      </c>
      <c r="AM112" t="e">
        <v>#DIV/0!</v>
      </c>
      <c r="AN112">
        <v>495</v>
      </c>
      <c r="AO112" t="e">
        <v>#DIV/0!</v>
      </c>
      <c r="AP112">
        <v>670</v>
      </c>
      <c r="AQ112">
        <v>492</v>
      </c>
      <c r="AR112">
        <v>490</v>
      </c>
      <c r="AS112" t="e">
        <v>#DIV/0!</v>
      </c>
      <c r="AT112">
        <v>745</v>
      </c>
      <c r="AU112" t="e">
        <v>#DIV/0!</v>
      </c>
      <c r="AV112">
        <v>425</v>
      </c>
      <c r="AW112" t="e">
        <v>#DIV/0!</v>
      </c>
      <c r="AX112" s="6">
        <v>480</v>
      </c>
      <c r="AY112">
        <v>292</v>
      </c>
      <c r="AZ112">
        <v>730</v>
      </c>
      <c r="BA112">
        <v>450</v>
      </c>
      <c r="BB112">
        <v>338</v>
      </c>
      <c r="BC112">
        <v>483</v>
      </c>
      <c r="BD112">
        <v>401</v>
      </c>
      <c r="BE112">
        <v>520</v>
      </c>
      <c r="BF112">
        <v>560</v>
      </c>
      <c r="BG112" t="e">
        <v>#DIV/0!</v>
      </c>
      <c r="BH112" t="e">
        <v>#DIV/0!</v>
      </c>
      <c r="BI112" t="e">
        <v>#DIV/0!</v>
      </c>
    </row>
    <row r="113" spans="2:61" x14ac:dyDescent="0.25">
      <c r="B113" s="1">
        <v>43435</v>
      </c>
      <c r="C113" s="5">
        <v>725</v>
      </c>
      <c r="D113" s="6">
        <v>900</v>
      </c>
      <c r="E113" t="e">
        <v>#DIV/0!</v>
      </c>
      <c r="F113" t="e">
        <v>#DIV/0!</v>
      </c>
      <c r="G113">
        <v>745</v>
      </c>
      <c r="H113" t="e">
        <v>#DIV/0!</v>
      </c>
      <c r="I113" t="e">
        <v>#DIV/0!</v>
      </c>
      <c r="J113">
        <v>915</v>
      </c>
      <c r="K113">
        <v>1070</v>
      </c>
      <c r="L113">
        <v>865</v>
      </c>
      <c r="M113">
        <v>870</v>
      </c>
      <c r="N113">
        <v>1105</v>
      </c>
      <c r="O113">
        <v>1260</v>
      </c>
      <c r="P113" s="6">
        <v>687</v>
      </c>
      <c r="Q113" t="e">
        <v>#DIV/0!</v>
      </c>
      <c r="R113" t="e">
        <v>#DIV/0!</v>
      </c>
      <c r="S113">
        <v>865</v>
      </c>
      <c r="T113" t="e">
        <v>#DIV/0!</v>
      </c>
      <c r="U113">
        <v>890</v>
      </c>
      <c r="V113">
        <v>1200</v>
      </c>
      <c r="W113" t="e">
        <v>#DIV/0!</v>
      </c>
      <c r="X113" t="e">
        <v>#DIV/0!</v>
      </c>
      <c r="Y113">
        <v>910</v>
      </c>
      <c r="Z113" t="e">
        <v>#DIV/0!</v>
      </c>
      <c r="AA113">
        <v>657</v>
      </c>
      <c r="AB113" t="e">
        <v>#DIV/0!</v>
      </c>
      <c r="AC113">
        <v>736</v>
      </c>
      <c r="AD113">
        <v>638</v>
      </c>
      <c r="AE113">
        <v>977</v>
      </c>
      <c r="AF113" s="6">
        <v>618</v>
      </c>
      <c r="AG113">
        <v>794</v>
      </c>
      <c r="AH113">
        <v>540</v>
      </c>
      <c r="AI113">
        <v>530</v>
      </c>
      <c r="AJ113">
        <v>530</v>
      </c>
      <c r="AK113">
        <v>420</v>
      </c>
      <c r="AL113">
        <v>458</v>
      </c>
      <c r="AM113" t="e">
        <v>#DIV/0!</v>
      </c>
      <c r="AN113">
        <v>495</v>
      </c>
      <c r="AO113" t="e">
        <v>#DIV/0!</v>
      </c>
      <c r="AP113">
        <v>663</v>
      </c>
      <c r="AQ113">
        <v>485</v>
      </c>
      <c r="AR113">
        <v>490</v>
      </c>
      <c r="AS113" t="e">
        <v>#DIV/0!</v>
      </c>
      <c r="AT113">
        <v>730</v>
      </c>
      <c r="AU113" t="e">
        <v>#DIV/0!</v>
      </c>
      <c r="AV113">
        <v>425</v>
      </c>
      <c r="AW113" t="e">
        <v>#DIV/0!</v>
      </c>
      <c r="AX113" s="6">
        <v>485</v>
      </c>
      <c r="AY113">
        <v>297</v>
      </c>
      <c r="AZ113">
        <v>665</v>
      </c>
      <c r="BA113">
        <v>455</v>
      </c>
      <c r="BB113">
        <v>345</v>
      </c>
      <c r="BC113">
        <v>485</v>
      </c>
      <c r="BD113">
        <v>403</v>
      </c>
      <c r="BE113">
        <v>515</v>
      </c>
      <c r="BF113">
        <v>579</v>
      </c>
      <c r="BG113" t="e">
        <v>#DIV/0!</v>
      </c>
      <c r="BH113" t="e">
        <v>#DIV/0!</v>
      </c>
      <c r="BI113" t="e">
        <v>#DIV/0!</v>
      </c>
    </row>
    <row r="114" spans="2:61" x14ac:dyDescent="0.25">
      <c r="B114" s="1">
        <v>43525</v>
      </c>
      <c r="C114" s="5">
        <v>695</v>
      </c>
      <c r="D114" s="6">
        <v>883</v>
      </c>
      <c r="E114" t="e">
        <v>#DIV/0!</v>
      </c>
      <c r="F114" t="e">
        <v>#DIV/0!</v>
      </c>
      <c r="G114">
        <v>777</v>
      </c>
      <c r="H114" t="e">
        <v>#DIV/0!</v>
      </c>
      <c r="I114" t="e">
        <v>#DIV/0!</v>
      </c>
      <c r="J114">
        <v>963</v>
      </c>
      <c r="K114">
        <v>1043</v>
      </c>
      <c r="L114">
        <v>860</v>
      </c>
      <c r="M114">
        <v>840</v>
      </c>
      <c r="N114">
        <v>1100</v>
      </c>
      <c r="O114">
        <v>1310</v>
      </c>
      <c r="P114" s="6">
        <v>660</v>
      </c>
      <c r="Q114" t="e">
        <v>#DIV/0!</v>
      </c>
      <c r="R114" t="e">
        <v>#DIV/0!</v>
      </c>
      <c r="S114">
        <v>695</v>
      </c>
      <c r="T114" t="e">
        <v>#DIV/0!</v>
      </c>
      <c r="U114">
        <v>854</v>
      </c>
      <c r="V114">
        <v>1620</v>
      </c>
      <c r="W114" t="e">
        <v>#DIV/0!</v>
      </c>
      <c r="X114" t="e">
        <v>#DIV/0!</v>
      </c>
      <c r="Y114">
        <v>880</v>
      </c>
      <c r="Z114" t="e">
        <v>#DIV/0!</v>
      </c>
      <c r="AA114">
        <v>647</v>
      </c>
      <c r="AB114" t="e">
        <v>#DIV/0!</v>
      </c>
      <c r="AC114">
        <v>685</v>
      </c>
      <c r="AD114">
        <v>633</v>
      </c>
      <c r="AE114">
        <v>883</v>
      </c>
      <c r="AF114" s="6">
        <v>600</v>
      </c>
      <c r="AG114">
        <v>721</v>
      </c>
      <c r="AH114">
        <v>525</v>
      </c>
      <c r="AI114">
        <v>551</v>
      </c>
      <c r="AJ114">
        <v>489</v>
      </c>
      <c r="AK114">
        <v>420</v>
      </c>
      <c r="AL114">
        <v>421</v>
      </c>
      <c r="AM114" t="e">
        <v>#DIV/0!</v>
      </c>
      <c r="AN114">
        <v>470</v>
      </c>
      <c r="AO114" t="e">
        <v>#DIV/0!</v>
      </c>
      <c r="AP114">
        <v>646</v>
      </c>
      <c r="AQ114">
        <v>522</v>
      </c>
      <c r="AR114">
        <v>460</v>
      </c>
      <c r="AS114" t="e">
        <v>#DIV/0!</v>
      </c>
      <c r="AT114">
        <v>700</v>
      </c>
      <c r="AU114" t="e">
        <v>#DIV/0!</v>
      </c>
      <c r="AV114">
        <v>425</v>
      </c>
      <c r="AW114" t="e">
        <v>#DIV/0!</v>
      </c>
      <c r="AX114" s="6">
        <v>490</v>
      </c>
      <c r="AY114">
        <v>278</v>
      </c>
      <c r="AZ114">
        <v>610</v>
      </c>
      <c r="BA114">
        <v>447</v>
      </c>
      <c r="BB114">
        <v>340</v>
      </c>
      <c r="BC114">
        <v>510</v>
      </c>
      <c r="BD114">
        <v>400</v>
      </c>
      <c r="BE114">
        <v>490</v>
      </c>
      <c r="BF114">
        <v>543</v>
      </c>
      <c r="BG114" t="e">
        <v>#DIV/0!</v>
      </c>
      <c r="BH114" t="e">
        <v>#DIV/0!</v>
      </c>
      <c r="BI114" t="e">
        <v>#DIV/0!</v>
      </c>
    </row>
    <row r="115" spans="2:61" x14ac:dyDescent="0.25">
      <c r="B115" s="1">
        <v>43617</v>
      </c>
      <c r="C115" s="5">
        <v>700</v>
      </c>
      <c r="D115" s="6">
        <v>880</v>
      </c>
      <c r="E115" t="e">
        <v>#DIV/0!</v>
      </c>
      <c r="F115" t="e">
        <v>#DIV/0!</v>
      </c>
      <c r="G115">
        <v>724</v>
      </c>
      <c r="H115" t="e">
        <v>#DIV/0!</v>
      </c>
      <c r="I115" t="e">
        <v>#DIV/0!</v>
      </c>
      <c r="J115">
        <v>950</v>
      </c>
      <c r="K115">
        <v>978</v>
      </c>
      <c r="L115">
        <v>875</v>
      </c>
      <c r="M115">
        <v>885</v>
      </c>
      <c r="N115">
        <v>1065</v>
      </c>
      <c r="O115">
        <v>1400</v>
      </c>
      <c r="P115" s="6">
        <v>665</v>
      </c>
      <c r="Q115" t="e">
        <v>#DIV/0!</v>
      </c>
      <c r="R115" t="e">
        <v>#DIV/0!</v>
      </c>
      <c r="S115">
        <v>728</v>
      </c>
      <c r="T115" t="e">
        <v>#DIV/0!</v>
      </c>
      <c r="U115">
        <v>860</v>
      </c>
      <c r="V115">
        <v>755</v>
      </c>
      <c r="W115" t="e">
        <v>#DIV/0!</v>
      </c>
      <c r="X115" t="e">
        <v>#DIV/0!</v>
      </c>
      <c r="Y115">
        <v>930</v>
      </c>
      <c r="Z115" t="e">
        <v>#DIV/0!</v>
      </c>
      <c r="AA115">
        <v>668</v>
      </c>
      <c r="AB115" t="e">
        <v>#DIV/0!</v>
      </c>
      <c r="AC115">
        <v>670</v>
      </c>
      <c r="AD115">
        <v>650</v>
      </c>
      <c r="AE115">
        <v>930</v>
      </c>
      <c r="AF115" s="6">
        <v>600</v>
      </c>
      <c r="AG115">
        <v>720</v>
      </c>
      <c r="AH115">
        <v>538</v>
      </c>
      <c r="AI115">
        <v>565</v>
      </c>
      <c r="AJ115">
        <v>549</v>
      </c>
      <c r="AK115">
        <v>404</v>
      </c>
      <c r="AL115">
        <v>408</v>
      </c>
      <c r="AM115" t="e">
        <v>#DIV/0!</v>
      </c>
      <c r="AN115">
        <v>515</v>
      </c>
      <c r="AO115" t="e">
        <v>#DIV/0!</v>
      </c>
      <c r="AP115">
        <v>660</v>
      </c>
      <c r="AQ115">
        <v>480</v>
      </c>
      <c r="AR115">
        <v>450</v>
      </c>
      <c r="AS115" t="e">
        <v>#DIV/0!</v>
      </c>
      <c r="AT115">
        <v>720</v>
      </c>
      <c r="AU115" t="e">
        <v>#DIV/0!</v>
      </c>
      <c r="AV115">
        <v>425</v>
      </c>
      <c r="AW115" t="e">
        <v>#DIV/0!</v>
      </c>
      <c r="AX115" s="6">
        <v>503</v>
      </c>
      <c r="AY115">
        <v>289</v>
      </c>
      <c r="AZ115">
        <v>865</v>
      </c>
      <c r="BA115">
        <v>444</v>
      </c>
      <c r="BB115">
        <v>324</v>
      </c>
      <c r="BC115">
        <v>528</v>
      </c>
      <c r="BD115">
        <v>443</v>
      </c>
      <c r="BE115">
        <v>455</v>
      </c>
      <c r="BF115">
        <v>565</v>
      </c>
      <c r="BG115" t="e">
        <v>#DIV/0!</v>
      </c>
      <c r="BH115" t="e">
        <v>#DIV/0!</v>
      </c>
      <c r="BI115" t="e">
        <v>#DIV/0!</v>
      </c>
    </row>
    <row r="116" spans="2:61" x14ac:dyDescent="0.25">
      <c r="B116" s="1">
        <v>43709</v>
      </c>
      <c r="C116" s="5">
        <v>720</v>
      </c>
      <c r="D116" s="6">
        <v>950</v>
      </c>
      <c r="E116" t="e">
        <v>#DIV/0!</v>
      </c>
      <c r="F116" t="e">
        <v>#DIV/0!</v>
      </c>
      <c r="G116">
        <v>795</v>
      </c>
      <c r="H116" t="e">
        <v>#DIV/0!</v>
      </c>
      <c r="I116" t="e">
        <v>#DIV/0!</v>
      </c>
      <c r="J116">
        <v>940</v>
      </c>
      <c r="K116">
        <v>980</v>
      </c>
      <c r="L116">
        <v>941</v>
      </c>
      <c r="M116">
        <v>964</v>
      </c>
      <c r="N116">
        <v>1200</v>
      </c>
      <c r="O116">
        <v>1450</v>
      </c>
      <c r="P116" s="6">
        <v>679</v>
      </c>
      <c r="Q116" t="e">
        <v>#DIV/0!</v>
      </c>
      <c r="R116" t="e">
        <v>#DIV/0!</v>
      </c>
      <c r="S116">
        <v>735</v>
      </c>
      <c r="T116" t="e">
        <v>#DIV/0!</v>
      </c>
      <c r="U116">
        <v>900</v>
      </c>
      <c r="V116">
        <v>1290</v>
      </c>
      <c r="W116" t="e">
        <v>#DIV/0!</v>
      </c>
      <c r="X116" t="e">
        <v>#DIV/0!</v>
      </c>
      <c r="Y116">
        <v>900</v>
      </c>
      <c r="Z116" t="e">
        <v>#DIV/0!</v>
      </c>
      <c r="AA116">
        <v>650</v>
      </c>
      <c r="AB116" t="e">
        <v>#DIV/0!</v>
      </c>
      <c r="AC116">
        <v>780</v>
      </c>
      <c r="AD116">
        <v>625</v>
      </c>
      <c r="AE116">
        <v>990</v>
      </c>
      <c r="AF116" s="6">
        <v>610</v>
      </c>
      <c r="AG116">
        <v>780</v>
      </c>
      <c r="AH116">
        <v>550</v>
      </c>
      <c r="AI116">
        <v>600</v>
      </c>
      <c r="AJ116">
        <v>561</v>
      </c>
      <c r="AK116">
        <v>420</v>
      </c>
      <c r="AL116">
        <v>460</v>
      </c>
      <c r="AM116" t="e">
        <v>#DIV/0!</v>
      </c>
      <c r="AN116">
        <v>445</v>
      </c>
      <c r="AO116" t="e">
        <v>#DIV/0!</v>
      </c>
      <c r="AP116">
        <v>690</v>
      </c>
      <c r="AQ116">
        <v>485</v>
      </c>
      <c r="AR116">
        <v>475</v>
      </c>
      <c r="AS116" t="e">
        <v>#DIV/0!</v>
      </c>
      <c r="AT116">
        <v>730</v>
      </c>
      <c r="AU116" t="e">
        <v>#DIV/0!</v>
      </c>
      <c r="AV116">
        <v>425</v>
      </c>
      <c r="AW116" t="e">
        <v>#DIV/0!</v>
      </c>
      <c r="AX116" s="6">
        <v>480</v>
      </c>
      <c r="AY116">
        <v>295</v>
      </c>
      <c r="AZ116">
        <v>678</v>
      </c>
      <c r="BA116">
        <v>450</v>
      </c>
      <c r="BB116">
        <v>340</v>
      </c>
      <c r="BC116">
        <v>493</v>
      </c>
      <c r="BD116">
        <v>408</v>
      </c>
      <c r="BE116">
        <v>489</v>
      </c>
      <c r="BF116">
        <v>555</v>
      </c>
      <c r="BG116" t="e">
        <v>#DIV/0!</v>
      </c>
      <c r="BH116" t="e">
        <v>#DIV/0!</v>
      </c>
      <c r="BI116" t="e">
        <v>#DIV/0!</v>
      </c>
    </row>
    <row r="117" spans="2:61" x14ac:dyDescent="0.25">
      <c r="B117" s="1">
        <v>43800</v>
      </c>
      <c r="C117" s="5">
        <v>740</v>
      </c>
      <c r="D117" s="6">
        <v>984</v>
      </c>
      <c r="E117" t="e">
        <v>#DIV/0!</v>
      </c>
      <c r="F117" t="e">
        <v>#DIV/0!</v>
      </c>
      <c r="G117">
        <v>920</v>
      </c>
      <c r="H117" t="e">
        <v>#DIV/0!</v>
      </c>
      <c r="I117" t="e">
        <v>#DIV/0!</v>
      </c>
      <c r="J117">
        <v>1158</v>
      </c>
      <c r="K117">
        <v>1030</v>
      </c>
      <c r="L117">
        <v>1009</v>
      </c>
      <c r="M117">
        <v>937</v>
      </c>
      <c r="N117">
        <v>1160</v>
      </c>
      <c r="O117">
        <v>1275</v>
      </c>
      <c r="P117" s="6">
        <v>700</v>
      </c>
      <c r="Q117" t="e">
        <v>#DIV/0!</v>
      </c>
      <c r="R117" t="e">
        <v>#DIV/0!</v>
      </c>
      <c r="S117">
        <v>800</v>
      </c>
      <c r="T117" t="e">
        <v>#DIV/0!</v>
      </c>
      <c r="U117">
        <v>875</v>
      </c>
      <c r="V117">
        <v>1170</v>
      </c>
      <c r="W117" t="e">
        <v>#DIV/0!</v>
      </c>
      <c r="X117" t="e">
        <v>#DIV/0!</v>
      </c>
      <c r="Y117">
        <v>980</v>
      </c>
      <c r="Z117" t="e">
        <v>#DIV/0!</v>
      </c>
      <c r="AA117">
        <v>671</v>
      </c>
      <c r="AB117" t="e">
        <v>#DIV/0!</v>
      </c>
      <c r="AC117">
        <v>810</v>
      </c>
      <c r="AD117">
        <v>650</v>
      </c>
      <c r="AE117">
        <v>1010</v>
      </c>
      <c r="AF117" s="6">
        <v>630</v>
      </c>
      <c r="AG117">
        <v>800</v>
      </c>
      <c r="AH117">
        <v>520</v>
      </c>
      <c r="AI117">
        <v>525</v>
      </c>
      <c r="AJ117">
        <v>572</v>
      </c>
      <c r="AK117">
        <v>433</v>
      </c>
      <c r="AL117">
        <v>434</v>
      </c>
      <c r="AM117" t="e">
        <v>#DIV/0!</v>
      </c>
      <c r="AN117">
        <v>499</v>
      </c>
      <c r="AO117" t="e">
        <v>#DIV/0!</v>
      </c>
      <c r="AP117">
        <v>661</v>
      </c>
      <c r="AQ117">
        <v>480</v>
      </c>
      <c r="AR117">
        <v>490</v>
      </c>
      <c r="AS117" t="e">
        <v>#DIV/0!</v>
      </c>
      <c r="AT117">
        <v>742</v>
      </c>
      <c r="AU117" t="e">
        <v>#DIV/0!</v>
      </c>
      <c r="AV117">
        <v>425</v>
      </c>
      <c r="AW117" t="e">
        <v>#DIV/0!</v>
      </c>
      <c r="AX117" s="6">
        <v>500</v>
      </c>
      <c r="AY117">
        <v>320</v>
      </c>
      <c r="AZ117">
        <v>505</v>
      </c>
      <c r="BA117">
        <v>450</v>
      </c>
      <c r="BB117">
        <v>380</v>
      </c>
      <c r="BC117">
        <v>525</v>
      </c>
      <c r="BD117">
        <v>450</v>
      </c>
      <c r="BE117">
        <v>480</v>
      </c>
      <c r="BF117">
        <v>580</v>
      </c>
      <c r="BG117" t="e">
        <v>#DIV/0!</v>
      </c>
      <c r="BH117" t="e">
        <v>#DIV/0!</v>
      </c>
      <c r="BI117" t="e">
        <v>#DIV/0!</v>
      </c>
    </row>
    <row r="118" spans="2:61" x14ac:dyDescent="0.25">
      <c r="B118" s="1">
        <v>43891</v>
      </c>
      <c r="C118" s="5">
        <v>730</v>
      </c>
      <c r="D118" s="6">
        <v>1000</v>
      </c>
      <c r="E118" t="e">
        <v>#DIV/0!</v>
      </c>
      <c r="F118" t="e">
        <v>#DIV/0!</v>
      </c>
      <c r="G118">
        <v>878</v>
      </c>
      <c r="H118" t="e">
        <v>#DIV/0!</v>
      </c>
      <c r="I118" t="e">
        <v>#DIV/0!</v>
      </c>
      <c r="J118">
        <v>993</v>
      </c>
      <c r="K118">
        <v>1170</v>
      </c>
      <c r="L118">
        <v>1000</v>
      </c>
      <c r="M118">
        <v>935</v>
      </c>
      <c r="N118">
        <v>1300</v>
      </c>
      <c r="O118">
        <v>1410</v>
      </c>
      <c r="P118" s="6">
        <v>685</v>
      </c>
      <c r="Q118" t="e">
        <v>#DIV/0!</v>
      </c>
      <c r="R118" t="e">
        <v>#DIV/0!</v>
      </c>
      <c r="S118">
        <v>830</v>
      </c>
      <c r="T118" t="e">
        <v>#DIV/0!</v>
      </c>
      <c r="U118">
        <v>925</v>
      </c>
      <c r="V118">
        <v>853</v>
      </c>
      <c r="W118" t="e">
        <v>#DIV/0!</v>
      </c>
      <c r="X118" t="e">
        <v>#DIV/0!</v>
      </c>
      <c r="Y118">
        <v>934</v>
      </c>
      <c r="Z118" t="e">
        <v>#DIV/0!</v>
      </c>
      <c r="AA118">
        <v>650</v>
      </c>
      <c r="AB118" t="e">
        <v>#DIV/0!</v>
      </c>
      <c r="AC118">
        <v>745</v>
      </c>
      <c r="AD118">
        <v>650</v>
      </c>
      <c r="AE118">
        <v>1060</v>
      </c>
      <c r="AF118" s="6">
        <v>640</v>
      </c>
      <c r="AG118">
        <v>795</v>
      </c>
      <c r="AH118">
        <v>570</v>
      </c>
      <c r="AI118">
        <v>475</v>
      </c>
      <c r="AJ118">
        <v>608</v>
      </c>
      <c r="AK118">
        <v>441</v>
      </c>
      <c r="AL118">
        <v>405</v>
      </c>
      <c r="AM118" t="e">
        <v>#DIV/0!</v>
      </c>
      <c r="AN118">
        <v>515</v>
      </c>
      <c r="AO118" t="e">
        <v>#DIV/0!</v>
      </c>
      <c r="AP118">
        <v>673</v>
      </c>
      <c r="AQ118">
        <v>485</v>
      </c>
      <c r="AR118">
        <v>490</v>
      </c>
      <c r="AS118" t="e">
        <v>#DIV/0!</v>
      </c>
      <c r="AT118">
        <v>745</v>
      </c>
      <c r="AU118" t="e">
        <v>#DIV/0!</v>
      </c>
      <c r="AV118">
        <v>425</v>
      </c>
      <c r="AW118" t="e">
        <v>#DIV/0!</v>
      </c>
      <c r="AX118" s="6">
        <v>500</v>
      </c>
      <c r="AY118">
        <v>320</v>
      </c>
      <c r="AZ118">
        <v>600</v>
      </c>
      <c r="BA118">
        <v>453</v>
      </c>
      <c r="BB118">
        <v>385</v>
      </c>
      <c r="BC118">
        <v>504</v>
      </c>
      <c r="BD118">
        <v>410</v>
      </c>
      <c r="BE118">
        <v>511</v>
      </c>
      <c r="BF118">
        <v>583</v>
      </c>
      <c r="BG118" t="e">
        <v>#DIV/0!</v>
      </c>
      <c r="BH118" t="e">
        <v>#DIV/0!</v>
      </c>
      <c r="BI118" t="e">
        <v>#DIV/0!</v>
      </c>
    </row>
    <row r="119" spans="2:61" x14ac:dyDescent="0.25">
      <c r="B119" s="1">
        <v>43983</v>
      </c>
      <c r="C119" s="5">
        <v>735</v>
      </c>
      <c r="D119" s="6">
        <v>960</v>
      </c>
      <c r="E119" t="e">
        <v>#DIV/0!</v>
      </c>
      <c r="F119" t="e">
        <v>#DIV/0!</v>
      </c>
      <c r="G119">
        <v>785</v>
      </c>
      <c r="H119" t="e">
        <v>#DIV/0!</v>
      </c>
      <c r="I119" t="e">
        <v>#DIV/0!</v>
      </c>
      <c r="J119">
        <v>950</v>
      </c>
      <c r="K119">
        <v>1100</v>
      </c>
      <c r="L119">
        <v>975</v>
      </c>
      <c r="M119">
        <v>885</v>
      </c>
      <c r="N119">
        <v>1140</v>
      </c>
      <c r="O119">
        <v>1608</v>
      </c>
      <c r="P119" s="6">
        <v>675</v>
      </c>
      <c r="Q119" t="e">
        <v>#DIV/0!</v>
      </c>
      <c r="R119" t="e">
        <v>#DIV/0!</v>
      </c>
      <c r="S119">
        <v>690</v>
      </c>
      <c r="T119" t="e">
        <v>#DIV/0!</v>
      </c>
      <c r="U119">
        <v>900</v>
      </c>
      <c r="V119">
        <v>880</v>
      </c>
      <c r="W119" t="e">
        <v>#DIV/0!</v>
      </c>
      <c r="X119" t="e">
        <v>#DIV/0!</v>
      </c>
      <c r="Y119">
        <v>900</v>
      </c>
      <c r="Z119" t="e">
        <v>#DIV/0!</v>
      </c>
      <c r="AA119">
        <v>630</v>
      </c>
      <c r="AB119" t="e">
        <v>#DIV/0!</v>
      </c>
      <c r="AC119">
        <v>730</v>
      </c>
      <c r="AD119">
        <v>630</v>
      </c>
      <c r="AE119">
        <v>952</v>
      </c>
      <c r="AF119" s="6">
        <v>636</v>
      </c>
      <c r="AG119">
        <v>784</v>
      </c>
      <c r="AH119">
        <v>540</v>
      </c>
      <c r="AI119">
        <v>565</v>
      </c>
      <c r="AJ119">
        <v>465</v>
      </c>
      <c r="AK119">
        <v>430</v>
      </c>
      <c r="AL119">
        <v>420</v>
      </c>
      <c r="AM119" t="e">
        <v>#DIV/0!</v>
      </c>
      <c r="AN119">
        <v>485</v>
      </c>
      <c r="AO119" t="e">
        <v>#DIV/0!</v>
      </c>
      <c r="AP119">
        <v>665</v>
      </c>
      <c r="AQ119">
        <v>510</v>
      </c>
      <c r="AR119">
        <v>473</v>
      </c>
      <c r="AS119" t="e">
        <v>#DIV/0!</v>
      </c>
      <c r="AT119">
        <v>733</v>
      </c>
      <c r="AU119" t="e">
        <v>#DIV/0!</v>
      </c>
      <c r="AV119">
        <v>425</v>
      </c>
      <c r="AW119" t="e">
        <v>#DIV/0!</v>
      </c>
      <c r="AX119" s="6">
        <v>520</v>
      </c>
      <c r="AY119">
        <v>284</v>
      </c>
      <c r="AZ119">
        <v>675</v>
      </c>
      <c r="BA119">
        <v>480</v>
      </c>
      <c r="BB119">
        <v>321</v>
      </c>
      <c r="BC119">
        <v>504</v>
      </c>
      <c r="BD119">
        <v>420</v>
      </c>
      <c r="BE119">
        <v>515</v>
      </c>
      <c r="BF119">
        <v>575</v>
      </c>
      <c r="BG119" t="e">
        <v>#DIV/0!</v>
      </c>
      <c r="BH119" t="e">
        <v>#DIV/0!</v>
      </c>
      <c r="BI119" t="e">
        <v>#DIV/0!</v>
      </c>
    </row>
    <row r="120" spans="2:61" x14ac:dyDescent="0.25">
      <c r="B120" s="1">
        <v>44075</v>
      </c>
      <c r="C120" s="5">
        <v>730</v>
      </c>
      <c r="D120" s="6">
        <v>930</v>
      </c>
      <c r="E120" t="e">
        <v>#DIV/0!</v>
      </c>
      <c r="F120" t="e">
        <v>#DIV/0!</v>
      </c>
      <c r="G120">
        <v>745</v>
      </c>
      <c r="H120" t="e">
        <v>#DIV/0!</v>
      </c>
      <c r="I120" t="e">
        <v>#DIV/0!</v>
      </c>
      <c r="J120">
        <v>1023</v>
      </c>
      <c r="K120">
        <v>1075</v>
      </c>
      <c r="L120">
        <v>995</v>
      </c>
      <c r="M120">
        <v>900</v>
      </c>
      <c r="N120">
        <v>1120</v>
      </c>
      <c r="O120">
        <v>1363</v>
      </c>
      <c r="P120" s="6">
        <v>689</v>
      </c>
      <c r="Q120" t="e">
        <v>#DIV/0!</v>
      </c>
      <c r="R120" t="e">
        <v>#DIV/0!</v>
      </c>
      <c r="S120">
        <v>820</v>
      </c>
      <c r="T120" t="e">
        <v>#DIV/0!</v>
      </c>
      <c r="U120">
        <v>930</v>
      </c>
      <c r="V120">
        <v>1125</v>
      </c>
      <c r="W120" t="e">
        <v>#DIV/0!</v>
      </c>
      <c r="X120" t="e">
        <v>#DIV/0!</v>
      </c>
      <c r="Y120">
        <v>922</v>
      </c>
      <c r="Z120" t="e">
        <v>#DIV/0!</v>
      </c>
      <c r="AA120">
        <v>650</v>
      </c>
      <c r="AB120" t="e">
        <v>#DIV/0!</v>
      </c>
      <c r="AC120">
        <v>773</v>
      </c>
      <c r="AD120">
        <v>660</v>
      </c>
      <c r="AE120">
        <v>975</v>
      </c>
      <c r="AF120" s="6">
        <v>635</v>
      </c>
      <c r="AG120">
        <v>795</v>
      </c>
      <c r="AH120">
        <v>540</v>
      </c>
      <c r="AI120">
        <v>550</v>
      </c>
      <c r="AJ120">
        <v>600</v>
      </c>
      <c r="AK120">
        <v>453</v>
      </c>
      <c r="AL120">
        <v>445</v>
      </c>
      <c r="AM120" t="e">
        <v>#DIV/0!</v>
      </c>
      <c r="AN120">
        <v>493</v>
      </c>
      <c r="AO120" t="e">
        <v>#DIV/0!</v>
      </c>
      <c r="AP120">
        <v>697</v>
      </c>
      <c r="AQ120">
        <v>500</v>
      </c>
      <c r="AR120">
        <v>500</v>
      </c>
      <c r="AS120" t="e">
        <v>#DIV/0!</v>
      </c>
      <c r="AT120">
        <v>740</v>
      </c>
      <c r="AU120" t="e">
        <v>#DIV/0!</v>
      </c>
      <c r="AV120">
        <v>425</v>
      </c>
      <c r="AW120" t="e">
        <v>#DIV/0!</v>
      </c>
      <c r="AX120" s="6">
        <v>511</v>
      </c>
      <c r="AY120">
        <v>283</v>
      </c>
      <c r="AZ120">
        <v>668</v>
      </c>
      <c r="BA120">
        <v>455</v>
      </c>
      <c r="BB120">
        <v>361</v>
      </c>
      <c r="BC120">
        <v>528</v>
      </c>
      <c r="BD120">
        <v>430</v>
      </c>
      <c r="BE120">
        <v>509</v>
      </c>
      <c r="BF120">
        <v>570</v>
      </c>
      <c r="BG120" t="e">
        <v>#DIV/0!</v>
      </c>
      <c r="BH120" t="e">
        <v>#DIV/0!</v>
      </c>
      <c r="BI120" t="e">
        <v>#DIV/0!</v>
      </c>
    </row>
    <row r="121" spans="2:61" x14ac:dyDescent="0.25">
      <c r="B121" s="1">
        <v>44166</v>
      </c>
      <c r="C121" s="5">
        <v>750</v>
      </c>
      <c r="D121" s="6">
        <v>956</v>
      </c>
      <c r="E121" t="e">
        <v>#DIV/0!</v>
      </c>
      <c r="F121" t="e">
        <v>#DIV/0!</v>
      </c>
      <c r="G121">
        <v>772</v>
      </c>
      <c r="H121" t="e">
        <v>#DIV/0!</v>
      </c>
      <c r="I121" t="e">
        <v>#DIV/0!</v>
      </c>
      <c r="J121">
        <v>1085</v>
      </c>
      <c r="K121">
        <v>1160</v>
      </c>
      <c r="L121">
        <v>950</v>
      </c>
      <c r="M121">
        <v>890</v>
      </c>
      <c r="N121">
        <v>1221</v>
      </c>
      <c r="O121">
        <v>1528</v>
      </c>
      <c r="P121" s="6">
        <v>705</v>
      </c>
      <c r="Q121" t="e">
        <v>#DIV/0!</v>
      </c>
      <c r="R121" t="e">
        <v>#DIV/0!</v>
      </c>
      <c r="S121">
        <v>715</v>
      </c>
      <c r="T121" t="e">
        <v>#DIV/0!</v>
      </c>
      <c r="U121">
        <v>885</v>
      </c>
      <c r="V121">
        <v>1263</v>
      </c>
      <c r="W121" t="e">
        <v>#DIV/0!</v>
      </c>
      <c r="X121" t="e">
        <v>#DIV/0!</v>
      </c>
      <c r="Y121">
        <v>950</v>
      </c>
      <c r="Z121" t="e">
        <v>#DIV/0!</v>
      </c>
      <c r="AA121">
        <v>675</v>
      </c>
      <c r="AB121" t="e">
        <v>#DIV/0!</v>
      </c>
      <c r="AC121">
        <v>760</v>
      </c>
      <c r="AD121">
        <v>656</v>
      </c>
      <c r="AE121">
        <v>951</v>
      </c>
      <c r="AF121" s="6">
        <v>645</v>
      </c>
      <c r="AG121">
        <v>830</v>
      </c>
      <c r="AH121">
        <v>545</v>
      </c>
      <c r="AI121">
        <v>515</v>
      </c>
      <c r="AJ121">
        <v>613</v>
      </c>
      <c r="AK121">
        <v>440</v>
      </c>
      <c r="AL121">
        <v>436</v>
      </c>
      <c r="AM121" t="e">
        <v>#DIV/0!</v>
      </c>
      <c r="AN121">
        <v>505</v>
      </c>
      <c r="AO121" t="e">
        <v>#DIV/0!</v>
      </c>
      <c r="AP121">
        <v>695</v>
      </c>
      <c r="AQ121">
        <v>500</v>
      </c>
      <c r="AR121">
        <v>518</v>
      </c>
      <c r="AS121" t="e">
        <v>#DIV/0!</v>
      </c>
      <c r="AT121">
        <v>770</v>
      </c>
      <c r="AU121" t="e">
        <v>#DIV/0!</v>
      </c>
      <c r="AV121">
        <v>425</v>
      </c>
      <c r="AW121" t="e">
        <v>#DIV/0!</v>
      </c>
      <c r="AX121" s="6">
        <v>539</v>
      </c>
      <c r="AY121">
        <v>310</v>
      </c>
      <c r="AZ121">
        <v>690</v>
      </c>
      <c r="BA121">
        <v>515</v>
      </c>
      <c r="BB121">
        <v>385</v>
      </c>
      <c r="BC121">
        <v>535</v>
      </c>
      <c r="BD121">
        <v>433</v>
      </c>
      <c r="BE121">
        <v>540</v>
      </c>
      <c r="BF121">
        <v>599</v>
      </c>
      <c r="BG121" t="e">
        <v>#DIV/0!</v>
      </c>
      <c r="BH121" t="e">
        <v>#DIV/0!</v>
      </c>
      <c r="BI121" t="e">
        <v>#DIV/0!</v>
      </c>
    </row>
    <row r="122" spans="2:61" x14ac:dyDescent="0.25">
      <c r="B122" s="1">
        <v>44256</v>
      </c>
      <c r="C122" s="5">
        <v>750</v>
      </c>
      <c r="D122" s="6">
        <v>968</v>
      </c>
      <c r="E122" t="e">
        <v>#DIV/0!</v>
      </c>
      <c r="F122" t="e">
        <v>#DIV/0!</v>
      </c>
      <c r="G122">
        <v>773</v>
      </c>
      <c r="H122" t="e">
        <v>#DIV/0!</v>
      </c>
      <c r="I122" t="e">
        <v>#DIV/0!</v>
      </c>
      <c r="J122">
        <v>1120</v>
      </c>
      <c r="K122">
        <v>1180</v>
      </c>
      <c r="L122">
        <v>989</v>
      </c>
      <c r="M122">
        <v>918</v>
      </c>
      <c r="N122">
        <v>1365</v>
      </c>
      <c r="O122">
        <v>1640</v>
      </c>
      <c r="P122" s="6">
        <v>710</v>
      </c>
      <c r="Q122" t="e">
        <v>#DIV/0!</v>
      </c>
      <c r="R122" t="e">
        <v>#DIV/0!</v>
      </c>
      <c r="S122">
        <v>769</v>
      </c>
      <c r="T122" t="e">
        <v>#DIV/0!</v>
      </c>
      <c r="U122">
        <v>1013</v>
      </c>
      <c r="V122">
        <v>1100</v>
      </c>
      <c r="W122" t="e">
        <v>#DIV/0!</v>
      </c>
      <c r="X122" t="e">
        <v>#DIV/0!</v>
      </c>
      <c r="Y122">
        <v>990</v>
      </c>
      <c r="Z122" t="e">
        <v>#DIV/0!</v>
      </c>
      <c r="AA122">
        <v>690</v>
      </c>
      <c r="AB122" t="e">
        <v>#DIV/0!</v>
      </c>
      <c r="AC122">
        <v>800</v>
      </c>
      <c r="AD122">
        <v>635</v>
      </c>
      <c r="AE122">
        <v>1015</v>
      </c>
      <c r="AF122" s="6">
        <v>655</v>
      </c>
      <c r="AG122">
        <v>819</v>
      </c>
      <c r="AH122">
        <v>570</v>
      </c>
      <c r="AI122">
        <v>600</v>
      </c>
      <c r="AJ122">
        <v>610</v>
      </c>
      <c r="AK122">
        <v>465</v>
      </c>
      <c r="AL122">
        <v>470</v>
      </c>
      <c r="AM122" t="e">
        <v>#DIV/0!</v>
      </c>
      <c r="AN122">
        <v>573</v>
      </c>
      <c r="AO122" t="e">
        <v>#DIV/0!</v>
      </c>
      <c r="AP122">
        <v>701</v>
      </c>
      <c r="AQ122">
        <v>520</v>
      </c>
      <c r="AR122">
        <v>522</v>
      </c>
      <c r="AS122" t="e">
        <v>#DIV/0!</v>
      </c>
      <c r="AT122">
        <v>813</v>
      </c>
      <c r="AU122" t="e">
        <v>#DIV/0!</v>
      </c>
      <c r="AV122">
        <v>425</v>
      </c>
      <c r="AW122" t="e">
        <v>#DIV/0!</v>
      </c>
      <c r="AX122" s="6">
        <v>550</v>
      </c>
      <c r="AY122">
        <v>311</v>
      </c>
      <c r="AZ122">
        <v>760</v>
      </c>
      <c r="BA122">
        <v>530</v>
      </c>
      <c r="BB122">
        <v>398</v>
      </c>
      <c r="BC122">
        <v>560</v>
      </c>
      <c r="BD122">
        <v>473</v>
      </c>
      <c r="BE122">
        <v>565</v>
      </c>
      <c r="BF122">
        <v>600</v>
      </c>
      <c r="BG122" t="e">
        <v>#DIV/0!</v>
      </c>
      <c r="BH122" t="e">
        <v>#DIV/0!</v>
      </c>
      <c r="BI122" t="e">
        <v>#DIV/0!</v>
      </c>
    </row>
    <row r="123" spans="2:61" x14ac:dyDescent="0.25">
      <c r="B123" s="1">
        <v>44348</v>
      </c>
      <c r="C123" s="5">
        <v>780</v>
      </c>
      <c r="D123" s="6">
        <v>1085</v>
      </c>
      <c r="E123" t="e">
        <v>#DIV/0!</v>
      </c>
      <c r="F123" t="e">
        <v>#DIV/0!</v>
      </c>
      <c r="G123">
        <v>850</v>
      </c>
      <c r="H123" t="e">
        <v>#DIV/0!</v>
      </c>
      <c r="I123" t="e">
        <v>#DIV/0!</v>
      </c>
      <c r="J123">
        <v>1255</v>
      </c>
      <c r="K123">
        <v>1200</v>
      </c>
      <c r="L123">
        <v>1125</v>
      </c>
      <c r="M123">
        <v>980</v>
      </c>
      <c r="N123">
        <v>1395</v>
      </c>
      <c r="O123">
        <v>1670</v>
      </c>
      <c r="P123" s="6">
        <v>730</v>
      </c>
      <c r="Q123" t="e">
        <v>#DIV/0!</v>
      </c>
      <c r="R123" t="e">
        <v>#DIV/0!</v>
      </c>
      <c r="S123">
        <v>860</v>
      </c>
      <c r="T123" t="e">
        <v>#DIV/0!</v>
      </c>
      <c r="U123">
        <v>1044</v>
      </c>
      <c r="V123">
        <v>1600</v>
      </c>
      <c r="W123" t="e">
        <v>#DIV/0!</v>
      </c>
      <c r="X123" t="e">
        <v>#DIV/0!</v>
      </c>
      <c r="Y123">
        <v>1060</v>
      </c>
      <c r="Z123" t="e">
        <v>#DIV/0!</v>
      </c>
      <c r="AA123">
        <v>710</v>
      </c>
      <c r="AB123" t="e">
        <v>#DIV/0!</v>
      </c>
      <c r="AC123">
        <v>860</v>
      </c>
      <c r="AD123">
        <v>650</v>
      </c>
      <c r="AE123">
        <v>1055</v>
      </c>
      <c r="AF123" s="6">
        <v>665</v>
      </c>
      <c r="AG123">
        <v>818</v>
      </c>
      <c r="AH123">
        <v>580</v>
      </c>
      <c r="AI123">
        <v>555</v>
      </c>
      <c r="AJ123">
        <v>519</v>
      </c>
      <c r="AK123">
        <v>477</v>
      </c>
      <c r="AL123">
        <v>429</v>
      </c>
      <c r="AM123" t="e">
        <v>#DIV/0!</v>
      </c>
      <c r="AN123">
        <v>585</v>
      </c>
      <c r="AO123" t="e">
        <v>#DIV/0!</v>
      </c>
      <c r="AP123">
        <v>705</v>
      </c>
      <c r="AQ123">
        <v>524</v>
      </c>
      <c r="AR123">
        <v>521</v>
      </c>
      <c r="AS123" t="e">
        <v>#DIV/0!</v>
      </c>
      <c r="AT123">
        <v>800</v>
      </c>
      <c r="AU123" t="e">
        <v>#DIV/0!</v>
      </c>
      <c r="AV123">
        <v>492</v>
      </c>
      <c r="AW123" t="e">
        <v>#DIV/0!</v>
      </c>
      <c r="AX123" s="6">
        <v>595</v>
      </c>
      <c r="AY123">
        <v>350</v>
      </c>
      <c r="AZ123">
        <v>865</v>
      </c>
      <c r="BA123">
        <v>520</v>
      </c>
      <c r="BB123">
        <v>425</v>
      </c>
      <c r="BC123">
        <v>635</v>
      </c>
      <c r="BD123">
        <v>535</v>
      </c>
      <c r="BE123">
        <v>574</v>
      </c>
      <c r="BF123">
        <v>648</v>
      </c>
      <c r="BG123" t="e">
        <v>#DIV/0!</v>
      </c>
      <c r="BH123" t="e">
        <v>#DIV/0!</v>
      </c>
      <c r="BI123" t="e">
        <v>#DIV/0!</v>
      </c>
    </row>
    <row r="124" spans="2:61" x14ac:dyDescent="0.25">
      <c r="B124" s="1">
        <v>44440</v>
      </c>
      <c r="C124" s="5">
        <v>800</v>
      </c>
      <c r="D124" s="6">
        <v>1100</v>
      </c>
      <c r="E124" t="e">
        <v>#DIV/0!</v>
      </c>
      <c r="F124" t="e">
        <v>#DIV/0!</v>
      </c>
      <c r="G124">
        <v>890</v>
      </c>
      <c r="H124" t="e">
        <v>#DIV/0!</v>
      </c>
      <c r="I124" t="e">
        <v>#DIV/0!</v>
      </c>
      <c r="J124">
        <v>1300</v>
      </c>
      <c r="K124">
        <v>1315</v>
      </c>
      <c r="L124">
        <v>1160</v>
      </c>
      <c r="M124">
        <v>986</v>
      </c>
      <c r="N124">
        <v>1400</v>
      </c>
      <c r="O124">
        <v>1506</v>
      </c>
      <c r="P124" s="6">
        <v>735</v>
      </c>
      <c r="Q124" t="e">
        <v>#DIV/0!</v>
      </c>
      <c r="R124" t="e">
        <v>#DIV/0!</v>
      </c>
      <c r="S124">
        <v>750</v>
      </c>
      <c r="T124" t="e">
        <v>#DIV/0!</v>
      </c>
      <c r="U124">
        <v>1020</v>
      </c>
      <c r="V124">
        <v>1230</v>
      </c>
      <c r="W124" t="e">
        <v>#DIV/0!</v>
      </c>
      <c r="X124" t="e">
        <v>#DIV/0!</v>
      </c>
      <c r="Y124">
        <v>1085</v>
      </c>
      <c r="Z124" t="e">
        <v>#DIV/0!</v>
      </c>
      <c r="AA124">
        <v>705</v>
      </c>
      <c r="AB124" t="e">
        <v>#DIV/0!</v>
      </c>
      <c r="AC124">
        <v>830</v>
      </c>
      <c r="AD124">
        <v>640</v>
      </c>
      <c r="AE124">
        <v>1060</v>
      </c>
      <c r="AF124" s="6">
        <v>710</v>
      </c>
      <c r="AG124">
        <v>870</v>
      </c>
      <c r="AH124">
        <v>624</v>
      </c>
      <c r="AI124">
        <v>679</v>
      </c>
      <c r="AJ124">
        <v>641</v>
      </c>
      <c r="AK124">
        <v>494</v>
      </c>
      <c r="AL124">
        <v>486</v>
      </c>
      <c r="AM124" t="e">
        <v>#DIV/0!</v>
      </c>
      <c r="AN124">
        <v>560</v>
      </c>
      <c r="AO124" t="e">
        <v>#DIV/0!</v>
      </c>
      <c r="AP124">
        <v>720</v>
      </c>
      <c r="AQ124">
        <v>530</v>
      </c>
      <c r="AR124">
        <v>540</v>
      </c>
      <c r="AS124" t="e">
        <v>#DIV/0!</v>
      </c>
      <c r="AT124">
        <v>844</v>
      </c>
      <c r="AU124" t="e">
        <v>#DIV/0!</v>
      </c>
      <c r="AV124">
        <v>517</v>
      </c>
      <c r="AW124" t="e">
        <v>#DIV/0!</v>
      </c>
      <c r="AX124" s="6">
        <v>610</v>
      </c>
      <c r="AY124">
        <v>364</v>
      </c>
      <c r="AZ124">
        <v>860</v>
      </c>
      <c r="BA124">
        <v>592</v>
      </c>
      <c r="BB124">
        <v>440</v>
      </c>
      <c r="BC124">
        <v>635</v>
      </c>
      <c r="BD124">
        <v>518</v>
      </c>
      <c r="BE124">
        <v>610</v>
      </c>
      <c r="BF124">
        <v>680</v>
      </c>
      <c r="BG124" t="e">
        <v>#DIV/0!</v>
      </c>
      <c r="BH124" t="e">
        <v>#DIV/0!</v>
      </c>
      <c r="BI124" t="e">
        <v>#DIV/0!</v>
      </c>
    </row>
    <row r="125" spans="2:61" x14ac:dyDescent="0.25">
      <c r="B125" s="1">
        <v>44531</v>
      </c>
      <c r="C125" s="5">
        <v>805</v>
      </c>
      <c r="D125" s="6">
        <v>1125</v>
      </c>
      <c r="E125" t="e">
        <v>#DIV/0!</v>
      </c>
      <c r="F125" t="e">
        <v>#DIV/0!</v>
      </c>
      <c r="G125">
        <v>900</v>
      </c>
      <c r="H125" t="e">
        <v>#DIV/0!</v>
      </c>
      <c r="I125" t="e">
        <v>#DIV/0!</v>
      </c>
      <c r="J125">
        <v>1600</v>
      </c>
      <c r="K125">
        <v>1368</v>
      </c>
      <c r="L125">
        <v>1162</v>
      </c>
      <c r="M125">
        <v>986</v>
      </c>
      <c r="N125">
        <v>1570</v>
      </c>
      <c r="O125">
        <v>1750</v>
      </c>
      <c r="P125" s="6">
        <v>740</v>
      </c>
      <c r="Q125" t="e">
        <v>#DIV/0!</v>
      </c>
      <c r="R125" t="e">
        <v>#DIV/0!</v>
      </c>
      <c r="S125">
        <v>840</v>
      </c>
      <c r="T125" t="e">
        <v>#DIV/0!</v>
      </c>
      <c r="U125">
        <v>1000</v>
      </c>
      <c r="V125">
        <v>1008</v>
      </c>
      <c r="W125" t="e">
        <v>#DIV/0!</v>
      </c>
      <c r="X125" t="e">
        <v>#DIV/0!</v>
      </c>
      <c r="Y125">
        <v>1019</v>
      </c>
      <c r="Z125" t="e">
        <v>#DIV/0!</v>
      </c>
      <c r="AA125">
        <v>720</v>
      </c>
      <c r="AB125" t="e">
        <v>#DIV/0!</v>
      </c>
      <c r="AC125">
        <v>811</v>
      </c>
      <c r="AD125">
        <v>665</v>
      </c>
      <c r="AE125">
        <v>1070</v>
      </c>
      <c r="AF125" s="6">
        <v>715</v>
      </c>
      <c r="AG125">
        <v>932</v>
      </c>
      <c r="AH125">
        <v>605</v>
      </c>
      <c r="AI125">
        <v>625</v>
      </c>
      <c r="AJ125">
        <v>728</v>
      </c>
      <c r="AK125">
        <v>518</v>
      </c>
      <c r="AL125">
        <v>520</v>
      </c>
      <c r="AM125" t="e">
        <v>#DIV/0!</v>
      </c>
      <c r="AN125">
        <v>651</v>
      </c>
      <c r="AO125" t="e">
        <v>#DIV/0!</v>
      </c>
      <c r="AP125">
        <v>744</v>
      </c>
      <c r="AQ125">
        <v>534</v>
      </c>
      <c r="AR125">
        <v>561</v>
      </c>
      <c r="AS125" t="e">
        <v>#DIV/0!</v>
      </c>
      <c r="AT125">
        <v>898</v>
      </c>
      <c r="AU125" t="e">
        <v>#DIV/0!</v>
      </c>
      <c r="AV125">
        <v>517</v>
      </c>
      <c r="AW125" t="e">
        <v>#DIV/0!</v>
      </c>
      <c r="AX125" s="6">
        <v>640</v>
      </c>
      <c r="AY125">
        <v>370</v>
      </c>
      <c r="AZ125">
        <v>863</v>
      </c>
      <c r="BA125">
        <v>595</v>
      </c>
      <c r="BB125">
        <v>460</v>
      </c>
      <c r="BC125">
        <v>666</v>
      </c>
      <c r="BD125">
        <v>585</v>
      </c>
      <c r="BE125">
        <v>660</v>
      </c>
      <c r="BF125">
        <v>690</v>
      </c>
      <c r="BG125" t="e">
        <v>#DIV/0!</v>
      </c>
      <c r="BH125" t="e">
        <v>#DIV/0!</v>
      </c>
      <c r="BI125" t="e">
        <v>#DIV/0!</v>
      </c>
    </row>
    <row r="126" spans="2:61" x14ac:dyDescent="0.25">
      <c r="B126" s="1">
        <v>44621</v>
      </c>
      <c r="C126" s="5">
        <v>781</v>
      </c>
      <c r="D126" s="6">
        <v>1060</v>
      </c>
      <c r="E126" t="e">
        <v>#DIV/0!</v>
      </c>
      <c r="F126" t="e">
        <v>#DIV/0!</v>
      </c>
      <c r="G126">
        <v>857</v>
      </c>
      <c r="H126" t="e">
        <v>#DIV/0!</v>
      </c>
      <c r="I126" t="e">
        <v>#DIV/0!</v>
      </c>
      <c r="J126">
        <v>1200</v>
      </c>
      <c r="K126">
        <v>1274</v>
      </c>
      <c r="L126">
        <v>1173</v>
      </c>
      <c r="M126">
        <v>955</v>
      </c>
      <c r="N126">
        <v>1640</v>
      </c>
      <c r="O126">
        <v>1903</v>
      </c>
      <c r="P126" s="6">
        <v>715</v>
      </c>
      <c r="Q126" t="e">
        <v>#DIV/0!</v>
      </c>
      <c r="R126" t="e">
        <v>#DIV/0!</v>
      </c>
      <c r="S126">
        <v>772</v>
      </c>
      <c r="T126" t="e">
        <v>#DIV/0!</v>
      </c>
      <c r="U126">
        <v>995</v>
      </c>
      <c r="V126">
        <v>1560</v>
      </c>
      <c r="W126" t="e">
        <v>#DIV/0!</v>
      </c>
      <c r="X126" t="e">
        <v>#DIV/0!</v>
      </c>
      <c r="Y126">
        <v>1036</v>
      </c>
      <c r="Z126" t="e">
        <v>#DIV/0!</v>
      </c>
      <c r="AA126">
        <v>686</v>
      </c>
      <c r="AB126" t="e">
        <v>#DIV/0!</v>
      </c>
      <c r="AC126">
        <v>785</v>
      </c>
      <c r="AD126">
        <v>651</v>
      </c>
      <c r="AE126">
        <v>1100</v>
      </c>
      <c r="AF126" s="6">
        <v>700</v>
      </c>
      <c r="AG126">
        <v>935</v>
      </c>
      <c r="AH126">
        <v>590</v>
      </c>
      <c r="AI126">
        <v>603</v>
      </c>
      <c r="AJ126">
        <v>687</v>
      </c>
      <c r="AK126">
        <v>536</v>
      </c>
      <c r="AL126">
        <v>450</v>
      </c>
      <c r="AM126" t="e">
        <v>#DIV/0!</v>
      </c>
      <c r="AN126">
        <v>650</v>
      </c>
      <c r="AO126" t="e">
        <v>#DIV/0!</v>
      </c>
      <c r="AP126">
        <v>715</v>
      </c>
      <c r="AQ126">
        <v>542</v>
      </c>
      <c r="AR126">
        <v>600</v>
      </c>
      <c r="AS126" t="e">
        <v>#DIV/0!</v>
      </c>
      <c r="AT126">
        <v>920</v>
      </c>
      <c r="AU126" t="e">
        <v>#DIV/0!</v>
      </c>
      <c r="AV126">
        <v>517</v>
      </c>
      <c r="AW126" t="e">
        <v>#DIV/0!</v>
      </c>
      <c r="AX126" s="6">
        <v>650</v>
      </c>
      <c r="AY126">
        <v>425</v>
      </c>
      <c r="AZ126">
        <v>943</v>
      </c>
      <c r="BA126">
        <v>612</v>
      </c>
      <c r="BB126">
        <v>518</v>
      </c>
      <c r="BC126">
        <v>640</v>
      </c>
      <c r="BD126">
        <v>639</v>
      </c>
      <c r="BE126">
        <v>660</v>
      </c>
      <c r="BF126">
        <v>723</v>
      </c>
      <c r="BG126" t="e">
        <v>#DIV/0!</v>
      </c>
      <c r="BH126" t="e">
        <v>#DIV/0!</v>
      </c>
      <c r="BI126" t="e">
        <v>#DIV/0!</v>
      </c>
    </row>
    <row r="127" spans="2:61" x14ac:dyDescent="0.25">
      <c r="B127" s="1">
        <v>44713</v>
      </c>
      <c r="C127" s="5">
        <v>779</v>
      </c>
      <c r="D127" s="6">
        <v>1060</v>
      </c>
      <c r="E127" t="e">
        <v>#DIV/0!</v>
      </c>
      <c r="F127" t="e">
        <v>#DIV/0!</v>
      </c>
      <c r="G127">
        <v>873</v>
      </c>
      <c r="H127" t="e">
        <v>#DIV/0!</v>
      </c>
      <c r="I127" t="e">
        <v>#DIV/0!</v>
      </c>
      <c r="J127">
        <v>1600</v>
      </c>
      <c r="K127">
        <v>1240</v>
      </c>
      <c r="L127">
        <v>1098</v>
      </c>
      <c r="M127">
        <v>965</v>
      </c>
      <c r="N127">
        <v>1403</v>
      </c>
      <c r="O127">
        <v>1675</v>
      </c>
      <c r="P127" s="6">
        <v>730</v>
      </c>
      <c r="Q127" t="e">
        <v>#DIV/0!</v>
      </c>
      <c r="R127" t="e">
        <v>#DIV/0!</v>
      </c>
      <c r="S127">
        <v>880</v>
      </c>
      <c r="T127" t="e">
        <v>#DIV/0!</v>
      </c>
      <c r="U127">
        <v>1050</v>
      </c>
      <c r="V127">
        <v>925</v>
      </c>
      <c r="W127" t="e">
        <v>#DIV/0!</v>
      </c>
      <c r="X127" t="e">
        <v>#DIV/0!</v>
      </c>
      <c r="Y127">
        <v>1075</v>
      </c>
      <c r="Z127" t="e">
        <v>#DIV/0!</v>
      </c>
      <c r="AA127">
        <v>680</v>
      </c>
      <c r="AB127" t="e">
        <v>#DIV/0!</v>
      </c>
      <c r="AC127">
        <v>838</v>
      </c>
      <c r="AD127">
        <v>655</v>
      </c>
      <c r="AE127">
        <v>1620</v>
      </c>
      <c r="AF127" s="6">
        <v>691</v>
      </c>
      <c r="AG127">
        <v>800</v>
      </c>
      <c r="AH127">
        <v>600</v>
      </c>
      <c r="AI127">
        <v>700</v>
      </c>
      <c r="AJ127">
        <v>691</v>
      </c>
      <c r="AK127">
        <v>533</v>
      </c>
      <c r="AL127">
        <v>497</v>
      </c>
      <c r="AM127" t="e">
        <v>#DIV/0!</v>
      </c>
      <c r="AN127">
        <v>683</v>
      </c>
      <c r="AO127" t="e">
        <v>#DIV/0!</v>
      </c>
      <c r="AP127">
        <v>720</v>
      </c>
      <c r="AQ127">
        <v>528</v>
      </c>
      <c r="AR127">
        <v>572</v>
      </c>
      <c r="AS127" t="e">
        <v>#DIV/0!</v>
      </c>
      <c r="AT127">
        <v>867</v>
      </c>
      <c r="AU127" t="e">
        <v>#DIV/0!</v>
      </c>
      <c r="AV127">
        <v>558</v>
      </c>
      <c r="AW127" t="e">
        <v>#DIV/0!</v>
      </c>
      <c r="AX127" s="6">
        <v>680</v>
      </c>
      <c r="AY127">
        <v>458</v>
      </c>
      <c r="AZ127">
        <v>993</v>
      </c>
      <c r="BA127">
        <v>650</v>
      </c>
      <c r="BB127">
        <v>495</v>
      </c>
      <c r="BC127">
        <v>700</v>
      </c>
      <c r="BD127">
        <v>510</v>
      </c>
      <c r="BE127">
        <v>733</v>
      </c>
      <c r="BF127">
        <v>725</v>
      </c>
      <c r="BG127" t="e">
        <v>#DIV/0!</v>
      </c>
      <c r="BH127" t="e">
        <v>#DIV/0!</v>
      </c>
      <c r="BI127" t="e">
        <v>#DIV/0!</v>
      </c>
    </row>
    <row r="128" spans="2:61" x14ac:dyDescent="0.25">
      <c r="B128" s="1">
        <v>44805</v>
      </c>
      <c r="C128" s="5">
        <v>750</v>
      </c>
      <c r="D128" s="6">
        <v>1000</v>
      </c>
      <c r="E128" t="e">
        <v>#DIV/0!</v>
      </c>
      <c r="F128" t="e">
        <v>#DIV/0!</v>
      </c>
      <c r="G128">
        <v>903</v>
      </c>
      <c r="H128" t="e">
        <v>#DIV/0!</v>
      </c>
      <c r="I128" t="e">
        <v>#DIV/0!</v>
      </c>
      <c r="J128">
        <v>1325</v>
      </c>
      <c r="K128">
        <v>1225</v>
      </c>
      <c r="L128">
        <v>1060</v>
      </c>
      <c r="M128">
        <v>923</v>
      </c>
      <c r="N128">
        <v>1350</v>
      </c>
      <c r="O128">
        <v>1800</v>
      </c>
      <c r="P128" s="6">
        <v>695</v>
      </c>
      <c r="Q128" t="e">
        <v>#DIV/0!</v>
      </c>
      <c r="R128" t="e">
        <v>#DIV/0!</v>
      </c>
      <c r="S128">
        <v>830</v>
      </c>
      <c r="T128" t="e">
        <v>#DIV/0!</v>
      </c>
      <c r="U128">
        <v>975</v>
      </c>
      <c r="V128">
        <v>1280</v>
      </c>
      <c r="W128" t="e">
        <v>#DIV/0!</v>
      </c>
      <c r="X128" t="e">
        <v>#DIV/0!</v>
      </c>
      <c r="Y128">
        <v>1050</v>
      </c>
      <c r="Z128" t="e">
        <v>#DIV/0!</v>
      </c>
      <c r="AA128">
        <v>650</v>
      </c>
      <c r="AB128" t="e">
        <v>#DIV/0!</v>
      </c>
      <c r="AC128">
        <v>760</v>
      </c>
      <c r="AD128">
        <v>650</v>
      </c>
      <c r="AE128">
        <v>1160</v>
      </c>
      <c r="AF128" s="6">
        <v>675</v>
      </c>
      <c r="AG128">
        <v>791</v>
      </c>
      <c r="AH128">
        <v>589</v>
      </c>
      <c r="AI128">
        <v>718</v>
      </c>
      <c r="AJ128">
        <v>768</v>
      </c>
      <c r="AK128">
        <v>515</v>
      </c>
      <c r="AL128">
        <v>440</v>
      </c>
      <c r="AM128" t="e">
        <v>#DIV/0!</v>
      </c>
      <c r="AN128">
        <v>600</v>
      </c>
      <c r="AO128" t="e">
        <v>#DIV/0!</v>
      </c>
      <c r="AP128">
        <v>700</v>
      </c>
      <c r="AQ128">
        <v>520</v>
      </c>
      <c r="AR128">
        <v>580</v>
      </c>
      <c r="AS128" t="e">
        <v>#DIV/0!</v>
      </c>
      <c r="AT128">
        <v>875</v>
      </c>
      <c r="AU128" t="e">
        <v>#DIV/0!</v>
      </c>
      <c r="AV128">
        <v>558</v>
      </c>
      <c r="AW128" t="e">
        <v>#DIV/0!</v>
      </c>
      <c r="AX128" s="6">
        <v>651</v>
      </c>
      <c r="AY128">
        <v>420</v>
      </c>
      <c r="AZ128">
        <v>865</v>
      </c>
      <c r="BA128">
        <v>625</v>
      </c>
      <c r="BB128">
        <v>510</v>
      </c>
      <c r="BC128">
        <v>694</v>
      </c>
      <c r="BD128">
        <v>595</v>
      </c>
      <c r="BE128">
        <v>662</v>
      </c>
      <c r="BF128">
        <v>700</v>
      </c>
      <c r="BG128" t="e">
        <v>#DIV/0!</v>
      </c>
      <c r="BH128" t="e">
        <v>#DIV/0!</v>
      </c>
      <c r="BI128" t="e">
        <v>#DIV/0!</v>
      </c>
    </row>
    <row r="129" spans="2:61" x14ac:dyDescent="0.25">
      <c r="B129" s="1">
        <v>44896</v>
      </c>
      <c r="C129" s="5">
        <v>760</v>
      </c>
      <c r="D129" s="6">
        <v>975</v>
      </c>
      <c r="E129" t="e">
        <v>#DIV/0!</v>
      </c>
      <c r="F129" t="e">
        <v>#DIV/0!</v>
      </c>
      <c r="G129">
        <v>980</v>
      </c>
      <c r="H129" t="e">
        <v>#DIV/0!</v>
      </c>
      <c r="I129" t="e">
        <v>#DIV/0!</v>
      </c>
      <c r="J129">
        <v>955</v>
      </c>
      <c r="K129">
        <v>1130</v>
      </c>
      <c r="L129">
        <v>1000</v>
      </c>
      <c r="M129">
        <v>878</v>
      </c>
      <c r="N129">
        <v>1300</v>
      </c>
      <c r="O129">
        <v>1655</v>
      </c>
      <c r="P129" s="6">
        <v>715</v>
      </c>
      <c r="Q129" t="e">
        <v>#DIV/0!</v>
      </c>
      <c r="R129" t="e">
        <v>#DIV/0!</v>
      </c>
      <c r="S129">
        <v>895</v>
      </c>
      <c r="T129" t="e">
        <v>#DIV/0!</v>
      </c>
      <c r="U129">
        <v>980</v>
      </c>
      <c r="V129">
        <v>1065</v>
      </c>
      <c r="W129" t="e">
        <v>#DIV/0!</v>
      </c>
      <c r="X129" t="e">
        <v>#DIV/0!</v>
      </c>
      <c r="Y129">
        <v>975</v>
      </c>
      <c r="Z129" t="e">
        <v>#DIV/0!</v>
      </c>
      <c r="AA129">
        <v>685</v>
      </c>
      <c r="AB129" t="e">
        <v>#DIV/0!</v>
      </c>
      <c r="AC129">
        <v>797</v>
      </c>
      <c r="AD129">
        <v>610</v>
      </c>
      <c r="AE129">
        <v>1000</v>
      </c>
      <c r="AF129" s="6">
        <v>680</v>
      </c>
      <c r="AG129">
        <v>803</v>
      </c>
      <c r="AH129">
        <v>601</v>
      </c>
      <c r="AI129">
        <v>648</v>
      </c>
      <c r="AJ129">
        <v>670</v>
      </c>
      <c r="AK129">
        <v>530</v>
      </c>
      <c r="AL129">
        <v>430</v>
      </c>
      <c r="AM129" t="e">
        <v>#DIV/0!</v>
      </c>
      <c r="AN129">
        <v>596</v>
      </c>
      <c r="AO129" t="e">
        <v>#DIV/0!</v>
      </c>
      <c r="AP129">
        <v>680</v>
      </c>
      <c r="AQ129">
        <v>500</v>
      </c>
      <c r="AR129">
        <v>595</v>
      </c>
      <c r="AS129" t="e">
        <v>#DIV/0!</v>
      </c>
      <c r="AT129">
        <v>850</v>
      </c>
      <c r="AU129" t="e">
        <v>#DIV/0!</v>
      </c>
      <c r="AV129">
        <v>514</v>
      </c>
      <c r="AW129" t="e">
        <v>#DIV/0!</v>
      </c>
      <c r="AX129" s="6">
        <v>650</v>
      </c>
      <c r="AY129">
        <v>450</v>
      </c>
      <c r="AZ129">
        <v>899</v>
      </c>
      <c r="BA129">
        <v>621</v>
      </c>
      <c r="BB129">
        <v>494</v>
      </c>
      <c r="BC129">
        <v>664</v>
      </c>
      <c r="BD129">
        <v>601</v>
      </c>
      <c r="BE129">
        <v>675</v>
      </c>
      <c r="BF129">
        <v>700</v>
      </c>
      <c r="BG129" t="e">
        <v>#DIV/0!</v>
      </c>
      <c r="BH129" t="e">
        <v>#DIV/0!</v>
      </c>
      <c r="BI129" t="e">
        <v>#DIV/0!</v>
      </c>
    </row>
    <row r="130" spans="2:61" x14ac:dyDescent="0.25">
      <c r="B130" s="1">
        <v>44986</v>
      </c>
      <c r="C130" s="5">
        <v>751</v>
      </c>
      <c r="D130" s="6">
        <v>999</v>
      </c>
      <c r="E130" t="e">
        <v>#DIV/0!</v>
      </c>
      <c r="F130" t="e">
        <v>#DIV/0!</v>
      </c>
      <c r="G130">
        <v>943</v>
      </c>
      <c r="H130" t="e">
        <v>#DIV/0!</v>
      </c>
      <c r="I130" t="e">
        <v>#DIV/0!</v>
      </c>
      <c r="J130">
        <v>1180</v>
      </c>
      <c r="K130">
        <v>1155</v>
      </c>
      <c r="L130">
        <v>960</v>
      </c>
      <c r="M130">
        <v>950</v>
      </c>
      <c r="N130">
        <v>1300</v>
      </c>
      <c r="O130">
        <v>1500</v>
      </c>
      <c r="P130" s="6">
        <v>705</v>
      </c>
      <c r="Q130" t="e">
        <v>#DIV/0!</v>
      </c>
      <c r="R130" t="e">
        <v>#DIV/0!</v>
      </c>
      <c r="S130">
        <v>850</v>
      </c>
      <c r="T130" t="e">
        <v>#DIV/0!</v>
      </c>
      <c r="U130">
        <v>980</v>
      </c>
      <c r="V130">
        <v>865</v>
      </c>
      <c r="W130" t="e">
        <v>#DIV/0!</v>
      </c>
      <c r="X130" t="e">
        <v>#DIV/0!</v>
      </c>
      <c r="Y130">
        <v>1050</v>
      </c>
      <c r="Z130" t="e">
        <v>#DIV/0!</v>
      </c>
      <c r="AA130">
        <v>663</v>
      </c>
      <c r="AB130" t="e">
        <v>#DIV/0!</v>
      </c>
      <c r="AC130">
        <v>785</v>
      </c>
      <c r="AD130">
        <v>630</v>
      </c>
      <c r="AE130">
        <v>970</v>
      </c>
      <c r="AF130" s="6">
        <v>675</v>
      </c>
      <c r="AG130">
        <v>791</v>
      </c>
      <c r="AH130">
        <v>612</v>
      </c>
      <c r="AI130">
        <v>630</v>
      </c>
      <c r="AJ130">
        <v>705</v>
      </c>
      <c r="AK130">
        <v>559</v>
      </c>
      <c r="AL130">
        <v>482</v>
      </c>
      <c r="AM130" t="e">
        <v>#DIV/0!</v>
      </c>
      <c r="AN130">
        <v>625</v>
      </c>
      <c r="AO130" t="e">
        <v>#DIV/0!</v>
      </c>
      <c r="AP130">
        <v>714</v>
      </c>
      <c r="AQ130">
        <v>528</v>
      </c>
      <c r="AR130">
        <v>575</v>
      </c>
      <c r="AS130" t="e">
        <v>#DIV/0!</v>
      </c>
      <c r="AT130">
        <v>838</v>
      </c>
      <c r="AU130" t="e">
        <v>#DIV/0!</v>
      </c>
      <c r="AV130">
        <v>514</v>
      </c>
      <c r="AW130" t="e">
        <v>#DIV/0!</v>
      </c>
      <c r="AX130" s="6">
        <v>650</v>
      </c>
      <c r="AY130">
        <v>428</v>
      </c>
      <c r="AZ130">
        <v>900</v>
      </c>
      <c r="BA130">
        <v>635</v>
      </c>
      <c r="BB130">
        <v>543</v>
      </c>
      <c r="BC130">
        <v>655</v>
      </c>
      <c r="BD130">
        <v>610</v>
      </c>
      <c r="BE130">
        <v>700</v>
      </c>
      <c r="BF130">
        <v>700</v>
      </c>
      <c r="BG130" t="e">
        <v>#DIV/0!</v>
      </c>
      <c r="BH130" t="e">
        <v>#DIV/0!</v>
      </c>
      <c r="BI130" t="e">
        <v>#DIV/0!</v>
      </c>
    </row>
    <row r="131" spans="2:61" x14ac:dyDescent="0.25">
      <c r="B131" s="1">
        <v>45078</v>
      </c>
      <c r="C131" s="5">
        <v>780</v>
      </c>
      <c r="D131" s="6">
        <v>1050</v>
      </c>
      <c r="E131" t="e">
        <v>#DIV/0!</v>
      </c>
      <c r="F131" t="e">
        <v>#DIV/0!</v>
      </c>
      <c r="G131">
        <v>966</v>
      </c>
      <c r="H131" t="e">
        <v>#DIV/0!</v>
      </c>
      <c r="I131" t="e">
        <v>#DIV/0!</v>
      </c>
      <c r="J131">
        <v>1430</v>
      </c>
      <c r="K131">
        <v>1200</v>
      </c>
      <c r="L131">
        <v>1050</v>
      </c>
      <c r="M131">
        <v>970</v>
      </c>
      <c r="N131">
        <v>1455</v>
      </c>
      <c r="O131">
        <v>1580</v>
      </c>
      <c r="P131" s="6">
        <v>715</v>
      </c>
      <c r="Q131" t="e">
        <v>#DIV/0!</v>
      </c>
      <c r="R131" t="e">
        <v>#DIV/0!</v>
      </c>
      <c r="S131">
        <v>900</v>
      </c>
      <c r="T131" t="e">
        <v>#DIV/0!</v>
      </c>
      <c r="U131">
        <v>1050</v>
      </c>
      <c r="V131">
        <v>949</v>
      </c>
      <c r="W131" t="e">
        <v>#DIV/0!</v>
      </c>
      <c r="X131" t="e">
        <v>#DIV/0!</v>
      </c>
      <c r="Y131">
        <v>1020</v>
      </c>
      <c r="Z131" t="e">
        <v>#DIV/0!</v>
      </c>
      <c r="AA131">
        <v>687</v>
      </c>
      <c r="AB131" t="e">
        <v>#DIV/0!</v>
      </c>
      <c r="AC131">
        <v>800</v>
      </c>
      <c r="AD131">
        <v>630</v>
      </c>
      <c r="AE131">
        <v>1160</v>
      </c>
      <c r="AF131" s="6">
        <v>695</v>
      </c>
      <c r="AG131">
        <v>780</v>
      </c>
      <c r="AH131">
        <v>632</v>
      </c>
      <c r="AI131">
        <v>639</v>
      </c>
      <c r="AJ131">
        <v>695</v>
      </c>
      <c r="AK131">
        <v>535</v>
      </c>
      <c r="AL131">
        <v>482</v>
      </c>
      <c r="AM131" t="e">
        <v>#DIV/0!</v>
      </c>
      <c r="AN131">
        <v>640</v>
      </c>
      <c r="AO131" t="e">
        <v>#DIV/0!</v>
      </c>
      <c r="AP131">
        <v>745</v>
      </c>
      <c r="AQ131">
        <v>530</v>
      </c>
      <c r="AR131">
        <v>575</v>
      </c>
      <c r="AS131" t="e">
        <v>#DIV/0!</v>
      </c>
      <c r="AT131">
        <v>860</v>
      </c>
      <c r="AU131" t="e">
        <v>#DIV/0!</v>
      </c>
      <c r="AV131">
        <v>558</v>
      </c>
      <c r="AW131" t="e">
        <v>#DIV/0!</v>
      </c>
      <c r="AX131" s="6">
        <v>670</v>
      </c>
      <c r="AY131">
        <v>485</v>
      </c>
      <c r="AZ131">
        <v>890</v>
      </c>
      <c r="BA131">
        <v>605</v>
      </c>
      <c r="BB131">
        <v>540</v>
      </c>
      <c r="BC131">
        <v>655</v>
      </c>
      <c r="BD131">
        <v>720</v>
      </c>
      <c r="BE131">
        <v>700</v>
      </c>
      <c r="BF131">
        <v>725</v>
      </c>
      <c r="BG131" t="e">
        <v>#DIV/0!</v>
      </c>
      <c r="BH131" t="e">
        <v>#DIV/0!</v>
      </c>
      <c r="BI131" t="e">
        <v>#DIV/0!</v>
      </c>
    </row>
    <row r="132" spans="2:61" x14ac:dyDescent="0.25">
      <c r="B132" s="1">
        <v>45170</v>
      </c>
      <c r="C132" s="5">
        <v>790</v>
      </c>
      <c r="D132" s="6">
        <v>1040</v>
      </c>
      <c r="E132" t="e">
        <v>#DIV/0!</v>
      </c>
      <c r="F132" t="e">
        <v>#DIV/0!</v>
      </c>
      <c r="G132">
        <v>890</v>
      </c>
      <c r="H132" t="e">
        <v>#DIV/0!</v>
      </c>
      <c r="I132" t="e">
        <v>#DIV/0!</v>
      </c>
      <c r="J132">
        <v>1353</v>
      </c>
      <c r="K132">
        <v>1325</v>
      </c>
      <c r="L132">
        <v>1099</v>
      </c>
      <c r="M132">
        <v>950</v>
      </c>
      <c r="N132">
        <v>1359</v>
      </c>
      <c r="O132">
        <v>1710</v>
      </c>
      <c r="P132" s="6">
        <v>740</v>
      </c>
      <c r="Q132" t="e">
        <v>#DIV/0!</v>
      </c>
      <c r="R132" t="e">
        <v>#DIV/0!</v>
      </c>
      <c r="S132">
        <v>870</v>
      </c>
      <c r="T132" t="e">
        <v>#DIV/0!</v>
      </c>
      <c r="U132">
        <v>920</v>
      </c>
      <c r="V132">
        <v>1125</v>
      </c>
      <c r="W132" t="e">
        <v>#DIV/0!</v>
      </c>
      <c r="X132" t="e">
        <v>#DIV/0!</v>
      </c>
      <c r="Y132">
        <v>1080</v>
      </c>
      <c r="Z132" t="e">
        <v>#DIV/0!</v>
      </c>
      <c r="AA132">
        <v>700</v>
      </c>
      <c r="AB132" t="e">
        <v>#DIV/0!</v>
      </c>
      <c r="AC132">
        <v>850</v>
      </c>
      <c r="AD132">
        <v>657</v>
      </c>
      <c r="AE132">
        <v>1243</v>
      </c>
      <c r="AF132" s="6">
        <v>715</v>
      </c>
      <c r="AG132">
        <v>882</v>
      </c>
      <c r="AH132">
        <v>628</v>
      </c>
      <c r="AI132">
        <v>700</v>
      </c>
      <c r="AJ132">
        <v>710</v>
      </c>
      <c r="AK132">
        <v>588</v>
      </c>
      <c r="AL132">
        <v>448</v>
      </c>
      <c r="AM132" t="e">
        <v>#DIV/0!</v>
      </c>
      <c r="AN132">
        <v>655</v>
      </c>
      <c r="AO132" t="e">
        <v>#DIV/0!</v>
      </c>
      <c r="AP132">
        <v>725</v>
      </c>
      <c r="AQ132">
        <v>565</v>
      </c>
      <c r="AR132">
        <v>565</v>
      </c>
      <c r="AS132" t="e">
        <v>#DIV/0!</v>
      </c>
      <c r="AT132">
        <v>850</v>
      </c>
      <c r="AU132" t="e">
        <v>#DIV/0!</v>
      </c>
      <c r="AV132">
        <v>558</v>
      </c>
      <c r="AW132" t="e">
        <v>#DIV/0!</v>
      </c>
      <c r="AX132" s="6">
        <v>671</v>
      </c>
      <c r="AY132">
        <v>451</v>
      </c>
      <c r="AZ132">
        <v>860</v>
      </c>
      <c r="BA132">
        <v>650</v>
      </c>
      <c r="BB132">
        <v>559</v>
      </c>
      <c r="BC132">
        <v>668</v>
      </c>
      <c r="BD132">
        <v>620</v>
      </c>
      <c r="BE132">
        <v>720</v>
      </c>
      <c r="BF132">
        <v>722</v>
      </c>
      <c r="BG132" t="e">
        <v>#DIV/0!</v>
      </c>
      <c r="BH132" t="e">
        <v>#DIV/0!</v>
      </c>
      <c r="BI132" t="e">
        <v>#DIV/0!</v>
      </c>
    </row>
    <row r="133" spans="2:61" x14ac:dyDescent="0.25">
      <c r="B133" s="1">
        <v>45261</v>
      </c>
      <c r="C133" s="5">
        <v>790</v>
      </c>
      <c r="D133" s="6">
        <v>1050</v>
      </c>
      <c r="E133" t="e">
        <v>#DIV/0!</v>
      </c>
      <c r="F133" t="e">
        <v>#DIV/0!</v>
      </c>
      <c r="G133">
        <v>850</v>
      </c>
      <c r="H133" t="e">
        <v>#DIV/0!</v>
      </c>
      <c r="I133" t="e">
        <v>#DIV/0!</v>
      </c>
      <c r="J133">
        <v>1260</v>
      </c>
      <c r="K133">
        <v>1250</v>
      </c>
      <c r="L133">
        <v>1150</v>
      </c>
      <c r="M133">
        <v>941</v>
      </c>
      <c r="N133">
        <v>1550</v>
      </c>
      <c r="O133">
        <v>1560</v>
      </c>
      <c r="P133" s="6">
        <v>725</v>
      </c>
      <c r="Q133" t="e">
        <v>#DIV/0!</v>
      </c>
      <c r="R133" t="e">
        <v>#DIV/0!</v>
      </c>
      <c r="S133">
        <v>800</v>
      </c>
      <c r="T133" t="e">
        <v>#DIV/0!</v>
      </c>
      <c r="U133">
        <v>1035</v>
      </c>
      <c r="V133">
        <v>1420</v>
      </c>
      <c r="W133" t="e">
        <v>#DIV/0!</v>
      </c>
      <c r="X133" t="e">
        <v>#DIV/0!</v>
      </c>
      <c r="Y133">
        <v>975</v>
      </c>
      <c r="Z133" t="e">
        <v>#DIV/0!</v>
      </c>
      <c r="AA133">
        <v>690</v>
      </c>
      <c r="AB133" t="e">
        <v>#DIV/0!</v>
      </c>
      <c r="AC133">
        <v>820</v>
      </c>
      <c r="AD133">
        <v>657</v>
      </c>
      <c r="AE133">
        <v>1122</v>
      </c>
      <c r="AF133" s="6">
        <v>720</v>
      </c>
      <c r="AG133">
        <v>931</v>
      </c>
      <c r="AH133">
        <v>630</v>
      </c>
      <c r="AI133">
        <v>670</v>
      </c>
      <c r="AJ133">
        <v>780</v>
      </c>
      <c r="AK133">
        <v>560</v>
      </c>
      <c r="AL133">
        <v>435</v>
      </c>
      <c r="AM133" t="e">
        <v>#DIV/0!</v>
      </c>
      <c r="AN133">
        <v>580</v>
      </c>
      <c r="AO133" t="e">
        <v>#DIV/0!</v>
      </c>
      <c r="AP133">
        <v>719</v>
      </c>
      <c r="AQ133">
        <v>531</v>
      </c>
      <c r="AR133">
        <v>600</v>
      </c>
      <c r="AS133" t="e">
        <v>#DIV/0!</v>
      </c>
      <c r="AT133">
        <v>880</v>
      </c>
      <c r="AU133" t="e">
        <v>#DIV/0!</v>
      </c>
      <c r="AV133">
        <v>558</v>
      </c>
      <c r="AW133" t="e">
        <v>#DIV/0!</v>
      </c>
      <c r="AX133" s="6">
        <v>670</v>
      </c>
      <c r="AY133">
        <v>474</v>
      </c>
      <c r="AZ133">
        <v>848</v>
      </c>
      <c r="BA133">
        <v>650</v>
      </c>
      <c r="BB133">
        <v>556</v>
      </c>
      <c r="BC133">
        <v>695</v>
      </c>
      <c r="BD133">
        <v>650</v>
      </c>
      <c r="BE133">
        <v>729</v>
      </c>
      <c r="BF133">
        <v>710</v>
      </c>
      <c r="BG133" t="e">
        <v>#DIV/0!</v>
      </c>
      <c r="BH133" t="e">
        <v>#DIV/0!</v>
      </c>
      <c r="BI133" t="e">
        <v>#DIV/0!</v>
      </c>
    </row>
    <row r="134" spans="2:61" x14ac:dyDescent="0.25">
      <c r="B134" s="1">
        <v>45352</v>
      </c>
      <c r="C134" s="5">
        <v>778</v>
      </c>
      <c r="D134" s="6">
        <v>1080</v>
      </c>
      <c r="E134" t="e">
        <v>#DIV/0!</v>
      </c>
      <c r="F134" t="e">
        <v>#DIV/0!</v>
      </c>
      <c r="G134">
        <v>887</v>
      </c>
      <c r="H134" t="e">
        <v>#DIV/0!</v>
      </c>
      <c r="I134" t="e">
        <v>#DIV/0!</v>
      </c>
      <c r="J134">
        <v>1400</v>
      </c>
      <c r="K134">
        <v>1325</v>
      </c>
      <c r="L134">
        <v>1207</v>
      </c>
      <c r="M134">
        <v>975</v>
      </c>
      <c r="N134">
        <v>1495</v>
      </c>
      <c r="O134">
        <v>1578</v>
      </c>
      <c r="P134" s="6">
        <v>705</v>
      </c>
      <c r="Q134" t="e">
        <v>#DIV/0!</v>
      </c>
      <c r="R134" t="e">
        <v>#DIV/0!</v>
      </c>
      <c r="S134">
        <v>850</v>
      </c>
      <c r="T134" t="e">
        <v>#DIV/0!</v>
      </c>
      <c r="U134">
        <v>1050</v>
      </c>
      <c r="V134">
        <v>1305</v>
      </c>
      <c r="W134" t="e">
        <v>#DIV/0!</v>
      </c>
      <c r="X134" t="e">
        <v>#DIV/0!</v>
      </c>
      <c r="Y134">
        <v>1008</v>
      </c>
      <c r="Z134" t="e">
        <v>#DIV/0!</v>
      </c>
      <c r="AA134">
        <v>670</v>
      </c>
      <c r="AB134" t="e">
        <v>#DIV/0!</v>
      </c>
      <c r="AC134">
        <v>790</v>
      </c>
      <c r="AD134">
        <v>660</v>
      </c>
      <c r="AE134">
        <v>1186</v>
      </c>
      <c r="AF134" s="6">
        <v>720</v>
      </c>
      <c r="AG134">
        <v>895</v>
      </c>
      <c r="AH134">
        <v>630</v>
      </c>
      <c r="AI134">
        <v>720</v>
      </c>
      <c r="AJ134">
        <v>800</v>
      </c>
      <c r="AK134">
        <v>580</v>
      </c>
      <c r="AL134">
        <v>450</v>
      </c>
      <c r="AM134" t="e">
        <v>#DIV/0!</v>
      </c>
      <c r="AN134">
        <v>710</v>
      </c>
      <c r="AO134" t="e">
        <v>#DIV/0!</v>
      </c>
      <c r="AP134">
        <v>735</v>
      </c>
      <c r="AQ134">
        <v>535</v>
      </c>
      <c r="AR134">
        <v>605</v>
      </c>
      <c r="AS134" t="e">
        <v>#DIV/0!</v>
      </c>
      <c r="AT134">
        <v>862</v>
      </c>
      <c r="AU134" t="e">
        <v>#DIV/0!</v>
      </c>
      <c r="AV134">
        <v>558</v>
      </c>
      <c r="AW134" t="e">
        <v>#DIV/0!</v>
      </c>
      <c r="AX134" s="6">
        <v>689</v>
      </c>
      <c r="AY134">
        <v>458</v>
      </c>
      <c r="AZ134">
        <v>849</v>
      </c>
      <c r="BA134">
        <v>683</v>
      </c>
      <c r="BB134">
        <v>523</v>
      </c>
      <c r="BC134">
        <v>735</v>
      </c>
      <c r="BD134">
        <v>616</v>
      </c>
      <c r="BE134">
        <v>700</v>
      </c>
      <c r="BF134">
        <v>725</v>
      </c>
      <c r="BG134" t="e">
        <v>#DIV/0!</v>
      </c>
      <c r="BH134" t="e">
        <v>#DIV/0!</v>
      </c>
      <c r="BI134" t="e">
        <v>#DIV/0!</v>
      </c>
    </row>
    <row r="135" spans="2:61" x14ac:dyDescent="0.25">
      <c r="B135" s="1">
        <v>45444</v>
      </c>
      <c r="C135" s="5">
        <v>798</v>
      </c>
      <c r="D135" s="6">
        <v>1100</v>
      </c>
      <c r="E135" t="e">
        <v>#DIV/0!</v>
      </c>
      <c r="F135" t="e">
        <v>#DIV/0!</v>
      </c>
      <c r="G135">
        <v>930</v>
      </c>
      <c r="H135" t="e">
        <v>#DIV/0!</v>
      </c>
      <c r="I135" t="e">
        <v>#DIV/0!</v>
      </c>
      <c r="J135">
        <v>1400</v>
      </c>
      <c r="K135">
        <v>1353</v>
      </c>
      <c r="L135">
        <v>1150</v>
      </c>
      <c r="M135">
        <v>994</v>
      </c>
      <c r="N135">
        <v>1443</v>
      </c>
      <c r="O135">
        <v>1675</v>
      </c>
      <c r="P135" s="6">
        <v>739</v>
      </c>
      <c r="Q135" t="e">
        <v>#DIV/0!</v>
      </c>
      <c r="R135" t="e">
        <v>#DIV/0!</v>
      </c>
      <c r="S135">
        <v>872</v>
      </c>
      <c r="T135" t="e">
        <v>#DIV/0!</v>
      </c>
      <c r="U135">
        <v>1100</v>
      </c>
      <c r="V135">
        <v>1188</v>
      </c>
      <c r="W135" t="e">
        <v>#DIV/0!</v>
      </c>
      <c r="X135" t="e">
        <v>#DIV/0!</v>
      </c>
      <c r="Y135">
        <v>970</v>
      </c>
      <c r="Z135" t="e">
        <v>#DIV/0!</v>
      </c>
      <c r="AA135">
        <v>680</v>
      </c>
      <c r="AB135" t="e">
        <v>#DIV/0!</v>
      </c>
      <c r="AC135">
        <v>836</v>
      </c>
      <c r="AD135">
        <v>700</v>
      </c>
      <c r="AE135">
        <v>1153</v>
      </c>
      <c r="AF135" s="6">
        <v>724</v>
      </c>
      <c r="AG135">
        <v>875</v>
      </c>
      <c r="AH135">
        <v>638</v>
      </c>
      <c r="AI135">
        <v>740</v>
      </c>
      <c r="AJ135">
        <v>790</v>
      </c>
      <c r="AK135">
        <v>570</v>
      </c>
      <c r="AL135">
        <v>450</v>
      </c>
      <c r="AM135" t="e">
        <v>#DIV/0!</v>
      </c>
      <c r="AN135">
        <v>710</v>
      </c>
      <c r="AO135" t="e">
        <v>#DIV/0!</v>
      </c>
      <c r="AP135">
        <v>740</v>
      </c>
      <c r="AQ135">
        <v>547</v>
      </c>
      <c r="AR135">
        <v>635</v>
      </c>
      <c r="AS135" t="e">
        <v>#DIV/0!</v>
      </c>
      <c r="AT135">
        <v>890</v>
      </c>
      <c r="AU135" t="e">
        <v>#DIV/0!</v>
      </c>
      <c r="AV135">
        <v>565</v>
      </c>
      <c r="AW135" t="e">
        <v>#DIV/0!</v>
      </c>
      <c r="AX135" s="6">
        <v>690</v>
      </c>
      <c r="AY135">
        <v>494</v>
      </c>
      <c r="AZ135">
        <v>790</v>
      </c>
      <c r="BA135">
        <v>655</v>
      </c>
      <c r="BB135">
        <v>518</v>
      </c>
      <c r="BC135">
        <v>690</v>
      </c>
      <c r="BD135">
        <v>650</v>
      </c>
      <c r="BE135">
        <v>740</v>
      </c>
      <c r="BF135">
        <v>735</v>
      </c>
      <c r="BG135" t="e">
        <v>#DIV/0!</v>
      </c>
      <c r="BH135" t="e">
        <v>#DIV/0!</v>
      </c>
      <c r="BI135" t="e">
        <v>#DIV/0!</v>
      </c>
    </row>
    <row r="136" spans="2:61" x14ac:dyDescent="0.25">
      <c r="B136" s="1">
        <v>45536</v>
      </c>
      <c r="C136" s="5">
        <v>802</v>
      </c>
      <c r="D136" s="6">
        <v>1100</v>
      </c>
      <c r="E136" t="e">
        <v>#DIV/0!</v>
      </c>
      <c r="F136" t="e">
        <v>#DIV/0!</v>
      </c>
      <c r="G136">
        <v>920</v>
      </c>
      <c r="H136" t="e">
        <v>#DIV/0!</v>
      </c>
      <c r="I136" t="e">
        <v>#DIV/0!</v>
      </c>
      <c r="J136">
        <v>1326</v>
      </c>
      <c r="K136">
        <v>1300</v>
      </c>
      <c r="L136">
        <v>1203</v>
      </c>
      <c r="M136">
        <v>990</v>
      </c>
      <c r="N136">
        <v>1402</v>
      </c>
      <c r="O136">
        <v>1813</v>
      </c>
      <c r="P136" s="6">
        <v>750</v>
      </c>
      <c r="Q136" t="e">
        <v>#DIV/0!</v>
      </c>
      <c r="R136" t="e">
        <v>#DIV/0!</v>
      </c>
      <c r="S136">
        <v>800</v>
      </c>
      <c r="T136" t="e">
        <v>#DIV/0!</v>
      </c>
      <c r="U136">
        <v>1028</v>
      </c>
      <c r="V136">
        <v>1300</v>
      </c>
      <c r="W136" t="e">
        <v>#DIV/0!</v>
      </c>
      <c r="X136" t="e">
        <v>#DIV/0!</v>
      </c>
      <c r="Y136">
        <v>1052</v>
      </c>
      <c r="Z136" t="e">
        <v>#DIV/0!</v>
      </c>
      <c r="AA136">
        <v>700</v>
      </c>
      <c r="AB136" t="e">
        <v>#DIV/0!</v>
      </c>
      <c r="AC136">
        <v>818</v>
      </c>
      <c r="AD136">
        <v>697</v>
      </c>
      <c r="AE136">
        <v>1150</v>
      </c>
      <c r="AF136" s="6">
        <v>730</v>
      </c>
      <c r="AG136">
        <v>863</v>
      </c>
      <c r="AH136">
        <v>638</v>
      </c>
      <c r="AI136">
        <v>715</v>
      </c>
      <c r="AJ136">
        <v>761</v>
      </c>
      <c r="AK136">
        <v>610</v>
      </c>
      <c r="AL136">
        <v>520</v>
      </c>
      <c r="AM136" t="e">
        <v>#DIV/0!</v>
      </c>
      <c r="AN136">
        <v>683</v>
      </c>
      <c r="AO136" t="e">
        <v>#DIV/0!</v>
      </c>
      <c r="AP136">
        <v>742</v>
      </c>
      <c r="AQ136">
        <v>540</v>
      </c>
      <c r="AR136">
        <v>640</v>
      </c>
      <c r="AS136" t="e">
        <v>#DIV/0!</v>
      </c>
      <c r="AT136">
        <v>918</v>
      </c>
      <c r="AU136" t="e">
        <v>#DIV/0!</v>
      </c>
      <c r="AV136">
        <v>481</v>
      </c>
      <c r="AW136" t="e">
        <v>#DIV/0!</v>
      </c>
      <c r="AX136" s="6">
        <v>690</v>
      </c>
      <c r="AY136">
        <v>478</v>
      </c>
      <c r="AZ136">
        <v>915</v>
      </c>
      <c r="BA136">
        <v>665</v>
      </c>
      <c r="BB136">
        <v>595</v>
      </c>
      <c r="BC136">
        <v>700</v>
      </c>
      <c r="BD136">
        <v>627</v>
      </c>
      <c r="BE136">
        <v>745</v>
      </c>
      <c r="BF136">
        <v>727</v>
      </c>
      <c r="BG136" t="e">
        <v>#DIV/0!</v>
      </c>
      <c r="BH136" t="e">
        <v>#DIV/0!</v>
      </c>
      <c r="BI136" t="e">
        <v>#DIV/0!</v>
      </c>
    </row>
    <row r="137" spans="2:61" x14ac:dyDescent="0.25">
      <c r="B137" s="1">
        <v>45627</v>
      </c>
      <c r="C137" s="5">
        <v>820</v>
      </c>
      <c r="D137" s="6">
        <v>1090</v>
      </c>
      <c r="E137" t="e">
        <v>#DIV/0!</v>
      </c>
      <c r="F137" t="e">
        <v>#DIV/0!</v>
      </c>
      <c r="G137">
        <v>958</v>
      </c>
      <c r="H137" t="e">
        <v>#DIV/0!</v>
      </c>
      <c r="I137" t="e">
        <v>#DIV/0!</v>
      </c>
      <c r="J137">
        <v>1235</v>
      </c>
      <c r="K137">
        <v>1325</v>
      </c>
      <c r="L137">
        <v>1170</v>
      </c>
      <c r="M137">
        <v>950</v>
      </c>
      <c r="N137">
        <v>1478</v>
      </c>
      <c r="O137">
        <v>1835</v>
      </c>
      <c r="P137" s="6">
        <v>750</v>
      </c>
      <c r="Q137" t="e">
        <v>#DIV/0!</v>
      </c>
      <c r="R137" t="e">
        <v>#DIV/0!</v>
      </c>
      <c r="S137">
        <v>885</v>
      </c>
      <c r="T137" t="e">
        <v>#DIV/0!</v>
      </c>
      <c r="U137">
        <v>1060</v>
      </c>
      <c r="V137">
        <v>1100</v>
      </c>
      <c r="W137" t="e">
        <v>#DIV/0!</v>
      </c>
      <c r="X137" t="e">
        <v>#DIV/0!</v>
      </c>
      <c r="Y137">
        <v>1000</v>
      </c>
      <c r="Z137" t="e">
        <v>#DIV/0!</v>
      </c>
      <c r="AA137">
        <v>690</v>
      </c>
      <c r="AB137" t="e">
        <v>#DIV/0!</v>
      </c>
      <c r="AC137">
        <v>795</v>
      </c>
      <c r="AD137">
        <v>670</v>
      </c>
      <c r="AE137">
        <v>1256</v>
      </c>
      <c r="AF137" s="6">
        <v>760</v>
      </c>
      <c r="AG137">
        <v>898</v>
      </c>
      <c r="AH137">
        <v>664</v>
      </c>
      <c r="AI137">
        <v>668</v>
      </c>
      <c r="AJ137">
        <v>795</v>
      </c>
      <c r="AK137">
        <v>598</v>
      </c>
      <c r="AL137">
        <v>475</v>
      </c>
      <c r="AM137" t="e">
        <v>#DIV/0!</v>
      </c>
      <c r="AN137">
        <v>700</v>
      </c>
      <c r="AO137" t="e">
        <v>#DIV/0!</v>
      </c>
      <c r="AP137">
        <v>730</v>
      </c>
      <c r="AQ137">
        <v>550</v>
      </c>
      <c r="AR137">
        <v>655</v>
      </c>
      <c r="AS137" t="e">
        <v>#DIV/0!</v>
      </c>
      <c r="AT137">
        <v>935</v>
      </c>
      <c r="AU137" t="e">
        <v>#DIV/0!</v>
      </c>
      <c r="AV137">
        <v>679</v>
      </c>
      <c r="AW137" t="e">
        <v>#DIV/0!</v>
      </c>
      <c r="AX137" s="6">
        <v>695</v>
      </c>
      <c r="AY137">
        <v>488</v>
      </c>
      <c r="AZ137">
        <v>950</v>
      </c>
      <c r="BA137">
        <v>658</v>
      </c>
      <c r="BB137">
        <v>575</v>
      </c>
      <c r="BC137">
        <v>723</v>
      </c>
      <c r="BD137">
        <v>650</v>
      </c>
      <c r="BE137">
        <v>733</v>
      </c>
      <c r="BF137">
        <v>722</v>
      </c>
      <c r="BG137" t="e">
        <v>#DIV/0!</v>
      </c>
      <c r="BH137" t="e">
        <v>#DIV/0!</v>
      </c>
      <c r="BI137" t="e">
        <v>#DIV/0!</v>
      </c>
    </row>
    <row r="138" spans="2:61" x14ac:dyDescent="0.25">
      <c r="B138" s="1">
        <v>45717</v>
      </c>
      <c r="C138" s="5">
        <v>810</v>
      </c>
      <c r="D138" s="6">
        <v>1100</v>
      </c>
      <c r="E138" t="e">
        <v>#DIV/0!</v>
      </c>
      <c r="F138" t="e">
        <v>#DIV/0!</v>
      </c>
      <c r="G138">
        <v>980</v>
      </c>
      <c r="H138" t="e">
        <v>#DIV/0!</v>
      </c>
      <c r="I138" t="e">
        <v>#DIV/0!</v>
      </c>
      <c r="J138">
        <v>1350</v>
      </c>
      <c r="K138">
        <v>1338</v>
      </c>
      <c r="L138">
        <v>1180</v>
      </c>
      <c r="M138">
        <v>980</v>
      </c>
      <c r="N138">
        <v>1460</v>
      </c>
      <c r="O138">
        <v>1810</v>
      </c>
      <c r="P138" s="6">
        <v>745</v>
      </c>
      <c r="Q138" t="e">
        <v>#DIV/0!</v>
      </c>
      <c r="R138" t="e">
        <v>#DIV/0!</v>
      </c>
      <c r="S138">
        <v>800</v>
      </c>
      <c r="T138" t="e">
        <v>#DIV/0!</v>
      </c>
      <c r="U138">
        <v>1090</v>
      </c>
      <c r="V138">
        <v>1137</v>
      </c>
      <c r="W138" t="e">
        <v>#DIV/0!</v>
      </c>
      <c r="X138" t="e">
        <v>#DIV/0!</v>
      </c>
      <c r="Y138">
        <v>1000</v>
      </c>
      <c r="Z138" t="e">
        <v>#DIV/0!</v>
      </c>
      <c r="AA138">
        <v>685</v>
      </c>
      <c r="AB138" t="e">
        <v>#DIV/0!</v>
      </c>
      <c r="AC138">
        <v>780</v>
      </c>
      <c r="AD138">
        <v>661</v>
      </c>
      <c r="AE138">
        <v>1080</v>
      </c>
      <c r="AF138" s="6">
        <v>755</v>
      </c>
      <c r="AG138">
        <v>910</v>
      </c>
      <c r="AH138">
        <v>651</v>
      </c>
      <c r="AI138">
        <v>705</v>
      </c>
      <c r="AJ138">
        <v>675</v>
      </c>
      <c r="AK138">
        <v>615</v>
      </c>
      <c r="AL138">
        <v>468</v>
      </c>
      <c r="AM138" t="e">
        <v>#DIV/0!</v>
      </c>
      <c r="AN138">
        <v>753</v>
      </c>
      <c r="AO138" t="e">
        <v>#DIV/0!</v>
      </c>
      <c r="AP138">
        <v>745</v>
      </c>
      <c r="AQ138">
        <v>575</v>
      </c>
      <c r="AR138">
        <v>675</v>
      </c>
      <c r="AS138" t="e">
        <v>#DIV/0!</v>
      </c>
      <c r="AT138">
        <v>950</v>
      </c>
      <c r="AU138" t="e">
        <v>#DIV/0!</v>
      </c>
      <c r="AV138">
        <v>700</v>
      </c>
      <c r="AW138" t="e">
        <v>#DIV/0!</v>
      </c>
      <c r="AX138" s="6">
        <v>715</v>
      </c>
      <c r="AY138">
        <v>477</v>
      </c>
      <c r="AZ138">
        <v>905</v>
      </c>
      <c r="BA138">
        <v>701</v>
      </c>
      <c r="BB138">
        <v>570</v>
      </c>
      <c r="BC138">
        <v>726</v>
      </c>
      <c r="BD138">
        <v>655</v>
      </c>
      <c r="BE138">
        <v>740</v>
      </c>
      <c r="BF138">
        <v>759</v>
      </c>
      <c r="BG138" t="e">
        <v>#DIV/0!</v>
      </c>
      <c r="BH138" t="e">
        <v>#DIV/0!</v>
      </c>
      <c r="BI138" t="e">
        <v>#DIV/0!</v>
      </c>
    </row>
    <row r="139" spans="2:61" x14ac:dyDescent="0.25">
      <c r="B139" s="1">
        <v>45809</v>
      </c>
      <c r="C139" s="5">
        <v>825</v>
      </c>
      <c r="D139" s="6">
        <v>1095</v>
      </c>
      <c r="E139" t="e">
        <v>#DIV/0!</v>
      </c>
      <c r="F139" t="e">
        <v>#DIV/0!</v>
      </c>
      <c r="G139">
        <v>940</v>
      </c>
      <c r="H139" t="e">
        <v>#DIV/0!</v>
      </c>
      <c r="I139" t="e">
        <v>#DIV/0!</v>
      </c>
      <c r="J139">
        <v>1240</v>
      </c>
      <c r="K139">
        <v>1271</v>
      </c>
      <c r="L139">
        <v>1200</v>
      </c>
      <c r="M139">
        <v>954</v>
      </c>
      <c r="N139">
        <v>1531</v>
      </c>
      <c r="O139">
        <v>1560</v>
      </c>
      <c r="P139" s="6">
        <v>755</v>
      </c>
      <c r="Q139" t="e">
        <v>#DIV/0!</v>
      </c>
      <c r="R139" t="e">
        <v>#DIV/0!</v>
      </c>
      <c r="S139">
        <v>913</v>
      </c>
      <c r="T139" t="e">
        <v>#DIV/0!</v>
      </c>
      <c r="U139">
        <v>1063</v>
      </c>
      <c r="V139">
        <v>1500</v>
      </c>
      <c r="W139" t="e">
        <v>#DIV/0!</v>
      </c>
      <c r="X139" t="e">
        <v>#DIV/0!</v>
      </c>
      <c r="Y139">
        <v>1090</v>
      </c>
      <c r="Z139" t="e">
        <v>#DIV/0!</v>
      </c>
      <c r="AA139">
        <v>685</v>
      </c>
      <c r="AB139" t="e">
        <v>#DIV/0!</v>
      </c>
      <c r="AC139">
        <v>789</v>
      </c>
      <c r="AD139">
        <v>679</v>
      </c>
      <c r="AE139">
        <v>1165</v>
      </c>
      <c r="AF139" s="6">
        <v>790</v>
      </c>
      <c r="AG139">
        <v>932</v>
      </c>
      <c r="AH139">
        <v>664</v>
      </c>
      <c r="AI139">
        <v>745</v>
      </c>
      <c r="AJ139">
        <v>773</v>
      </c>
      <c r="AK139">
        <v>606</v>
      </c>
      <c r="AL139">
        <v>495</v>
      </c>
      <c r="AM139" t="e">
        <v>#DIV/0!</v>
      </c>
      <c r="AN139">
        <v>755</v>
      </c>
      <c r="AO139" t="e">
        <v>#DIV/0!</v>
      </c>
      <c r="AP139">
        <v>775</v>
      </c>
      <c r="AQ139">
        <v>538</v>
      </c>
      <c r="AR139">
        <v>660</v>
      </c>
      <c r="AS139" t="e">
        <v>#DIV/0!</v>
      </c>
      <c r="AT139">
        <v>960</v>
      </c>
      <c r="AU139" t="e">
        <v>#DIV/0!</v>
      </c>
      <c r="AV139">
        <v>695</v>
      </c>
      <c r="AW139" t="e">
        <v>#DIV/0!</v>
      </c>
      <c r="AX139" s="6">
        <v>735</v>
      </c>
      <c r="AY139">
        <v>530</v>
      </c>
      <c r="AZ139">
        <v>1035</v>
      </c>
      <c r="BA139">
        <v>681</v>
      </c>
      <c r="BB139">
        <v>590</v>
      </c>
      <c r="BC139">
        <v>744</v>
      </c>
      <c r="BD139">
        <v>715</v>
      </c>
      <c r="BE139">
        <v>770</v>
      </c>
      <c r="BF139">
        <v>779</v>
      </c>
      <c r="BG139" t="e">
        <v>#DIV/0!</v>
      </c>
      <c r="BH139" t="e">
        <v>#DIV/0!</v>
      </c>
      <c r="BI139" t="e">
        <v>#DIV/0!</v>
      </c>
    </row>
    <row r="140" spans="2:61" x14ac:dyDescent="0.25">
      <c r="B140" s="1">
        <v>45901</v>
      </c>
      <c r="C140" s="5">
        <v>838</v>
      </c>
      <c r="D140" s="6">
        <v>1125</v>
      </c>
      <c r="E140" t="e">
        <v>#DIV/0!</v>
      </c>
      <c r="F140" t="e">
        <v>#DIV/0!</v>
      </c>
      <c r="G140">
        <v>985</v>
      </c>
      <c r="H140" t="e">
        <v>#DIV/0!</v>
      </c>
      <c r="I140" t="e">
        <v>#DIV/0!</v>
      </c>
      <c r="J140">
        <v>1280</v>
      </c>
      <c r="K140">
        <v>1300</v>
      </c>
      <c r="L140">
        <v>1350</v>
      </c>
      <c r="M140">
        <v>975</v>
      </c>
      <c r="N140">
        <v>1500</v>
      </c>
      <c r="O140">
        <v>1900</v>
      </c>
      <c r="P140" s="6">
        <v>780</v>
      </c>
      <c r="Q140" t="e">
        <v>#DIV/0!</v>
      </c>
      <c r="R140" t="e">
        <v>#DIV/0!</v>
      </c>
      <c r="S140">
        <v>875</v>
      </c>
      <c r="T140" t="e">
        <v>#DIV/0!</v>
      </c>
      <c r="U140">
        <v>1120</v>
      </c>
      <c r="V140">
        <v>970</v>
      </c>
      <c r="W140" t="e">
        <v>#DIV/0!</v>
      </c>
      <c r="X140" t="e">
        <v>#DIV/0!</v>
      </c>
      <c r="Y140">
        <v>1055</v>
      </c>
      <c r="Z140" t="e">
        <v>#DIV/0!</v>
      </c>
      <c r="AA140">
        <v>690</v>
      </c>
      <c r="AB140" t="e">
        <v>#DIV/0!</v>
      </c>
      <c r="AC140">
        <v>835</v>
      </c>
      <c r="AD140">
        <v>670</v>
      </c>
      <c r="AE140">
        <v>1100</v>
      </c>
      <c r="AF140" s="6">
        <v>780</v>
      </c>
      <c r="AG140">
        <v>940</v>
      </c>
      <c r="AH140">
        <v>659</v>
      </c>
      <c r="AI140">
        <v>785</v>
      </c>
      <c r="AJ140">
        <v>793</v>
      </c>
      <c r="AK140">
        <v>660</v>
      </c>
      <c r="AL140">
        <v>490</v>
      </c>
      <c r="AM140" t="e">
        <v>#DIV/0!</v>
      </c>
      <c r="AN140">
        <v>700</v>
      </c>
      <c r="AO140" t="e">
        <v>#DIV/0!</v>
      </c>
      <c r="AP140">
        <v>760</v>
      </c>
      <c r="AQ140">
        <v>550</v>
      </c>
      <c r="AR140">
        <v>666</v>
      </c>
      <c r="AS140" t="e">
        <v>#DIV/0!</v>
      </c>
      <c r="AT140">
        <v>955</v>
      </c>
      <c r="AU140" t="e">
        <v>#DIV/0!</v>
      </c>
      <c r="AV140">
        <v>675</v>
      </c>
      <c r="AW140" t="e">
        <v>#DIV/0!</v>
      </c>
      <c r="AX140" s="6">
        <v>755</v>
      </c>
      <c r="AY140">
        <v>519</v>
      </c>
      <c r="AZ140">
        <v>1048</v>
      </c>
      <c r="BA140">
        <v>763</v>
      </c>
      <c r="BB140">
        <v>585</v>
      </c>
      <c r="BC140">
        <v>785</v>
      </c>
      <c r="BD140">
        <v>665</v>
      </c>
      <c r="BE140">
        <v>800</v>
      </c>
      <c r="BF140">
        <v>795</v>
      </c>
      <c r="BG140" t="e">
        <v>#DIV/0!</v>
      </c>
      <c r="BH140" t="e">
        <v>#DIV/0!</v>
      </c>
      <c r="BI140" t="e">
        <v>#DIV/0!</v>
      </c>
    </row>
    <row r="141" spans="2:61" x14ac:dyDescent="0.25">
      <c r="B141" s="2">
        <v>45992</v>
      </c>
      <c r="C141" s="31">
        <f>C140+(C140-C136)/4</f>
        <v>847</v>
      </c>
      <c r="D141" s="31">
        <f t="shared" ref="D141:BF141" si="0">D140+(D140-D136)/4</f>
        <v>1131.25</v>
      </c>
      <c r="E141" s="31" t="e">
        <f t="shared" si="0"/>
        <v>#DIV/0!</v>
      </c>
      <c r="F141" s="31" t="e">
        <f t="shared" si="0"/>
        <v>#DIV/0!</v>
      </c>
      <c r="G141" s="31">
        <f t="shared" si="0"/>
        <v>1001.25</v>
      </c>
      <c r="H141" s="31" t="e">
        <f t="shared" si="0"/>
        <v>#DIV/0!</v>
      </c>
      <c r="I141" s="31" t="e">
        <f t="shared" si="0"/>
        <v>#DIV/0!</v>
      </c>
      <c r="J141" s="31">
        <f t="shared" si="0"/>
        <v>1268.5</v>
      </c>
      <c r="K141" s="31">
        <f t="shared" si="0"/>
        <v>1300</v>
      </c>
      <c r="L141" s="31">
        <f t="shared" si="0"/>
        <v>1386.75</v>
      </c>
      <c r="M141" s="31">
        <f t="shared" si="0"/>
        <v>971.25</v>
      </c>
      <c r="N141" s="31">
        <f t="shared" si="0"/>
        <v>1524.5</v>
      </c>
      <c r="O141" s="31">
        <f t="shared" si="0"/>
        <v>1921.75</v>
      </c>
      <c r="P141" s="31">
        <f t="shared" si="0"/>
        <v>787.5</v>
      </c>
      <c r="Q141" s="31" t="e">
        <f t="shared" si="0"/>
        <v>#DIV/0!</v>
      </c>
      <c r="R141" s="31" t="e">
        <f t="shared" si="0"/>
        <v>#DIV/0!</v>
      </c>
      <c r="S141" s="31">
        <f t="shared" si="0"/>
        <v>893.75</v>
      </c>
      <c r="T141" s="31" t="e">
        <f t="shared" si="0"/>
        <v>#DIV/0!</v>
      </c>
      <c r="U141" s="31">
        <f t="shared" si="0"/>
        <v>1143</v>
      </c>
      <c r="V141" s="31">
        <f t="shared" si="0"/>
        <v>887.5</v>
      </c>
      <c r="W141" s="31" t="e">
        <f t="shared" si="0"/>
        <v>#DIV/0!</v>
      </c>
      <c r="X141" s="31" t="e">
        <f t="shared" si="0"/>
        <v>#DIV/0!</v>
      </c>
      <c r="Y141" s="31">
        <f t="shared" si="0"/>
        <v>1055.75</v>
      </c>
      <c r="Z141" s="31" t="e">
        <f t="shared" si="0"/>
        <v>#DIV/0!</v>
      </c>
      <c r="AA141" s="31">
        <f t="shared" si="0"/>
        <v>687.5</v>
      </c>
      <c r="AB141" s="31" t="e">
        <f t="shared" si="0"/>
        <v>#DIV/0!</v>
      </c>
      <c r="AC141" s="31">
        <f t="shared" si="0"/>
        <v>839.25</v>
      </c>
      <c r="AD141" s="31">
        <f t="shared" si="0"/>
        <v>663.25</v>
      </c>
      <c r="AE141" s="31">
        <f t="shared" si="0"/>
        <v>1087.5</v>
      </c>
      <c r="AF141" s="31">
        <f t="shared" si="0"/>
        <v>792.5</v>
      </c>
      <c r="AG141" s="31">
        <f t="shared" si="0"/>
        <v>959.25</v>
      </c>
      <c r="AH141" s="31">
        <f t="shared" si="0"/>
        <v>664.25</v>
      </c>
      <c r="AI141" s="31">
        <f t="shared" si="0"/>
        <v>802.5</v>
      </c>
      <c r="AJ141" s="31">
        <f t="shared" si="0"/>
        <v>801</v>
      </c>
      <c r="AK141" s="31">
        <f t="shared" si="0"/>
        <v>672.5</v>
      </c>
      <c r="AL141" s="31">
        <f t="shared" si="0"/>
        <v>482.5</v>
      </c>
      <c r="AM141" s="31" t="e">
        <f t="shared" si="0"/>
        <v>#DIV/0!</v>
      </c>
      <c r="AN141" s="31">
        <f t="shared" si="0"/>
        <v>704.25</v>
      </c>
      <c r="AO141" s="31" t="e">
        <f t="shared" si="0"/>
        <v>#DIV/0!</v>
      </c>
      <c r="AP141" s="31">
        <f t="shared" si="0"/>
        <v>764.5</v>
      </c>
      <c r="AQ141" s="31">
        <f t="shared" si="0"/>
        <v>552.5</v>
      </c>
      <c r="AR141" s="31">
        <f t="shared" si="0"/>
        <v>672.5</v>
      </c>
      <c r="AS141" s="31" t="e">
        <f t="shared" si="0"/>
        <v>#DIV/0!</v>
      </c>
      <c r="AT141" s="31">
        <f t="shared" si="0"/>
        <v>964.25</v>
      </c>
      <c r="AU141" s="31" t="e">
        <f t="shared" si="0"/>
        <v>#DIV/0!</v>
      </c>
      <c r="AV141" s="31">
        <f t="shared" si="0"/>
        <v>723.5</v>
      </c>
      <c r="AW141" s="31" t="e">
        <f t="shared" si="0"/>
        <v>#DIV/0!</v>
      </c>
      <c r="AX141" s="31">
        <f t="shared" si="0"/>
        <v>771.25</v>
      </c>
      <c r="AY141" s="31">
        <f t="shared" si="0"/>
        <v>529.25</v>
      </c>
      <c r="AZ141" s="31">
        <f t="shared" si="0"/>
        <v>1081.25</v>
      </c>
      <c r="BA141" s="31">
        <f t="shared" si="0"/>
        <v>787.5</v>
      </c>
      <c r="BB141" s="31">
        <f t="shared" si="0"/>
        <v>582.5</v>
      </c>
      <c r="BC141" s="31">
        <f t="shared" si="0"/>
        <v>806.25</v>
      </c>
      <c r="BD141" s="31">
        <f t="shared" si="0"/>
        <v>674.5</v>
      </c>
      <c r="BE141" s="31">
        <f t="shared" si="0"/>
        <v>813.75</v>
      </c>
      <c r="BF141" s="31">
        <f t="shared" si="0"/>
        <v>812</v>
      </c>
    </row>
  </sheetData>
  <autoFilter ref="B1:BH106" xr:uid="{01F0EFC7-7237-4430-B607-A7F5094CDFD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11</vt:i4>
      </vt:variant>
      <vt:variant>
        <vt:lpstr>Charts</vt:lpstr>
      </vt:variant>
      <vt:variant>
        <vt:i4>3</vt:i4>
      </vt:variant>
      <vt:variant>
        <vt:lpstr>Named Ranges</vt:lpstr>
      </vt:variant>
      <vt:variant>
        <vt:i4>196</vt:i4>
      </vt:variant>
    </vt:vector>
  </HeadingPairs>
  <TitlesOfParts>
    <vt:vector size="210" baseType="lpstr">
      <vt:lpstr>analysis</vt:lpstr>
      <vt:lpstr>cpi</vt:lpstr>
      <vt:lpstr>msci-indices</vt:lpstr>
      <vt:lpstr>mortgage-rates</vt:lpstr>
      <vt:lpstr>nsw-rent &gt;&gt;</vt:lpstr>
      <vt:lpstr>2BR_F-combined</vt:lpstr>
      <vt:lpstr>3BR_H-combined</vt:lpstr>
      <vt:lpstr>nsw-buy &gt;&gt;</vt:lpstr>
      <vt:lpstr>ABS-total-value-dwellings</vt:lpstr>
      <vt:lpstr>ns-combined</vt:lpstr>
      <vt:lpstr>s-combined</vt:lpstr>
      <vt:lpstr>chart-2bflat</vt:lpstr>
      <vt:lpstr>chart-3bhouse</vt:lpstr>
      <vt:lpstr>chart-home-sale-prices</vt:lpstr>
      <vt:lpstr>A83728543L</vt:lpstr>
      <vt:lpstr>A83728543L_Data</vt:lpstr>
      <vt:lpstr>A83728543L_Latest</vt:lpstr>
      <vt:lpstr>A83728544R</vt:lpstr>
      <vt:lpstr>A83728544R_Data</vt:lpstr>
      <vt:lpstr>A83728544R_Latest</vt:lpstr>
      <vt:lpstr>A83728545T</vt:lpstr>
      <vt:lpstr>A83728545T_Data</vt:lpstr>
      <vt:lpstr>A83728545T_Latest</vt:lpstr>
      <vt:lpstr>A83728546V</vt:lpstr>
      <vt:lpstr>A83728546V_Data</vt:lpstr>
      <vt:lpstr>A83728546V_Latest</vt:lpstr>
      <vt:lpstr>A83728547W</vt:lpstr>
      <vt:lpstr>A83728547W_Data</vt:lpstr>
      <vt:lpstr>A83728547W_Latest</vt:lpstr>
      <vt:lpstr>A83728548X</vt:lpstr>
      <vt:lpstr>A83728548X_Data</vt:lpstr>
      <vt:lpstr>A83728548X_Latest</vt:lpstr>
      <vt:lpstr>A83728549A</vt:lpstr>
      <vt:lpstr>A83728549A_Data</vt:lpstr>
      <vt:lpstr>A83728549A_Latest</vt:lpstr>
      <vt:lpstr>A83728550K</vt:lpstr>
      <vt:lpstr>A83728550K_Data</vt:lpstr>
      <vt:lpstr>A83728550K_Latest</vt:lpstr>
      <vt:lpstr>A83728551L</vt:lpstr>
      <vt:lpstr>A83728551L_Data</vt:lpstr>
      <vt:lpstr>A83728551L_Latest</vt:lpstr>
      <vt:lpstr>A83728552R</vt:lpstr>
      <vt:lpstr>A83728552R_Data</vt:lpstr>
      <vt:lpstr>A83728552R_Latest</vt:lpstr>
      <vt:lpstr>A83728553T</vt:lpstr>
      <vt:lpstr>A83728553T_Data</vt:lpstr>
      <vt:lpstr>A83728553T_Latest</vt:lpstr>
      <vt:lpstr>A83728554V</vt:lpstr>
      <vt:lpstr>A83728554V_Data</vt:lpstr>
      <vt:lpstr>A83728554V_Latest</vt:lpstr>
      <vt:lpstr>A83728555W</vt:lpstr>
      <vt:lpstr>A83728555W_Data</vt:lpstr>
      <vt:lpstr>A83728555W_Latest</vt:lpstr>
      <vt:lpstr>A83728556X</vt:lpstr>
      <vt:lpstr>A83728556X_Data</vt:lpstr>
      <vt:lpstr>A83728556X_Latest</vt:lpstr>
      <vt:lpstr>A83728557A</vt:lpstr>
      <vt:lpstr>A83728557A_Data</vt:lpstr>
      <vt:lpstr>A83728557A_Latest</vt:lpstr>
      <vt:lpstr>A83728558C</vt:lpstr>
      <vt:lpstr>A83728558C_Data</vt:lpstr>
      <vt:lpstr>A83728558C_Latest</vt:lpstr>
      <vt:lpstr>A83728559F</vt:lpstr>
      <vt:lpstr>A83728559F_Data</vt:lpstr>
      <vt:lpstr>A83728559F_Latest</vt:lpstr>
      <vt:lpstr>A83728560R</vt:lpstr>
      <vt:lpstr>A83728560R_Data</vt:lpstr>
      <vt:lpstr>A83728560R_Latest</vt:lpstr>
      <vt:lpstr>A83728561T</vt:lpstr>
      <vt:lpstr>A83728561T_Data</vt:lpstr>
      <vt:lpstr>A83728561T_Latest</vt:lpstr>
      <vt:lpstr>A83728562V</vt:lpstr>
      <vt:lpstr>A83728562V_Data</vt:lpstr>
      <vt:lpstr>A83728562V_Latest</vt:lpstr>
      <vt:lpstr>A83728563W</vt:lpstr>
      <vt:lpstr>A83728563W_Data</vt:lpstr>
      <vt:lpstr>A83728563W_Latest</vt:lpstr>
      <vt:lpstr>A83728564X</vt:lpstr>
      <vt:lpstr>A83728564X_Data</vt:lpstr>
      <vt:lpstr>A83728564X_Latest</vt:lpstr>
      <vt:lpstr>A83728565A</vt:lpstr>
      <vt:lpstr>A83728565A_Data</vt:lpstr>
      <vt:lpstr>A83728565A_Latest</vt:lpstr>
      <vt:lpstr>A83728566C</vt:lpstr>
      <vt:lpstr>A83728566C_Data</vt:lpstr>
      <vt:lpstr>A83728566C_Latest</vt:lpstr>
      <vt:lpstr>A83728567F</vt:lpstr>
      <vt:lpstr>A83728567F_Data</vt:lpstr>
      <vt:lpstr>A83728567F_Latest</vt:lpstr>
      <vt:lpstr>A83728568J</vt:lpstr>
      <vt:lpstr>A83728568J_Data</vt:lpstr>
      <vt:lpstr>A83728568J_Latest</vt:lpstr>
      <vt:lpstr>A83728569K</vt:lpstr>
      <vt:lpstr>A83728569K_Data</vt:lpstr>
      <vt:lpstr>A83728569K_Latest</vt:lpstr>
      <vt:lpstr>A83728570V</vt:lpstr>
      <vt:lpstr>A83728570V_Data</vt:lpstr>
      <vt:lpstr>A83728570V_Latest</vt:lpstr>
      <vt:lpstr>A83728571W</vt:lpstr>
      <vt:lpstr>A83728571W_Data</vt:lpstr>
      <vt:lpstr>A83728571W_Latest</vt:lpstr>
      <vt:lpstr>A83728572X</vt:lpstr>
      <vt:lpstr>A83728572X_Data</vt:lpstr>
      <vt:lpstr>A83728572X_Latest</vt:lpstr>
      <vt:lpstr>A83728573A</vt:lpstr>
      <vt:lpstr>A83728573A_Data</vt:lpstr>
      <vt:lpstr>A83728573A_Latest</vt:lpstr>
      <vt:lpstr>A83728574C</vt:lpstr>
      <vt:lpstr>A83728574C_Data</vt:lpstr>
      <vt:lpstr>A83728574C_Latest</vt:lpstr>
      <vt:lpstr>A83728575F</vt:lpstr>
      <vt:lpstr>A83728575F_Data</vt:lpstr>
      <vt:lpstr>A83728575F_Latest</vt:lpstr>
      <vt:lpstr>A83728576J</vt:lpstr>
      <vt:lpstr>A83728576J_Data</vt:lpstr>
      <vt:lpstr>A83728576J_Latest</vt:lpstr>
      <vt:lpstr>A83728577K</vt:lpstr>
      <vt:lpstr>A83728577K_Data</vt:lpstr>
      <vt:lpstr>A83728577K_Latest</vt:lpstr>
      <vt:lpstr>A83728578L</vt:lpstr>
      <vt:lpstr>A83728578L_Data</vt:lpstr>
      <vt:lpstr>A83728578L_Latest</vt:lpstr>
      <vt:lpstr>A83728579R</vt:lpstr>
      <vt:lpstr>A83728579R_Data</vt:lpstr>
      <vt:lpstr>A83728579R_Latest</vt:lpstr>
      <vt:lpstr>A83728580X</vt:lpstr>
      <vt:lpstr>A83728580X_Data</vt:lpstr>
      <vt:lpstr>A83728580X_Latest</vt:lpstr>
      <vt:lpstr>A83728581A</vt:lpstr>
      <vt:lpstr>A83728581A_Data</vt:lpstr>
      <vt:lpstr>A83728581A_Latest</vt:lpstr>
      <vt:lpstr>A83728582C</vt:lpstr>
      <vt:lpstr>A83728582C_Data</vt:lpstr>
      <vt:lpstr>A83728582C_Latest</vt:lpstr>
      <vt:lpstr>A83728583F</vt:lpstr>
      <vt:lpstr>A83728583F_Data</vt:lpstr>
      <vt:lpstr>A83728583F_Latest</vt:lpstr>
      <vt:lpstr>A83728584J</vt:lpstr>
      <vt:lpstr>A83728584J_Data</vt:lpstr>
      <vt:lpstr>A83728584J_Latest</vt:lpstr>
      <vt:lpstr>A83728585K</vt:lpstr>
      <vt:lpstr>A83728585K_Data</vt:lpstr>
      <vt:lpstr>A83728585K_Latest</vt:lpstr>
      <vt:lpstr>A83728586L</vt:lpstr>
      <vt:lpstr>A83728586L_Data</vt:lpstr>
      <vt:lpstr>A83728586L_Latest</vt:lpstr>
      <vt:lpstr>A83728587R</vt:lpstr>
      <vt:lpstr>A83728587R_Data</vt:lpstr>
      <vt:lpstr>A83728587R_Latest</vt:lpstr>
      <vt:lpstr>A83728588T</vt:lpstr>
      <vt:lpstr>A83728588T_Data</vt:lpstr>
      <vt:lpstr>A83728588T_Latest</vt:lpstr>
      <vt:lpstr>A83728589V</vt:lpstr>
      <vt:lpstr>A83728589V_Data</vt:lpstr>
      <vt:lpstr>A83728589V_Latest</vt:lpstr>
      <vt:lpstr>A83728590C</vt:lpstr>
      <vt:lpstr>A83728590C_Data</vt:lpstr>
      <vt:lpstr>A83728590C_Latest</vt:lpstr>
      <vt:lpstr>A83728591F</vt:lpstr>
      <vt:lpstr>A83728591F_Data</vt:lpstr>
      <vt:lpstr>A83728591F_Latest</vt:lpstr>
      <vt:lpstr>A83728592J</vt:lpstr>
      <vt:lpstr>A83728592J_Data</vt:lpstr>
      <vt:lpstr>A83728592J_Latest</vt:lpstr>
      <vt:lpstr>A83728593K</vt:lpstr>
      <vt:lpstr>A83728593K_Data</vt:lpstr>
      <vt:lpstr>A83728593K_Latest</vt:lpstr>
      <vt:lpstr>A83728594L</vt:lpstr>
      <vt:lpstr>A83728594L_Data</vt:lpstr>
      <vt:lpstr>A83728594L_Latest</vt:lpstr>
      <vt:lpstr>A83728595R</vt:lpstr>
      <vt:lpstr>A83728595R_Data</vt:lpstr>
      <vt:lpstr>A83728595R_Latest</vt:lpstr>
      <vt:lpstr>A83728596T</vt:lpstr>
      <vt:lpstr>A83728596T_Data</vt:lpstr>
      <vt:lpstr>A83728596T_Latest</vt:lpstr>
      <vt:lpstr>A83728597V</vt:lpstr>
      <vt:lpstr>A83728597V_Data</vt:lpstr>
      <vt:lpstr>A83728597V_Latest</vt:lpstr>
      <vt:lpstr>A83728598W</vt:lpstr>
      <vt:lpstr>A83728598W_Data</vt:lpstr>
      <vt:lpstr>A83728598W_Latest</vt:lpstr>
      <vt:lpstr>A83728599X</vt:lpstr>
      <vt:lpstr>A83728599X_Data</vt:lpstr>
      <vt:lpstr>A83728599X_Latest</vt:lpstr>
      <vt:lpstr>A83728600W</vt:lpstr>
      <vt:lpstr>A83728600W_Data</vt:lpstr>
      <vt:lpstr>A83728600W_Latest</vt:lpstr>
      <vt:lpstr>A83728601X</vt:lpstr>
      <vt:lpstr>A83728601X_Data</vt:lpstr>
      <vt:lpstr>A83728601X_Latest</vt:lpstr>
      <vt:lpstr>A83728602A</vt:lpstr>
      <vt:lpstr>A83728602A_Data</vt:lpstr>
      <vt:lpstr>A83728602A_Latest</vt:lpstr>
      <vt:lpstr>AusPortfolio</vt:lpstr>
      <vt:lpstr>CGT</vt:lpstr>
      <vt:lpstr>Council_Area</vt:lpstr>
      <vt:lpstr>Date_Range</vt:lpstr>
      <vt:lpstr>Date_Range_Data</vt:lpstr>
      <vt:lpstr>eff_invest</vt:lpstr>
      <vt:lpstr>FlatDwellingType</vt:lpstr>
      <vt:lpstr>FlatNumberOfBedrooms</vt:lpstr>
      <vt:lpstr>GlobalPortfolio</vt:lpstr>
      <vt:lpstr>'3BR_H-combined'!HouseDwellingType</vt:lpstr>
      <vt:lpstr>'3BR_H-combined'!HouseNumberOfBedrooms</vt:lpstr>
      <vt:lpstr>InvestFees</vt:lpstr>
      <vt:lpstr>MortgageRate</vt:lpstr>
      <vt:lpstr>Q_end</vt:lpstr>
      <vt:lpstr>Q_start</vt:lpstr>
      <vt:lpstr>Qstart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Hatta Misra</dc:creator>
  <cp:lastModifiedBy>Hatta Misra</cp:lastModifiedBy>
  <dcterms:created xsi:type="dcterms:W3CDTF">2026-03-29T09:11:49Z</dcterms:created>
  <dcterms:modified xsi:type="dcterms:W3CDTF">2026-09-06T10:52:51Z</dcterms:modified>
</cp:coreProperties>
</file>